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ustomProperty1.bin" ContentType="application/vnd.openxmlformats-officedocument.spreadsheetml.customProperty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nya\Desktop\HP 2022\Rebate\給HP start from 20260209\"/>
    </mc:Choice>
  </mc:AlternateContent>
  <xr:revisionPtr revIDLastSave="0" documentId="13_ncr:1_{46B53F85-7BCE-48AD-BA83-4F811882B4C2}" xr6:coauthVersionLast="47" xr6:coauthVersionMax="47" xr10:uidLastSave="{00000000-0000-0000-0000-000000000000}"/>
  <bookViews>
    <workbookView xWindow="-108" yWindow="-108" windowWidth="23256" windowHeight="12456" tabRatio="673" firstSheet="17" activeTab="20" xr2:uid="{00000000-000D-0000-FFFF-FFFF00000000}"/>
  </bookViews>
  <sheets>
    <sheet name="工作表6 (2)" sheetId="25" state="hidden" r:id="rId1"/>
    <sheet name="說明頁_更新版" sheetId="32" r:id="rId2"/>
    <sheet name="FY24 Summary_1" sheetId="10" r:id="rId3"/>
    <sheet name="FY23 Summary_1" sheetId="6" state="hidden" r:id="rId4"/>
    <sheet name="FY23 Summary_2" sheetId="5" state="hidden" r:id="rId5"/>
    <sheet name="FY23" sheetId="13" state="hidden" r:id="rId6"/>
    <sheet name="FY24 Summary_2" sheetId="11" r:id="rId7"/>
    <sheet name="工作表1" sheetId="14" state="hidden" r:id="rId8"/>
    <sheet name="工作表3" sheetId="16" state="hidden" r:id="rId9"/>
    <sheet name="工作表4" sheetId="18" state="hidden" r:id="rId10"/>
    <sheet name="工作表2" sheetId="20" state="hidden" r:id="rId11"/>
    <sheet name="工作表5" sheetId="21" state="hidden" r:id="rId12"/>
    <sheet name="工作表7" sheetId="23" state="hidden" r:id="rId13"/>
    <sheet name="工作表6" sheetId="24" state="hidden" r:id="rId14"/>
    <sheet name="FY25 Summary_1" sheetId="33" r:id="rId15"/>
    <sheet name="FY25 Summary_2" sheetId="34" r:id="rId16"/>
    <sheet name="FY26 Summary_1" sheetId="48" r:id="rId17"/>
    <sheet name="FY26 Summary_2" sheetId="49" r:id="rId18"/>
    <sheet name="FY24" sheetId="39" r:id="rId19"/>
    <sheet name="FY25" sheetId="40" r:id="rId20"/>
    <sheet name="FY26" sheetId="41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5" hidden="1">'FY23'!$A$2:$BN$220</definedName>
    <definedName name="_xlnm._FilterDatabase" localSheetId="18" hidden="1">'FY24'!$A$2:$BP$287</definedName>
    <definedName name="_xlnm._FilterDatabase" localSheetId="19" hidden="1">'FY25'!$A$2:$BQ$339</definedName>
    <definedName name="_xlnm._FilterDatabase" localSheetId="20" hidden="1">'FY26'!$A$2:$BN$375</definedName>
    <definedName name="_xlnm.Print_Area" localSheetId="5">'FY23'!$D$1:$AS$179</definedName>
    <definedName name="_xlnm.Print_Area" localSheetId="18">'FY24'!$A$1:$BN$287</definedName>
    <definedName name="Region">#REF!</definedName>
  </definedNames>
  <calcPr calcId="191028"/>
  <pivotCaches>
    <pivotCache cacheId="0" r:id="rId28"/>
    <pivotCache cacheId="1" r:id="rId29"/>
    <pivotCache cacheId="2" r:id="rId30"/>
    <pivotCache cacheId="3" r:id="rId31"/>
    <pivotCache cacheId="4" r:id="rId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42" i="41" l="1"/>
  <c r="AU120" i="41"/>
  <c r="AV378" i="41"/>
  <c r="AL378" i="41"/>
  <c r="AL377" i="41"/>
  <c r="AM371" i="41"/>
  <c r="AM372" i="41"/>
  <c r="AM373" i="41"/>
  <c r="AM374" i="41"/>
  <c r="AO371" i="41"/>
  <c r="AQ371" i="41"/>
  <c r="AS371" i="41"/>
  <c r="AU371" i="41"/>
  <c r="AW371" i="41"/>
  <c r="AY371" i="41"/>
  <c r="BA371" i="41"/>
  <c r="BC371" i="41"/>
  <c r="BE371" i="41"/>
  <c r="BG371" i="41"/>
  <c r="AO372" i="41"/>
  <c r="AQ372" i="41"/>
  <c r="AS372" i="41"/>
  <c r="AU372" i="41"/>
  <c r="AW372" i="41"/>
  <c r="AY372" i="41"/>
  <c r="BA372" i="41"/>
  <c r="BC372" i="41"/>
  <c r="BE372" i="41"/>
  <c r="BG372" i="41"/>
  <c r="AO373" i="41"/>
  <c r="AQ373" i="41"/>
  <c r="AS373" i="41"/>
  <c r="AU373" i="41"/>
  <c r="AW373" i="41"/>
  <c r="AY373" i="41"/>
  <c r="BA373" i="41"/>
  <c r="BC373" i="41"/>
  <c r="BE373" i="41"/>
  <c r="BG373" i="41"/>
  <c r="AO374" i="41"/>
  <c r="AQ374" i="41"/>
  <c r="AS374" i="41"/>
  <c r="AU374" i="41"/>
  <c r="AW374" i="41"/>
  <c r="AY374" i="41"/>
  <c r="BA374" i="41"/>
  <c r="BC374" i="41"/>
  <c r="BE374" i="41"/>
  <c r="BG374" i="41"/>
  <c r="BI371" i="41"/>
  <c r="BI372" i="41"/>
  <c r="BI373" i="41"/>
  <c r="BI374" i="41"/>
  <c r="BH378" i="41"/>
  <c r="BF378" i="41"/>
  <c r="BD378" i="41"/>
  <c r="BB378" i="41"/>
  <c r="AZ378" i="41"/>
  <c r="AX378" i="41"/>
  <c r="AR378" i="41"/>
  <c r="AP378" i="41"/>
  <c r="AN378" i="41"/>
  <c r="AT378" i="41"/>
  <c r="BH377" i="41"/>
  <c r="BF377" i="41"/>
  <c r="BD377" i="41"/>
  <c r="BB377" i="41"/>
  <c r="AZ377" i="41"/>
  <c r="AX377" i="41"/>
  <c r="AV377" i="41"/>
  <c r="AR377" i="41"/>
  <c r="AP377" i="41"/>
  <c r="AN377" i="41"/>
  <c r="AT377" i="41"/>
  <c r="AM375" i="41"/>
  <c r="AO375" i="41"/>
  <c r="AQ375" i="41"/>
  <c r="AS375" i="41"/>
  <c r="AU375" i="41"/>
  <c r="AW375" i="41"/>
  <c r="AY375" i="41"/>
  <c r="BA375" i="41"/>
  <c r="BC375" i="41"/>
  <c r="BE375" i="41"/>
  <c r="BG375" i="41"/>
  <c r="BI375" i="41"/>
  <c r="BE366" i="41" l="1"/>
  <c r="BE367" i="41"/>
  <c r="BE368" i="41"/>
  <c r="BE369" i="41"/>
  <c r="BE370" i="41"/>
  <c r="BC366" i="41"/>
  <c r="BC367" i="41"/>
  <c r="BC368" i="41"/>
  <c r="BC369" i="41"/>
  <c r="BC370" i="41"/>
  <c r="BA366" i="41"/>
  <c r="BA367" i="41"/>
  <c r="BA368" i="41"/>
  <c r="BA369" i="41"/>
  <c r="BA370" i="41"/>
  <c r="BG366" i="41"/>
  <c r="BG367" i="41"/>
  <c r="BG368" i="41"/>
  <c r="BG369" i="41"/>
  <c r="BG370" i="41"/>
  <c r="BI366" i="41"/>
  <c r="BI367" i="41"/>
  <c r="BI368" i="41"/>
  <c r="BI369" i="41"/>
  <c r="BI370" i="41"/>
  <c r="AY366" i="41"/>
  <c r="AY367" i="41"/>
  <c r="AY368" i="41"/>
  <c r="AY369" i="41"/>
  <c r="AY370" i="41"/>
  <c r="AW366" i="41"/>
  <c r="AW367" i="41"/>
  <c r="AW368" i="41"/>
  <c r="AW369" i="41"/>
  <c r="AW370" i="41"/>
  <c r="AU366" i="41"/>
  <c r="AU367" i="41"/>
  <c r="AU368" i="41"/>
  <c r="AU369" i="41"/>
  <c r="AU370" i="41"/>
  <c r="AS366" i="41"/>
  <c r="AS367" i="41"/>
  <c r="AS368" i="41"/>
  <c r="AS369" i="41"/>
  <c r="AS370" i="41"/>
  <c r="AQ366" i="41"/>
  <c r="AQ367" i="41"/>
  <c r="AQ368" i="41"/>
  <c r="AQ369" i="41"/>
  <c r="AQ370" i="41"/>
  <c r="AO366" i="41"/>
  <c r="AO367" i="41"/>
  <c r="AO368" i="41"/>
  <c r="AO369" i="41"/>
  <c r="AO370" i="41"/>
  <c r="AM366" i="41"/>
  <c r="AM367" i="41"/>
  <c r="AM368" i="41"/>
  <c r="AM369" i="41"/>
  <c r="AM370" i="41"/>
  <c r="AU365" i="41" l="1"/>
  <c r="AS365" i="41"/>
  <c r="AW365" i="41"/>
  <c r="AY365" i="41"/>
  <c r="BA365" i="41"/>
  <c r="BC365" i="41"/>
  <c r="BE365" i="41"/>
  <c r="BG365" i="41"/>
  <c r="BI365" i="41"/>
  <c r="AQ365" i="41"/>
  <c r="AO365" i="41"/>
  <c r="AM365" i="41"/>
  <c r="AO5" i="41" l="1"/>
  <c r="AO6" i="41"/>
  <c r="AO7" i="41"/>
  <c r="AO8" i="41"/>
  <c r="AO9" i="41"/>
  <c r="AO10" i="41"/>
  <c r="AO11" i="41"/>
  <c r="AO12" i="41"/>
  <c r="AO13" i="41"/>
  <c r="AO14" i="41"/>
  <c r="AO15" i="41"/>
  <c r="AO16" i="41"/>
  <c r="AO17" i="41"/>
  <c r="AO18" i="41"/>
  <c r="AO19" i="41"/>
  <c r="AO20" i="41"/>
  <c r="AO21" i="41"/>
  <c r="AO22" i="41"/>
  <c r="AO23" i="41"/>
  <c r="AO24" i="41"/>
  <c r="AO25" i="41"/>
  <c r="AO26" i="41"/>
  <c r="AO27" i="41"/>
  <c r="AO28" i="41"/>
  <c r="AO29" i="41"/>
  <c r="AO30" i="41"/>
  <c r="AO31" i="41"/>
  <c r="AO32" i="41"/>
  <c r="AO33" i="41"/>
  <c r="AO34" i="41"/>
  <c r="AO35" i="41"/>
  <c r="AO36" i="41"/>
  <c r="AO37" i="41"/>
  <c r="AO38" i="41"/>
  <c r="AO39" i="41"/>
  <c r="AO40" i="41"/>
  <c r="AO41" i="41"/>
  <c r="AO42" i="41"/>
  <c r="AO43" i="41"/>
  <c r="AO44" i="41"/>
  <c r="AO45" i="41"/>
  <c r="AO46" i="41"/>
  <c r="AO47" i="41"/>
  <c r="AO48" i="41"/>
  <c r="AO49" i="41"/>
  <c r="AO50" i="41"/>
  <c r="AO51" i="41"/>
  <c r="AO52" i="41"/>
  <c r="AO53" i="41"/>
  <c r="AO54" i="41"/>
  <c r="AO55" i="41"/>
  <c r="AO56" i="41"/>
  <c r="AO57" i="41"/>
  <c r="AO58" i="41"/>
  <c r="AO59" i="41"/>
  <c r="AO60" i="41"/>
  <c r="AO61" i="41"/>
  <c r="AO62" i="41"/>
  <c r="AO63" i="41"/>
  <c r="AO64" i="41"/>
  <c r="AO65" i="41"/>
  <c r="AO66" i="41"/>
  <c r="AO67" i="41"/>
  <c r="AO68" i="41"/>
  <c r="AO69" i="41"/>
  <c r="AO70" i="41"/>
  <c r="AO71" i="41"/>
  <c r="AO72" i="41"/>
  <c r="AO73" i="41"/>
  <c r="AO74" i="41"/>
  <c r="AO75" i="41"/>
  <c r="AO76" i="41"/>
  <c r="AO77" i="41"/>
  <c r="AO78" i="41"/>
  <c r="AO79" i="41"/>
  <c r="AO80" i="41"/>
  <c r="AO81" i="41"/>
  <c r="AO82" i="41"/>
  <c r="AO83" i="41"/>
  <c r="AO84" i="41"/>
  <c r="AO85" i="41"/>
  <c r="AO86" i="41"/>
  <c r="AO87" i="41"/>
  <c r="AO88" i="41"/>
  <c r="AO89" i="41"/>
  <c r="AO90" i="41"/>
  <c r="AO91" i="41"/>
  <c r="AO92" i="41"/>
  <c r="AO93" i="41"/>
  <c r="AO94" i="41"/>
  <c r="AO95" i="41"/>
  <c r="AO96" i="41"/>
  <c r="AO97" i="41"/>
  <c r="AO98" i="41"/>
  <c r="AO99" i="41"/>
  <c r="AO100" i="41"/>
  <c r="AO101" i="41"/>
  <c r="AO102" i="41"/>
  <c r="AO103" i="41"/>
  <c r="AO104" i="41"/>
  <c r="AO105" i="41"/>
  <c r="AO106" i="41"/>
  <c r="AO107" i="41"/>
  <c r="AO108" i="41"/>
  <c r="AO109" i="41"/>
  <c r="AO110" i="41"/>
  <c r="AO111" i="41"/>
  <c r="AO112" i="41"/>
  <c r="AO113" i="41"/>
  <c r="AO114" i="41"/>
  <c r="AO115" i="41"/>
  <c r="AO116" i="41"/>
  <c r="AO117" i="41"/>
  <c r="AO118" i="41"/>
  <c r="AO119" i="41"/>
  <c r="AO120" i="41"/>
  <c r="AO121" i="41"/>
  <c r="AO122" i="41"/>
  <c r="AO123" i="41"/>
  <c r="AO124" i="41"/>
  <c r="AO125" i="41"/>
  <c r="AO126" i="41"/>
  <c r="AO127" i="41"/>
  <c r="AO128" i="41"/>
  <c r="AO129" i="41"/>
  <c r="AO130" i="41"/>
  <c r="AO131" i="41"/>
  <c r="AO132" i="41"/>
  <c r="AO133" i="41"/>
  <c r="AO134" i="41"/>
  <c r="AO135" i="41"/>
  <c r="AO136" i="41"/>
  <c r="AO137" i="41"/>
  <c r="AO138" i="41"/>
  <c r="AO139" i="41"/>
  <c r="AO140" i="41"/>
  <c r="AO141" i="41"/>
  <c r="AO142" i="41"/>
  <c r="AO143" i="41"/>
  <c r="AO144" i="41"/>
  <c r="AO145" i="41"/>
  <c r="AO146" i="41"/>
  <c r="AO147" i="41"/>
  <c r="AO148" i="41"/>
  <c r="AO149" i="41"/>
  <c r="AO150" i="41"/>
  <c r="AO151" i="41"/>
  <c r="AO152" i="41"/>
  <c r="AO153" i="41"/>
  <c r="AO154" i="41"/>
  <c r="AO155" i="41"/>
  <c r="AO156" i="41"/>
  <c r="AO157" i="41"/>
  <c r="AO158" i="41"/>
  <c r="AO159" i="41"/>
  <c r="AO160" i="41"/>
  <c r="AO161" i="41"/>
  <c r="AO162" i="41"/>
  <c r="AO163" i="41"/>
  <c r="AO164" i="41"/>
  <c r="AO165" i="41"/>
  <c r="AO166" i="41"/>
  <c r="AO167" i="41"/>
  <c r="AO168" i="41"/>
  <c r="AO169" i="41"/>
  <c r="AO170" i="41"/>
  <c r="AO171" i="41"/>
  <c r="AO172" i="41"/>
  <c r="AO173" i="41"/>
  <c r="AO174" i="41"/>
  <c r="AO175" i="41"/>
  <c r="AO176" i="41"/>
  <c r="AO177" i="41"/>
  <c r="AO178" i="41"/>
  <c r="AO179" i="41"/>
  <c r="AO180" i="41"/>
  <c r="AO181" i="41"/>
  <c r="AO182" i="41"/>
  <c r="AO183" i="41"/>
  <c r="AO184" i="41"/>
  <c r="AO185" i="41"/>
  <c r="AO186" i="41"/>
  <c r="AO187" i="41"/>
  <c r="AO188" i="41"/>
  <c r="AO189" i="41"/>
  <c r="AO190" i="41"/>
  <c r="AO191" i="41"/>
  <c r="AO192" i="41"/>
  <c r="AO193" i="41"/>
  <c r="AO194" i="41"/>
  <c r="AO195" i="41"/>
  <c r="AO196" i="41"/>
  <c r="AO197" i="41"/>
  <c r="AO198" i="41"/>
  <c r="AO199" i="41"/>
  <c r="AO200" i="41"/>
  <c r="AO201" i="41"/>
  <c r="AO202" i="41"/>
  <c r="AO203" i="41"/>
  <c r="AO204" i="41"/>
  <c r="AO205" i="41"/>
  <c r="AO206" i="41"/>
  <c r="AO207" i="41"/>
  <c r="AO208" i="41"/>
  <c r="AO209" i="41"/>
  <c r="AO210" i="41"/>
  <c r="AO211" i="41"/>
  <c r="AO212" i="41"/>
  <c r="AO213" i="41"/>
  <c r="AO214" i="41"/>
  <c r="AO215" i="41"/>
  <c r="AO216" i="41"/>
  <c r="AO217" i="41"/>
  <c r="AO218" i="41"/>
  <c r="AO219" i="41"/>
  <c r="AO220" i="41"/>
  <c r="AO221" i="41"/>
  <c r="AO222" i="41"/>
  <c r="AO223" i="41"/>
  <c r="AO224" i="41"/>
  <c r="AO225" i="41"/>
  <c r="AO226" i="41"/>
  <c r="AO227" i="41"/>
  <c r="AO228" i="41"/>
  <c r="AO229" i="41"/>
  <c r="AO230" i="41"/>
  <c r="AO231" i="41"/>
  <c r="AO232" i="41"/>
  <c r="AO233" i="41"/>
  <c r="AO234" i="41"/>
  <c r="AO235" i="41"/>
  <c r="AO236" i="41"/>
  <c r="AO237" i="41"/>
  <c r="AO238" i="41"/>
  <c r="AO239" i="41"/>
  <c r="AO240" i="41"/>
  <c r="AO241" i="41"/>
  <c r="AO242" i="41"/>
  <c r="AO243" i="41"/>
  <c r="AO244" i="41"/>
  <c r="AO245" i="41"/>
  <c r="AO246" i="41"/>
  <c r="AO247" i="41"/>
  <c r="AO248" i="41"/>
  <c r="AO249" i="41"/>
  <c r="AO250" i="41"/>
  <c r="AO251" i="41"/>
  <c r="AO252" i="41"/>
  <c r="AO253" i="41"/>
  <c r="AO254" i="41"/>
  <c r="AO255" i="41"/>
  <c r="AO256" i="41"/>
  <c r="AO257" i="41"/>
  <c r="AO258" i="41"/>
  <c r="AO259" i="41"/>
  <c r="AO260" i="41"/>
  <c r="AO261" i="41"/>
  <c r="AO262" i="41"/>
  <c r="AO263" i="41"/>
  <c r="AO264" i="41"/>
  <c r="AO265" i="41"/>
  <c r="AO266" i="41"/>
  <c r="AO267" i="41"/>
  <c r="AO268" i="41"/>
  <c r="AO269" i="41"/>
  <c r="AO270" i="41"/>
  <c r="AO271" i="41"/>
  <c r="AO272" i="41"/>
  <c r="AO273" i="41"/>
  <c r="AO274" i="41"/>
  <c r="AO275" i="41"/>
  <c r="AO276" i="41"/>
  <c r="AO277" i="41"/>
  <c r="AO278" i="41"/>
  <c r="AO279" i="41"/>
  <c r="AO280" i="41"/>
  <c r="AO281" i="41"/>
  <c r="AO282" i="41"/>
  <c r="AO283" i="41"/>
  <c r="AO284" i="41"/>
  <c r="AO285" i="41"/>
  <c r="AO286" i="41"/>
  <c r="AO287" i="41"/>
  <c r="AO288" i="41"/>
  <c r="AO289" i="41"/>
  <c r="AO290" i="41"/>
  <c r="AO291" i="41"/>
  <c r="AO292" i="41"/>
  <c r="AO293" i="41"/>
  <c r="AO294" i="41"/>
  <c r="AO295" i="41"/>
  <c r="AO296" i="41"/>
  <c r="AO297" i="41"/>
  <c r="AO298" i="41"/>
  <c r="AO299" i="41"/>
  <c r="AO300" i="41"/>
  <c r="AO301" i="41"/>
  <c r="AO302" i="41"/>
  <c r="AO303" i="41"/>
  <c r="AO304" i="41"/>
  <c r="AO305" i="41"/>
  <c r="AO306" i="41"/>
  <c r="AO307" i="41"/>
  <c r="AO308" i="41"/>
  <c r="AO309" i="41"/>
  <c r="AO310" i="41"/>
  <c r="AO311" i="41"/>
  <c r="AO312" i="41"/>
  <c r="AO313" i="41"/>
  <c r="AO314" i="41"/>
  <c r="AO315" i="41"/>
  <c r="AO316" i="41"/>
  <c r="AO317" i="41"/>
  <c r="AO318" i="41"/>
  <c r="AO319" i="41"/>
  <c r="AO320" i="41"/>
  <c r="AO321" i="41"/>
  <c r="AO322" i="41"/>
  <c r="AO323" i="41"/>
  <c r="AO324" i="41"/>
  <c r="AO325" i="41"/>
  <c r="AO326" i="41"/>
  <c r="AO327" i="41"/>
  <c r="AO328" i="41"/>
  <c r="AO329" i="41"/>
  <c r="AO330" i="41"/>
  <c r="AO331" i="41"/>
  <c r="AO332" i="41"/>
  <c r="AO333" i="41"/>
  <c r="AO334" i="41"/>
  <c r="AO335" i="41"/>
  <c r="AO336" i="41"/>
  <c r="AO337" i="41"/>
  <c r="AO338" i="41"/>
  <c r="AO339" i="41"/>
  <c r="AO340" i="41"/>
  <c r="AO341" i="41"/>
  <c r="AO342" i="41"/>
  <c r="AO343" i="41"/>
  <c r="AO344" i="41"/>
  <c r="AO345" i="41"/>
  <c r="AO346" i="41"/>
  <c r="AO347" i="41"/>
  <c r="AO348" i="41"/>
  <c r="AO349" i="41"/>
  <c r="AO350" i="41"/>
  <c r="AO351" i="41"/>
  <c r="AO352" i="41"/>
  <c r="AO353" i="41"/>
  <c r="AO354" i="41"/>
  <c r="AO355" i="41"/>
  <c r="AO356" i="41"/>
  <c r="AO357" i="41"/>
  <c r="AO358" i="41"/>
  <c r="AO359" i="41"/>
  <c r="AO360" i="41"/>
  <c r="AO361" i="41"/>
  <c r="AO362" i="41"/>
  <c r="AO363" i="41"/>
  <c r="AO3" i="41"/>
  <c r="BI351" i="41"/>
  <c r="BI352" i="41"/>
  <c r="BI353" i="41"/>
  <c r="BI354" i="41"/>
  <c r="BI355" i="41"/>
  <c r="BI356" i="41"/>
  <c r="BI357" i="41"/>
  <c r="BI358" i="41"/>
  <c r="BI359" i="41"/>
  <c r="BI360" i="41"/>
  <c r="BI361" i="41"/>
  <c r="BI362" i="41"/>
  <c r="BI363" i="41"/>
  <c r="BI364" i="41"/>
  <c r="BG352" i="41"/>
  <c r="BG353" i="41"/>
  <c r="BG354" i="41"/>
  <c r="BG355" i="41"/>
  <c r="BG356" i="41"/>
  <c r="BG357" i="41"/>
  <c r="BG358" i="41"/>
  <c r="BG359" i="41"/>
  <c r="BG360" i="41"/>
  <c r="BG361" i="41"/>
  <c r="BG362" i="41"/>
  <c r="BG363" i="41"/>
  <c r="BG364" i="41"/>
  <c r="BE351" i="41"/>
  <c r="BE352" i="41"/>
  <c r="BE353" i="41"/>
  <c r="BE354" i="41"/>
  <c r="BE355" i="41"/>
  <c r="BE356" i="41"/>
  <c r="BE357" i="41"/>
  <c r="BE358" i="41"/>
  <c r="BE359" i="41"/>
  <c r="BE360" i="41"/>
  <c r="BE361" i="41"/>
  <c r="BE362" i="41"/>
  <c r="BE363" i="41"/>
  <c r="BE364" i="41"/>
  <c r="BC348" i="41"/>
  <c r="BC349" i="41"/>
  <c r="BC350" i="41"/>
  <c r="BC351" i="41"/>
  <c r="BC352" i="41"/>
  <c r="BC353" i="41"/>
  <c r="BC354" i="41"/>
  <c r="BC355" i="41"/>
  <c r="BC356" i="41"/>
  <c r="BC357" i="41"/>
  <c r="BC358" i="41"/>
  <c r="BC359" i="41"/>
  <c r="BC360" i="41"/>
  <c r="BC361" i="41"/>
  <c r="BC362" i="41"/>
  <c r="BC363" i="41"/>
  <c r="BC364" i="41"/>
  <c r="BA350" i="41"/>
  <c r="BA351" i="41"/>
  <c r="BA352" i="41"/>
  <c r="BA353" i="41"/>
  <c r="BA354" i="41"/>
  <c r="BA355" i="41"/>
  <c r="BA356" i="41"/>
  <c r="BA357" i="41"/>
  <c r="BA358" i="41"/>
  <c r="BA359" i="41"/>
  <c r="BA360" i="41"/>
  <c r="BA361" i="41"/>
  <c r="BA362" i="41"/>
  <c r="BA363" i="41"/>
  <c r="BA364" i="41"/>
  <c r="AY350" i="41"/>
  <c r="AY351" i="41"/>
  <c r="AY352" i="41"/>
  <c r="AY353" i="41"/>
  <c r="AY354" i="41"/>
  <c r="AY355" i="41"/>
  <c r="AY356" i="41"/>
  <c r="AY357" i="41"/>
  <c r="AY358" i="41"/>
  <c r="AY359" i="41"/>
  <c r="AY360" i="41"/>
  <c r="AY361" i="41"/>
  <c r="AY362" i="41"/>
  <c r="AY363" i="41"/>
  <c r="AY364" i="41"/>
  <c r="AW349" i="41"/>
  <c r="AW350" i="41"/>
  <c r="AW351" i="41"/>
  <c r="AW352" i="41"/>
  <c r="AW353" i="41"/>
  <c r="AW354" i="41"/>
  <c r="AW355" i="41"/>
  <c r="AW356" i="41"/>
  <c r="AW357" i="41"/>
  <c r="AW358" i="41"/>
  <c r="AW359" i="41"/>
  <c r="AW360" i="41"/>
  <c r="AW361" i="41"/>
  <c r="AW362" i="41"/>
  <c r="AW363" i="41"/>
  <c r="AW364" i="41"/>
  <c r="AU351" i="41"/>
  <c r="AU352" i="41"/>
  <c r="AU353" i="41"/>
  <c r="AU354" i="41"/>
  <c r="AU355" i="41"/>
  <c r="AU356" i="41"/>
  <c r="AU357" i="41"/>
  <c r="AU358" i="41"/>
  <c r="AU359" i="41"/>
  <c r="AU360" i="41"/>
  <c r="AU361" i="41"/>
  <c r="AU362" i="41"/>
  <c r="AU363" i="41"/>
  <c r="AU364" i="41"/>
  <c r="AS355" i="41"/>
  <c r="AS356" i="41"/>
  <c r="AS357" i="41"/>
  <c r="AS358" i="41"/>
  <c r="AS359" i="41"/>
  <c r="AS360" i="41"/>
  <c r="AS361" i="41"/>
  <c r="AS362" i="41"/>
  <c r="AS363" i="41"/>
  <c r="AS364" i="41"/>
  <c r="AQ357" i="41"/>
  <c r="AQ358" i="41"/>
  <c r="AQ359" i="41"/>
  <c r="AQ360" i="41"/>
  <c r="AQ361" i="41"/>
  <c r="AQ362" i="41"/>
  <c r="AQ363" i="41"/>
  <c r="AQ364" i="41"/>
  <c r="AO364" i="41"/>
  <c r="AM364" i="41"/>
  <c r="AM363" i="41"/>
  <c r="AM362" i="41"/>
  <c r="AM361" i="41"/>
  <c r="AM360" i="41"/>
  <c r="AM359" i="41"/>
  <c r="AM358" i="41"/>
  <c r="AM357" i="41"/>
  <c r="AQ356" i="41"/>
  <c r="AM356" i="41"/>
  <c r="AQ355" i="41"/>
  <c r="AM355" i="41"/>
  <c r="AS354" i="41"/>
  <c r="AQ354" i="41"/>
  <c r="AM354" i="41"/>
  <c r="AS353" i="41"/>
  <c r="AQ353" i="41"/>
  <c r="AM353" i="41"/>
  <c r="AS352" i="41"/>
  <c r="AQ352" i="41"/>
  <c r="AM352" i="41"/>
  <c r="AQ349" i="41"/>
  <c r="AS349" i="41"/>
  <c r="AU349" i="41"/>
  <c r="AY349" i="41"/>
  <c r="BA349" i="41"/>
  <c r="BE349" i="41"/>
  <c r="BG349" i="41"/>
  <c r="BI349" i="41"/>
  <c r="AQ350" i="41"/>
  <c r="AS350" i="41"/>
  <c r="AU350" i="41"/>
  <c r="BE350" i="41"/>
  <c r="BG350" i="41"/>
  <c r="BI350" i="41"/>
  <c r="AQ351" i="41"/>
  <c r="AS351" i="41"/>
  <c r="BG351" i="41"/>
  <c r="AM349" i="41"/>
  <c r="AM350" i="41"/>
  <c r="AM351" i="41"/>
  <c r="G137" i="49"/>
  <c r="G102" i="49"/>
  <c r="F66" i="49"/>
  <c r="D66" i="49"/>
  <c r="E28" i="48"/>
  <c r="D28" i="48"/>
  <c r="C28" i="48"/>
  <c r="D21" i="48"/>
  <c r="C21" i="48"/>
  <c r="F20" i="48"/>
  <c r="F19" i="48"/>
  <c r="E21" i="48"/>
  <c r="F13" i="48"/>
  <c r="F12" i="48"/>
  <c r="E14" i="48"/>
  <c r="D14" i="48"/>
  <c r="C14" i="48"/>
  <c r="E7" i="48"/>
  <c r="F6" i="48"/>
  <c r="F5" i="48"/>
  <c r="BJ378" i="41" l="1"/>
  <c r="F11" i="48"/>
  <c r="F14" i="48" s="1"/>
  <c r="E66" i="49"/>
  <c r="G66" i="49" s="1"/>
  <c r="F18" i="48"/>
  <c r="F21" i="48" s="1"/>
  <c r="F25" i="48"/>
  <c r="F28" i="48" s="1"/>
  <c r="BI306" i="41" l="1"/>
  <c r="BG306" i="41"/>
  <c r="BE306" i="41"/>
  <c r="BC306" i="41"/>
  <c r="BA306" i="41"/>
  <c r="AY306" i="41"/>
  <c r="AW306" i="41"/>
  <c r="AU306" i="41"/>
  <c r="AS306" i="41"/>
  <c r="AQ306" i="41"/>
  <c r="AM306" i="41"/>
  <c r="BI282" i="41"/>
  <c r="BG282" i="41"/>
  <c r="BE282" i="41"/>
  <c r="BC282" i="41"/>
  <c r="BA282" i="41"/>
  <c r="AY282" i="41"/>
  <c r="AW282" i="41"/>
  <c r="AU282" i="41"/>
  <c r="AS282" i="41"/>
  <c r="AQ282" i="41"/>
  <c r="AM282" i="41"/>
  <c r="BI160" i="41" l="1"/>
  <c r="BG160" i="41"/>
  <c r="BE160" i="41"/>
  <c r="BC160" i="41"/>
  <c r="BA160" i="41"/>
  <c r="AY160" i="41"/>
  <c r="AW160" i="41"/>
  <c r="AU160" i="41"/>
  <c r="AS160" i="41"/>
  <c r="AQ160" i="41"/>
  <c r="AM160" i="41"/>
  <c r="BI31" i="41"/>
  <c r="BG31" i="41"/>
  <c r="BE31" i="41"/>
  <c r="BC31" i="41"/>
  <c r="BA31" i="41"/>
  <c r="AY31" i="41"/>
  <c r="AW31" i="41"/>
  <c r="AU31" i="41"/>
  <c r="AS31" i="41"/>
  <c r="AQ31" i="41"/>
  <c r="AM31" i="41"/>
  <c r="BI149" i="41"/>
  <c r="BG149" i="41"/>
  <c r="BE149" i="41"/>
  <c r="BC149" i="41"/>
  <c r="BA149" i="41"/>
  <c r="AY149" i="41"/>
  <c r="AW149" i="41"/>
  <c r="AU149" i="41"/>
  <c r="AS149" i="41"/>
  <c r="AQ149" i="41"/>
  <c r="AM149" i="41"/>
  <c r="BI189" i="41"/>
  <c r="BG189" i="41"/>
  <c r="BE189" i="41"/>
  <c r="BC189" i="41"/>
  <c r="BA189" i="41"/>
  <c r="AY189" i="41"/>
  <c r="AW189" i="41"/>
  <c r="AU189" i="41"/>
  <c r="AS189" i="41"/>
  <c r="AQ189" i="41"/>
  <c r="AM189" i="41"/>
  <c r="BI184" i="41"/>
  <c r="BG184" i="41"/>
  <c r="BE184" i="41"/>
  <c r="BC184" i="41"/>
  <c r="BA184" i="41"/>
  <c r="AY184" i="41"/>
  <c r="AW184" i="41"/>
  <c r="AU184" i="41"/>
  <c r="AS184" i="41"/>
  <c r="AQ184" i="41"/>
  <c r="AM184" i="41"/>
  <c r="BI292" i="41" l="1"/>
  <c r="BG292" i="41"/>
  <c r="BE292" i="41"/>
  <c r="BC292" i="41"/>
  <c r="BA292" i="41"/>
  <c r="AY292" i="41"/>
  <c r="AW292" i="41"/>
  <c r="AU292" i="41"/>
  <c r="AS292" i="41"/>
  <c r="AQ292" i="41"/>
  <c r="AM292" i="41"/>
  <c r="BI277" i="41" l="1"/>
  <c r="BG277" i="41"/>
  <c r="BE277" i="41"/>
  <c r="BC277" i="41"/>
  <c r="BA277" i="41"/>
  <c r="AY277" i="41"/>
  <c r="AW277" i="41"/>
  <c r="AU277" i="41"/>
  <c r="AS277" i="41"/>
  <c r="AQ277" i="41"/>
  <c r="AM277" i="41"/>
  <c r="BI278" i="41"/>
  <c r="BG278" i="41"/>
  <c r="BE278" i="41"/>
  <c r="BC278" i="41"/>
  <c r="BA278" i="41"/>
  <c r="AY278" i="41"/>
  <c r="AW278" i="41"/>
  <c r="AU278" i="41"/>
  <c r="AS278" i="41"/>
  <c r="AQ278" i="41"/>
  <c r="AM278" i="41"/>
  <c r="BI141" i="41"/>
  <c r="BG141" i="41"/>
  <c r="BE141" i="41"/>
  <c r="BC141" i="41"/>
  <c r="BA141" i="41"/>
  <c r="AY141" i="41"/>
  <c r="AW141" i="41"/>
  <c r="AU141" i="41"/>
  <c r="AS141" i="41"/>
  <c r="AQ141" i="41"/>
  <c r="AM141" i="41"/>
  <c r="BI137" i="41"/>
  <c r="BG137" i="41"/>
  <c r="BE137" i="41"/>
  <c r="BC137" i="41"/>
  <c r="BA137" i="41"/>
  <c r="AY137" i="41"/>
  <c r="AW137" i="41"/>
  <c r="AU137" i="41"/>
  <c r="AS137" i="41"/>
  <c r="AQ137" i="41"/>
  <c r="AM137" i="41"/>
  <c r="BI134" i="41"/>
  <c r="BG134" i="41"/>
  <c r="BE134" i="41"/>
  <c r="BC134" i="41"/>
  <c r="BA134" i="41"/>
  <c r="AY134" i="41"/>
  <c r="AW134" i="41"/>
  <c r="AU134" i="41"/>
  <c r="AS134" i="41"/>
  <c r="AQ134" i="41"/>
  <c r="AM134" i="41"/>
  <c r="BI132" i="41"/>
  <c r="BG132" i="41"/>
  <c r="BE132" i="41"/>
  <c r="BC132" i="41"/>
  <c r="BA132" i="41"/>
  <c r="AY132" i="41"/>
  <c r="AW132" i="41"/>
  <c r="AU132" i="41"/>
  <c r="AS132" i="41"/>
  <c r="AQ132" i="41"/>
  <c r="AM132" i="41"/>
  <c r="BI130" i="41"/>
  <c r="BG130" i="41"/>
  <c r="BE130" i="41"/>
  <c r="BC130" i="41"/>
  <c r="BA130" i="41"/>
  <c r="AY130" i="41"/>
  <c r="AW130" i="41"/>
  <c r="AU130" i="41"/>
  <c r="AS130" i="41"/>
  <c r="AQ130" i="41"/>
  <c r="AM130" i="41"/>
  <c r="BI126" i="41"/>
  <c r="BG126" i="41"/>
  <c r="BE126" i="41"/>
  <c r="BC126" i="41"/>
  <c r="BA126" i="41"/>
  <c r="AY126" i="41"/>
  <c r="AW126" i="41"/>
  <c r="AU126" i="41"/>
  <c r="AS126" i="41"/>
  <c r="AQ126" i="41"/>
  <c r="AM126" i="41"/>
  <c r="BI124" i="41"/>
  <c r="BG124" i="41"/>
  <c r="BE124" i="41"/>
  <c r="BC124" i="41"/>
  <c r="BA124" i="41"/>
  <c r="AY124" i="41"/>
  <c r="AW124" i="41"/>
  <c r="AU124" i="41"/>
  <c r="AS124" i="41"/>
  <c r="AQ124" i="41"/>
  <c r="AM124" i="41"/>
  <c r="BI120" i="41"/>
  <c r="BG120" i="41"/>
  <c r="BE120" i="41"/>
  <c r="BC120" i="41"/>
  <c r="BA120" i="41"/>
  <c r="AY120" i="41"/>
  <c r="AW120" i="41"/>
  <c r="AS120" i="41"/>
  <c r="AQ120" i="41"/>
  <c r="AM120" i="41"/>
  <c r="BI193" i="41"/>
  <c r="BG193" i="41"/>
  <c r="BE193" i="41"/>
  <c r="BC193" i="41"/>
  <c r="BA193" i="41"/>
  <c r="AY193" i="41"/>
  <c r="AW193" i="41"/>
  <c r="AU193" i="41"/>
  <c r="AS193" i="41"/>
  <c r="AQ193" i="41"/>
  <c r="AM193" i="41"/>
  <c r="BI28" i="41"/>
  <c r="BG28" i="41"/>
  <c r="BE28" i="41"/>
  <c r="BC28" i="41"/>
  <c r="BA28" i="41"/>
  <c r="AY28" i="41"/>
  <c r="AW28" i="41"/>
  <c r="AU28" i="41"/>
  <c r="AS28" i="41"/>
  <c r="AQ28" i="41"/>
  <c r="AM28" i="41"/>
  <c r="BI171" i="41"/>
  <c r="BG171" i="41"/>
  <c r="BE171" i="41"/>
  <c r="BC171" i="41"/>
  <c r="BA171" i="41"/>
  <c r="AY171" i="41"/>
  <c r="AW171" i="41"/>
  <c r="AU171" i="41"/>
  <c r="AS171" i="41"/>
  <c r="AQ171" i="41"/>
  <c r="AM171" i="41"/>
  <c r="BJ293" i="40"/>
  <c r="BI293" i="40"/>
  <c r="BG293" i="40"/>
  <c r="BE293" i="40"/>
  <c r="BC293" i="40"/>
  <c r="BA293" i="40"/>
  <c r="AY293" i="40"/>
  <c r="AW293" i="40"/>
  <c r="AU293" i="40"/>
  <c r="AS293" i="40"/>
  <c r="AQ293" i="40"/>
  <c r="AO293" i="40"/>
  <c r="AM293" i="40"/>
  <c r="BJ278" i="40"/>
  <c r="BI278" i="40"/>
  <c r="BG278" i="40"/>
  <c r="BE278" i="40"/>
  <c r="BC278" i="40"/>
  <c r="BA278" i="40"/>
  <c r="AY278" i="40"/>
  <c r="AW278" i="40"/>
  <c r="AU278" i="40"/>
  <c r="AS278" i="40"/>
  <c r="AQ278" i="40"/>
  <c r="AO278" i="40"/>
  <c r="AM278" i="40"/>
  <c r="BJ309" i="40"/>
  <c r="BI309" i="40"/>
  <c r="BG309" i="40"/>
  <c r="BE309" i="40"/>
  <c r="BC309" i="40"/>
  <c r="BA309" i="40"/>
  <c r="AY309" i="40"/>
  <c r="AW309" i="40"/>
  <c r="AU309" i="40"/>
  <c r="AS309" i="40"/>
  <c r="AQ309" i="40"/>
  <c r="AO309" i="40"/>
  <c r="AM309" i="40"/>
  <c r="BJ67" i="40"/>
  <c r="BI67" i="40"/>
  <c r="BG67" i="40"/>
  <c r="BE67" i="40"/>
  <c r="BC67" i="40"/>
  <c r="BA67" i="40"/>
  <c r="AY67" i="40"/>
  <c r="AW67" i="40"/>
  <c r="AU67" i="40"/>
  <c r="AS67" i="40"/>
  <c r="AQ67" i="40"/>
  <c r="AO67" i="40"/>
  <c r="AM67" i="40"/>
  <c r="BH342" i="40" l="1"/>
  <c r="BI142" i="41" l="1"/>
  <c r="BI275" i="41"/>
  <c r="BG275" i="41"/>
  <c r="BE275" i="41"/>
  <c r="BC275" i="41"/>
  <c r="BA275" i="41"/>
  <c r="AY275" i="41"/>
  <c r="AW275" i="41"/>
  <c r="AU275" i="41"/>
  <c r="AS275" i="41"/>
  <c r="AQ275" i="41"/>
  <c r="AM275" i="41"/>
  <c r="BJ281" i="40"/>
  <c r="BI281" i="40"/>
  <c r="BG281" i="40"/>
  <c r="BE281" i="40"/>
  <c r="BC281" i="40"/>
  <c r="BA281" i="40"/>
  <c r="AY281" i="40"/>
  <c r="AW281" i="40"/>
  <c r="AU281" i="40"/>
  <c r="AS281" i="40"/>
  <c r="AQ281" i="40"/>
  <c r="AO281" i="40"/>
  <c r="AM281" i="40"/>
  <c r="BJ271" i="40"/>
  <c r="BI271" i="40"/>
  <c r="BG271" i="40"/>
  <c r="BE271" i="40"/>
  <c r="BC271" i="40"/>
  <c r="BA271" i="40"/>
  <c r="AY271" i="40"/>
  <c r="AW271" i="40"/>
  <c r="AU271" i="40"/>
  <c r="AS271" i="40"/>
  <c r="AQ271" i="40"/>
  <c r="AO271" i="40"/>
  <c r="AM271" i="40"/>
  <c r="BJ262" i="40"/>
  <c r="BI262" i="40"/>
  <c r="BG262" i="40"/>
  <c r="BE262" i="40"/>
  <c r="BC262" i="40"/>
  <c r="BA262" i="40"/>
  <c r="AY262" i="40"/>
  <c r="AW262" i="40"/>
  <c r="AU262" i="40"/>
  <c r="AS262" i="40"/>
  <c r="AQ262" i="40"/>
  <c r="AO262" i="40"/>
  <c r="AM262" i="40"/>
  <c r="BJ121" i="40"/>
  <c r="BI121" i="40"/>
  <c r="BG121" i="40"/>
  <c r="BE121" i="40"/>
  <c r="BC121" i="40"/>
  <c r="BA121" i="40"/>
  <c r="AY121" i="40"/>
  <c r="AW121" i="40"/>
  <c r="AU121" i="40"/>
  <c r="AS121" i="40"/>
  <c r="AQ121" i="40"/>
  <c r="AO121" i="40"/>
  <c r="AM121" i="40"/>
  <c r="BJ8" i="40"/>
  <c r="BJ10" i="40"/>
  <c r="BJ11" i="40"/>
  <c r="BJ12" i="40"/>
  <c r="BJ13" i="40"/>
  <c r="BJ16" i="40"/>
  <c r="BJ18" i="40"/>
  <c r="BJ19" i="40"/>
  <c r="BJ21" i="40"/>
  <c r="BJ25" i="40"/>
  <c r="BJ26" i="40"/>
  <c r="BJ27" i="40"/>
  <c r="BJ31" i="40"/>
  <c r="BJ32" i="40"/>
  <c r="BJ34" i="40"/>
  <c r="BJ36" i="40"/>
  <c r="BJ38" i="40"/>
  <c r="BJ39" i="40"/>
  <c r="BJ40" i="40"/>
  <c r="BJ41" i="40"/>
  <c r="BJ42" i="40"/>
  <c r="BJ43" i="40"/>
  <c r="BJ44" i="40"/>
  <c r="BJ45" i="40"/>
  <c r="BJ46" i="40"/>
  <c r="BJ47" i="40"/>
  <c r="BJ48" i="40"/>
  <c r="BJ49" i="40"/>
  <c r="BJ51" i="40"/>
  <c r="BJ52" i="40"/>
  <c r="BJ53" i="40"/>
  <c r="BJ54" i="40"/>
  <c r="BJ57" i="40"/>
  <c r="BJ58" i="40"/>
  <c r="BJ59" i="40"/>
  <c r="BJ60" i="40"/>
  <c r="BJ61" i="40"/>
  <c r="BJ62" i="40"/>
  <c r="BJ63" i="40"/>
  <c r="BJ64" i="40"/>
  <c r="BJ65" i="40"/>
  <c r="BJ68" i="40"/>
  <c r="BJ69" i="40"/>
  <c r="BJ70" i="40"/>
  <c r="BJ72" i="40"/>
  <c r="BJ73" i="40"/>
  <c r="BJ74" i="40"/>
  <c r="BJ75" i="40"/>
  <c r="BJ76" i="40"/>
  <c r="BJ78" i="40"/>
  <c r="BJ79" i="40"/>
  <c r="BJ80" i="40"/>
  <c r="BJ81" i="40"/>
  <c r="BJ83" i="40"/>
  <c r="BJ84" i="40"/>
  <c r="BJ87" i="40"/>
  <c r="BJ89" i="40"/>
  <c r="BJ90" i="40"/>
  <c r="BJ91" i="40"/>
  <c r="BJ92" i="40"/>
  <c r="BJ93" i="40"/>
  <c r="BJ94" i="40"/>
  <c r="BJ97" i="40"/>
  <c r="BJ99" i="40"/>
  <c r="BJ100" i="40"/>
  <c r="BJ101" i="40"/>
  <c r="BJ102" i="40"/>
  <c r="BJ103" i="40"/>
  <c r="BJ104" i="40"/>
  <c r="BJ106" i="40"/>
  <c r="BJ107" i="40"/>
  <c r="BJ108" i="40"/>
  <c r="BJ109" i="40"/>
  <c r="BJ110" i="40"/>
  <c r="BJ112" i="40"/>
  <c r="BJ113" i="40"/>
  <c r="BJ114" i="40"/>
  <c r="BJ115" i="40"/>
  <c r="BJ116" i="40"/>
  <c r="BJ119" i="40"/>
  <c r="BJ122" i="40"/>
  <c r="BJ124" i="40"/>
  <c r="BJ125" i="40"/>
  <c r="BJ126" i="40"/>
  <c r="BJ127" i="40"/>
  <c r="BJ128" i="40"/>
  <c r="BJ129" i="40"/>
  <c r="BJ130" i="40"/>
  <c r="BJ131" i="40"/>
  <c r="BJ133" i="40"/>
  <c r="BJ134" i="40"/>
  <c r="BJ135" i="40"/>
  <c r="BJ136" i="40"/>
  <c r="BJ137" i="40"/>
  <c r="BJ138" i="40"/>
  <c r="BJ141" i="40"/>
  <c r="BJ144" i="40"/>
  <c r="BJ145" i="40"/>
  <c r="BJ146" i="40"/>
  <c r="BJ147" i="40"/>
  <c r="BJ148" i="40"/>
  <c r="BJ149" i="40"/>
  <c r="BJ150" i="40"/>
  <c r="BJ151" i="40"/>
  <c r="BJ152" i="40"/>
  <c r="BJ154" i="40"/>
  <c r="BJ157" i="40"/>
  <c r="BJ158" i="40"/>
  <c r="BJ164" i="40"/>
  <c r="BJ165" i="40"/>
  <c r="BJ166" i="40"/>
  <c r="BJ167" i="40"/>
  <c r="BJ168" i="40"/>
  <c r="BJ169" i="40"/>
  <c r="BJ171" i="40"/>
  <c r="BJ175" i="40"/>
  <c r="BJ176" i="40"/>
  <c r="BJ177" i="40"/>
  <c r="BJ178" i="40"/>
  <c r="BJ181" i="40"/>
  <c r="BJ182" i="40"/>
  <c r="BJ184" i="40"/>
  <c r="BJ188" i="40"/>
  <c r="BJ190" i="40"/>
  <c r="BJ191" i="40"/>
  <c r="BJ194" i="40"/>
  <c r="BJ195" i="40"/>
  <c r="BJ196" i="40"/>
  <c r="BJ197" i="40"/>
  <c r="BJ200" i="40"/>
  <c r="BJ201" i="40"/>
  <c r="BJ202" i="40"/>
  <c r="BJ207" i="40"/>
  <c r="BJ208" i="40"/>
  <c r="BJ209" i="40"/>
  <c r="BJ210" i="40"/>
  <c r="BJ211" i="40"/>
  <c r="BJ212" i="40"/>
  <c r="BJ213" i="40"/>
  <c r="BJ214" i="40"/>
  <c r="BJ215" i="40"/>
  <c r="BJ216" i="40"/>
  <c r="BJ217" i="40"/>
  <c r="BJ218" i="40"/>
  <c r="BJ219" i="40"/>
  <c r="BJ220" i="40"/>
  <c r="BJ221" i="40"/>
  <c r="BJ222" i="40"/>
  <c r="BJ223" i="40"/>
  <c r="BJ224" i="40"/>
  <c r="BJ225" i="40"/>
  <c r="BJ226" i="40"/>
  <c r="BJ228" i="40"/>
  <c r="BJ229" i="40"/>
  <c r="BJ230" i="40"/>
  <c r="BJ231" i="40"/>
  <c r="BJ232" i="40"/>
  <c r="BJ233" i="40"/>
  <c r="BJ234" i="40"/>
  <c r="BJ236" i="40"/>
  <c r="BJ237" i="40"/>
  <c r="BJ239" i="40"/>
  <c r="BJ240" i="40"/>
  <c r="BJ241" i="40"/>
  <c r="BJ242" i="40"/>
  <c r="BJ243" i="40"/>
  <c r="BJ244" i="40"/>
  <c r="BJ245" i="40"/>
  <c r="BJ246" i="40"/>
  <c r="BJ247" i="40"/>
  <c r="BJ248" i="40"/>
  <c r="BJ249" i="40"/>
  <c r="BJ250" i="40"/>
  <c r="BJ251" i="40"/>
  <c r="BJ252" i="40"/>
  <c r="BJ253" i="40"/>
  <c r="BJ254" i="40"/>
  <c r="BJ255" i="40"/>
  <c r="BJ256" i="40"/>
  <c r="BJ257" i="40"/>
  <c r="BJ260" i="40"/>
  <c r="BJ263" i="40"/>
  <c r="BJ264" i="40"/>
  <c r="BJ265" i="40"/>
  <c r="BJ268" i="40"/>
  <c r="BJ269" i="40"/>
  <c r="BJ270" i="40"/>
  <c r="BJ272" i="40"/>
  <c r="BJ273" i="40"/>
  <c r="BJ274" i="40"/>
  <c r="BJ275" i="40"/>
  <c r="BJ276" i="40"/>
  <c r="BJ277" i="40"/>
  <c r="BJ279" i="40"/>
  <c r="BJ280" i="40"/>
  <c r="BJ283" i="40"/>
  <c r="BJ286" i="40"/>
  <c r="BJ287" i="40"/>
  <c r="BJ288" i="40"/>
  <c r="BJ289" i="40"/>
  <c r="BJ291" i="40"/>
  <c r="BJ294" i="40"/>
  <c r="BJ295" i="40"/>
  <c r="BJ296" i="40"/>
  <c r="BJ298" i="40"/>
  <c r="BJ299" i="40"/>
  <c r="BJ300" i="40"/>
  <c r="BJ301" i="40"/>
  <c r="BJ302" i="40"/>
  <c r="BJ305" i="40"/>
  <c r="BJ306" i="40"/>
  <c r="BJ307" i="40"/>
  <c r="BJ308" i="40"/>
  <c r="BJ310" i="40"/>
  <c r="BJ311" i="40"/>
  <c r="BJ312" i="40"/>
  <c r="BJ313" i="40"/>
  <c r="BJ314" i="40"/>
  <c r="BJ315" i="40"/>
  <c r="BJ316" i="40"/>
  <c r="BJ317" i="40"/>
  <c r="BJ318" i="40"/>
  <c r="BJ320" i="40"/>
  <c r="BJ321" i="40"/>
  <c r="BJ322" i="40"/>
  <c r="BJ323" i="40"/>
  <c r="BJ324" i="40"/>
  <c r="BJ325" i="40"/>
  <c r="BJ327" i="40"/>
  <c r="BJ328" i="40"/>
  <c r="BJ329" i="40"/>
  <c r="BJ330" i="40"/>
  <c r="BJ331" i="40"/>
  <c r="BJ332" i="40"/>
  <c r="BJ333" i="40"/>
  <c r="BJ334" i="40"/>
  <c r="BJ335" i="40"/>
  <c r="BJ336" i="40"/>
  <c r="BJ337" i="40"/>
  <c r="BJ338" i="40"/>
  <c r="BJ339" i="40"/>
  <c r="BJ24" i="40"/>
  <c r="BJ56" i="40"/>
  <c r="BJ85" i="40"/>
  <c r="BJ117" i="40"/>
  <c r="BJ153" i="40"/>
  <c r="BJ227" i="40"/>
  <c r="BJ319" i="40"/>
  <c r="BG304" i="40"/>
  <c r="BE304" i="40"/>
  <c r="BC304" i="40"/>
  <c r="BA304" i="40"/>
  <c r="AY304" i="40"/>
  <c r="AW304" i="40"/>
  <c r="AU304" i="40"/>
  <c r="AS304" i="40"/>
  <c r="AQ304" i="40"/>
  <c r="AO304" i="40"/>
  <c r="AM304" i="40"/>
  <c r="BF342" i="40"/>
  <c r="BG267" i="40"/>
  <c r="BE267" i="40"/>
  <c r="BC267" i="40"/>
  <c r="BA267" i="40"/>
  <c r="AY267" i="40"/>
  <c r="AW267" i="40"/>
  <c r="AU267" i="40"/>
  <c r="AS267" i="40"/>
  <c r="AQ267" i="40"/>
  <c r="AO267" i="40"/>
  <c r="AM267" i="40"/>
  <c r="BG66" i="40"/>
  <c r="BE66" i="40"/>
  <c r="BC66" i="40"/>
  <c r="BA66" i="40"/>
  <c r="AY66" i="40"/>
  <c r="AW66" i="40"/>
  <c r="AU66" i="40"/>
  <c r="AS66" i="40"/>
  <c r="AQ66" i="40"/>
  <c r="AO66" i="40"/>
  <c r="AM66" i="40"/>
  <c r="BF341" i="40"/>
  <c r="BJ5" i="40"/>
  <c r="BJ105" i="40"/>
  <c r="BJ183" i="40"/>
  <c r="BJ206" i="40"/>
  <c r="BJ266" i="40"/>
  <c r="BJ284" i="40"/>
  <c r="BJ6" i="40"/>
  <c r="BJ28" i="40"/>
  <c r="BJ186" i="40"/>
  <c r="BJ205" i="40"/>
  <c r="BJ162" i="40"/>
  <c r="BJ238" i="40"/>
  <c r="BJ66" i="40" l="1"/>
  <c r="BI66" i="40"/>
  <c r="BI304" i="40"/>
  <c r="BJ304" i="40"/>
  <c r="BH341" i="40"/>
  <c r="BI267" i="40"/>
  <c r="BJ267" i="40"/>
  <c r="BJ180" i="40"/>
  <c r="BJ132" i="40"/>
  <c r="BJ199" i="40"/>
  <c r="BJ118" i="40"/>
  <c r="BJ86" i="40"/>
  <c r="BJ198" i="40"/>
  <c r="BJ35" i="40"/>
  <c r="BJ282" i="40"/>
  <c r="BJ261" i="40"/>
  <c r="BJ33" i="40"/>
  <c r="BJ17" i="40"/>
  <c r="BJ98" i="40"/>
  <c r="BJ82" i="40"/>
  <c r="BJ258" i="40"/>
  <c r="BJ15" i="40"/>
  <c r="BJ193" i="40"/>
  <c r="BJ161" i="40"/>
  <c r="BJ96" i="40"/>
  <c r="BJ30" i="40"/>
  <c r="BJ14" i="40"/>
  <c r="BJ192" i="40"/>
  <c r="BJ160" i="40"/>
  <c r="BJ111" i="40"/>
  <c r="BJ95" i="40"/>
  <c r="BJ29" i="40"/>
  <c r="BJ292" i="40"/>
  <c r="BJ159" i="40"/>
  <c r="BJ143" i="40"/>
  <c r="BJ297" i="40"/>
  <c r="BJ259" i="40"/>
  <c r="BJ179" i="40"/>
  <c r="BJ77" i="40"/>
  <c r="BJ173" i="40"/>
  <c r="BJ204" i="40"/>
  <c r="BJ172" i="40"/>
  <c r="BJ156" i="40"/>
  <c r="BJ140" i="40"/>
  <c r="BJ9" i="40"/>
  <c r="BJ189" i="40"/>
  <c r="BJ235" i="40"/>
  <c r="BJ203" i="40"/>
  <c r="BJ187" i="40"/>
  <c r="BJ155" i="40"/>
  <c r="BJ139" i="40"/>
  <c r="BJ123" i="40"/>
  <c r="BJ170" i="40"/>
  <c r="BJ55" i="40"/>
  <c r="BJ23" i="40"/>
  <c r="BJ7" i="40"/>
  <c r="BJ142" i="40"/>
  <c r="BJ326" i="40"/>
  <c r="BJ174" i="40"/>
  <c r="BJ50" i="40"/>
  <c r="BJ303" i="40"/>
  <c r="BJ185" i="40"/>
  <c r="BJ120" i="40"/>
  <c r="BJ88" i="40"/>
  <c r="BJ22" i="40"/>
  <c r="BJ290" i="40"/>
  <c r="BJ163" i="40"/>
  <c r="BJ285" i="40"/>
  <c r="BJ71" i="40"/>
  <c r="BJ37" i="40"/>
  <c r="BJ20" i="40"/>
  <c r="BJ4" i="40"/>
  <c r="BJ3" i="40"/>
  <c r="BI332" i="40"/>
  <c r="BG332" i="40"/>
  <c r="BE332" i="40"/>
  <c r="BC332" i="40"/>
  <c r="BA332" i="40"/>
  <c r="AY332" i="40"/>
  <c r="AW332" i="40"/>
  <c r="AU332" i="40"/>
  <c r="AS332" i="40"/>
  <c r="AQ332" i="40"/>
  <c r="AO332" i="40"/>
  <c r="AM332" i="40"/>
  <c r="BI326" i="40"/>
  <c r="BG326" i="40"/>
  <c r="BE326" i="40"/>
  <c r="BC326" i="40"/>
  <c r="BA326" i="40"/>
  <c r="AY326" i="40"/>
  <c r="AW326" i="40"/>
  <c r="AU326" i="40"/>
  <c r="AS326" i="40"/>
  <c r="AQ326" i="40"/>
  <c r="AO326" i="40"/>
  <c r="AM326" i="40"/>
  <c r="AQ163" i="41"/>
  <c r="BI348" i="41" l="1"/>
  <c r="BG348" i="41"/>
  <c r="BE348" i="41"/>
  <c r="BA348" i="41"/>
  <c r="AY348" i="41"/>
  <c r="AW348" i="41"/>
  <c r="AU348" i="41"/>
  <c r="AS348" i="41"/>
  <c r="AQ348" i="41"/>
  <c r="AM348" i="41"/>
  <c r="BI347" i="41"/>
  <c r="BG347" i="41"/>
  <c r="BE347" i="41"/>
  <c r="BC347" i="41"/>
  <c r="BA347" i="41"/>
  <c r="AY347" i="41"/>
  <c r="AW347" i="41"/>
  <c r="AU347" i="41"/>
  <c r="AS347" i="41"/>
  <c r="AQ347" i="41"/>
  <c r="AM347" i="41"/>
  <c r="BI346" i="41"/>
  <c r="BG346" i="41"/>
  <c r="BE346" i="41"/>
  <c r="BC346" i="41"/>
  <c r="BA346" i="41"/>
  <c r="AY346" i="41"/>
  <c r="AW346" i="41"/>
  <c r="AU346" i="41"/>
  <c r="AS346" i="41"/>
  <c r="AQ346" i="41"/>
  <c r="AM346" i="41"/>
  <c r="BI345" i="41"/>
  <c r="BG345" i="41"/>
  <c r="BE345" i="41"/>
  <c r="BC345" i="41"/>
  <c r="BA345" i="41"/>
  <c r="AY345" i="41"/>
  <c r="AW345" i="41"/>
  <c r="AU345" i="41"/>
  <c r="AS345" i="41"/>
  <c r="AQ345" i="41"/>
  <c r="AM345" i="41"/>
  <c r="BI344" i="41"/>
  <c r="BG344" i="41"/>
  <c r="BE344" i="41"/>
  <c r="BC344" i="41"/>
  <c r="BA344" i="41"/>
  <c r="AY344" i="41"/>
  <c r="AW344" i="41"/>
  <c r="AU344" i="41"/>
  <c r="AS344" i="41"/>
  <c r="AQ344" i="41"/>
  <c r="AM344" i="41"/>
  <c r="BI343" i="41"/>
  <c r="BG343" i="41"/>
  <c r="BE343" i="41"/>
  <c r="BC343" i="41"/>
  <c r="BA343" i="41"/>
  <c r="AY343" i="41"/>
  <c r="AW343" i="41"/>
  <c r="AU343" i="41"/>
  <c r="AS343" i="41"/>
  <c r="AQ343" i="41"/>
  <c r="AM343" i="41"/>
  <c r="BI342" i="41"/>
  <c r="BG342" i="41"/>
  <c r="BE342" i="41"/>
  <c r="BC342" i="41"/>
  <c r="BA342" i="41"/>
  <c r="AY342" i="41"/>
  <c r="AW342" i="41"/>
  <c r="AU342" i="41"/>
  <c r="AS342" i="41"/>
  <c r="AQ342" i="41"/>
  <c r="AM342" i="41"/>
  <c r="BI341" i="41"/>
  <c r="BG341" i="41"/>
  <c r="BE341" i="41"/>
  <c r="BC341" i="41"/>
  <c r="BA341" i="41"/>
  <c r="AY341" i="41"/>
  <c r="AW341" i="41"/>
  <c r="AU341" i="41"/>
  <c r="AS341" i="41"/>
  <c r="AQ341" i="41"/>
  <c r="AM341" i="41"/>
  <c r="BI340" i="41"/>
  <c r="BG340" i="41"/>
  <c r="BE340" i="41"/>
  <c r="BC340" i="41"/>
  <c r="BA340" i="41"/>
  <c r="AY340" i="41"/>
  <c r="AW340" i="41"/>
  <c r="AU340" i="41"/>
  <c r="AS340" i="41"/>
  <c r="AQ340" i="41"/>
  <c r="AM340" i="41"/>
  <c r="BI339" i="41"/>
  <c r="BG339" i="41"/>
  <c r="BE339" i="41"/>
  <c r="BC339" i="41"/>
  <c r="BA339" i="41"/>
  <c r="AY339" i="41"/>
  <c r="AW339" i="41"/>
  <c r="AU339" i="41"/>
  <c r="AS339" i="41"/>
  <c r="AQ339" i="41"/>
  <c r="AM339" i="41"/>
  <c r="BI338" i="41"/>
  <c r="BG338" i="41"/>
  <c r="BE338" i="41"/>
  <c r="BC338" i="41"/>
  <c r="BA338" i="41"/>
  <c r="AY338" i="41"/>
  <c r="AW338" i="41"/>
  <c r="AU338" i="41"/>
  <c r="AS338" i="41"/>
  <c r="AQ338" i="41"/>
  <c r="AM338" i="41"/>
  <c r="BI337" i="41"/>
  <c r="BG337" i="41"/>
  <c r="BE337" i="41"/>
  <c r="BC337" i="41"/>
  <c r="BA337" i="41"/>
  <c r="AY337" i="41"/>
  <c r="AW337" i="41"/>
  <c r="AU337" i="41"/>
  <c r="AS337" i="41"/>
  <c r="AQ337" i="41"/>
  <c r="AM337" i="41"/>
  <c r="BI336" i="41"/>
  <c r="BG336" i="41"/>
  <c r="BE336" i="41"/>
  <c r="BC336" i="41"/>
  <c r="BA336" i="41"/>
  <c r="AY336" i="41"/>
  <c r="AW336" i="41"/>
  <c r="AU336" i="41"/>
  <c r="AS336" i="41"/>
  <c r="AQ336" i="41"/>
  <c r="AM336" i="41"/>
  <c r="BI335" i="41"/>
  <c r="BG335" i="41"/>
  <c r="BE335" i="41"/>
  <c r="BC335" i="41"/>
  <c r="BA335" i="41"/>
  <c r="AY335" i="41"/>
  <c r="AW335" i="41"/>
  <c r="AU335" i="41"/>
  <c r="AS335" i="41"/>
  <c r="AQ335" i="41"/>
  <c r="AM335" i="41"/>
  <c r="BI334" i="41"/>
  <c r="BG334" i="41"/>
  <c r="BE334" i="41"/>
  <c r="BC334" i="41"/>
  <c r="BA334" i="41"/>
  <c r="AY334" i="41"/>
  <c r="AW334" i="41"/>
  <c r="AU334" i="41"/>
  <c r="AS334" i="41"/>
  <c r="AQ334" i="41"/>
  <c r="AM334" i="41"/>
  <c r="BI333" i="41"/>
  <c r="BG333" i="41"/>
  <c r="BE333" i="41"/>
  <c r="BC333" i="41"/>
  <c r="BA333" i="41"/>
  <c r="AY333" i="41"/>
  <c r="AW333" i="41"/>
  <c r="AU333" i="41"/>
  <c r="AS333" i="41"/>
  <c r="AQ333" i="41"/>
  <c r="AM333" i="41"/>
  <c r="BI332" i="41"/>
  <c r="BG332" i="41"/>
  <c r="BE332" i="41"/>
  <c r="BC332" i="41"/>
  <c r="BA332" i="41"/>
  <c r="AY332" i="41"/>
  <c r="AW332" i="41"/>
  <c r="AU332" i="41"/>
  <c r="AS332" i="41"/>
  <c r="AQ332" i="41"/>
  <c r="AM332" i="41"/>
  <c r="BI331" i="41"/>
  <c r="BG331" i="41"/>
  <c r="BE331" i="41"/>
  <c r="BC331" i="41"/>
  <c r="BA331" i="41"/>
  <c r="AY331" i="41"/>
  <c r="AW331" i="41"/>
  <c r="AU331" i="41"/>
  <c r="AS331" i="41"/>
  <c r="AQ331" i="41"/>
  <c r="AM331" i="41"/>
  <c r="BI330" i="41"/>
  <c r="BG330" i="41"/>
  <c r="BE330" i="41"/>
  <c r="BC330" i="41"/>
  <c r="BA330" i="41"/>
  <c r="AY330" i="41"/>
  <c r="AW330" i="41"/>
  <c r="AU330" i="41"/>
  <c r="AS330" i="41"/>
  <c r="AQ330" i="41"/>
  <c r="AM330" i="41"/>
  <c r="BI329" i="41"/>
  <c r="BG329" i="41"/>
  <c r="BE329" i="41"/>
  <c r="BC329" i="41"/>
  <c r="BA329" i="41"/>
  <c r="AY329" i="41"/>
  <c r="AW329" i="41"/>
  <c r="AU329" i="41"/>
  <c r="AS329" i="41"/>
  <c r="AQ329" i="41"/>
  <c r="AM329" i="41"/>
  <c r="BI328" i="41"/>
  <c r="BG328" i="41"/>
  <c r="BE328" i="41"/>
  <c r="BC328" i="41"/>
  <c r="BA328" i="41"/>
  <c r="AY328" i="41"/>
  <c r="AW328" i="41"/>
  <c r="AU328" i="41"/>
  <c r="AS328" i="41"/>
  <c r="AQ328" i="41"/>
  <c r="AM328" i="41"/>
  <c r="BI327" i="41"/>
  <c r="BG327" i="41"/>
  <c r="BE327" i="41"/>
  <c r="BC327" i="41"/>
  <c r="BA327" i="41"/>
  <c r="AY327" i="41"/>
  <c r="AW327" i="41"/>
  <c r="AU327" i="41"/>
  <c r="AS327" i="41"/>
  <c r="AQ327" i="41"/>
  <c r="AM327" i="41"/>
  <c r="BI326" i="41"/>
  <c r="BG326" i="41"/>
  <c r="BE326" i="41"/>
  <c r="BC326" i="41"/>
  <c r="BA326" i="41"/>
  <c r="AY326" i="41"/>
  <c r="AW326" i="41"/>
  <c r="AU326" i="41"/>
  <c r="AS326" i="41"/>
  <c r="AQ326" i="41"/>
  <c r="AM326" i="41"/>
  <c r="BI325" i="41"/>
  <c r="BG325" i="41"/>
  <c r="BE325" i="41"/>
  <c r="BC325" i="41"/>
  <c r="BA325" i="41"/>
  <c r="AY325" i="41"/>
  <c r="AW325" i="41"/>
  <c r="AU325" i="41"/>
  <c r="AS325" i="41"/>
  <c r="AQ325" i="41"/>
  <c r="AM325" i="41"/>
  <c r="BI324" i="41"/>
  <c r="BG324" i="41"/>
  <c r="BE324" i="41"/>
  <c r="BC324" i="41"/>
  <c r="BA324" i="41"/>
  <c r="AY324" i="41"/>
  <c r="AW324" i="41"/>
  <c r="AU324" i="41"/>
  <c r="AS324" i="41"/>
  <c r="AQ324" i="41"/>
  <c r="AM324" i="41"/>
  <c r="BI323" i="41"/>
  <c r="BG323" i="41"/>
  <c r="BE323" i="41"/>
  <c r="BC323" i="41"/>
  <c r="BA323" i="41"/>
  <c r="AY323" i="41"/>
  <c r="AW323" i="41"/>
  <c r="AU323" i="41"/>
  <c r="AS323" i="41"/>
  <c r="AQ323" i="41"/>
  <c r="AM323" i="41"/>
  <c r="BI322" i="41"/>
  <c r="BG322" i="41"/>
  <c r="BE322" i="41"/>
  <c r="BC322" i="41"/>
  <c r="BA322" i="41"/>
  <c r="AY322" i="41"/>
  <c r="AW322" i="41"/>
  <c r="AU322" i="41"/>
  <c r="AS322" i="41"/>
  <c r="AQ322" i="41"/>
  <c r="AM322" i="41"/>
  <c r="BI321" i="41"/>
  <c r="BG321" i="41"/>
  <c r="BE321" i="41"/>
  <c r="BC321" i="41"/>
  <c r="BA321" i="41"/>
  <c r="AY321" i="41"/>
  <c r="AW321" i="41"/>
  <c r="AU321" i="41"/>
  <c r="AS321" i="41"/>
  <c r="AQ321" i="41"/>
  <c r="AM321" i="41"/>
  <c r="BI320" i="41"/>
  <c r="BG320" i="41"/>
  <c r="BE320" i="41"/>
  <c r="BC320" i="41"/>
  <c r="BA320" i="41"/>
  <c r="AY320" i="41"/>
  <c r="AW320" i="41"/>
  <c r="AU320" i="41"/>
  <c r="AS320" i="41"/>
  <c r="AQ320" i="41"/>
  <c r="AM320" i="41"/>
  <c r="BI319" i="41"/>
  <c r="BG319" i="41"/>
  <c r="BE319" i="41"/>
  <c r="BC319" i="41"/>
  <c r="BA319" i="41"/>
  <c r="AY319" i="41"/>
  <c r="AW319" i="41"/>
  <c r="AU319" i="41"/>
  <c r="AS319" i="41"/>
  <c r="AQ319" i="41"/>
  <c r="AM319" i="41"/>
  <c r="BI318" i="41"/>
  <c r="BG318" i="41"/>
  <c r="BE318" i="41"/>
  <c r="BC318" i="41"/>
  <c r="BA318" i="41"/>
  <c r="AY318" i="41"/>
  <c r="AW318" i="41"/>
  <c r="AU318" i="41"/>
  <c r="AS318" i="41"/>
  <c r="AQ318" i="41"/>
  <c r="AM318" i="41"/>
  <c r="BI317" i="41"/>
  <c r="BG317" i="41"/>
  <c r="BE317" i="41"/>
  <c r="BC317" i="41"/>
  <c r="BA317" i="41"/>
  <c r="AY317" i="41"/>
  <c r="AW317" i="41"/>
  <c r="AU317" i="41"/>
  <c r="AS317" i="41"/>
  <c r="AQ317" i="41"/>
  <c r="AM317" i="41"/>
  <c r="BI316" i="41"/>
  <c r="BG316" i="41"/>
  <c r="BE316" i="41"/>
  <c r="BC316" i="41"/>
  <c r="BA316" i="41"/>
  <c r="AY316" i="41"/>
  <c r="AW316" i="41"/>
  <c r="AU316" i="41"/>
  <c r="AS316" i="41"/>
  <c r="AQ316" i="41"/>
  <c r="AM316" i="41"/>
  <c r="BI315" i="41"/>
  <c r="BG315" i="41"/>
  <c r="BE315" i="41"/>
  <c r="BC315" i="41"/>
  <c r="BA315" i="41"/>
  <c r="AY315" i="41"/>
  <c r="AW315" i="41"/>
  <c r="AU315" i="41"/>
  <c r="AS315" i="41"/>
  <c r="AQ315" i="41"/>
  <c r="AM315" i="41"/>
  <c r="BI314" i="41"/>
  <c r="BG314" i="41"/>
  <c r="BE314" i="41"/>
  <c r="BC314" i="41"/>
  <c r="BA314" i="41"/>
  <c r="AY314" i="41"/>
  <c r="AW314" i="41"/>
  <c r="AU314" i="41"/>
  <c r="AS314" i="41"/>
  <c r="AQ314" i="41"/>
  <c r="AM314" i="41"/>
  <c r="BI313" i="41"/>
  <c r="BG313" i="41"/>
  <c r="BE313" i="41"/>
  <c r="BC313" i="41"/>
  <c r="BA313" i="41"/>
  <c r="AY313" i="41"/>
  <c r="AW313" i="41"/>
  <c r="AU313" i="41"/>
  <c r="AS313" i="41"/>
  <c r="AQ313" i="41"/>
  <c r="AM313" i="41"/>
  <c r="BI312" i="41"/>
  <c r="BG312" i="41"/>
  <c r="BE312" i="41"/>
  <c r="BC312" i="41"/>
  <c r="BA312" i="41"/>
  <c r="AY312" i="41"/>
  <c r="AW312" i="41"/>
  <c r="AU312" i="41"/>
  <c r="AS312" i="41"/>
  <c r="AQ312" i="41"/>
  <c r="AM312" i="41"/>
  <c r="BI311" i="41"/>
  <c r="BG311" i="41"/>
  <c r="BE311" i="41"/>
  <c r="BC311" i="41"/>
  <c r="BA311" i="41"/>
  <c r="AY311" i="41"/>
  <c r="AW311" i="41"/>
  <c r="AU311" i="41"/>
  <c r="AS311" i="41"/>
  <c r="AQ311" i="41"/>
  <c r="AM311" i="41"/>
  <c r="BI310" i="41"/>
  <c r="BG310" i="41"/>
  <c r="BE310" i="41"/>
  <c r="BC310" i="41"/>
  <c r="BA310" i="41"/>
  <c r="AY310" i="41"/>
  <c r="AW310" i="41"/>
  <c r="AU310" i="41"/>
  <c r="AS310" i="41"/>
  <c r="AQ310" i="41"/>
  <c r="AM310" i="41"/>
  <c r="BI309" i="41"/>
  <c r="BG309" i="41"/>
  <c r="BE309" i="41"/>
  <c r="BC309" i="41"/>
  <c r="BA309" i="41"/>
  <c r="AY309" i="41"/>
  <c r="AW309" i="41"/>
  <c r="AU309" i="41"/>
  <c r="AS309" i="41"/>
  <c r="AQ309" i="41"/>
  <c r="AM309" i="41"/>
  <c r="BI308" i="41"/>
  <c r="BG308" i="41"/>
  <c r="BE308" i="41"/>
  <c r="BC308" i="41"/>
  <c r="BA308" i="41"/>
  <c r="AY308" i="41"/>
  <c r="AW308" i="41"/>
  <c r="AU308" i="41"/>
  <c r="AS308" i="41"/>
  <c r="AQ308" i="41"/>
  <c r="AM308" i="41"/>
  <c r="BI307" i="41"/>
  <c r="BG307" i="41"/>
  <c r="BE307" i="41"/>
  <c r="BC307" i="41"/>
  <c r="BA307" i="41"/>
  <c r="AY307" i="41"/>
  <c r="AW307" i="41"/>
  <c r="AU307" i="41"/>
  <c r="AS307" i="41"/>
  <c r="AQ307" i="41"/>
  <c r="AM307" i="41"/>
  <c r="BI305" i="41"/>
  <c r="BG305" i="41"/>
  <c r="BE305" i="41"/>
  <c r="BC305" i="41"/>
  <c r="BA305" i="41"/>
  <c r="AY305" i="41"/>
  <c r="AW305" i="41"/>
  <c r="AU305" i="41"/>
  <c r="AS305" i="41"/>
  <c r="AQ305" i="41"/>
  <c r="AM305" i="41"/>
  <c r="BI304" i="41"/>
  <c r="BG304" i="41"/>
  <c r="BE304" i="41"/>
  <c r="BC304" i="41"/>
  <c r="BA304" i="41"/>
  <c r="AY304" i="41"/>
  <c r="AW304" i="41"/>
  <c r="AU304" i="41"/>
  <c r="AS304" i="41"/>
  <c r="AQ304" i="41"/>
  <c r="AM304" i="41"/>
  <c r="BI303" i="41"/>
  <c r="BG303" i="41"/>
  <c r="BE303" i="41"/>
  <c r="BC303" i="41"/>
  <c r="BA303" i="41"/>
  <c r="AY303" i="41"/>
  <c r="AW303" i="41"/>
  <c r="AU303" i="41"/>
  <c r="AS303" i="41"/>
  <c r="AQ303" i="41"/>
  <c r="AM303" i="41"/>
  <c r="BI302" i="41"/>
  <c r="BG302" i="41"/>
  <c r="BE302" i="41"/>
  <c r="BC302" i="41"/>
  <c r="BA302" i="41"/>
  <c r="AY302" i="41"/>
  <c r="AW302" i="41"/>
  <c r="AU302" i="41"/>
  <c r="AS302" i="41"/>
  <c r="AQ302" i="41"/>
  <c r="AM302" i="41"/>
  <c r="BI301" i="41"/>
  <c r="BG301" i="41"/>
  <c r="BE301" i="41"/>
  <c r="BC301" i="41"/>
  <c r="BA301" i="41"/>
  <c r="AY301" i="41"/>
  <c r="AW301" i="41"/>
  <c r="AU301" i="41"/>
  <c r="AS301" i="41"/>
  <c r="AQ301" i="41"/>
  <c r="AM301" i="41"/>
  <c r="BI300" i="41"/>
  <c r="BG300" i="41"/>
  <c r="BE300" i="41"/>
  <c r="BC300" i="41"/>
  <c r="BA300" i="41"/>
  <c r="AY300" i="41"/>
  <c r="AW300" i="41"/>
  <c r="AU300" i="41"/>
  <c r="AS300" i="41"/>
  <c r="AQ300" i="41"/>
  <c r="AM300" i="41"/>
  <c r="BI299" i="41"/>
  <c r="BG299" i="41"/>
  <c r="BE299" i="41"/>
  <c r="BC299" i="41"/>
  <c r="BA299" i="41"/>
  <c r="AY299" i="41"/>
  <c r="AW299" i="41"/>
  <c r="AU299" i="41"/>
  <c r="AS299" i="41"/>
  <c r="AQ299" i="41"/>
  <c r="AM299" i="41"/>
  <c r="BI298" i="41"/>
  <c r="BG298" i="41"/>
  <c r="BE298" i="41"/>
  <c r="BC298" i="41"/>
  <c r="BA298" i="41"/>
  <c r="AY298" i="41"/>
  <c r="AW298" i="41"/>
  <c r="AU298" i="41"/>
  <c r="AS298" i="41"/>
  <c r="AQ298" i="41"/>
  <c r="AM298" i="41"/>
  <c r="BI297" i="41"/>
  <c r="BG297" i="41"/>
  <c r="BE297" i="41"/>
  <c r="BC297" i="41"/>
  <c r="BA297" i="41"/>
  <c r="AY297" i="41"/>
  <c r="AW297" i="41"/>
  <c r="AU297" i="41"/>
  <c r="AS297" i="41"/>
  <c r="AQ297" i="41"/>
  <c r="AM297" i="41"/>
  <c r="BI296" i="41"/>
  <c r="BG296" i="41"/>
  <c r="BE296" i="41"/>
  <c r="BC296" i="41"/>
  <c r="BA296" i="41"/>
  <c r="AY296" i="41"/>
  <c r="AW296" i="41"/>
  <c r="AU296" i="41"/>
  <c r="AS296" i="41"/>
  <c r="AQ296" i="41"/>
  <c r="AM296" i="41"/>
  <c r="BI295" i="41"/>
  <c r="BG295" i="41"/>
  <c r="BE295" i="41"/>
  <c r="BC295" i="41"/>
  <c r="BA295" i="41"/>
  <c r="AY295" i="41"/>
  <c r="AW295" i="41"/>
  <c r="AU295" i="41"/>
  <c r="AS295" i="41"/>
  <c r="AQ295" i="41"/>
  <c r="AM295" i="41"/>
  <c r="BI294" i="41"/>
  <c r="BG294" i="41"/>
  <c r="BE294" i="41"/>
  <c r="BC294" i="41"/>
  <c r="BA294" i="41"/>
  <c r="AY294" i="41"/>
  <c r="AW294" i="41"/>
  <c r="AU294" i="41"/>
  <c r="AS294" i="41"/>
  <c r="AQ294" i="41"/>
  <c r="AM294" i="41"/>
  <c r="BI293" i="41"/>
  <c r="BG293" i="41"/>
  <c r="BE293" i="41"/>
  <c r="BC293" i="41"/>
  <c r="BA293" i="41"/>
  <c r="AY293" i="41"/>
  <c r="AW293" i="41"/>
  <c r="AU293" i="41"/>
  <c r="AS293" i="41"/>
  <c r="AQ293" i="41"/>
  <c r="AM293" i="41"/>
  <c r="BI291" i="41"/>
  <c r="BG291" i="41"/>
  <c r="BE291" i="41"/>
  <c r="BC291" i="41"/>
  <c r="BA291" i="41"/>
  <c r="AY291" i="41"/>
  <c r="AW291" i="41"/>
  <c r="AU291" i="41"/>
  <c r="AS291" i="41"/>
  <c r="AQ291" i="41"/>
  <c r="AM291" i="41"/>
  <c r="BI290" i="41"/>
  <c r="BG290" i="41"/>
  <c r="BE290" i="41"/>
  <c r="BC290" i="41"/>
  <c r="BA290" i="41"/>
  <c r="AY290" i="41"/>
  <c r="AW290" i="41"/>
  <c r="AU290" i="41"/>
  <c r="AS290" i="41"/>
  <c r="AQ290" i="41"/>
  <c r="AM290" i="41"/>
  <c r="BI289" i="41"/>
  <c r="BG289" i="41"/>
  <c r="BE289" i="41"/>
  <c r="BC289" i="41"/>
  <c r="BA289" i="41"/>
  <c r="AY289" i="41"/>
  <c r="AW289" i="41"/>
  <c r="AU289" i="41"/>
  <c r="AS289" i="41"/>
  <c r="AQ289" i="41"/>
  <c r="AM289" i="41"/>
  <c r="BI288" i="41"/>
  <c r="BG288" i="41"/>
  <c r="BE288" i="41"/>
  <c r="BC288" i="41"/>
  <c r="BA288" i="41"/>
  <c r="AY288" i="41"/>
  <c r="AW288" i="41"/>
  <c r="AU288" i="41"/>
  <c r="AS288" i="41"/>
  <c r="AQ288" i="41"/>
  <c r="AM288" i="41"/>
  <c r="BI287" i="41"/>
  <c r="BG287" i="41"/>
  <c r="BE287" i="41"/>
  <c r="BC287" i="41"/>
  <c r="BA287" i="41"/>
  <c r="AY287" i="41"/>
  <c r="AW287" i="41"/>
  <c r="AU287" i="41"/>
  <c r="AS287" i="41"/>
  <c r="AQ287" i="41"/>
  <c r="AM287" i="41"/>
  <c r="BI286" i="41"/>
  <c r="BG286" i="41"/>
  <c r="BE286" i="41"/>
  <c r="BC286" i="41"/>
  <c r="BA286" i="41"/>
  <c r="AY286" i="41"/>
  <c r="AW286" i="41"/>
  <c r="AU286" i="41"/>
  <c r="AS286" i="41"/>
  <c r="AQ286" i="41"/>
  <c r="AM286" i="41"/>
  <c r="BI285" i="41"/>
  <c r="BG285" i="41"/>
  <c r="BE285" i="41"/>
  <c r="BC285" i="41"/>
  <c r="BA285" i="41"/>
  <c r="AY285" i="41"/>
  <c r="AW285" i="41"/>
  <c r="AU285" i="41"/>
  <c r="AS285" i="41"/>
  <c r="AQ285" i="41"/>
  <c r="AM285" i="41"/>
  <c r="BI284" i="41"/>
  <c r="BG284" i="41"/>
  <c r="BE284" i="41"/>
  <c r="BC284" i="41"/>
  <c r="BA284" i="41"/>
  <c r="AY284" i="41"/>
  <c r="AW284" i="41"/>
  <c r="AU284" i="41"/>
  <c r="AS284" i="41"/>
  <c r="AQ284" i="41"/>
  <c r="AM284" i="41"/>
  <c r="BI283" i="41"/>
  <c r="BG283" i="41"/>
  <c r="BE283" i="41"/>
  <c r="BC283" i="41"/>
  <c r="BA283" i="41"/>
  <c r="AY283" i="41"/>
  <c r="AW283" i="41"/>
  <c r="AU283" i="41"/>
  <c r="AS283" i="41"/>
  <c r="AQ283" i="41"/>
  <c r="AM283" i="41"/>
  <c r="BI281" i="41"/>
  <c r="BG281" i="41"/>
  <c r="BE281" i="41"/>
  <c r="BC281" i="41"/>
  <c r="BA281" i="41"/>
  <c r="AY281" i="41"/>
  <c r="AW281" i="41"/>
  <c r="AU281" i="41"/>
  <c r="AS281" i="41"/>
  <c r="AQ281" i="41"/>
  <c r="AM281" i="41"/>
  <c r="BI280" i="41"/>
  <c r="BG280" i="41"/>
  <c r="BE280" i="41"/>
  <c r="BC280" i="41"/>
  <c r="BA280" i="41"/>
  <c r="AY280" i="41"/>
  <c r="AW280" i="41"/>
  <c r="AU280" i="41"/>
  <c r="AS280" i="41"/>
  <c r="AQ280" i="41"/>
  <c r="AM280" i="41"/>
  <c r="BI279" i="41"/>
  <c r="BG279" i="41"/>
  <c r="BE279" i="41"/>
  <c r="BC279" i="41"/>
  <c r="BA279" i="41"/>
  <c r="AY279" i="41"/>
  <c r="AW279" i="41"/>
  <c r="AU279" i="41"/>
  <c r="AS279" i="41"/>
  <c r="AQ279" i="41"/>
  <c r="AM279" i="41"/>
  <c r="BI276" i="41"/>
  <c r="BG276" i="41"/>
  <c r="BE276" i="41"/>
  <c r="BC276" i="41"/>
  <c r="BA276" i="41"/>
  <c r="AY276" i="41"/>
  <c r="AW276" i="41"/>
  <c r="AU276" i="41"/>
  <c r="AS276" i="41"/>
  <c r="AQ276" i="41"/>
  <c r="AM276" i="41"/>
  <c r="BI274" i="41"/>
  <c r="BG274" i="41"/>
  <c r="BE274" i="41"/>
  <c r="BC274" i="41"/>
  <c r="BA274" i="41"/>
  <c r="AY274" i="41"/>
  <c r="AW274" i="41"/>
  <c r="AU274" i="41"/>
  <c r="AS274" i="41"/>
  <c r="AQ274" i="41"/>
  <c r="AM274" i="41"/>
  <c r="BI273" i="41"/>
  <c r="BG273" i="41"/>
  <c r="BE273" i="41"/>
  <c r="BC273" i="41"/>
  <c r="BA273" i="41"/>
  <c r="AY273" i="41"/>
  <c r="AW273" i="41"/>
  <c r="AU273" i="41"/>
  <c r="AS273" i="41"/>
  <c r="AQ273" i="41"/>
  <c r="AM273" i="41"/>
  <c r="BI272" i="41"/>
  <c r="BG272" i="41"/>
  <c r="BE272" i="41"/>
  <c r="BC272" i="41"/>
  <c r="BA272" i="41"/>
  <c r="AY272" i="41"/>
  <c r="AW272" i="41"/>
  <c r="AU272" i="41"/>
  <c r="AS272" i="41"/>
  <c r="AQ272" i="41"/>
  <c r="AM272" i="41"/>
  <c r="BI271" i="41"/>
  <c r="BG271" i="41"/>
  <c r="BE271" i="41"/>
  <c r="BC271" i="41"/>
  <c r="BA271" i="41"/>
  <c r="AY271" i="41"/>
  <c r="AW271" i="41"/>
  <c r="AU271" i="41"/>
  <c r="AS271" i="41"/>
  <c r="AQ271" i="41"/>
  <c r="AM271" i="41"/>
  <c r="BI270" i="41"/>
  <c r="BG270" i="41"/>
  <c r="BE270" i="41"/>
  <c r="BC270" i="41"/>
  <c r="BA270" i="41"/>
  <c r="AY270" i="41"/>
  <c r="AW270" i="41"/>
  <c r="AU270" i="41"/>
  <c r="AS270" i="41"/>
  <c r="AQ270" i="41"/>
  <c r="AM270" i="41"/>
  <c r="BI269" i="41"/>
  <c r="BG269" i="41"/>
  <c r="BE269" i="41"/>
  <c r="BC269" i="41"/>
  <c r="BA269" i="41"/>
  <c r="AY269" i="41"/>
  <c r="AW269" i="41"/>
  <c r="AU269" i="41"/>
  <c r="AS269" i="41"/>
  <c r="AQ269" i="41"/>
  <c r="AM269" i="41"/>
  <c r="BI268" i="41"/>
  <c r="BG268" i="41"/>
  <c r="BE268" i="41"/>
  <c r="BC268" i="41"/>
  <c r="BA268" i="41"/>
  <c r="AY268" i="41"/>
  <c r="AW268" i="41"/>
  <c r="AU268" i="41"/>
  <c r="AS268" i="41"/>
  <c r="AQ268" i="41"/>
  <c r="AM268" i="41"/>
  <c r="BI267" i="41"/>
  <c r="BG267" i="41"/>
  <c r="BE267" i="41"/>
  <c r="BC267" i="41"/>
  <c r="BA267" i="41"/>
  <c r="AY267" i="41"/>
  <c r="AW267" i="41"/>
  <c r="AU267" i="41"/>
  <c r="AS267" i="41"/>
  <c r="AQ267" i="41"/>
  <c r="AM267" i="41"/>
  <c r="BI266" i="41"/>
  <c r="BG266" i="41"/>
  <c r="BE266" i="41"/>
  <c r="BC266" i="41"/>
  <c r="BA266" i="41"/>
  <c r="AY266" i="41"/>
  <c r="AW266" i="41"/>
  <c r="AU266" i="41"/>
  <c r="AS266" i="41"/>
  <c r="AQ266" i="41"/>
  <c r="AM266" i="41"/>
  <c r="BI265" i="41"/>
  <c r="BG265" i="41"/>
  <c r="BE265" i="41"/>
  <c r="BC265" i="41"/>
  <c r="BA265" i="41"/>
  <c r="AY265" i="41"/>
  <c r="AW265" i="41"/>
  <c r="AU265" i="41"/>
  <c r="AS265" i="41"/>
  <c r="AQ265" i="41"/>
  <c r="AM265" i="41"/>
  <c r="BI264" i="41"/>
  <c r="BG264" i="41"/>
  <c r="BE264" i="41"/>
  <c r="BC264" i="41"/>
  <c r="BA264" i="41"/>
  <c r="AY264" i="41"/>
  <c r="AW264" i="41"/>
  <c r="AU264" i="41"/>
  <c r="AS264" i="41"/>
  <c r="AQ264" i="41"/>
  <c r="AM264" i="41"/>
  <c r="BI263" i="41"/>
  <c r="BG263" i="41"/>
  <c r="BE263" i="41"/>
  <c r="BC263" i="41"/>
  <c r="BA263" i="41"/>
  <c r="AY263" i="41"/>
  <c r="AW263" i="41"/>
  <c r="AU263" i="41"/>
  <c r="AS263" i="41"/>
  <c r="AQ263" i="41"/>
  <c r="AM263" i="41"/>
  <c r="BI262" i="41"/>
  <c r="BG262" i="41"/>
  <c r="BE262" i="41"/>
  <c r="BC262" i="41"/>
  <c r="BA262" i="41"/>
  <c r="AY262" i="41"/>
  <c r="AW262" i="41"/>
  <c r="AU262" i="41"/>
  <c r="AS262" i="41"/>
  <c r="AQ262" i="41"/>
  <c r="AM262" i="41"/>
  <c r="BI261" i="41"/>
  <c r="BG261" i="41"/>
  <c r="BE261" i="41"/>
  <c r="BC261" i="41"/>
  <c r="BA261" i="41"/>
  <c r="AY261" i="41"/>
  <c r="AW261" i="41"/>
  <c r="AU261" i="41"/>
  <c r="AS261" i="41"/>
  <c r="AQ261" i="41"/>
  <c r="AM261" i="41"/>
  <c r="BI260" i="41"/>
  <c r="BG260" i="41"/>
  <c r="BE260" i="41"/>
  <c r="BC260" i="41"/>
  <c r="BA260" i="41"/>
  <c r="AY260" i="41"/>
  <c r="AW260" i="41"/>
  <c r="AU260" i="41"/>
  <c r="AS260" i="41"/>
  <c r="AQ260" i="41"/>
  <c r="AM260" i="41"/>
  <c r="BI259" i="41"/>
  <c r="BG259" i="41"/>
  <c r="BE259" i="41"/>
  <c r="BC259" i="41"/>
  <c r="BA259" i="41"/>
  <c r="AY259" i="41"/>
  <c r="AW259" i="41"/>
  <c r="AU259" i="41"/>
  <c r="AS259" i="41"/>
  <c r="AQ259" i="41"/>
  <c r="AM259" i="41"/>
  <c r="BI258" i="41"/>
  <c r="BG258" i="41"/>
  <c r="BE258" i="41"/>
  <c r="BC258" i="41"/>
  <c r="BA258" i="41"/>
  <c r="AY258" i="41"/>
  <c r="AW258" i="41"/>
  <c r="AU258" i="41"/>
  <c r="AS258" i="41"/>
  <c r="AQ258" i="41"/>
  <c r="AM258" i="41"/>
  <c r="BI257" i="41"/>
  <c r="BG257" i="41"/>
  <c r="BE257" i="41"/>
  <c r="BC257" i="41"/>
  <c r="BA257" i="41"/>
  <c r="AY257" i="41"/>
  <c r="AW257" i="41"/>
  <c r="AU257" i="41"/>
  <c r="AS257" i="41"/>
  <c r="AQ257" i="41"/>
  <c r="AM257" i="41"/>
  <c r="BI256" i="41"/>
  <c r="BG256" i="41"/>
  <c r="BE256" i="41"/>
  <c r="BC256" i="41"/>
  <c r="BA256" i="41"/>
  <c r="AY256" i="41"/>
  <c r="AW256" i="41"/>
  <c r="AU256" i="41"/>
  <c r="AS256" i="41"/>
  <c r="AQ256" i="41"/>
  <c r="AM256" i="41"/>
  <c r="BI255" i="41"/>
  <c r="BG255" i="41"/>
  <c r="BE255" i="41"/>
  <c r="BC255" i="41"/>
  <c r="BA255" i="41"/>
  <c r="AY255" i="41"/>
  <c r="AW255" i="41"/>
  <c r="AU255" i="41"/>
  <c r="AS255" i="41"/>
  <c r="AQ255" i="41"/>
  <c r="AM255" i="41"/>
  <c r="BI254" i="41"/>
  <c r="BG254" i="41"/>
  <c r="BE254" i="41"/>
  <c r="BC254" i="41"/>
  <c r="BA254" i="41"/>
  <c r="AY254" i="41"/>
  <c r="AW254" i="41"/>
  <c r="AU254" i="41"/>
  <c r="AS254" i="41"/>
  <c r="AQ254" i="41"/>
  <c r="AM254" i="41"/>
  <c r="BI253" i="41"/>
  <c r="BG253" i="41"/>
  <c r="BE253" i="41"/>
  <c r="BC253" i="41"/>
  <c r="BA253" i="41"/>
  <c r="AY253" i="41"/>
  <c r="AW253" i="41"/>
  <c r="AU253" i="41"/>
  <c r="AS253" i="41"/>
  <c r="AQ253" i="41"/>
  <c r="AM253" i="41"/>
  <c r="BI252" i="41"/>
  <c r="BG252" i="41"/>
  <c r="BE252" i="41"/>
  <c r="BC252" i="41"/>
  <c r="BA252" i="41"/>
  <c r="AY252" i="41"/>
  <c r="AW252" i="41"/>
  <c r="AU252" i="41"/>
  <c r="AS252" i="41"/>
  <c r="AQ252" i="41"/>
  <c r="AM252" i="41"/>
  <c r="BI251" i="41"/>
  <c r="BG251" i="41"/>
  <c r="BE251" i="41"/>
  <c r="BC251" i="41"/>
  <c r="BA251" i="41"/>
  <c r="AY251" i="41"/>
  <c r="AW251" i="41"/>
  <c r="AU251" i="41"/>
  <c r="AS251" i="41"/>
  <c r="AQ251" i="41"/>
  <c r="AM251" i="41"/>
  <c r="BI250" i="41"/>
  <c r="BG250" i="41"/>
  <c r="BE250" i="41"/>
  <c r="BC250" i="41"/>
  <c r="BA250" i="41"/>
  <c r="AY250" i="41"/>
  <c r="AW250" i="41"/>
  <c r="AU250" i="41"/>
  <c r="AS250" i="41"/>
  <c r="AQ250" i="41"/>
  <c r="AM250" i="41"/>
  <c r="BI249" i="41"/>
  <c r="BG249" i="41"/>
  <c r="BE249" i="41"/>
  <c r="BC249" i="41"/>
  <c r="BA249" i="41"/>
  <c r="AY249" i="41"/>
  <c r="AW249" i="41"/>
  <c r="AU249" i="41"/>
  <c r="AS249" i="41"/>
  <c r="AQ249" i="41"/>
  <c r="AM249" i="41"/>
  <c r="BI248" i="41"/>
  <c r="BG248" i="41"/>
  <c r="BE248" i="41"/>
  <c r="BC248" i="41"/>
  <c r="BA248" i="41"/>
  <c r="AY248" i="41"/>
  <c r="AW248" i="41"/>
  <c r="AU248" i="41"/>
  <c r="AS248" i="41"/>
  <c r="AQ248" i="41"/>
  <c r="AM248" i="41"/>
  <c r="BI247" i="41"/>
  <c r="BG247" i="41"/>
  <c r="BE247" i="41"/>
  <c r="BC247" i="41"/>
  <c r="BA247" i="41"/>
  <c r="AY247" i="41"/>
  <c r="AW247" i="41"/>
  <c r="AU247" i="41"/>
  <c r="AS247" i="41"/>
  <c r="AQ247" i="41"/>
  <c r="AM247" i="41"/>
  <c r="BI246" i="41"/>
  <c r="BG246" i="41"/>
  <c r="BE246" i="41"/>
  <c r="BC246" i="41"/>
  <c r="BA246" i="41"/>
  <c r="AY246" i="41"/>
  <c r="AW246" i="41"/>
  <c r="AU246" i="41"/>
  <c r="AS246" i="41"/>
  <c r="AQ246" i="41"/>
  <c r="AM246" i="41"/>
  <c r="BI245" i="41"/>
  <c r="BG245" i="41"/>
  <c r="BE245" i="41"/>
  <c r="BC245" i="41"/>
  <c r="BA245" i="41"/>
  <c r="AY245" i="41"/>
  <c r="AW245" i="41"/>
  <c r="AU245" i="41"/>
  <c r="AS245" i="41"/>
  <c r="AQ245" i="41"/>
  <c r="AM245" i="41"/>
  <c r="BI244" i="41"/>
  <c r="BG244" i="41"/>
  <c r="BE244" i="41"/>
  <c r="BC244" i="41"/>
  <c r="BA244" i="41"/>
  <c r="AY244" i="41"/>
  <c r="AW244" i="41"/>
  <c r="AU244" i="41"/>
  <c r="AS244" i="41"/>
  <c r="AQ244" i="41"/>
  <c r="AM244" i="41"/>
  <c r="BI243" i="41"/>
  <c r="BG243" i="41"/>
  <c r="BE243" i="41"/>
  <c r="BC243" i="41"/>
  <c r="BA243" i="41"/>
  <c r="AY243" i="41"/>
  <c r="AW243" i="41"/>
  <c r="AU243" i="41"/>
  <c r="AS243" i="41"/>
  <c r="AQ243" i="41"/>
  <c r="AM243" i="41"/>
  <c r="BI242" i="41"/>
  <c r="BG242" i="41"/>
  <c r="BE242" i="41"/>
  <c r="BC242" i="41"/>
  <c r="BA242" i="41"/>
  <c r="AY242" i="41"/>
  <c r="AW242" i="41"/>
  <c r="AU242" i="41"/>
  <c r="AS242" i="41"/>
  <c r="AQ242" i="41"/>
  <c r="AM242" i="41"/>
  <c r="BI241" i="41"/>
  <c r="BG241" i="41"/>
  <c r="BE241" i="41"/>
  <c r="BC241" i="41"/>
  <c r="BA241" i="41"/>
  <c r="AY241" i="41"/>
  <c r="AW241" i="41"/>
  <c r="AU241" i="41"/>
  <c r="AS241" i="41"/>
  <c r="AQ241" i="41"/>
  <c r="AM241" i="41"/>
  <c r="BI240" i="41"/>
  <c r="BG240" i="41"/>
  <c r="BE240" i="41"/>
  <c r="BC240" i="41"/>
  <c r="BA240" i="41"/>
  <c r="AY240" i="41"/>
  <c r="AW240" i="41"/>
  <c r="AU240" i="41"/>
  <c r="AS240" i="41"/>
  <c r="AQ240" i="41"/>
  <c r="AM240" i="41"/>
  <c r="BI239" i="41"/>
  <c r="BG239" i="41"/>
  <c r="BE239" i="41"/>
  <c r="BC239" i="41"/>
  <c r="BA239" i="41"/>
  <c r="AY239" i="41"/>
  <c r="AW239" i="41"/>
  <c r="AU239" i="41"/>
  <c r="AS239" i="41"/>
  <c r="AQ239" i="41"/>
  <c r="AM239" i="41"/>
  <c r="BI238" i="41"/>
  <c r="BG238" i="41"/>
  <c r="BE238" i="41"/>
  <c r="BC238" i="41"/>
  <c r="BA238" i="41"/>
  <c r="AY238" i="41"/>
  <c r="AW238" i="41"/>
  <c r="AU238" i="41"/>
  <c r="AS238" i="41"/>
  <c r="AQ238" i="41"/>
  <c r="AM238" i="41"/>
  <c r="BI237" i="41"/>
  <c r="BG237" i="41"/>
  <c r="BE237" i="41"/>
  <c r="BC237" i="41"/>
  <c r="BA237" i="41"/>
  <c r="AY237" i="41"/>
  <c r="AW237" i="41"/>
  <c r="AU237" i="41"/>
  <c r="AS237" i="41"/>
  <c r="AQ237" i="41"/>
  <c r="AM237" i="41"/>
  <c r="BI236" i="41"/>
  <c r="BG236" i="41"/>
  <c r="BE236" i="41"/>
  <c r="BC236" i="41"/>
  <c r="BA236" i="41"/>
  <c r="AY236" i="41"/>
  <c r="AW236" i="41"/>
  <c r="AU236" i="41"/>
  <c r="AS236" i="41"/>
  <c r="AQ236" i="41"/>
  <c r="AM236" i="41"/>
  <c r="BI235" i="41"/>
  <c r="BG235" i="41"/>
  <c r="BE235" i="41"/>
  <c r="BC235" i="41"/>
  <c r="BA235" i="41"/>
  <c r="AY235" i="41"/>
  <c r="AW235" i="41"/>
  <c r="AU235" i="41"/>
  <c r="AS235" i="41"/>
  <c r="AQ235" i="41"/>
  <c r="AM235" i="41"/>
  <c r="BI234" i="41"/>
  <c r="BG234" i="41"/>
  <c r="BE234" i="41"/>
  <c r="BC234" i="41"/>
  <c r="BA234" i="41"/>
  <c r="AY234" i="41"/>
  <c r="AW234" i="41"/>
  <c r="AU234" i="41"/>
  <c r="AS234" i="41"/>
  <c r="AQ234" i="41"/>
  <c r="AM234" i="41"/>
  <c r="BI233" i="41"/>
  <c r="BG233" i="41"/>
  <c r="BE233" i="41"/>
  <c r="BC233" i="41"/>
  <c r="BA233" i="41"/>
  <c r="AY233" i="41"/>
  <c r="AW233" i="41"/>
  <c r="AU233" i="41"/>
  <c r="AS233" i="41"/>
  <c r="AQ233" i="41"/>
  <c r="AM233" i="41"/>
  <c r="BI232" i="41"/>
  <c r="BG232" i="41"/>
  <c r="BE232" i="41"/>
  <c r="BC232" i="41"/>
  <c r="BA232" i="41"/>
  <c r="AY232" i="41"/>
  <c r="AW232" i="41"/>
  <c r="AU232" i="41"/>
  <c r="AS232" i="41"/>
  <c r="AQ232" i="41"/>
  <c r="AM232" i="41"/>
  <c r="BI231" i="41"/>
  <c r="BG231" i="41"/>
  <c r="BE231" i="41"/>
  <c r="BC231" i="41"/>
  <c r="BA231" i="41"/>
  <c r="AY231" i="41"/>
  <c r="AW231" i="41"/>
  <c r="AU231" i="41"/>
  <c r="AS231" i="41"/>
  <c r="AQ231" i="41"/>
  <c r="AM231" i="41"/>
  <c r="BI230" i="41"/>
  <c r="BG230" i="41"/>
  <c r="BE230" i="41"/>
  <c r="BC230" i="41"/>
  <c r="BA230" i="41"/>
  <c r="AY230" i="41"/>
  <c r="AW230" i="41"/>
  <c r="AU230" i="41"/>
  <c r="AS230" i="41"/>
  <c r="AQ230" i="41"/>
  <c r="AM230" i="41"/>
  <c r="BI229" i="41"/>
  <c r="BG229" i="41"/>
  <c r="BE229" i="41"/>
  <c r="BC229" i="41"/>
  <c r="BA229" i="41"/>
  <c r="AY229" i="41"/>
  <c r="AW229" i="41"/>
  <c r="AU229" i="41"/>
  <c r="AS229" i="41"/>
  <c r="AQ229" i="41"/>
  <c r="AM229" i="41"/>
  <c r="BI228" i="41"/>
  <c r="BG228" i="41"/>
  <c r="BE228" i="41"/>
  <c r="BC228" i="41"/>
  <c r="BA228" i="41"/>
  <c r="AY228" i="41"/>
  <c r="AW228" i="41"/>
  <c r="AU228" i="41"/>
  <c r="AS228" i="41"/>
  <c r="AQ228" i="41"/>
  <c r="AM228" i="41"/>
  <c r="BI227" i="41"/>
  <c r="BG227" i="41"/>
  <c r="BE227" i="41"/>
  <c r="BC227" i="41"/>
  <c r="BA227" i="41"/>
  <c r="AY227" i="41"/>
  <c r="AW227" i="41"/>
  <c r="AU227" i="41"/>
  <c r="AS227" i="41"/>
  <c r="AQ227" i="41"/>
  <c r="AM227" i="41"/>
  <c r="BI226" i="41"/>
  <c r="BG226" i="41"/>
  <c r="BE226" i="41"/>
  <c r="BC226" i="41"/>
  <c r="BA226" i="41"/>
  <c r="AY226" i="41"/>
  <c r="AW226" i="41"/>
  <c r="AU226" i="41"/>
  <c r="AS226" i="41"/>
  <c r="AQ226" i="41"/>
  <c r="AM226" i="41"/>
  <c r="BI225" i="41"/>
  <c r="BG225" i="41"/>
  <c r="BE225" i="41"/>
  <c r="BC225" i="41"/>
  <c r="BA225" i="41"/>
  <c r="AY225" i="41"/>
  <c r="AW225" i="41"/>
  <c r="AU225" i="41"/>
  <c r="AS225" i="41"/>
  <c r="AQ225" i="41"/>
  <c r="AM225" i="41"/>
  <c r="BI224" i="41"/>
  <c r="BG224" i="41"/>
  <c r="BE224" i="41"/>
  <c r="BC224" i="41"/>
  <c r="BA224" i="41"/>
  <c r="AY224" i="41"/>
  <c r="AW224" i="41"/>
  <c r="AU224" i="41"/>
  <c r="AS224" i="41"/>
  <c r="AQ224" i="41"/>
  <c r="AM224" i="41"/>
  <c r="BI223" i="41"/>
  <c r="BG223" i="41"/>
  <c r="BE223" i="41"/>
  <c r="BC223" i="41"/>
  <c r="BA223" i="41"/>
  <c r="AY223" i="41"/>
  <c r="AW223" i="41"/>
  <c r="AU223" i="41"/>
  <c r="AS223" i="41"/>
  <c r="AQ223" i="41"/>
  <c r="AM223" i="41"/>
  <c r="BI222" i="41"/>
  <c r="BG222" i="41"/>
  <c r="BE222" i="41"/>
  <c r="BC222" i="41"/>
  <c r="BA222" i="41"/>
  <c r="AY222" i="41"/>
  <c r="AW222" i="41"/>
  <c r="AU222" i="41"/>
  <c r="AS222" i="41"/>
  <c r="AQ222" i="41"/>
  <c r="AM222" i="41"/>
  <c r="BI221" i="41"/>
  <c r="BG221" i="41"/>
  <c r="BE221" i="41"/>
  <c r="BC221" i="41"/>
  <c r="BA221" i="41"/>
  <c r="AY221" i="41"/>
  <c r="AW221" i="41"/>
  <c r="AU221" i="41"/>
  <c r="AS221" i="41"/>
  <c r="AQ221" i="41"/>
  <c r="AM221" i="41"/>
  <c r="BI220" i="41"/>
  <c r="BG220" i="41"/>
  <c r="BE220" i="41"/>
  <c r="BC220" i="41"/>
  <c r="BA220" i="41"/>
  <c r="AY220" i="41"/>
  <c r="AW220" i="41"/>
  <c r="AU220" i="41"/>
  <c r="AS220" i="41"/>
  <c r="AQ220" i="41"/>
  <c r="AM220" i="41"/>
  <c r="BI219" i="41"/>
  <c r="BG219" i="41"/>
  <c r="BE219" i="41"/>
  <c r="BC219" i="41"/>
  <c r="BA219" i="41"/>
  <c r="AY219" i="41"/>
  <c r="AW219" i="41"/>
  <c r="AU219" i="41"/>
  <c r="AS219" i="41"/>
  <c r="AQ219" i="41"/>
  <c r="AM219" i="41"/>
  <c r="BI218" i="41"/>
  <c r="BG218" i="41"/>
  <c r="BE218" i="41"/>
  <c r="BC218" i="41"/>
  <c r="BA218" i="41"/>
  <c r="AY218" i="41"/>
  <c r="AW218" i="41"/>
  <c r="AU218" i="41"/>
  <c r="AS218" i="41"/>
  <c r="AQ218" i="41"/>
  <c r="AM218" i="41"/>
  <c r="BI217" i="41"/>
  <c r="BG217" i="41"/>
  <c r="BE217" i="41"/>
  <c r="BC217" i="41"/>
  <c r="BA217" i="41"/>
  <c r="AY217" i="41"/>
  <c r="AW217" i="41"/>
  <c r="AU217" i="41"/>
  <c r="AS217" i="41"/>
  <c r="AQ217" i="41"/>
  <c r="AM217" i="41"/>
  <c r="BI216" i="41"/>
  <c r="BG216" i="41"/>
  <c r="BE216" i="41"/>
  <c r="BC216" i="41"/>
  <c r="BA216" i="41"/>
  <c r="AY216" i="41"/>
  <c r="AW216" i="41"/>
  <c r="AU216" i="41"/>
  <c r="AS216" i="41"/>
  <c r="AQ216" i="41"/>
  <c r="AM216" i="41"/>
  <c r="BI215" i="41"/>
  <c r="BG215" i="41"/>
  <c r="BE215" i="41"/>
  <c r="BC215" i="41"/>
  <c r="BA215" i="41"/>
  <c r="AY215" i="41"/>
  <c r="AW215" i="41"/>
  <c r="AU215" i="41"/>
  <c r="AS215" i="41"/>
  <c r="AQ215" i="41"/>
  <c r="AM215" i="41"/>
  <c r="BI214" i="41"/>
  <c r="BG214" i="41"/>
  <c r="BE214" i="41"/>
  <c r="BC214" i="41"/>
  <c r="BA214" i="41"/>
  <c r="AY214" i="41"/>
  <c r="AW214" i="41"/>
  <c r="AU214" i="41"/>
  <c r="AS214" i="41"/>
  <c r="AQ214" i="41"/>
  <c r="AM214" i="41"/>
  <c r="BI213" i="41"/>
  <c r="BG213" i="41"/>
  <c r="BE213" i="41"/>
  <c r="BC213" i="41"/>
  <c r="BA213" i="41"/>
  <c r="AY213" i="41"/>
  <c r="AW213" i="41"/>
  <c r="AU213" i="41"/>
  <c r="AS213" i="41"/>
  <c r="AQ213" i="41"/>
  <c r="AM213" i="41"/>
  <c r="BI212" i="41"/>
  <c r="BG212" i="41"/>
  <c r="BE212" i="41"/>
  <c r="BC212" i="41"/>
  <c r="BA212" i="41"/>
  <c r="AY212" i="41"/>
  <c r="AW212" i="41"/>
  <c r="AU212" i="41"/>
  <c r="AS212" i="41"/>
  <c r="AQ212" i="41"/>
  <c r="AM212" i="41"/>
  <c r="BI211" i="41"/>
  <c r="BG211" i="41"/>
  <c r="BE211" i="41"/>
  <c r="BC211" i="41"/>
  <c r="BA211" i="41"/>
  <c r="AY211" i="41"/>
  <c r="AW211" i="41"/>
  <c r="AU211" i="41"/>
  <c r="AS211" i="41"/>
  <c r="AQ211" i="41"/>
  <c r="AM211" i="41"/>
  <c r="BI210" i="41"/>
  <c r="BG210" i="41"/>
  <c r="BE210" i="41"/>
  <c r="BC210" i="41"/>
  <c r="BA210" i="41"/>
  <c r="AY210" i="41"/>
  <c r="AW210" i="41"/>
  <c r="AU210" i="41"/>
  <c r="AS210" i="41"/>
  <c r="AQ210" i="41"/>
  <c r="AM210" i="41"/>
  <c r="BI209" i="41"/>
  <c r="BG209" i="41"/>
  <c r="BE209" i="41"/>
  <c r="BC209" i="41"/>
  <c r="BA209" i="41"/>
  <c r="AY209" i="41"/>
  <c r="AW209" i="41"/>
  <c r="AU209" i="41"/>
  <c r="AS209" i="41"/>
  <c r="AQ209" i="41"/>
  <c r="AM209" i="41"/>
  <c r="BI208" i="41"/>
  <c r="BG208" i="41"/>
  <c r="BE208" i="41"/>
  <c r="BC208" i="41"/>
  <c r="BA208" i="41"/>
  <c r="AY208" i="41"/>
  <c r="AW208" i="41"/>
  <c r="AU208" i="41"/>
  <c r="AS208" i="41"/>
  <c r="AQ208" i="41"/>
  <c r="AM208" i="41"/>
  <c r="BI207" i="41"/>
  <c r="BG207" i="41"/>
  <c r="BE207" i="41"/>
  <c r="BC207" i="41"/>
  <c r="BA207" i="41"/>
  <c r="AY207" i="41"/>
  <c r="AW207" i="41"/>
  <c r="AU207" i="41"/>
  <c r="AS207" i="41"/>
  <c r="AQ207" i="41"/>
  <c r="AM207" i="41"/>
  <c r="BI206" i="41"/>
  <c r="BG206" i="41"/>
  <c r="BE206" i="41"/>
  <c r="BC206" i="41"/>
  <c r="BA206" i="41"/>
  <c r="AY206" i="41"/>
  <c r="AW206" i="41"/>
  <c r="AU206" i="41"/>
  <c r="AS206" i="41"/>
  <c r="AQ206" i="41"/>
  <c r="AM206" i="41"/>
  <c r="BI205" i="41"/>
  <c r="BG205" i="41"/>
  <c r="BE205" i="41"/>
  <c r="BC205" i="41"/>
  <c r="BA205" i="41"/>
  <c r="AY205" i="41"/>
  <c r="AW205" i="41"/>
  <c r="AU205" i="41"/>
  <c r="AS205" i="41"/>
  <c r="AQ205" i="41"/>
  <c r="AM205" i="41"/>
  <c r="BI204" i="41"/>
  <c r="BG204" i="41"/>
  <c r="BE204" i="41"/>
  <c r="BC204" i="41"/>
  <c r="BA204" i="41"/>
  <c r="AY204" i="41"/>
  <c r="AW204" i="41"/>
  <c r="AU204" i="41"/>
  <c r="AS204" i="41"/>
  <c r="AQ204" i="41"/>
  <c r="AM204" i="41"/>
  <c r="BI203" i="41"/>
  <c r="BG203" i="41"/>
  <c r="BE203" i="41"/>
  <c r="BC203" i="41"/>
  <c r="BA203" i="41"/>
  <c r="AY203" i="41"/>
  <c r="AW203" i="41"/>
  <c r="AU203" i="41"/>
  <c r="AS203" i="41"/>
  <c r="AQ203" i="41"/>
  <c r="AM203" i="41"/>
  <c r="BI202" i="41"/>
  <c r="BG202" i="41"/>
  <c r="BE202" i="41"/>
  <c r="BC202" i="41"/>
  <c r="BA202" i="41"/>
  <c r="AY202" i="41"/>
  <c r="AW202" i="41"/>
  <c r="AU202" i="41"/>
  <c r="AS202" i="41"/>
  <c r="AQ202" i="41"/>
  <c r="AM202" i="41"/>
  <c r="BI201" i="41"/>
  <c r="BG201" i="41"/>
  <c r="BE201" i="41"/>
  <c r="BC201" i="41"/>
  <c r="BA201" i="41"/>
  <c r="AY201" i="41"/>
  <c r="AW201" i="41"/>
  <c r="AU201" i="41"/>
  <c r="AS201" i="41"/>
  <c r="AQ201" i="41"/>
  <c r="AM201" i="41"/>
  <c r="BI200" i="41"/>
  <c r="BG200" i="41"/>
  <c r="BE200" i="41"/>
  <c r="BC200" i="41"/>
  <c r="BA200" i="41"/>
  <c r="AY200" i="41"/>
  <c r="AW200" i="41"/>
  <c r="AU200" i="41"/>
  <c r="AS200" i="41"/>
  <c r="AQ200" i="41"/>
  <c r="AM200" i="41"/>
  <c r="BI199" i="41"/>
  <c r="BG199" i="41"/>
  <c r="BE199" i="41"/>
  <c r="BC199" i="41"/>
  <c r="BA199" i="41"/>
  <c r="AY199" i="41"/>
  <c r="AW199" i="41"/>
  <c r="AU199" i="41"/>
  <c r="AS199" i="41"/>
  <c r="AQ199" i="41"/>
  <c r="AM199" i="41"/>
  <c r="BI198" i="41"/>
  <c r="BG198" i="41"/>
  <c r="BE198" i="41"/>
  <c r="BC198" i="41"/>
  <c r="BA198" i="41"/>
  <c r="AY198" i="41"/>
  <c r="AW198" i="41"/>
  <c r="AU198" i="41"/>
  <c r="AS198" i="41"/>
  <c r="AQ198" i="41"/>
  <c r="AM198" i="41"/>
  <c r="BI197" i="41"/>
  <c r="BG197" i="41"/>
  <c r="BE197" i="41"/>
  <c r="BC197" i="41"/>
  <c r="BA197" i="41"/>
  <c r="AY197" i="41"/>
  <c r="AW197" i="41"/>
  <c r="AU197" i="41"/>
  <c r="AS197" i="41"/>
  <c r="AQ197" i="41"/>
  <c r="AM197" i="41"/>
  <c r="BI196" i="41"/>
  <c r="BG196" i="41"/>
  <c r="BE196" i="41"/>
  <c r="BC196" i="41"/>
  <c r="BA196" i="41"/>
  <c r="AY196" i="41"/>
  <c r="AW196" i="41"/>
  <c r="AU196" i="41"/>
  <c r="AS196" i="41"/>
  <c r="AQ196" i="41"/>
  <c r="AM196" i="41"/>
  <c r="BI195" i="41"/>
  <c r="BG195" i="41"/>
  <c r="BE195" i="41"/>
  <c r="BC195" i="41"/>
  <c r="BA195" i="41"/>
  <c r="AY195" i="41"/>
  <c r="AW195" i="41"/>
  <c r="AU195" i="41"/>
  <c r="AS195" i="41"/>
  <c r="AQ195" i="41"/>
  <c r="AM195" i="41"/>
  <c r="BI194" i="41"/>
  <c r="BG194" i="41"/>
  <c r="BE194" i="41"/>
  <c r="BC194" i="41"/>
  <c r="BA194" i="41"/>
  <c r="AY194" i="41"/>
  <c r="AW194" i="41"/>
  <c r="AU194" i="41"/>
  <c r="AS194" i="41"/>
  <c r="AQ194" i="41"/>
  <c r="AM194" i="41"/>
  <c r="BI192" i="41"/>
  <c r="BG192" i="41"/>
  <c r="BE192" i="41"/>
  <c r="BC192" i="41"/>
  <c r="BA192" i="41"/>
  <c r="AY192" i="41"/>
  <c r="AW192" i="41"/>
  <c r="AU192" i="41"/>
  <c r="AS192" i="41"/>
  <c r="AQ192" i="41"/>
  <c r="AM192" i="41"/>
  <c r="BI191" i="41"/>
  <c r="BG191" i="41"/>
  <c r="BE191" i="41"/>
  <c r="BC191" i="41"/>
  <c r="BA191" i="41"/>
  <c r="AY191" i="41"/>
  <c r="AW191" i="41"/>
  <c r="AU191" i="41"/>
  <c r="AS191" i="41"/>
  <c r="AQ191" i="41"/>
  <c r="AM191" i="41"/>
  <c r="BI190" i="41"/>
  <c r="BG190" i="41"/>
  <c r="BE190" i="41"/>
  <c r="BC190" i="41"/>
  <c r="BA190" i="41"/>
  <c r="AY190" i="41"/>
  <c r="AW190" i="41"/>
  <c r="AU190" i="41"/>
  <c r="AS190" i="41"/>
  <c r="AQ190" i="41"/>
  <c r="AM190" i="41"/>
  <c r="BI188" i="41"/>
  <c r="BG188" i="41"/>
  <c r="BE188" i="41"/>
  <c r="BC188" i="41"/>
  <c r="BA188" i="41"/>
  <c r="AY188" i="41"/>
  <c r="AW188" i="41"/>
  <c r="AU188" i="41"/>
  <c r="AS188" i="41"/>
  <c r="AQ188" i="41"/>
  <c r="AM188" i="41"/>
  <c r="BI187" i="41"/>
  <c r="BG187" i="41"/>
  <c r="BE187" i="41"/>
  <c r="BC187" i="41"/>
  <c r="BA187" i="41"/>
  <c r="AY187" i="41"/>
  <c r="AW187" i="41"/>
  <c r="AU187" i="41"/>
  <c r="AS187" i="41"/>
  <c r="AQ187" i="41"/>
  <c r="AM187" i="41"/>
  <c r="BI186" i="41"/>
  <c r="BG186" i="41"/>
  <c r="BE186" i="41"/>
  <c r="BC186" i="41"/>
  <c r="BA186" i="41"/>
  <c r="AY186" i="41"/>
  <c r="AW186" i="41"/>
  <c r="AU186" i="41"/>
  <c r="AS186" i="41"/>
  <c r="AQ186" i="41"/>
  <c r="AM186" i="41"/>
  <c r="BI185" i="41"/>
  <c r="BG185" i="41"/>
  <c r="BE185" i="41"/>
  <c r="BC185" i="41"/>
  <c r="BA185" i="41"/>
  <c r="AY185" i="41"/>
  <c r="AW185" i="41"/>
  <c r="AU185" i="41"/>
  <c r="AS185" i="41"/>
  <c r="AQ185" i="41"/>
  <c r="AM185" i="41"/>
  <c r="BI183" i="41"/>
  <c r="BG183" i="41"/>
  <c r="BE183" i="41"/>
  <c r="BC183" i="41"/>
  <c r="BA183" i="41"/>
  <c r="AY183" i="41"/>
  <c r="AW183" i="41"/>
  <c r="AU183" i="41"/>
  <c r="AS183" i="41"/>
  <c r="AQ183" i="41"/>
  <c r="AM183" i="41"/>
  <c r="BI182" i="41"/>
  <c r="BG182" i="41"/>
  <c r="BE182" i="41"/>
  <c r="BC182" i="41"/>
  <c r="BA182" i="41"/>
  <c r="AY182" i="41"/>
  <c r="AW182" i="41"/>
  <c r="AU182" i="41"/>
  <c r="AS182" i="41"/>
  <c r="AQ182" i="41"/>
  <c r="AM182" i="41"/>
  <c r="BI181" i="41"/>
  <c r="BG181" i="41"/>
  <c r="BE181" i="41"/>
  <c r="BC181" i="41"/>
  <c r="BA181" i="41"/>
  <c r="AY181" i="41"/>
  <c r="AW181" i="41"/>
  <c r="AU181" i="41"/>
  <c r="AS181" i="41"/>
  <c r="AQ181" i="41"/>
  <c r="AM181" i="41"/>
  <c r="BI180" i="41"/>
  <c r="BG180" i="41"/>
  <c r="BE180" i="41"/>
  <c r="BC180" i="41"/>
  <c r="BA180" i="41"/>
  <c r="AY180" i="41"/>
  <c r="AW180" i="41"/>
  <c r="AU180" i="41"/>
  <c r="AS180" i="41"/>
  <c r="AQ180" i="41"/>
  <c r="AM180" i="41"/>
  <c r="BI179" i="41"/>
  <c r="BG179" i="41"/>
  <c r="BE179" i="41"/>
  <c r="BC179" i="41"/>
  <c r="BA179" i="41"/>
  <c r="AY179" i="41"/>
  <c r="AW179" i="41"/>
  <c r="AU179" i="41"/>
  <c r="AS179" i="41"/>
  <c r="AQ179" i="41"/>
  <c r="AM179" i="41"/>
  <c r="BI178" i="41"/>
  <c r="BG178" i="41"/>
  <c r="BE178" i="41"/>
  <c r="BC178" i="41"/>
  <c r="BA178" i="41"/>
  <c r="AY178" i="41"/>
  <c r="AW178" i="41"/>
  <c r="AU178" i="41"/>
  <c r="AS178" i="41"/>
  <c r="AQ178" i="41"/>
  <c r="AM178" i="41"/>
  <c r="BI177" i="41"/>
  <c r="BG177" i="41"/>
  <c r="BE177" i="41"/>
  <c r="BC177" i="41"/>
  <c r="BA177" i="41"/>
  <c r="AY177" i="41"/>
  <c r="AW177" i="41"/>
  <c r="AU177" i="41"/>
  <c r="AS177" i="41"/>
  <c r="AQ177" i="41"/>
  <c r="AM177" i="41"/>
  <c r="BI176" i="41"/>
  <c r="BG176" i="41"/>
  <c r="BE176" i="41"/>
  <c r="BC176" i="41"/>
  <c r="BA176" i="41"/>
  <c r="AY176" i="41"/>
  <c r="AW176" i="41"/>
  <c r="AU176" i="41"/>
  <c r="AS176" i="41"/>
  <c r="AQ176" i="41"/>
  <c r="AM176" i="41"/>
  <c r="BI175" i="41"/>
  <c r="BG175" i="41"/>
  <c r="BE175" i="41"/>
  <c r="BC175" i="41"/>
  <c r="BA175" i="41"/>
  <c r="AY175" i="41"/>
  <c r="AW175" i="41"/>
  <c r="AU175" i="41"/>
  <c r="AS175" i="41"/>
  <c r="AQ175" i="41"/>
  <c r="AM175" i="41"/>
  <c r="BI174" i="41"/>
  <c r="BG174" i="41"/>
  <c r="BE174" i="41"/>
  <c r="BC174" i="41"/>
  <c r="BA174" i="41"/>
  <c r="AY174" i="41"/>
  <c r="AW174" i="41"/>
  <c r="AU174" i="41"/>
  <c r="AS174" i="41"/>
  <c r="AQ174" i="41"/>
  <c r="AM174" i="41"/>
  <c r="BI173" i="41"/>
  <c r="BG173" i="41"/>
  <c r="BE173" i="41"/>
  <c r="BC173" i="41"/>
  <c r="BA173" i="41"/>
  <c r="AY173" i="41"/>
  <c r="AW173" i="41"/>
  <c r="AU173" i="41"/>
  <c r="AS173" i="41"/>
  <c r="AQ173" i="41"/>
  <c r="AM173" i="41"/>
  <c r="BI172" i="41"/>
  <c r="BG172" i="41"/>
  <c r="BE172" i="41"/>
  <c r="BC172" i="41"/>
  <c r="BA172" i="41"/>
  <c r="AY172" i="41"/>
  <c r="AW172" i="41"/>
  <c r="AU172" i="41"/>
  <c r="AS172" i="41"/>
  <c r="AQ172" i="41"/>
  <c r="AM172" i="41"/>
  <c r="BI170" i="41"/>
  <c r="BG170" i="41"/>
  <c r="BE170" i="41"/>
  <c r="BC170" i="41"/>
  <c r="BA170" i="41"/>
  <c r="AY170" i="41"/>
  <c r="AW170" i="41"/>
  <c r="AU170" i="41"/>
  <c r="AS170" i="41"/>
  <c r="AQ170" i="41"/>
  <c r="AM170" i="41"/>
  <c r="BI169" i="41"/>
  <c r="BG169" i="41"/>
  <c r="BE169" i="41"/>
  <c r="BC169" i="41"/>
  <c r="BA169" i="41"/>
  <c r="AY169" i="41"/>
  <c r="AW169" i="41"/>
  <c r="AU169" i="41"/>
  <c r="AS169" i="41"/>
  <c r="AQ169" i="41"/>
  <c r="AM169" i="41"/>
  <c r="BI168" i="41"/>
  <c r="BG168" i="41"/>
  <c r="BE168" i="41"/>
  <c r="BC168" i="41"/>
  <c r="BA168" i="41"/>
  <c r="AY168" i="41"/>
  <c r="AW168" i="41"/>
  <c r="AU168" i="41"/>
  <c r="AS168" i="41"/>
  <c r="AQ168" i="41"/>
  <c r="AM168" i="41"/>
  <c r="BI167" i="41"/>
  <c r="BG167" i="41"/>
  <c r="BE167" i="41"/>
  <c r="BC167" i="41"/>
  <c r="BA167" i="41"/>
  <c r="AY167" i="41"/>
  <c r="AW167" i="41"/>
  <c r="AU167" i="41"/>
  <c r="AS167" i="41"/>
  <c r="AQ167" i="41"/>
  <c r="AM167" i="41"/>
  <c r="BI166" i="41"/>
  <c r="BG166" i="41"/>
  <c r="BE166" i="41"/>
  <c r="BC166" i="41"/>
  <c r="BA166" i="41"/>
  <c r="AY166" i="41"/>
  <c r="AW166" i="41"/>
  <c r="AU166" i="41"/>
  <c r="AS166" i="41"/>
  <c r="AQ166" i="41"/>
  <c r="AM166" i="41"/>
  <c r="BI165" i="41"/>
  <c r="BG165" i="41"/>
  <c r="BE165" i="41"/>
  <c r="BC165" i="41"/>
  <c r="BA165" i="41"/>
  <c r="AY165" i="41"/>
  <c r="AW165" i="41"/>
  <c r="AU165" i="41"/>
  <c r="AS165" i="41"/>
  <c r="AQ165" i="41"/>
  <c r="AM165" i="41"/>
  <c r="BI164" i="41"/>
  <c r="BG164" i="41"/>
  <c r="BE164" i="41"/>
  <c r="BC164" i="41"/>
  <c r="BA164" i="41"/>
  <c r="AY164" i="41"/>
  <c r="AW164" i="41"/>
  <c r="AU164" i="41"/>
  <c r="AS164" i="41"/>
  <c r="AQ164" i="41"/>
  <c r="AM164" i="41"/>
  <c r="BI163" i="41"/>
  <c r="BG163" i="41"/>
  <c r="BE163" i="41"/>
  <c r="BC163" i="41"/>
  <c r="BA163" i="41"/>
  <c r="AY163" i="41"/>
  <c r="AW163" i="41"/>
  <c r="AU163" i="41"/>
  <c r="AS163" i="41"/>
  <c r="AM163" i="41"/>
  <c r="BI162" i="41"/>
  <c r="BG162" i="41"/>
  <c r="BE162" i="41"/>
  <c r="BC162" i="41"/>
  <c r="BA162" i="41"/>
  <c r="AY162" i="41"/>
  <c r="AW162" i="41"/>
  <c r="AU162" i="41"/>
  <c r="AS162" i="41"/>
  <c r="AQ162" i="41"/>
  <c r="AM162" i="41"/>
  <c r="BI161" i="41"/>
  <c r="BG161" i="41"/>
  <c r="BE161" i="41"/>
  <c r="BC161" i="41"/>
  <c r="BA161" i="41"/>
  <c r="AY161" i="41"/>
  <c r="AW161" i="41"/>
  <c r="AU161" i="41"/>
  <c r="AS161" i="41"/>
  <c r="AQ161" i="41"/>
  <c r="AM161" i="41"/>
  <c r="BI159" i="41"/>
  <c r="BG159" i="41"/>
  <c r="BE159" i="41"/>
  <c r="BC159" i="41"/>
  <c r="BA159" i="41"/>
  <c r="AY159" i="41"/>
  <c r="AW159" i="41"/>
  <c r="AU159" i="41"/>
  <c r="AS159" i="41"/>
  <c r="AQ159" i="41"/>
  <c r="AM159" i="41"/>
  <c r="BI158" i="41"/>
  <c r="BG158" i="41"/>
  <c r="BE158" i="41"/>
  <c r="BC158" i="41"/>
  <c r="BA158" i="41"/>
  <c r="AY158" i="41"/>
  <c r="AW158" i="41"/>
  <c r="AU158" i="41"/>
  <c r="AS158" i="41"/>
  <c r="AQ158" i="41"/>
  <c r="AM158" i="41"/>
  <c r="BI157" i="41"/>
  <c r="BG157" i="41"/>
  <c r="BE157" i="41"/>
  <c r="BC157" i="41"/>
  <c r="BA157" i="41"/>
  <c r="AY157" i="41"/>
  <c r="AW157" i="41"/>
  <c r="AU157" i="41"/>
  <c r="AS157" i="41"/>
  <c r="AQ157" i="41"/>
  <c r="AM157" i="41"/>
  <c r="BI156" i="41"/>
  <c r="BG156" i="41"/>
  <c r="BE156" i="41"/>
  <c r="BC156" i="41"/>
  <c r="BA156" i="41"/>
  <c r="AY156" i="41"/>
  <c r="AW156" i="41"/>
  <c r="AU156" i="41"/>
  <c r="AS156" i="41"/>
  <c r="AQ156" i="41"/>
  <c r="AM156" i="41"/>
  <c r="BI155" i="41"/>
  <c r="BG155" i="41"/>
  <c r="BE155" i="41"/>
  <c r="BC155" i="41"/>
  <c r="BA155" i="41"/>
  <c r="AY155" i="41"/>
  <c r="AW155" i="41"/>
  <c r="AU155" i="41"/>
  <c r="AS155" i="41"/>
  <c r="AQ155" i="41"/>
  <c r="AM155" i="41"/>
  <c r="BI154" i="41"/>
  <c r="BG154" i="41"/>
  <c r="BE154" i="41"/>
  <c r="BC154" i="41"/>
  <c r="BA154" i="41"/>
  <c r="AY154" i="41"/>
  <c r="AW154" i="41"/>
  <c r="AU154" i="41"/>
  <c r="AS154" i="41"/>
  <c r="AQ154" i="41"/>
  <c r="AM154" i="41"/>
  <c r="BI153" i="41"/>
  <c r="BG153" i="41"/>
  <c r="BE153" i="41"/>
  <c r="BC153" i="41"/>
  <c r="BA153" i="41"/>
  <c r="AY153" i="41"/>
  <c r="AW153" i="41"/>
  <c r="AU153" i="41"/>
  <c r="AS153" i="41"/>
  <c r="AQ153" i="41"/>
  <c r="AM153" i="41"/>
  <c r="BI152" i="41"/>
  <c r="BG152" i="41"/>
  <c r="BE152" i="41"/>
  <c r="BC152" i="41"/>
  <c r="BA152" i="41"/>
  <c r="AY152" i="41"/>
  <c r="AW152" i="41"/>
  <c r="AU152" i="41"/>
  <c r="AS152" i="41"/>
  <c r="AQ152" i="41"/>
  <c r="AM152" i="41"/>
  <c r="BI151" i="41"/>
  <c r="BG151" i="41"/>
  <c r="BE151" i="41"/>
  <c r="BC151" i="41"/>
  <c r="BA151" i="41"/>
  <c r="AY151" i="41"/>
  <c r="AW151" i="41"/>
  <c r="AU151" i="41"/>
  <c r="AS151" i="41"/>
  <c r="AQ151" i="41"/>
  <c r="AM151" i="41"/>
  <c r="BI150" i="41"/>
  <c r="BG150" i="41"/>
  <c r="BE150" i="41"/>
  <c r="BC150" i="41"/>
  <c r="BA150" i="41"/>
  <c r="AY150" i="41"/>
  <c r="AW150" i="41"/>
  <c r="AU150" i="41"/>
  <c r="AS150" i="41"/>
  <c r="AQ150" i="41"/>
  <c r="AM150" i="41"/>
  <c r="BI148" i="41"/>
  <c r="BG148" i="41"/>
  <c r="BE148" i="41"/>
  <c r="BC148" i="41"/>
  <c r="BA148" i="41"/>
  <c r="AY148" i="41"/>
  <c r="AW148" i="41"/>
  <c r="AU148" i="41"/>
  <c r="AS148" i="41"/>
  <c r="AQ148" i="41"/>
  <c r="AM148" i="41"/>
  <c r="BI147" i="41"/>
  <c r="BG147" i="41"/>
  <c r="BE147" i="41"/>
  <c r="BC147" i="41"/>
  <c r="BA147" i="41"/>
  <c r="AY147" i="41"/>
  <c r="AW147" i="41"/>
  <c r="AU147" i="41"/>
  <c r="AS147" i="41"/>
  <c r="AQ147" i="41"/>
  <c r="AM147" i="41"/>
  <c r="BI146" i="41"/>
  <c r="BG146" i="41"/>
  <c r="BE146" i="41"/>
  <c r="BC146" i="41"/>
  <c r="BA146" i="41"/>
  <c r="AY146" i="41"/>
  <c r="AW146" i="41"/>
  <c r="AU146" i="41"/>
  <c r="AS146" i="41"/>
  <c r="AQ146" i="41"/>
  <c r="AM146" i="41"/>
  <c r="BI145" i="41"/>
  <c r="BG145" i="41"/>
  <c r="BE145" i="41"/>
  <c r="BC145" i="41"/>
  <c r="BA145" i="41"/>
  <c r="AY145" i="41"/>
  <c r="AW145" i="41"/>
  <c r="AU145" i="41"/>
  <c r="AS145" i="41"/>
  <c r="AQ145" i="41"/>
  <c r="AM145" i="41"/>
  <c r="BI144" i="41"/>
  <c r="BG144" i="41"/>
  <c r="BE144" i="41"/>
  <c r="BC144" i="41"/>
  <c r="BA144" i="41"/>
  <c r="AY144" i="41"/>
  <c r="AW144" i="41"/>
  <c r="AU144" i="41"/>
  <c r="AS144" i="41"/>
  <c r="AQ144" i="41"/>
  <c r="AM144" i="41"/>
  <c r="BI143" i="41"/>
  <c r="BG143" i="41"/>
  <c r="BE143" i="41"/>
  <c r="BC143" i="41"/>
  <c r="BA143" i="41"/>
  <c r="AY143" i="41"/>
  <c r="AW143" i="41"/>
  <c r="AU143" i="41"/>
  <c r="AS143" i="41"/>
  <c r="AQ143" i="41"/>
  <c r="AM143" i="41"/>
  <c r="BI140" i="41"/>
  <c r="BG140" i="41"/>
  <c r="BE140" i="41"/>
  <c r="BC140" i="41"/>
  <c r="BA140" i="41"/>
  <c r="AY140" i="41"/>
  <c r="AW140" i="41"/>
  <c r="AU140" i="41"/>
  <c r="AS140" i="41"/>
  <c r="AQ140" i="41"/>
  <c r="AM140" i="41"/>
  <c r="BI139" i="41"/>
  <c r="BG139" i="41"/>
  <c r="BE139" i="41"/>
  <c r="BC139" i="41"/>
  <c r="BA139" i="41"/>
  <c r="AY139" i="41"/>
  <c r="AW139" i="41"/>
  <c r="AU139" i="41"/>
  <c r="AS139" i="41"/>
  <c r="AQ139" i="41"/>
  <c r="AM139" i="41"/>
  <c r="BI138" i="41"/>
  <c r="BG138" i="41"/>
  <c r="BE138" i="41"/>
  <c r="BC138" i="41"/>
  <c r="BA138" i="41"/>
  <c r="AY138" i="41"/>
  <c r="AW138" i="41"/>
  <c r="AU138" i="41"/>
  <c r="AS138" i="41"/>
  <c r="AQ138" i="41"/>
  <c r="AM138" i="41"/>
  <c r="BI136" i="41"/>
  <c r="BG136" i="41"/>
  <c r="BE136" i="41"/>
  <c r="BC136" i="41"/>
  <c r="BA136" i="41"/>
  <c r="AY136" i="41"/>
  <c r="AW136" i="41"/>
  <c r="AU136" i="41"/>
  <c r="AS136" i="41"/>
  <c r="AQ136" i="41"/>
  <c r="AM136" i="41"/>
  <c r="BI135" i="41"/>
  <c r="BG135" i="41"/>
  <c r="BE135" i="41"/>
  <c r="BC135" i="41"/>
  <c r="BA135" i="41"/>
  <c r="AY135" i="41"/>
  <c r="AW135" i="41"/>
  <c r="AU135" i="41"/>
  <c r="AS135" i="41"/>
  <c r="AQ135" i="41"/>
  <c r="AM135" i="41"/>
  <c r="BI133" i="41"/>
  <c r="BG133" i="41"/>
  <c r="BE133" i="41"/>
  <c r="BC133" i="41"/>
  <c r="BA133" i="41"/>
  <c r="AY133" i="41"/>
  <c r="AW133" i="41"/>
  <c r="AU133" i="41"/>
  <c r="AS133" i="41"/>
  <c r="AQ133" i="41"/>
  <c r="AM133" i="41"/>
  <c r="BI131" i="41"/>
  <c r="BG131" i="41"/>
  <c r="BE131" i="41"/>
  <c r="BC131" i="41"/>
  <c r="BA131" i="41"/>
  <c r="AY131" i="41"/>
  <c r="AW131" i="41"/>
  <c r="AU131" i="41"/>
  <c r="AS131" i="41"/>
  <c r="AQ131" i="41"/>
  <c r="AM131" i="41"/>
  <c r="BI129" i="41"/>
  <c r="BG129" i="41"/>
  <c r="BE129" i="41"/>
  <c r="BC129" i="41"/>
  <c r="BA129" i="41"/>
  <c r="AY129" i="41"/>
  <c r="AW129" i="41"/>
  <c r="AU129" i="41"/>
  <c r="AS129" i="41"/>
  <c r="AQ129" i="41"/>
  <c r="AM129" i="41"/>
  <c r="BI128" i="41"/>
  <c r="BG128" i="41"/>
  <c r="BE128" i="41"/>
  <c r="BC128" i="41"/>
  <c r="BA128" i="41"/>
  <c r="AY128" i="41"/>
  <c r="AW128" i="41"/>
  <c r="AU128" i="41"/>
  <c r="AS128" i="41"/>
  <c r="AQ128" i="41"/>
  <c r="AM128" i="41"/>
  <c r="BI127" i="41"/>
  <c r="BG127" i="41"/>
  <c r="BE127" i="41"/>
  <c r="BC127" i="41"/>
  <c r="BA127" i="41"/>
  <c r="AY127" i="41"/>
  <c r="AW127" i="41"/>
  <c r="AU127" i="41"/>
  <c r="AS127" i="41"/>
  <c r="AQ127" i="41"/>
  <c r="AM127" i="41"/>
  <c r="BI125" i="41"/>
  <c r="BG125" i="41"/>
  <c r="BE125" i="41"/>
  <c r="BC125" i="41"/>
  <c r="BA125" i="41"/>
  <c r="AY125" i="41"/>
  <c r="AW125" i="41"/>
  <c r="AU125" i="41"/>
  <c r="AS125" i="41"/>
  <c r="AQ125" i="41"/>
  <c r="AM125" i="41"/>
  <c r="BI123" i="41"/>
  <c r="BG123" i="41"/>
  <c r="BE123" i="41"/>
  <c r="BC123" i="41"/>
  <c r="BA123" i="41"/>
  <c r="AY123" i="41"/>
  <c r="AW123" i="41"/>
  <c r="AU123" i="41"/>
  <c r="AS123" i="41"/>
  <c r="AQ123" i="41"/>
  <c r="AM123" i="41"/>
  <c r="BI122" i="41"/>
  <c r="BG122" i="41"/>
  <c r="BE122" i="41"/>
  <c r="BC122" i="41"/>
  <c r="BA122" i="41"/>
  <c r="AY122" i="41"/>
  <c r="AW122" i="41"/>
  <c r="AU122" i="41"/>
  <c r="AS122" i="41"/>
  <c r="AQ122" i="41"/>
  <c r="AM122" i="41"/>
  <c r="BI121" i="41"/>
  <c r="BG121" i="41"/>
  <c r="BE121" i="41"/>
  <c r="BC121" i="41"/>
  <c r="BA121" i="41"/>
  <c r="AY121" i="41"/>
  <c r="AW121" i="41"/>
  <c r="AU121" i="41"/>
  <c r="AS121" i="41"/>
  <c r="AQ121" i="41"/>
  <c r="AM121" i="41"/>
  <c r="BI119" i="41"/>
  <c r="BG119" i="41"/>
  <c r="BE119" i="41"/>
  <c r="BC119" i="41"/>
  <c r="BA119" i="41"/>
  <c r="AY119" i="41"/>
  <c r="AW119" i="41"/>
  <c r="AU119" i="41"/>
  <c r="AS119" i="41"/>
  <c r="AQ119" i="41"/>
  <c r="AM119" i="41"/>
  <c r="BI118" i="41"/>
  <c r="BG118" i="41"/>
  <c r="BE118" i="41"/>
  <c r="BC118" i="41"/>
  <c r="BA118" i="41"/>
  <c r="AY118" i="41"/>
  <c r="AW118" i="41"/>
  <c r="AU118" i="41"/>
  <c r="AS118" i="41"/>
  <c r="AQ118" i="41"/>
  <c r="AM118" i="41"/>
  <c r="BI117" i="41"/>
  <c r="BG117" i="41"/>
  <c r="BE117" i="41"/>
  <c r="BC117" i="41"/>
  <c r="BA117" i="41"/>
  <c r="AY117" i="41"/>
  <c r="AW117" i="41"/>
  <c r="AU117" i="41"/>
  <c r="AS117" i="41"/>
  <c r="AQ117" i="41"/>
  <c r="AM117" i="41"/>
  <c r="BI116" i="41"/>
  <c r="BG116" i="41"/>
  <c r="BE116" i="41"/>
  <c r="BC116" i="41"/>
  <c r="BA116" i="41"/>
  <c r="AY116" i="41"/>
  <c r="AW116" i="41"/>
  <c r="AU116" i="41"/>
  <c r="AS116" i="41"/>
  <c r="AQ116" i="41"/>
  <c r="AM116" i="41"/>
  <c r="BI115" i="41"/>
  <c r="BG115" i="41"/>
  <c r="BE115" i="41"/>
  <c r="BC115" i="41"/>
  <c r="BA115" i="41"/>
  <c r="AY115" i="41"/>
  <c r="AW115" i="41"/>
  <c r="AU115" i="41"/>
  <c r="AS115" i="41"/>
  <c r="AQ115" i="41"/>
  <c r="AM115" i="41"/>
  <c r="BI114" i="41"/>
  <c r="BG114" i="41"/>
  <c r="BE114" i="41"/>
  <c r="BC114" i="41"/>
  <c r="BA114" i="41"/>
  <c r="AY114" i="41"/>
  <c r="AW114" i="41"/>
  <c r="AU114" i="41"/>
  <c r="AS114" i="41"/>
  <c r="AQ114" i="41"/>
  <c r="AM114" i="41"/>
  <c r="BI113" i="41"/>
  <c r="BG113" i="41"/>
  <c r="BE113" i="41"/>
  <c r="BC113" i="41"/>
  <c r="BA113" i="41"/>
  <c r="AY113" i="41"/>
  <c r="AW113" i="41"/>
  <c r="AU113" i="41"/>
  <c r="AS113" i="41"/>
  <c r="AQ113" i="41"/>
  <c r="AM113" i="41"/>
  <c r="BI112" i="41"/>
  <c r="BG112" i="41"/>
  <c r="BE112" i="41"/>
  <c r="BC112" i="41"/>
  <c r="BA112" i="41"/>
  <c r="AY112" i="41"/>
  <c r="AW112" i="41"/>
  <c r="AU112" i="41"/>
  <c r="AS112" i="41"/>
  <c r="AQ112" i="41"/>
  <c r="AM112" i="41"/>
  <c r="BI111" i="41"/>
  <c r="BG111" i="41"/>
  <c r="BE111" i="41"/>
  <c r="BC111" i="41"/>
  <c r="BA111" i="41"/>
  <c r="AY111" i="41"/>
  <c r="AW111" i="41"/>
  <c r="AU111" i="41"/>
  <c r="AS111" i="41"/>
  <c r="AQ111" i="41"/>
  <c r="AM111" i="41"/>
  <c r="BI110" i="41"/>
  <c r="BG110" i="41"/>
  <c r="BE110" i="41"/>
  <c r="BC110" i="41"/>
  <c r="BA110" i="41"/>
  <c r="AY110" i="41"/>
  <c r="AW110" i="41"/>
  <c r="AU110" i="41"/>
  <c r="AS110" i="41"/>
  <c r="AQ110" i="41"/>
  <c r="AM110" i="41"/>
  <c r="BI109" i="41"/>
  <c r="BG109" i="41"/>
  <c r="BE109" i="41"/>
  <c r="BC109" i="41"/>
  <c r="BA109" i="41"/>
  <c r="AY109" i="41"/>
  <c r="AW109" i="41"/>
  <c r="AU109" i="41"/>
  <c r="AS109" i="41"/>
  <c r="AQ109" i="41"/>
  <c r="AM109" i="41"/>
  <c r="BI108" i="41"/>
  <c r="BG108" i="41"/>
  <c r="BE108" i="41"/>
  <c r="BC108" i="41"/>
  <c r="BA108" i="41"/>
  <c r="AY108" i="41"/>
  <c r="AW108" i="41"/>
  <c r="AU108" i="41"/>
  <c r="AS108" i="41"/>
  <c r="AQ108" i="41"/>
  <c r="AM108" i="41"/>
  <c r="BI107" i="41"/>
  <c r="BG107" i="41"/>
  <c r="BE107" i="41"/>
  <c r="BC107" i="41"/>
  <c r="BA107" i="41"/>
  <c r="AY107" i="41"/>
  <c r="AW107" i="41"/>
  <c r="AU107" i="41"/>
  <c r="AS107" i="41"/>
  <c r="AQ107" i="41"/>
  <c r="AM107" i="41"/>
  <c r="BI106" i="41"/>
  <c r="BG106" i="41"/>
  <c r="BE106" i="41"/>
  <c r="BC106" i="41"/>
  <c r="BA106" i="41"/>
  <c r="AY106" i="41"/>
  <c r="AW106" i="41"/>
  <c r="AU106" i="41"/>
  <c r="AS106" i="41"/>
  <c r="AQ106" i="41"/>
  <c r="AM106" i="41"/>
  <c r="BI105" i="41"/>
  <c r="BG105" i="41"/>
  <c r="BE105" i="41"/>
  <c r="BC105" i="41"/>
  <c r="BA105" i="41"/>
  <c r="AY105" i="41"/>
  <c r="AW105" i="41"/>
  <c r="AU105" i="41"/>
  <c r="AS105" i="41"/>
  <c r="AQ105" i="41"/>
  <c r="AM105" i="41"/>
  <c r="BI104" i="41"/>
  <c r="BG104" i="41"/>
  <c r="BE104" i="41"/>
  <c r="BC104" i="41"/>
  <c r="BA104" i="41"/>
  <c r="AY104" i="41"/>
  <c r="AW104" i="41"/>
  <c r="AU104" i="41"/>
  <c r="AS104" i="41"/>
  <c r="AQ104" i="41"/>
  <c r="AM104" i="41"/>
  <c r="BI103" i="41"/>
  <c r="BG103" i="41"/>
  <c r="BE103" i="41"/>
  <c r="BC103" i="41"/>
  <c r="BA103" i="41"/>
  <c r="AY103" i="41"/>
  <c r="AW103" i="41"/>
  <c r="AU103" i="41"/>
  <c r="AS103" i="41"/>
  <c r="AQ103" i="41"/>
  <c r="AM103" i="41"/>
  <c r="BI102" i="41"/>
  <c r="BG102" i="41"/>
  <c r="BE102" i="41"/>
  <c r="BC102" i="41"/>
  <c r="BA102" i="41"/>
  <c r="AY102" i="41"/>
  <c r="AW102" i="41"/>
  <c r="AU102" i="41"/>
  <c r="AS102" i="41"/>
  <c r="AQ102" i="41"/>
  <c r="AM102" i="41"/>
  <c r="BI101" i="41"/>
  <c r="BG101" i="41"/>
  <c r="BE101" i="41"/>
  <c r="BC101" i="41"/>
  <c r="BA101" i="41"/>
  <c r="AY101" i="41"/>
  <c r="AW101" i="41"/>
  <c r="AU101" i="41"/>
  <c r="AS101" i="41"/>
  <c r="AQ101" i="41"/>
  <c r="AM101" i="41"/>
  <c r="BI100" i="41"/>
  <c r="BG100" i="41"/>
  <c r="BE100" i="41"/>
  <c r="BC100" i="41"/>
  <c r="BA100" i="41"/>
  <c r="AY100" i="41"/>
  <c r="AW100" i="41"/>
  <c r="AU100" i="41"/>
  <c r="AS100" i="41"/>
  <c r="AQ100" i="41"/>
  <c r="AM100" i="41"/>
  <c r="BI99" i="41"/>
  <c r="BG99" i="41"/>
  <c r="BE99" i="41"/>
  <c r="BC99" i="41"/>
  <c r="BA99" i="41"/>
  <c r="AY99" i="41"/>
  <c r="AW99" i="41"/>
  <c r="AU99" i="41"/>
  <c r="AS99" i="41"/>
  <c r="AQ99" i="41"/>
  <c r="AM99" i="41"/>
  <c r="BI98" i="41"/>
  <c r="BG98" i="41"/>
  <c r="BE98" i="41"/>
  <c r="BC98" i="41"/>
  <c r="BA98" i="41"/>
  <c r="AY98" i="41"/>
  <c r="AW98" i="41"/>
  <c r="AU98" i="41"/>
  <c r="AS98" i="41"/>
  <c r="AQ98" i="41"/>
  <c r="AM98" i="41"/>
  <c r="BI97" i="41"/>
  <c r="BG97" i="41"/>
  <c r="BE97" i="41"/>
  <c r="BC97" i="41"/>
  <c r="BA97" i="41"/>
  <c r="AY97" i="41"/>
  <c r="AW97" i="41"/>
  <c r="AU97" i="41"/>
  <c r="AS97" i="41"/>
  <c r="AQ97" i="41"/>
  <c r="AM97" i="41"/>
  <c r="BI96" i="41"/>
  <c r="BG96" i="41"/>
  <c r="BE96" i="41"/>
  <c r="BC96" i="41"/>
  <c r="BA96" i="41"/>
  <c r="AY96" i="41"/>
  <c r="AW96" i="41"/>
  <c r="AU96" i="41"/>
  <c r="AS96" i="41"/>
  <c r="AQ96" i="41"/>
  <c r="AM96" i="41"/>
  <c r="BI95" i="41"/>
  <c r="BG95" i="41"/>
  <c r="BE95" i="41"/>
  <c r="BC95" i="41"/>
  <c r="BA95" i="41"/>
  <c r="AY95" i="41"/>
  <c r="AW95" i="41"/>
  <c r="AU95" i="41"/>
  <c r="AS95" i="41"/>
  <c r="AQ95" i="41"/>
  <c r="AM95" i="41"/>
  <c r="BI94" i="41"/>
  <c r="BG94" i="41"/>
  <c r="BE94" i="41"/>
  <c r="BC94" i="41"/>
  <c r="BA94" i="41"/>
  <c r="AY94" i="41"/>
  <c r="AW94" i="41"/>
  <c r="AU94" i="41"/>
  <c r="AS94" i="41"/>
  <c r="AQ94" i="41"/>
  <c r="AM94" i="41"/>
  <c r="BI93" i="41"/>
  <c r="BG93" i="41"/>
  <c r="BE93" i="41"/>
  <c r="BC93" i="41"/>
  <c r="BA93" i="41"/>
  <c r="AY93" i="41"/>
  <c r="AW93" i="41"/>
  <c r="AU93" i="41"/>
  <c r="AS93" i="41"/>
  <c r="AQ93" i="41"/>
  <c r="AM93" i="41"/>
  <c r="BI92" i="41"/>
  <c r="BG92" i="41"/>
  <c r="BE92" i="41"/>
  <c r="BC92" i="41"/>
  <c r="BA92" i="41"/>
  <c r="AY92" i="41"/>
  <c r="AW92" i="41"/>
  <c r="AU92" i="41"/>
  <c r="AS92" i="41"/>
  <c r="AQ92" i="41"/>
  <c r="AM92" i="41"/>
  <c r="BI91" i="41"/>
  <c r="BG91" i="41"/>
  <c r="BE91" i="41"/>
  <c r="BC91" i="41"/>
  <c r="BA91" i="41"/>
  <c r="AY91" i="41"/>
  <c r="AW91" i="41"/>
  <c r="AU91" i="41"/>
  <c r="AS91" i="41"/>
  <c r="AQ91" i="41"/>
  <c r="AM91" i="41"/>
  <c r="BI90" i="41"/>
  <c r="BG90" i="41"/>
  <c r="BE90" i="41"/>
  <c r="BC90" i="41"/>
  <c r="BA90" i="41"/>
  <c r="AY90" i="41"/>
  <c r="AW90" i="41"/>
  <c r="AU90" i="41"/>
  <c r="AS90" i="41"/>
  <c r="AQ90" i="41"/>
  <c r="AM90" i="41"/>
  <c r="BI89" i="41"/>
  <c r="BG89" i="41"/>
  <c r="BE89" i="41"/>
  <c r="BC89" i="41"/>
  <c r="BA89" i="41"/>
  <c r="AY89" i="41"/>
  <c r="AW89" i="41"/>
  <c r="AU89" i="41"/>
  <c r="AS89" i="41"/>
  <c r="AQ89" i="41"/>
  <c r="AM89" i="41"/>
  <c r="BI88" i="41"/>
  <c r="BG88" i="41"/>
  <c r="BE88" i="41"/>
  <c r="BC88" i="41"/>
  <c r="BA88" i="41"/>
  <c r="AY88" i="41"/>
  <c r="AW88" i="41"/>
  <c r="AU88" i="41"/>
  <c r="AS88" i="41"/>
  <c r="AQ88" i="41"/>
  <c r="AM88" i="41"/>
  <c r="BI87" i="41"/>
  <c r="BG87" i="41"/>
  <c r="BE87" i="41"/>
  <c r="BC87" i="41"/>
  <c r="BA87" i="41"/>
  <c r="AY87" i="41"/>
  <c r="AW87" i="41"/>
  <c r="AU87" i="41"/>
  <c r="AS87" i="41"/>
  <c r="AQ87" i="41"/>
  <c r="AM87" i="41"/>
  <c r="BI86" i="41"/>
  <c r="BG86" i="41"/>
  <c r="BE86" i="41"/>
  <c r="BC86" i="41"/>
  <c r="BA86" i="41"/>
  <c r="AY86" i="41"/>
  <c r="AW86" i="41"/>
  <c r="AU86" i="41"/>
  <c r="AS86" i="41"/>
  <c r="AQ86" i="41"/>
  <c r="AM86" i="41"/>
  <c r="BI85" i="41"/>
  <c r="BG85" i="41"/>
  <c r="BE85" i="41"/>
  <c r="BC85" i="41"/>
  <c r="BA85" i="41"/>
  <c r="AY85" i="41"/>
  <c r="AW85" i="41"/>
  <c r="AU85" i="41"/>
  <c r="AS85" i="41"/>
  <c r="AQ85" i="41"/>
  <c r="AM85" i="41"/>
  <c r="BI84" i="41"/>
  <c r="BG84" i="41"/>
  <c r="BE84" i="41"/>
  <c r="BC84" i="41"/>
  <c r="BA84" i="41"/>
  <c r="AY84" i="41"/>
  <c r="AW84" i="41"/>
  <c r="AU84" i="41"/>
  <c r="AS84" i="41"/>
  <c r="AQ84" i="41"/>
  <c r="AM84" i="41"/>
  <c r="BI83" i="41"/>
  <c r="BG83" i="41"/>
  <c r="BE83" i="41"/>
  <c r="BC83" i="41"/>
  <c r="BA83" i="41"/>
  <c r="AY83" i="41"/>
  <c r="AW83" i="41"/>
  <c r="AU83" i="41"/>
  <c r="AS83" i="41"/>
  <c r="AQ83" i="41"/>
  <c r="AM83" i="41"/>
  <c r="BI82" i="41"/>
  <c r="BG82" i="41"/>
  <c r="BE82" i="41"/>
  <c r="BC82" i="41"/>
  <c r="BA82" i="41"/>
  <c r="AY82" i="41"/>
  <c r="AW82" i="41"/>
  <c r="AU82" i="41"/>
  <c r="AS82" i="41"/>
  <c r="AQ82" i="41"/>
  <c r="AM82" i="41"/>
  <c r="BI81" i="41"/>
  <c r="BG81" i="41"/>
  <c r="BE81" i="41"/>
  <c r="BC81" i="41"/>
  <c r="BA81" i="41"/>
  <c r="AY81" i="41"/>
  <c r="AW81" i="41"/>
  <c r="AU81" i="41"/>
  <c r="AS81" i="41"/>
  <c r="AQ81" i="41"/>
  <c r="AM81" i="41"/>
  <c r="BI80" i="41"/>
  <c r="BG80" i="41"/>
  <c r="BE80" i="41"/>
  <c r="BC80" i="41"/>
  <c r="BA80" i="41"/>
  <c r="AY80" i="41"/>
  <c r="AW80" i="41"/>
  <c r="AU80" i="41"/>
  <c r="AS80" i="41"/>
  <c r="AQ80" i="41"/>
  <c r="AM80" i="41"/>
  <c r="BI79" i="41"/>
  <c r="BG79" i="41"/>
  <c r="BE79" i="41"/>
  <c r="BC79" i="41"/>
  <c r="BA79" i="41"/>
  <c r="AY79" i="41"/>
  <c r="AW79" i="41"/>
  <c r="AU79" i="41"/>
  <c r="AS79" i="41"/>
  <c r="AQ79" i="41"/>
  <c r="AM79" i="41"/>
  <c r="BI78" i="41"/>
  <c r="BG78" i="41"/>
  <c r="BE78" i="41"/>
  <c r="BC78" i="41"/>
  <c r="BA78" i="41"/>
  <c r="AY78" i="41"/>
  <c r="AW78" i="41"/>
  <c r="AU78" i="41"/>
  <c r="AS78" i="41"/>
  <c r="AQ78" i="41"/>
  <c r="AM78" i="41"/>
  <c r="BI77" i="41"/>
  <c r="BG77" i="41"/>
  <c r="BE77" i="41"/>
  <c r="BC77" i="41"/>
  <c r="BA77" i="41"/>
  <c r="AY77" i="41"/>
  <c r="AW77" i="41"/>
  <c r="AU77" i="41"/>
  <c r="AS77" i="41"/>
  <c r="AQ77" i="41"/>
  <c r="AM77" i="41"/>
  <c r="BI76" i="41"/>
  <c r="BG76" i="41"/>
  <c r="BE76" i="41"/>
  <c r="BC76" i="41"/>
  <c r="BA76" i="41"/>
  <c r="AY76" i="41"/>
  <c r="AW76" i="41"/>
  <c r="AU76" i="41"/>
  <c r="AS76" i="41"/>
  <c r="AQ76" i="41"/>
  <c r="AM76" i="41"/>
  <c r="BI75" i="41"/>
  <c r="BG75" i="41"/>
  <c r="BE75" i="41"/>
  <c r="BC75" i="41"/>
  <c r="BA75" i="41"/>
  <c r="AY75" i="41"/>
  <c r="AW75" i="41"/>
  <c r="AU75" i="41"/>
  <c r="AS75" i="41"/>
  <c r="AQ75" i="41"/>
  <c r="AM75" i="41"/>
  <c r="BI74" i="41"/>
  <c r="BG74" i="41"/>
  <c r="BE74" i="41"/>
  <c r="BC74" i="41"/>
  <c r="BA74" i="41"/>
  <c r="AY74" i="41"/>
  <c r="AW74" i="41"/>
  <c r="AU74" i="41"/>
  <c r="AS74" i="41"/>
  <c r="AQ74" i="41"/>
  <c r="AM74" i="41"/>
  <c r="BI73" i="41"/>
  <c r="BG73" i="41"/>
  <c r="BE73" i="41"/>
  <c r="BC73" i="41"/>
  <c r="BA73" i="41"/>
  <c r="AY73" i="41"/>
  <c r="AW73" i="41"/>
  <c r="AU73" i="41"/>
  <c r="AS73" i="41"/>
  <c r="AQ73" i="41"/>
  <c r="AM73" i="41"/>
  <c r="BI72" i="41"/>
  <c r="BG72" i="41"/>
  <c r="BE72" i="41"/>
  <c r="BC72" i="41"/>
  <c r="BA72" i="41"/>
  <c r="AY72" i="41"/>
  <c r="AW72" i="41"/>
  <c r="AU72" i="41"/>
  <c r="AS72" i="41"/>
  <c r="AQ72" i="41"/>
  <c r="AM72" i="41"/>
  <c r="BI71" i="41"/>
  <c r="BG71" i="41"/>
  <c r="BE71" i="41"/>
  <c r="BC71" i="41"/>
  <c r="BA71" i="41"/>
  <c r="AY71" i="41"/>
  <c r="AW71" i="41"/>
  <c r="AU71" i="41"/>
  <c r="AS71" i="41"/>
  <c r="AQ71" i="41"/>
  <c r="AM71" i="41"/>
  <c r="BI70" i="41"/>
  <c r="BG70" i="41"/>
  <c r="BE70" i="41"/>
  <c r="BC70" i="41"/>
  <c r="BA70" i="41"/>
  <c r="AY70" i="41"/>
  <c r="AW70" i="41"/>
  <c r="AU70" i="41"/>
  <c r="AS70" i="41"/>
  <c r="AQ70" i="41"/>
  <c r="AM70" i="41"/>
  <c r="BI69" i="41"/>
  <c r="BG69" i="41"/>
  <c r="BE69" i="41"/>
  <c r="BC69" i="41"/>
  <c r="BA69" i="41"/>
  <c r="AY69" i="41"/>
  <c r="AW69" i="41"/>
  <c r="AU69" i="41"/>
  <c r="AS69" i="41"/>
  <c r="AQ69" i="41"/>
  <c r="AM69" i="41"/>
  <c r="BI68" i="41"/>
  <c r="BG68" i="41"/>
  <c r="BE68" i="41"/>
  <c r="BC68" i="41"/>
  <c r="BA68" i="41"/>
  <c r="AY68" i="41"/>
  <c r="AW68" i="41"/>
  <c r="AU68" i="41"/>
  <c r="AS68" i="41"/>
  <c r="AQ68" i="41"/>
  <c r="AM68" i="41"/>
  <c r="BI67" i="41"/>
  <c r="BG67" i="41"/>
  <c r="BE67" i="41"/>
  <c r="BC67" i="41"/>
  <c r="BA67" i="41"/>
  <c r="AY67" i="41"/>
  <c r="AW67" i="41"/>
  <c r="AU67" i="41"/>
  <c r="AS67" i="41"/>
  <c r="AQ67" i="41"/>
  <c r="AM67" i="41"/>
  <c r="BI66" i="41"/>
  <c r="BG66" i="41"/>
  <c r="BE66" i="41"/>
  <c r="BC66" i="41"/>
  <c r="BA66" i="41"/>
  <c r="AY66" i="41"/>
  <c r="AW66" i="41"/>
  <c r="AU66" i="41"/>
  <c r="AS66" i="41"/>
  <c r="AQ66" i="41"/>
  <c r="AM66" i="41"/>
  <c r="BI65" i="41"/>
  <c r="BG65" i="41"/>
  <c r="BE65" i="41"/>
  <c r="BC65" i="41"/>
  <c r="BA65" i="41"/>
  <c r="AY65" i="41"/>
  <c r="AW65" i="41"/>
  <c r="AU65" i="41"/>
  <c r="AS65" i="41"/>
  <c r="AQ65" i="41"/>
  <c r="AM65" i="41"/>
  <c r="BI64" i="41"/>
  <c r="BG64" i="41"/>
  <c r="BE64" i="41"/>
  <c r="BC64" i="41"/>
  <c r="BA64" i="41"/>
  <c r="AY64" i="41"/>
  <c r="AW64" i="41"/>
  <c r="AU64" i="41"/>
  <c r="AS64" i="41"/>
  <c r="AQ64" i="41"/>
  <c r="AM64" i="41"/>
  <c r="BI63" i="41"/>
  <c r="BG63" i="41"/>
  <c r="BE63" i="41"/>
  <c r="BC63" i="41"/>
  <c r="BA63" i="41"/>
  <c r="AY63" i="41"/>
  <c r="AW63" i="41"/>
  <c r="AU63" i="41"/>
  <c r="AS63" i="41"/>
  <c r="AQ63" i="41"/>
  <c r="AM63" i="41"/>
  <c r="BI62" i="41"/>
  <c r="BG62" i="41"/>
  <c r="BE62" i="41"/>
  <c r="BC62" i="41"/>
  <c r="BA62" i="41"/>
  <c r="AY62" i="41"/>
  <c r="AW62" i="41"/>
  <c r="AU62" i="41"/>
  <c r="AS62" i="41"/>
  <c r="AQ62" i="41"/>
  <c r="AM62" i="41"/>
  <c r="BI61" i="41"/>
  <c r="BG61" i="41"/>
  <c r="BE61" i="41"/>
  <c r="BC61" i="41"/>
  <c r="BA61" i="41"/>
  <c r="AY61" i="41"/>
  <c r="AW61" i="41"/>
  <c r="AU61" i="41"/>
  <c r="AS61" i="41"/>
  <c r="AQ61" i="41"/>
  <c r="AM61" i="41"/>
  <c r="BI60" i="41"/>
  <c r="BG60" i="41"/>
  <c r="BE60" i="41"/>
  <c r="BC60" i="41"/>
  <c r="BA60" i="41"/>
  <c r="AY60" i="41"/>
  <c r="AW60" i="41"/>
  <c r="AU60" i="41"/>
  <c r="AS60" i="41"/>
  <c r="AQ60" i="41"/>
  <c r="AM60" i="41"/>
  <c r="BI59" i="41"/>
  <c r="BG59" i="41"/>
  <c r="BE59" i="41"/>
  <c r="BC59" i="41"/>
  <c r="BA59" i="41"/>
  <c r="AY59" i="41"/>
  <c r="AW59" i="41"/>
  <c r="AU59" i="41"/>
  <c r="AS59" i="41"/>
  <c r="AQ59" i="41"/>
  <c r="AM59" i="41"/>
  <c r="BI58" i="41"/>
  <c r="BG58" i="41"/>
  <c r="BE58" i="41"/>
  <c r="BC58" i="41"/>
  <c r="BA58" i="41"/>
  <c r="AY58" i="41"/>
  <c r="AW58" i="41"/>
  <c r="AU58" i="41"/>
  <c r="AS58" i="41"/>
  <c r="AQ58" i="41"/>
  <c r="AM58" i="41"/>
  <c r="BI57" i="41"/>
  <c r="BG57" i="41"/>
  <c r="BE57" i="41"/>
  <c r="BC57" i="41"/>
  <c r="BA57" i="41"/>
  <c r="AY57" i="41"/>
  <c r="AW57" i="41"/>
  <c r="AU57" i="41"/>
  <c r="AS57" i="41"/>
  <c r="AQ57" i="41"/>
  <c r="AM57" i="41"/>
  <c r="BI56" i="41"/>
  <c r="BG56" i="41"/>
  <c r="BE56" i="41"/>
  <c r="BC56" i="41"/>
  <c r="BA56" i="41"/>
  <c r="AY56" i="41"/>
  <c r="AW56" i="41"/>
  <c r="AU56" i="41"/>
  <c r="AS56" i="41"/>
  <c r="AQ56" i="41"/>
  <c r="AM56" i="41"/>
  <c r="BI55" i="41"/>
  <c r="BG55" i="41"/>
  <c r="BE55" i="41"/>
  <c r="BC55" i="41"/>
  <c r="BA55" i="41"/>
  <c r="AY55" i="41"/>
  <c r="AW55" i="41"/>
  <c r="AU55" i="41"/>
  <c r="AS55" i="41"/>
  <c r="AQ55" i="41"/>
  <c r="AM55" i="41"/>
  <c r="BI54" i="41"/>
  <c r="BG54" i="41"/>
  <c r="BE54" i="41"/>
  <c r="BC54" i="41"/>
  <c r="BA54" i="41"/>
  <c r="AY54" i="41"/>
  <c r="AW54" i="41"/>
  <c r="AU54" i="41"/>
  <c r="AS54" i="41"/>
  <c r="AQ54" i="41"/>
  <c r="AM54" i="41"/>
  <c r="BI53" i="41"/>
  <c r="BG53" i="41"/>
  <c r="BE53" i="41"/>
  <c r="BC53" i="41"/>
  <c r="BA53" i="41"/>
  <c r="AY53" i="41"/>
  <c r="AW53" i="41"/>
  <c r="AU53" i="41"/>
  <c r="AS53" i="41"/>
  <c r="AQ53" i="41"/>
  <c r="AM53" i="41"/>
  <c r="BI52" i="41"/>
  <c r="BG52" i="41"/>
  <c r="BE52" i="41"/>
  <c r="BC52" i="41"/>
  <c r="BA52" i="41"/>
  <c r="AY52" i="41"/>
  <c r="AW52" i="41"/>
  <c r="AU52" i="41"/>
  <c r="AS52" i="41"/>
  <c r="AQ52" i="41"/>
  <c r="AM52" i="41"/>
  <c r="BI51" i="41"/>
  <c r="BG51" i="41"/>
  <c r="BE51" i="41"/>
  <c r="BC51" i="41"/>
  <c r="BA51" i="41"/>
  <c r="AY51" i="41"/>
  <c r="AW51" i="41"/>
  <c r="AU51" i="41"/>
  <c r="AS51" i="41"/>
  <c r="AQ51" i="41"/>
  <c r="AM51" i="41"/>
  <c r="BI50" i="41"/>
  <c r="BG50" i="41"/>
  <c r="BE50" i="41"/>
  <c r="BC50" i="41"/>
  <c r="BA50" i="41"/>
  <c r="AY50" i="41"/>
  <c r="AW50" i="41"/>
  <c r="AU50" i="41"/>
  <c r="AS50" i="41"/>
  <c r="AQ50" i="41"/>
  <c r="AM50" i="41"/>
  <c r="BI49" i="41"/>
  <c r="BG49" i="41"/>
  <c r="BE49" i="41"/>
  <c r="BC49" i="41"/>
  <c r="BA49" i="41"/>
  <c r="AY49" i="41"/>
  <c r="AW49" i="41"/>
  <c r="AU49" i="41"/>
  <c r="AS49" i="41"/>
  <c r="AQ49" i="41"/>
  <c r="AM49" i="41"/>
  <c r="BI48" i="41"/>
  <c r="BG48" i="41"/>
  <c r="BE48" i="41"/>
  <c r="BC48" i="41"/>
  <c r="BA48" i="41"/>
  <c r="AY48" i="41"/>
  <c r="AW48" i="41"/>
  <c r="AU48" i="41"/>
  <c r="AS48" i="41"/>
  <c r="AQ48" i="41"/>
  <c r="AM48" i="41"/>
  <c r="BI47" i="41"/>
  <c r="BG47" i="41"/>
  <c r="BE47" i="41"/>
  <c r="BC47" i="41"/>
  <c r="BA47" i="41"/>
  <c r="AY47" i="41"/>
  <c r="AW47" i="41"/>
  <c r="AU47" i="41"/>
  <c r="AS47" i="41"/>
  <c r="AQ47" i="41"/>
  <c r="AM47" i="41"/>
  <c r="BI46" i="41"/>
  <c r="BG46" i="41"/>
  <c r="BE46" i="41"/>
  <c r="BC46" i="41"/>
  <c r="BA46" i="41"/>
  <c r="AY46" i="41"/>
  <c r="AW46" i="41"/>
  <c r="AU46" i="41"/>
  <c r="AS46" i="41"/>
  <c r="AQ46" i="41"/>
  <c r="AM46" i="41"/>
  <c r="BI45" i="41"/>
  <c r="BG45" i="41"/>
  <c r="BE45" i="41"/>
  <c r="BC45" i="41"/>
  <c r="BA45" i="41"/>
  <c r="AY45" i="41"/>
  <c r="AW45" i="41"/>
  <c r="AU45" i="41"/>
  <c r="AS45" i="41"/>
  <c r="AQ45" i="41"/>
  <c r="AM45" i="41"/>
  <c r="BI44" i="41"/>
  <c r="BG44" i="41"/>
  <c r="BE44" i="41"/>
  <c r="BC44" i="41"/>
  <c r="BA44" i="41"/>
  <c r="AY44" i="41"/>
  <c r="AW44" i="41"/>
  <c r="AU44" i="41"/>
  <c r="AS44" i="41"/>
  <c r="AQ44" i="41"/>
  <c r="AM44" i="41"/>
  <c r="BI43" i="41"/>
  <c r="BG43" i="41"/>
  <c r="BE43" i="41"/>
  <c r="BC43" i="41"/>
  <c r="BA43" i="41"/>
  <c r="AY43" i="41"/>
  <c r="AW43" i="41"/>
  <c r="AU43" i="41"/>
  <c r="AS43" i="41"/>
  <c r="AQ43" i="41"/>
  <c r="AM43" i="41"/>
  <c r="BI42" i="41"/>
  <c r="BG42" i="41"/>
  <c r="BE42" i="41"/>
  <c r="BC42" i="41"/>
  <c r="BA42" i="41"/>
  <c r="AY42" i="41"/>
  <c r="AW42" i="41"/>
  <c r="AU42" i="41"/>
  <c r="AS42" i="41"/>
  <c r="AQ42" i="41"/>
  <c r="AM42" i="41"/>
  <c r="BI41" i="41"/>
  <c r="BG41" i="41"/>
  <c r="BE41" i="41"/>
  <c r="BC41" i="41"/>
  <c r="BA41" i="41"/>
  <c r="AY41" i="41"/>
  <c r="AW41" i="41"/>
  <c r="AU41" i="41"/>
  <c r="AS41" i="41"/>
  <c r="AQ41" i="41"/>
  <c r="AM41" i="41"/>
  <c r="BI40" i="41"/>
  <c r="BG40" i="41"/>
  <c r="BE40" i="41"/>
  <c r="BC40" i="41"/>
  <c r="BA40" i="41"/>
  <c r="AY40" i="41"/>
  <c r="AW40" i="41"/>
  <c r="AU40" i="41"/>
  <c r="AS40" i="41"/>
  <c r="AQ40" i="41"/>
  <c r="AM40" i="41"/>
  <c r="BI39" i="41"/>
  <c r="BG39" i="41"/>
  <c r="BE39" i="41"/>
  <c r="BC39" i="41"/>
  <c r="BA39" i="41"/>
  <c r="AY39" i="41"/>
  <c r="AW39" i="41"/>
  <c r="AU39" i="41"/>
  <c r="AS39" i="41"/>
  <c r="AQ39" i="41"/>
  <c r="AM39" i="41"/>
  <c r="BI38" i="41"/>
  <c r="BG38" i="41"/>
  <c r="BE38" i="41"/>
  <c r="BC38" i="41"/>
  <c r="BA38" i="41"/>
  <c r="AY38" i="41"/>
  <c r="AW38" i="41"/>
  <c r="AU38" i="41"/>
  <c r="AS38" i="41"/>
  <c r="AQ38" i="41"/>
  <c r="AM38" i="41"/>
  <c r="BI37" i="41"/>
  <c r="BG37" i="41"/>
  <c r="BE37" i="41"/>
  <c r="BC37" i="41"/>
  <c r="BA37" i="41"/>
  <c r="AY37" i="41"/>
  <c r="AW37" i="41"/>
  <c r="AU37" i="41"/>
  <c r="AS37" i="41"/>
  <c r="AQ37" i="41"/>
  <c r="AM37" i="41"/>
  <c r="BI36" i="41"/>
  <c r="BG36" i="41"/>
  <c r="BE36" i="41"/>
  <c r="BC36" i="41"/>
  <c r="BA36" i="41"/>
  <c r="AY36" i="41"/>
  <c r="AW36" i="41"/>
  <c r="AU36" i="41"/>
  <c r="AS36" i="41"/>
  <c r="AQ36" i="41"/>
  <c r="AM36" i="41"/>
  <c r="BI35" i="41"/>
  <c r="BG35" i="41"/>
  <c r="BE35" i="41"/>
  <c r="BC35" i="41"/>
  <c r="BA35" i="41"/>
  <c r="AY35" i="41"/>
  <c r="AW35" i="41"/>
  <c r="AU35" i="41"/>
  <c r="AS35" i="41"/>
  <c r="AQ35" i="41"/>
  <c r="AM35" i="41"/>
  <c r="BI34" i="41"/>
  <c r="BG34" i="41"/>
  <c r="BE34" i="41"/>
  <c r="BC34" i="41"/>
  <c r="BA34" i="41"/>
  <c r="AY34" i="41"/>
  <c r="AW34" i="41"/>
  <c r="AU34" i="41"/>
  <c r="AS34" i="41"/>
  <c r="AQ34" i="41"/>
  <c r="AM34" i="41"/>
  <c r="BI33" i="41"/>
  <c r="BG33" i="41"/>
  <c r="BE33" i="41"/>
  <c r="BC33" i="41"/>
  <c r="BA33" i="41"/>
  <c r="AY33" i="41"/>
  <c r="AW33" i="41"/>
  <c r="AU33" i="41"/>
  <c r="AS33" i="41"/>
  <c r="AQ33" i="41"/>
  <c r="AM33" i="41"/>
  <c r="BI32" i="41"/>
  <c r="BG32" i="41"/>
  <c r="BE32" i="41"/>
  <c r="BC32" i="41"/>
  <c r="BA32" i="41"/>
  <c r="AY32" i="41"/>
  <c r="AW32" i="41"/>
  <c r="AU32" i="41"/>
  <c r="AS32" i="41"/>
  <c r="AQ32" i="41"/>
  <c r="AM32" i="41"/>
  <c r="BI30" i="41"/>
  <c r="BG30" i="41"/>
  <c r="BE30" i="41"/>
  <c r="BC30" i="41"/>
  <c r="BA30" i="41"/>
  <c r="AY30" i="41"/>
  <c r="AW30" i="41"/>
  <c r="AU30" i="41"/>
  <c r="AS30" i="41"/>
  <c r="AQ30" i="41"/>
  <c r="AM30" i="41"/>
  <c r="BI29" i="41"/>
  <c r="BG29" i="41"/>
  <c r="BE29" i="41"/>
  <c r="BC29" i="41"/>
  <c r="BA29" i="41"/>
  <c r="AY29" i="41"/>
  <c r="AW29" i="41"/>
  <c r="AU29" i="41"/>
  <c r="AS29" i="41"/>
  <c r="AQ29" i="41"/>
  <c r="AM29" i="41"/>
  <c r="BI27" i="41"/>
  <c r="BG27" i="41"/>
  <c r="BE27" i="41"/>
  <c r="BC27" i="41"/>
  <c r="BA27" i="41"/>
  <c r="AY27" i="41"/>
  <c r="AW27" i="41"/>
  <c r="AU27" i="41"/>
  <c r="AS27" i="41"/>
  <c r="AQ27" i="41"/>
  <c r="AM27" i="41"/>
  <c r="BI26" i="41"/>
  <c r="BG26" i="41"/>
  <c r="BE26" i="41"/>
  <c r="BC26" i="41"/>
  <c r="BA26" i="41"/>
  <c r="AY26" i="41"/>
  <c r="AW26" i="41"/>
  <c r="AU26" i="41"/>
  <c r="AS26" i="41"/>
  <c r="AQ26" i="41"/>
  <c r="AM26" i="41"/>
  <c r="BI25" i="41"/>
  <c r="BG25" i="41"/>
  <c r="BE25" i="41"/>
  <c r="BC25" i="41"/>
  <c r="BA25" i="41"/>
  <c r="AY25" i="41"/>
  <c r="AW25" i="41"/>
  <c r="AU25" i="41"/>
  <c r="AS25" i="41"/>
  <c r="AQ25" i="41"/>
  <c r="AM25" i="41"/>
  <c r="BI24" i="41"/>
  <c r="BG24" i="41"/>
  <c r="BE24" i="41"/>
  <c r="BC24" i="41"/>
  <c r="BA24" i="41"/>
  <c r="AY24" i="41"/>
  <c r="AW24" i="41"/>
  <c r="AU24" i="41"/>
  <c r="AS24" i="41"/>
  <c r="AQ24" i="41"/>
  <c r="AM24" i="41"/>
  <c r="BI23" i="41"/>
  <c r="BG23" i="41"/>
  <c r="BE23" i="41"/>
  <c r="BC23" i="41"/>
  <c r="BA23" i="41"/>
  <c r="AY23" i="41"/>
  <c r="AW23" i="41"/>
  <c r="AU23" i="41"/>
  <c r="AS23" i="41"/>
  <c r="AQ23" i="41"/>
  <c r="AM23" i="41"/>
  <c r="BI22" i="41"/>
  <c r="BG22" i="41"/>
  <c r="BE22" i="41"/>
  <c r="BC22" i="41"/>
  <c r="BA22" i="41"/>
  <c r="AY22" i="41"/>
  <c r="AW22" i="41"/>
  <c r="AU22" i="41"/>
  <c r="AS22" i="41"/>
  <c r="AQ22" i="41"/>
  <c r="AM22" i="41"/>
  <c r="BI21" i="41"/>
  <c r="BG21" i="41"/>
  <c r="BE21" i="41"/>
  <c r="BC21" i="41"/>
  <c r="BA21" i="41"/>
  <c r="AY21" i="41"/>
  <c r="AW21" i="41"/>
  <c r="AU21" i="41"/>
  <c r="AS21" i="41"/>
  <c r="AQ21" i="41"/>
  <c r="AM21" i="41"/>
  <c r="BI20" i="41"/>
  <c r="BG20" i="41"/>
  <c r="BE20" i="41"/>
  <c r="BC20" i="41"/>
  <c r="BA20" i="41"/>
  <c r="AY20" i="41"/>
  <c r="AW20" i="41"/>
  <c r="AU20" i="41"/>
  <c r="AS20" i="41"/>
  <c r="AQ20" i="41"/>
  <c r="AM20" i="41"/>
  <c r="BI19" i="41"/>
  <c r="BG19" i="41"/>
  <c r="BE19" i="41"/>
  <c r="BC19" i="41"/>
  <c r="BA19" i="41"/>
  <c r="AY19" i="41"/>
  <c r="AW19" i="41"/>
  <c r="AU19" i="41"/>
  <c r="AS19" i="41"/>
  <c r="AQ19" i="41"/>
  <c r="AM19" i="41"/>
  <c r="BI18" i="41"/>
  <c r="BG18" i="41"/>
  <c r="BE18" i="41"/>
  <c r="BC18" i="41"/>
  <c r="BA18" i="41"/>
  <c r="AY18" i="41"/>
  <c r="AW18" i="41"/>
  <c r="AU18" i="41"/>
  <c r="AS18" i="41"/>
  <c r="AQ18" i="41"/>
  <c r="AM18" i="41"/>
  <c r="BI17" i="41"/>
  <c r="BG17" i="41"/>
  <c r="BE17" i="41"/>
  <c r="BC17" i="41"/>
  <c r="BA17" i="41"/>
  <c r="AY17" i="41"/>
  <c r="AW17" i="41"/>
  <c r="AU17" i="41"/>
  <c r="AS17" i="41"/>
  <c r="AQ17" i="41"/>
  <c r="AM17" i="41"/>
  <c r="BI16" i="41"/>
  <c r="BG16" i="41"/>
  <c r="BE16" i="41"/>
  <c r="BC16" i="41"/>
  <c r="BA16" i="41"/>
  <c r="AY16" i="41"/>
  <c r="AW16" i="41"/>
  <c r="AU16" i="41"/>
  <c r="AS16" i="41"/>
  <c r="AQ16" i="41"/>
  <c r="AM16" i="41"/>
  <c r="BI15" i="41"/>
  <c r="BG15" i="41"/>
  <c r="BE15" i="41"/>
  <c r="BC15" i="41"/>
  <c r="BA15" i="41"/>
  <c r="AY15" i="41"/>
  <c r="AW15" i="41"/>
  <c r="AU15" i="41"/>
  <c r="AS15" i="41"/>
  <c r="AQ15" i="41"/>
  <c r="AM15" i="41"/>
  <c r="BI14" i="41"/>
  <c r="BG14" i="41"/>
  <c r="BE14" i="41"/>
  <c r="BC14" i="41"/>
  <c r="BA14" i="41"/>
  <c r="AY14" i="41"/>
  <c r="AW14" i="41"/>
  <c r="AU14" i="41"/>
  <c r="AS14" i="41"/>
  <c r="AQ14" i="41"/>
  <c r="AM14" i="41"/>
  <c r="BI13" i="41"/>
  <c r="BG13" i="41"/>
  <c r="BE13" i="41"/>
  <c r="BC13" i="41"/>
  <c r="BA13" i="41"/>
  <c r="AY13" i="41"/>
  <c r="AW13" i="41"/>
  <c r="AU13" i="41"/>
  <c r="AS13" i="41"/>
  <c r="AQ13" i="41"/>
  <c r="AM13" i="41"/>
  <c r="BI12" i="41"/>
  <c r="BG12" i="41"/>
  <c r="BE12" i="41"/>
  <c r="BC12" i="41"/>
  <c r="BA12" i="41"/>
  <c r="AY12" i="41"/>
  <c r="AW12" i="41"/>
  <c r="AU12" i="41"/>
  <c r="AS12" i="41"/>
  <c r="AQ12" i="41"/>
  <c r="AM12" i="41"/>
  <c r="BI11" i="41"/>
  <c r="BG11" i="41"/>
  <c r="BE11" i="41"/>
  <c r="BC11" i="41"/>
  <c r="BA11" i="41"/>
  <c r="AY11" i="41"/>
  <c r="AW11" i="41"/>
  <c r="AU11" i="41"/>
  <c r="AS11" i="41"/>
  <c r="AQ11" i="41"/>
  <c r="AM11" i="41"/>
  <c r="BI10" i="41"/>
  <c r="BG10" i="41"/>
  <c r="BE10" i="41"/>
  <c r="BC10" i="41"/>
  <c r="BA10" i="41"/>
  <c r="AY10" i="41"/>
  <c r="AW10" i="41"/>
  <c r="AU10" i="41"/>
  <c r="AS10" i="41"/>
  <c r="AQ10" i="41"/>
  <c r="AM10" i="41"/>
  <c r="BI9" i="41"/>
  <c r="BG9" i="41"/>
  <c r="BE9" i="41"/>
  <c r="BC9" i="41"/>
  <c r="BA9" i="41"/>
  <c r="AY9" i="41"/>
  <c r="AW9" i="41"/>
  <c r="AU9" i="41"/>
  <c r="AS9" i="41"/>
  <c r="AQ9" i="41"/>
  <c r="AM9" i="41"/>
  <c r="BI8" i="41"/>
  <c r="BG8" i="41"/>
  <c r="BE8" i="41"/>
  <c r="BC8" i="41"/>
  <c r="BA8" i="41"/>
  <c r="AY8" i="41"/>
  <c r="AW8" i="41"/>
  <c r="AU8" i="41"/>
  <c r="AS8" i="41"/>
  <c r="AQ8" i="41"/>
  <c r="AM8" i="41"/>
  <c r="BI7" i="41"/>
  <c r="BG7" i="41"/>
  <c r="BE7" i="41"/>
  <c r="BC7" i="41"/>
  <c r="BA7" i="41"/>
  <c r="AY7" i="41"/>
  <c r="AW7" i="41"/>
  <c r="AU7" i="41"/>
  <c r="AS7" i="41"/>
  <c r="AQ7" i="41"/>
  <c r="AM7" i="41"/>
  <c r="BI6" i="41"/>
  <c r="BG6" i="41"/>
  <c r="BE6" i="41"/>
  <c r="BC6" i="41"/>
  <c r="BA6" i="41"/>
  <c r="AY6" i="41"/>
  <c r="AW6" i="41"/>
  <c r="AU6" i="41"/>
  <c r="AS6" i="41"/>
  <c r="AQ6" i="41"/>
  <c r="AM6" i="41"/>
  <c r="BI5" i="41"/>
  <c r="BG5" i="41"/>
  <c r="BE5" i="41"/>
  <c r="BC5" i="41"/>
  <c r="BA5" i="41"/>
  <c r="AY5" i="41"/>
  <c r="AW5" i="41"/>
  <c r="AU5" i="41"/>
  <c r="AS5" i="41"/>
  <c r="AQ5" i="41"/>
  <c r="AM5" i="41"/>
  <c r="BI4" i="41"/>
  <c r="BG4" i="41"/>
  <c r="BE4" i="41"/>
  <c r="BC4" i="41"/>
  <c r="BA4" i="41"/>
  <c r="AY4" i="41"/>
  <c r="AW4" i="41"/>
  <c r="AU4" i="41"/>
  <c r="AS4" i="41"/>
  <c r="AQ4" i="41"/>
  <c r="AO4" i="41"/>
  <c r="AM4" i="41"/>
  <c r="BI3" i="41"/>
  <c r="BG3" i="41"/>
  <c r="BE3" i="41"/>
  <c r="BC3" i="41"/>
  <c r="BA3" i="41"/>
  <c r="AY3" i="41"/>
  <c r="AW3" i="41"/>
  <c r="AU3" i="41"/>
  <c r="AS3" i="41"/>
  <c r="AQ3" i="41"/>
  <c r="AM3" i="41"/>
  <c r="AU1" i="41" l="1"/>
  <c r="AS1" i="41"/>
  <c r="AY1" i="41"/>
  <c r="AW1" i="41"/>
  <c r="BA1" i="41"/>
  <c r="BI1" i="41"/>
  <c r="BC1" i="41"/>
  <c r="BE1" i="41"/>
  <c r="BG1" i="41"/>
  <c r="AQ1" i="41"/>
  <c r="AM1" i="41"/>
  <c r="C4" i="48" s="1"/>
  <c r="AO1" i="41"/>
  <c r="D4" i="48" s="1"/>
  <c r="E30" i="49" l="1"/>
  <c r="D7" i="48"/>
  <c r="F4" i="48"/>
  <c r="F7" i="48" s="1"/>
  <c r="D30" i="49"/>
  <c r="C7" i="48"/>
  <c r="BI269" i="40"/>
  <c r="BG269" i="40"/>
  <c r="BE269" i="40"/>
  <c r="BC269" i="40"/>
  <c r="BA269" i="40"/>
  <c r="AY269" i="40"/>
  <c r="AW269" i="40"/>
  <c r="AU269" i="40"/>
  <c r="AS269" i="40"/>
  <c r="AQ269" i="40"/>
  <c r="AO269" i="40"/>
  <c r="AM269" i="40"/>
  <c r="BI268" i="40"/>
  <c r="BG268" i="40"/>
  <c r="BE268" i="40"/>
  <c r="BC268" i="40"/>
  <c r="BA268" i="40"/>
  <c r="AY268" i="40"/>
  <c r="AW268" i="40"/>
  <c r="AU268" i="40"/>
  <c r="AS268" i="40"/>
  <c r="AQ268" i="40"/>
  <c r="AO268" i="40"/>
  <c r="AM268" i="40"/>
  <c r="BI263" i="40"/>
  <c r="BG263" i="40"/>
  <c r="BE263" i="40"/>
  <c r="BC263" i="40"/>
  <c r="BA263" i="40"/>
  <c r="AY263" i="40"/>
  <c r="AW263" i="40"/>
  <c r="AU263" i="40"/>
  <c r="AS263" i="40"/>
  <c r="AQ263" i="40"/>
  <c r="AO263" i="40"/>
  <c r="AM263" i="40"/>
  <c r="G30" i="49" l="1"/>
  <c r="AZ342" i="40"/>
  <c r="AZ341" i="40"/>
  <c r="BI313" i="40"/>
  <c r="BG313" i="40"/>
  <c r="BE313" i="40"/>
  <c r="BC313" i="40"/>
  <c r="BA313" i="40"/>
  <c r="AY313" i="40"/>
  <c r="AW313" i="40"/>
  <c r="AU313" i="40"/>
  <c r="AS313" i="40"/>
  <c r="AQ313" i="40"/>
  <c r="AO313" i="40"/>
  <c r="AM313" i="40"/>
  <c r="BI319" i="40"/>
  <c r="BG319" i="40"/>
  <c r="BE319" i="40"/>
  <c r="BC319" i="40"/>
  <c r="BA319" i="40"/>
  <c r="AY319" i="40"/>
  <c r="AW319" i="40"/>
  <c r="AU319" i="40"/>
  <c r="AS319" i="40"/>
  <c r="AQ319" i="40"/>
  <c r="AO319" i="40"/>
  <c r="AM319" i="40"/>
  <c r="BI266" i="40"/>
  <c r="BG266" i="40"/>
  <c r="BE266" i="40"/>
  <c r="BC266" i="40"/>
  <c r="BA266" i="40"/>
  <c r="AY266" i="40"/>
  <c r="AW266" i="40"/>
  <c r="AU266" i="40"/>
  <c r="AS266" i="40"/>
  <c r="AQ266" i="40"/>
  <c r="AO266" i="40"/>
  <c r="AM266" i="40"/>
  <c r="BI315" i="40"/>
  <c r="BG315" i="40"/>
  <c r="BE315" i="40"/>
  <c r="BC315" i="40"/>
  <c r="BA315" i="40"/>
  <c r="AY315" i="40"/>
  <c r="AW315" i="40"/>
  <c r="AU315" i="40"/>
  <c r="AS315" i="40"/>
  <c r="AQ315" i="40"/>
  <c r="AO315" i="40"/>
  <c r="AM315" i="40"/>
  <c r="BD342" i="40"/>
  <c r="BD341" i="40"/>
  <c r="BE273" i="40"/>
  <c r="BB342" i="40"/>
  <c r="BB341" i="40"/>
  <c r="BI273" i="40"/>
  <c r="BG273" i="40"/>
  <c r="BC273" i="40"/>
  <c r="BA273" i="40"/>
  <c r="AY273" i="40"/>
  <c r="AW273" i="40"/>
  <c r="AU273" i="40"/>
  <c r="AS273" i="40"/>
  <c r="AQ273" i="40"/>
  <c r="AO273" i="40"/>
  <c r="AM273" i="40"/>
  <c r="BI339" i="40" l="1"/>
  <c r="BG339" i="40"/>
  <c r="BE339" i="40"/>
  <c r="BC339" i="40"/>
  <c r="BA339" i="40"/>
  <c r="AY339" i="40"/>
  <c r="AW339" i="40"/>
  <c r="AU339" i="40"/>
  <c r="AS339" i="40"/>
  <c r="AQ339" i="40"/>
  <c r="AO339" i="40"/>
  <c r="AM339" i="40"/>
  <c r="BI338" i="40"/>
  <c r="BG338" i="40"/>
  <c r="BE338" i="40"/>
  <c r="BC338" i="40"/>
  <c r="BA338" i="40"/>
  <c r="AY338" i="40"/>
  <c r="AW338" i="40"/>
  <c r="AU338" i="40"/>
  <c r="AS338" i="40"/>
  <c r="AQ338" i="40"/>
  <c r="AO338" i="40"/>
  <c r="AM338" i="40"/>
  <c r="BI337" i="40"/>
  <c r="BG337" i="40"/>
  <c r="BE337" i="40"/>
  <c r="BC337" i="40"/>
  <c r="BA337" i="40"/>
  <c r="AY337" i="40"/>
  <c r="AW337" i="40"/>
  <c r="AU337" i="40"/>
  <c r="AS337" i="40"/>
  <c r="AQ337" i="40"/>
  <c r="AO337" i="40"/>
  <c r="AM337" i="40"/>
  <c r="BI336" i="40" l="1"/>
  <c r="BG336" i="40"/>
  <c r="BE336" i="40"/>
  <c r="BC336" i="40"/>
  <c r="BA336" i="40"/>
  <c r="AY336" i="40"/>
  <c r="AW336" i="40"/>
  <c r="AU336" i="40"/>
  <c r="AS336" i="40"/>
  <c r="AQ336" i="40"/>
  <c r="AO336" i="40"/>
  <c r="AM336" i="40"/>
  <c r="BI335" i="40"/>
  <c r="BG335" i="40"/>
  <c r="BE335" i="40"/>
  <c r="BC335" i="40"/>
  <c r="BA335" i="40"/>
  <c r="AY335" i="40"/>
  <c r="AW335" i="40"/>
  <c r="AU335" i="40"/>
  <c r="AS335" i="40"/>
  <c r="AQ335" i="40"/>
  <c r="AO335" i="40"/>
  <c r="AM335" i="40"/>
  <c r="BI334" i="40"/>
  <c r="BG334" i="40"/>
  <c r="BE334" i="40"/>
  <c r="BC334" i="40"/>
  <c r="BA334" i="40"/>
  <c r="AY334" i="40"/>
  <c r="AW334" i="40"/>
  <c r="AU334" i="40"/>
  <c r="AS334" i="40"/>
  <c r="AQ334" i="40"/>
  <c r="AO334" i="40"/>
  <c r="AM334" i="40"/>
  <c r="BI333" i="40"/>
  <c r="BG333" i="40"/>
  <c r="BE333" i="40"/>
  <c r="BC333" i="40"/>
  <c r="BA333" i="40"/>
  <c r="AY333" i="40"/>
  <c r="AW333" i="40"/>
  <c r="AU333" i="40"/>
  <c r="AS333" i="40"/>
  <c r="AQ333" i="40"/>
  <c r="AO333" i="40"/>
  <c r="AM333" i="40"/>
  <c r="BI331" i="40"/>
  <c r="BG331" i="40"/>
  <c r="BE331" i="40"/>
  <c r="BC331" i="40"/>
  <c r="BA331" i="40"/>
  <c r="AY331" i="40"/>
  <c r="AW331" i="40"/>
  <c r="AU331" i="40"/>
  <c r="AS331" i="40"/>
  <c r="AQ331" i="40"/>
  <c r="AO331" i="40"/>
  <c r="AM331" i="40"/>
  <c r="BC254" i="40"/>
  <c r="BC325" i="40"/>
  <c r="BC327" i="40"/>
  <c r="BC328" i="40"/>
  <c r="BC329" i="40"/>
  <c r="BC330" i="40"/>
  <c r="BI330" i="40"/>
  <c r="BG330" i="40"/>
  <c r="BE330" i="40"/>
  <c r="BA330" i="40"/>
  <c r="AY330" i="40"/>
  <c r="AW330" i="40"/>
  <c r="AU330" i="40"/>
  <c r="AS330" i="40"/>
  <c r="AQ330" i="40"/>
  <c r="AO330" i="40"/>
  <c r="AM330" i="40"/>
  <c r="BI329" i="40"/>
  <c r="BG329" i="40"/>
  <c r="BE329" i="40"/>
  <c r="BA329" i="40"/>
  <c r="AY329" i="40"/>
  <c r="AW329" i="40"/>
  <c r="AU329" i="40"/>
  <c r="AS329" i="40"/>
  <c r="AQ329" i="40"/>
  <c r="AO329" i="40"/>
  <c r="AM329" i="40"/>
  <c r="BI328" i="40"/>
  <c r="BG328" i="40"/>
  <c r="BE328" i="40"/>
  <c r="BA328" i="40"/>
  <c r="AY328" i="40"/>
  <c r="AW328" i="40"/>
  <c r="AU328" i="40"/>
  <c r="AS328" i="40"/>
  <c r="AQ328" i="40"/>
  <c r="AO328" i="40"/>
  <c r="AM328" i="40"/>
  <c r="BI327" i="40"/>
  <c r="BG327" i="40"/>
  <c r="BE327" i="40"/>
  <c r="BA327" i="40"/>
  <c r="AY327" i="40"/>
  <c r="AW327" i="40"/>
  <c r="AU327" i="40"/>
  <c r="AS327" i="40"/>
  <c r="AQ327" i="40"/>
  <c r="AO327" i="40"/>
  <c r="AM327" i="40"/>
  <c r="BI325" i="40"/>
  <c r="BG325" i="40"/>
  <c r="BE325" i="40"/>
  <c r="BA325" i="40"/>
  <c r="AY325" i="40"/>
  <c r="AW325" i="40"/>
  <c r="AU325" i="40"/>
  <c r="AS325" i="40"/>
  <c r="AQ325" i="40"/>
  <c r="AO325" i="40"/>
  <c r="AM325" i="40"/>
  <c r="BA254" i="40"/>
  <c r="AM254" i="40"/>
  <c r="AO254" i="40"/>
  <c r="AQ254" i="40"/>
  <c r="AS254" i="40"/>
  <c r="AU254" i="40"/>
  <c r="AW254" i="40"/>
  <c r="AY254" i="40"/>
  <c r="BE254" i="40"/>
  <c r="BG254" i="40"/>
  <c r="BI254" i="40"/>
  <c r="AX342" i="40"/>
  <c r="AV341" i="40" l="1"/>
  <c r="AV342" i="40"/>
  <c r="AT342" i="40"/>
  <c r="AR342" i="40"/>
  <c r="AP342" i="40"/>
  <c r="AN342" i="40"/>
  <c r="BI324" i="40" l="1"/>
  <c r="BG324" i="40"/>
  <c r="BE324" i="40"/>
  <c r="BC324" i="40"/>
  <c r="BA324" i="40"/>
  <c r="AY324" i="40"/>
  <c r="AW324" i="40"/>
  <c r="AU324" i="40"/>
  <c r="AS324" i="40"/>
  <c r="AQ324" i="40"/>
  <c r="AO324" i="40"/>
  <c r="AM324" i="40"/>
  <c r="BI323" i="40" l="1"/>
  <c r="BG323" i="40"/>
  <c r="BE323" i="40"/>
  <c r="BC323" i="40"/>
  <c r="BA323" i="40"/>
  <c r="AY323" i="40"/>
  <c r="AW323" i="40"/>
  <c r="AU323" i="40"/>
  <c r="AS323" i="40"/>
  <c r="AQ323" i="40"/>
  <c r="AO323" i="40"/>
  <c r="AM323" i="40"/>
  <c r="BI322" i="40"/>
  <c r="BG322" i="40"/>
  <c r="BE322" i="40"/>
  <c r="BC322" i="40"/>
  <c r="BA322" i="40"/>
  <c r="AY322" i="40"/>
  <c r="AW322" i="40"/>
  <c r="AU322" i="40"/>
  <c r="AS322" i="40"/>
  <c r="AQ322" i="40"/>
  <c r="AO322" i="40"/>
  <c r="AM322" i="40"/>
  <c r="BI321" i="40"/>
  <c r="BG321" i="40"/>
  <c r="BE321" i="40"/>
  <c r="BC321" i="40"/>
  <c r="BA321" i="40"/>
  <c r="AY321" i="40"/>
  <c r="AW321" i="40"/>
  <c r="AU321" i="40"/>
  <c r="AS321" i="40"/>
  <c r="AQ321" i="40"/>
  <c r="AO321" i="40"/>
  <c r="AM321" i="40"/>
  <c r="BI320" i="40"/>
  <c r="BG320" i="40"/>
  <c r="BE320" i="40"/>
  <c r="BC320" i="40"/>
  <c r="BA320" i="40"/>
  <c r="AY320" i="40"/>
  <c r="AW320" i="40"/>
  <c r="AU320" i="40"/>
  <c r="AS320" i="40"/>
  <c r="AQ320" i="40"/>
  <c r="AO320" i="40"/>
  <c r="AM320" i="40"/>
  <c r="BI318" i="40"/>
  <c r="BG318" i="40"/>
  <c r="BE318" i="40"/>
  <c r="BC318" i="40"/>
  <c r="BA318" i="40"/>
  <c r="AY318" i="40"/>
  <c r="AW318" i="40"/>
  <c r="AU318" i="40"/>
  <c r="AS318" i="40"/>
  <c r="AQ318" i="40"/>
  <c r="AO318" i="40"/>
  <c r="AM318" i="40"/>
  <c r="BI317" i="40"/>
  <c r="BG317" i="40"/>
  <c r="BE317" i="40"/>
  <c r="BC317" i="40"/>
  <c r="BA317" i="40"/>
  <c r="AY317" i="40"/>
  <c r="AW317" i="40"/>
  <c r="AU317" i="40"/>
  <c r="AS317" i="40"/>
  <c r="AQ317" i="40"/>
  <c r="AO317" i="40"/>
  <c r="AM317" i="40"/>
  <c r="BI316" i="40"/>
  <c r="BG316" i="40"/>
  <c r="BE316" i="40"/>
  <c r="BC316" i="40"/>
  <c r="BA316" i="40"/>
  <c r="AY316" i="40"/>
  <c r="AW316" i="40"/>
  <c r="AU316" i="40"/>
  <c r="AS316" i="40"/>
  <c r="AQ316" i="40"/>
  <c r="AO316" i="40"/>
  <c r="AM316" i="40"/>
  <c r="BI314" i="40"/>
  <c r="BG314" i="40"/>
  <c r="BE314" i="40"/>
  <c r="BC314" i="40"/>
  <c r="BA314" i="40"/>
  <c r="AY314" i="40"/>
  <c r="AW314" i="40"/>
  <c r="AU314" i="40"/>
  <c r="AS314" i="40"/>
  <c r="AQ314" i="40"/>
  <c r="AO314" i="40"/>
  <c r="AM314" i="40"/>
  <c r="BA312" i="40" l="1"/>
  <c r="AX341" i="40"/>
  <c r="BI312" i="40"/>
  <c r="BG312" i="40"/>
  <c r="BE312" i="40"/>
  <c r="BC312" i="40"/>
  <c r="AY312" i="40"/>
  <c r="AW312" i="40"/>
  <c r="AU312" i="40"/>
  <c r="AS312" i="40"/>
  <c r="AQ312" i="40"/>
  <c r="AO312" i="40"/>
  <c r="AM312" i="40"/>
  <c r="BI311" i="40" l="1"/>
  <c r="BG311" i="40"/>
  <c r="BE311" i="40"/>
  <c r="BC311" i="40"/>
  <c r="BA311" i="40"/>
  <c r="AY311" i="40"/>
  <c r="AW311" i="40"/>
  <c r="AU311" i="40"/>
  <c r="AS311" i="40"/>
  <c r="AQ311" i="40"/>
  <c r="AO311" i="40"/>
  <c r="AM311" i="40"/>
  <c r="BI310" i="40"/>
  <c r="BG310" i="40"/>
  <c r="BE310" i="40"/>
  <c r="BC310" i="40"/>
  <c r="BA310" i="40"/>
  <c r="AY310" i="40"/>
  <c r="AW310" i="40"/>
  <c r="AU310" i="40"/>
  <c r="AS310" i="40"/>
  <c r="AQ310" i="40"/>
  <c r="AO310" i="40"/>
  <c r="AM310" i="40"/>
  <c r="BI279" i="40" l="1"/>
  <c r="BG279" i="40"/>
  <c r="BE279" i="40"/>
  <c r="BC279" i="40"/>
  <c r="BA279" i="40"/>
  <c r="AY279" i="40"/>
  <c r="AW279" i="40"/>
  <c r="AU279" i="40"/>
  <c r="AS279" i="40"/>
  <c r="AQ279" i="40"/>
  <c r="AO279" i="40"/>
  <c r="AM279" i="40"/>
  <c r="BI277" i="40"/>
  <c r="BG277" i="40"/>
  <c r="BE277" i="40"/>
  <c r="BC277" i="40"/>
  <c r="BA277" i="40"/>
  <c r="AY277" i="40"/>
  <c r="AW277" i="40"/>
  <c r="AU277" i="40"/>
  <c r="AS277" i="40"/>
  <c r="AQ277" i="40"/>
  <c r="AO277" i="40"/>
  <c r="AM277" i="40"/>
  <c r="BI284" i="40"/>
  <c r="BG284" i="40"/>
  <c r="BE284" i="40"/>
  <c r="BC284" i="40"/>
  <c r="BA284" i="40"/>
  <c r="AY284" i="40"/>
  <c r="AW284" i="40"/>
  <c r="AU284" i="40"/>
  <c r="AS284" i="40"/>
  <c r="AQ284" i="40"/>
  <c r="AO284" i="40"/>
  <c r="AM284" i="40"/>
  <c r="BI276" i="40"/>
  <c r="BG276" i="40"/>
  <c r="BE276" i="40"/>
  <c r="BC276" i="40"/>
  <c r="BA276" i="40"/>
  <c r="AY276" i="40"/>
  <c r="AW276" i="40"/>
  <c r="AU276" i="40"/>
  <c r="AS276" i="40"/>
  <c r="AQ276" i="40"/>
  <c r="AO276" i="40"/>
  <c r="AM276" i="40"/>
  <c r="BI275" i="40"/>
  <c r="BG275" i="40"/>
  <c r="BE275" i="40"/>
  <c r="BC275" i="40"/>
  <c r="BA275" i="40"/>
  <c r="AY275" i="40"/>
  <c r="AW275" i="40"/>
  <c r="AU275" i="40"/>
  <c r="AS275" i="40"/>
  <c r="AQ275" i="40"/>
  <c r="AO275" i="40"/>
  <c r="AM275" i="40"/>
  <c r="BI282" i="40"/>
  <c r="BG282" i="40"/>
  <c r="BE282" i="40"/>
  <c r="BC282" i="40"/>
  <c r="BA282" i="40"/>
  <c r="AY282" i="40"/>
  <c r="AW282" i="40"/>
  <c r="AU282" i="40"/>
  <c r="AS282" i="40"/>
  <c r="AQ282" i="40"/>
  <c r="AO282" i="40"/>
  <c r="AM282" i="40"/>
  <c r="BI274" i="40"/>
  <c r="BG274" i="40"/>
  <c r="BE274" i="40"/>
  <c r="BC274" i="40"/>
  <c r="BA274" i="40"/>
  <c r="AY274" i="40"/>
  <c r="AW274" i="40"/>
  <c r="AU274" i="40"/>
  <c r="AS274" i="40"/>
  <c r="AQ274" i="40"/>
  <c r="AO274" i="40"/>
  <c r="AM274" i="40"/>
  <c r="BI272" i="40"/>
  <c r="BG272" i="40"/>
  <c r="BE272" i="40"/>
  <c r="BC272" i="40"/>
  <c r="BA272" i="40"/>
  <c r="AY272" i="40"/>
  <c r="AW272" i="40"/>
  <c r="AU272" i="40"/>
  <c r="AS272" i="40"/>
  <c r="AQ272" i="40"/>
  <c r="AO272" i="40"/>
  <c r="AM272" i="40"/>
  <c r="BI270" i="40"/>
  <c r="BG270" i="40"/>
  <c r="BE270" i="40"/>
  <c r="BC270" i="40"/>
  <c r="BA270" i="40"/>
  <c r="AY270" i="40"/>
  <c r="AW270" i="40"/>
  <c r="AU270" i="40"/>
  <c r="AS270" i="40"/>
  <c r="AQ270" i="40"/>
  <c r="AO270" i="40"/>
  <c r="AM270" i="40"/>
  <c r="BI265" i="40"/>
  <c r="BG265" i="40"/>
  <c r="BE265" i="40"/>
  <c r="BC265" i="40"/>
  <c r="BA265" i="40"/>
  <c r="AY265" i="40"/>
  <c r="AW265" i="40"/>
  <c r="AU265" i="40"/>
  <c r="AS265" i="40"/>
  <c r="AQ265" i="40"/>
  <c r="AO265" i="40"/>
  <c r="AM265" i="40"/>
  <c r="BI307" i="40"/>
  <c r="BG307" i="40"/>
  <c r="BE307" i="40"/>
  <c r="BC307" i="40"/>
  <c r="BA307" i="40"/>
  <c r="AY307" i="40"/>
  <c r="AW307" i="40"/>
  <c r="AU307" i="40"/>
  <c r="AS307" i="40"/>
  <c r="AQ307" i="40"/>
  <c r="AO307" i="40"/>
  <c r="AM307" i="40"/>
  <c r="BI55" i="40"/>
  <c r="BG55" i="40"/>
  <c r="BE55" i="40"/>
  <c r="BC55" i="40"/>
  <c r="BA55" i="40"/>
  <c r="AY55" i="40"/>
  <c r="AW55" i="40"/>
  <c r="AU55" i="40"/>
  <c r="AS55" i="40"/>
  <c r="AQ55" i="40"/>
  <c r="AO55" i="40"/>
  <c r="AM55" i="40"/>
  <c r="BI54" i="40"/>
  <c r="BG54" i="40"/>
  <c r="BE54" i="40"/>
  <c r="BC54" i="40"/>
  <c r="BA54" i="40"/>
  <c r="AY54" i="40"/>
  <c r="AW54" i="40"/>
  <c r="AU54" i="40"/>
  <c r="AS54" i="40"/>
  <c r="AQ54" i="40"/>
  <c r="AO54" i="40"/>
  <c r="AM54" i="40"/>
  <c r="BI280" i="40" l="1"/>
  <c r="BG280" i="40"/>
  <c r="BE280" i="40"/>
  <c r="BC280" i="40"/>
  <c r="BA280" i="40"/>
  <c r="AY280" i="40"/>
  <c r="AW280" i="40"/>
  <c r="AU280" i="40"/>
  <c r="AS280" i="40"/>
  <c r="AQ280" i="40"/>
  <c r="AO280" i="40"/>
  <c r="AM280" i="40"/>
  <c r="BI264" i="40"/>
  <c r="BG264" i="40"/>
  <c r="BE264" i="40"/>
  <c r="BC264" i="40"/>
  <c r="BA264" i="40"/>
  <c r="AY264" i="40"/>
  <c r="AW264" i="40"/>
  <c r="AU264" i="40"/>
  <c r="AS264" i="40"/>
  <c r="AQ264" i="40"/>
  <c r="AO264" i="40"/>
  <c r="AM264" i="40"/>
  <c r="BI261" i="40"/>
  <c r="BG261" i="40"/>
  <c r="BE261" i="40"/>
  <c r="BC261" i="40"/>
  <c r="BA261" i="40"/>
  <c r="AY261" i="40"/>
  <c r="AW261" i="40"/>
  <c r="AU261" i="40"/>
  <c r="AS261" i="40"/>
  <c r="AQ261" i="40"/>
  <c r="AO261" i="40"/>
  <c r="AM261" i="40"/>
  <c r="AW4" i="40"/>
  <c r="AW5" i="40"/>
  <c r="AW6" i="40"/>
  <c r="AW7" i="40"/>
  <c r="AW8" i="40"/>
  <c r="AW9" i="40"/>
  <c r="AW10" i="40"/>
  <c r="AW11" i="40"/>
  <c r="AW12" i="40"/>
  <c r="AW13" i="40"/>
  <c r="AW14" i="40"/>
  <c r="AW15" i="40"/>
  <c r="AW16" i="40"/>
  <c r="AW17" i="40"/>
  <c r="AW18" i="40"/>
  <c r="AW19" i="40"/>
  <c r="AW20" i="40"/>
  <c r="AW21" i="40"/>
  <c r="AW22" i="40"/>
  <c r="AW23" i="40"/>
  <c r="AW24" i="40"/>
  <c r="AW25" i="40"/>
  <c r="AW26" i="40"/>
  <c r="AW27" i="40"/>
  <c r="AW28" i="40"/>
  <c r="AW29" i="40"/>
  <c r="AW30" i="40"/>
  <c r="AW31" i="40"/>
  <c r="AW32" i="40"/>
  <c r="AW33" i="40"/>
  <c r="AW34" i="40"/>
  <c r="AW35" i="40"/>
  <c r="AW36" i="40"/>
  <c r="AW37" i="40"/>
  <c r="AW38" i="40"/>
  <c r="AW39" i="40"/>
  <c r="AW40" i="40"/>
  <c r="AW41" i="40"/>
  <c r="AW42" i="40"/>
  <c r="AW43" i="40"/>
  <c r="AW44" i="40"/>
  <c r="AW45" i="40"/>
  <c r="AW46" i="40"/>
  <c r="AW47" i="40"/>
  <c r="AW48" i="40"/>
  <c r="AW49" i="40"/>
  <c r="AW50" i="40"/>
  <c r="AW51" i="40"/>
  <c r="AW52" i="40"/>
  <c r="AW53" i="40"/>
  <c r="AW56" i="40"/>
  <c r="AW57" i="40"/>
  <c r="AW58" i="40"/>
  <c r="AW59" i="40"/>
  <c r="AW60" i="40"/>
  <c r="AW61" i="40"/>
  <c r="AW62" i="40"/>
  <c r="AW63" i="40"/>
  <c r="AW64" i="40"/>
  <c r="AW65" i="40"/>
  <c r="AW68" i="40"/>
  <c r="AW69" i="40"/>
  <c r="AW70" i="40"/>
  <c r="AW71" i="40"/>
  <c r="AW72" i="40"/>
  <c r="AW73" i="40"/>
  <c r="AW74" i="40"/>
  <c r="AW75" i="40"/>
  <c r="AW76" i="40"/>
  <c r="AW77" i="40"/>
  <c r="AW78" i="40"/>
  <c r="AW79" i="40"/>
  <c r="AW80" i="40"/>
  <c r="AW81" i="40"/>
  <c r="AW82" i="40"/>
  <c r="AW83" i="40"/>
  <c r="AW84" i="40"/>
  <c r="AW85" i="40"/>
  <c r="AW86" i="40"/>
  <c r="AW87" i="40"/>
  <c r="AW88" i="40"/>
  <c r="AW89" i="40"/>
  <c r="AW90" i="40"/>
  <c r="AW91" i="40"/>
  <c r="AW92" i="40"/>
  <c r="AW93" i="40"/>
  <c r="AW94" i="40"/>
  <c r="AW95" i="40"/>
  <c r="AW96" i="40"/>
  <c r="AW97" i="40"/>
  <c r="AW98" i="40"/>
  <c r="AW99" i="40"/>
  <c r="AW100" i="40"/>
  <c r="AW101" i="40"/>
  <c r="AW102" i="40"/>
  <c r="AW103" i="40"/>
  <c r="AW104" i="40"/>
  <c r="AW105" i="40"/>
  <c r="AW106" i="40"/>
  <c r="AW107" i="40"/>
  <c r="AW108" i="40"/>
  <c r="AW109" i="40"/>
  <c r="AW110" i="40"/>
  <c r="AW111" i="40"/>
  <c r="AW112" i="40"/>
  <c r="AW113" i="40"/>
  <c r="AW114" i="40"/>
  <c r="AW115" i="40"/>
  <c r="AW116" i="40"/>
  <c r="AW117" i="40"/>
  <c r="AW118" i="40"/>
  <c r="AW119" i="40"/>
  <c r="AW120" i="40"/>
  <c r="AW122" i="40"/>
  <c r="AW123" i="40"/>
  <c r="AW124" i="40"/>
  <c r="AW125" i="40"/>
  <c r="AW126" i="40"/>
  <c r="AW127" i="40"/>
  <c r="AW128" i="40"/>
  <c r="AW129" i="40"/>
  <c r="AW130" i="40"/>
  <c r="AW131" i="40"/>
  <c r="AW132" i="40"/>
  <c r="AW133" i="40"/>
  <c r="AW134" i="40"/>
  <c r="AW135" i="40"/>
  <c r="AW136" i="40"/>
  <c r="AW137" i="40"/>
  <c r="AW138" i="40"/>
  <c r="AW139" i="40"/>
  <c r="AW140" i="40"/>
  <c r="AW141" i="40"/>
  <c r="AW142" i="40"/>
  <c r="AW143" i="40"/>
  <c r="AW144" i="40"/>
  <c r="AW145" i="40"/>
  <c r="AW146" i="40"/>
  <c r="AW147" i="40"/>
  <c r="AW148" i="40"/>
  <c r="AW149" i="40"/>
  <c r="AW150" i="40"/>
  <c r="AW151" i="40"/>
  <c r="AW152" i="40"/>
  <c r="AW153" i="40"/>
  <c r="AW154" i="40"/>
  <c r="AW155" i="40"/>
  <c r="AW156" i="40"/>
  <c r="AW157" i="40"/>
  <c r="AW158" i="40"/>
  <c r="AW159" i="40"/>
  <c r="AW160" i="40"/>
  <c r="AW161" i="40"/>
  <c r="AW162" i="40"/>
  <c r="AW163" i="40"/>
  <c r="AW164" i="40"/>
  <c r="AW165" i="40"/>
  <c r="AW166" i="40"/>
  <c r="AW167" i="40"/>
  <c r="AW168" i="40"/>
  <c r="AW169" i="40"/>
  <c r="AW170" i="40"/>
  <c r="AW171" i="40"/>
  <c r="AW172" i="40"/>
  <c r="AW173" i="40"/>
  <c r="AW174" i="40"/>
  <c r="AW175" i="40"/>
  <c r="AW176" i="40"/>
  <c r="AW177" i="40"/>
  <c r="AW178" i="40"/>
  <c r="AW179" i="40"/>
  <c r="AW180" i="40"/>
  <c r="AW181" i="40"/>
  <c r="AW182" i="40"/>
  <c r="AW183" i="40"/>
  <c r="AW184" i="40"/>
  <c r="AW185" i="40"/>
  <c r="AW186" i="40"/>
  <c r="AW187" i="40"/>
  <c r="AW188" i="40"/>
  <c r="AW189" i="40"/>
  <c r="AW190" i="40"/>
  <c r="AW191" i="40"/>
  <c r="AW192" i="40"/>
  <c r="AW193" i="40"/>
  <c r="AW194" i="40"/>
  <c r="AW195" i="40"/>
  <c r="AW196" i="40"/>
  <c r="AW197" i="40"/>
  <c r="AW198" i="40"/>
  <c r="AW199" i="40"/>
  <c r="AW200" i="40"/>
  <c r="AW201" i="40"/>
  <c r="AW202" i="40"/>
  <c r="AW203" i="40"/>
  <c r="AW204" i="40"/>
  <c r="AW205" i="40"/>
  <c r="AW206" i="40"/>
  <c r="AW207" i="40"/>
  <c r="AW208" i="40"/>
  <c r="AW209" i="40"/>
  <c r="AW210" i="40"/>
  <c r="AW211" i="40"/>
  <c r="AW212" i="40"/>
  <c r="AW213" i="40"/>
  <c r="AW214" i="40"/>
  <c r="AW215" i="40"/>
  <c r="AW216" i="40"/>
  <c r="AW217" i="40"/>
  <c r="AW218" i="40"/>
  <c r="AW219" i="40"/>
  <c r="AW220" i="40"/>
  <c r="AW221" i="40"/>
  <c r="AW222" i="40"/>
  <c r="AW223" i="40"/>
  <c r="AW224" i="40"/>
  <c r="AW225" i="40"/>
  <c r="AW226" i="40"/>
  <c r="AW227" i="40"/>
  <c r="AW228" i="40"/>
  <c r="AW229" i="40"/>
  <c r="AW230" i="40"/>
  <c r="AW231" i="40"/>
  <c r="AW232" i="40"/>
  <c r="AW233" i="40"/>
  <c r="AW234" i="40"/>
  <c r="AW235" i="40"/>
  <c r="AW236" i="40"/>
  <c r="AW237" i="40"/>
  <c r="AW238" i="40"/>
  <c r="AW239" i="40"/>
  <c r="AW240" i="40"/>
  <c r="AW241" i="40"/>
  <c r="AW242" i="40"/>
  <c r="AW243" i="40"/>
  <c r="AW244" i="40"/>
  <c r="AW245" i="40"/>
  <c r="AW246" i="40"/>
  <c r="AW247" i="40"/>
  <c r="AW248" i="40"/>
  <c r="AW249" i="40"/>
  <c r="AW250" i="40"/>
  <c r="AW251" i="40"/>
  <c r="AW252" i="40"/>
  <c r="AW253" i="40"/>
  <c r="AW255" i="40"/>
  <c r="AW256" i="40"/>
  <c r="AW257" i="40"/>
  <c r="AW258" i="40"/>
  <c r="AW259" i="40"/>
  <c r="AW260" i="40"/>
  <c r="AW283" i="40"/>
  <c r="AW285" i="40"/>
  <c r="AW286" i="40"/>
  <c r="AW287" i="40"/>
  <c r="AW288" i="40"/>
  <c r="AW289" i="40"/>
  <c r="AW290" i="40"/>
  <c r="AW291" i="40"/>
  <c r="AW292" i="40"/>
  <c r="AW294" i="40"/>
  <c r="AW295" i="40"/>
  <c r="AW296" i="40"/>
  <c r="AW297" i="40"/>
  <c r="AW298" i="40"/>
  <c r="AW299" i="40"/>
  <c r="AW300" i="40"/>
  <c r="AW301" i="40"/>
  <c r="AW302" i="40"/>
  <c r="AW303" i="40"/>
  <c r="AW305" i="40"/>
  <c r="AW306" i="40"/>
  <c r="AW308" i="40"/>
  <c r="F137" i="11"/>
  <c r="E137" i="11"/>
  <c r="D137" i="11"/>
  <c r="F102" i="11"/>
  <c r="E102" i="11"/>
  <c r="D102" i="11"/>
  <c r="F66" i="11"/>
  <c r="E66" i="11"/>
  <c r="D66" i="11"/>
  <c r="F30" i="11"/>
  <c r="E30" i="11"/>
  <c r="D30" i="11"/>
  <c r="AT341" i="40"/>
  <c r="AP341" i="40"/>
  <c r="AN341" i="40"/>
  <c r="AL341" i="40"/>
  <c r="AL342" i="40" s="1"/>
  <c r="BI308" i="40"/>
  <c r="BG308" i="40"/>
  <c r="BE308" i="40"/>
  <c r="BC308" i="40"/>
  <c r="BA308" i="40"/>
  <c r="AY308" i="40"/>
  <c r="AU308" i="40"/>
  <c r="AS308" i="40"/>
  <c r="AQ308" i="40"/>
  <c r="AO308" i="40"/>
  <c r="AM308" i="40"/>
  <c r="BI306" i="40"/>
  <c r="BG306" i="40"/>
  <c r="BE306" i="40"/>
  <c r="BC306" i="40"/>
  <c r="BA306" i="40"/>
  <c r="AY306" i="40"/>
  <c r="AU306" i="40"/>
  <c r="AS306" i="40"/>
  <c r="AQ306" i="40"/>
  <c r="AO306" i="40"/>
  <c r="AM306" i="40"/>
  <c r="BI305" i="40"/>
  <c r="BG305" i="40"/>
  <c r="BE305" i="40"/>
  <c r="BC305" i="40"/>
  <c r="BA305" i="40"/>
  <c r="AY305" i="40"/>
  <c r="AU305" i="40"/>
  <c r="AS305" i="40"/>
  <c r="AQ305" i="40"/>
  <c r="AO305" i="40"/>
  <c r="AM305" i="40"/>
  <c r="BI303" i="40"/>
  <c r="BG303" i="40"/>
  <c r="BE303" i="40"/>
  <c r="BC303" i="40"/>
  <c r="BA303" i="40"/>
  <c r="AY303" i="40"/>
  <c r="AU303" i="40"/>
  <c r="AS303" i="40"/>
  <c r="AQ303" i="40"/>
  <c r="AO303" i="40"/>
  <c r="AM303" i="40"/>
  <c r="BI302" i="40"/>
  <c r="BG302" i="40"/>
  <c r="BE302" i="40"/>
  <c r="BC302" i="40"/>
  <c r="BA302" i="40"/>
  <c r="AY302" i="40"/>
  <c r="AU302" i="40"/>
  <c r="AS302" i="40"/>
  <c r="AQ302" i="40"/>
  <c r="AO302" i="40"/>
  <c r="AM302" i="40"/>
  <c r="BI301" i="40"/>
  <c r="BG301" i="40"/>
  <c r="BE301" i="40"/>
  <c r="BC301" i="40"/>
  <c r="BA301" i="40"/>
  <c r="AY301" i="40"/>
  <c r="AU301" i="40"/>
  <c r="AS301" i="40"/>
  <c r="AQ301" i="40"/>
  <c r="AO301" i="40"/>
  <c r="AM301" i="40"/>
  <c r="BI300" i="40"/>
  <c r="BG300" i="40"/>
  <c r="BE300" i="40"/>
  <c r="BC300" i="40"/>
  <c r="BA300" i="40"/>
  <c r="AY300" i="40"/>
  <c r="AU300" i="40"/>
  <c r="AS300" i="40"/>
  <c r="AQ300" i="40"/>
  <c r="AO300" i="40"/>
  <c r="AM300" i="40"/>
  <c r="BI299" i="40"/>
  <c r="BG299" i="40"/>
  <c r="BE299" i="40"/>
  <c r="BC299" i="40"/>
  <c r="BA299" i="40"/>
  <c r="AY299" i="40"/>
  <c r="AU299" i="40"/>
  <c r="AS299" i="40"/>
  <c r="AQ299" i="40"/>
  <c r="AO299" i="40"/>
  <c r="AM299" i="40"/>
  <c r="BI298" i="40"/>
  <c r="BG298" i="40"/>
  <c r="BE298" i="40"/>
  <c r="BC298" i="40"/>
  <c r="BA298" i="40"/>
  <c r="AY298" i="40"/>
  <c r="AU298" i="40"/>
  <c r="AS298" i="40"/>
  <c r="AQ298" i="40"/>
  <c r="AO298" i="40"/>
  <c r="AM298" i="40"/>
  <c r="BI297" i="40"/>
  <c r="BG297" i="40"/>
  <c r="BE297" i="40"/>
  <c r="BC297" i="40"/>
  <c r="BA297" i="40"/>
  <c r="AY297" i="40"/>
  <c r="AU297" i="40"/>
  <c r="AS297" i="40"/>
  <c r="AQ297" i="40"/>
  <c r="AO297" i="40"/>
  <c r="AM297" i="40"/>
  <c r="BI296" i="40"/>
  <c r="BG296" i="40"/>
  <c r="BE296" i="40"/>
  <c r="BC296" i="40"/>
  <c r="BA296" i="40"/>
  <c r="AY296" i="40"/>
  <c r="AU296" i="40"/>
  <c r="AS296" i="40"/>
  <c r="AQ296" i="40"/>
  <c r="AO296" i="40"/>
  <c r="AM296" i="40"/>
  <c r="BI295" i="40"/>
  <c r="BG295" i="40"/>
  <c r="BE295" i="40"/>
  <c r="BC295" i="40"/>
  <c r="BA295" i="40"/>
  <c r="AY295" i="40"/>
  <c r="AU295" i="40"/>
  <c r="AS295" i="40"/>
  <c r="AQ295" i="40"/>
  <c r="AO295" i="40"/>
  <c r="AM295" i="40"/>
  <c r="BI294" i="40"/>
  <c r="BG294" i="40"/>
  <c r="BE294" i="40"/>
  <c r="BC294" i="40"/>
  <c r="BA294" i="40"/>
  <c r="AY294" i="40"/>
  <c r="AU294" i="40"/>
  <c r="AS294" i="40"/>
  <c r="AQ294" i="40"/>
  <c r="AO294" i="40"/>
  <c r="AM294" i="40"/>
  <c r="BI292" i="40"/>
  <c r="BG292" i="40"/>
  <c r="BE292" i="40"/>
  <c r="BC292" i="40"/>
  <c r="BA292" i="40"/>
  <c r="AY292" i="40"/>
  <c r="AU292" i="40"/>
  <c r="AS292" i="40"/>
  <c r="AQ292" i="40"/>
  <c r="AO292" i="40"/>
  <c r="AM292" i="40"/>
  <c r="BI291" i="40"/>
  <c r="BG291" i="40"/>
  <c r="BE291" i="40"/>
  <c r="BC291" i="40"/>
  <c r="BA291" i="40"/>
  <c r="AY291" i="40"/>
  <c r="AU291" i="40"/>
  <c r="AS291" i="40"/>
  <c r="AQ291" i="40"/>
  <c r="AO291" i="40"/>
  <c r="AM291" i="40"/>
  <c r="BI290" i="40"/>
  <c r="BG290" i="40"/>
  <c r="BE290" i="40"/>
  <c r="BC290" i="40"/>
  <c r="BA290" i="40"/>
  <c r="AY290" i="40"/>
  <c r="AU290" i="40"/>
  <c r="AS290" i="40"/>
  <c r="AQ290" i="40"/>
  <c r="AO290" i="40"/>
  <c r="AM290" i="40"/>
  <c r="BI289" i="40"/>
  <c r="BG289" i="40"/>
  <c r="BE289" i="40"/>
  <c r="BC289" i="40"/>
  <c r="BA289" i="40"/>
  <c r="AY289" i="40"/>
  <c r="AU289" i="40"/>
  <c r="AS289" i="40"/>
  <c r="AQ289" i="40"/>
  <c r="AO289" i="40"/>
  <c r="AM289" i="40"/>
  <c r="BI288" i="40"/>
  <c r="BG288" i="40"/>
  <c r="BE288" i="40"/>
  <c r="BC288" i="40"/>
  <c r="BA288" i="40"/>
  <c r="AY288" i="40"/>
  <c r="AU288" i="40"/>
  <c r="AS288" i="40"/>
  <c r="AQ288" i="40"/>
  <c r="AO288" i="40"/>
  <c r="AM288" i="40"/>
  <c r="BI287" i="40"/>
  <c r="BG287" i="40"/>
  <c r="BE287" i="40"/>
  <c r="BC287" i="40"/>
  <c r="BA287" i="40"/>
  <c r="AY287" i="40"/>
  <c r="AU287" i="40"/>
  <c r="AS287" i="40"/>
  <c r="AQ287" i="40"/>
  <c r="AO287" i="40"/>
  <c r="AM287" i="40"/>
  <c r="BI286" i="40"/>
  <c r="BG286" i="40"/>
  <c r="BE286" i="40"/>
  <c r="BC286" i="40"/>
  <c r="BA286" i="40"/>
  <c r="AY286" i="40"/>
  <c r="AU286" i="40"/>
  <c r="AS286" i="40"/>
  <c r="AQ286" i="40"/>
  <c r="AO286" i="40"/>
  <c r="AM286" i="40"/>
  <c r="BI285" i="40"/>
  <c r="BG285" i="40"/>
  <c r="BE285" i="40"/>
  <c r="BC285" i="40"/>
  <c r="BA285" i="40"/>
  <c r="AY285" i="40"/>
  <c r="AU285" i="40"/>
  <c r="AS285" i="40"/>
  <c r="AQ285" i="40"/>
  <c r="AO285" i="40"/>
  <c r="AM285" i="40"/>
  <c r="BI283" i="40"/>
  <c r="BG283" i="40"/>
  <c r="BE283" i="40"/>
  <c r="BC283" i="40"/>
  <c r="BA283" i="40"/>
  <c r="AY283" i="40"/>
  <c r="AU283" i="40"/>
  <c r="AS283" i="40"/>
  <c r="AQ283" i="40"/>
  <c r="AO283" i="40"/>
  <c r="AM283" i="40"/>
  <c r="BI260" i="40"/>
  <c r="BG260" i="40"/>
  <c r="BE260" i="40"/>
  <c r="BC260" i="40"/>
  <c r="BA260" i="40"/>
  <c r="AY260" i="40"/>
  <c r="AU260" i="40"/>
  <c r="AS260" i="40"/>
  <c r="AQ260" i="40"/>
  <c r="AO260" i="40"/>
  <c r="AM260" i="40"/>
  <c r="BI259" i="40"/>
  <c r="BG259" i="40"/>
  <c r="BE259" i="40"/>
  <c r="BC259" i="40"/>
  <c r="BA259" i="40"/>
  <c r="AY259" i="40"/>
  <c r="AU259" i="40"/>
  <c r="AS259" i="40"/>
  <c r="AQ259" i="40"/>
  <c r="AO259" i="40"/>
  <c r="AM259" i="40"/>
  <c r="BI258" i="40"/>
  <c r="BG258" i="40"/>
  <c r="BE258" i="40"/>
  <c r="BC258" i="40"/>
  <c r="BA258" i="40"/>
  <c r="AY258" i="40"/>
  <c r="AU258" i="40"/>
  <c r="AS258" i="40"/>
  <c r="AQ258" i="40"/>
  <c r="AO258" i="40"/>
  <c r="AM258" i="40"/>
  <c r="BI257" i="40"/>
  <c r="BG257" i="40"/>
  <c r="BE257" i="40"/>
  <c r="BC257" i="40"/>
  <c r="BA257" i="40"/>
  <c r="AY257" i="40"/>
  <c r="AU257" i="40"/>
  <c r="AS257" i="40"/>
  <c r="AQ257" i="40"/>
  <c r="AO257" i="40"/>
  <c r="AM257" i="40"/>
  <c r="BI256" i="40"/>
  <c r="BG256" i="40"/>
  <c r="BE256" i="40"/>
  <c r="BC256" i="40"/>
  <c r="BA256" i="40"/>
  <c r="AY256" i="40"/>
  <c r="AU256" i="40"/>
  <c r="AS256" i="40"/>
  <c r="AQ256" i="40"/>
  <c r="AO256" i="40"/>
  <c r="AM256" i="40"/>
  <c r="BI255" i="40"/>
  <c r="BG255" i="40"/>
  <c r="BE255" i="40"/>
  <c r="BC255" i="40"/>
  <c r="BA255" i="40"/>
  <c r="AY255" i="40"/>
  <c r="AU255" i="40"/>
  <c r="AS255" i="40"/>
  <c r="AQ255" i="40"/>
  <c r="AO255" i="40"/>
  <c r="AM255" i="40"/>
  <c r="BI253" i="40"/>
  <c r="BG253" i="40"/>
  <c r="BE253" i="40"/>
  <c r="BC253" i="40"/>
  <c r="BA253" i="40"/>
  <c r="AY253" i="40"/>
  <c r="AU253" i="40"/>
  <c r="AS253" i="40"/>
  <c r="AQ253" i="40"/>
  <c r="AO253" i="40"/>
  <c r="AM253" i="40"/>
  <c r="BI252" i="40"/>
  <c r="BG252" i="40"/>
  <c r="BE252" i="40"/>
  <c r="BC252" i="40"/>
  <c r="BA252" i="40"/>
  <c r="AY252" i="40"/>
  <c r="AU252" i="40"/>
  <c r="AS252" i="40"/>
  <c r="AQ252" i="40"/>
  <c r="AO252" i="40"/>
  <c r="AM252" i="40"/>
  <c r="BI251" i="40"/>
  <c r="BG251" i="40"/>
  <c r="BE251" i="40"/>
  <c r="BC251" i="40"/>
  <c r="BA251" i="40"/>
  <c r="AY251" i="40"/>
  <c r="AU251" i="40"/>
  <c r="AS251" i="40"/>
  <c r="AQ251" i="40"/>
  <c r="AO251" i="40"/>
  <c r="AM251" i="40"/>
  <c r="BI250" i="40"/>
  <c r="BG250" i="40"/>
  <c r="BE250" i="40"/>
  <c r="BC250" i="40"/>
  <c r="BA250" i="40"/>
  <c r="AY250" i="40"/>
  <c r="AU250" i="40"/>
  <c r="AS250" i="40"/>
  <c r="AQ250" i="40"/>
  <c r="AO250" i="40"/>
  <c r="AM250" i="40"/>
  <c r="BI249" i="40"/>
  <c r="BG249" i="40"/>
  <c r="BE249" i="40"/>
  <c r="BC249" i="40"/>
  <c r="BA249" i="40"/>
  <c r="AY249" i="40"/>
  <c r="AU249" i="40"/>
  <c r="AS249" i="40"/>
  <c r="AQ249" i="40"/>
  <c r="AO249" i="40"/>
  <c r="AM249" i="40"/>
  <c r="BI248" i="40"/>
  <c r="BG248" i="40"/>
  <c r="BE248" i="40"/>
  <c r="BC248" i="40"/>
  <c r="BA248" i="40"/>
  <c r="AY248" i="40"/>
  <c r="AU248" i="40"/>
  <c r="AS248" i="40"/>
  <c r="AQ248" i="40"/>
  <c r="AO248" i="40"/>
  <c r="AM248" i="40"/>
  <c r="BI247" i="40"/>
  <c r="BG247" i="40"/>
  <c r="BE247" i="40"/>
  <c r="BC247" i="40"/>
  <c r="BA247" i="40"/>
  <c r="AY247" i="40"/>
  <c r="AU247" i="40"/>
  <c r="AS247" i="40"/>
  <c r="AQ247" i="40"/>
  <c r="AO247" i="40"/>
  <c r="AM247" i="40"/>
  <c r="BI246" i="40"/>
  <c r="BG246" i="40"/>
  <c r="BE246" i="40"/>
  <c r="BC246" i="40"/>
  <c r="BA246" i="40"/>
  <c r="AY246" i="40"/>
  <c r="AU246" i="40"/>
  <c r="AS246" i="40"/>
  <c r="AQ246" i="40"/>
  <c r="AO246" i="40"/>
  <c r="AM246" i="40"/>
  <c r="BI245" i="40"/>
  <c r="BG245" i="40"/>
  <c r="BE245" i="40"/>
  <c r="BC245" i="40"/>
  <c r="BA245" i="40"/>
  <c r="AY245" i="40"/>
  <c r="AU245" i="40"/>
  <c r="AS245" i="40"/>
  <c r="AQ245" i="40"/>
  <c r="AO245" i="40"/>
  <c r="AM245" i="40"/>
  <c r="BI244" i="40"/>
  <c r="BG244" i="40"/>
  <c r="BE244" i="40"/>
  <c r="BC244" i="40"/>
  <c r="BA244" i="40"/>
  <c r="AY244" i="40"/>
  <c r="AU244" i="40"/>
  <c r="AS244" i="40"/>
  <c r="AQ244" i="40"/>
  <c r="AO244" i="40"/>
  <c r="AM244" i="40"/>
  <c r="BI243" i="40"/>
  <c r="BG243" i="40"/>
  <c r="BE243" i="40"/>
  <c r="BC243" i="40"/>
  <c r="BA243" i="40"/>
  <c r="AY243" i="40"/>
  <c r="AU243" i="40"/>
  <c r="AS243" i="40"/>
  <c r="AQ243" i="40"/>
  <c r="AO243" i="40"/>
  <c r="AM243" i="40"/>
  <c r="BI242" i="40"/>
  <c r="BG242" i="40"/>
  <c r="BE242" i="40"/>
  <c r="BC242" i="40"/>
  <c r="BA242" i="40"/>
  <c r="AY242" i="40"/>
  <c r="AU242" i="40"/>
  <c r="AS242" i="40"/>
  <c r="AQ242" i="40"/>
  <c r="AO242" i="40"/>
  <c r="AM242" i="40"/>
  <c r="BI241" i="40"/>
  <c r="BG241" i="40"/>
  <c r="BE241" i="40"/>
  <c r="BC241" i="40"/>
  <c r="BA241" i="40"/>
  <c r="AY241" i="40"/>
  <c r="AU241" i="40"/>
  <c r="AS241" i="40"/>
  <c r="AQ241" i="40"/>
  <c r="AO241" i="40"/>
  <c r="AM241" i="40"/>
  <c r="BI240" i="40"/>
  <c r="BG240" i="40"/>
  <c r="BE240" i="40"/>
  <c r="BC240" i="40"/>
  <c r="BA240" i="40"/>
  <c r="AY240" i="40"/>
  <c r="AU240" i="40"/>
  <c r="AS240" i="40"/>
  <c r="AQ240" i="40"/>
  <c r="AO240" i="40"/>
  <c r="AM240" i="40"/>
  <c r="BI239" i="40"/>
  <c r="BG239" i="40"/>
  <c r="BE239" i="40"/>
  <c r="BC239" i="40"/>
  <c r="BA239" i="40"/>
  <c r="AY239" i="40"/>
  <c r="AU239" i="40"/>
  <c r="AS239" i="40"/>
  <c r="AQ239" i="40"/>
  <c r="AO239" i="40"/>
  <c r="AM239" i="40"/>
  <c r="BI238" i="40"/>
  <c r="BG238" i="40"/>
  <c r="BE238" i="40"/>
  <c r="BC238" i="40"/>
  <c r="BA238" i="40"/>
  <c r="AY238" i="40"/>
  <c r="AU238" i="40"/>
  <c r="AS238" i="40"/>
  <c r="AQ238" i="40"/>
  <c r="AO238" i="40"/>
  <c r="AM238" i="40"/>
  <c r="BI237" i="40"/>
  <c r="BG237" i="40"/>
  <c r="BE237" i="40"/>
  <c r="BC237" i="40"/>
  <c r="BA237" i="40"/>
  <c r="AY237" i="40"/>
  <c r="AU237" i="40"/>
  <c r="AS237" i="40"/>
  <c r="AQ237" i="40"/>
  <c r="AO237" i="40"/>
  <c r="AM237" i="40"/>
  <c r="BI236" i="40"/>
  <c r="BG236" i="40"/>
  <c r="BE236" i="40"/>
  <c r="BC236" i="40"/>
  <c r="BA236" i="40"/>
  <c r="AY236" i="40"/>
  <c r="AU236" i="40"/>
  <c r="AS236" i="40"/>
  <c r="AQ236" i="40"/>
  <c r="AO236" i="40"/>
  <c r="AM236" i="40"/>
  <c r="BI235" i="40"/>
  <c r="BG235" i="40"/>
  <c r="BE235" i="40"/>
  <c r="BC235" i="40"/>
  <c r="BA235" i="40"/>
  <c r="AY235" i="40"/>
  <c r="AU235" i="40"/>
  <c r="AS235" i="40"/>
  <c r="AQ235" i="40"/>
  <c r="AO235" i="40"/>
  <c r="AM235" i="40"/>
  <c r="BI234" i="40"/>
  <c r="BG234" i="40"/>
  <c r="BE234" i="40"/>
  <c r="BC234" i="40"/>
  <c r="BA234" i="40"/>
  <c r="AY234" i="40"/>
  <c r="AU234" i="40"/>
  <c r="AS234" i="40"/>
  <c r="AQ234" i="40"/>
  <c r="AO234" i="40"/>
  <c r="AM234" i="40"/>
  <c r="BI233" i="40"/>
  <c r="BG233" i="40"/>
  <c r="BE233" i="40"/>
  <c r="BC233" i="40"/>
  <c r="BA233" i="40"/>
  <c r="AY233" i="40"/>
  <c r="AU233" i="40"/>
  <c r="AS233" i="40"/>
  <c r="AQ233" i="40"/>
  <c r="AO233" i="40"/>
  <c r="AM233" i="40"/>
  <c r="BI232" i="40"/>
  <c r="BG232" i="40"/>
  <c r="BE232" i="40"/>
  <c r="BC232" i="40"/>
  <c r="BA232" i="40"/>
  <c r="AY232" i="40"/>
  <c r="AU232" i="40"/>
  <c r="AS232" i="40"/>
  <c r="AQ232" i="40"/>
  <c r="AO232" i="40"/>
  <c r="AM232" i="40"/>
  <c r="BI231" i="40"/>
  <c r="BG231" i="40"/>
  <c r="BE231" i="40"/>
  <c r="BC231" i="40"/>
  <c r="BA231" i="40"/>
  <c r="AY231" i="40"/>
  <c r="AU231" i="40"/>
  <c r="AS231" i="40"/>
  <c r="AQ231" i="40"/>
  <c r="AO231" i="40"/>
  <c r="AM231" i="40"/>
  <c r="BI230" i="40"/>
  <c r="BG230" i="40"/>
  <c r="BE230" i="40"/>
  <c r="BC230" i="40"/>
  <c r="BA230" i="40"/>
  <c r="AY230" i="40"/>
  <c r="AU230" i="40"/>
  <c r="AS230" i="40"/>
  <c r="AQ230" i="40"/>
  <c r="AO230" i="40"/>
  <c r="AM230" i="40"/>
  <c r="BI229" i="40"/>
  <c r="BG229" i="40"/>
  <c r="BE229" i="40"/>
  <c r="BC229" i="40"/>
  <c r="BA229" i="40"/>
  <c r="AY229" i="40"/>
  <c r="AU229" i="40"/>
  <c r="AS229" i="40"/>
  <c r="AQ229" i="40"/>
  <c r="AO229" i="40"/>
  <c r="AM229" i="40"/>
  <c r="BI228" i="40"/>
  <c r="BG228" i="40"/>
  <c r="BE228" i="40"/>
  <c r="BC228" i="40"/>
  <c r="BA228" i="40"/>
  <c r="AY228" i="40"/>
  <c r="AU228" i="40"/>
  <c r="AS228" i="40"/>
  <c r="AQ228" i="40"/>
  <c r="AO228" i="40"/>
  <c r="AM228" i="40"/>
  <c r="BI227" i="40"/>
  <c r="BG227" i="40"/>
  <c r="BE227" i="40"/>
  <c r="BC227" i="40"/>
  <c r="BA227" i="40"/>
  <c r="AY227" i="40"/>
  <c r="AU227" i="40"/>
  <c r="AS227" i="40"/>
  <c r="AQ227" i="40"/>
  <c r="AO227" i="40"/>
  <c r="AM227" i="40"/>
  <c r="BI226" i="40"/>
  <c r="BG226" i="40"/>
  <c r="BE226" i="40"/>
  <c r="BC226" i="40"/>
  <c r="BA226" i="40"/>
  <c r="AY226" i="40"/>
  <c r="AU226" i="40"/>
  <c r="AS226" i="40"/>
  <c r="AQ226" i="40"/>
  <c r="AO226" i="40"/>
  <c r="AM226" i="40"/>
  <c r="BI225" i="40"/>
  <c r="BG225" i="40"/>
  <c r="BE225" i="40"/>
  <c r="BC225" i="40"/>
  <c r="BA225" i="40"/>
  <c r="AY225" i="40"/>
  <c r="AU225" i="40"/>
  <c r="AS225" i="40"/>
  <c r="AQ225" i="40"/>
  <c r="AO225" i="40"/>
  <c r="AM225" i="40"/>
  <c r="BI224" i="40"/>
  <c r="BG224" i="40"/>
  <c r="BE224" i="40"/>
  <c r="BC224" i="40"/>
  <c r="BA224" i="40"/>
  <c r="AY224" i="40"/>
  <c r="AU224" i="40"/>
  <c r="AS224" i="40"/>
  <c r="AQ224" i="40"/>
  <c r="AO224" i="40"/>
  <c r="AM224" i="40"/>
  <c r="BI223" i="40"/>
  <c r="BG223" i="40"/>
  <c r="BE223" i="40"/>
  <c r="BC223" i="40"/>
  <c r="BA223" i="40"/>
  <c r="AY223" i="40"/>
  <c r="AU223" i="40"/>
  <c r="AS223" i="40"/>
  <c r="AQ223" i="40"/>
  <c r="AO223" i="40"/>
  <c r="AM223" i="40"/>
  <c r="BI222" i="40"/>
  <c r="BG222" i="40"/>
  <c r="BE222" i="40"/>
  <c r="BC222" i="40"/>
  <c r="BA222" i="40"/>
  <c r="AY222" i="40"/>
  <c r="AU222" i="40"/>
  <c r="AS222" i="40"/>
  <c r="AQ222" i="40"/>
  <c r="AO222" i="40"/>
  <c r="AM222" i="40"/>
  <c r="BI221" i="40"/>
  <c r="BG221" i="40"/>
  <c r="BE221" i="40"/>
  <c r="BC221" i="40"/>
  <c r="BA221" i="40"/>
  <c r="AY221" i="40"/>
  <c r="AU221" i="40"/>
  <c r="AS221" i="40"/>
  <c r="AQ221" i="40"/>
  <c r="AO221" i="40"/>
  <c r="AM221" i="40"/>
  <c r="BI220" i="40"/>
  <c r="BG220" i="40"/>
  <c r="BE220" i="40"/>
  <c r="BC220" i="40"/>
  <c r="BA220" i="40"/>
  <c r="AY220" i="40"/>
  <c r="AU220" i="40"/>
  <c r="AS220" i="40"/>
  <c r="AQ220" i="40"/>
  <c r="AO220" i="40"/>
  <c r="AM220" i="40"/>
  <c r="BI219" i="40"/>
  <c r="BG219" i="40"/>
  <c r="BE219" i="40"/>
  <c r="BC219" i="40"/>
  <c r="BA219" i="40"/>
  <c r="AY219" i="40"/>
  <c r="AU219" i="40"/>
  <c r="AS219" i="40"/>
  <c r="AQ219" i="40"/>
  <c r="AO219" i="40"/>
  <c r="AM219" i="40"/>
  <c r="BI218" i="40"/>
  <c r="BG218" i="40"/>
  <c r="BE218" i="40"/>
  <c r="BC218" i="40"/>
  <c r="BA218" i="40"/>
  <c r="AY218" i="40"/>
  <c r="AU218" i="40"/>
  <c r="AS218" i="40"/>
  <c r="AQ218" i="40"/>
  <c r="AO218" i="40"/>
  <c r="AM218" i="40"/>
  <c r="BI217" i="40"/>
  <c r="BG217" i="40"/>
  <c r="BE217" i="40"/>
  <c r="BC217" i="40"/>
  <c r="BA217" i="40"/>
  <c r="AY217" i="40"/>
  <c r="AU217" i="40"/>
  <c r="AS217" i="40"/>
  <c r="AQ217" i="40"/>
  <c r="AO217" i="40"/>
  <c r="AM217" i="40"/>
  <c r="BI216" i="40"/>
  <c r="BG216" i="40"/>
  <c r="BE216" i="40"/>
  <c r="BC216" i="40"/>
  <c r="BA216" i="40"/>
  <c r="AY216" i="40"/>
  <c r="AU216" i="40"/>
  <c r="AS216" i="40"/>
  <c r="AQ216" i="40"/>
  <c r="AO216" i="40"/>
  <c r="AM216" i="40"/>
  <c r="BI215" i="40"/>
  <c r="BG215" i="40"/>
  <c r="BE215" i="40"/>
  <c r="BC215" i="40"/>
  <c r="BA215" i="40"/>
  <c r="AY215" i="40"/>
  <c r="AU215" i="40"/>
  <c r="AS215" i="40"/>
  <c r="AQ215" i="40"/>
  <c r="AO215" i="40"/>
  <c r="AM215" i="40"/>
  <c r="BI214" i="40"/>
  <c r="BG214" i="40"/>
  <c r="BE214" i="40"/>
  <c r="BC214" i="40"/>
  <c r="BA214" i="40"/>
  <c r="AY214" i="40"/>
  <c r="AU214" i="40"/>
  <c r="AS214" i="40"/>
  <c r="AQ214" i="40"/>
  <c r="AO214" i="40"/>
  <c r="AM214" i="40"/>
  <c r="BI213" i="40"/>
  <c r="BG213" i="40"/>
  <c r="BE213" i="40"/>
  <c r="BC213" i="40"/>
  <c r="BA213" i="40"/>
  <c r="AY213" i="40"/>
  <c r="AU213" i="40"/>
  <c r="AS213" i="40"/>
  <c r="AQ213" i="40"/>
  <c r="AO213" i="40"/>
  <c r="AM213" i="40"/>
  <c r="BI212" i="40"/>
  <c r="BG212" i="40"/>
  <c r="BE212" i="40"/>
  <c r="BC212" i="40"/>
  <c r="BA212" i="40"/>
  <c r="AY212" i="40"/>
  <c r="AU212" i="40"/>
  <c r="AS212" i="40"/>
  <c r="AQ212" i="40"/>
  <c r="AO212" i="40"/>
  <c r="AM212" i="40"/>
  <c r="BI211" i="40"/>
  <c r="BG211" i="40"/>
  <c r="BE211" i="40"/>
  <c r="BC211" i="40"/>
  <c r="BA211" i="40"/>
  <c r="AY211" i="40"/>
  <c r="AU211" i="40"/>
  <c r="AS211" i="40"/>
  <c r="AQ211" i="40"/>
  <c r="AO211" i="40"/>
  <c r="AM211" i="40"/>
  <c r="BI210" i="40"/>
  <c r="BG210" i="40"/>
  <c r="BE210" i="40"/>
  <c r="BC210" i="40"/>
  <c r="BA210" i="40"/>
  <c r="AY210" i="40"/>
  <c r="AU210" i="40"/>
  <c r="AS210" i="40"/>
  <c r="AQ210" i="40"/>
  <c r="AO210" i="40"/>
  <c r="AM210" i="40"/>
  <c r="BI209" i="40"/>
  <c r="BG209" i="40"/>
  <c r="BE209" i="40"/>
  <c r="BC209" i="40"/>
  <c r="BA209" i="40"/>
  <c r="AY209" i="40"/>
  <c r="AU209" i="40"/>
  <c r="AS209" i="40"/>
  <c r="AQ209" i="40"/>
  <c r="AO209" i="40"/>
  <c r="AM209" i="40"/>
  <c r="BI208" i="40"/>
  <c r="BG208" i="40"/>
  <c r="BE208" i="40"/>
  <c r="BC208" i="40"/>
  <c r="BA208" i="40"/>
  <c r="AY208" i="40"/>
  <c r="AU208" i="40"/>
  <c r="AS208" i="40"/>
  <c r="AQ208" i="40"/>
  <c r="AO208" i="40"/>
  <c r="AM208" i="40"/>
  <c r="BI207" i="40"/>
  <c r="BG207" i="40"/>
  <c r="BE207" i="40"/>
  <c r="BC207" i="40"/>
  <c r="BA207" i="40"/>
  <c r="AY207" i="40"/>
  <c r="AU207" i="40"/>
  <c r="AS207" i="40"/>
  <c r="AQ207" i="40"/>
  <c r="AO207" i="40"/>
  <c r="AM207" i="40"/>
  <c r="BI206" i="40"/>
  <c r="BG206" i="40"/>
  <c r="BE206" i="40"/>
  <c r="BC206" i="40"/>
  <c r="BA206" i="40"/>
  <c r="AY206" i="40"/>
  <c r="AU206" i="40"/>
  <c r="AS206" i="40"/>
  <c r="AQ206" i="40"/>
  <c r="AO206" i="40"/>
  <c r="AM206" i="40"/>
  <c r="BI205" i="40"/>
  <c r="BG205" i="40"/>
  <c r="BE205" i="40"/>
  <c r="BC205" i="40"/>
  <c r="BA205" i="40"/>
  <c r="AY205" i="40"/>
  <c r="AU205" i="40"/>
  <c r="AS205" i="40"/>
  <c r="AQ205" i="40"/>
  <c r="AO205" i="40"/>
  <c r="AM205" i="40"/>
  <c r="BI204" i="40"/>
  <c r="BG204" i="40"/>
  <c r="BE204" i="40"/>
  <c r="BC204" i="40"/>
  <c r="BA204" i="40"/>
  <c r="AY204" i="40"/>
  <c r="AU204" i="40"/>
  <c r="AS204" i="40"/>
  <c r="AQ204" i="40"/>
  <c r="AO204" i="40"/>
  <c r="AM204" i="40"/>
  <c r="BI203" i="40"/>
  <c r="BG203" i="40"/>
  <c r="BE203" i="40"/>
  <c r="BC203" i="40"/>
  <c r="BA203" i="40"/>
  <c r="AY203" i="40"/>
  <c r="AU203" i="40"/>
  <c r="AS203" i="40"/>
  <c r="AQ203" i="40"/>
  <c r="AO203" i="40"/>
  <c r="AM203" i="40"/>
  <c r="BI202" i="40"/>
  <c r="BG202" i="40"/>
  <c r="BE202" i="40"/>
  <c r="BC202" i="40"/>
  <c r="BA202" i="40"/>
  <c r="AY202" i="40"/>
  <c r="AU202" i="40"/>
  <c r="AS202" i="40"/>
  <c r="AQ202" i="40"/>
  <c r="AO202" i="40"/>
  <c r="AM202" i="40"/>
  <c r="BI201" i="40"/>
  <c r="BG201" i="40"/>
  <c r="BE201" i="40"/>
  <c r="BC201" i="40"/>
  <c r="BA201" i="40"/>
  <c r="AY201" i="40"/>
  <c r="AU201" i="40"/>
  <c r="AS201" i="40"/>
  <c r="AQ201" i="40"/>
  <c r="AO201" i="40"/>
  <c r="AM201" i="40"/>
  <c r="BI200" i="40"/>
  <c r="BG200" i="40"/>
  <c r="BE200" i="40"/>
  <c r="BC200" i="40"/>
  <c r="BA200" i="40"/>
  <c r="AY200" i="40"/>
  <c r="AU200" i="40"/>
  <c r="AS200" i="40"/>
  <c r="AQ200" i="40"/>
  <c r="AO200" i="40"/>
  <c r="AM200" i="40"/>
  <c r="BI199" i="40"/>
  <c r="BG199" i="40"/>
  <c r="BE199" i="40"/>
  <c r="BC199" i="40"/>
  <c r="BA199" i="40"/>
  <c r="AY199" i="40"/>
  <c r="AU199" i="40"/>
  <c r="AS199" i="40"/>
  <c r="AQ199" i="40"/>
  <c r="AO199" i="40"/>
  <c r="AM199" i="40"/>
  <c r="BI198" i="40"/>
  <c r="BG198" i="40"/>
  <c r="BE198" i="40"/>
  <c r="BC198" i="40"/>
  <c r="BA198" i="40"/>
  <c r="AY198" i="40"/>
  <c r="AU198" i="40"/>
  <c r="AS198" i="40"/>
  <c r="AQ198" i="40"/>
  <c r="AO198" i="40"/>
  <c r="AM198" i="40"/>
  <c r="BI197" i="40"/>
  <c r="BG197" i="40"/>
  <c r="BE197" i="40"/>
  <c r="BC197" i="40"/>
  <c r="BA197" i="40"/>
  <c r="AY197" i="40"/>
  <c r="AU197" i="40"/>
  <c r="AS197" i="40"/>
  <c r="AQ197" i="40"/>
  <c r="AO197" i="40"/>
  <c r="AM197" i="40"/>
  <c r="BI196" i="40"/>
  <c r="BG196" i="40"/>
  <c r="BE196" i="40"/>
  <c r="BC196" i="40"/>
  <c r="BA196" i="40"/>
  <c r="AY196" i="40"/>
  <c r="AU196" i="40"/>
  <c r="AS196" i="40"/>
  <c r="AQ196" i="40"/>
  <c r="AO196" i="40"/>
  <c r="AM196" i="40"/>
  <c r="BI195" i="40"/>
  <c r="BG195" i="40"/>
  <c r="BE195" i="40"/>
  <c r="BC195" i="40"/>
  <c r="BA195" i="40"/>
  <c r="AY195" i="40"/>
  <c r="AU195" i="40"/>
  <c r="AS195" i="40"/>
  <c r="AQ195" i="40"/>
  <c r="AO195" i="40"/>
  <c r="AM195" i="40"/>
  <c r="BI194" i="40"/>
  <c r="BG194" i="40"/>
  <c r="BE194" i="40"/>
  <c r="BC194" i="40"/>
  <c r="BA194" i="40"/>
  <c r="AY194" i="40"/>
  <c r="AU194" i="40"/>
  <c r="AS194" i="40"/>
  <c r="AQ194" i="40"/>
  <c r="AO194" i="40"/>
  <c r="AM194" i="40"/>
  <c r="BI193" i="40"/>
  <c r="BG193" i="40"/>
  <c r="BE193" i="40"/>
  <c r="BC193" i="40"/>
  <c r="BA193" i="40"/>
  <c r="AY193" i="40"/>
  <c r="AU193" i="40"/>
  <c r="AS193" i="40"/>
  <c r="AQ193" i="40"/>
  <c r="AO193" i="40"/>
  <c r="AM193" i="40"/>
  <c r="BI192" i="40"/>
  <c r="BG192" i="40"/>
  <c r="BE192" i="40"/>
  <c r="BC192" i="40"/>
  <c r="BA192" i="40"/>
  <c r="AY192" i="40"/>
  <c r="AU192" i="40"/>
  <c r="AS192" i="40"/>
  <c r="AQ192" i="40"/>
  <c r="AO192" i="40"/>
  <c r="AM192" i="40"/>
  <c r="BI191" i="40"/>
  <c r="BG191" i="40"/>
  <c r="BE191" i="40"/>
  <c r="BC191" i="40"/>
  <c r="BA191" i="40"/>
  <c r="AY191" i="40"/>
  <c r="AU191" i="40"/>
  <c r="AS191" i="40"/>
  <c r="AQ191" i="40"/>
  <c r="AO191" i="40"/>
  <c r="AM191" i="40"/>
  <c r="BI190" i="40"/>
  <c r="BG190" i="40"/>
  <c r="BE190" i="40"/>
  <c r="BC190" i="40"/>
  <c r="BA190" i="40"/>
  <c r="AY190" i="40"/>
  <c r="AU190" i="40"/>
  <c r="AS190" i="40"/>
  <c r="AQ190" i="40"/>
  <c r="AO190" i="40"/>
  <c r="AM190" i="40"/>
  <c r="BI189" i="40"/>
  <c r="BG189" i="40"/>
  <c r="BE189" i="40"/>
  <c r="BC189" i="40"/>
  <c r="BA189" i="40"/>
  <c r="AY189" i="40"/>
  <c r="AU189" i="40"/>
  <c r="AS189" i="40"/>
  <c r="AQ189" i="40"/>
  <c r="AO189" i="40"/>
  <c r="AM189" i="40"/>
  <c r="BI188" i="40"/>
  <c r="BG188" i="40"/>
  <c r="BE188" i="40"/>
  <c r="BC188" i="40"/>
  <c r="BA188" i="40"/>
  <c r="AY188" i="40"/>
  <c r="AU188" i="40"/>
  <c r="AS188" i="40"/>
  <c r="AQ188" i="40"/>
  <c r="AO188" i="40"/>
  <c r="AM188" i="40"/>
  <c r="BI187" i="40"/>
  <c r="BG187" i="40"/>
  <c r="BE187" i="40"/>
  <c r="BC187" i="40"/>
  <c r="BA187" i="40"/>
  <c r="AY187" i="40"/>
  <c r="AU187" i="40"/>
  <c r="AS187" i="40"/>
  <c r="AQ187" i="40"/>
  <c r="AO187" i="40"/>
  <c r="AM187" i="40"/>
  <c r="BI186" i="40"/>
  <c r="BG186" i="40"/>
  <c r="BE186" i="40"/>
  <c r="BC186" i="40"/>
  <c r="BA186" i="40"/>
  <c r="AY186" i="40"/>
  <c r="AU186" i="40"/>
  <c r="AS186" i="40"/>
  <c r="AQ186" i="40"/>
  <c r="AO186" i="40"/>
  <c r="AM186" i="40"/>
  <c r="BI185" i="40"/>
  <c r="BG185" i="40"/>
  <c r="BE185" i="40"/>
  <c r="BC185" i="40"/>
  <c r="BA185" i="40"/>
  <c r="AY185" i="40"/>
  <c r="AU185" i="40"/>
  <c r="AS185" i="40"/>
  <c r="AQ185" i="40"/>
  <c r="AO185" i="40"/>
  <c r="AM185" i="40"/>
  <c r="BI184" i="40"/>
  <c r="BG184" i="40"/>
  <c r="BE184" i="40"/>
  <c r="BC184" i="40"/>
  <c r="BA184" i="40"/>
  <c r="AY184" i="40"/>
  <c r="AU184" i="40"/>
  <c r="AS184" i="40"/>
  <c r="AQ184" i="40"/>
  <c r="AO184" i="40"/>
  <c r="AM184" i="40"/>
  <c r="BI183" i="40"/>
  <c r="BG183" i="40"/>
  <c r="BE183" i="40"/>
  <c r="BC183" i="40"/>
  <c r="BA183" i="40"/>
  <c r="AY183" i="40"/>
  <c r="AU183" i="40"/>
  <c r="AS183" i="40"/>
  <c r="AQ183" i="40"/>
  <c r="AO183" i="40"/>
  <c r="AM183" i="40"/>
  <c r="BI182" i="40"/>
  <c r="BG182" i="40"/>
  <c r="BE182" i="40"/>
  <c r="BC182" i="40"/>
  <c r="BA182" i="40"/>
  <c r="AY182" i="40"/>
  <c r="AU182" i="40"/>
  <c r="AS182" i="40"/>
  <c r="AQ182" i="40"/>
  <c r="AO182" i="40"/>
  <c r="AM182" i="40"/>
  <c r="BI181" i="40"/>
  <c r="BG181" i="40"/>
  <c r="BE181" i="40"/>
  <c r="BC181" i="40"/>
  <c r="BA181" i="40"/>
  <c r="AY181" i="40"/>
  <c r="AU181" i="40"/>
  <c r="AS181" i="40"/>
  <c r="AQ181" i="40"/>
  <c r="AO181" i="40"/>
  <c r="AM181" i="40"/>
  <c r="BI180" i="40"/>
  <c r="BG180" i="40"/>
  <c r="BE180" i="40"/>
  <c r="BC180" i="40"/>
  <c r="BA180" i="40"/>
  <c r="AY180" i="40"/>
  <c r="AU180" i="40"/>
  <c r="AS180" i="40"/>
  <c r="AQ180" i="40"/>
  <c r="AO180" i="40"/>
  <c r="AM180" i="40"/>
  <c r="BI179" i="40"/>
  <c r="BG179" i="40"/>
  <c r="BE179" i="40"/>
  <c r="BC179" i="40"/>
  <c r="BA179" i="40"/>
  <c r="AY179" i="40"/>
  <c r="AU179" i="40"/>
  <c r="AS179" i="40"/>
  <c r="AQ179" i="40"/>
  <c r="AO179" i="40"/>
  <c r="AM179" i="40"/>
  <c r="BI178" i="40"/>
  <c r="BG178" i="40"/>
  <c r="BE178" i="40"/>
  <c r="BC178" i="40"/>
  <c r="BA178" i="40"/>
  <c r="AY178" i="40"/>
  <c r="AU178" i="40"/>
  <c r="AS178" i="40"/>
  <c r="AQ178" i="40"/>
  <c r="AO178" i="40"/>
  <c r="AM178" i="40"/>
  <c r="BI177" i="40"/>
  <c r="BG177" i="40"/>
  <c r="BE177" i="40"/>
  <c r="BC177" i="40"/>
  <c r="BA177" i="40"/>
  <c r="AY177" i="40"/>
  <c r="AU177" i="40"/>
  <c r="AS177" i="40"/>
  <c r="AQ177" i="40"/>
  <c r="AO177" i="40"/>
  <c r="AM177" i="40"/>
  <c r="BI176" i="40"/>
  <c r="BG176" i="40"/>
  <c r="BE176" i="40"/>
  <c r="BC176" i="40"/>
  <c r="BA176" i="40"/>
  <c r="AY176" i="40"/>
  <c r="AU176" i="40"/>
  <c r="AS176" i="40"/>
  <c r="AQ176" i="40"/>
  <c r="AO176" i="40"/>
  <c r="AM176" i="40"/>
  <c r="BI175" i="40"/>
  <c r="BG175" i="40"/>
  <c r="BE175" i="40"/>
  <c r="BC175" i="40"/>
  <c r="BA175" i="40"/>
  <c r="AY175" i="40"/>
  <c r="AU175" i="40"/>
  <c r="AS175" i="40"/>
  <c r="AQ175" i="40"/>
  <c r="AO175" i="40"/>
  <c r="AM175" i="40"/>
  <c r="BI174" i="40"/>
  <c r="BG174" i="40"/>
  <c r="BE174" i="40"/>
  <c r="BC174" i="40"/>
  <c r="BA174" i="40"/>
  <c r="AY174" i="40"/>
  <c r="AU174" i="40"/>
  <c r="AS174" i="40"/>
  <c r="AQ174" i="40"/>
  <c r="AO174" i="40"/>
  <c r="AM174" i="40"/>
  <c r="BI173" i="40"/>
  <c r="BG173" i="40"/>
  <c r="BE173" i="40"/>
  <c r="BC173" i="40"/>
  <c r="BA173" i="40"/>
  <c r="AY173" i="40"/>
  <c r="AU173" i="40"/>
  <c r="AS173" i="40"/>
  <c r="AQ173" i="40"/>
  <c r="AO173" i="40"/>
  <c r="AM173" i="40"/>
  <c r="BI172" i="40"/>
  <c r="BG172" i="40"/>
  <c r="BE172" i="40"/>
  <c r="BC172" i="40"/>
  <c r="BA172" i="40"/>
  <c r="AY172" i="40"/>
  <c r="AU172" i="40"/>
  <c r="AS172" i="40"/>
  <c r="AQ172" i="40"/>
  <c r="AO172" i="40"/>
  <c r="AM172" i="40"/>
  <c r="BI171" i="40"/>
  <c r="BG171" i="40"/>
  <c r="BE171" i="40"/>
  <c r="BC171" i="40"/>
  <c r="BA171" i="40"/>
  <c r="AY171" i="40"/>
  <c r="AU171" i="40"/>
  <c r="AS171" i="40"/>
  <c r="AQ171" i="40"/>
  <c r="AO171" i="40"/>
  <c r="AM171" i="40"/>
  <c r="BI170" i="40"/>
  <c r="BG170" i="40"/>
  <c r="BE170" i="40"/>
  <c r="BC170" i="40"/>
  <c r="BA170" i="40"/>
  <c r="AY170" i="40"/>
  <c r="AU170" i="40"/>
  <c r="AS170" i="40"/>
  <c r="AQ170" i="40"/>
  <c r="AO170" i="40"/>
  <c r="AM170" i="40"/>
  <c r="BI169" i="40"/>
  <c r="BG169" i="40"/>
  <c r="BE169" i="40"/>
  <c r="BC169" i="40"/>
  <c r="BA169" i="40"/>
  <c r="AY169" i="40"/>
  <c r="AU169" i="40"/>
  <c r="AS169" i="40"/>
  <c r="AQ169" i="40"/>
  <c r="AO169" i="40"/>
  <c r="AM169" i="40"/>
  <c r="BI168" i="40"/>
  <c r="BG168" i="40"/>
  <c r="BE168" i="40"/>
  <c r="BC168" i="40"/>
  <c r="BA168" i="40"/>
  <c r="AY168" i="40"/>
  <c r="AU168" i="40"/>
  <c r="AS168" i="40"/>
  <c r="AQ168" i="40"/>
  <c r="AO168" i="40"/>
  <c r="AM168" i="40"/>
  <c r="BI167" i="40"/>
  <c r="BG167" i="40"/>
  <c r="BE167" i="40"/>
  <c r="BC167" i="40"/>
  <c r="BA167" i="40"/>
  <c r="AY167" i="40"/>
  <c r="AU167" i="40"/>
  <c r="AS167" i="40"/>
  <c r="AQ167" i="40"/>
  <c r="AO167" i="40"/>
  <c r="AM167" i="40"/>
  <c r="BI166" i="40"/>
  <c r="BG166" i="40"/>
  <c r="BE166" i="40"/>
  <c r="BC166" i="40"/>
  <c r="BA166" i="40"/>
  <c r="AY166" i="40"/>
  <c r="AU166" i="40"/>
  <c r="AS166" i="40"/>
  <c r="AQ166" i="40"/>
  <c r="AO166" i="40"/>
  <c r="AM166" i="40"/>
  <c r="BI165" i="40"/>
  <c r="BG165" i="40"/>
  <c r="BE165" i="40"/>
  <c r="BC165" i="40"/>
  <c r="BA165" i="40"/>
  <c r="AY165" i="40"/>
  <c r="AU165" i="40"/>
  <c r="AS165" i="40"/>
  <c r="AQ165" i="40"/>
  <c r="AO165" i="40"/>
  <c r="AM165" i="40"/>
  <c r="BI164" i="40"/>
  <c r="BG164" i="40"/>
  <c r="BE164" i="40"/>
  <c r="BC164" i="40"/>
  <c r="BA164" i="40"/>
  <c r="AY164" i="40"/>
  <c r="AU164" i="40"/>
  <c r="AS164" i="40"/>
  <c r="AQ164" i="40"/>
  <c r="AO164" i="40"/>
  <c r="AM164" i="40"/>
  <c r="BI163" i="40"/>
  <c r="BG163" i="40"/>
  <c r="BE163" i="40"/>
  <c r="BC163" i="40"/>
  <c r="BA163" i="40"/>
  <c r="AY163" i="40"/>
  <c r="AU163" i="40"/>
  <c r="AS163" i="40"/>
  <c r="AQ163" i="40"/>
  <c r="AO163" i="40"/>
  <c r="AM163" i="40"/>
  <c r="BI162" i="40"/>
  <c r="BG162" i="40"/>
  <c r="BE162" i="40"/>
  <c r="BC162" i="40"/>
  <c r="BA162" i="40"/>
  <c r="AY162" i="40"/>
  <c r="AU162" i="40"/>
  <c r="AS162" i="40"/>
  <c r="AQ162" i="40"/>
  <c r="AO162" i="40"/>
  <c r="AM162" i="40"/>
  <c r="BI161" i="40"/>
  <c r="BG161" i="40"/>
  <c r="BE161" i="40"/>
  <c r="BC161" i="40"/>
  <c r="BA161" i="40"/>
  <c r="AY161" i="40"/>
  <c r="AU161" i="40"/>
  <c r="AS161" i="40"/>
  <c r="AQ161" i="40"/>
  <c r="AO161" i="40"/>
  <c r="AM161" i="40"/>
  <c r="BI160" i="40"/>
  <c r="BG160" i="40"/>
  <c r="BE160" i="40"/>
  <c r="BC160" i="40"/>
  <c r="BA160" i="40"/>
  <c r="AY160" i="40"/>
  <c r="AU160" i="40"/>
  <c r="AS160" i="40"/>
  <c r="AQ160" i="40"/>
  <c r="AO160" i="40"/>
  <c r="AM160" i="40"/>
  <c r="BI159" i="40"/>
  <c r="BG159" i="40"/>
  <c r="BE159" i="40"/>
  <c r="BC159" i="40"/>
  <c r="BA159" i="40"/>
  <c r="AY159" i="40"/>
  <c r="AU159" i="40"/>
  <c r="AS159" i="40"/>
  <c r="AQ159" i="40"/>
  <c r="AO159" i="40"/>
  <c r="AM159" i="40"/>
  <c r="BI158" i="40"/>
  <c r="BG158" i="40"/>
  <c r="BE158" i="40"/>
  <c r="BC158" i="40"/>
  <c r="BA158" i="40"/>
  <c r="AY158" i="40"/>
  <c r="AU158" i="40"/>
  <c r="AS158" i="40"/>
  <c r="AQ158" i="40"/>
  <c r="AO158" i="40"/>
  <c r="AM158" i="40"/>
  <c r="BI157" i="40"/>
  <c r="BG157" i="40"/>
  <c r="BE157" i="40"/>
  <c r="BC157" i="40"/>
  <c r="BA157" i="40"/>
  <c r="AY157" i="40"/>
  <c r="AU157" i="40"/>
  <c r="AS157" i="40"/>
  <c r="AQ157" i="40"/>
  <c r="AO157" i="40"/>
  <c r="AM157" i="40"/>
  <c r="BI156" i="40"/>
  <c r="BG156" i="40"/>
  <c r="BE156" i="40"/>
  <c r="BC156" i="40"/>
  <c r="BA156" i="40"/>
  <c r="AY156" i="40"/>
  <c r="AU156" i="40"/>
  <c r="AS156" i="40"/>
  <c r="AQ156" i="40"/>
  <c r="AO156" i="40"/>
  <c r="AM156" i="40"/>
  <c r="BI155" i="40"/>
  <c r="BG155" i="40"/>
  <c r="BE155" i="40"/>
  <c r="BC155" i="40"/>
  <c r="BA155" i="40"/>
  <c r="AY155" i="40"/>
  <c r="AU155" i="40"/>
  <c r="AS155" i="40"/>
  <c r="AQ155" i="40"/>
  <c r="AO155" i="40"/>
  <c r="AM155" i="40"/>
  <c r="BI154" i="40"/>
  <c r="BG154" i="40"/>
  <c r="BE154" i="40"/>
  <c r="BC154" i="40"/>
  <c r="BA154" i="40"/>
  <c r="AY154" i="40"/>
  <c r="AU154" i="40"/>
  <c r="AS154" i="40"/>
  <c r="AQ154" i="40"/>
  <c r="AO154" i="40"/>
  <c r="AM154" i="40"/>
  <c r="BI153" i="40"/>
  <c r="BG153" i="40"/>
  <c r="BE153" i="40"/>
  <c r="BC153" i="40"/>
  <c r="BA153" i="40"/>
  <c r="AY153" i="40"/>
  <c r="AU153" i="40"/>
  <c r="AS153" i="40"/>
  <c r="AQ153" i="40"/>
  <c r="AO153" i="40"/>
  <c r="AM153" i="40"/>
  <c r="BI152" i="40"/>
  <c r="BG152" i="40"/>
  <c r="BE152" i="40"/>
  <c r="BC152" i="40"/>
  <c r="BA152" i="40"/>
  <c r="AY152" i="40"/>
  <c r="AU152" i="40"/>
  <c r="AS152" i="40"/>
  <c r="AQ152" i="40"/>
  <c r="AO152" i="40"/>
  <c r="AM152" i="40"/>
  <c r="BI151" i="40"/>
  <c r="BG151" i="40"/>
  <c r="BE151" i="40"/>
  <c r="BC151" i="40"/>
  <c r="BA151" i="40"/>
  <c r="AY151" i="40"/>
  <c r="AU151" i="40"/>
  <c r="AS151" i="40"/>
  <c r="AQ151" i="40"/>
  <c r="AO151" i="40"/>
  <c r="AM151" i="40"/>
  <c r="BI150" i="40"/>
  <c r="BG150" i="40"/>
  <c r="BE150" i="40"/>
  <c r="BC150" i="40"/>
  <c r="BA150" i="40"/>
  <c r="AY150" i="40"/>
  <c r="AU150" i="40"/>
  <c r="AS150" i="40"/>
  <c r="AQ150" i="40"/>
  <c r="AO150" i="40"/>
  <c r="AM150" i="40"/>
  <c r="BI149" i="40"/>
  <c r="BG149" i="40"/>
  <c r="BE149" i="40"/>
  <c r="BC149" i="40"/>
  <c r="BA149" i="40"/>
  <c r="AY149" i="40"/>
  <c r="AU149" i="40"/>
  <c r="AS149" i="40"/>
  <c r="AQ149" i="40"/>
  <c r="AO149" i="40"/>
  <c r="AM149" i="40"/>
  <c r="BI148" i="40"/>
  <c r="BG148" i="40"/>
  <c r="BE148" i="40"/>
  <c r="BC148" i="40"/>
  <c r="BA148" i="40"/>
  <c r="AY148" i="40"/>
  <c r="AU148" i="40"/>
  <c r="AS148" i="40"/>
  <c r="AQ148" i="40"/>
  <c r="AO148" i="40"/>
  <c r="AM148" i="40"/>
  <c r="BI147" i="40"/>
  <c r="BG147" i="40"/>
  <c r="BE147" i="40"/>
  <c r="BC147" i="40"/>
  <c r="BA147" i="40"/>
  <c r="AY147" i="40"/>
  <c r="AU147" i="40"/>
  <c r="AS147" i="40"/>
  <c r="AQ147" i="40"/>
  <c r="AO147" i="40"/>
  <c r="AM147" i="40"/>
  <c r="BI146" i="40"/>
  <c r="BG146" i="40"/>
  <c r="BE146" i="40"/>
  <c r="BC146" i="40"/>
  <c r="BA146" i="40"/>
  <c r="AY146" i="40"/>
  <c r="AU146" i="40"/>
  <c r="AS146" i="40"/>
  <c r="AQ146" i="40"/>
  <c r="AO146" i="40"/>
  <c r="AM146" i="40"/>
  <c r="BI145" i="40"/>
  <c r="BG145" i="40"/>
  <c r="BE145" i="40"/>
  <c r="BC145" i="40"/>
  <c r="BA145" i="40"/>
  <c r="AY145" i="40"/>
  <c r="AU145" i="40"/>
  <c r="AS145" i="40"/>
  <c r="AQ145" i="40"/>
  <c r="AO145" i="40"/>
  <c r="AM145" i="40"/>
  <c r="BI144" i="40"/>
  <c r="BG144" i="40"/>
  <c r="BE144" i="40"/>
  <c r="BC144" i="40"/>
  <c r="BA144" i="40"/>
  <c r="AY144" i="40"/>
  <c r="AU144" i="40"/>
  <c r="AS144" i="40"/>
  <c r="AQ144" i="40"/>
  <c r="AO144" i="40"/>
  <c r="AM144" i="40"/>
  <c r="BI143" i="40"/>
  <c r="BG143" i="40"/>
  <c r="BE143" i="40"/>
  <c r="BC143" i="40"/>
  <c r="BA143" i="40"/>
  <c r="AY143" i="40"/>
  <c r="AU143" i="40"/>
  <c r="AS143" i="40"/>
  <c r="AQ143" i="40"/>
  <c r="AO143" i="40"/>
  <c r="AM143" i="40"/>
  <c r="BI142" i="40"/>
  <c r="BG142" i="40"/>
  <c r="BE142" i="40"/>
  <c r="BC142" i="40"/>
  <c r="BA142" i="40"/>
  <c r="AY142" i="40"/>
  <c r="AU142" i="40"/>
  <c r="AS142" i="40"/>
  <c r="AQ142" i="40"/>
  <c r="AO142" i="40"/>
  <c r="AM142" i="40"/>
  <c r="BI141" i="40"/>
  <c r="BG141" i="40"/>
  <c r="BE141" i="40"/>
  <c r="BC141" i="40"/>
  <c r="BA141" i="40"/>
  <c r="AY141" i="40"/>
  <c r="AU141" i="40"/>
  <c r="AS141" i="40"/>
  <c r="AQ141" i="40"/>
  <c r="AO141" i="40"/>
  <c r="AM141" i="40"/>
  <c r="BI140" i="40"/>
  <c r="BG140" i="40"/>
  <c r="BE140" i="40"/>
  <c r="BC140" i="40"/>
  <c r="BA140" i="40"/>
  <c r="AY140" i="40"/>
  <c r="AU140" i="40"/>
  <c r="AS140" i="40"/>
  <c r="AQ140" i="40"/>
  <c r="AO140" i="40"/>
  <c r="AM140" i="40"/>
  <c r="BI139" i="40"/>
  <c r="BG139" i="40"/>
  <c r="BE139" i="40"/>
  <c r="BC139" i="40"/>
  <c r="BA139" i="40"/>
  <c r="AY139" i="40"/>
  <c r="AU139" i="40"/>
  <c r="AS139" i="40"/>
  <c r="AQ139" i="40"/>
  <c r="AO139" i="40"/>
  <c r="AM139" i="40"/>
  <c r="BI138" i="40"/>
  <c r="BG138" i="40"/>
  <c r="BE138" i="40"/>
  <c r="BC138" i="40"/>
  <c r="BA138" i="40"/>
  <c r="AY138" i="40"/>
  <c r="AU138" i="40"/>
  <c r="AS138" i="40"/>
  <c r="AQ138" i="40"/>
  <c r="AO138" i="40"/>
  <c r="AM138" i="40"/>
  <c r="BI137" i="40"/>
  <c r="BG137" i="40"/>
  <c r="BE137" i="40"/>
  <c r="BC137" i="40"/>
  <c r="BA137" i="40"/>
  <c r="AY137" i="40"/>
  <c r="AU137" i="40"/>
  <c r="AS137" i="40"/>
  <c r="AQ137" i="40"/>
  <c r="AO137" i="40"/>
  <c r="AM137" i="40"/>
  <c r="BI136" i="40"/>
  <c r="BG136" i="40"/>
  <c r="BE136" i="40"/>
  <c r="BC136" i="40"/>
  <c r="BA136" i="40"/>
  <c r="AY136" i="40"/>
  <c r="AU136" i="40"/>
  <c r="AS136" i="40"/>
  <c r="AQ136" i="40"/>
  <c r="AO136" i="40"/>
  <c r="AM136" i="40"/>
  <c r="BI135" i="40"/>
  <c r="BG135" i="40"/>
  <c r="BE135" i="40"/>
  <c r="BC135" i="40"/>
  <c r="BA135" i="40"/>
  <c r="AY135" i="40"/>
  <c r="AU135" i="40"/>
  <c r="AS135" i="40"/>
  <c r="AQ135" i="40"/>
  <c r="AO135" i="40"/>
  <c r="AM135" i="40"/>
  <c r="BI134" i="40"/>
  <c r="BG134" i="40"/>
  <c r="BE134" i="40"/>
  <c r="BC134" i="40"/>
  <c r="BA134" i="40"/>
  <c r="AY134" i="40"/>
  <c r="AU134" i="40"/>
  <c r="AS134" i="40"/>
  <c r="AQ134" i="40"/>
  <c r="AO134" i="40"/>
  <c r="AM134" i="40"/>
  <c r="BI133" i="40"/>
  <c r="BG133" i="40"/>
  <c r="BE133" i="40"/>
  <c r="BC133" i="40"/>
  <c r="BA133" i="40"/>
  <c r="AY133" i="40"/>
  <c r="AU133" i="40"/>
  <c r="AS133" i="40"/>
  <c r="AQ133" i="40"/>
  <c r="AO133" i="40"/>
  <c r="AM133" i="40"/>
  <c r="BI132" i="40"/>
  <c r="BG132" i="40"/>
  <c r="BE132" i="40"/>
  <c r="BC132" i="40"/>
  <c r="BA132" i="40"/>
  <c r="AY132" i="40"/>
  <c r="AU132" i="40"/>
  <c r="AS132" i="40"/>
  <c r="AQ132" i="40"/>
  <c r="AO132" i="40"/>
  <c r="AM132" i="40"/>
  <c r="BI131" i="40"/>
  <c r="BG131" i="40"/>
  <c r="BE131" i="40"/>
  <c r="BC131" i="40"/>
  <c r="BA131" i="40"/>
  <c r="AY131" i="40"/>
  <c r="AU131" i="40"/>
  <c r="AS131" i="40"/>
  <c r="AQ131" i="40"/>
  <c r="AO131" i="40"/>
  <c r="AM131" i="40"/>
  <c r="BI130" i="40"/>
  <c r="BG130" i="40"/>
  <c r="BE130" i="40"/>
  <c r="BC130" i="40"/>
  <c r="BA130" i="40"/>
  <c r="AY130" i="40"/>
  <c r="AU130" i="40"/>
  <c r="AS130" i="40"/>
  <c r="AQ130" i="40"/>
  <c r="AO130" i="40"/>
  <c r="AM130" i="40"/>
  <c r="BI129" i="40"/>
  <c r="BG129" i="40"/>
  <c r="BE129" i="40"/>
  <c r="BC129" i="40"/>
  <c r="BA129" i="40"/>
  <c r="AY129" i="40"/>
  <c r="AU129" i="40"/>
  <c r="AS129" i="40"/>
  <c r="AQ129" i="40"/>
  <c r="AO129" i="40"/>
  <c r="AM129" i="40"/>
  <c r="BI128" i="40"/>
  <c r="BG128" i="40"/>
  <c r="BE128" i="40"/>
  <c r="BC128" i="40"/>
  <c r="BA128" i="40"/>
  <c r="AY128" i="40"/>
  <c r="AU128" i="40"/>
  <c r="AS128" i="40"/>
  <c r="AQ128" i="40"/>
  <c r="AO128" i="40"/>
  <c r="AM128" i="40"/>
  <c r="BI127" i="40"/>
  <c r="BG127" i="40"/>
  <c r="BE127" i="40"/>
  <c r="BC127" i="40"/>
  <c r="BA127" i="40"/>
  <c r="AY127" i="40"/>
  <c r="AU127" i="40"/>
  <c r="AS127" i="40"/>
  <c r="AQ127" i="40"/>
  <c r="AO127" i="40"/>
  <c r="AM127" i="40"/>
  <c r="BI126" i="40"/>
  <c r="BG126" i="40"/>
  <c r="BE126" i="40"/>
  <c r="BC126" i="40"/>
  <c r="BA126" i="40"/>
  <c r="AY126" i="40"/>
  <c r="AU126" i="40"/>
  <c r="AS126" i="40"/>
  <c r="AQ126" i="40"/>
  <c r="AO126" i="40"/>
  <c r="AM126" i="40"/>
  <c r="BI125" i="40"/>
  <c r="BG125" i="40"/>
  <c r="BE125" i="40"/>
  <c r="BC125" i="40"/>
  <c r="BA125" i="40"/>
  <c r="AY125" i="40"/>
  <c r="AU125" i="40"/>
  <c r="AS125" i="40"/>
  <c r="AQ125" i="40"/>
  <c r="AO125" i="40"/>
  <c r="AM125" i="40"/>
  <c r="BI124" i="40"/>
  <c r="BG124" i="40"/>
  <c r="BE124" i="40"/>
  <c r="BC124" i="40"/>
  <c r="BA124" i="40"/>
  <c r="AY124" i="40"/>
  <c r="AU124" i="40"/>
  <c r="AS124" i="40"/>
  <c r="AQ124" i="40"/>
  <c r="AO124" i="40"/>
  <c r="AM124" i="40"/>
  <c r="BI123" i="40"/>
  <c r="BG123" i="40"/>
  <c r="BE123" i="40"/>
  <c r="BC123" i="40"/>
  <c r="BA123" i="40"/>
  <c r="AY123" i="40"/>
  <c r="AU123" i="40"/>
  <c r="AS123" i="40"/>
  <c r="AQ123" i="40"/>
  <c r="AO123" i="40"/>
  <c r="AM123" i="40"/>
  <c r="BI122" i="40"/>
  <c r="BG122" i="40"/>
  <c r="BE122" i="40"/>
  <c r="BC122" i="40"/>
  <c r="BA122" i="40"/>
  <c r="AY122" i="40"/>
  <c r="AU122" i="40"/>
  <c r="AS122" i="40"/>
  <c r="AQ122" i="40"/>
  <c r="AO122" i="40"/>
  <c r="AM122" i="40"/>
  <c r="BI120" i="40"/>
  <c r="BG120" i="40"/>
  <c r="BE120" i="40"/>
  <c r="BC120" i="40"/>
  <c r="BA120" i="40"/>
  <c r="AY120" i="40"/>
  <c r="AU120" i="40"/>
  <c r="AS120" i="40"/>
  <c r="AQ120" i="40"/>
  <c r="AO120" i="40"/>
  <c r="AM120" i="40"/>
  <c r="BI119" i="40"/>
  <c r="BG119" i="40"/>
  <c r="BE119" i="40"/>
  <c r="BC119" i="40"/>
  <c r="BA119" i="40"/>
  <c r="AY119" i="40"/>
  <c r="AU119" i="40"/>
  <c r="AS119" i="40"/>
  <c r="AQ119" i="40"/>
  <c r="AO119" i="40"/>
  <c r="AM119" i="40"/>
  <c r="BI118" i="40"/>
  <c r="BG118" i="40"/>
  <c r="BE118" i="40"/>
  <c r="BC118" i="40"/>
  <c r="BA118" i="40"/>
  <c r="AY118" i="40"/>
  <c r="AU118" i="40"/>
  <c r="AS118" i="40"/>
  <c r="AQ118" i="40"/>
  <c r="AO118" i="40"/>
  <c r="AM118" i="40"/>
  <c r="BI117" i="40"/>
  <c r="BG117" i="40"/>
  <c r="BE117" i="40"/>
  <c r="BC117" i="40"/>
  <c r="BA117" i="40"/>
  <c r="AY117" i="40"/>
  <c r="AU117" i="40"/>
  <c r="AS117" i="40"/>
  <c r="AQ117" i="40"/>
  <c r="AO117" i="40"/>
  <c r="AM117" i="40"/>
  <c r="BI116" i="40"/>
  <c r="BG116" i="40"/>
  <c r="BE116" i="40"/>
  <c r="BC116" i="40"/>
  <c r="BA116" i="40"/>
  <c r="AY116" i="40"/>
  <c r="AU116" i="40"/>
  <c r="AS116" i="40"/>
  <c r="AQ116" i="40"/>
  <c r="AO116" i="40"/>
  <c r="AM116" i="40"/>
  <c r="BI115" i="40"/>
  <c r="BG115" i="40"/>
  <c r="BE115" i="40"/>
  <c r="BC115" i="40"/>
  <c r="BA115" i="40"/>
  <c r="AY115" i="40"/>
  <c r="AU115" i="40"/>
  <c r="AS115" i="40"/>
  <c r="AQ115" i="40"/>
  <c r="AO115" i="40"/>
  <c r="AM115" i="40"/>
  <c r="BI114" i="40"/>
  <c r="BG114" i="40"/>
  <c r="BE114" i="40"/>
  <c r="BC114" i="40"/>
  <c r="BA114" i="40"/>
  <c r="AY114" i="40"/>
  <c r="AU114" i="40"/>
  <c r="AS114" i="40"/>
  <c r="AQ114" i="40"/>
  <c r="AO114" i="40"/>
  <c r="AM114" i="40"/>
  <c r="BI113" i="40"/>
  <c r="BG113" i="40"/>
  <c r="BE113" i="40"/>
  <c r="BC113" i="40"/>
  <c r="BA113" i="40"/>
  <c r="AY113" i="40"/>
  <c r="AU113" i="40"/>
  <c r="AS113" i="40"/>
  <c r="AQ113" i="40"/>
  <c r="AO113" i="40"/>
  <c r="AM113" i="40"/>
  <c r="BI112" i="40"/>
  <c r="BG112" i="40"/>
  <c r="BE112" i="40"/>
  <c r="BC112" i="40"/>
  <c r="BA112" i="40"/>
  <c r="AY112" i="40"/>
  <c r="AU112" i="40"/>
  <c r="AS112" i="40"/>
  <c r="AQ112" i="40"/>
  <c r="AO112" i="40"/>
  <c r="AM112" i="40"/>
  <c r="BI111" i="40"/>
  <c r="BG111" i="40"/>
  <c r="BE111" i="40"/>
  <c r="BC111" i="40"/>
  <c r="BA111" i="40"/>
  <c r="AY111" i="40"/>
  <c r="AU111" i="40"/>
  <c r="AS111" i="40"/>
  <c r="AQ111" i="40"/>
  <c r="AO111" i="40"/>
  <c r="AM111" i="40"/>
  <c r="BI110" i="40"/>
  <c r="BG110" i="40"/>
  <c r="BE110" i="40"/>
  <c r="BC110" i="40"/>
  <c r="BA110" i="40"/>
  <c r="AY110" i="40"/>
  <c r="AU110" i="40"/>
  <c r="AS110" i="40"/>
  <c r="AQ110" i="40"/>
  <c r="AO110" i="40"/>
  <c r="AM110" i="40"/>
  <c r="BI109" i="40"/>
  <c r="BG109" i="40"/>
  <c r="BE109" i="40"/>
  <c r="BC109" i="40"/>
  <c r="BA109" i="40"/>
  <c r="AY109" i="40"/>
  <c r="AU109" i="40"/>
  <c r="AS109" i="40"/>
  <c r="AQ109" i="40"/>
  <c r="AO109" i="40"/>
  <c r="AM109" i="40"/>
  <c r="BI108" i="40"/>
  <c r="BG108" i="40"/>
  <c r="BE108" i="40"/>
  <c r="BC108" i="40"/>
  <c r="BA108" i="40"/>
  <c r="AY108" i="40"/>
  <c r="AU108" i="40"/>
  <c r="AS108" i="40"/>
  <c r="AQ108" i="40"/>
  <c r="AO108" i="40"/>
  <c r="AM108" i="40"/>
  <c r="BI107" i="40"/>
  <c r="BG107" i="40"/>
  <c r="BE107" i="40"/>
  <c r="BC107" i="40"/>
  <c r="BA107" i="40"/>
  <c r="AY107" i="40"/>
  <c r="AU107" i="40"/>
  <c r="AS107" i="40"/>
  <c r="AQ107" i="40"/>
  <c r="AO107" i="40"/>
  <c r="AM107" i="40"/>
  <c r="BI106" i="40"/>
  <c r="BG106" i="40"/>
  <c r="BE106" i="40"/>
  <c r="BC106" i="40"/>
  <c r="BA106" i="40"/>
  <c r="AY106" i="40"/>
  <c r="AU106" i="40"/>
  <c r="AS106" i="40"/>
  <c r="AQ106" i="40"/>
  <c r="AO106" i="40"/>
  <c r="AM106" i="40"/>
  <c r="BI105" i="40"/>
  <c r="BG105" i="40"/>
  <c r="BE105" i="40"/>
  <c r="BC105" i="40"/>
  <c r="BA105" i="40"/>
  <c r="AY105" i="40"/>
  <c r="AU105" i="40"/>
  <c r="AS105" i="40"/>
  <c r="AQ105" i="40"/>
  <c r="AO105" i="40"/>
  <c r="AM105" i="40"/>
  <c r="BI104" i="40"/>
  <c r="BG104" i="40"/>
  <c r="BE104" i="40"/>
  <c r="BC104" i="40"/>
  <c r="BA104" i="40"/>
  <c r="AY104" i="40"/>
  <c r="AU104" i="40"/>
  <c r="AS104" i="40"/>
  <c r="AQ104" i="40"/>
  <c r="AO104" i="40"/>
  <c r="AM104" i="40"/>
  <c r="BI103" i="40"/>
  <c r="BG103" i="40"/>
  <c r="BE103" i="40"/>
  <c r="BC103" i="40"/>
  <c r="BA103" i="40"/>
  <c r="AY103" i="40"/>
  <c r="AU103" i="40"/>
  <c r="AS103" i="40"/>
  <c r="AQ103" i="40"/>
  <c r="AO103" i="40"/>
  <c r="AM103" i="40"/>
  <c r="BI102" i="40"/>
  <c r="BG102" i="40"/>
  <c r="BE102" i="40"/>
  <c r="BC102" i="40"/>
  <c r="BA102" i="40"/>
  <c r="AY102" i="40"/>
  <c r="AU102" i="40"/>
  <c r="AS102" i="40"/>
  <c r="AQ102" i="40"/>
  <c r="AO102" i="40"/>
  <c r="AM102" i="40"/>
  <c r="BI101" i="40"/>
  <c r="BG101" i="40"/>
  <c r="BE101" i="40"/>
  <c r="BC101" i="40"/>
  <c r="BA101" i="40"/>
  <c r="AY101" i="40"/>
  <c r="AU101" i="40"/>
  <c r="AS101" i="40"/>
  <c r="AQ101" i="40"/>
  <c r="AO101" i="40"/>
  <c r="AM101" i="40"/>
  <c r="BI100" i="40"/>
  <c r="BG100" i="40"/>
  <c r="BE100" i="40"/>
  <c r="BC100" i="40"/>
  <c r="BA100" i="40"/>
  <c r="AY100" i="40"/>
  <c r="AU100" i="40"/>
  <c r="AS100" i="40"/>
  <c r="AQ100" i="40"/>
  <c r="AO100" i="40"/>
  <c r="AM100" i="40"/>
  <c r="BI99" i="40"/>
  <c r="BG99" i="40"/>
  <c r="BE99" i="40"/>
  <c r="BC99" i="40"/>
  <c r="BA99" i="40"/>
  <c r="AY99" i="40"/>
  <c r="AU99" i="40"/>
  <c r="AS99" i="40"/>
  <c r="AQ99" i="40"/>
  <c r="AO99" i="40"/>
  <c r="AM99" i="40"/>
  <c r="BI98" i="40"/>
  <c r="BG98" i="40"/>
  <c r="BE98" i="40"/>
  <c r="BC98" i="40"/>
  <c r="BA98" i="40"/>
  <c r="AY98" i="40"/>
  <c r="AU98" i="40"/>
  <c r="AS98" i="40"/>
  <c r="AQ98" i="40"/>
  <c r="AO98" i="40"/>
  <c r="AM98" i="40"/>
  <c r="BI97" i="40"/>
  <c r="BG97" i="40"/>
  <c r="BE97" i="40"/>
  <c r="BC97" i="40"/>
  <c r="BA97" i="40"/>
  <c r="AY97" i="40"/>
  <c r="AU97" i="40"/>
  <c r="AS97" i="40"/>
  <c r="AQ97" i="40"/>
  <c r="AO97" i="40"/>
  <c r="AM97" i="40"/>
  <c r="BI96" i="40"/>
  <c r="BG96" i="40"/>
  <c r="BE96" i="40"/>
  <c r="BC96" i="40"/>
  <c r="BA96" i="40"/>
  <c r="AY96" i="40"/>
  <c r="AU96" i="40"/>
  <c r="AS96" i="40"/>
  <c r="AQ96" i="40"/>
  <c r="AO96" i="40"/>
  <c r="AM96" i="40"/>
  <c r="BI95" i="40"/>
  <c r="BG95" i="40"/>
  <c r="BE95" i="40"/>
  <c r="BC95" i="40"/>
  <c r="BA95" i="40"/>
  <c r="AY95" i="40"/>
  <c r="AU95" i="40"/>
  <c r="AS95" i="40"/>
  <c r="AQ95" i="40"/>
  <c r="AO95" i="40"/>
  <c r="AM95" i="40"/>
  <c r="BI94" i="40"/>
  <c r="BG94" i="40"/>
  <c r="BE94" i="40"/>
  <c r="BC94" i="40"/>
  <c r="BA94" i="40"/>
  <c r="AY94" i="40"/>
  <c r="AU94" i="40"/>
  <c r="AS94" i="40"/>
  <c r="AQ94" i="40"/>
  <c r="AO94" i="40"/>
  <c r="AM94" i="40"/>
  <c r="BI93" i="40"/>
  <c r="BG93" i="40"/>
  <c r="BE93" i="40"/>
  <c r="BC93" i="40"/>
  <c r="BA93" i="40"/>
  <c r="AY93" i="40"/>
  <c r="AU93" i="40"/>
  <c r="AS93" i="40"/>
  <c r="AQ93" i="40"/>
  <c r="AO93" i="40"/>
  <c r="AM93" i="40"/>
  <c r="BI92" i="40"/>
  <c r="BG92" i="40"/>
  <c r="BE92" i="40"/>
  <c r="BC92" i="40"/>
  <c r="BA92" i="40"/>
  <c r="AY92" i="40"/>
  <c r="AU92" i="40"/>
  <c r="AS92" i="40"/>
  <c r="AQ92" i="40"/>
  <c r="AO92" i="40"/>
  <c r="AM92" i="40"/>
  <c r="BI91" i="40"/>
  <c r="BG91" i="40"/>
  <c r="BE91" i="40"/>
  <c r="BC91" i="40"/>
  <c r="BA91" i="40"/>
  <c r="AY91" i="40"/>
  <c r="AU91" i="40"/>
  <c r="AS91" i="40"/>
  <c r="AQ91" i="40"/>
  <c r="AO91" i="40"/>
  <c r="AM91" i="40"/>
  <c r="BI90" i="40"/>
  <c r="BG90" i="40"/>
  <c r="BE90" i="40"/>
  <c r="BC90" i="40"/>
  <c r="BA90" i="40"/>
  <c r="AY90" i="40"/>
  <c r="AU90" i="40"/>
  <c r="AS90" i="40"/>
  <c r="AQ90" i="40"/>
  <c r="AO90" i="40"/>
  <c r="AM90" i="40"/>
  <c r="BI89" i="40"/>
  <c r="BG89" i="40"/>
  <c r="BE89" i="40"/>
  <c r="BC89" i="40"/>
  <c r="BA89" i="40"/>
  <c r="AY89" i="40"/>
  <c r="AU89" i="40"/>
  <c r="AS89" i="40"/>
  <c r="AQ89" i="40"/>
  <c r="AO89" i="40"/>
  <c r="AM89" i="40"/>
  <c r="BI88" i="40"/>
  <c r="BG88" i="40"/>
  <c r="BE88" i="40"/>
  <c r="BC88" i="40"/>
  <c r="BA88" i="40"/>
  <c r="AY88" i="40"/>
  <c r="AU88" i="40"/>
  <c r="AS88" i="40"/>
  <c r="AQ88" i="40"/>
  <c r="AO88" i="40"/>
  <c r="AM88" i="40"/>
  <c r="BI87" i="40"/>
  <c r="BG87" i="40"/>
  <c r="BE87" i="40"/>
  <c r="BC87" i="40"/>
  <c r="BA87" i="40"/>
  <c r="AY87" i="40"/>
  <c r="AU87" i="40"/>
  <c r="AS87" i="40"/>
  <c r="AQ87" i="40"/>
  <c r="AO87" i="40"/>
  <c r="AM87" i="40"/>
  <c r="BI86" i="40"/>
  <c r="BG86" i="40"/>
  <c r="BE86" i="40"/>
  <c r="BC86" i="40"/>
  <c r="BA86" i="40"/>
  <c r="AY86" i="40"/>
  <c r="AU86" i="40"/>
  <c r="AS86" i="40"/>
  <c r="AQ86" i="40"/>
  <c r="AO86" i="40"/>
  <c r="AM86" i="40"/>
  <c r="BI85" i="40"/>
  <c r="BG85" i="40"/>
  <c r="BE85" i="40"/>
  <c r="BC85" i="40"/>
  <c r="BA85" i="40"/>
  <c r="AY85" i="40"/>
  <c r="AU85" i="40"/>
  <c r="AS85" i="40"/>
  <c r="AQ85" i="40"/>
  <c r="AO85" i="40"/>
  <c r="AM85" i="40"/>
  <c r="BI84" i="40"/>
  <c r="BG84" i="40"/>
  <c r="BE84" i="40"/>
  <c r="BC84" i="40"/>
  <c r="BA84" i="40"/>
  <c r="AY84" i="40"/>
  <c r="AU84" i="40"/>
  <c r="AS84" i="40"/>
  <c r="AQ84" i="40"/>
  <c r="AO84" i="40"/>
  <c r="AM84" i="40"/>
  <c r="BI83" i="40"/>
  <c r="BG83" i="40"/>
  <c r="BE83" i="40"/>
  <c r="BC83" i="40"/>
  <c r="BA83" i="40"/>
  <c r="AY83" i="40"/>
  <c r="AU83" i="40"/>
  <c r="AS83" i="40"/>
  <c r="AQ83" i="40"/>
  <c r="AO83" i="40"/>
  <c r="AM83" i="40"/>
  <c r="BI82" i="40"/>
  <c r="BG82" i="40"/>
  <c r="BE82" i="40"/>
  <c r="BC82" i="40"/>
  <c r="BA82" i="40"/>
  <c r="AY82" i="40"/>
  <c r="AU82" i="40"/>
  <c r="AS82" i="40"/>
  <c r="AQ82" i="40"/>
  <c r="AO82" i="40"/>
  <c r="AM82" i="40"/>
  <c r="BI81" i="40"/>
  <c r="BG81" i="40"/>
  <c r="BE81" i="40"/>
  <c r="BC81" i="40"/>
  <c r="BA81" i="40"/>
  <c r="AY81" i="40"/>
  <c r="AU81" i="40"/>
  <c r="AS81" i="40"/>
  <c r="AQ81" i="40"/>
  <c r="AO81" i="40"/>
  <c r="AM81" i="40"/>
  <c r="BI80" i="40"/>
  <c r="BG80" i="40"/>
  <c r="BE80" i="40"/>
  <c r="BC80" i="40"/>
  <c r="BA80" i="40"/>
  <c r="AY80" i="40"/>
  <c r="AU80" i="40"/>
  <c r="AS80" i="40"/>
  <c r="AQ80" i="40"/>
  <c r="AO80" i="40"/>
  <c r="AM80" i="40"/>
  <c r="BI79" i="40"/>
  <c r="BG79" i="40"/>
  <c r="BE79" i="40"/>
  <c r="BC79" i="40"/>
  <c r="BA79" i="40"/>
  <c r="AY79" i="40"/>
  <c r="AU79" i="40"/>
  <c r="AS79" i="40"/>
  <c r="AQ79" i="40"/>
  <c r="AO79" i="40"/>
  <c r="AM79" i="40"/>
  <c r="BI78" i="40"/>
  <c r="BG78" i="40"/>
  <c r="BE78" i="40"/>
  <c r="BC78" i="40"/>
  <c r="BA78" i="40"/>
  <c r="AY78" i="40"/>
  <c r="AU78" i="40"/>
  <c r="AS78" i="40"/>
  <c r="AQ78" i="40"/>
  <c r="AO78" i="40"/>
  <c r="AM78" i="40"/>
  <c r="BI77" i="40"/>
  <c r="BG77" i="40"/>
  <c r="BE77" i="40"/>
  <c r="BC77" i="40"/>
  <c r="BA77" i="40"/>
  <c r="AY77" i="40"/>
  <c r="AU77" i="40"/>
  <c r="AS77" i="40"/>
  <c r="AQ77" i="40"/>
  <c r="AO77" i="40"/>
  <c r="AM77" i="40"/>
  <c r="BI76" i="40"/>
  <c r="BG76" i="40"/>
  <c r="BE76" i="40"/>
  <c r="BC76" i="40"/>
  <c r="BA76" i="40"/>
  <c r="AY76" i="40"/>
  <c r="AU76" i="40"/>
  <c r="AS76" i="40"/>
  <c r="AQ76" i="40"/>
  <c r="AO76" i="40"/>
  <c r="AM76" i="40"/>
  <c r="BI75" i="40"/>
  <c r="BG75" i="40"/>
  <c r="BE75" i="40"/>
  <c r="BC75" i="40"/>
  <c r="BA75" i="40"/>
  <c r="AY75" i="40"/>
  <c r="AU75" i="40"/>
  <c r="AS75" i="40"/>
  <c r="AQ75" i="40"/>
  <c r="AO75" i="40"/>
  <c r="AM75" i="40"/>
  <c r="BI74" i="40"/>
  <c r="BG74" i="40"/>
  <c r="BE74" i="40"/>
  <c r="BC74" i="40"/>
  <c r="BA74" i="40"/>
  <c r="AY74" i="40"/>
  <c r="AU74" i="40"/>
  <c r="AS74" i="40"/>
  <c r="AQ74" i="40"/>
  <c r="AO74" i="40"/>
  <c r="AM74" i="40"/>
  <c r="BI73" i="40"/>
  <c r="BG73" i="40"/>
  <c r="BE73" i="40"/>
  <c r="BC73" i="40"/>
  <c r="BA73" i="40"/>
  <c r="AY73" i="40"/>
  <c r="AU73" i="40"/>
  <c r="AS73" i="40"/>
  <c r="AQ73" i="40"/>
  <c r="AO73" i="40"/>
  <c r="AM73" i="40"/>
  <c r="BI72" i="40"/>
  <c r="BG72" i="40"/>
  <c r="BE72" i="40"/>
  <c r="BC72" i="40"/>
  <c r="BA72" i="40"/>
  <c r="AY72" i="40"/>
  <c r="AU72" i="40"/>
  <c r="AS72" i="40"/>
  <c r="AQ72" i="40"/>
  <c r="AO72" i="40"/>
  <c r="AM72" i="40"/>
  <c r="BI71" i="40"/>
  <c r="BG71" i="40"/>
  <c r="BE71" i="40"/>
  <c r="BC71" i="40"/>
  <c r="BA71" i="40"/>
  <c r="AY71" i="40"/>
  <c r="AU71" i="40"/>
  <c r="AS71" i="40"/>
  <c r="AQ71" i="40"/>
  <c r="AO71" i="40"/>
  <c r="AM71" i="40"/>
  <c r="BI70" i="40"/>
  <c r="BG70" i="40"/>
  <c r="BE70" i="40"/>
  <c r="BC70" i="40"/>
  <c r="BA70" i="40"/>
  <c r="AY70" i="40"/>
  <c r="AU70" i="40"/>
  <c r="AS70" i="40"/>
  <c r="AQ70" i="40"/>
  <c r="AO70" i="40"/>
  <c r="AM70" i="40"/>
  <c r="BI69" i="40"/>
  <c r="BG69" i="40"/>
  <c r="BE69" i="40"/>
  <c r="BC69" i="40"/>
  <c r="BA69" i="40"/>
  <c r="AY69" i="40"/>
  <c r="AU69" i="40"/>
  <c r="AS69" i="40"/>
  <c r="AQ69" i="40"/>
  <c r="AO69" i="40"/>
  <c r="AM69" i="40"/>
  <c r="BI68" i="40"/>
  <c r="BG68" i="40"/>
  <c r="BE68" i="40"/>
  <c r="BC68" i="40"/>
  <c r="BA68" i="40"/>
  <c r="AY68" i="40"/>
  <c r="AU68" i="40"/>
  <c r="AS68" i="40"/>
  <c r="AQ68" i="40"/>
  <c r="AO68" i="40"/>
  <c r="AM68" i="40"/>
  <c r="BI65" i="40"/>
  <c r="BG65" i="40"/>
  <c r="BE65" i="40"/>
  <c r="BC65" i="40"/>
  <c r="BA65" i="40"/>
  <c r="AY65" i="40"/>
  <c r="AU65" i="40"/>
  <c r="AS65" i="40"/>
  <c r="AQ65" i="40"/>
  <c r="AO65" i="40"/>
  <c r="AM65" i="40"/>
  <c r="BI64" i="40"/>
  <c r="BG64" i="40"/>
  <c r="BE64" i="40"/>
  <c r="BC64" i="40"/>
  <c r="BA64" i="40"/>
  <c r="AY64" i="40"/>
  <c r="AU64" i="40"/>
  <c r="AS64" i="40"/>
  <c r="AQ64" i="40"/>
  <c r="AO64" i="40"/>
  <c r="AM64" i="40"/>
  <c r="BI63" i="40"/>
  <c r="BG63" i="40"/>
  <c r="BE63" i="40"/>
  <c r="BC63" i="40"/>
  <c r="BA63" i="40"/>
  <c r="AY63" i="40"/>
  <c r="AU63" i="40"/>
  <c r="AS63" i="40"/>
  <c r="AQ63" i="40"/>
  <c r="AO63" i="40"/>
  <c r="AM63" i="40"/>
  <c r="BI62" i="40"/>
  <c r="BG62" i="40"/>
  <c r="BE62" i="40"/>
  <c r="BC62" i="40"/>
  <c r="BA62" i="40"/>
  <c r="AY62" i="40"/>
  <c r="AU62" i="40"/>
  <c r="AS62" i="40"/>
  <c r="AQ62" i="40"/>
  <c r="AO62" i="40"/>
  <c r="AM62" i="40"/>
  <c r="BI61" i="40"/>
  <c r="BG61" i="40"/>
  <c r="BE61" i="40"/>
  <c r="BC61" i="40"/>
  <c r="BA61" i="40"/>
  <c r="AY61" i="40"/>
  <c r="AU61" i="40"/>
  <c r="AS61" i="40"/>
  <c r="AQ61" i="40"/>
  <c r="AO61" i="40"/>
  <c r="AM61" i="40"/>
  <c r="BI60" i="40"/>
  <c r="BG60" i="40"/>
  <c r="BE60" i="40"/>
  <c r="BC60" i="40"/>
  <c r="BA60" i="40"/>
  <c r="AY60" i="40"/>
  <c r="AU60" i="40"/>
  <c r="AS60" i="40"/>
  <c r="AQ60" i="40"/>
  <c r="AO60" i="40"/>
  <c r="AM60" i="40"/>
  <c r="BI59" i="40"/>
  <c r="BG59" i="40"/>
  <c r="BE59" i="40"/>
  <c r="BC59" i="40"/>
  <c r="BA59" i="40"/>
  <c r="AY59" i="40"/>
  <c r="AU59" i="40"/>
  <c r="AS59" i="40"/>
  <c r="AQ59" i="40"/>
  <c r="AO59" i="40"/>
  <c r="AM59" i="40"/>
  <c r="BI58" i="40"/>
  <c r="BG58" i="40"/>
  <c r="BE58" i="40"/>
  <c r="BC58" i="40"/>
  <c r="BA58" i="40"/>
  <c r="AY58" i="40"/>
  <c r="AU58" i="40"/>
  <c r="AS58" i="40"/>
  <c r="AQ58" i="40"/>
  <c r="AO58" i="40"/>
  <c r="AM58" i="40"/>
  <c r="BI57" i="40"/>
  <c r="BG57" i="40"/>
  <c r="BE57" i="40"/>
  <c r="BC57" i="40"/>
  <c r="BA57" i="40"/>
  <c r="AY57" i="40"/>
  <c r="AU57" i="40"/>
  <c r="AS57" i="40"/>
  <c r="AQ57" i="40"/>
  <c r="AO57" i="40"/>
  <c r="AM57" i="40"/>
  <c r="BI56" i="40"/>
  <c r="BG56" i="40"/>
  <c r="BE56" i="40"/>
  <c r="BC56" i="40"/>
  <c r="BA56" i="40"/>
  <c r="AY56" i="40"/>
  <c r="AU56" i="40"/>
  <c r="AS56" i="40"/>
  <c r="AQ56" i="40"/>
  <c r="AO56" i="40"/>
  <c r="AM56" i="40"/>
  <c r="BI53" i="40"/>
  <c r="BG53" i="40"/>
  <c r="BE53" i="40"/>
  <c r="BC53" i="40"/>
  <c r="BA53" i="40"/>
  <c r="AY53" i="40"/>
  <c r="AU53" i="40"/>
  <c r="AS53" i="40"/>
  <c r="AQ53" i="40"/>
  <c r="AO53" i="40"/>
  <c r="AM53" i="40"/>
  <c r="BI52" i="40"/>
  <c r="BG52" i="40"/>
  <c r="BE52" i="40"/>
  <c r="BC52" i="40"/>
  <c r="BA52" i="40"/>
  <c r="AY52" i="40"/>
  <c r="AU52" i="40"/>
  <c r="AS52" i="40"/>
  <c r="AQ52" i="40"/>
  <c r="AO52" i="40"/>
  <c r="AM52" i="40"/>
  <c r="BI51" i="40"/>
  <c r="BG51" i="40"/>
  <c r="BE51" i="40"/>
  <c r="BC51" i="40"/>
  <c r="BA51" i="40"/>
  <c r="AY51" i="40"/>
  <c r="AU51" i="40"/>
  <c r="AS51" i="40"/>
  <c r="AQ51" i="40"/>
  <c r="AO51" i="40"/>
  <c r="AM51" i="40"/>
  <c r="BI50" i="40"/>
  <c r="BG50" i="40"/>
  <c r="BE50" i="40"/>
  <c r="BC50" i="40"/>
  <c r="BA50" i="40"/>
  <c r="AY50" i="40"/>
  <c r="AU50" i="40"/>
  <c r="AS50" i="40"/>
  <c r="AQ50" i="40"/>
  <c r="AO50" i="40"/>
  <c r="AM50" i="40"/>
  <c r="BI49" i="40"/>
  <c r="BG49" i="40"/>
  <c r="BE49" i="40"/>
  <c r="BC49" i="40"/>
  <c r="BA49" i="40"/>
  <c r="AY49" i="40"/>
  <c r="AU49" i="40"/>
  <c r="AS49" i="40"/>
  <c r="AQ49" i="40"/>
  <c r="AO49" i="40"/>
  <c r="AM49" i="40"/>
  <c r="BI48" i="40"/>
  <c r="BG48" i="40"/>
  <c r="BE48" i="40"/>
  <c r="BC48" i="40"/>
  <c r="BA48" i="40"/>
  <c r="AY48" i="40"/>
  <c r="AU48" i="40"/>
  <c r="AS48" i="40"/>
  <c r="AQ48" i="40"/>
  <c r="AO48" i="40"/>
  <c r="AM48" i="40"/>
  <c r="BI47" i="40"/>
  <c r="BG47" i="40"/>
  <c r="BE47" i="40"/>
  <c r="BC47" i="40"/>
  <c r="BA47" i="40"/>
  <c r="AY47" i="40"/>
  <c r="AU47" i="40"/>
  <c r="AS47" i="40"/>
  <c r="AQ47" i="40"/>
  <c r="AO47" i="40"/>
  <c r="AM47" i="40"/>
  <c r="BI46" i="40"/>
  <c r="BG46" i="40"/>
  <c r="BE46" i="40"/>
  <c r="BC46" i="40"/>
  <c r="BA46" i="40"/>
  <c r="AY46" i="40"/>
  <c r="AU46" i="40"/>
  <c r="AS46" i="40"/>
  <c r="AQ46" i="40"/>
  <c r="AO46" i="40"/>
  <c r="AM46" i="40"/>
  <c r="BI45" i="40"/>
  <c r="BG45" i="40"/>
  <c r="BE45" i="40"/>
  <c r="BC45" i="40"/>
  <c r="BA45" i="40"/>
  <c r="AY45" i="40"/>
  <c r="AU45" i="40"/>
  <c r="AS45" i="40"/>
  <c r="AQ45" i="40"/>
  <c r="AO45" i="40"/>
  <c r="AM45" i="40"/>
  <c r="BI44" i="40"/>
  <c r="BG44" i="40"/>
  <c r="BE44" i="40"/>
  <c r="BC44" i="40"/>
  <c r="BA44" i="40"/>
  <c r="AY44" i="40"/>
  <c r="AU44" i="40"/>
  <c r="AS44" i="40"/>
  <c r="AQ44" i="40"/>
  <c r="AO44" i="40"/>
  <c r="AM44" i="40"/>
  <c r="BI43" i="40"/>
  <c r="BG43" i="40"/>
  <c r="BE43" i="40"/>
  <c r="BC43" i="40"/>
  <c r="BA43" i="40"/>
  <c r="AY43" i="40"/>
  <c r="AU43" i="40"/>
  <c r="AS43" i="40"/>
  <c r="AQ43" i="40"/>
  <c r="AO43" i="40"/>
  <c r="AM43" i="40"/>
  <c r="BI42" i="40"/>
  <c r="BG42" i="40"/>
  <c r="BE42" i="40"/>
  <c r="BC42" i="40"/>
  <c r="BA42" i="40"/>
  <c r="AY42" i="40"/>
  <c r="AU42" i="40"/>
  <c r="AS42" i="40"/>
  <c r="AQ42" i="40"/>
  <c r="AO42" i="40"/>
  <c r="AM42" i="40"/>
  <c r="BI41" i="40"/>
  <c r="BG41" i="40"/>
  <c r="BE41" i="40"/>
  <c r="BC41" i="40"/>
  <c r="BA41" i="40"/>
  <c r="AY41" i="40"/>
  <c r="AU41" i="40"/>
  <c r="AS41" i="40"/>
  <c r="AQ41" i="40"/>
  <c r="AO41" i="40"/>
  <c r="AM41" i="40"/>
  <c r="BI40" i="40"/>
  <c r="BG40" i="40"/>
  <c r="BE40" i="40"/>
  <c r="BC40" i="40"/>
  <c r="BA40" i="40"/>
  <c r="AY40" i="40"/>
  <c r="AU40" i="40"/>
  <c r="AS40" i="40"/>
  <c r="AQ40" i="40"/>
  <c r="AO40" i="40"/>
  <c r="AM40" i="40"/>
  <c r="BI39" i="40"/>
  <c r="BG39" i="40"/>
  <c r="BE39" i="40"/>
  <c r="BC39" i="40"/>
  <c r="BA39" i="40"/>
  <c r="AY39" i="40"/>
  <c r="AU39" i="40"/>
  <c r="AS39" i="40"/>
  <c r="AQ39" i="40"/>
  <c r="AO39" i="40"/>
  <c r="AM39" i="40"/>
  <c r="BI38" i="40"/>
  <c r="BG38" i="40"/>
  <c r="BE38" i="40"/>
  <c r="BC38" i="40"/>
  <c r="BA38" i="40"/>
  <c r="AY38" i="40"/>
  <c r="AU38" i="40"/>
  <c r="AS38" i="40"/>
  <c r="AQ38" i="40"/>
  <c r="AO38" i="40"/>
  <c r="AM38" i="40"/>
  <c r="BI37" i="40"/>
  <c r="BG37" i="40"/>
  <c r="BE37" i="40"/>
  <c r="BC37" i="40"/>
  <c r="BA37" i="40"/>
  <c r="AY37" i="40"/>
  <c r="AU37" i="40"/>
  <c r="AS37" i="40"/>
  <c r="AQ37" i="40"/>
  <c r="AO37" i="40"/>
  <c r="AM37" i="40"/>
  <c r="BI36" i="40"/>
  <c r="BG36" i="40"/>
  <c r="BE36" i="40"/>
  <c r="BC36" i="40"/>
  <c r="BA36" i="40"/>
  <c r="AY36" i="40"/>
  <c r="AU36" i="40"/>
  <c r="AS36" i="40"/>
  <c r="AQ36" i="40"/>
  <c r="AO36" i="40"/>
  <c r="AM36" i="40"/>
  <c r="BI35" i="40"/>
  <c r="BG35" i="40"/>
  <c r="BE35" i="40"/>
  <c r="BC35" i="40"/>
  <c r="BA35" i="40"/>
  <c r="AY35" i="40"/>
  <c r="AU35" i="40"/>
  <c r="AS35" i="40"/>
  <c r="AQ35" i="40"/>
  <c r="AO35" i="40"/>
  <c r="AM35" i="40"/>
  <c r="BI34" i="40"/>
  <c r="BG34" i="40"/>
  <c r="BE34" i="40"/>
  <c r="BC34" i="40"/>
  <c r="BA34" i="40"/>
  <c r="AY34" i="40"/>
  <c r="AU34" i="40"/>
  <c r="AS34" i="40"/>
  <c r="AQ34" i="40"/>
  <c r="AO34" i="40"/>
  <c r="AM34" i="40"/>
  <c r="BI33" i="40"/>
  <c r="BG33" i="40"/>
  <c r="BE33" i="40"/>
  <c r="BC33" i="40"/>
  <c r="BA33" i="40"/>
  <c r="AY33" i="40"/>
  <c r="AU33" i="40"/>
  <c r="AS33" i="40"/>
  <c r="AQ33" i="40"/>
  <c r="AO33" i="40"/>
  <c r="AM33" i="40"/>
  <c r="BI32" i="40"/>
  <c r="BG32" i="40"/>
  <c r="BE32" i="40"/>
  <c r="BC32" i="40"/>
  <c r="BA32" i="40"/>
  <c r="AY32" i="40"/>
  <c r="AU32" i="40"/>
  <c r="AS32" i="40"/>
  <c r="AQ32" i="40"/>
  <c r="AO32" i="40"/>
  <c r="AM32" i="40"/>
  <c r="BI31" i="40"/>
  <c r="BG31" i="40"/>
  <c r="BE31" i="40"/>
  <c r="BC31" i="40"/>
  <c r="BA31" i="40"/>
  <c r="AY31" i="40"/>
  <c r="AU31" i="40"/>
  <c r="AS31" i="40"/>
  <c r="AQ31" i="40"/>
  <c r="AO31" i="40"/>
  <c r="AM31" i="40"/>
  <c r="BI30" i="40"/>
  <c r="BG30" i="40"/>
  <c r="BE30" i="40"/>
  <c r="BC30" i="40"/>
  <c r="BA30" i="40"/>
  <c r="AY30" i="40"/>
  <c r="AU30" i="40"/>
  <c r="AS30" i="40"/>
  <c r="AQ30" i="40"/>
  <c r="AO30" i="40"/>
  <c r="AM30" i="40"/>
  <c r="BI29" i="40"/>
  <c r="BG29" i="40"/>
  <c r="BE29" i="40"/>
  <c r="BC29" i="40"/>
  <c r="BA29" i="40"/>
  <c r="AY29" i="40"/>
  <c r="AU29" i="40"/>
  <c r="AS29" i="40"/>
  <c r="AQ29" i="40"/>
  <c r="AO29" i="40"/>
  <c r="AM29" i="40"/>
  <c r="BI28" i="40"/>
  <c r="BG28" i="40"/>
  <c r="BE28" i="40"/>
  <c r="BC28" i="40"/>
  <c r="BA28" i="40"/>
  <c r="AY28" i="40"/>
  <c r="AU28" i="40"/>
  <c r="AS28" i="40"/>
  <c r="AQ28" i="40"/>
  <c r="AO28" i="40"/>
  <c r="AM28" i="40"/>
  <c r="BI27" i="40"/>
  <c r="BG27" i="40"/>
  <c r="BE27" i="40"/>
  <c r="BC27" i="40"/>
  <c r="BA27" i="40"/>
  <c r="AY27" i="40"/>
  <c r="AU27" i="40"/>
  <c r="AS27" i="40"/>
  <c r="AQ27" i="40"/>
  <c r="AO27" i="40"/>
  <c r="AM27" i="40"/>
  <c r="BI26" i="40"/>
  <c r="BG26" i="40"/>
  <c r="BE26" i="40"/>
  <c r="BC26" i="40"/>
  <c r="BA26" i="40"/>
  <c r="AY26" i="40"/>
  <c r="AU26" i="40"/>
  <c r="AS26" i="40"/>
  <c r="AQ26" i="40"/>
  <c r="AO26" i="40"/>
  <c r="AM26" i="40"/>
  <c r="BI25" i="40"/>
  <c r="BG25" i="40"/>
  <c r="BE25" i="40"/>
  <c r="BC25" i="40"/>
  <c r="BA25" i="40"/>
  <c r="AY25" i="40"/>
  <c r="AU25" i="40"/>
  <c r="AS25" i="40"/>
  <c r="AQ25" i="40"/>
  <c r="AO25" i="40"/>
  <c r="AM25" i="40"/>
  <c r="BI24" i="40"/>
  <c r="BG24" i="40"/>
  <c r="BE24" i="40"/>
  <c r="BC24" i="40"/>
  <c r="BA24" i="40"/>
  <c r="AY24" i="40"/>
  <c r="AU24" i="40"/>
  <c r="AS24" i="40"/>
  <c r="AQ24" i="40"/>
  <c r="AO24" i="40"/>
  <c r="AM24" i="40"/>
  <c r="BI23" i="40"/>
  <c r="BG23" i="40"/>
  <c r="BE23" i="40"/>
  <c r="BC23" i="40"/>
  <c r="BA23" i="40"/>
  <c r="AY23" i="40"/>
  <c r="AU23" i="40"/>
  <c r="AS23" i="40"/>
  <c r="AQ23" i="40"/>
  <c r="AO23" i="40"/>
  <c r="AM23" i="40"/>
  <c r="BI22" i="40"/>
  <c r="BG22" i="40"/>
  <c r="BE22" i="40"/>
  <c r="BC22" i="40"/>
  <c r="BA22" i="40"/>
  <c r="AY22" i="40"/>
  <c r="AU22" i="40"/>
  <c r="AS22" i="40"/>
  <c r="AQ22" i="40"/>
  <c r="AO22" i="40"/>
  <c r="AM22" i="40"/>
  <c r="BI21" i="40"/>
  <c r="BG21" i="40"/>
  <c r="BE21" i="40"/>
  <c r="BC21" i="40"/>
  <c r="BA21" i="40"/>
  <c r="AY21" i="40"/>
  <c r="AU21" i="40"/>
  <c r="AS21" i="40"/>
  <c r="AQ21" i="40"/>
  <c r="AO21" i="40"/>
  <c r="AM21" i="40"/>
  <c r="BI20" i="40"/>
  <c r="BG20" i="40"/>
  <c r="BE20" i="40"/>
  <c r="BC20" i="40"/>
  <c r="BA20" i="40"/>
  <c r="AY20" i="40"/>
  <c r="AU20" i="40"/>
  <c r="AS20" i="40"/>
  <c r="AQ20" i="40"/>
  <c r="AO20" i="40"/>
  <c r="AM20" i="40"/>
  <c r="BI19" i="40"/>
  <c r="BG19" i="40"/>
  <c r="BE19" i="40"/>
  <c r="BC19" i="40"/>
  <c r="BA19" i="40"/>
  <c r="AY19" i="40"/>
  <c r="AU19" i="40"/>
  <c r="AS19" i="40"/>
  <c r="AQ19" i="40"/>
  <c r="AO19" i="40"/>
  <c r="AM19" i="40"/>
  <c r="BI18" i="40"/>
  <c r="BG18" i="40"/>
  <c r="BE18" i="40"/>
  <c r="BC18" i="40"/>
  <c r="BA18" i="40"/>
  <c r="AY18" i="40"/>
  <c r="AU18" i="40"/>
  <c r="AS18" i="40"/>
  <c r="AQ18" i="40"/>
  <c r="AO18" i="40"/>
  <c r="AM18" i="40"/>
  <c r="BI17" i="40"/>
  <c r="BG17" i="40"/>
  <c r="BE17" i="40"/>
  <c r="BC17" i="40"/>
  <c r="BA17" i="40"/>
  <c r="AY17" i="40"/>
  <c r="AU17" i="40"/>
  <c r="AS17" i="40"/>
  <c r="AQ17" i="40"/>
  <c r="AO17" i="40"/>
  <c r="AM17" i="40"/>
  <c r="BI16" i="40"/>
  <c r="BG16" i="40"/>
  <c r="BE16" i="40"/>
  <c r="BC16" i="40"/>
  <c r="BA16" i="40"/>
  <c r="AY16" i="40"/>
  <c r="AU16" i="40"/>
  <c r="AS16" i="40"/>
  <c r="AQ16" i="40"/>
  <c r="AO16" i="40"/>
  <c r="AM16" i="40"/>
  <c r="BI15" i="40"/>
  <c r="BG15" i="40"/>
  <c r="BE15" i="40"/>
  <c r="BC15" i="40"/>
  <c r="BA15" i="40"/>
  <c r="AY15" i="40"/>
  <c r="AU15" i="40"/>
  <c r="AS15" i="40"/>
  <c r="AQ15" i="40"/>
  <c r="AO15" i="40"/>
  <c r="AM15" i="40"/>
  <c r="BI14" i="40"/>
  <c r="BG14" i="40"/>
  <c r="BE14" i="40"/>
  <c r="BC14" i="40"/>
  <c r="BA14" i="40"/>
  <c r="AY14" i="40"/>
  <c r="AU14" i="40"/>
  <c r="AS14" i="40"/>
  <c r="AQ14" i="40"/>
  <c r="AO14" i="40"/>
  <c r="AM14" i="40"/>
  <c r="BI13" i="40"/>
  <c r="BG13" i="40"/>
  <c r="BE13" i="40"/>
  <c r="BC13" i="40"/>
  <c r="BA13" i="40"/>
  <c r="AY13" i="40"/>
  <c r="AU13" i="40"/>
  <c r="AS13" i="40"/>
  <c r="AQ13" i="40"/>
  <c r="AO13" i="40"/>
  <c r="AM13" i="40"/>
  <c r="BI12" i="40"/>
  <c r="BG12" i="40"/>
  <c r="BE12" i="40"/>
  <c r="BC12" i="40"/>
  <c r="BA12" i="40"/>
  <c r="AY12" i="40"/>
  <c r="AU12" i="40"/>
  <c r="AS12" i="40"/>
  <c r="AQ12" i="40"/>
  <c r="AO12" i="40"/>
  <c r="AM12" i="40"/>
  <c r="BI11" i="40"/>
  <c r="BG11" i="40"/>
  <c r="BE11" i="40"/>
  <c r="BC11" i="40"/>
  <c r="BA11" i="40"/>
  <c r="AY11" i="40"/>
  <c r="AU11" i="40"/>
  <c r="AS11" i="40"/>
  <c r="AQ11" i="40"/>
  <c r="AO11" i="40"/>
  <c r="AM11" i="40"/>
  <c r="BI10" i="40"/>
  <c r="BG10" i="40"/>
  <c r="BE10" i="40"/>
  <c r="BC10" i="40"/>
  <c r="BA10" i="40"/>
  <c r="AY10" i="40"/>
  <c r="AU10" i="40"/>
  <c r="AS10" i="40"/>
  <c r="AQ10" i="40"/>
  <c r="AO10" i="40"/>
  <c r="AM10" i="40"/>
  <c r="BI9" i="40"/>
  <c r="BG9" i="40"/>
  <c r="BE9" i="40"/>
  <c r="BC9" i="40"/>
  <c r="BA9" i="40"/>
  <c r="AY9" i="40"/>
  <c r="AU9" i="40"/>
  <c r="AS9" i="40"/>
  <c r="AQ9" i="40"/>
  <c r="AO9" i="40"/>
  <c r="AM9" i="40"/>
  <c r="BI8" i="40"/>
  <c r="BG8" i="40"/>
  <c r="BE8" i="40"/>
  <c r="BC8" i="40"/>
  <c r="BA8" i="40"/>
  <c r="AY8" i="40"/>
  <c r="AU8" i="40"/>
  <c r="AS8" i="40"/>
  <c r="AQ8" i="40"/>
  <c r="AO8" i="40"/>
  <c r="AM8" i="40"/>
  <c r="BI7" i="40"/>
  <c r="BG7" i="40"/>
  <c r="BE7" i="40"/>
  <c r="BC7" i="40"/>
  <c r="BA7" i="40"/>
  <c r="AY7" i="40"/>
  <c r="AU7" i="40"/>
  <c r="AS7" i="40"/>
  <c r="AQ7" i="40"/>
  <c r="AO7" i="40"/>
  <c r="AM7" i="40"/>
  <c r="BI6" i="40"/>
  <c r="BG6" i="40"/>
  <c r="BE6" i="40"/>
  <c r="BC6" i="40"/>
  <c r="BA6" i="40"/>
  <c r="AY6" i="40"/>
  <c r="AU6" i="40"/>
  <c r="AS6" i="40"/>
  <c r="AQ6" i="40"/>
  <c r="AO6" i="40"/>
  <c r="AM6" i="40"/>
  <c r="BI5" i="40"/>
  <c r="BG5" i="40"/>
  <c r="BE5" i="40"/>
  <c r="BC5" i="40"/>
  <c r="BA5" i="40"/>
  <c r="AY5" i="40"/>
  <c r="AU5" i="40"/>
  <c r="AS5" i="40"/>
  <c r="AQ5" i="40"/>
  <c r="AO5" i="40"/>
  <c r="AM5" i="40"/>
  <c r="BI4" i="40"/>
  <c r="BG4" i="40"/>
  <c r="BE4" i="40"/>
  <c r="BC4" i="40"/>
  <c r="BA4" i="40"/>
  <c r="AY4" i="40"/>
  <c r="AU4" i="40"/>
  <c r="AS4" i="40"/>
  <c r="AQ4" i="40"/>
  <c r="AO4" i="40"/>
  <c r="AM4" i="40"/>
  <c r="BI3" i="40"/>
  <c r="BG3" i="40"/>
  <c r="BE3" i="40"/>
  <c r="BC3" i="40"/>
  <c r="BA3" i="40"/>
  <c r="AY3" i="40"/>
  <c r="AU3" i="40"/>
  <c r="AQ3" i="40"/>
  <c r="AO3" i="40"/>
  <c r="AM3" i="40"/>
  <c r="BE1" i="40" l="1"/>
  <c r="BI1" i="40"/>
  <c r="BG1" i="40"/>
  <c r="E137" i="34" s="1"/>
  <c r="BA1" i="40"/>
  <c r="BC1" i="40"/>
  <c r="AY1" i="40"/>
  <c r="C18" i="33" s="1"/>
  <c r="D102" i="34" s="1"/>
  <c r="AW3" i="40"/>
  <c r="AO1" i="40"/>
  <c r="D4" i="33" s="1"/>
  <c r="E30" i="34" s="1"/>
  <c r="AU1" i="40"/>
  <c r="D11" i="33" s="1"/>
  <c r="E66" i="34" s="1"/>
  <c r="AQ1" i="40"/>
  <c r="E4" i="33" s="1"/>
  <c r="F30" i="34" s="1"/>
  <c r="AM1" i="40"/>
  <c r="C4" i="33" s="1"/>
  <c r="D30" i="34" s="1"/>
  <c r="AR341" i="40"/>
  <c r="AS3" i="40"/>
  <c r="AS1" i="40" s="1"/>
  <c r="C11" i="33" s="1"/>
  <c r="D66" i="34" s="1"/>
  <c r="E25" i="33" l="1"/>
  <c r="F137" i="34"/>
  <c r="D25" i="33"/>
  <c r="D137" i="34"/>
  <c r="C25" i="33"/>
  <c r="E18" i="33"/>
  <c r="F102" i="34"/>
  <c r="D18" i="33"/>
  <c r="E102" i="34"/>
  <c r="AW1" i="40"/>
  <c r="E11" i="33" s="1"/>
  <c r="F66" i="34" s="1"/>
  <c r="BL342" i="40"/>
  <c r="BP4" i="39" a="1"/>
  <c r="BP4" i="39" s="1"/>
  <c r="BP3" i="39" a="1"/>
  <c r="BP3" i="39" s="1"/>
  <c r="BK287" i="39"/>
  <c r="BI287" i="39"/>
  <c r="BG287" i="39"/>
  <c r="BE287" i="39"/>
  <c r="BC287" i="39"/>
  <c r="BA287" i="39"/>
  <c r="AY287" i="39"/>
  <c r="AW287" i="39"/>
  <c r="AU287" i="39"/>
  <c r="AS287" i="39"/>
  <c r="AQ287" i="39"/>
  <c r="AO287" i="39"/>
  <c r="BL286" i="39"/>
  <c r="BJ286" i="39"/>
  <c r="BH286" i="39"/>
  <c r="BF286" i="39"/>
  <c r="BD286" i="39"/>
  <c r="BB286" i="39"/>
  <c r="AZ286" i="39"/>
  <c r="AX286" i="39"/>
  <c r="AV286" i="39"/>
  <c r="AT286" i="39"/>
  <c r="AR286" i="39"/>
  <c r="AP286" i="39"/>
  <c r="BL285" i="39"/>
  <c r="BJ285" i="39"/>
  <c r="BH285" i="39"/>
  <c r="BF285" i="39"/>
  <c r="BD285" i="39"/>
  <c r="BB285" i="39"/>
  <c r="AZ285" i="39"/>
  <c r="AX285" i="39"/>
  <c r="AV285" i="39"/>
  <c r="AT285" i="39"/>
  <c r="AR285" i="39"/>
  <c r="AP285" i="39"/>
  <c r="BL284" i="39"/>
  <c r="BJ284" i="39"/>
  <c r="BH284" i="39"/>
  <c r="BF284" i="39"/>
  <c r="BD284" i="39"/>
  <c r="BB284" i="39"/>
  <c r="AZ284" i="39"/>
  <c r="AX284" i="39"/>
  <c r="AV284" i="39"/>
  <c r="AT284" i="39"/>
  <c r="AR284" i="39"/>
  <c r="AP284" i="39"/>
  <c r="BL283" i="39"/>
  <c r="BJ283" i="39"/>
  <c r="BH283" i="39"/>
  <c r="BF283" i="39"/>
  <c r="BD283" i="39"/>
  <c r="BB283" i="39"/>
  <c r="AZ283" i="39"/>
  <c r="AX283" i="39"/>
  <c r="AV283" i="39"/>
  <c r="AT283" i="39"/>
  <c r="AR283" i="39"/>
  <c r="AP283" i="39"/>
  <c r="BL282" i="39"/>
  <c r="BJ282" i="39"/>
  <c r="BH282" i="39"/>
  <c r="BF282" i="39"/>
  <c r="BD282" i="39"/>
  <c r="BB282" i="39"/>
  <c r="AZ282" i="39"/>
  <c r="AX282" i="39"/>
  <c r="AV282" i="39"/>
  <c r="AT282" i="39"/>
  <c r="AR282" i="39"/>
  <c r="AP282" i="39"/>
  <c r="BL281" i="39"/>
  <c r="BJ281" i="39"/>
  <c r="BH281" i="39"/>
  <c r="BF281" i="39"/>
  <c r="BD281" i="39"/>
  <c r="BB281" i="39"/>
  <c r="AZ281" i="39"/>
  <c r="AX281" i="39"/>
  <c r="AV281" i="39"/>
  <c r="AT281" i="39"/>
  <c r="AR281" i="39"/>
  <c r="AP281" i="39"/>
  <c r="BL280" i="39"/>
  <c r="BJ280" i="39"/>
  <c r="BH280" i="39"/>
  <c r="BF280" i="39"/>
  <c r="BD280" i="39"/>
  <c r="BB280" i="39"/>
  <c r="AZ280" i="39"/>
  <c r="AX280" i="39"/>
  <c r="AV280" i="39"/>
  <c r="AT280" i="39"/>
  <c r="AR280" i="39"/>
  <c r="AP280" i="39"/>
  <c r="BL279" i="39"/>
  <c r="BJ279" i="39"/>
  <c r="BH279" i="39"/>
  <c r="BF279" i="39"/>
  <c r="BD279" i="39"/>
  <c r="BB279" i="39"/>
  <c r="AZ279" i="39"/>
  <c r="AX279" i="39"/>
  <c r="AV279" i="39"/>
  <c r="AT279" i="39"/>
  <c r="AR279" i="39"/>
  <c r="AP279" i="39"/>
  <c r="BL278" i="39"/>
  <c r="BJ278" i="39"/>
  <c r="BH278" i="39"/>
  <c r="BF278" i="39"/>
  <c r="BD278" i="39"/>
  <c r="BB278" i="39"/>
  <c r="AZ278" i="39"/>
  <c r="AX278" i="39"/>
  <c r="AV278" i="39"/>
  <c r="AT278" i="39"/>
  <c r="AR278" i="39"/>
  <c r="AP278" i="39"/>
  <c r="BL277" i="39"/>
  <c r="BJ277" i="39"/>
  <c r="BH277" i="39"/>
  <c r="BF277" i="39"/>
  <c r="BD277" i="39"/>
  <c r="BB277" i="39"/>
  <c r="AZ277" i="39"/>
  <c r="AX277" i="39"/>
  <c r="AV277" i="39"/>
  <c r="AT277" i="39"/>
  <c r="AR277" i="39"/>
  <c r="AP277" i="39"/>
  <c r="BL276" i="39"/>
  <c r="BJ276" i="39"/>
  <c r="BH276" i="39"/>
  <c r="BF276" i="39"/>
  <c r="BD276" i="39"/>
  <c r="BB276" i="39"/>
  <c r="AZ276" i="39"/>
  <c r="AX276" i="39"/>
  <c r="AV276" i="39"/>
  <c r="AT276" i="39"/>
  <c r="AR276" i="39"/>
  <c r="AP276" i="39"/>
  <c r="BL275" i="39"/>
  <c r="BJ275" i="39"/>
  <c r="BH275" i="39"/>
  <c r="BF275" i="39"/>
  <c r="BD275" i="39"/>
  <c r="BB275" i="39"/>
  <c r="AZ275" i="39"/>
  <c r="AX275" i="39"/>
  <c r="AV275" i="39"/>
  <c r="AT275" i="39"/>
  <c r="AR275" i="39"/>
  <c r="AP275" i="39"/>
  <c r="BL274" i="39"/>
  <c r="BJ274" i="39"/>
  <c r="BH274" i="39"/>
  <c r="BF274" i="39"/>
  <c r="BD274" i="39"/>
  <c r="BB274" i="39"/>
  <c r="AZ274" i="39"/>
  <c r="AX274" i="39"/>
  <c r="AV274" i="39"/>
  <c r="AT274" i="39"/>
  <c r="AR274" i="39"/>
  <c r="AP274" i="39"/>
  <c r="BL273" i="39"/>
  <c r="BJ273" i="39"/>
  <c r="BH273" i="39"/>
  <c r="BF273" i="39"/>
  <c r="BD273" i="39"/>
  <c r="BB273" i="39"/>
  <c r="AZ273" i="39"/>
  <c r="AX273" i="39"/>
  <c r="AV273" i="39"/>
  <c r="AT273" i="39"/>
  <c r="AR273" i="39"/>
  <c r="AP273" i="39"/>
  <c r="BL272" i="39"/>
  <c r="BJ272" i="39"/>
  <c r="BH272" i="39"/>
  <c r="BF272" i="39"/>
  <c r="BD272" i="39"/>
  <c r="BB272" i="39"/>
  <c r="AZ272" i="39"/>
  <c r="AX272" i="39"/>
  <c r="AV272" i="39"/>
  <c r="AT272" i="39"/>
  <c r="AR272" i="39"/>
  <c r="AP272" i="39"/>
  <c r="BL271" i="39"/>
  <c r="BJ271" i="39"/>
  <c r="BH271" i="39"/>
  <c r="BF271" i="39"/>
  <c r="BD271" i="39"/>
  <c r="BB271" i="39"/>
  <c r="AZ271" i="39"/>
  <c r="AX271" i="39"/>
  <c r="AV271" i="39"/>
  <c r="AT271" i="39"/>
  <c r="AR271" i="39"/>
  <c r="AP271" i="39"/>
  <c r="BL270" i="39"/>
  <c r="BJ270" i="39"/>
  <c r="BH270" i="39"/>
  <c r="BF270" i="39"/>
  <c r="BD270" i="39"/>
  <c r="BB270" i="39"/>
  <c r="AZ270" i="39"/>
  <c r="AX270" i="39"/>
  <c r="AV270" i="39"/>
  <c r="AT270" i="39"/>
  <c r="AR270" i="39"/>
  <c r="AP270" i="39"/>
  <c r="BL269" i="39"/>
  <c r="BJ269" i="39"/>
  <c r="BH269" i="39"/>
  <c r="BF269" i="39"/>
  <c r="BD269" i="39"/>
  <c r="BB269" i="39"/>
  <c r="AZ269" i="39"/>
  <c r="AX269" i="39"/>
  <c r="AV269" i="39"/>
  <c r="AT269" i="39"/>
  <c r="AR269" i="39"/>
  <c r="AP269" i="39"/>
  <c r="BL268" i="39"/>
  <c r="BJ268" i="39"/>
  <c r="BH268" i="39"/>
  <c r="BF268" i="39"/>
  <c r="BD268" i="39"/>
  <c r="BB268" i="39"/>
  <c r="AZ268" i="39"/>
  <c r="AX268" i="39"/>
  <c r="AV268" i="39"/>
  <c r="AT268" i="39"/>
  <c r="AR268" i="39"/>
  <c r="AP268" i="39"/>
  <c r="BL267" i="39"/>
  <c r="BJ267" i="39"/>
  <c r="BH267" i="39"/>
  <c r="BF267" i="39"/>
  <c r="BD267" i="39"/>
  <c r="BB267" i="39"/>
  <c r="AZ267" i="39"/>
  <c r="AX267" i="39"/>
  <c r="AV267" i="39"/>
  <c r="AT267" i="39"/>
  <c r="AR267" i="39"/>
  <c r="AP267" i="39"/>
  <c r="BL266" i="39"/>
  <c r="BJ266" i="39"/>
  <c r="BH266" i="39"/>
  <c r="BF266" i="39"/>
  <c r="BD266" i="39"/>
  <c r="BB266" i="39"/>
  <c r="AZ266" i="39"/>
  <c r="AX266" i="39"/>
  <c r="AV266" i="39"/>
  <c r="AT266" i="39"/>
  <c r="AR266" i="39"/>
  <c r="AP266" i="39"/>
  <c r="BL265" i="39"/>
  <c r="BJ265" i="39"/>
  <c r="BH265" i="39"/>
  <c r="BF265" i="39"/>
  <c r="BD265" i="39"/>
  <c r="BB265" i="39"/>
  <c r="AZ265" i="39"/>
  <c r="AX265" i="39"/>
  <c r="AV265" i="39"/>
  <c r="AT265" i="39"/>
  <c r="AR265" i="39"/>
  <c r="AP265" i="39"/>
  <c r="BL264" i="39"/>
  <c r="BJ264" i="39"/>
  <c r="BH264" i="39"/>
  <c r="BF264" i="39"/>
  <c r="BD264" i="39"/>
  <c r="BB264" i="39"/>
  <c r="AZ264" i="39"/>
  <c r="AX264" i="39"/>
  <c r="AV264" i="39"/>
  <c r="AT264" i="39"/>
  <c r="AR264" i="39"/>
  <c r="AP264" i="39"/>
  <c r="BL263" i="39"/>
  <c r="BJ263" i="39"/>
  <c r="BH263" i="39"/>
  <c r="BF263" i="39"/>
  <c r="BD263" i="39"/>
  <c r="BB263" i="39"/>
  <c r="AZ263" i="39"/>
  <c r="AX263" i="39"/>
  <c r="AV263" i="39"/>
  <c r="AT263" i="39"/>
  <c r="AR263" i="39"/>
  <c r="AP263" i="39"/>
  <c r="BL262" i="39"/>
  <c r="BJ262" i="39"/>
  <c r="BH262" i="39"/>
  <c r="BF262" i="39"/>
  <c r="BD262" i="39"/>
  <c r="BB262" i="39"/>
  <c r="AZ262" i="39"/>
  <c r="AX262" i="39"/>
  <c r="AV262" i="39"/>
  <c r="AT262" i="39"/>
  <c r="AR262" i="39"/>
  <c r="AP262" i="39"/>
  <c r="BL261" i="39"/>
  <c r="BJ261" i="39"/>
  <c r="BH261" i="39"/>
  <c r="BF261" i="39"/>
  <c r="BD261" i="39"/>
  <c r="AZ261" i="39"/>
  <c r="AX261" i="39"/>
  <c r="AT261" i="39"/>
  <c r="BL260" i="39"/>
  <c r="BJ260" i="39"/>
  <c r="BH260" i="39"/>
  <c r="BF260" i="39"/>
  <c r="BD260" i="39"/>
  <c r="BB260" i="39"/>
  <c r="AZ260" i="39"/>
  <c r="AX260" i="39"/>
  <c r="AV260" i="39"/>
  <c r="AT260" i="39"/>
  <c r="AR260" i="39"/>
  <c r="AP260" i="39"/>
  <c r="BL259" i="39"/>
  <c r="BJ259" i="39"/>
  <c r="BH259" i="39"/>
  <c r="BF259" i="39"/>
  <c r="BD259" i="39"/>
  <c r="BB259" i="39"/>
  <c r="AZ259" i="39"/>
  <c r="AX259" i="39"/>
  <c r="AV259" i="39"/>
  <c r="AT259" i="39"/>
  <c r="AR259" i="39"/>
  <c r="AP259" i="39"/>
  <c r="BL258" i="39"/>
  <c r="BJ258" i="39"/>
  <c r="BH258" i="39"/>
  <c r="BF258" i="39"/>
  <c r="BD258" i="39"/>
  <c r="BB258" i="39"/>
  <c r="AZ258" i="39"/>
  <c r="AX258" i="39"/>
  <c r="AV258" i="39"/>
  <c r="AT258" i="39"/>
  <c r="AR258" i="39"/>
  <c r="AP258" i="39"/>
  <c r="H258" i="39"/>
  <c r="BL257" i="39"/>
  <c r="BJ257" i="39"/>
  <c r="BH257" i="39"/>
  <c r="BF257" i="39"/>
  <c r="BD257" i="39"/>
  <c r="BB257" i="39"/>
  <c r="AZ257" i="39"/>
  <c r="AX257" i="39"/>
  <c r="AV257" i="39"/>
  <c r="AT257" i="39"/>
  <c r="AR257" i="39"/>
  <c r="AP257" i="39"/>
  <c r="BL256" i="39"/>
  <c r="BJ256" i="39"/>
  <c r="BH256" i="39"/>
  <c r="BF256" i="39"/>
  <c r="BD256" i="39"/>
  <c r="BB256" i="39"/>
  <c r="AZ256" i="39"/>
  <c r="AX256" i="39"/>
  <c r="AV256" i="39"/>
  <c r="AT256" i="39"/>
  <c r="AR256" i="39"/>
  <c r="AP256" i="39"/>
  <c r="BL255" i="39"/>
  <c r="BJ255" i="39"/>
  <c r="BH255" i="39"/>
  <c r="BF255" i="39"/>
  <c r="BD255" i="39"/>
  <c r="BB255" i="39"/>
  <c r="AZ255" i="39"/>
  <c r="AX255" i="39"/>
  <c r="AV255" i="39"/>
  <c r="AT255" i="39"/>
  <c r="AR255" i="39"/>
  <c r="AP255" i="39"/>
  <c r="BL254" i="39"/>
  <c r="BJ254" i="39"/>
  <c r="BH254" i="39"/>
  <c r="BF254" i="39"/>
  <c r="BD254" i="39"/>
  <c r="BB254" i="39"/>
  <c r="AZ254" i="39"/>
  <c r="AX254" i="39"/>
  <c r="AV254" i="39"/>
  <c r="AT254" i="39"/>
  <c r="AR254" i="39"/>
  <c r="AP254" i="39"/>
  <c r="H254" i="39"/>
  <c r="BL253" i="39"/>
  <c r="BJ253" i="39"/>
  <c r="BH253" i="39"/>
  <c r="BF253" i="39"/>
  <c r="BD253" i="39"/>
  <c r="BB253" i="39"/>
  <c r="AZ253" i="39"/>
  <c r="AX253" i="39"/>
  <c r="AV253" i="39"/>
  <c r="AT253" i="39"/>
  <c r="AR253" i="39"/>
  <c r="AP253" i="39"/>
  <c r="BL252" i="39"/>
  <c r="BJ252" i="39"/>
  <c r="BH252" i="39"/>
  <c r="BF252" i="39"/>
  <c r="BD252" i="39"/>
  <c r="BB252" i="39"/>
  <c r="AZ252" i="39"/>
  <c r="AX252" i="39"/>
  <c r="AV252" i="39"/>
  <c r="AT252" i="39"/>
  <c r="AR252" i="39"/>
  <c r="AP252" i="39"/>
  <c r="H252" i="39"/>
  <c r="BL251" i="39"/>
  <c r="BJ251" i="39"/>
  <c r="BH251" i="39"/>
  <c r="BF251" i="39"/>
  <c r="BD251" i="39"/>
  <c r="BB251" i="39"/>
  <c r="AZ251" i="39"/>
  <c r="AX251" i="39"/>
  <c r="AV251" i="39"/>
  <c r="AT251" i="39"/>
  <c r="AR251" i="39"/>
  <c r="AP251" i="39"/>
  <c r="BL250" i="39"/>
  <c r="BJ250" i="39"/>
  <c r="BH250" i="39"/>
  <c r="BF250" i="39"/>
  <c r="BD250" i="39"/>
  <c r="BB250" i="39"/>
  <c r="AZ250" i="39"/>
  <c r="AX250" i="39"/>
  <c r="AV250" i="39"/>
  <c r="AT250" i="39"/>
  <c r="AR250" i="39"/>
  <c r="AP250" i="39"/>
  <c r="BL249" i="39"/>
  <c r="BJ249" i="39"/>
  <c r="BH249" i="39"/>
  <c r="BF249" i="39"/>
  <c r="BD249" i="39"/>
  <c r="BB249" i="39"/>
  <c r="AZ249" i="39"/>
  <c r="AX249" i="39"/>
  <c r="AV249" i="39"/>
  <c r="AT249" i="39"/>
  <c r="AR249" i="39"/>
  <c r="AP249" i="39"/>
  <c r="H249" i="39"/>
  <c r="BL248" i="39"/>
  <c r="BJ248" i="39"/>
  <c r="BH248" i="39"/>
  <c r="BF248" i="39"/>
  <c r="BD248" i="39"/>
  <c r="BB248" i="39"/>
  <c r="AZ248" i="39"/>
  <c r="AX248" i="39"/>
  <c r="AV248" i="39"/>
  <c r="AT248" i="39"/>
  <c r="AR248" i="39"/>
  <c r="AP248" i="39"/>
  <c r="BL247" i="39"/>
  <c r="BJ247" i="39"/>
  <c r="BH247" i="39"/>
  <c r="BF247" i="39"/>
  <c r="BD247" i="39"/>
  <c r="BB247" i="39"/>
  <c r="AZ247" i="39"/>
  <c r="AX247" i="39"/>
  <c r="AV247" i="39"/>
  <c r="AT247" i="39"/>
  <c r="AR247" i="39"/>
  <c r="AP247" i="39"/>
  <c r="BL246" i="39"/>
  <c r="BJ246" i="39"/>
  <c r="BH246" i="39"/>
  <c r="BF246" i="39"/>
  <c r="BD246" i="39"/>
  <c r="BB246" i="39"/>
  <c r="AZ246" i="39"/>
  <c r="AX246" i="39"/>
  <c r="AV246" i="39"/>
  <c r="AT246" i="39"/>
  <c r="AR246" i="39"/>
  <c r="AP246" i="39"/>
  <c r="BL245" i="39"/>
  <c r="BJ245" i="39"/>
  <c r="BH245" i="39"/>
  <c r="BF245" i="39"/>
  <c r="BD245" i="39"/>
  <c r="BB245" i="39"/>
  <c r="AZ245" i="39"/>
  <c r="AX245" i="39"/>
  <c r="AV245" i="39"/>
  <c r="AT245" i="39"/>
  <c r="AR245" i="39"/>
  <c r="AP245" i="39"/>
  <c r="BL244" i="39"/>
  <c r="BJ244" i="39"/>
  <c r="BH244" i="39"/>
  <c r="BF244" i="39"/>
  <c r="BD244" i="39"/>
  <c r="BB244" i="39"/>
  <c r="AZ244" i="39"/>
  <c r="AX244" i="39"/>
  <c r="AV244" i="39"/>
  <c r="AT244" i="39"/>
  <c r="AR244" i="39"/>
  <c r="AP244" i="39"/>
  <c r="BL243" i="39"/>
  <c r="BJ243" i="39"/>
  <c r="BH243" i="39"/>
  <c r="BF243" i="39"/>
  <c r="BD243" i="39"/>
  <c r="BB243" i="39"/>
  <c r="AZ243" i="39"/>
  <c r="AX243" i="39"/>
  <c r="AV243" i="39"/>
  <c r="AT243" i="39"/>
  <c r="AR243" i="39"/>
  <c r="AP243" i="39"/>
  <c r="BL242" i="39"/>
  <c r="BJ242" i="39"/>
  <c r="BH242" i="39"/>
  <c r="BF242" i="39"/>
  <c r="BD242" i="39"/>
  <c r="BB242" i="39"/>
  <c r="AZ242" i="39"/>
  <c r="AX242" i="39"/>
  <c r="AV242" i="39"/>
  <c r="AT242" i="39"/>
  <c r="AR242" i="39"/>
  <c r="AP242" i="39"/>
  <c r="BL241" i="39"/>
  <c r="BJ241" i="39"/>
  <c r="BH241" i="39"/>
  <c r="BF241" i="39"/>
  <c r="BD241" i="39"/>
  <c r="BB241" i="39"/>
  <c r="AZ241" i="39"/>
  <c r="AX241" i="39"/>
  <c r="AV241" i="39"/>
  <c r="AT241" i="39"/>
  <c r="AR241" i="39"/>
  <c r="AP241" i="39"/>
  <c r="BL240" i="39"/>
  <c r="BJ240" i="39"/>
  <c r="BH240" i="39"/>
  <c r="BF240" i="39"/>
  <c r="BD240" i="39"/>
  <c r="BB240" i="39"/>
  <c r="AZ240" i="39"/>
  <c r="AX240" i="39"/>
  <c r="AV240" i="39"/>
  <c r="AT240" i="39"/>
  <c r="AR240" i="39"/>
  <c r="AP240" i="39"/>
  <c r="BL239" i="39"/>
  <c r="BJ239" i="39"/>
  <c r="BH239" i="39"/>
  <c r="BF239" i="39"/>
  <c r="BD239" i="39"/>
  <c r="BB239" i="39"/>
  <c r="AZ239" i="39"/>
  <c r="AX239" i="39"/>
  <c r="AV239" i="39"/>
  <c r="AT239" i="39"/>
  <c r="AR239" i="39"/>
  <c r="AP239" i="39"/>
  <c r="H239" i="39"/>
  <c r="BL238" i="39"/>
  <c r="BJ238" i="39"/>
  <c r="BH238" i="39"/>
  <c r="BF238" i="39"/>
  <c r="BD238" i="39"/>
  <c r="BB238" i="39"/>
  <c r="AZ238" i="39"/>
  <c r="AX238" i="39"/>
  <c r="AV238" i="39"/>
  <c r="AT238" i="39"/>
  <c r="AR238" i="39"/>
  <c r="AP238" i="39"/>
  <c r="H238" i="39"/>
  <c r="BL237" i="39"/>
  <c r="BJ237" i="39"/>
  <c r="BH237" i="39"/>
  <c r="BF237" i="39"/>
  <c r="BD237" i="39"/>
  <c r="BB237" i="39"/>
  <c r="AZ237" i="39"/>
  <c r="AX237" i="39"/>
  <c r="AV237" i="39"/>
  <c r="AT237" i="39"/>
  <c r="AR237" i="39"/>
  <c r="AP237" i="39"/>
  <c r="H237" i="39"/>
  <c r="BL236" i="39"/>
  <c r="BJ236" i="39"/>
  <c r="BH236" i="39"/>
  <c r="BF236" i="39"/>
  <c r="BD236" i="39"/>
  <c r="BB236" i="39"/>
  <c r="AZ236" i="39"/>
  <c r="AX236" i="39"/>
  <c r="AV236" i="39"/>
  <c r="AT236" i="39"/>
  <c r="AR236" i="39"/>
  <c r="AP236" i="39"/>
  <c r="H236" i="39"/>
  <c r="BL235" i="39"/>
  <c r="BJ235" i="39"/>
  <c r="BH235" i="39"/>
  <c r="BF235" i="39"/>
  <c r="BD235" i="39"/>
  <c r="BB235" i="39"/>
  <c r="AZ235" i="39"/>
  <c r="AX235" i="39"/>
  <c r="AV235" i="39"/>
  <c r="AT235" i="39"/>
  <c r="AR235" i="39"/>
  <c r="AP235" i="39"/>
  <c r="BL234" i="39"/>
  <c r="BJ234" i="39"/>
  <c r="BH234" i="39"/>
  <c r="BF234" i="39"/>
  <c r="BD234" i="39"/>
  <c r="BB234" i="39"/>
  <c r="AZ234" i="39"/>
  <c r="AX234" i="39"/>
  <c r="AV234" i="39"/>
  <c r="AT234" i="39"/>
  <c r="AR234" i="39"/>
  <c r="AP234" i="39"/>
  <c r="H234" i="39"/>
  <c r="BL233" i="39"/>
  <c r="BJ233" i="39"/>
  <c r="BH233" i="39"/>
  <c r="BF233" i="39"/>
  <c r="BD233" i="39"/>
  <c r="BB233" i="39"/>
  <c r="AZ233" i="39"/>
  <c r="AX233" i="39"/>
  <c r="AV233" i="39"/>
  <c r="AT233" i="39"/>
  <c r="AR233" i="39"/>
  <c r="AP233" i="39"/>
  <c r="H233" i="39"/>
  <c r="BL232" i="39"/>
  <c r="BJ232" i="39"/>
  <c r="BH232" i="39"/>
  <c r="BF232" i="39"/>
  <c r="BD232" i="39"/>
  <c r="BB232" i="39"/>
  <c r="AZ232" i="39"/>
  <c r="AX232" i="39"/>
  <c r="AV232" i="39"/>
  <c r="AT232" i="39"/>
  <c r="AR232" i="39"/>
  <c r="AP232" i="39"/>
  <c r="H232" i="39"/>
  <c r="BL231" i="39"/>
  <c r="BJ231" i="39"/>
  <c r="BH231" i="39"/>
  <c r="BF231" i="39"/>
  <c r="BD231" i="39"/>
  <c r="BB231" i="39"/>
  <c r="AZ231" i="39"/>
  <c r="AX231" i="39"/>
  <c r="AV231" i="39"/>
  <c r="AT231" i="39"/>
  <c r="AR231" i="39"/>
  <c r="AP231" i="39"/>
  <c r="H231" i="39"/>
  <c r="BL230" i="39"/>
  <c r="BJ230" i="39"/>
  <c r="BH230" i="39"/>
  <c r="BF230" i="39"/>
  <c r="BD230" i="39"/>
  <c r="BB230" i="39"/>
  <c r="AZ230" i="39"/>
  <c r="AX230" i="39"/>
  <c r="AV230" i="39"/>
  <c r="AT230" i="39"/>
  <c r="AR230" i="39"/>
  <c r="AP230" i="39"/>
  <c r="H230" i="39"/>
  <c r="BL229" i="39"/>
  <c r="BJ229" i="39"/>
  <c r="BH229" i="39"/>
  <c r="BF229" i="39"/>
  <c r="BD229" i="39"/>
  <c r="BB229" i="39"/>
  <c r="AZ229" i="39"/>
  <c r="AX229" i="39"/>
  <c r="AV229" i="39"/>
  <c r="AT229" i="39"/>
  <c r="AR229" i="39"/>
  <c r="AP229" i="39"/>
  <c r="H229" i="39"/>
  <c r="BL228" i="39"/>
  <c r="BJ228" i="39"/>
  <c r="BH228" i="39"/>
  <c r="BF228" i="39"/>
  <c r="BD228" i="39"/>
  <c r="BB228" i="39"/>
  <c r="AZ228" i="39"/>
  <c r="AX228" i="39"/>
  <c r="AV228" i="39"/>
  <c r="AT228" i="39"/>
  <c r="AR228" i="39"/>
  <c r="AP228" i="39"/>
  <c r="H228" i="39"/>
  <c r="BL227" i="39"/>
  <c r="BJ227" i="39"/>
  <c r="BH227" i="39"/>
  <c r="BF227" i="39"/>
  <c r="BD227" i="39"/>
  <c r="BB227" i="39"/>
  <c r="AZ227" i="39"/>
  <c r="AX227" i="39"/>
  <c r="AV227" i="39"/>
  <c r="AT227" i="39"/>
  <c r="AR227" i="39"/>
  <c r="AP227" i="39"/>
  <c r="H227" i="39"/>
  <c r="BL226" i="39"/>
  <c r="BJ226" i="39"/>
  <c r="BH226" i="39"/>
  <c r="BF226" i="39"/>
  <c r="BD226" i="39"/>
  <c r="BB226" i="39"/>
  <c r="AZ226" i="39"/>
  <c r="AX226" i="39"/>
  <c r="AV226" i="39"/>
  <c r="AT226" i="39"/>
  <c r="AR226" i="39"/>
  <c r="AP226" i="39"/>
  <c r="H226" i="39"/>
  <c r="BL225" i="39"/>
  <c r="BJ225" i="39"/>
  <c r="BH225" i="39"/>
  <c r="BF225" i="39"/>
  <c r="BD225" i="39"/>
  <c r="BB225" i="39"/>
  <c r="AZ225" i="39"/>
  <c r="AX225" i="39"/>
  <c r="AV225" i="39"/>
  <c r="AT225" i="39"/>
  <c r="AR225" i="39"/>
  <c r="AP225" i="39"/>
  <c r="H225" i="39"/>
  <c r="BL224" i="39"/>
  <c r="BJ224" i="39"/>
  <c r="BH224" i="39"/>
  <c r="BF224" i="39"/>
  <c r="BD224" i="39"/>
  <c r="BB224" i="39"/>
  <c r="AZ224" i="39"/>
  <c r="AX224" i="39"/>
  <c r="AV224" i="39"/>
  <c r="AT224" i="39"/>
  <c r="AR224" i="39"/>
  <c r="AP224" i="39"/>
  <c r="BL223" i="39"/>
  <c r="BJ223" i="39"/>
  <c r="BH223" i="39"/>
  <c r="BF223" i="39"/>
  <c r="BD223" i="39"/>
  <c r="BB223" i="39"/>
  <c r="AZ223" i="39"/>
  <c r="AX223" i="39"/>
  <c r="AV223" i="39"/>
  <c r="AT223" i="39"/>
  <c r="AR223" i="39"/>
  <c r="AP223" i="39"/>
  <c r="BL222" i="39"/>
  <c r="BJ222" i="39"/>
  <c r="BH222" i="39"/>
  <c r="BF222" i="39"/>
  <c r="BD222" i="39"/>
  <c r="BB222" i="39"/>
  <c r="AZ222" i="39"/>
  <c r="AX222" i="39"/>
  <c r="AV222" i="39"/>
  <c r="AT222" i="39"/>
  <c r="AR222" i="39"/>
  <c r="AP222" i="39"/>
  <c r="BL221" i="39"/>
  <c r="BJ221" i="39"/>
  <c r="BH221" i="39"/>
  <c r="BF221" i="39"/>
  <c r="BD221" i="39"/>
  <c r="BB221" i="39"/>
  <c r="AZ221" i="39"/>
  <c r="AX221" i="39"/>
  <c r="AV221" i="39"/>
  <c r="AT221" i="39"/>
  <c r="AR221" i="39"/>
  <c r="AP221" i="39"/>
  <c r="BL220" i="39"/>
  <c r="BJ220" i="39"/>
  <c r="BH220" i="39"/>
  <c r="BF220" i="39"/>
  <c r="BD220" i="39"/>
  <c r="BB220" i="39"/>
  <c r="AZ220" i="39"/>
  <c r="AX220" i="39"/>
  <c r="AV220" i="39"/>
  <c r="AT220" i="39"/>
  <c r="AR220" i="39"/>
  <c r="AP220" i="39"/>
  <c r="BL219" i="39"/>
  <c r="BJ219" i="39"/>
  <c r="BH219" i="39"/>
  <c r="BF219" i="39"/>
  <c r="BD219" i="39"/>
  <c r="BB219" i="39"/>
  <c r="AZ219" i="39"/>
  <c r="AX219" i="39"/>
  <c r="AV219" i="39"/>
  <c r="AT219" i="39"/>
  <c r="AR219" i="39"/>
  <c r="AP219" i="39"/>
  <c r="BL218" i="39"/>
  <c r="BJ218" i="39"/>
  <c r="BH218" i="39"/>
  <c r="BF218" i="39"/>
  <c r="BD218" i="39"/>
  <c r="BB218" i="39"/>
  <c r="AZ218" i="39"/>
  <c r="AX218" i="39"/>
  <c r="AV218" i="39"/>
  <c r="AT218" i="39"/>
  <c r="AR218" i="39"/>
  <c r="AP218" i="39"/>
  <c r="BL217" i="39"/>
  <c r="BJ217" i="39"/>
  <c r="BH217" i="39"/>
  <c r="BF217" i="39"/>
  <c r="BD217" i="39"/>
  <c r="BB217" i="39"/>
  <c r="AZ217" i="39"/>
  <c r="AX217" i="39"/>
  <c r="AV217" i="39"/>
  <c r="AT217" i="39"/>
  <c r="AR217" i="39"/>
  <c r="AP217" i="39"/>
  <c r="BL216" i="39"/>
  <c r="BJ216" i="39"/>
  <c r="BH216" i="39"/>
  <c r="BF216" i="39"/>
  <c r="BD216" i="39"/>
  <c r="BB216" i="39"/>
  <c r="AZ216" i="39"/>
  <c r="AX216" i="39"/>
  <c r="AV216" i="39"/>
  <c r="AT216" i="39"/>
  <c r="AR216" i="39"/>
  <c r="AP216" i="39"/>
  <c r="BL215" i="39"/>
  <c r="BJ215" i="39"/>
  <c r="BH215" i="39"/>
  <c r="BF215" i="39"/>
  <c r="BD215" i="39"/>
  <c r="BB215" i="39"/>
  <c r="AZ215" i="39"/>
  <c r="AX215" i="39"/>
  <c r="AV215" i="39"/>
  <c r="AT215" i="39"/>
  <c r="AR215" i="39"/>
  <c r="AP215" i="39"/>
  <c r="BJ214" i="39"/>
  <c r="BH214" i="39"/>
  <c r="BF214" i="39"/>
  <c r="BD214" i="39"/>
  <c r="BB214" i="39"/>
  <c r="AZ214" i="39"/>
  <c r="AX214" i="39"/>
  <c r="AV214" i="39"/>
  <c r="AT214" i="39"/>
  <c r="AR214" i="39"/>
  <c r="AP214" i="39"/>
  <c r="BL213" i="39"/>
  <c r="BJ213" i="39"/>
  <c r="BH213" i="39"/>
  <c r="BF213" i="39"/>
  <c r="BD213" i="39"/>
  <c r="BB213" i="39"/>
  <c r="AZ213" i="39"/>
  <c r="AX213" i="39"/>
  <c r="AV213" i="39"/>
  <c r="AT213" i="39"/>
  <c r="AR213" i="39"/>
  <c r="AP213" i="39"/>
  <c r="BL212" i="39"/>
  <c r="BJ212" i="39"/>
  <c r="BH212" i="39"/>
  <c r="BF212" i="39"/>
  <c r="BD212" i="39"/>
  <c r="BB212" i="39"/>
  <c r="AZ212" i="39"/>
  <c r="AX212" i="39"/>
  <c r="AV212" i="39"/>
  <c r="AT212" i="39"/>
  <c r="AR212" i="39"/>
  <c r="AP212" i="39"/>
  <c r="BL211" i="39"/>
  <c r="BJ211" i="39"/>
  <c r="BH211" i="39"/>
  <c r="BF211" i="39"/>
  <c r="BD211" i="39"/>
  <c r="BB211" i="39"/>
  <c r="AZ211" i="39"/>
  <c r="AX211" i="39"/>
  <c r="AV211" i="39"/>
  <c r="AT211" i="39"/>
  <c r="AR211" i="39"/>
  <c r="AP211" i="39"/>
  <c r="BL210" i="39"/>
  <c r="BJ210" i="39"/>
  <c r="BH210" i="39"/>
  <c r="BF210" i="39"/>
  <c r="BD210" i="39"/>
  <c r="BB210" i="39"/>
  <c r="AZ210" i="39"/>
  <c r="AX210" i="39"/>
  <c r="AV210" i="39"/>
  <c r="AT210" i="39"/>
  <c r="AR210" i="39"/>
  <c r="AP210" i="39"/>
  <c r="BL209" i="39"/>
  <c r="BJ209" i="39"/>
  <c r="BH209" i="39"/>
  <c r="BF209" i="39"/>
  <c r="BD209" i="39"/>
  <c r="BB209" i="39"/>
  <c r="AZ209" i="39"/>
  <c r="AX209" i="39"/>
  <c r="AV209" i="39"/>
  <c r="AT209" i="39"/>
  <c r="AR209" i="39"/>
  <c r="AP209" i="39"/>
  <c r="BL208" i="39"/>
  <c r="BJ208" i="39"/>
  <c r="BH208" i="39"/>
  <c r="BF208" i="39"/>
  <c r="BD208" i="39"/>
  <c r="BB208" i="39"/>
  <c r="AZ208" i="39"/>
  <c r="AX208" i="39"/>
  <c r="AV208" i="39"/>
  <c r="AT208" i="39"/>
  <c r="AR208" i="39"/>
  <c r="AP208" i="39"/>
  <c r="BL207" i="39"/>
  <c r="BJ207" i="39"/>
  <c r="BH207" i="39"/>
  <c r="BF207" i="39"/>
  <c r="BD207" i="39"/>
  <c r="BB207" i="39"/>
  <c r="AZ207" i="39"/>
  <c r="AX207" i="39"/>
  <c r="AV207" i="39"/>
  <c r="AT207" i="39"/>
  <c r="AR207" i="39"/>
  <c r="AP207" i="39"/>
  <c r="BL206" i="39"/>
  <c r="BJ206" i="39"/>
  <c r="BH206" i="39"/>
  <c r="BF206" i="39"/>
  <c r="BD206" i="39"/>
  <c r="BB206" i="39"/>
  <c r="AZ206" i="39"/>
  <c r="AX206" i="39"/>
  <c r="AV206" i="39"/>
  <c r="AT206" i="39"/>
  <c r="AR206" i="39"/>
  <c r="AP206" i="39"/>
  <c r="H206" i="39"/>
  <c r="BL205" i="39"/>
  <c r="BJ205" i="39"/>
  <c r="BH205" i="39"/>
  <c r="BF205" i="39"/>
  <c r="BD205" i="39"/>
  <c r="BB205" i="39"/>
  <c r="AZ205" i="39"/>
  <c r="AX205" i="39"/>
  <c r="AV205" i="39"/>
  <c r="AT205" i="39"/>
  <c r="AR205" i="39"/>
  <c r="AP205" i="39"/>
  <c r="H205" i="39"/>
  <c r="BL204" i="39"/>
  <c r="BJ204" i="39"/>
  <c r="BH204" i="39"/>
  <c r="BF204" i="39"/>
  <c r="BD204" i="39"/>
  <c r="BB204" i="39"/>
  <c r="AZ204" i="39"/>
  <c r="AX204" i="39"/>
  <c r="AV204" i="39"/>
  <c r="AT204" i="39"/>
  <c r="AR204" i="39"/>
  <c r="AP204" i="39"/>
  <c r="H204" i="39"/>
  <c r="BL203" i="39"/>
  <c r="BJ203" i="39"/>
  <c r="BH203" i="39"/>
  <c r="BF203" i="39"/>
  <c r="BD203" i="39"/>
  <c r="BB203" i="39"/>
  <c r="AZ203" i="39"/>
  <c r="AX203" i="39"/>
  <c r="AV203" i="39"/>
  <c r="AT203" i="39"/>
  <c r="AR203" i="39"/>
  <c r="AP203" i="39"/>
  <c r="BL202" i="39"/>
  <c r="BJ202" i="39"/>
  <c r="BH202" i="39"/>
  <c r="BF202" i="39"/>
  <c r="BD202" i="39"/>
  <c r="BB202" i="39"/>
  <c r="AZ202" i="39"/>
  <c r="AX202" i="39"/>
  <c r="AV202" i="39"/>
  <c r="AT202" i="39"/>
  <c r="AR202" i="39"/>
  <c r="AP202" i="39"/>
  <c r="BL201" i="39"/>
  <c r="BJ201" i="39"/>
  <c r="BH201" i="39"/>
  <c r="BF201" i="39"/>
  <c r="BD201" i="39"/>
  <c r="BB201" i="39"/>
  <c r="AZ201" i="39"/>
  <c r="AX201" i="39"/>
  <c r="AV201" i="39"/>
  <c r="AT201" i="39"/>
  <c r="AR201" i="39"/>
  <c r="AP201" i="39"/>
  <c r="BL200" i="39"/>
  <c r="BJ200" i="39"/>
  <c r="BH200" i="39"/>
  <c r="BF200" i="39"/>
  <c r="BD200" i="39"/>
  <c r="BB200" i="39"/>
  <c r="AZ200" i="39"/>
  <c r="AX200" i="39"/>
  <c r="AV200" i="39"/>
  <c r="AT200" i="39"/>
  <c r="AR200" i="39"/>
  <c r="AP200" i="39"/>
  <c r="BL199" i="39"/>
  <c r="BJ199" i="39"/>
  <c r="BH199" i="39"/>
  <c r="BF199" i="39"/>
  <c r="BD199" i="39"/>
  <c r="BB199" i="39"/>
  <c r="AZ199" i="39"/>
  <c r="AX199" i="39"/>
  <c r="AV199" i="39"/>
  <c r="AT199" i="39"/>
  <c r="AR199" i="39"/>
  <c r="AP199" i="39"/>
  <c r="BL198" i="39"/>
  <c r="BJ198" i="39"/>
  <c r="BH198" i="39"/>
  <c r="BF198" i="39"/>
  <c r="BD198" i="39"/>
  <c r="BB198" i="39"/>
  <c r="AZ198" i="39"/>
  <c r="AX198" i="39"/>
  <c r="AV198" i="39"/>
  <c r="AT198" i="39"/>
  <c r="AR198" i="39"/>
  <c r="AP198" i="39"/>
  <c r="H198" i="39"/>
  <c r="BL197" i="39"/>
  <c r="BJ197" i="39"/>
  <c r="BH197" i="39"/>
  <c r="BF197" i="39"/>
  <c r="BD197" i="39"/>
  <c r="BB197" i="39"/>
  <c r="AZ197" i="39"/>
  <c r="AX197" i="39"/>
  <c r="AV197" i="39"/>
  <c r="AT197" i="39"/>
  <c r="AR197" i="39"/>
  <c r="AP197" i="39"/>
  <c r="H197" i="39"/>
  <c r="BL196" i="39"/>
  <c r="BJ196" i="39"/>
  <c r="BH196" i="39"/>
  <c r="BF196" i="39"/>
  <c r="BD196" i="39"/>
  <c r="BB196" i="39"/>
  <c r="AZ196" i="39"/>
  <c r="AX196" i="39"/>
  <c r="AV196" i="39"/>
  <c r="AT196" i="39"/>
  <c r="AR196" i="39"/>
  <c r="AP196" i="39"/>
  <c r="H196" i="39"/>
  <c r="BL195" i="39"/>
  <c r="BJ195" i="39"/>
  <c r="BH195" i="39"/>
  <c r="BF195" i="39"/>
  <c r="BD195" i="39"/>
  <c r="BB195" i="39"/>
  <c r="AZ195" i="39"/>
  <c r="AX195" i="39"/>
  <c r="AV195" i="39"/>
  <c r="AT195" i="39"/>
  <c r="AR195" i="39"/>
  <c r="AP195" i="39"/>
  <c r="H195" i="39"/>
  <c r="BL194" i="39"/>
  <c r="BJ194" i="39"/>
  <c r="BH194" i="39"/>
  <c r="BF194" i="39"/>
  <c r="BD194" i="39"/>
  <c r="BB194" i="39"/>
  <c r="AZ194" i="39"/>
  <c r="AX194" i="39"/>
  <c r="AV194" i="39"/>
  <c r="AT194" i="39"/>
  <c r="AR194" i="39"/>
  <c r="AP194" i="39"/>
  <c r="BL193" i="39"/>
  <c r="BJ193" i="39"/>
  <c r="BH193" i="39"/>
  <c r="BF193" i="39"/>
  <c r="BD193" i="39"/>
  <c r="BB193" i="39"/>
  <c r="AZ193" i="39"/>
  <c r="AX193" i="39"/>
  <c r="AV193" i="39"/>
  <c r="AT193" i="39"/>
  <c r="AR193" i="39"/>
  <c r="AP193" i="39"/>
  <c r="H193" i="39"/>
  <c r="BL192" i="39"/>
  <c r="BJ192" i="39"/>
  <c r="BH192" i="39"/>
  <c r="BF192" i="39"/>
  <c r="BD192" i="39"/>
  <c r="BB192" i="39"/>
  <c r="AZ192" i="39"/>
  <c r="AX192" i="39"/>
  <c r="AV192" i="39"/>
  <c r="AT192" i="39"/>
  <c r="AR192" i="39"/>
  <c r="AP192" i="39"/>
  <c r="BL191" i="39"/>
  <c r="BJ191" i="39"/>
  <c r="BH191" i="39"/>
  <c r="BF191" i="39"/>
  <c r="BD191" i="39"/>
  <c r="BB191" i="39"/>
  <c r="AZ191" i="39"/>
  <c r="AX191" i="39"/>
  <c r="AV191" i="39"/>
  <c r="AT191" i="39"/>
  <c r="AR191" i="39"/>
  <c r="AP191" i="39"/>
  <c r="BL190" i="39"/>
  <c r="BJ190" i="39"/>
  <c r="BH190" i="39"/>
  <c r="BF190" i="39"/>
  <c r="BD190" i="39"/>
  <c r="BB190" i="39"/>
  <c r="AZ190" i="39"/>
  <c r="AX190" i="39"/>
  <c r="AV190" i="39"/>
  <c r="AT190" i="39"/>
  <c r="AR190" i="39"/>
  <c r="AP190" i="39"/>
  <c r="BL189" i="39"/>
  <c r="BJ189" i="39"/>
  <c r="BH189" i="39"/>
  <c r="BF189" i="39"/>
  <c r="BD189" i="39"/>
  <c r="BB189" i="39"/>
  <c r="AZ189" i="39"/>
  <c r="AX189" i="39"/>
  <c r="AV189" i="39"/>
  <c r="AT189" i="39"/>
  <c r="AR189" i="39"/>
  <c r="AP189" i="39"/>
  <c r="BL188" i="39"/>
  <c r="BJ188" i="39"/>
  <c r="BH188" i="39"/>
  <c r="BF188" i="39"/>
  <c r="BD188" i="39"/>
  <c r="BB188" i="39"/>
  <c r="AZ188" i="39"/>
  <c r="AX188" i="39"/>
  <c r="AV188" i="39"/>
  <c r="AT188" i="39"/>
  <c r="AR188" i="39"/>
  <c r="AP188" i="39"/>
  <c r="BL187" i="39"/>
  <c r="BJ187" i="39"/>
  <c r="BH187" i="39"/>
  <c r="BF187" i="39"/>
  <c r="BD187" i="39"/>
  <c r="BB187" i="39"/>
  <c r="AZ187" i="39"/>
  <c r="AX187" i="39"/>
  <c r="AV187" i="39"/>
  <c r="AT187" i="39"/>
  <c r="AR187" i="39"/>
  <c r="AP187" i="39"/>
  <c r="BL186" i="39"/>
  <c r="BJ186" i="39"/>
  <c r="BH186" i="39"/>
  <c r="BF186" i="39"/>
  <c r="BD186" i="39"/>
  <c r="BB186" i="39"/>
  <c r="AZ186" i="39"/>
  <c r="AX186" i="39"/>
  <c r="AV186" i="39"/>
  <c r="AT186" i="39"/>
  <c r="AR186" i="39"/>
  <c r="AP186" i="39"/>
  <c r="BL185" i="39"/>
  <c r="BJ185" i="39"/>
  <c r="BH185" i="39"/>
  <c r="BF185" i="39"/>
  <c r="BD185" i="39"/>
  <c r="BB185" i="39"/>
  <c r="AZ185" i="39"/>
  <c r="AX185" i="39"/>
  <c r="AV185" i="39"/>
  <c r="AT185" i="39"/>
  <c r="AR185" i="39"/>
  <c r="AP185" i="39"/>
  <c r="BL184" i="39"/>
  <c r="BJ184" i="39"/>
  <c r="BH184" i="39"/>
  <c r="BF184" i="39"/>
  <c r="BD184" i="39"/>
  <c r="BB184" i="39"/>
  <c r="AZ184" i="39"/>
  <c r="AX184" i="39"/>
  <c r="AV184" i="39"/>
  <c r="AT184" i="39"/>
  <c r="AR184" i="39"/>
  <c r="AP184" i="39"/>
  <c r="BL183" i="39"/>
  <c r="BJ183" i="39"/>
  <c r="BH183" i="39"/>
  <c r="BF183" i="39"/>
  <c r="BD183" i="39"/>
  <c r="BB183" i="39"/>
  <c r="AZ183" i="39"/>
  <c r="AX183" i="39"/>
  <c r="AV183" i="39"/>
  <c r="AT183" i="39"/>
  <c r="AR183" i="39"/>
  <c r="AP183" i="39"/>
  <c r="BL182" i="39"/>
  <c r="BJ182" i="39"/>
  <c r="BH182" i="39"/>
  <c r="BF182" i="39"/>
  <c r="BD182" i="39"/>
  <c r="BB182" i="39"/>
  <c r="AZ182" i="39"/>
  <c r="AX182" i="39"/>
  <c r="AV182" i="39"/>
  <c r="AT182" i="39"/>
  <c r="AR182" i="39"/>
  <c r="AP182" i="39"/>
  <c r="BL181" i="39"/>
  <c r="BJ181" i="39"/>
  <c r="BH181" i="39"/>
  <c r="BF181" i="39"/>
  <c r="BD181" i="39"/>
  <c r="BB181" i="39"/>
  <c r="AZ181" i="39"/>
  <c r="AX181" i="39"/>
  <c r="AV181" i="39"/>
  <c r="AT181" i="39"/>
  <c r="AR181" i="39"/>
  <c r="AP181" i="39"/>
  <c r="BL180" i="39"/>
  <c r="BJ180" i="39"/>
  <c r="BH180" i="39"/>
  <c r="BF180" i="39"/>
  <c r="BD180" i="39"/>
  <c r="BB180" i="39"/>
  <c r="AZ180" i="39"/>
  <c r="AX180" i="39"/>
  <c r="AV180" i="39"/>
  <c r="AT180" i="39"/>
  <c r="AR180" i="39"/>
  <c r="AP180" i="39"/>
  <c r="BL179" i="39"/>
  <c r="BJ179" i="39"/>
  <c r="BH179" i="39"/>
  <c r="BF179" i="39"/>
  <c r="BD179" i="39"/>
  <c r="BB179" i="39"/>
  <c r="AZ179" i="39"/>
  <c r="AX179" i="39"/>
  <c r="AV179" i="39"/>
  <c r="AT179" i="39"/>
  <c r="AR179" i="39"/>
  <c r="AP179" i="39"/>
  <c r="BL178" i="39"/>
  <c r="BJ178" i="39"/>
  <c r="BH178" i="39"/>
  <c r="BF178" i="39"/>
  <c r="BD178" i="39"/>
  <c r="BB178" i="39"/>
  <c r="AZ178" i="39"/>
  <c r="AX178" i="39"/>
  <c r="AV178" i="39"/>
  <c r="AT178" i="39"/>
  <c r="AR178" i="39"/>
  <c r="AP178" i="39"/>
  <c r="BL177" i="39"/>
  <c r="BJ177" i="39"/>
  <c r="BH177" i="39"/>
  <c r="BF177" i="39"/>
  <c r="BD177" i="39"/>
  <c r="BB177" i="39"/>
  <c r="AZ177" i="39"/>
  <c r="AX177" i="39"/>
  <c r="AV177" i="39"/>
  <c r="AT177" i="39"/>
  <c r="AR177" i="39"/>
  <c r="AP177" i="39"/>
  <c r="BL176" i="39"/>
  <c r="BJ176" i="39"/>
  <c r="BH176" i="39"/>
  <c r="BF176" i="39"/>
  <c r="BD176" i="39"/>
  <c r="BB176" i="39"/>
  <c r="AZ176" i="39"/>
  <c r="AX176" i="39"/>
  <c r="AV176" i="39"/>
  <c r="AT176" i="39"/>
  <c r="AR176" i="39"/>
  <c r="AP176" i="39"/>
  <c r="BL175" i="39"/>
  <c r="BJ175" i="39"/>
  <c r="BH175" i="39"/>
  <c r="BF175" i="39"/>
  <c r="BD175" i="39"/>
  <c r="BB175" i="39"/>
  <c r="AZ175" i="39"/>
  <c r="AX175" i="39"/>
  <c r="AV175" i="39"/>
  <c r="AT175" i="39"/>
  <c r="AR175" i="39"/>
  <c r="AP175" i="39"/>
  <c r="BL174" i="39"/>
  <c r="BJ174" i="39"/>
  <c r="BH174" i="39"/>
  <c r="BF174" i="39"/>
  <c r="BD174" i="39"/>
  <c r="BB174" i="39"/>
  <c r="AZ174" i="39"/>
  <c r="AX174" i="39"/>
  <c r="AV174" i="39"/>
  <c r="AT174" i="39"/>
  <c r="AR174" i="39"/>
  <c r="AP174" i="39"/>
  <c r="BL173" i="39"/>
  <c r="BJ173" i="39"/>
  <c r="BH173" i="39"/>
  <c r="BF173" i="39"/>
  <c r="BD173" i="39"/>
  <c r="BB173" i="39"/>
  <c r="AZ173" i="39"/>
  <c r="AX173" i="39"/>
  <c r="AV173" i="39"/>
  <c r="AT173" i="39"/>
  <c r="AR173" i="39"/>
  <c r="AP173" i="39"/>
  <c r="BL172" i="39"/>
  <c r="BJ172" i="39"/>
  <c r="BH172" i="39"/>
  <c r="BF172" i="39"/>
  <c r="BD172" i="39"/>
  <c r="BB172" i="39"/>
  <c r="AZ172" i="39"/>
  <c r="AX172" i="39"/>
  <c r="AV172" i="39"/>
  <c r="AT172" i="39"/>
  <c r="AR172" i="39"/>
  <c r="AP172" i="39"/>
  <c r="BL171" i="39"/>
  <c r="BJ171" i="39"/>
  <c r="BH171" i="39"/>
  <c r="BF171" i="39"/>
  <c r="BD171" i="39"/>
  <c r="BB171" i="39"/>
  <c r="AZ171" i="39"/>
  <c r="AX171" i="39"/>
  <c r="AV171" i="39"/>
  <c r="AT171" i="39"/>
  <c r="AR171" i="39"/>
  <c r="AP171" i="39"/>
  <c r="BL170" i="39"/>
  <c r="BJ170" i="39"/>
  <c r="BH170" i="39"/>
  <c r="BF170" i="39"/>
  <c r="BD170" i="39"/>
  <c r="BB170" i="39"/>
  <c r="AZ170" i="39"/>
  <c r="AX170" i="39"/>
  <c r="AV170" i="39"/>
  <c r="AT170" i="39"/>
  <c r="AR170" i="39"/>
  <c r="AP170" i="39"/>
  <c r="BL169" i="39"/>
  <c r="BJ169" i="39"/>
  <c r="BH169" i="39"/>
  <c r="BF169" i="39"/>
  <c r="BD169" i="39"/>
  <c r="BB169" i="39"/>
  <c r="AZ169" i="39"/>
  <c r="AX169" i="39"/>
  <c r="AV169" i="39"/>
  <c r="AT169" i="39"/>
  <c r="AR169" i="39"/>
  <c r="AP169" i="39"/>
  <c r="BL168" i="39"/>
  <c r="BJ168" i="39"/>
  <c r="BH168" i="39"/>
  <c r="BF168" i="39"/>
  <c r="BD168" i="39"/>
  <c r="BB168" i="39"/>
  <c r="AZ168" i="39"/>
  <c r="AX168" i="39"/>
  <c r="AV168" i="39"/>
  <c r="AT168" i="39"/>
  <c r="AR168" i="39"/>
  <c r="AP168" i="39"/>
  <c r="BL167" i="39"/>
  <c r="BJ167" i="39"/>
  <c r="BH167" i="39"/>
  <c r="BF167" i="39"/>
  <c r="BD167" i="39"/>
  <c r="BB167" i="39"/>
  <c r="AZ167" i="39"/>
  <c r="AX167" i="39"/>
  <c r="AV167" i="39"/>
  <c r="AT167" i="39"/>
  <c r="AR167" i="39"/>
  <c r="AP167" i="39"/>
  <c r="BL166" i="39"/>
  <c r="BJ166" i="39"/>
  <c r="BH166" i="39"/>
  <c r="BF166" i="39"/>
  <c r="BD166" i="39"/>
  <c r="BB166" i="39"/>
  <c r="AZ166" i="39"/>
  <c r="AX166" i="39"/>
  <c r="AV166" i="39"/>
  <c r="AT166" i="39"/>
  <c r="AR166" i="39"/>
  <c r="AP166" i="39"/>
  <c r="BL165" i="39"/>
  <c r="BJ165" i="39"/>
  <c r="BH165" i="39"/>
  <c r="BF165" i="39"/>
  <c r="BD165" i="39"/>
  <c r="BB165" i="39"/>
  <c r="AZ165" i="39"/>
  <c r="AX165" i="39"/>
  <c r="AV165" i="39"/>
  <c r="AT165" i="39"/>
  <c r="AR165" i="39"/>
  <c r="AP165" i="39"/>
  <c r="BL164" i="39"/>
  <c r="BJ164" i="39"/>
  <c r="BH164" i="39"/>
  <c r="BF164" i="39"/>
  <c r="BD164" i="39"/>
  <c r="BB164" i="39"/>
  <c r="AZ164" i="39"/>
  <c r="AX164" i="39"/>
  <c r="AV164" i="39"/>
  <c r="AT164" i="39"/>
  <c r="AR164" i="39"/>
  <c r="AP164" i="39"/>
  <c r="BL163" i="39"/>
  <c r="BJ163" i="39"/>
  <c r="BH163" i="39"/>
  <c r="BF163" i="39"/>
  <c r="BD163" i="39"/>
  <c r="BB163" i="39"/>
  <c r="AZ163" i="39"/>
  <c r="AX163" i="39"/>
  <c r="AV163" i="39"/>
  <c r="AT163" i="39"/>
  <c r="AR163" i="39"/>
  <c r="AP163" i="39"/>
  <c r="H163" i="39"/>
  <c r="BL162" i="39"/>
  <c r="BJ162" i="39"/>
  <c r="BH162" i="39"/>
  <c r="BF162" i="39"/>
  <c r="BD162" i="39"/>
  <c r="BB162" i="39"/>
  <c r="AZ162" i="39"/>
  <c r="AX162" i="39"/>
  <c r="AV162" i="39"/>
  <c r="AT162" i="39"/>
  <c r="AR162" i="39"/>
  <c r="AP162" i="39"/>
  <c r="BL161" i="39"/>
  <c r="BJ161" i="39"/>
  <c r="BH161" i="39"/>
  <c r="BF161" i="39"/>
  <c r="BD161" i="39"/>
  <c r="BB161" i="39"/>
  <c r="AZ161" i="39"/>
  <c r="AX161" i="39"/>
  <c r="AV161" i="39"/>
  <c r="AT161" i="39"/>
  <c r="AR161" i="39"/>
  <c r="AP161" i="39"/>
  <c r="BL160" i="39"/>
  <c r="BJ160" i="39"/>
  <c r="BH160" i="39"/>
  <c r="BF160" i="39"/>
  <c r="BD160" i="39"/>
  <c r="BB160" i="39"/>
  <c r="AZ160" i="39"/>
  <c r="AX160" i="39"/>
  <c r="AV160" i="39"/>
  <c r="AT160" i="39"/>
  <c r="AR160" i="39"/>
  <c r="AP160" i="39"/>
  <c r="BL159" i="39"/>
  <c r="BJ159" i="39"/>
  <c r="BH159" i="39"/>
  <c r="BF159" i="39"/>
  <c r="BD159" i="39"/>
  <c r="BB159" i="39"/>
  <c r="AZ159" i="39"/>
  <c r="AX159" i="39"/>
  <c r="AV159" i="39"/>
  <c r="AT159" i="39"/>
  <c r="AR159" i="39"/>
  <c r="AP159" i="39"/>
  <c r="H159" i="39"/>
  <c r="BL158" i="39"/>
  <c r="BJ158" i="39"/>
  <c r="BH158" i="39"/>
  <c r="BF158" i="39"/>
  <c r="BD158" i="39"/>
  <c r="BB158" i="39"/>
  <c r="AZ158" i="39"/>
  <c r="AX158" i="39"/>
  <c r="AV158" i="39"/>
  <c r="AT158" i="39"/>
  <c r="AR158" i="39"/>
  <c r="AP158" i="39"/>
  <c r="BL157" i="39"/>
  <c r="BJ157" i="39"/>
  <c r="BH157" i="39"/>
  <c r="BF157" i="39"/>
  <c r="BD157" i="39"/>
  <c r="BB157" i="39"/>
  <c r="AZ157" i="39"/>
  <c r="AX157" i="39"/>
  <c r="AV157" i="39"/>
  <c r="AT157" i="39"/>
  <c r="AR157" i="39"/>
  <c r="AP157" i="39"/>
  <c r="BL156" i="39"/>
  <c r="BJ156" i="39"/>
  <c r="BH156" i="39"/>
  <c r="BF156" i="39"/>
  <c r="BD156" i="39"/>
  <c r="BB156" i="39"/>
  <c r="AZ156" i="39"/>
  <c r="AX156" i="39"/>
  <c r="AV156" i="39"/>
  <c r="AT156" i="39"/>
  <c r="AR156" i="39"/>
  <c r="AP156" i="39"/>
  <c r="BL155" i="39"/>
  <c r="BJ155" i="39"/>
  <c r="BH155" i="39"/>
  <c r="BF155" i="39"/>
  <c r="BD155" i="39"/>
  <c r="BB155" i="39"/>
  <c r="AZ155" i="39"/>
  <c r="AX155" i="39"/>
  <c r="AV155" i="39"/>
  <c r="AT155" i="39"/>
  <c r="AR155" i="39"/>
  <c r="AP155" i="39"/>
  <c r="BL154" i="39"/>
  <c r="BJ154" i="39"/>
  <c r="BH154" i="39"/>
  <c r="BF154" i="39"/>
  <c r="BD154" i="39"/>
  <c r="BB154" i="39"/>
  <c r="AZ154" i="39"/>
  <c r="AX154" i="39"/>
  <c r="AV154" i="39"/>
  <c r="AT154" i="39"/>
  <c r="AR154" i="39"/>
  <c r="AP154" i="39"/>
  <c r="BL153" i="39"/>
  <c r="BJ153" i="39"/>
  <c r="BH153" i="39"/>
  <c r="BF153" i="39"/>
  <c r="BD153" i="39"/>
  <c r="BB153" i="39"/>
  <c r="AZ153" i="39"/>
  <c r="AX153" i="39"/>
  <c r="AV153" i="39"/>
  <c r="AT153" i="39"/>
  <c r="AP153" i="39"/>
  <c r="BL152" i="39"/>
  <c r="BJ152" i="39"/>
  <c r="BH152" i="39"/>
  <c r="BF152" i="39"/>
  <c r="BD152" i="39"/>
  <c r="BB152" i="39"/>
  <c r="AZ152" i="39"/>
  <c r="AX152" i="39"/>
  <c r="AV152" i="39"/>
  <c r="AT152" i="39"/>
  <c r="AP152" i="39"/>
  <c r="BL151" i="39"/>
  <c r="BJ151" i="39"/>
  <c r="BH151" i="39"/>
  <c r="BF151" i="39"/>
  <c r="BD151" i="39"/>
  <c r="BB151" i="39"/>
  <c r="AZ151" i="39"/>
  <c r="AX151" i="39"/>
  <c r="AV151" i="39"/>
  <c r="AT151" i="39"/>
  <c r="AP151" i="39"/>
  <c r="BL150" i="39"/>
  <c r="BJ150" i="39"/>
  <c r="BH150" i="39"/>
  <c r="BF150" i="39"/>
  <c r="BD150" i="39"/>
  <c r="BB150" i="39"/>
  <c r="AZ150" i="39"/>
  <c r="AX150" i="39"/>
  <c r="AV150" i="39"/>
  <c r="AT150" i="39"/>
  <c r="AR150" i="39"/>
  <c r="AP150" i="39"/>
  <c r="BL149" i="39"/>
  <c r="BJ149" i="39"/>
  <c r="BH149" i="39"/>
  <c r="BF149" i="39"/>
  <c r="BD149" i="39"/>
  <c r="BB149" i="39"/>
  <c r="AZ149" i="39"/>
  <c r="AX149" i="39"/>
  <c r="AV149" i="39"/>
  <c r="AT149" i="39"/>
  <c r="AR149" i="39"/>
  <c r="AP149" i="39"/>
  <c r="BL148" i="39"/>
  <c r="BJ148" i="39"/>
  <c r="BH148" i="39"/>
  <c r="BF148" i="39"/>
  <c r="BD148" i="39"/>
  <c r="BB148" i="39"/>
  <c r="AZ148" i="39"/>
  <c r="AX148" i="39"/>
  <c r="AV148" i="39"/>
  <c r="AT148" i="39"/>
  <c r="AR148" i="39"/>
  <c r="AP148" i="39"/>
  <c r="H148" i="39"/>
  <c r="BL147" i="39"/>
  <c r="BJ147" i="39"/>
  <c r="BH147" i="39"/>
  <c r="BF147" i="39"/>
  <c r="BD147" i="39"/>
  <c r="BB147" i="39"/>
  <c r="AZ147" i="39"/>
  <c r="AX147" i="39"/>
  <c r="AV147" i="39"/>
  <c r="AT147" i="39"/>
  <c r="AR147" i="39"/>
  <c r="AP147" i="39"/>
  <c r="H147" i="39"/>
  <c r="BL146" i="39"/>
  <c r="BJ146" i="39"/>
  <c r="BH146" i="39"/>
  <c r="BF146" i="39"/>
  <c r="BD146" i="39"/>
  <c r="BB146" i="39"/>
  <c r="AZ146" i="39"/>
  <c r="AX146" i="39"/>
  <c r="AV146" i="39"/>
  <c r="AT146" i="39"/>
  <c r="AP146" i="39"/>
  <c r="BL145" i="39"/>
  <c r="BJ145" i="39"/>
  <c r="BH145" i="39"/>
  <c r="BF145" i="39"/>
  <c r="BD145" i="39"/>
  <c r="BB145" i="39"/>
  <c r="AZ145" i="39"/>
  <c r="AX145" i="39"/>
  <c r="AV145" i="39"/>
  <c r="AT145" i="39"/>
  <c r="AR145" i="39"/>
  <c r="AP145" i="39"/>
  <c r="BL144" i="39"/>
  <c r="BJ144" i="39"/>
  <c r="BH144" i="39"/>
  <c r="BF144" i="39"/>
  <c r="BD144" i="39"/>
  <c r="BB144" i="39"/>
  <c r="AZ144" i="39"/>
  <c r="AX144" i="39"/>
  <c r="AV144" i="39"/>
  <c r="AT144" i="39"/>
  <c r="AR144" i="39"/>
  <c r="AP144" i="39"/>
  <c r="BL143" i="39"/>
  <c r="BJ143" i="39"/>
  <c r="BH143" i="39"/>
  <c r="BF143" i="39"/>
  <c r="BD143" i="39"/>
  <c r="BB143" i="39"/>
  <c r="AZ143" i="39"/>
  <c r="AX143" i="39"/>
  <c r="AV143" i="39"/>
  <c r="AT143" i="39"/>
  <c r="AR143" i="39"/>
  <c r="AP143" i="39"/>
  <c r="BL142" i="39"/>
  <c r="BJ142" i="39"/>
  <c r="BH142" i="39"/>
  <c r="BF142" i="39"/>
  <c r="BD142" i="39"/>
  <c r="BB142" i="39"/>
  <c r="AZ142" i="39"/>
  <c r="AX142" i="39"/>
  <c r="AV142" i="39"/>
  <c r="AT142" i="39"/>
  <c r="AR142" i="39"/>
  <c r="AP142" i="39"/>
  <c r="BL141" i="39"/>
  <c r="BJ141" i="39"/>
  <c r="BH141" i="39"/>
  <c r="BF141" i="39"/>
  <c r="BD141" i="39"/>
  <c r="BB141" i="39"/>
  <c r="AZ141" i="39"/>
  <c r="AX141" i="39"/>
  <c r="AV141" i="39"/>
  <c r="AT141" i="39"/>
  <c r="AR141" i="39"/>
  <c r="AP141" i="39"/>
  <c r="BL140" i="39"/>
  <c r="BJ140" i="39"/>
  <c r="BH140" i="39"/>
  <c r="BF140" i="39"/>
  <c r="BD140" i="39"/>
  <c r="BB140" i="39"/>
  <c r="AZ140" i="39"/>
  <c r="AX140" i="39"/>
  <c r="AV140" i="39"/>
  <c r="AT140" i="39"/>
  <c r="AR140" i="39"/>
  <c r="AP140" i="39"/>
  <c r="BL139" i="39"/>
  <c r="BJ139" i="39"/>
  <c r="BH139" i="39"/>
  <c r="BF139" i="39"/>
  <c r="BD139" i="39"/>
  <c r="BB139" i="39"/>
  <c r="AZ139" i="39"/>
  <c r="AX139" i="39"/>
  <c r="AV139" i="39"/>
  <c r="AT139" i="39"/>
  <c r="AR139" i="39"/>
  <c r="AP139" i="39"/>
  <c r="H139" i="39"/>
  <c r="BL138" i="39"/>
  <c r="BJ138" i="39"/>
  <c r="BH138" i="39"/>
  <c r="BF138" i="39"/>
  <c r="BD138" i="39"/>
  <c r="BB138" i="39"/>
  <c r="AZ138" i="39"/>
  <c r="AX138" i="39"/>
  <c r="AV138" i="39"/>
  <c r="AT138" i="39"/>
  <c r="AR138" i="39"/>
  <c r="AP138" i="39"/>
  <c r="BL137" i="39"/>
  <c r="BJ137" i="39"/>
  <c r="BH137" i="39"/>
  <c r="BF137" i="39"/>
  <c r="BD137" i="39"/>
  <c r="BB137" i="39"/>
  <c r="AZ137" i="39"/>
  <c r="AX137" i="39"/>
  <c r="AV137" i="39"/>
  <c r="AT137" i="39"/>
  <c r="AR137" i="39"/>
  <c r="AP137" i="39"/>
  <c r="BL136" i="39"/>
  <c r="BJ136" i="39"/>
  <c r="BH136" i="39"/>
  <c r="BF136" i="39"/>
  <c r="BD136" i="39"/>
  <c r="BB136" i="39"/>
  <c r="AZ136" i="39"/>
  <c r="AX136" i="39"/>
  <c r="AV136" i="39"/>
  <c r="AT136" i="39"/>
  <c r="AR136" i="39"/>
  <c r="AP136" i="39"/>
  <c r="H136" i="39"/>
  <c r="BL135" i="39"/>
  <c r="BJ135" i="39"/>
  <c r="BH135" i="39"/>
  <c r="BF135" i="39"/>
  <c r="BD135" i="39"/>
  <c r="BB135" i="39"/>
  <c r="AZ135" i="39"/>
  <c r="AX135" i="39"/>
  <c r="AV135" i="39"/>
  <c r="AT135" i="39"/>
  <c r="AR135" i="39"/>
  <c r="AP135" i="39"/>
  <c r="BL134" i="39"/>
  <c r="BJ134" i="39"/>
  <c r="BH134" i="39"/>
  <c r="BF134" i="39"/>
  <c r="BD134" i="39"/>
  <c r="BB134" i="39"/>
  <c r="AZ134" i="39"/>
  <c r="AX134" i="39"/>
  <c r="AV134" i="39"/>
  <c r="AT134" i="39"/>
  <c r="AR134" i="39"/>
  <c r="AP134" i="39"/>
  <c r="BL133" i="39"/>
  <c r="BJ133" i="39"/>
  <c r="BH133" i="39"/>
  <c r="BF133" i="39"/>
  <c r="BD133" i="39"/>
  <c r="BB133" i="39"/>
  <c r="AZ133" i="39"/>
  <c r="AX133" i="39"/>
  <c r="AV133" i="39"/>
  <c r="AT133" i="39"/>
  <c r="AR133" i="39"/>
  <c r="AP133" i="39"/>
  <c r="BL132" i="39"/>
  <c r="BJ132" i="39"/>
  <c r="BH132" i="39"/>
  <c r="BF132" i="39"/>
  <c r="BD132" i="39"/>
  <c r="BB132" i="39"/>
  <c r="AZ132" i="39"/>
  <c r="AX132" i="39"/>
  <c r="AV132" i="39"/>
  <c r="AT132" i="39"/>
  <c r="AR132" i="39"/>
  <c r="AP132" i="39"/>
  <c r="BL131" i="39"/>
  <c r="BJ131" i="39"/>
  <c r="BH131" i="39"/>
  <c r="BF131" i="39"/>
  <c r="BD131" i="39"/>
  <c r="BB131" i="39"/>
  <c r="AZ131" i="39"/>
  <c r="AX131" i="39"/>
  <c r="AV131" i="39"/>
  <c r="AT131" i="39"/>
  <c r="AR131" i="39"/>
  <c r="AP131" i="39"/>
  <c r="BL130" i="39"/>
  <c r="BJ130" i="39"/>
  <c r="BH130" i="39"/>
  <c r="BF130" i="39"/>
  <c r="BD130" i="39"/>
  <c r="BB130" i="39"/>
  <c r="AZ130" i="39"/>
  <c r="AX130" i="39"/>
  <c r="AV130" i="39"/>
  <c r="AT130" i="39"/>
  <c r="AR130" i="39"/>
  <c r="AP130" i="39"/>
  <c r="BL129" i="39"/>
  <c r="BJ129" i="39"/>
  <c r="BH129" i="39"/>
  <c r="BF129" i="39"/>
  <c r="BD129" i="39"/>
  <c r="BB129" i="39"/>
  <c r="AZ129" i="39"/>
  <c r="AX129" i="39"/>
  <c r="AV129" i="39"/>
  <c r="AT129" i="39"/>
  <c r="AR129" i="39"/>
  <c r="AP129" i="39"/>
  <c r="BL128" i="39"/>
  <c r="BJ128" i="39"/>
  <c r="BH128" i="39"/>
  <c r="BF128" i="39"/>
  <c r="BD128" i="39"/>
  <c r="BB128" i="39"/>
  <c r="AZ128" i="39"/>
  <c r="AX128" i="39"/>
  <c r="AV128" i="39"/>
  <c r="AT128" i="39"/>
  <c r="AR128" i="39"/>
  <c r="AP128" i="39"/>
  <c r="BL127" i="39"/>
  <c r="BJ127" i="39"/>
  <c r="BH127" i="39"/>
  <c r="BF127" i="39"/>
  <c r="BD127" i="39"/>
  <c r="BB127" i="39"/>
  <c r="AZ127" i="39"/>
  <c r="AX127" i="39"/>
  <c r="AV127" i="39"/>
  <c r="AT127" i="39"/>
  <c r="AR127" i="39"/>
  <c r="AP127" i="39"/>
  <c r="BL126" i="39"/>
  <c r="BJ126" i="39"/>
  <c r="BH126" i="39"/>
  <c r="BF126" i="39"/>
  <c r="BD126" i="39"/>
  <c r="BB126" i="39"/>
  <c r="AZ126" i="39"/>
  <c r="AX126" i="39"/>
  <c r="AV126" i="39"/>
  <c r="AT126" i="39"/>
  <c r="AR126" i="39"/>
  <c r="AP126" i="39"/>
  <c r="H126" i="39"/>
  <c r="BL125" i="39"/>
  <c r="BJ125" i="39"/>
  <c r="BH125" i="39"/>
  <c r="BF125" i="39"/>
  <c r="BD125" i="39"/>
  <c r="BB125" i="39"/>
  <c r="AZ125" i="39"/>
  <c r="AX125" i="39"/>
  <c r="AV125" i="39"/>
  <c r="AT125" i="39"/>
  <c r="AR125" i="39"/>
  <c r="AP125" i="39"/>
  <c r="BL124" i="39"/>
  <c r="BJ124" i="39"/>
  <c r="BH124" i="39"/>
  <c r="BF124" i="39"/>
  <c r="BD124" i="39"/>
  <c r="BB124" i="39"/>
  <c r="AZ124" i="39"/>
  <c r="AX124" i="39"/>
  <c r="AV124" i="39"/>
  <c r="AT124" i="39"/>
  <c r="AR124" i="39"/>
  <c r="AP124" i="39"/>
  <c r="BL123" i="39"/>
  <c r="BJ123" i="39"/>
  <c r="BH123" i="39"/>
  <c r="BF123" i="39"/>
  <c r="BD123" i="39"/>
  <c r="BB123" i="39"/>
  <c r="AZ123" i="39"/>
  <c r="AX123" i="39"/>
  <c r="AV123" i="39"/>
  <c r="AT123" i="39"/>
  <c r="AR123" i="39"/>
  <c r="AP123" i="39"/>
  <c r="BL122" i="39"/>
  <c r="BJ122" i="39"/>
  <c r="BH122" i="39"/>
  <c r="BF122" i="39"/>
  <c r="BD122" i="39"/>
  <c r="BB122" i="39"/>
  <c r="AZ122" i="39"/>
  <c r="AX122" i="39"/>
  <c r="AV122" i="39"/>
  <c r="AT122" i="39"/>
  <c r="AR122" i="39"/>
  <c r="AP122" i="39"/>
  <c r="BL121" i="39"/>
  <c r="BJ121" i="39"/>
  <c r="BH121" i="39"/>
  <c r="BF121" i="39"/>
  <c r="BD121" i="39"/>
  <c r="BB121" i="39"/>
  <c r="AZ121" i="39"/>
  <c r="AX121" i="39"/>
  <c r="AV121" i="39"/>
  <c r="AT121" i="39"/>
  <c r="AR121" i="39"/>
  <c r="AP121" i="39"/>
  <c r="BL120" i="39"/>
  <c r="BJ120" i="39"/>
  <c r="BH120" i="39"/>
  <c r="BF120" i="39"/>
  <c r="BD120" i="39"/>
  <c r="BB120" i="39"/>
  <c r="AZ120" i="39"/>
  <c r="AX120" i="39"/>
  <c r="AV120" i="39"/>
  <c r="AT120" i="39"/>
  <c r="AR120" i="39"/>
  <c r="AP120" i="39"/>
  <c r="BL119" i="39"/>
  <c r="BJ119" i="39"/>
  <c r="BH119" i="39"/>
  <c r="BF119" i="39"/>
  <c r="BD119" i="39"/>
  <c r="BB119" i="39"/>
  <c r="AZ119" i="39"/>
  <c r="AX119" i="39"/>
  <c r="AV119" i="39"/>
  <c r="AT119" i="39"/>
  <c r="AR119" i="39"/>
  <c r="AP119" i="39"/>
  <c r="BL118" i="39"/>
  <c r="BJ118" i="39"/>
  <c r="BH118" i="39"/>
  <c r="BF118" i="39"/>
  <c r="BD118" i="39"/>
  <c r="BB118" i="39"/>
  <c r="AZ118" i="39"/>
  <c r="AX118" i="39"/>
  <c r="AV118" i="39"/>
  <c r="AT118" i="39"/>
  <c r="AR118" i="39"/>
  <c r="AP118" i="39"/>
  <c r="BL117" i="39"/>
  <c r="BJ117" i="39"/>
  <c r="BH117" i="39"/>
  <c r="BF117" i="39"/>
  <c r="BD117" i="39"/>
  <c r="BB117" i="39"/>
  <c r="AZ117" i="39"/>
  <c r="AX117" i="39"/>
  <c r="AV117" i="39"/>
  <c r="AT117" i="39"/>
  <c r="AR117" i="39"/>
  <c r="AP117" i="39"/>
  <c r="BL116" i="39"/>
  <c r="BJ116" i="39"/>
  <c r="BH116" i="39"/>
  <c r="BF116" i="39"/>
  <c r="BD116" i="39"/>
  <c r="BB116" i="39"/>
  <c r="AZ116" i="39"/>
  <c r="AX116" i="39"/>
  <c r="AV116" i="39"/>
  <c r="AT116" i="39"/>
  <c r="AR116" i="39"/>
  <c r="AP116" i="39"/>
  <c r="BL115" i="39"/>
  <c r="BJ115" i="39"/>
  <c r="BH115" i="39"/>
  <c r="BF115" i="39"/>
  <c r="BD115" i="39"/>
  <c r="BB115" i="39"/>
  <c r="AZ115" i="39"/>
  <c r="AX115" i="39"/>
  <c r="AV115" i="39"/>
  <c r="AT115" i="39"/>
  <c r="AR115" i="39"/>
  <c r="AP115" i="39"/>
  <c r="BL114" i="39"/>
  <c r="BJ114" i="39"/>
  <c r="BH114" i="39"/>
  <c r="BF114" i="39"/>
  <c r="BD114" i="39"/>
  <c r="BB114" i="39"/>
  <c r="AZ114" i="39"/>
  <c r="AX114" i="39"/>
  <c r="AV114" i="39"/>
  <c r="AT114" i="39"/>
  <c r="AR114" i="39"/>
  <c r="AP114" i="39"/>
  <c r="BL113" i="39"/>
  <c r="BJ113" i="39"/>
  <c r="BH113" i="39"/>
  <c r="BF113" i="39"/>
  <c r="BD113" i="39"/>
  <c r="BB113" i="39"/>
  <c r="AZ113" i="39"/>
  <c r="AX113" i="39"/>
  <c r="AV113" i="39"/>
  <c r="AT113" i="39"/>
  <c r="AR113" i="39"/>
  <c r="AP113" i="39"/>
  <c r="BL112" i="39"/>
  <c r="BJ112" i="39"/>
  <c r="BH112" i="39"/>
  <c r="BF112" i="39"/>
  <c r="BD112" i="39"/>
  <c r="BB112" i="39"/>
  <c r="AZ112" i="39"/>
  <c r="AX112" i="39"/>
  <c r="AV112" i="39"/>
  <c r="AT112" i="39"/>
  <c r="AR112" i="39"/>
  <c r="AP112" i="39"/>
  <c r="BL111" i="39"/>
  <c r="BJ111" i="39"/>
  <c r="BH111" i="39"/>
  <c r="BF111" i="39"/>
  <c r="BD111" i="39"/>
  <c r="BB111" i="39"/>
  <c r="AZ111" i="39"/>
  <c r="AX111" i="39"/>
  <c r="AV111" i="39"/>
  <c r="AT111" i="39"/>
  <c r="AR111" i="39"/>
  <c r="AP111" i="39"/>
  <c r="BL110" i="39"/>
  <c r="BJ110" i="39"/>
  <c r="BH110" i="39"/>
  <c r="BF110" i="39"/>
  <c r="BD110" i="39"/>
  <c r="BB110" i="39"/>
  <c r="AZ110" i="39"/>
  <c r="AX110" i="39"/>
  <c r="AV110" i="39"/>
  <c r="AT110" i="39"/>
  <c r="AR110" i="39"/>
  <c r="AP110" i="39"/>
  <c r="BL109" i="39"/>
  <c r="BJ109" i="39"/>
  <c r="BH109" i="39"/>
  <c r="BF109" i="39"/>
  <c r="BD109" i="39"/>
  <c r="BB109" i="39"/>
  <c r="AZ109" i="39"/>
  <c r="AX109" i="39"/>
  <c r="AV109" i="39"/>
  <c r="AT109" i="39"/>
  <c r="AR109" i="39"/>
  <c r="AP109" i="39"/>
  <c r="BL108" i="39"/>
  <c r="BJ108" i="39"/>
  <c r="BH108" i="39"/>
  <c r="BF108" i="39"/>
  <c r="BD108" i="39"/>
  <c r="BB108" i="39"/>
  <c r="AZ108" i="39"/>
  <c r="AX108" i="39"/>
  <c r="AV108" i="39"/>
  <c r="AT108" i="39"/>
  <c r="AR108" i="39"/>
  <c r="AP108" i="39"/>
  <c r="H108" i="39"/>
  <c r="BL107" i="39"/>
  <c r="BJ107" i="39"/>
  <c r="BH107" i="39"/>
  <c r="BF107" i="39"/>
  <c r="BD107" i="39"/>
  <c r="BB107" i="39"/>
  <c r="AZ107" i="39"/>
  <c r="AX107" i="39"/>
  <c r="AV107" i="39"/>
  <c r="AT107" i="39"/>
  <c r="AR107" i="39"/>
  <c r="AP107" i="39"/>
  <c r="H107" i="39"/>
  <c r="BL106" i="39"/>
  <c r="BJ106" i="39"/>
  <c r="BH106" i="39"/>
  <c r="BF106" i="39"/>
  <c r="BD106" i="39"/>
  <c r="BB106" i="39"/>
  <c r="AZ106" i="39"/>
  <c r="AX106" i="39"/>
  <c r="AV106" i="39"/>
  <c r="AT106" i="39"/>
  <c r="AR106" i="39"/>
  <c r="AP106" i="39"/>
  <c r="H106" i="39"/>
  <c r="BL105" i="39"/>
  <c r="BJ105" i="39"/>
  <c r="BH105" i="39"/>
  <c r="BF105" i="39"/>
  <c r="BD105" i="39"/>
  <c r="BB105" i="39"/>
  <c r="AZ105" i="39"/>
  <c r="AX105" i="39"/>
  <c r="AV105" i="39"/>
  <c r="AT105" i="39"/>
  <c r="AR105" i="39"/>
  <c r="AP105" i="39"/>
  <c r="BL104" i="39"/>
  <c r="BJ104" i="39"/>
  <c r="BH104" i="39"/>
  <c r="BF104" i="39"/>
  <c r="BD104" i="39"/>
  <c r="BB104" i="39"/>
  <c r="AZ104" i="39"/>
  <c r="AX104" i="39"/>
  <c r="AV104" i="39"/>
  <c r="AT104" i="39"/>
  <c r="AR104" i="39"/>
  <c r="AP104" i="39"/>
  <c r="BL103" i="39"/>
  <c r="BJ103" i="39"/>
  <c r="BH103" i="39"/>
  <c r="BF103" i="39"/>
  <c r="BD103" i="39"/>
  <c r="BB103" i="39"/>
  <c r="AZ103" i="39"/>
  <c r="AX103" i="39"/>
  <c r="AV103" i="39"/>
  <c r="AT103" i="39"/>
  <c r="AR103" i="39"/>
  <c r="AP103" i="39"/>
  <c r="BL102" i="39"/>
  <c r="BJ102" i="39"/>
  <c r="BH102" i="39"/>
  <c r="BF102" i="39"/>
  <c r="BD102" i="39"/>
  <c r="BB102" i="39"/>
  <c r="AZ102" i="39"/>
  <c r="AX102" i="39"/>
  <c r="AV102" i="39"/>
  <c r="AT102" i="39"/>
  <c r="AR102" i="39"/>
  <c r="AP102" i="39"/>
  <c r="BL101" i="39"/>
  <c r="BJ101" i="39"/>
  <c r="BH101" i="39"/>
  <c r="BF101" i="39"/>
  <c r="BD101" i="39"/>
  <c r="BB101" i="39"/>
  <c r="AZ101" i="39"/>
  <c r="AX101" i="39"/>
  <c r="AV101" i="39"/>
  <c r="AT101" i="39"/>
  <c r="AR101" i="39"/>
  <c r="AP101" i="39"/>
  <c r="BL100" i="39"/>
  <c r="BJ100" i="39"/>
  <c r="BH100" i="39"/>
  <c r="BF100" i="39"/>
  <c r="BD100" i="39"/>
  <c r="BB100" i="39"/>
  <c r="AZ100" i="39"/>
  <c r="AX100" i="39"/>
  <c r="AV100" i="39"/>
  <c r="AT100" i="39"/>
  <c r="AR100" i="39"/>
  <c r="AP100" i="39"/>
  <c r="BL99" i="39"/>
  <c r="BJ99" i="39"/>
  <c r="BH99" i="39"/>
  <c r="BF99" i="39"/>
  <c r="BD99" i="39"/>
  <c r="BB99" i="39"/>
  <c r="AZ99" i="39"/>
  <c r="AX99" i="39"/>
  <c r="AV99" i="39"/>
  <c r="AT99" i="39"/>
  <c r="AR99" i="39"/>
  <c r="AP99" i="39"/>
  <c r="BL98" i="39"/>
  <c r="BJ98" i="39"/>
  <c r="BH98" i="39"/>
  <c r="BF98" i="39"/>
  <c r="BD98" i="39"/>
  <c r="BB98" i="39"/>
  <c r="AZ98" i="39"/>
  <c r="AX98" i="39"/>
  <c r="AV98" i="39"/>
  <c r="AT98" i="39"/>
  <c r="AR98" i="39"/>
  <c r="AP98" i="39"/>
  <c r="BL97" i="39"/>
  <c r="BJ97" i="39"/>
  <c r="BH97" i="39"/>
  <c r="BF97" i="39"/>
  <c r="BD97" i="39"/>
  <c r="BB97" i="39"/>
  <c r="AZ97" i="39"/>
  <c r="AX97" i="39"/>
  <c r="AV97" i="39"/>
  <c r="AT97" i="39"/>
  <c r="AR97" i="39"/>
  <c r="AP97" i="39"/>
  <c r="BL96" i="39"/>
  <c r="BJ96" i="39"/>
  <c r="BH96" i="39"/>
  <c r="BF96" i="39"/>
  <c r="BD96" i="39"/>
  <c r="BB96" i="39"/>
  <c r="AZ96" i="39"/>
  <c r="AX96" i="39"/>
  <c r="AV96" i="39"/>
  <c r="AT96" i="39"/>
  <c r="AR96" i="39"/>
  <c r="AP96" i="39"/>
  <c r="BL95" i="39"/>
  <c r="BJ95" i="39"/>
  <c r="BH95" i="39"/>
  <c r="BF95" i="39"/>
  <c r="BD95" i="39"/>
  <c r="BB95" i="39"/>
  <c r="AZ95" i="39"/>
  <c r="AX95" i="39"/>
  <c r="AV95" i="39"/>
  <c r="AT95" i="39"/>
  <c r="AR95" i="39"/>
  <c r="AP95" i="39"/>
  <c r="BL94" i="39"/>
  <c r="BJ94" i="39"/>
  <c r="BH94" i="39"/>
  <c r="BF94" i="39"/>
  <c r="BD94" i="39"/>
  <c r="BB94" i="39"/>
  <c r="AZ94" i="39"/>
  <c r="AX94" i="39"/>
  <c r="AV94" i="39"/>
  <c r="AT94" i="39"/>
  <c r="AR94" i="39"/>
  <c r="AP94" i="39"/>
  <c r="BL93" i="39"/>
  <c r="BJ93" i="39"/>
  <c r="BH93" i="39"/>
  <c r="BF93" i="39"/>
  <c r="BD93" i="39"/>
  <c r="BB93" i="39"/>
  <c r="AZ93" i="39"/>
  <c r="AX93" i="39"/>
  <c r="AV93" i="39"/>
  <c r="AT93" i="39"/>
  <c r="AR93" i="39"/>
  <c r="AP93" i="39"/>
  <c r="BL92" i="39"/>
  <c r="BJ92" i="39"/>
  <c r="BH92" i="39"/>
  <c r="BF92" i="39"/>
  <c r="BD92" i="39"/>
  <c r="BB92" i="39"/>
  <c r="AZ92" i="39"/>
  <c r="AX92" i="39"/>
  <c r="AV92" i="39"/>
  <c r="AT92" i="39"/>
  <c r="AR92" i="39"/>
  <c r="AP92" i="39"/>
  <c r="BL91" i="39"/>
  <c r="BJ91" i="39"/>
  <c r="BH91" i="39"/>
  <c r="BF91" i="39"/>
  <c r="BD91" i="39"/>
  <c r="BB91" i="39"/>
  <c r="AZ91" i="39"/>
  <c r="AX91" i="39"/>
  <c r="AV91" i="39"/>
  <c r="AT91" i="39"/>
  <c r="AR91" i="39"/>
  <c r="AP91" i="39"/>
  <c r="BL90" i="39"/>
  <c r="BJ90" i="39"/>
  <c r="BH90" i="39"/>
  <c r="BF90" i="39"/>
  <c r="BD90" i="39"/>
  <c r="BB90" i="39"/>
  <c r="AZ90" i="39"/>
  <c r="AX90" i="39"/>
  <c r="AV90" i="39"/>
  <c r="AT90" i="39"/>
  <c r="AR90" i="39"/>
  <c r="AP90" i="39"/>
  <c r="BL89" i="39"/>
  <c r="BJ89" i="39"/>
  <c r="BH89" i="39"/>
  <c r="BF89" i="39"/>
  <c r="BD89" i="39"/>
  <c r="BB89" i="39"/>
  <c r="AZ89" i="39"/>
  <c r="AX89" i="39"/>
  <c r="AV89" i="39"/>
  <c r="AT89" i="39"/>
  <c r="AR89" i="39"/>
  <c r="AP89" i="39"/>
  <c r="H89" i="39"/>
  <c r="BL88" i="39"/>
  <c r="BJ88" i="39"/>
  <c r="BH88" i="39"/>
  <c r="BF88" i="39"/>
  <c r="BD88" i="39"/>
  <c r="BB88" i="39"/>
  <c r="AZ88" i="39"/>
  <c r="AX88" i="39"/>
  <c r="AV88" i="39"/>
  <c r="AT88" i="39"/>
  <c r="AR88" i="39"/>
  <c r="AP88" i="39"/>
  <c r="BL87" i="39"/>
  <c r="BJ87" i="39"/>
  <c r="BH87" i="39"/>
  <c r="BF87" i="39"/>
  <c r="BD87" i="39"/>
  <c r="BB87" i="39"/>
  <c r="AZ87" i="39"/>
  <c r="AX87" i="39"/>
  <c r="AV87" i="39"/>
  <c r="AT87" i="39"/>
  <c r="AR87" i="39"/>
  <c r="AP87" i="39"/>
  <c r="BL86" i="39"/>
  <c r="BJ86" i="39"/>
  <c r="BH86" i="39"/>
  <c r="BF86" i="39"/>
  <c r="BD86" i="39"/>
  <c r="BB86" i="39"/>
  <c r="AZ86" i="39"/>
  <c r="AX86" i="39"/>
  <c r="AV86" i="39"/>
  <c r="AT86" i="39"/>
  <c r="AR86" i="39"/>
  <c r="AP86" i="39"/>
  <c r="BL85" i="39"/>
  <c r="BJ85" i="39"/>
  <c r="BH85" i="39"/>
  <c r="BF85" i="39"/>
  <c r="BD85" i="39"/>
  <c r="BB85" i="39"/>
  <c r="AZ85" i="39"/>
  <c r="AX85" i="39"/>
  <c r="AV85" i="39"/>
  <c r="AT85" i="39"/>
  <c r="AR85" i="39"/>
  <c r="AP85" i="39"/>
  <c r="BL84" i="39"/>
  <c r="BJ84" i="39"/>
  <c r="BH84" i="39"/>
  <c r="BF84" i="39"/>
  <c r="BD84" i="39"/>
  <c r="BB84" i="39"/>
  <c r="AZ84" i="39"/>
  <c r="AX84" i="39"/>
  <c r="AV84" i="39"/>
  <c r="AT84" i="39"/>
  <c r="AR84" i="39"/>
  <c r="AP84" i="39"/>
  <c r="BL83" i="39"/>
  <c r="BJ83" i="39"/>
  <c r="BH83" i="39"/>
  <c r="BF83" i="39"/>
  <c r="BD83" i="39"/>
  <c r="BB83" i="39"/>
  <c r="AZ83" i="39"/>
  <c r="AX83" i="39"/>
  <c r="AV83" i="39"/>
  <c r="AT83" i="39"/>
  <c r="AR83" i="39"/>
  <c r="AP83" i="39"/>
  <c r="BL82" i="39"/>
  <c r="BJ82" i="39"/>
  <c r="BH82" i="39"/>
  <c r="BF82" i="39"/>
  <c r="BD82" i="39"/>
  <c r="BB82" i="39"/>
  <c r="AZ82" i="39"/>
  <c r="AX82" i="39"/>
  <c r="AV82" i="39"/>
  <c r="AT82" i="39"/>
  <c r="AR82" i="39"/>
  <c r="AP82" i="39"/>
  <c r="BL81" i="39"/>
  <c r="BJ81" i="39"/>
  <c r="BH81" i="39"/>
  <c r="BF81" i="39"/>
  <c r="BD81" i="39"/>
  <c r="BB81" i="39"/>
  <c r="AZ81" i="39"/>
  <c r="AX81" i="39"/>
  <c r="AV81" i="39"/>
  <c r="AT81" i="39"/>
  <c r="AR81" i="39"/>
  <c r="AP81" i="39"/>
  <c r="BL80" i="39"/>
  <c r="BJ80" i="39"/>
  <c r="BH80" i="39"/>
  <c r="BF80" i="39"/>
  <c r="BD80" i="39"/>
  <c r="BB80" i="39"/>
  <c r="AZ80" i="39"/>
  <c r="AX80" i="39"/>
  <c r="AV80" i="39"/>
  <c r="AT80" i="39"/>
  <c r="AR80" i="39"/>
  <c r="AP80" i="39"/>
  <c r="BL79" i="39"/>
  <c r="BJ79" i="39"/>
  <c r="BH79" i="39"/>
  <c r="BF79" i="39"/>
  <c r="BD79" i="39"/>
  <c r="BB79" i="39"/>
  <c r="AZ79" i="39"/>
  <c r="AX79" i="39"/>
  <c r="AV79" i="39"/>
  <c r="AT79" i="39"/>
  <c r="AR79" i="39"/>
  <c r="AP79" i="39"/>
  <c r="BL78" i="39"/>
  <c r="BJ78" i="39"/>
  <c r="BH78" i="39"/>
  <c r="BF78" i="39"/>
  <c r="BD78" i="39"/>
  <c r="BB78" i="39"/>
  <c r="AZ78" i="39"/>
  <c r="AX78" i="39"/>
  <c r="AV78" i="39"/>
  <c r="AT78" i="39"/>
  <c r="AR78" i="39"/>
  <c r="AP78" i="39"/>
  <c r="H78" i="39"/>
  <c r="BL77" i="39"/>
  <c r="BJ77" i="39"/>
  <c r="BH77" i="39"/>
  <c r="BF77" i="39"/>
  <c r="BD77" i="39"/>
  <c r="BB77" i="39"/>
  <c r="AZ77" i="39"/>
  <c r="AX77" i="39"/>
  <c r="AV77" i="39"/>
  <c r="AT77" i="39"/>
  <c r="AR77" i="39"/>
  <c r="AP77" i="39"/>
  <c r="BL76" i="39"/>
  <c r="BJ76" i="39"/>
  <c r="BH76" i="39"/>
  <c r="BF76" i="39"/>
  <c r="BD76" i="39"/>
  <c r="BB76" i="39"/>
  <c r="AZ76" i="39"/>
  <c r="AX76" i="39"/>
  <c r="AV76" i="39"/>
  <c r="AT76" i="39"/>
  <c r="AR76" i="39"/>
  <c r="AP76" i="39"/>
  <c r="BL75" i="39"/>
  <c r="BJ75" i="39"/>
  <c r="BH75" i="39"/>
  <c r="BF75" i="39"/>
  <c r="BD75" i="39"/>
  <c r="BB75" i="39"/>
  <c r="AZ75" i="39"/>
  <c r="AX75" i="39"/>
  <c r="AV75" i="39"/>
  <c r="AT75" i="39"/>
  <c r="AR75" i="39"/>
  <c r="AP75" i="39"/>
  <c r="BL74" i="39"/>
  <c r="BJ74" i="39"/>
  <c r="BH74" i="39"/>
  <c r="BF74" i="39"/>
  <c r="BD74" i="39"/>
  <c r="BB74" i="39"/>
  <c r="AZ74" i="39"/>
  <c r="AX74" i="39"/>
  <c r="AV74" i="39"/>
  <c r="AT74" i="39"/>
  <c r="AR74" i="39"/>
  <c r="AP74" i="39"/>
  <c r="BL73" i="39"/>
  <c r="BJ73" i="39"/>
  <c r="BH73" i="39"/>
  <c r="BF73" i="39"/>
  <c r="BD73" i="39"/>
  <c r="BB73" i="39"/>
  <c r="AZ73" i="39"/>
  <c r="AX73" i="39"/>
  <c r="AV73" i="39"/>
  <c r="AT73" i="39"/>
  <c r="AR73" i="39"/>
  <c r="AP73" i="39"/>
  <c r="BL72" i="39"/>
  <c r="BJ72" i="39"/>
  <c r="BH72" i="39"/>
  <c r="BF72" i="39"/>
  <c r="BD72" i="39"/>
  <c r="BB72" i="39"/>
  <c r="AZ72" i="39"/>
  <c r="AX72" i="39"/>
  <c r="AV72" i="39"/>
  <c r="AT72" i="39"/>
  <c r="AR72" i="39"/>
  <c r="AP72" i="39"/>
  <c r="BL71" i="39"/>
  <c r="BJ71" i="39"/>
  <c r="BH71" i="39"/>
  <c r="BF71" i="39"/>
  <c r="BD71" i="39"/>
  <c r="BB71" i="39"/>
  <c r="AZ71" i="39"/>
  <c r="AX71" i="39"/>
  <c r="AV71" i="39"/>
  <c r="AT71" i="39"/>
  <c r="AR71" i="39"/>
  <c r="AP71" i="39"/>
  <c r="BL70" i="39"/>
  <c r="BJ70" i="39"/>
  <c r="BH70" i="39"/>
  <c r="BF70" i="39"/>
  <c r="BD70" i="39"/>
  <c r="BB70" i="39"/>
  <c r="AZ70" i="39"/>
  <c r="AX70" i="39"/>
  <c r="AV70" i="39"/>
  <c r="AT70" i="39"/>
  <c r="AR70" i="39"/>
  <c r="AP70" i="39"/>
  <c r="BL69" i="39"/>
  <c r="BJ69" i="39"/>
  <c r="BH69" i="39"/>
  <c r="BF69" i="39"/>
  <c r="BD69" i="39"/>
  <c r="BB69" i="39"/>
  <c r="AZ69" i="39"/>
  <c r="AX69" i="39"/>
  <c r="AV69" i="39"/>
  <c r="AT69" i="39"/>
  <c r="AR69" i="39"/>
  <c r="AP69" i="39"/>
  <c r="BL68" i="39"/>
  <c r="BJ68" i="39"/>
  <c r="BH68" i="39"/>
  <c r="BF68" i="39"/>
  <c r="BD68" i="39"/>
  <c r="BB68" i="39"/>
  <c r="AZ68" i="39"/>
  <c r="AX68" i="39"/>
  <c r="AV68" i="39"/>
  <c r="AT68" i="39"/>
  <c r="AR68" i="39"/>
  <c r="AP68" i="39"/>
  <c r="BL67" i="39"/>
  <c r="BJ67" i="39"/>
  <c r="BH67" i="39"/>
  <c r="BF67" i="39"/>
  <c r="BD67" i="39"/>
  <c r="BB67" i="39"/>
  <c r="AZ67" i="39"/>
  <c r="AX67" i="39"/>
  <c r="AV67" i="39"/>
  <c r="AT67" i="39"/>
  <c r="AR67" i="39"/>
  <c r="AP67" i="39"/>
  <c r="H67" i="39"/>
  <c r="BL66" i="39"/>
  <c r="BJ66" i="39"/>
  <c r="BH66" i="39"/>
  <c r="BF66" i="39"/>
  <c r="BD66" i="39"/>
  <c r="BB66" i="39"/>
  <c r="AZ66" i="39"/>
  <c r="AX66" i="39"/>
  <c r="AV66" i="39"/>
  <c r="AT66" i="39"/>
  <c r="AR66" i="39"/>
  <c r="AP66" i="39"/>
  <c r="H66" i="39"/>
  <c r="BL65" i="39"/>
  <c r="BJ65" i="39"/>
  <c r="BH65" i="39"/>
  <c r="BF65" i="39"/>
  <c r="BD65" i="39"/>
  <c r="BB65" i="39"/>
  <c r="AZ65" i="39"/>
  <c r="AX65" i="39"/>
  <c r="AV65" i="39"/>
  <c r="AT65" i="39"/>
  <c r="AR65" i="39"/>
  <c r="AP65" i="39"/>
  <c r="H65" i="39"/>
  <c r="BL64" i="39"/>
  <c r="BJ64" i="39"/>
  <c r="BH64" i="39"/>
  <c r="BF64" i="39"/>
  <c r="BD64" i="39"/>
  <c r="BB64" i="39"/>
  <c r="AZ64" i="39"/>
  <c r="AX64" i="39"/>
  <c r="AV64" i="39"/>
  <c r="AT64" i="39"/>
  <c r="AR64" i="39"/>
  <c r="AP64" i="39"/>
  <c r="BL63" i="39"/>
  <c r="BJ63" i="39"/>
  <c r="BH63" i="39"/>
  <c r="BF63" i="39"/>
  <c r="BD63" i="39"/>
  <c r="BB63" i="39"/>
  <c r="AZ63" i="39"/>
  <c r="AX63" i="39"/>
  <c r="AV63" i="39"/>
  <c r="AT63" i="39"/>
  <c r="AR63" i="39"/>
  <c r="AP63" i="39"/>
  <c r="BL62" i="39"/>
  <c r="BJ62" i="39"/>
  <c r="BH62" i="39"/>
  <c r="BF62" i="39"/>
  <c r="BD62" i="39"/>
  <c r="BB62" i="39"/>
  <c r="AZ62" i="39"/>
  <c r="AX62" i="39"/>
  <c r="AV62" i="39"/>
  <c r="AT62" i="39"/>
  <c r="AR62" i="39"/>
  <c r="AP62" i="39"/>
  <c r="BL61" i="39"/>
  <c r="BJ61" i="39"/>
  <c r="BH61" i="39"/>
  <c r="BF61" i="39"/>
  <c r="BD61" i="39"/>
  <c r="BB61" i="39"/>
  <c r="AZ61" i="39"/>
  <c r="AX61" i="39"/>
  <c r="AV61" i="39"/>
  <c r="AT61" i="39"/>
  <c r="AR61" i="39"/>
  <c r="AP61" i="39"/>
  <c r="BL60" i="39"/>
  <c r="BJ60" i="39"/>
  <c r="BH60" i="39"/>
  <c r="BF60" i="39"/>
  <c r="BD60" i="39"/>
  <c r="BB60" i="39"/>
  <c r="AZ60" i="39"/>
  <c r="AX60" i="39"/>
  <c r="AV60" i="39"/>
  <c r="AT60" i="39"/>
  <c r="AR60" i="39"/>
  <c r="AP60" i="39"/>
  <c r="H60" i="39"/>
  <c r="BL59" i="39"/>
  <c r="BJ59" i="39"/>
  <c r="BH59" i="39"/>
  <c r="BF59" i="39"/>
  <c r="BD59" i="39"/>
  <c r="BB59" i="39"/>
  <c r="AZ59" i="39"/>
  <c r="AX59" i="39"/>
  <c r="AV59" i="39"/>
  <c r="AT59" i="39"/>
  <c r="AR59" i="39"/>
  <c r="AP59" i="39"/>
  <c r="BL58" i="39"/>
  <c r="BJ58" i="39"/>
  <c r="BH58" i="39"/>
  <c r="BF58" i="39"/>
  <c r="BD58" i="39"/>
  <c r="BB58" i="39"/>
  <c r="AZ58" i="39"/>
  <c r="AX58" i="39"/>
  <c r="AV58" i="39"/>
  <c r="AT58" i="39"/>
  <c r="AR58" i="39"/>
  <c r="AP58" i="39"/>
  <c r="BL57" i="39"/>
  <c r="BJ57" i="39"/>
  <c r="BH57" i="39"/>
  <c r="BF57" i="39"/>
  <c r="BD57" i="39"/>
  <c r="BB57" i="39"/>
  <c r="AZ57" i="39"/>
  <c r="AX57" i="39"/>
  <c r="AV57" i="39"/>
  <c r="AT57" i="39"/>
  <c r="AR57" i="39"/>
  <c r="AP57" i="39"/>
  <c r="H57" i="39"/>
  <c r="BL56" i="39"/>
  <c r="BJ56" i="39"/>
  <c r="BH56" i="39"/>
  <c r="BF56" i="39"/>
  <c r="BD56" i="39"/>
  <c r="BB56" i="39"/>
  <c r="AZ56" i="39"/>
  <c r="AX56" i="39"/>
  <c r="AV56" i="39"/>
  <c r="AT56" i="39"/>
  <c r="AR56" i="39"/>
  <c r="AP56" i="39"/>
  <c r="BL55" i="39"/>
  <c r="BJ55" i="39"/>
  <c r="BH55" i="39"/>
  <c r="BF55" i="39"/>
  <c r="BD55" i="39"/>
  <c r="BB55" i="39"/>
  <c r="AZ55" i="39"/>
  <c r="AX55" i="39"/>
  <c r="AV55" i="39"/>
  <c r="AT55" i="39"/>
  <c r="AR55" i="39"/>
  <c r="AP55" i="39"/>
  <c r="BL54" i="39"/>
  <c r="BJ54" i="39"/>
  <c r="BH54" i="39"/>
  <c r="BF54" i="39"/>
  <c r="BD54" i="39"/>
  <c r="BB54" i="39"/>
  <c r="AZ54" i="39"/>
  <c r="AX54" i="39"/>
  <c r="AV54" i="39"/>
  <c r="AT54" i="39"/>
  <c r="AR54" i="39"/>
  <c r="AP54" i="39"/>
  <c r="BL53" i="39"/>
  <c r="BJ53" i="39"/>
  <c r="BH53" i="39"/>
  <c r="BF53" i="39"/>
  <c r="BD53" i="39"/>
  <c r="BB53" i="39"/>
  <c r="AZ53" i="39"/>
  <c r="AX53" i="39"/>
  <c r="AV53" i="39"/>
  <c r="AT53" i="39"/>
  <c r="AR53" i="39"/>
  <c r="AP53" i="39"/>
  <c r="BL52" i="39"/>
  <c r="BJ52" i="39"/>
  <c r="BH52" i="39"/>
  <c r="BF52" i="39"/>
  <c r="BD52" i="39"/>
  <c r="BB52" i="39"/>
  <c r="AZ52" i="39"/>
  <c r="AX52" i="39"/>
  <c r="AV52" i="39"/>
  <c r="AT52" i="39"/>
  <c r="AR52" i="39"/>
  <c r="AP52" i="39"/>
  <c r="BL51" i="39"/>
  <c r="BJ51" i="39"/>
  <c r="BH51" i="39"/>
  <c r="BF51" i="39"/>
  <c r="BD51" i="39"/>
  <c r="BB51" i="39"/>
  <c r="AZ51" i="39"/>
  <c r="AX51" i="39"/>
  <c r="AV51" i="39"/>
  <c r="AT51" i="39"/>
  <c r="AR51" i="39"/>
  <c r="AP51" i="39"/>
  <c r="BL50" i="39"/>
  <c r="BJ50" i="39"/>
  <c r="BH50" i="39"/>
  <c r="BF50" i="39"/>
  <c r="BD50" i="39"/>
  <c r="BB50" i="39"/>
  <c r="AZ50" i="39"/>
  <c r="AX50" i="39"/>
  <c r="AV50" i="39"/>
  <c r="AT50" i="39"/>
  <c r="AR50" i="39"/>
  <c r="AP50" i="39"/>
  <c r="BL49" i="39"/>
  <c r="BJ49" i="39"/>
  <c r="BH49" i="39"/>
  <c r="BF49" i="39"/>
  <c r="BD49" i="39"/>
  <c r="BB49" i="39"/>
  <c r="AZ49" i="39"/>
  <c r="AX49" i="39"/>
  <c r="AV49" i="39"/>
  <c r="AT49" i="39"/>
  <c r="AR49" i="39"/>
  <c r="AP49" i="39"/>
  <c r="BL48" i="39"/>
  <c r="BJ48" i="39"/>
  <c r="BH48" i="39"/>
  <c r="BF48" i="39"/>
  <c r="BD48" i="39"/>
  <c r="BB48" i="39"/>
  <c r="AZ48" i="39"/>
  <c r="AX48" i="39"/>
  <c r="AV48" i="39"/>
  <c r="AT48" i="39"/>
  <c r="AR48" i="39"/>
  <c r="AP48" i="39"/>
  <c r="BL47" i="39"/>
  <c r="BJ47" i="39"/>
  <c r="BH47" i="39"/>
  <c r="BF47" i="39"/>
  <c r="BD47" i="39"/>
  <c r="BB47" i="39"/>
  <c r="AZ47" i="39"/>
  <c r="AX47" i="39"/>
  <c r="AV47" i="39"/>
  <c r="AT47" i="39"/>
  <c r="AR47" i="39"/>
  <c r="AP47" i="39"/>
  <c r="BL46" i="39"/>
  <c r="BJ46" i="39"/>
  <c r="BH46" i="39"/>
  <c r="BF46" i="39"/>
  <c r="BD46" i="39"/>
  <c r="BB46" i="39"/>
  <c r="AZ46" i="39"/>
  <c r="AX46" i="39"/>
  <c r="AV46" i="39"/>
  <c r="AT46" i="39"/>
  <c r="AR46" i="39"/>
  <c r="AP46" i="39"/>
  <c r="BL45" i="39"/>
  <c r="BJ45" i="39"/>
  <c r="BH45" i="39"/>
  <c r="BF45" i="39"/>
  <c r="BD45" i="39"/>
  <c r="BB45" i="39"/>
  <c r="AZ45" i="39"/>
  <c r="AX45" i="39"/>
  <c r="AV45" i="39"/>
  <c r="AT45" i="39"/>
  <c r="AR45" i="39"/>
  <c r="AP45" i="39"/>
  <c r="BL44" i="39"/>
  <c r="BJ44" i="39"/>
  <c r="BH44" i="39"/>
  <c r="BF44" i="39"/>
  <c r="BD44" i="39"/>
  <c r="BB44" i="39"/>
  <c r="AZ44" i="39"/>
  <c r="AX44" i="39"/>
  <c r="AV44" i="39"/>
  <c r="AT44" i="39"/>
  <c r="AR44" i="39"/>
  <c r="AP44" i="39"/>
  <c r="BL43" i="39"/>
  <c r="BJ43" i="39"/>
  <c r="BH43" i="39"/>
  <c r="BF43" i="39"/>
  <c r="BD43" i="39"/>
  <c r="BB43" i="39"/>
  <c r="AZ43" i="39"/>
  <c r="AX43" i="39"/>
  <c r="AV43" i="39"/>
  <c r="AT43" i="39"/>
  <c r="AR43" i="39"/>
  <c r="AP43" i="39"/>
  <c r="BL42" i="39"/>
  <c r="BJ42" i="39"/>
  <c r="BH42" i="39"/>
  <c r="BF42" i="39"/>
  <c r="BD42" i="39"/>
  <c r="BB42" i="39"/>
  <c r="AZ42" i="39"/>
  <c r="AX42" i="39"/>
  <c r="AV42" i="39"/>
  <c r="AT42" i="39"/>
  <c r="AR42" i="39"/>
  <c r="AP42" i="39"/>
  <c r="BL41" i="39"/>
  <c r="BJ41" i="39"/>
  <c r="BH41" i="39"/>
  <c r="BF41" i="39"/>
  <c r="BD41" i="39"/>
  <c r="BB41" i="39"/>
  <c r="AZ41" i="39"/>
  <c r="AX41" i="39"/>
  <c r="AV41" i="39"/>
  <c r="AT41" i="39"/>
  <c r="AR41" i="39"/>
  <c r="AP41" i="39"/>
  <c r="BL40" i="39"/>
  <c r="BJ40" i="39"/>
  <c r="BH40" i="39"/>
  <c r="BF40" i="39"/>
  <c r="BD40" i="39"/>
  <c r="BB40" i="39"/>
  <c r="AZ40" i="39"/>
  <c r="AX40" i="39"/>
  <c r="AV40" i="39"/>
  <c r="AT40" i="39"/>
  <c r="AR40" i="39"/>
  <c r="AP40" i="39"/>
  <c r="BL39" i="39"/>
  <c r="BJ39" i="39"/>
  <c r="BH39" i="39"/>
  <c r="BF39" i="39"/>
  <c r="BD39" i="39"/>
  <c r="BB39" i="39"/>
  <c r="AZ39" i="39"/>
  <c r="AX39" i="39"/>
  <c r="AV39" i="39"/>
  <c r="AT39" i="39"/>
  <c r="AR39" i="39"/>
  <c r="AP39" i="39"/>
  <c r="BL38" i="39"/>
  <c r="BJ38" i="39"/>
  <c r="BH38" i="39"/>
  <c r="BF38" i="39"/>
  <c r="BD38" i="39"/>
  <c r="BB38" i="39"/>
  <c r="AZ38" i="39"/>
  <c r="AX38" i="39"/>
  <c r="AV38" i="39"/>
  <c r="AT38" i="39"/>
  <c r="AR38" i="39"/>
  <c r="AP38" i="39"/>
  <c r="BL37" i="39"/>
  <c r="BJ37" i="39"/>
  <c r="BH37" i="39"/>
  <c r="BF37" i="39"/>
  <c r="BD37" i="39"/>
  <c r="BB37" i="39"/>
  <c r="AZ37" i="39"/>
  <c r="AX37" i="39"/>
  <c r="AV37" i="39"/>
  <c r="AT37" i="39"/>
  <c r="AR37" i="39"/>
  <c r="AP37" i="39"/>
  <c r="BL36" i="39"/>
  <c r="BJ36" i="39"/>
  <c r="BH36" i="39"/>
  <c r="BF36" i="39"/>
  <c r="BD36" i="39"/>
  <c r="BB36" i="39"/>
  <c r="AZ36" i="39"/>
  <c r="AX36" i="39"/>
  <c r="AV36" i="39"/>
  <c r="AT36" i="39"/>
  <c r="AR36" i="39"/>
  <c r="AP36" i="39"/>
  <c r="BL35" i="39"/>
  <c r="BJ35" i="39"/>
  <c r="BH35" i="39"/>
  <c r="BF35" i="39"/>
  <c r="BD35" i="39"/>
  <c r="BB35" i="39"/>
  <c r="AZ35" i="39"/>
  <c r="AX35" i="39"/>
  <c r="AV35" i="39"/>
  <c r="AT35" i="39"/>
  <c r="AR35" i="39"/>
  <c r="AP35" i="39"/>
  <c r="BL34" i="39"/>
  <c r="BJ34" i="39"/>
  <c r="BH34" i="39"/>
  <c r="BF34" i="39"/>
  <c r="BD34" i="39"/>
  <c r="BB34" i="39"/>
  <c r="AZ34" i="39"/>
  <c r="AX34" i="39"/>
  <c r="AV34" i="39"/>
  <c r="AT34" i="39"/>
  <c r="AR34" i="39"/>
  <c r="AP34" i="39"/>
  <c r="BL33" i="39"/>
  <c r="BJ33" i="39"/>
  <c r="BH33" i="39"/>
  <c r="BF33" i="39"/>
  <c r="BD33" i="39"/>
  <c r="BB33" i="39"/>
  <c r="AZ33" i="39"/>
  <c r="AX33" i="39"/>
  <c r="AV33" i="39"/>
  <c r="AT33" i="39"/>
  <c r="AR33" i="39"/>
  <c r="AP33" i="39"/>
  <c r="BL32" i="39"/>
  <c r="BJ32" i="39"/>
  <c r="BH32" i="39"/>
  <c r="BF32" i="39"/>
  <c r="BD32" i="39"/>
  <c r="BB32" i="39"/>
  <c r="AZ32" i="39"/>
  <c r="AX32" i="39"/>
  <c r="AV32" i="39"/>
  <c r="AT32" i="39"/>
  <c r="AR32" i="39"/>
  <c r="AP32" i="39"/>
  <c r="BL31" i="39"/>
  <c r="BJ31" i="39"/>
  <c r="BH31" i="39"/>
  <c r="BF31" i="39"/>
  <c r="BD31" i="39"/>
  <c r="BB31" i="39"/>
  <c r="AZ31" i="39"/>
  <c r="AX31" i="39"/>
  <c r="AV31" i="39"/>
  <c r="AT31" i="39"/>
  <c r="AR31" i="39"/>
  <c r="AP31" i="39"/>
  <c r="BL30" i="39"/>
  <c r="BJ30" i="39"/>
  <c r="BH30" i="39"/>
  <c r="BF30" i="39"/>
  <c r="BD30" i="39"/>
  <c r="BB30" i="39"/>
  <c r="AZ30" i="39"/>
  <c r="AX30" i="39"/>
  <c r="AV30" i="39"/>
  <c r="AT30" i="39"/>
  <c r="AR30" i="39"/>
  <c r="AP30" i="39"/>
  <c r="BL29" i="39"/>
  <c r="BJ29" i="39"/>
  <c r="BH29" i="39"/>
  <c r="BF29" i="39"/>
  <c r="BD29" i="39"/>
  <c r="BB29" i="39"/>
  <c r="AZ29" i="39"/>
  <c r="AX29" i="39"/>
  <c r="AV29" i="39"/>
  <c r="AT29" i="39"/>
  <c r="AR29" i="39"/>
  <c r="AP29" i="39"/>
  <c r="BL28" i="39"/>
  <c r="BJ28" i="39"/>
  <c r="BH28" i="39"/>
  <c r="BF28" i="39"/>
  <c r="BD28" i="39"/>
  <c r="BB28" i="39"/>
  <c r="AZ28" i="39"/>
  <c r="AX28" i="39"/>
  <c r="AV28" i="39"/>
  <c r="AT28" i="39"/>
  <c r="AR28" i="39"/>
  <c r="AP28" i="39"/>
  <c r="BL27" i="39"/>
  <c r="BJ27" i="39"/>
  <c r="BH27" i="39"/>
  <c r="BF27" i="39"/>
  <c r="BD27" i="39"/>
  <c r="BB27" i="39"/>
  <c r="AZ27" i="39"/>
  <c r="AX27" i="39"/>
  <c r="AV27" i="39"/>
  <c r="AT27" i="39"/>
  <c r="AR27" i="39"/>
  <c r="AP27" i="39"/>
  <c r="BL26" i="39"/>
  <c r="BJ26" i="39"/>
  <c r="BH26" i="39"/>
  <c r="BF26" i="39"/>
  <c r="BD26" i="39"/>
  <c r="BB26" i="39"/>
  <c r="AZ26" i="39"/>
  <c r="AX26" i="39"/>
  <c r="AV26" i="39"/>
  <c r="AT26" i="39"/>
  <c r="AR26" i="39"/>
  <c r="AP26" i="39"/>
  <c r="BL25" i="39"/>
  <c r="BJ25" i="39"/>
  <c r="BH25" i="39"/>
  <c r="BF25" i="39"/>
  <c r="BD25" i="39"/>
  <c r="BB25" i="39"/>
  <c r="AZ25" i="39"/>
  <c r="AX25" i="39"/>
  <c r="AV25" i="39"/>
  <c r="AT25" i="39"/>
  <c r="AR25" i="39"/>
  <c r="AP25" i="39"/>
  <c r="BL24" i="39"/>
  <c r="BJ24" i="39"/>
  <c r="BH24" i="39"/>
  <c r="BF24" i="39"/>
  <c r="BD24" i="39"/>
  <c r="BB24" i="39"/>
  <c r="AZ24" i="39"/>
  <c r="AX24" i="39"/>
  <c r="AV24" i="39"/>
  <c r="AT24" i="39"/>
  <c r="AR24" i="39"/>
  <c r="AP24" i="39"/>
  <c r="BL23" i="39"/>
  <c r="BJ23" i="39"/>
  <c r="BH23" i="39"/>
  <c r="BF23" i="39"/>
  <c r="BD23" i="39"/>
  <c r="BB23" i="39"/>
  <c r="AZ23" i="39"/>
  <c r="AX23" i="39"/>
  <c r="AV23" i="39"/>
  <c r="AT23" i="39"/>
  <c r="AR23" i="39"/>
  <c r="AP23" i="39"/>
  <c r="BL22" i="39"/>
  <c r="BJ22" i="39"/>
  <c r="BH22" i="39"/>
  <c r="BF22" i="39"/>
  <c r="BD22" i="39"/>
  <c r="BB22" i="39"/>
  <c r="AZ22" i="39"/>
  <c r="AX22" i="39"/>
  <c r="AV22" i="39"/>
  <c r="AT22" i="39"/>
  <c r="AR22" i="39"/>
  <c r="AP22" i="39"/>
  <c r="BL21" i="39"/>
  <c r="BJ21" i="39"/>
  <c r="BH21" i="39"/>
  <c r="BF21" i="39"/>
  <c r="BD21" i="39"/>
  <c r="BB21" i="39"/>
  <c r="AZ21" i="39"/>
  <c r="AX21" i="39"/>
  <c r="AV21" i="39"/>
  <c r="AT21" i="39"/>
  <c r="AR21" i="39"/>
  <c r="AP21" i="39"/>
  <c r="BL20" i="39"/>
  <c r="BJ20" i="39"/>
  <c r="BH20" i="39"/>
  <c r="BF20" i="39"/>
  <c r="BD20" i="39"/>
  <c r="BB20" i="39"/>
  <c r="AZ20" i="39"/>
  <c r="AX20" i="39"/>
  <c r="AV20" i="39"/>
  <c r="AT20" i="39"/>
  <c r="AR20" i="39"/>
  <c r="AP20" i="39"/>
  <c r="BL19" i="39"/>
  <c r="BJ19" i="39"/>
  <c r="BH19" i="39"/>
  <c r="BF19" i="39"/>
  <c r="BD19" i="39"/>
  <c r="BB19" i="39"/>
  <c r="AZ19" i="39"/>
  <c r="AX19" i="39"/>
  <c r="AV19" i="39"/>
  <c r="AT19" i="39"/>
  <c r="AR19" i="39"/>
  <c r="AP19" i="39"/>
  <c r="BL18" i="39"/>
  <c r="BJ18" i="39"/>
  <c r="BH18" i="39"/>
  <c r="BF18" i="39"/>
  <c r="BD18" i="39"/>
  <c r="BB18" i="39"/>
  <c r="AZ18" i="39"/>
  <c r="AX18" i="39"/>
  <c r="AV18" i="39"/>
  <c r="AT18" i="39"/>
  <c r="AR18" i="39"/>
  <c r="AP18" i="39"/>
  <c r="BL17" i="39"/>
  <c r="BJ17" i="39"/>
  <c r="BH17" i="39"/>
  <c r="BF17" i="39"/>
  <c r="BD17" i="39"/>
  <c r="BB17" i="39"/>
  <c r="AZ17" i="39"/>
  <c r="AX17" i="39"/>
  <c r="AV17" i="39"/>
  <c r="AT17" i="39"/>
  <c r="AR17" i="39"/>
  <c r="AP17" i="39"/>
  <c r="BL16" i="39"/>
  <c r="BJ16" i="39"/>
  <c r="BH16" i="39"/>
  <c r="BF16" i="39"/>
  <c r="BD16" i="39"/>
  <c r="BB16" i="39"/>
  <c r="AZ16" i="39"/>
  <c r="AX16" i="39"/>
  <c r="AV16" i="39"/>
  <c r="AT16" i="39"/>
  <c r="AR16" i="39"/>
  <c r="AP16" i="39"/>
  <c r="BL15" i="39"/>
  <c r="BJ15" i="39"/>
  <c r="BH15" i="39"/>
  <c r="BF15" i="39"/>
  <c r="BD15" i="39"/>
  <c r="BB15" i="39"/>
  <c r="AZ15" i="39"/>
  <c r="AX15" i="39"/>
  <c r="AV15" i="39"/>
  <c r="AT15" i="39"/>
  <c r="AR15" i="39"/>
  <c r="AP15" i="39"/>
  <c r="BL14" i="39"/>
  <c r="BJ14" i="39"/>
  <c r="BH14" i="39"/>
  <c r="BF14" i="39"/>
  <c r="BD14" i="39"/>
  <c r="BB14" i="39"/>
  <c r="AZ14" i="39"/>
  <c r="AX14" i="39"/>
  <c r="AV14" i="39"/>
  <c r="AT14" i="39"/>
  <c r="AR14" i="39"/>
  <c r="AP14" i="39"/>
  <c r="BL13" i="39"/>
  <c r="BJ13" i="39"/>
  <c r="BH13" i="39"/>
  <c r="BF13" i="39"/>
  <c r="BD13" i="39"/>
  <c r="BB13" i="39"/>
  <c r="AZ13" i="39"/>
  <c r="AX13" i="39"/>
  <c r="AV13" i="39"/>
  <c r="AT13" i="39"/>
  <c r="AR13" i="39"/>
  <c r="AP13" i="39"/>
  <c r="BL12" i="39"/>
  <c r="BJ12" i="39"/>
  <c r="BH12" i="39"/>
  <c r="BF12" i="39"/>
  <c r="BD12" i="39"/>
  <c r="BB12" i="39"/>
  <c r="AZ12" i="39"/>
  <c r="AX12" i="39"/>
  <c r="AV12" i="39"/>
  <c r="AT12" i="39"/>
  <c r="AR12" i="39"/>
  <c r="AP12" i="39"/>
  <c r="BL11" i="39"/>
  <c r="BJ11" i="39"/>
  <c r="BH11" i="39"/>
  <c r="BF11" i="39"/>
  <c r="BD11" i="39"/>
  <c r="BB11" i="39"/>
  <c r="AZ11" i="39"/>
  <c r="AX11" i="39"/>
  <c r="AV11" i="39"/>
  <c r="AT11" i="39"/>
  <c r="AR11" i="39"/>
  <c r="AP11" i="39"/>
  <c r="BL10" i="39"/>
  <c r="BJ10" i="39"/>
  <c r="BH10" i="39"/>
  <c r="BF10" i="39"/>
  <c r="BD10" i="39"/>
  <c r="BB10" i="39"/>
  <c r="AZ10" i="39"/>
  <c r="AX10" i="39"/>
  <c r="AV10" i="39"/>
  <c r="AT10" i="39"/>
  <c r="AR10" i="39"/>
  <c r="AP10" i="39"/>
  <c r="BL9" i="39"/>
  <c r="BJ9" i="39"/>
  <c r="BH9" i="39"/>
  <c r="BF9" i="39"/>
  <c r="BD9" i="39"/>
  <c r="BB9" i="39"/>
  <c r="AZ9" i="39"/>
  <c r="AX9" i="39"/>
  <c r="AV9" i="39"/>
  <c r="AT9" i="39"/>
  <c r="AR9" i="39"/>
  <c r="AP9" i="39"/>
  <c r="BL8" i="39"/>
  <c r="BJ8" i="39"/>
  <c r="BH8" i="39"/>
  <c r="BF8" i="39"/>
  <c r="BD8" i="39"/>
  <c r="BB8" i="39"/>
  <c r="AZ8" i="39"/>
  <c r="AX8" i="39"/>
  <c r="AV8" i="39"/>
  <c r="AT8" i="39"/>
  <c r="AR8" i="39"/>
  <c r="AP8" i="39"/>
  <c r="BL7" i="39"/>
  <c r="BJ7" i="39"/>
  <c r="BH7" i="39"/>
  <c r="BF7" i="39"/>
  <c r="BD7" i="39"/>
  <c r="BB7" i="39"/>
  <c r="AZ7" i="39"/>
  <c r="AX7" i="39"/>
  <c r="AV7" i="39"/>
  <c r="AT7" i="39"/>
  <c r="AR7" i="39"/>
  <c r="AP7" i="39"/>
  <c r="BL6" i="39"/>
  <c r="BJ6" i="39"/>
  <c r="BH6" i="39"/>
  <c r="BF6" i="39"/>
  <c r="BD6" i="39"/>
  <c r="BB6" i="39"/>
  <c r="AZ6" i="39"/>
  <c r="AX6" i="39"/>
  <c r="AV6" i="39"/>
  <c r="AT6" i="39"/>
  <c r="AR6" i="39"/>
  <c r="AP6" i="39"/>
  <c r="BL5" i="39"/>
  <c r="BJ5" i="39"/>
  <c r="BH5" i="39"/>
  <c r="BF5" i="39"/>
  <c r="BD5" i="39"/>
  <c r="BB5" i="39"/>
  <c r="AZ5" i="39"/>
  <c r="AX5" i="39"/>
  <c r="AV5" i="39"/>
  <c r="AT5" i="39"/>
  <c r="AR5" i="39"/>
  <c r="AP5" i="39"/>
  <c r="BL4" i="39"/>
  <c r="BJ4" i="39"/>
  <c r="BH4" i="39"/>
  <c r="BF4" i="39"/>
  <c r="BD4" i="39"/>
  <c r="BB4" i="39"/>
  <c r="AZ4" i="39"/>
  <c r="AX4" i="39"/>
  <c r="AV4" i="39"/>
  <c r="AT4" i="39"/>
  <c r="AR4" i="39"/>
  <c r="AP4" i="39"/>
  <c r="BL3" i="39"/>
  <c r="BJ3" i="39"/>
  <c r="BH3" i="39"/>
  <c r="BF3" i="39"/>
  <c r="BD3" i="39"/>
  <c r="BB3" i="39"/>
  <c r="AZ3" i="39"/>
  <c r="AX3" i="39"/>
  <c r="AV3" i="39"/>
  <c r="AT3" i="39"/>
  <c r="AR3" i="39"/>
  <c r="AP3" i="39"/>
  <c r="BL344" i="40" l="1"/>
  <c r="BD1" i="39"/>
  <c r="D18" i="10" s="1"/>
  <c r="BJ1" i="39"/>
  <c r="D25" i="10" s="1"/>
  <c r="BF1" i="39"/>
  <c r="E18" i="10" s="1"/>
  <c r="BB1" i="39"/>
  <c r="C18" i="10" s="1"/>
  <c r="BH1" i="39"/>
  <c r="C25" i="10" s="1"/>
  <c r="AZ1" i="39"/>
  <c r="E11" i="10" s="1"/>
  <c r="AP1" i="39"/>
  <c r="C4" i="10" s="1"/>
  <c r="BL1" i="39"/>
  <c r="E25" i="10" s="1"/>
  <c r="AX1" i="39"/>
  <c r="D11" i="10" s="1"/>
  <c r="AV1" i="39"/>
  <c r="C11" i="10" s="1"/>
  <c r="BM287" i="39"/>
  <c r="AT1" i="39"/>
  <c r="E4" i="10" s="1"/>
  <c r="AR1" i="39"/>
  <c r="D4" i="10" s="1"/>
  <c r="D7" i="33" l="1"/>
  <c r="G137" i="34"/>
  <c r="G102" i="34"/>
  <c r="G66" i="34"/>
  <c r="E28" i="33"/>
  <c r="D28" i="33"/>
  <c r="C28" i="33"/>
  <c r="D21" i="33"/>
  <c r="C21" i="33"/>
  <c r="F20" i="33"/>
  <c r="F19" i="33"/>
  <c r="E21" i="33"/>
  <c r="F13" i="33"/>
  <c r="F12" i="33"/>
  <c r="E14" i="33"/>
  <c r="D14" i="33"/>
  <c r="C14" i="33"/>
  <c r="F6" i="33"/>
  <c r="F5" i="33"/>
  <c r="E7" i="33" l="1"/>
  <c r="C7" i="33"/>
  <c r="F18" i="33"/>
  <c r="F21" i="33" s="1"/>
  <c r="F25" i="33"/>
  <c r="F28" i="33" s="1"/>
  <c r="F11" i="33"/>
  <c r="F14" i="33" s="1"/>
  <c r="F4" i="33" l="1"/>
  <c r="F7" i="33" s="1"/>
  <c r="G30" i="34"/>
  <c r="C5" i="24"/>
  <c r="D5" i="24" s="1"/>
  <c r="C6" i="24"/>
  <c r="D6" i="24" s="1"/>
  <c r="C7" i="24"/>
  <c r="D7" i="24" s="1"/>
  <c r="C8" i="24"/>
  <c r="D8" i="24" s="1"/>
  <c r="C9" i="24"/>
  <c r="D9" i="24" s="1"/>
  <c r="C10" i="24"/>
  <c r="D10" i="24" s="1"/>
  <c r="C11" i="24"/>
  <c r="D11" i="24" s="1"/>
  <c r="C12" i="24"/>
  <c r="D12" i="24" s="1"/>
  <c r="C13" i="24"/>
  <c r="D13" i="24" s="1"/>
  <c r="C14" i="24"/>
  <c r="D14" i="24" s="1"/>
  <c r="C15" i="24"/>
  <c r="D15" i="24" s="1"/>
  <c r="C16" i="24"/>
  <c r="D16" i="24" s="1"/>
  <c r="C17" i="24"/>
  <c r="D17" i="24" s="1"/>
  <c r="C18" i="24"/>
  <c r="D18" i="24" s="1"/>
  <c r="C19" i="24"/>
  <c r="D19" i="24" s="1"/>
  <c r="C20" i="24"/>
  <c r="D20" i="24" s="1"/>
  <c r="C21" i="24"/>
  <c r="D21" i="24" s="1"/>
  <c r="C22" i="24"/>
  <c r="D22" i="24" s="1"/>
  <c r="C23" i="24"/>
  <c r="D23" i="24" s="1"/>
  <c r="C24" i="24"/>
  <c r="D24" i="24" s="1"/>
  <c r="C25" i="24"/>
  <c r="D25" i="24" s="1"/>
  <c r="C26" i="24"/>
  <c r="D26" i="24" s="1"/>
  <c r="C27" i="24"/>
  <c r="D27" i="24" s="1"/>
  <c r="C28" i="24"/>
  <c r="D28" i="24" s="1"/>
  <c r="C29" i="24"/>
  <c r="D29" i="24" s="1"/>
  <c r="C30" i="24"/>
  <c r="D30" i="24" s="1"/>
  <c r="C31" i="24"/>
  <c r="D31" i="24" s="1"/>
  <c r="C32" i="24"/>
  <c r="D32" i="24" s="1"/>
  <c r="C33" i="24"/>
  <c r="D33" i="24" s="1"/>
  <c r="C34" i="24"/>
  <c r="D34" i="24" s="1"/>
  <c r="C35" i="24"/>
  <c r="D35" i="24" s="1"/>
  <c r="C36" i="24"/>
  <c r="D36" i="24" s="1"/>
  <c r="C37" i="24"/>
  <c r="D37" i="24" s="1"/>
  <c r="C38" i="24"/>
  <c r="D38" i="24" s="1"/>
  <c r="C4" i="24"/>
  <c r="D4" i="24" s="1"/>
  <c r="C5" i="20" l="1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4" i="20"/>
  <c r="F251" i="16" l="1"/>
  <c r="G251" i="16"/>
  <c r="E251" i="16"/>
  <c r="G251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4" i="18"/>
  <c r="F251" i="18"/>
  <c r="E251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4" i="18"/>
  <c r="G5" i="16" l="1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4" i="16"/>
  <c r="BK219" i="13" l="1"/>
  <c r="BI219" i="13"/>
  <c r="BG219" i="13"/>
  <c r="BE219" i="13"/>
  <c r="BC219" i="13"/>
  <c r="BA219" i="13"/>
  <c r="AY219" i="13"/>
  <c r="AW219" i="13"/>
  <c r="AU219" i="13"/>
  <c r="AS219" i="13"/>
  <c r="AQ219" i="13"/>
  <c r="AO219" i="13"/>
  <c r="BC57" i="13" l="1"/>
  <c r="BA57" i="13"/>
  <c r="AY57" i="13"/>
  <c r="AW57" i="13"/>
  <c r="AU57" i="13"/>
  <c r="AS57" i="13"/>
  <c r="AQ57" i="13"/>
  <c r="AO57" i="13"/>
  <c r="BI57" i="13"/>
  <c r="BK57" i="13"/>
  <c r="BK140" i="13"/>
  <c r="BI140" i="13"/>
  <c r="BC140" i="13"/>
  <c r="BA140" i="13"/>
  <c r="AY140" i="13"/>
  <c r="AW140" i="13"/>
  <c r="AU140" i="13"/>
  <c r="AS140" i="13"/>
  <c r="AQ140" i="13"/>
  <c r="AO140" i="13"/>
  <c r="BG140" i="13"/>
  <c r="BE140" i="13"/>
  <c r="BG57" i="13" l="1"/>
  <c r="BE57" i="13"/>
  <c r="BI216" i="13"/>
  <c r="BK216" i="13"/>
  <c r="BI217" i="13"/>
  <c r="BK217" i="13"/>
  <c r="BA216" i="13"/>
  <c r="BC216" i="13"/>
  <c r="BE216" i="13"/>
  <c r="AU216" i="13"/>
  <c r="AW216" i="13"/>
  <c r="AY216" i="13"/>
  <c r="AO216" i="13"/>
  <c r="AQ216" i="13"/>
  <c r="AS216" i="13"/>
  <c r="BG216" i="13"/>
  <c r="BG217" i="13" l="1"/>
  <c r="BG218" i="13"/>
  <c r="BI218" i="13"/>
  <c r="BK218" i="13"/>
  <c r="BE217" i="13"/>
  <c r="BE218" i="13"/>
  <c r="BA217" i="13"/>
  <c r="BC217" i="13"/>
  <c r="BA218" i="13"/>
  <c r="BC218" i="13"/>
  <c r="AU217" i="13"/>
  <c r="AW217" i="13"/>
  <c r="AY217" i="13"/>
  <c r="AU218" i="13"/>
  <c r="AW218" i="13"/>
  <c r="AY218" i="13"/>
  <c r="AO217" i="13"/>
  <c r="AQ217" i="13"/>
  <c r="AS217" i="13"/>
  <c r="AO218" i="13"/>
  <c r="AQ218" i="13"/>
  <c r="AS218" i="13"/>
  <c r="BK212" i="13"/>
  <c r="BK213" i="13"/>
  <c r="BK214" i="13"/>
  <c r="BK215" i="13"/>
  <c r="BI212" i="13"/>
  <c r="BI213" i="13"/>
  <c r="BI214" i="13"/>
  <c r="BI215" i="13"/>
  <c r="BG213" i="13"/>
  <c r="BG214" i="13"/>
  <c r="BG215" i="13"/>
  <c r="BG212" i="13"/>
  <c r="BE212" i="13"/>
  <c r="BE213" i="13"/>
  <c r="BE214" i="13"/>
  <c r="BE215" i="13"/>
  <c r="AU212" i="13"/>
  <c r="AW212" i="13"/>
  <c r="AY212" i="13"/>
  <c r="BA212" i="13"/>
  <c r="BC212" i="13"/>
  <c r="AU213" i="13"/>
  <c r="AW213" i="13"/>
  <c r="AY213" i="13"/>
  <c r="BA213" i="13"/>
  <c r="BC213" i="13"/>
  <c r="AU214" i="13"/>
  <c r="AW214" i="13"/>
  <c r="AY214" i="13"/>
  <c r="BA214" i="13"/>
  <c r="BC214" i="13"/>
  <c r="AU215" i="13"/>
  <c r="AW215" i="13"/>
  <c r="AY215" i="13"/>
  <c r="BA215" i="13"/>
  <c r="BC215" i="13"/>
  <c r="AS212" i="13"/>
  <c r="AS213" i="13"/>
  <c r="AS214" i="13"/>
  <c r="AS215" i="13"/>
  <c r="AQ212" i="13"/>
  <c r="AQ213" i="13"/>
  <c r="AQ214" i="13"/>
  <c r="AQ215" i="13"/>
  <c r="AO212" i="13"/>
  <c r="AO213" i="13"/>
  <c r="AO214" i="13"/>
  <c r="AO215" i="13"/>
  <c r="AO211" i="13" l="1"/>
  <c r="AQ211" i="13"/>
  <c r="AS211" i="13"/>
  <c r="AU211" i="13"/>
  <c r="AW211" i="13"/>
  <c r="AY211" i="13"/>
  <c r="BA211" i="13"/>
  <c r="BC211" i="13"/>
  <c r="BE211" i="13"/>
  <c r="BG211" i="13"/>
  <c r="BI211" i="13"/>
  <c r="BK211" i="13"/>
  <c r="AY206" i="13" l="1"/>
  <c r="AY207" i="13"/>
  <c r="AY208" i="13"/>
  <c r="AY209" i="13"/>
  <c r="AY210" i="13"/>
  <c r="AW206" i="13"/>
  <c r="AW207" i="13"/>
  <c r="AW208" i="13"/>
  <c r="AW209" i="13"/>
  <c r="AW210" i="13"/>
  <c r="AU206" i="13"/>
  <c r="AU207" i="13"/>
  <c r="AU208" i="13"/>
  <c r="AU209" i="13"/>
  <c r="AU210" i="13"/>
  <c r="AS206" i="13"/>
  <c r="AS207" i="13"/>
  <c r="AS208" i="13"/>
  <c r="AS209" i="13"/>
  <c r="AS210" i="13"/>
  <c r="AQ206" i="13"/>
  <c r="AQ207" i="13"/>
  <c r="AQ208" i="13"/>
  <c r="AQ209" i="13"/>
  <c r="AQ210" i="13"/>
  <c r="AO206" i="13"/>
  <c r="AO207" i="13"/>
  <c r="AO208" i="13"/>
  <c r="AO209" i="13"/>
  <c r="AO210" i="13"/>
  <c r="BA206" i="13"/>
  <c r="BA207" i="13"/>
  <c r="BA208" i="13"/>
  <c r="BA209" i="13"/>
  <c r="BA210" i="13"/>
  <c r="BC206" i="13"/>
  <c r="BC207" i="13"/>
  <c r="BC208" i="13"/>
  <c r="BC209" i="13"/>
  <c r="BC210" i="13"/>
  <c r="BE206" i="13"/>
  <c r="BE207" i="13"/>
  <c r="BE208" i="13"/>
  <c r="BE209" i="13"/>
  <c r="BE210" i="13"/>
  <c r="BG206" i="13"/>
  <c r="BG207" i="13"/>
  <c r="BG208" i="13"/>
  <c r="BG209" i="13"/>
  <c r="BG210" i="13"/>
  <c r="BI206" i="13"/>
  <c r="BI207" i="13"/>
  <c r="BI208" i="13"/>
  <c r="BI209" i="13"/>
  <c r="BI210" i="13"/>
  <c r="BK206" i="13"/>
  <c r="BK207" i="13"/>
  <c r="BK208" i="13"/>
  <c r="BK209" i="13"/>
  <c r="BK210" i="13"/>
  <c r="AO203" i="13" l="1"/>
  <c r="AQ203" i="13"/>
  <c r="AS203" i="13"/>
  <c r="AO204" i="13"/>
  <c r="AQ204" i="13"/>
  <c r="AS204" i="13"/>
  <c r="AO205" i="13"/>
  <c r="AQ205" i="13"/>
  <c r="AS205" i="13"/>
  <c r="AU203" i="13"/>
  <c r="AU204" i="13"/>
  <c r="AU205" i="13"/>
  <c r="AU220" i="13"/>
  <c r="AW203" i="13"/>
  <c r="AW204" i="13"/>
  <c r="AW205" i="13"/>
  <c r="AY203" i="13"/>
  <c r="AY204" i="13"/>
  <c r="AY205" i="13"/>
  <c r="BA203" i="13"/>
  <c r="BA204" i="13"/>
  <c r="BA205" i="13"/>
  <c r="BC203" i="13"/>
  <c r="BC204" i="13"/>
  <c r="BC205" i="13"/>
  <c r="BE203" i="13"/>
  <c r="BE204" i="13"/>
  <c r="BE205" i="13"/>
  <c r="BG203" i="13"/>
  <c r="BG204" i="13"/>
  <c r="BG205" i="13"/>
  <c r="BG220" i="13"/>
  <c r="BI203" i="13"/>
  <c r="BI204" i="13"/>
  <c r="BI205" i="13"/>
  <c r="BK203" i="13"/>
  <c r="BK204" i="13"/>
  <c r="BK205" i="13"/>
  <c r="BE21" i="13"/>
  <c r="AO202" i="13"/>
  <c r="AQ202" i="13"/>
  <c r="AS202" i="13"/>
  <c r="BI202" i="13"/>
  <c r="BG202" i="13"/>
  <c r="BE202" i="13"/>
  <c r="BE220" i="13"/>
  <c r="BC202" i="13"/>
  <c r="BC220" i="13"/>
  <c r="AU202" i="13"/>
  <c r="AW202" i="13"/>
  <c r="AY202" i="13"/>
  <c r="BA202" i="13"/>
  <c r="BK202" i="13"/>
  <c r="AO198" i="13" l="1"/>
  <c r="AQ198" i="13"/>
  <c r="AS198" i="13"/>
  <c r="AO199" i="13"/>
  <c r="AQ199" i="13"/>
  <c r="AS199" i="13"/>
  <c r="AO200" i="13"/>
  <c r="AQ200" i="13"/>
  <c r="AS200" i="13"/>
  <c r="AO201" i="13"/>
  <c r="AQ201" i="13"/>
  <c r="AS201" i="13"/>
  <c r="AO220" i="13"/>
  <c r="AQ220" i="13"/>
  <c r="AS220" i="13"/>
  <c r="AU198" i="13"/>
  <c r="AW198" i="13"/>
  <c r="AU199" i="13"/>
  <c r="AW199" i="13"/>
  <c r="AU200" i="13"/>
  <c r="AW200" i="13"/>
  <c r="AU201" i="13"/>
  <c r="AW201" i="13"/>
  <c r="AW220" i="13"/>
  <c r="BC198" i="13"/>
  <c r="BC199" i="13"/>
  <c r="BC200" i="13"/>
  <c r="BC201" i="13"/>
  <c r="BA198" i="13"/>
  <c r="BA199" i="13"/>
  <c r="BA200" i="13"/>
  <c r="BA201" i="13"/>
  <c r="BA220" i="13"/>
  <c r="AY198" i="13"/>
  <c r="AY199" i="13"/>
  <c r="AY200" i="13"/>
  <c r="AY201" i="13"/>
  <c r="AY220" i="13"/>
  <c r="BE198" i="13"/>
  <c r="BG198" i="13"/>
  <c r="BI198" i="13"/>
  <c r="BE199" i="13"/>
  <c r="BG199" i="13"/>
  <c r="BI199" i="13"/>
  <c r="BE200" i="13"/>
  <c r="BG200" i="13"/>
  <c r="BI200" i="13"/>
  <c r="BE201" i="13"/>
  <c r="BG201" i="13"/>
  <c r="BI201" i="13"/>
  <c r="BI220" i="13"/>
  <c r="BK198" i="13"/>
  <c r="BK199" i="13"/>
  <c r="BK200" i="13"/>
  <c r="BK201" i="13"/>
  <c r="BK220" i="13"/>
  <c r="BC195" i="13"/>
  <c r="BC196" i="13"/>
  <c r="BC197" i="13"/>
  <c r="BE195" i="13"/>
  <c r="BE196" i="13"/>
  <c r="BE197" i="13"/>
  <c r="BG193" i="13"/>
  <c r="BG194" i="13"/>
  <c r="BG195" i="13"/>
  <c r="BG196" i="13"/>
  <c r="BG197" i="13"/>
  <c r="BI193" i="13"/>
  <c r="BI194" i="13"/>
  <c r="BI195" i="13"/>
  <c r="BI196" i="13"/>
  <c r="BI197" i="13"/>
  <c r="BK195" i="13"/>
  <c r="BK196" i="13"/>
  <c r="BK197" i="13"/>
  <c r="BK194" i="13"/>
  <c r="BK193" i="13"/>
  <c r="BK182" i="13"/>
  <c r="BE194" i="13"/>
  <c r="BE193" i="13"/>
  <c r="BE182" i="13"/>
  <c r="BC194" i="13"/>
  <c r="BC193" i="13"/>
  <c r="BC182" i="13"/>
  <c r="BA193" i="13" l="1"/>
  <c r="BA194" i="13"/>
  <c r="BA195" i="13"/>
  <c r="BA196" i="13"/>
  <c r="BA197" i="13"/>
  <c r="AU193" i="13"/>
  <c r="AW193" i="13"/>
  <c r="AY193" i="13"/>
  <c r="AU194" i="13"/>
  <c r="AW194" i="13"/>
  <c r="AY194" i="13"/>
  <c r="AU195" i="13"/>
  <c r="AW195" i="13"/>
  <c r="AY195" i="13"/>
  <c r="AU196" i="13"/>
  <c r="AW196" i="13"/>
  <c r="AY196" i="13"/>
  <c r="AU197" i="13"/>
  <c r="AW197" i="13"/>
  <c r="AY197" i="13"/>
  <c r="AO193" i="13"/>
  <c r="AQ193" i="13"/>
  <c r="AS193" i="13"/>
  <c r="AO194" i="13"/>
  <c r="AQ194" i="13"/>
  <c r="AS194" i="13"/>
  <c r="AO195" i="13"/>
  <c r="AQ195" i="13"/>
  <c r="AS195" i="13"/>
  <c r="AO196" i="13"/>
  <c r="AQ196" i="13"/>
  <c r="AS196" i="13"/>
  <c r="AO197" i="13"/>
  <c r="AQ197" i="13"/>
  <c r="AS197" i="13"/>
  <c r="AW190" i="13"/>
  <c r="AW191" i="13"/>
  <c r="AW192" i="13"/>
  <c r="AU190" i="13"/>
  <c r="AU191" i="13"/>
  <c r="AU192" i="13"/>
  <c r="AS190" i="13"/>
  <c r="AS191" i="13"/>
  <c r="AS192" i="13"/>
  <c r="AQ190" i="13"/>
  <c r="AQ191" i="13"/>
  <c r="AQ192" i="13"/>
  <c r="AO190" i="13"/>
  <c r="AO191" i="13"/>
  <c r="AO192" i="13"/>
  <c r="AY190" i="13"/>
  <c r="AY191" i="13"/>
  <c r="AY192" i="13"/>
  <c r="BC190" i="13"/>
  <c r="BC191" i="13"/>
  <c r="BC192" i="13"/>
  <c r="BE190" i="13"/>
  <c r="BE191" i="13"/>
  <c r="BE192" i="13"/>
  <c r="BG190" i="13"/>
  <c r="BG191" i="13"/>
  <c r="BG192" i="13"/>
  <c r="BI190" i="13"/>
  <c r="BI191" i="13"/>
  <c r="BI192" i="13"/>
  <c r="BK190" i="13"/>
  <c r="BK191" i="13"/>
  <c r="BK192" i="13"/>
  <c r="BA190" i="13"/>
  <c r="BA191" i="13"/>
  <c r="BA192" i="13"/>
  <c r="AY183" i="13" l="1"/>
  <c r="AY184" i="13"/>
  <c r="AY185" i="13"/>
  <c r="AY186" i="13"/>
  <c r="AY187" i="13"/>
  <c r="AY188" i="13"/>
  <c r="AY189" i="13"/>
  <c r="AW183" i="13"/>
  <c r="AW184" i="13"/>
  <c r="AW185" i="13"/>
  <c r="AW186" i="13"/>
  <c r="AW187" i="13"/>
  <c r="AW188" i="13"/>
  <c r="AW189" i="13"/>
  <c r="AU183" i="13"/>
  <c r="AU184" i="13"/>
  <c r="AU185" i="13"/>
  <c r="AU186" i="13"/>
  <c r="AU187" i="13"/>
  <c r="AU188" i="13"/>
  <c r="AU189" i="13"/>
  <c r="AS183" i="13"/>
  <c r="AS184" i="13"/>
  <c r="AS185" i="13"/>
  <c r="AS186" i="13"/>
  <c r="AS187" i="13"/>
  <c r="AS188" i="13"/>
  <c r="AS189" i="13"/>
  <c r="AQ183" i="13"/>
  <c r="AQ184" i="13"/>
  <c r="AQ185" i="13"/>
  <c r="AQ186" i="13"/>
  <c r="AQ187" i="13"/>
  <c r="AQ188" i="13"/>
  <c r="AQ189" i="13"/>
  <c r="AO183" i="13"/>
  <c r="AO184" i="13"/>
  <c r="AO185" i="13"/>
  <c r="AO186" i="13"/>
  <c r="AO187" i="13"/>
  <c r="AO188" i="13"/>
  <c r="AO189" i="13"/>
  <c r="BA183" i="13"/>
  <c r="BA184" i="13"/>
  <c r="BA185" i="13"/>
  <c r="BA186" i="13"/>
  <c r="BA187" i="13"/>
  <c r="BA188" i="13"/>
  <c r="BA189" i="13"/>
  <c r="BC183" i="13"/>
  <c r="BC184" i="13"/>
  <c r="BC185" i="13"/>
  <c r="BC186" i="13"/>
  <c r="BC187" i="13"/>
  <c r="BC188" i="13"/>
  <c r="BC189" i="13"/>
  <c r="BE183" i="13"/>
  <c r="BE184" i="13"/>
  <c r="BE185" i="13"/>
  <c r="BE186" i="13"/>
  <c r="BE187" i="13"/>
  <c r="BE188" i="13"/>
  <c r="BE189" i="13"/>
  <c r="BG183" i="13"/>
  <c r="BG184" i="13"/>
  <c r="BG185" i="13"/>
  <c r="BG186" i="13"/>
  <c r="BG187" i="13"/>
  <c r="BG188" i="13"/>
  <c r="BG189" i="13"/>
  <c r="BI183" i="13"/>
  <c r="BI184" i="13"/>
  <c r="BI185" i="13"/>
  <c r="BI186" i="13"/>
  <c r="BI187" i="13"/>
  <c r="BI188" i="13"/>
  <c r="BI189" i="13"/>
  <c r="BK183" i="13"/>
  <c r="BK184" i="13"/>
  <c r="BK185" i="13"/>
  <c r="BK186" i="13"/>
  <c r="BK187" i="13"/>
  <c r="BK188" i="13"/>
  <c r="BK189" i="13"/>
  <c r="AS178" i="13"/>
  <c r="AS179" i="13"/>
  <c r="AS180" i="13"/>
  <c r="AS181" i="13"/>
  <c r="AS182" i="13"/>
  <c r="AQ178" i="13"/>
  <c r="AQ179" i="13"/>
  <c r="AQ180" i="13"/>
  <c r="AQ181" i="13"/>
  <c r="AQ182" i="13"/>
  <c r="AO179" i="13"/>
  <c r="AO180" i="13"/>
  <c r="AO181" i="13"/>
  <c r="AO182" i="13"/>
  <c r="AU179" i="13"/>
  <c r="AU180" i="13"/>
  <c r="AU181" i="13"/>
  <c r="AU182" i="13"/>
  <c r="AW182" i="13"/>
  <c r="AW179" i="13"/>
  <c r="AW180" i="13"/>
  <c r="AW181" i="13"/>
  <c r="AY179" i="13"/>
  <c r="AY180" i="13"/>
  <c r="AY181" i="13"/>
  <c r="AY182" i="13"/>
  <c r="BA179" i="13"/>
  <c r="BA180" i="13"/>
  <c r="BA181" i="13"/>
  <c r="BA182" i="13"/>
  <c r="BC179" i="13"/>
  <c r="BC180" i="13"/>
  <c r="BC181" i="13"/>
  <c r="BE179" i="13"/>
  <c r="BE180" i="13"/>
  <c r="BE181" i="13"/>
  <c r="BG179" i="13"/>
  <c r="BG180" i="13"/>
  <c r="BG181" i="13"/>
  <c r="BG182" i="13"/>
  <c r="BI179" i="13"/>
  <c r="BI180" i="13"/>
  <c r="BI181" i="13"/>
  <c r="BI182" i="13"/>
  <c r="BK179" i="13"/>
  <c r="BK180" i="13"/>
  <c r="BK181" i="13"/>
  <c r="AO23" i="13" l="1"/>
  <c r="BK4" i="13" l="1"/>
  <c r="BK5" i="13"/>
  <c r="BK6" i="13"/>
  <c r="BK7" i="13"/>
  <c r="BK8" i="13"/>
  <c r="BK9" i="13"/>
  <c r="BK10" i="13"/>
  <c r="BK11" i="13"/>
  <c r="BK12" i="13"/>
  <c r="BK13" i="13"/>
  <c r="BK14" i="13"/>
  <c r="BK15" i="13"/>
  <c r="BK16" i="13"/>
  <c r="BK17" i="13"/>
  <c r="BK18" i="13"/>
  <c r="BK19" i="13"/>
  <c r="BK20" i="13"/>
  <c r="BK21" i="13"/>
  <c r="BK22" i="13"/>
  <c r="BK23" i="13"/>
  <c r="BK24" i="13"/>
  <c r="BK25" i="13"/>
  <c r="BK26" i="13"/>
  <c r="BK27" i="13"/>
  <c r="BK28" i="13"/>
  <c r="BK29" i="13"/>
  <c r="BK30" i="13"/>
  <c r="BK31" i="13"/>
  <c r="BK32" i="13"/>
  <c r="BK33" i="13"/>
  <c r="BK34" i="13"/>
  <c r="BK35" i="13"/>
  <c r="BK36" i="13"/>
  <c r="BK37" i="13"/>
  <c r="BK38" i="13"/>
  <c r="BK39" i="13"/>
  <c r="BK40" i="13"/>
  <c r="BK41" i="13"/>
  <c r="BK42" i="13"/>
  <c r="BK43" i="13"/>
  <c r="BK44" i="13"/>
  <c r="BK45" i="13"/>
  <c r="BK46" i="13"/>
  <c r="BK47" i="13"/>
  <c r="BK48" i="13"/>
  <c r="BK49" i="13"/>
  <c r="BK50" i="13"/>
  <c r="BK51" i="13"/>
  <c r="BK52" i="13"/>
  <c r="BK53" i="13"/>
  <c r="BK54" i="13"/>
  <c r="BK55" i="13"/>
  <c r="BK56" i="13"/>
  <c r="BK58" i="13"/>
  <c r="BK59" i="13"/>
  <c r="BK60" i="13"/>
  <c r="BK61" i="13"/>
  <c r="BK62" i="13"/>
  <c r="BK63" i="13"/>
  <c r="BK64" i="13"/>
  <c r="BK65" i="13"/>
  <c r="BK66" i="13"/>
  <c r="BK67" i="13"/>
  <c r="BK68" i="13"/>
  <c r="BK69" i="13"/>
  <c r="BK70" i="13"/>
  <c r="BK71" i="13"/>
  <c r="BK72" i="13"/>
  <c r="BK73" i="13"/>
  <c r="BK74" i="13"/>
  <c r="BK75" i="13"/>
  <c r="BK76" i="13"/>
  <c r="BK77" i="13"/>
  <c r="BK78" i="13"/>
  <c r="BK79" i="13"/>
  <c r="BK80" i="13"/>
  <c r="BK81" i="13"/>
  <c r="BK82" i="13"/>
  <c r="BK83" i="13"/>
  <c r="BK84" i="13"/>
  <c r="BK85" i="13"/>
  <c r="BK86" i="13"/>
  <c r="BK87" i="13"/>
  <c r="BK88" i="13"/>
  <c r="BK89" i="13"/>
  <c r="BK90" i="13"/>
  <c r="BK91" i="13"/>
  <c r="BK92" i="13"/>
  <c r="BK93" i="13"/>
  <c r="BK94" i="13"/>
  <c r="BK95" i="13"/>
  <c r="BK96" i="13"/>
  <c r="BK97" i="13"/>
  <c r="BK98" i="13"/>
  <c r="BK99" i="13"/>
  <c r="BK100" i="13"/>
  <c r="BK101" i="13"/>
  <c r="BK102" i="13"/>
  <c r="BK103" i="13"/>
  <c r="BK104" i="13"/>
  <c r="BK105" i="13"/>
  <c r="BK106" i="13"/>
  <c r="BK107" i="13"/>
  <c r="BK108" i="13"/>
  <c r="BK109" i="13"/>
  <c r="BK110" i="13"/>
  <c r="BK111" i="13"/>
  <c r="BK112" i="13"/>
  <c r="BK113" i="13"/>
  <c r="BK114" i="13"/>
  <c r="BK115" i="13"/>
  <c r="BK116" i="13"/>
  <c r="BK117" i="13"/>
  <c r="BK118" i="13"/>
  <c r="BK119" i="13"/>
  <c r="BK120" i="13"/>
  <c r="BK121" i="13"/>
  <c r="BK122" i="13"/>
  <c r="BK123" i="13"/>
  <c r="BK124" i="13"/>
  <c r="BK125" i="13"/>
  <c r="BK126" i="13"/>
  <c r="BK127" i="13"/>
  <c r="BK128" i="13"/>
  <c r="BK129" i="13"/>
  <c r="BK130" i="13"/>
  <c r="BK131" i="13"/>
  <c r="BK132" i="13"/>
  <c r="BK133" i="13"/>
  <c r="BK134" i="13"/>
  <c r="BK135" i="13"/>
  <c r="BK136" i="13"/>
  <c r="BK137" i="13"/>
  <c r="BK138" i="13"/>
  <c r="BK139" i="13"/>
  <c r="BK141" i="13"/>
  <c r="BK142" i="13"/>
  <c r="BK143" i="13"/>
  <c r="BK144" i="13"/>
  <c r="BK145" i="13"/>
  <c r="BK146" i="13"/>
  <c r="BK147" i="13"/>
  <c r="BK148" i="13"/>
  <c r="BK149" i="13"/>
  <c r="BK150" i="13"/>
  <c r="BK151" i="13"/>
  <c r="BK152" i="13"/>
  <c r="BK153" i="13"/>
  <c r="BK154" i="13"/>
  <c r="BK155" i="13"/>
  <c r="BK156" i="13"/>
  <c r="BK157" i="13"/>
  <c r="BK158" i="13"/>
  <c r="BK159" i="13"/>
  <c r="BK160" i="13"/>
  <c r="BK161" i="13"/>
  <c r="BK162" i="13"/>
  <c r="BK163" i="13"/>
  <c r="BK164" i="13"/>
  <c r="BK165" i="13"/>
  <c r="BK166" i="13"/>
  <c r="BK167" i="13"/>
  <c r="BK168" i="13"/>
  <c r="BK169" i="13"/>
  <c r="BK170" i="13"/>
  <c r="BK171" i="13"/>
  <c r="BK172" i="13"/>
  <c r="BK173" i="13"/>
  <c r="BK174" i="13"/>
  <c r="BK175" i="13"/>
  <c r="BK176" i="13"/>
  <c r="BK177" i="13"/>
  <c r="BK178" i="13"/>
  <c r="BK3" i="13"/>
  <c r="BI4" i="13"/>
  <c r="BI5" i="13"/>
  <c r="BI6" i="13"/>
  <c r="BI7" i="13"/>
  <c r="BI8" i="13"/>
  <c r="BI9" i="13"/>
  <c r="BI10" i="13"/>
  <c r="BI11" i="13"/>
  <c r="BI12" i="13"/>
  <c r="BI13" i="13"/>
  <c r="BI14" i="13"/>
  <c r="BI15" i="13"/>
  <c r="BI16" i="13"/>
  <c r="BI17" i="13"/>
  <c r="BI18" i="13"/>
  <c r="BI19" i="13"/>
  <c r="BI20" i="13"/>
  <c r="BI21" i="13"/>
  <c r="BI22" i="13"/>
  <c r="BI23" i="13"/>
  <c r="BI24" i="13"/>
  <c r="BI25" i="13"/>
  <c r="BI26" i="13"/>
  <c r="BI27" i="13"/>
  <c r="BI28" i="13"/>
  <c r="BI29" i="13"/>
  <c r="BI30" i="13"/>
  <c r="BI31" i="13"/>
  <c r="BI32" i="13"/>
  <c r="BI33" i="13"/>
  <c r="BI34" i="13"/>
  <c r="BI35" i="13"/>
  <c r="BI36" i="13"/>
  <c r="BI37" i="13"/>
  <c r="BI38" i="13"/>
  <c r="BI39" i="13"/>
  <c r="BI40" i="13"/>
  <c r="BI41" i="13"/>
  <c r="BI42" i="13"/>
  <c r="BI43" i="13"/>
  <c r="BI44" i="13"/>
  <c r="BI45" i="13"/>
  <c r="BI46" i="13"/>
  <c r="BI47" i="13"/>
  <c r="BI48" i="13"/>
  <c r="BI49" i="13"/>
  <c r="BI50" i="13"/>
  <c r="BI51" i="13"/>
  <c r="BI52" i="13"/>
  <c r="BI53" i="13"/>
  <c r="BI54" i="13"/>
  <c r="BI55" i="13"/>
  <c r="BI56" i="13"/>
  <c r="BI58" i="13"/>
  <c r="BI59" i="13"/>
  <c r="BI60" i="13"/>
  <c r="BI61" i="13"/>
  <c r="BI62" i="13"/>
  <c r="BI63" i="13"/>
  <c r="BI64" i="13"/>
  <c r="BI65" i="13"/>
  <c r="BI66" i="13"/>
  <c r="BI67" i="13"/>
  <c r="BI68" i="13"/>
  <c r="BI69" i="13"/>
  <c r="BI70" i="13"/>
  <c r="BI71" i="13"/>
  <c r="BI72" i="13"/>
  <c r="BI73" i="13"/>
  <c r="BI74" i="13"/>
  <c r="BI75" i="13"/>
  <c r="BI76" i="13"/>
  <c r="BI77" i="13"/>
  <c r="BI78" i="13"/>
  <c r="BI79" i="13"/>
  <c r="BI80" i="13"/>
  <c r="BI81" i="13"/>
  <c r="BI82" i="13"/>
  <c r="BI83" i="13"/>
  <c r="BI84" i="13"/>
  <c r="BI85" i="13"/>
  <c r="BI86" i="13"/>
  <c r="BI87" i="13"/>
  <c r="BI88" i="13"/>
  <c r="BI89" i="13"/>
  <c r="BI90" i="13"/>
  <c r="BI91" i="13"/>
  <c r="BI92" i="13"/>
  <c r="BI93" i="13"/>
  <c r="BI94" i="13"/>
  <c r="BI95" i="13"/>
  <c r="BI96" i="13"/>
  <c r="BI97" i="13"/>
  <c r="BI98" i="13"/>
  <c r="BI99" i="13"/>
  <c r="BI100" i="13"/>
  <c r="BI101" i="13"/>
  <c r="BI102" i="13"/>
  <c r="BI103" i="13"/>
  <c r="BI104" i="13"/>
  <c r="BI105" i="13"/>
  <c r="BI106" i="13"/>
  <c r="BI107" i="13"/>
  <c r="BI108" i="13"/>
  <c r="BI109" i="13"/>
  <c r="BI110" i="13"/>
  <c r="BI111" i="13"/>
  <c r="BI112" i="13"/>
  <c r="BI113" i="13"/>
  <c r="BI114" i="13"/>
  <c r="BI115" i="13"/>
  <c r="BI116" i="13"/>
  <c r="BI117" i="13"/>
  <c r="BI118" i="13"/>
  <c r="BI119" i="13"/>
  <c r="BI120" i="13"/>
  <c r="BI121" i="13"/>
  <c r="BI122" i="13"/>
  <c r="BI123" i="13"/>
  <c r="BI124" i="13"/>
  <c r="BI125" i="13"/>
  <c r="BI126" i="13"/>
  <c r="BI127" i="13"/>
  <c r="BI128" i="13"/>
  <c r="BI129" i="13"/>
  <c r="BI130" i="13"/>
  <c r="BI131" i="13"/>
  <c r="BI132" i="13"/>
  <c r="BI133" i="13"/>
  <c r="BI134" i="13"/>
  <c r="BI135" i="13"/>
  <c r="BI136" i="13"/>
  <c r="BI137" i="13"/>
  <c r="BI138" i="13"/>
  <c r="BI139" i="13"/>
  <c r="BI141" i="13"/>
  <c r="BI142" i="13"/>
  <c r="BI143" i="13"/>
  <c r="BI144" i="13"/>
  <c r="BI145" i="13"/>
  <c r="BI146" i="13"/>
  <c r="BI147" i="13"/>
  <c r="BI148" i="13"/>
  <c r="BI149" i="13"/>
  <c r="BI150" i="13"/>
  <c r="BI151" i="13"/>
  <c r="BI152" i="13"/>
  <c r="BI153" i="13"/>
  <c r="BI154" i="13"/>
  <c r="BI155" i="13"/>
  <c r="BI156" i="13"/>
  <c r="BI157" i="13"/>
  <c r="BI158" i="13"/>
  <c r="BI159" i="13"/>
  <c r="BI160" i="13"/>
  <c r="BI161" i="13"/>
  <c r="BI162" i="13"/>
  <c r="BI163" i="13"/>
  <c r="BI164" i="13"/>
  <c r="BI165" i="13"/>
  <c r="BI166" i="13"/>
  <c r="BI167" i="13"/>
  <c r="BI168" i="13"/>
  <c r="BI169" i="13"/>
  <c r="BI170" i="13"/>
  <c r="BI171" i="13"/>
  <c r="BI172" i="13"/>
  <c r="BI173" i="13"/>
  <c r="BI174" i="13"/>
  <c r="BI175" i="13"/>
  <c r="BI176" i="13"/>
  <c r="BI177" i="13"/>
  <c r="BI178" i="13"/>
  <c r="BI3" i="13"/>
  <c r="BG4" i="13"/>
  <c r="BG5" i="13"/>
  <c r="BG6" i="13"/>
  <c r="BG7" i="13"/>
  <c r="BG8" i="13"/>
  <c r="BG9" i="13"/>
  <c r="BG10" i="13"/>
  <c r="BG11" i="13"/>
  <c r="BG12" i="13"/>
  <c r="BG13" i="13"/>
  <c r="BG14" i="13"/>
  <c r="BG15" i="13"/>
  <c r="BG16" i="13"/>
  <c r="BG17" i="13"/>
  <c r="BG18" i="13"/>
  <c r="BG19" i="13"/>
  <c r="BG20" i="13"/>
  <c r="BG21" i="13"/>
  <c r="BG22" i="13"/>
  <c r="BG23" i="13"/>
  <c r="BG24" i="13"/>
  <c r="BG25" i="13"/>
  <c r="BG26" i="13"/>
  <c r="BG27" i="13"/>
  <c r="BG28" i="13"/>
  <c r="BG29" i="13"/>
  <c r="BG30" i="13"/>
  <c r="BG31" i="13"/>
  <c r="BG32" i="13"/>
  <c r="BG33" i="13"/>
  <c r="BG34" i="13"/>
  <c r="BG35" i="13"/>
  <c r="BG36" i="13"/>
  <c r="BG37" i="13"/>
  <c r="BG38" i="13"/>
  <c r="BG39" i="13"/>
  <c r="BG40" i="13"/>
  <c r="BG41" i="13"/>
  <c r="BG42" i="13"/>
  <c r="BG43" i="13"/>
  <c r="BG44" i="13"/>
  <c r="BG45" i="13"/>
  <c r="BG46" i="13"/>
  <c r="BG47" i="13"/>
  <c r="BG48" i="13"/>
  <c r="BG49" i="13"/>
  <c r="BG50" i="13"/>
  <c r="BG51" i="13"/>
  <c r="BG52" i="13"/>
  <c r="BG53" i="13"/>
  <c r="BG54" i="13"/>
  <c r="BG55" i="13"/>
  <c r="BG56" i="13"/>
  <c r="BG58" i="13"/>
  <c r="BG59" i="13"/>
  <c r="BG60" i="13"/>
  <c r="BG61" i="13"/>
  <c r="BG62" i="13"/>
  <c r="BG63" i="13"/>
  <c r="BG64" i="13"/>
  <c r="BG65" i="13"/>
  <c r="BG66" i="13"/>
  <c r="BG67" i="13"/>
  <c r="BG68" i="13"/>
  <c r="BG69" i="13"/>
  <c r="BG70" i="13"/>
  <c r="BG71" i="13"/>
  <c r="BG72" i="13"/>
  <c r="BG73" i="13"/>
  <c r="BG74" i="13"/>
  <c r="BG75" i="13"/>
  <c r="BG76" i="13"/>
  <c r="BG77" i="13"/>
  <c r="BG78" i="13"/>
  <c r="BG79" i="13"/>
  <c r="BG80" i="13"/>
  <c r="BG81" i="13"/>
  <c r="BG82" i="13"/>
  <c r="BG83" i="13"/>
  <c r="BG84" i="13"/>
  <c r="BG85" i="13"/>
  <c r="BG86" i="13"/>
  <c r="BG87" i="13"/>
  <c r="BG88" i="13"/>
  <c r="BG89" i="13"/>
  <c r="BG90" i="13"/>
  <c r="BG91" i="13"/>
  <c r="BG92" i="13"/>
  <c r="BG93" i="13"/>
  <c r="BG94" i="13"/>
  <c r="BG95" i="13"/>
  <c r="BG96" i="13"/>
  <c r="BG97" i="13"/>
  <c r="BG98" i="13"/>
  <c r="BG99" i="13"/>
  <c r="BG100" i="13"/>
  <c r="BG101" i="13"/>
  <c r="BG102" i="13"/>
  <c r="BG103" i="13"/>
  <c r="BG104" i="13"/>
  <c r="BG105" i="13"/>
  <c r="BG106" i="13"/>
  <c r="BG107" i="13"/>
  <c r="BG108" i="13"/>
  <c r="BG109" i="13"/>
  <c r="BG110" i="13"/>
  <c r="BG111" i="13"/>
  <c r="BG112" i="13"/>
  <c r="BG113" i="13"/>
  <c r="BG114" i="13"/>
  <c r="BG115" i="13"/>
  <c r="BG116" i="13"/>
  <c r="BG117" i="13"/>
  <c r="BG118" i="13"/>
  <c r="BG119" i="13"/>
  <c r="BG120" i="13"/>
  <c r="BG121" i="13"/>
  <c r="BG122" i="13"/>
  <c r="BG123" i="13"/>
  <c r="BG124" i="13"/>
  <c r="BG125" i="13"/>
  <c r="BG126" i="13"/>
  <c r="BG127" i="13"/>
  <c r="BG128" i="13"/>
  <c r="BG129" i="13"/>
  <c r="BG130" i="13"/>
  <c r="BG131" i="13"/>
  <c r="BG132" i="13"/>
  <c r="BG133" i="13"/>
  <c r="BG134" i="13"/>
  <c r="BG135" i="13"/>
  <c r="BG136" i="13"/>
  <c r="BG137" i="13"/>
  <c r="BG138" i="13"/>
  <c r="BG139" i="13"/>
  <c r="BG141" i="13"/>
  <c r="BG142" i="13"/>
  <c r="BG143" i="13"/>
  <c r="BG144" i="13"/>
  <c r="BG145" i="13"/>
  <c r="BG146" i="13"/>
  <c r="BG147" i="13"/>
  <c r="BG148" i="13"/>
  <c r="BG149" i="13"/>
  <c r="BG150" i="13"/>
  <c r="BG151" i="13"/>
  <c r="BG152" i="13"/>
  <c r="BG153" i="13"/>
  <c r="BG154" i="13"/>
  <c r="BG155" i="13"/>
  <c r="BG156" i="13"/>
  <c r="BG157" i="13"/>
  <c r="BG158" i="13"/>
  <c r="BG159" i="13"/>
  <c r="BG160" i="13"/>
  <c r="BG161" i="13"/>
  <c r="BG162" i="13"/>
  <c r="BG163" i="13"/>
  <c r="BG164" i="13"/>
  <c r="BG165" i="13"/>
  <c r="BG167" i="13"/>
  <c r="BG168" i="13"/>
  <c r="BG169" i="13"/>
  <c r="BG170" i="13"/>
  <c r="BG171" i="13"/>
  <c r="BG172" i="13"/>
  <c r="BG173" i="13"/>
  <c r="BG174" i="13"/>
  <c r="BG175" i="13"/>
  <c r="BG176" i="13"/>
  <c r="BG177" i="13"/>
  <c r="BG178" i="13"/>
  <c r="BG3" i="13"/>
  <c r="BE4" i="13"/>
  <c r="BE5" i="13"/>
  <c r="BE6" i="13"/>
  <c r="BE7" i="13"/>
  <c r="BE8" i="13"/>
  <c r="BE9" i="13"/>
  <c r="BE10" i="13"/>
  <c r="BE11" i="13"/>
  <c r="BE12" i="13"/>
  <c r="BE13" i="13"/>
  <c r="BE14" i="13"/>
  <c r="BE15" i="13"/>
  <c r="BE16" i="13"/>
  <c r="BE17" i="13"/>
  <c r="BE18" i="13"/>
  <c r="BE19" i="13"/>
  <c r="BE20" i="13"/>
  <c r="BE22" i="13"/>
  <c r="BE23" i="13"/>
  <c r="BE24" i="13"/>
  <c r="BE25" i="13"/>
  <c r="BE26" i="13"/>
  <c r="BE27" i="13"/>
  <c r="BE28" i="13"/>
  <c r="BE29" i="13"/>
  <c r="BE30" i="13"/>
  <c r="BE31" i="13"/>
  <c r="BE32" i="13"/>
  <c r="BE33" i="13"/>
  <c r="BE34" i="13"/>
  <c r="BE35" i="13"/>
  <c r="BE36" i="13"/>
  <c r="BE37" i="13"/>
  <c r="BE38" i="13"/>
  <c r="BE39" i="13"/>
  <c r="BE40" i="13"/>
  <c r="BE41" i="13"/>
  <c r="BE42" i="13"/>
  <c r="BE43" i="13"/>
  <c r="BE44" i="13"/>
  <c r="BE45" i="13"/>
  <c r="BE46" i="13"/>
  <c r="BE47" i="13"/>
  <c r="BE48" i="13"/>
  <c r="BE49" i="13"/>
  <c r="BE50" i="13"/>
  <c r="BE51" i="13"/>
  <c r="BE52" i="13"/>
  <c r="BE53" i="13"/>
  <c r="BE54" i="13"/>
  <c r="BE55" i="13"/>
  <c r="BE56" i="13"/>
  <c r="BE58" i="13"/>
  <c r="BE59" i="13"/>
  <c r="BE60" i="13"/>
  <c r="BE61" i="13"/>
  <c r="BE62" i="13"/>
  <c r="BE63" i="13"/>
  <c r="BE64" i="13"/>
  <c r="BE65" i="13"/>
  <c r="BE66" i="13"/>
  <c r="BE67" i="13"/>
  <c r="BE68" i="13"/>
  <c r="BE69" i="13"/>
  <c r="BE70" i="13"/>
  <c r="BE71" i="13"/>
  <c r="BE72" i="13"/>
  <c r="BE73" i="13"/>
  <c r="BE74" i="13"/>
  <c r="BE75" i="13"/>
  <c r="BE76" i="13"/>
  <c r="BE77" i="13"/>
  <c r="BE78" i="13"/>
  <c r="BE79" i="13"/>
  <c r="BE80" i="13"/>
  <c r="BE81" i="13"/>
  <c r="BE82" i="13"/>
  <c r="BE83" i="13"/>
  <c r="BE84" i="13"/>
  <c r="BE85" i="13"/>
  <c r="BE86" i="13"/>
  <c r="BE87" i="13"/>
  <c r="BE88" i="13"/>
  <c r="BE89" i="13"/>
  <c r="BE90" i="13"/>
  <c r="BE91" i="13"/>
  <c r="BE92" i="13"/>
  <c r="BE93" i="13"/>
  <c r="BE94" i="13"/>
  <c r="BE95" i="13"/>
  <c r="BE96" i="13"/>
  <c r="BE97" i="13"/>
  <c r="BE98" i="13"/>
  <c r="BE99" i="13"/>
  <c r="BE100" i="13"/>
  <c r="BE101" i="13"/>
  <c r="BE102" i="13"/>
  <c r="BE103" i="13"/>
  <c r="BE104" i="13"/>
  <c r="BE105" i="13"/>
  <c r="BE106" i="13"/>
  <c r="BE107" i="13"/>
  <c r="BE108" i="13"/>
  <c r="BE109" i="13"/>
  <c r="BE110" i="13"/>
  <c r="BE111" i="13"/>
  <c r="BE112" i="13"/>
  <c r="BE113" i="13"/>
  <c r="BE114" i="13"/>
  <c r="BE115" i="13"/>
  <c r="BE116" i="13"/>
  <c r="BE117" i="13"/>
  <c r="BE118" i="13"/>
  <c r="BE119" i="13"/>
  <c r="BE120" i="13"/>
  <c r="BE121" i="13"/>
  <c r="BE122" i="13"/>
  <c r="BE123" i="13"/>
  <c r="BE124" i="13"/>
  <c r="BE125" i="13"/>
  <c r="BE126" i="13"/>
  <c r="BE127" i="13"/>
  <c r="BE128" i="13"/>
  <c r="BE129" i="13"/>
  <c r="BE130" i="13"/>
  <c r="BE131" i="13"/>
  <c r="BE132" i="13"/>
  <c r="BE133" i="13"/>
  <c r="BE134" i="13"/>
  <c r="BE135" i="13"/>
  <c r="BE136" i="13"/>
  <c r="BE137" i="13"/>
  <c r="BE138" i="13"/>
  <c r="BE139" i="13"/>
  <c r="BE141" i="13"/>
  <c r="BE142" i="13"/>
  <c r="BE143" i="13"/>
  <c r="BE144" i="13"/>
  <c r="BE145" i="13"/>
  <c r="BE146" i="13"/>
  <c r="BE147" i="13"/>
  <c r="BE148" i="13"/>
  <c r="BE149" i="13"/>
  <c r="BE150" i="13"/>
  <c r="BE151" i="13"/>
  <c r="BE152" i="13"/>
  <c r="BE153" i="13"/>
  <c r="BE154" i="13"/>
  <c r="BE155" i="13"/>
  <c r="BE156" i="13"/>
  <c r="BE157" i="13"/>
  <c r="BE158" i="13"/>
  <c r="BE159" i="13"/>
  <c r="BE160" i="13"/>
  <c r="BE161" i="13"/>
  <c r="BE162" i="13"/>
  <c r="BE163" i="13"/>
  <c r="BE164" i="13"/>
  <c r="BE165" i="13"/>
  <c r="BE166" i="13"/>
  <c r="BE167" i="13"/>
  <c r="BE168" i="13"/>
  <c r="BE169" i="13"/>
  <c r="BE170" i="13"/>
  <c r="BE171" i="13"/>
  <c r="BE172" i="13"/>
  <c r="BE173" i="13"/>
  <c r="BE174" i="13"/>
  <c r="BE175" i="13"/>
  <c r="BE176" i="13"/>
  <c r="BE177" i="13"/>
  <c r="BE178" i="13"/>
  <c r="BE3" i="13"/>
  <c r="BC4" i="13"/>
  <c r="BC5" i="13"/>
  <c r="BC6" i="13"/>
  <c r="BC7" i="13"/>
  <c r="BC8" i="13"/>
  <c r="BC9" i="13"/>
  <c r="BC10" i="13"/>
  <c r="BC11" i="13"/>
  <c r="BC12" i="13"/>
  <c r="BC13" i="13"/>
  <c r="BC14" i="13"/>
  <c r="BC15" i="13"/>
  <c r="BC16" i="13"/>
  <c r="BC17" i="13"/>
  <c r="BC18" i="13"/>
  <c r="BC19" i="13"/>
  <c r="BC20" i="13"/>
  <c r="BC21" i="13"/>
  <c r="BC22" i="13"/>
  <c r="BC23" i="13"/>
  <c r="BC24" i="13"/>
  <c r="BC25" i="13"/>
  <c r="BC26" i="13"/>
  <c r="BC27" i="13"/>
  <c r="BC28" i="13"/>
  <c r="BC29" i="13"/>
  <c r="BC30" i="13"/>
  <c r="BC31" i="13"/>
  <c r="BC32" i="13"/>
  <c r="BC33" i="13"/>
  <c r="BC34" i="13"/>
  <c r="BC35" i="13"/>
  <c r="BC36" i="13"/>
  <c r="BC37" i="13"/>
  <c r="BC38" i="13"/>
  <c r="BC39" i="13"/>
  <c r="BC40" i="13"/>
  <c r="BC41" i="13"/>
  <c r="BC42" i="13"/>
  <c r="BC43" i="13"/>
  <c r="BC44" i="13"/>
  <c r="BC45" i="13"/>
  <c r="BC46" i="13"/>
  <c r="BC47" i="13"/>
  <c r="BC48" i="13"/>
  <c r="BC49" i="13"/>
  <c r="BC50" i="13"/>
  <c r="BC51" i="13"/>
  <c r="BC52" i="13"/>
  <c r="BC53" i="13"/>
  <c r="BC54" i="13"/>
  <c r="BC55" i="13"/>
  <c r="BC56" i="13"/>
  <c r="BC58" i="13"/>
  <c r="BC59" i="13"/>
  <c r="BC60" i="13"/>
  <c r="BC61" i="13"/>
  <c r="BC62" i="13"/>
  <c r="BC63" i="13"/>
  <c r="BC64" i="13"/>
  <c r="BC65" i="13"/>
  <c r="BC66" i="13"/>
  <c r="BC67" i="13"/>
  <c r="BC68" i="13"/>
  <c r="BC69" i="13"/>
  <c r="BC70" i="13"/>
  <c r="BC71" i="13"/>
  <c r="BC72" i="13"/>
  <c r="BC73" i="13"/>
  <c r="BC74" i="13"/>
  <c r="BC75" i="13"/>
  <c r="BC76" i="13"/>
  <c r="BC77" i="13"/>
  <c r="BC78" i="13"/>
  <c r="BC79" i="13"/>
  <c r="BC80" i="13"/>
  <c r="BC81" i="13"/>
  <c r="BC82" i="13"/>
  <c r="BC83" i="13"/>
  <c r="BC84" i="13"/>
  <c r="BC85" i="13"/>
  <c r="BC86" i="13"/>
  <c r="BC87" i="13"/>
  <c r="BC88" i="13"/>
  <c r="BC89" i="13"/>
  <c r="BC90" i="13"/>
  <c r="BC91" i="13"/>
  <c r="BC92" i="13"/>
  <c r="BC93" i="13"/>
  <c r="BC94" i="13"/>
  <c r="BC95" i="13"/>
  <c r="BC96" i="13"/>
  <c r="BC97" i="13"/>
  <c r="BC98" i="13"/>
  <c r="BC99" i="13"/>
  <c r="BC100" i="13"/>
  <c r="BC101" i="13"/>
  <c r="BC102" i="13"/>
  <c r="BC103" i="13"/>
  <c r="BC104" i="13"/>
  <c r="BC105" i="13"/>
  <c r="BC106" i="13"/>
  <c r="BC107" i="13"/>
  <c r="BC108" i="13"/>
  <c r="BC109" i="13"/>
  <c r="BC110" i="13"/>
  <c r="BC111" i="13"/>
  <c r="BC112" i="13"/>
  <c r="BC113" i="13"/>
  <c r="BC114" i="13"/>
  <c r="BC115" i="13"/>
  <c r="BC116" i="13"/>
  <c r="BC117" i="13"/>
  <c r="BC118" i="13"/>
  <c r="BC119" i="13"/>
  <c r="BC120" i="13"/>
  <c r="BC121" i="13"/>
  <c r="BC122" i="13"/>
  <c r="BC123" i="13"/>
  <c r="BC124" i="13"/>
  <c r="BC125" i="13"/>
  <c r="BC126" i="13"/>
  <c r="BC127" i="13"/>
  <c r="BC128" i="13"/>
  <c r="BC129" i="13"/>
  <c r="BC130" i="13"/>
  <c r="BC131" i="13"/>
  <c r="BC132" i="13"/>
  <c r="BC133" i="13"/>
  <c r="BC134" i="13"/>
  <c r="BC135" i="13"/>
  <c r="BC136" i="13"/>
  <c r="BC137" i="13"/>
  <c r="BC138" i="13"/>
  <c r="BC139" i="13"/>
  <c r="BC141" i="13"/>
  <c r="BC142" i="13"/>
  <c r="BC143" i="13"/>
  <c r="BC144" i="13"/>
  <c r="BC145" i="13"/>
  <c r="BC146" i="13"/>
  <c r="BC147" i="13"/>
  <c r="BC148" i="13"/>
  <c r="BC149" i="13"/>
  <c r="BC150" i="13"/>
  <c r="BC151" i="13"/>
  <c r="BC152" i="13"/>
  <c r="BC153" i="13"/>
  <c r="BC154" i="13"/>
  <c r="BC155" i="13"/>
  <c r="BC156" i="13"/>
  <c r="BC157" i="13"/>
  <c r="BC158" i="13"/>
  <c r="BC159" i="13"/>
  <c r="BC160" i="13"/>
  <c r="BC161" i="13"/>
  <c r="BC162" i="13"/>
  <c r="BC163" i="13"/>
  <c r="BC164" i="13"/>
  <c r="BC165" i="13"/>
  <c r="BC166" i="13"/>
  <c r="BC167" i="13"/>
  <c r="BC168" i="13"/>
  <c r="BC169" i="13"/>
  <c r="BC170" i="13"/>
  <c r="BC171" i="13"/>
  <c r="BC172" i="13"/>
  <c r="BC173" i="13"/>
  <c r="BC174" i="13"/>
  <c r="BC175" i="13"/>
  <c r="BC176" i="13"/>
  <c r="BC177" i="13"/>
  <c r="BC178" i="13"/>
  <c r="BC3" i="13"/>
  <c r="BA4" i="13"/>
  <c r="BA5" i="13"/>
  <c r="BA6" i="13"/>
  <c r="BA7" i="13"/>
  <c r="BA8" i="13"/>
  <c r="BA9" i="13"/>
  <c r="BA10" i="13"/>
  <c r="BA11" i="13"/>
  <c r="BA12" i="13"/>
  <c r="BA13" i="13"/>
  <c r="BA14" i="13"/>
  <c r="BA15" i="13"/>
  <c r="BA16" i="13"/>
  <c r="BA17" i="13"/>
  <c r="BA18" i="13"/>
  <c r="BA19" i="13"/>
  <c r="BA20" i="13"/>
  <c r="BA21" i="13"/>
  <c r="BA22" i="13"/>
  <c r="BA23" i="13"/>
  <c r="BA24" i="13"/>
  <c r="BA25" i="13"/>
  <c r="BA26" i="13"/>
  <c r="BA27" i="13"/>
  <c r="BA28" i="13"/>
  <c r="BA29" i="13"/>
  <c r="BA30" i="13"/>
  <c r="BA31" i="13"/>
  <c r="BA32" i="13"/>
  <c r="BA33" i="13"/>
  <c r="BA34" i="13"/>
  <c r="BA35" i="13"/>
  <c r="BA36" i="13"/>
  <c r="BA37" i="13"/>
  <c r="BA38" i="13"/>
  <c r="BA39" i="13"/>
  <c r="BA40" i="13"/>
  <c r="BA41" i="13"/>
  <c r="BA42" i="13"/>
  <c r="BA43" i="13"/>
  <c r="BA44" i="13"/>
  <c r="BA45" i="13"/>
  <c r="BA46" i="13"/>
  <c r="BA47" i="13"/>
  <c r="BA48" i="13"/>
  <c r="BA49" i="13"/>
  <c r="BA50" i="13"/>
  <c r="BA51" i="13"/>
  <c r="BA52" i="13"/>
  <c r="BA53" i="13"/>
  <c r="BA54" i="13"/>
  <c r="BA55" i="13"/>
  <c r="BA56" i="13"/>
  <c r="BA58" i="13"/>
  <c r="BA59" i="13"/>
  <c r="BA60" i="13"/>
  <c r="BA61" i="13"/>
  <c r="BA62" i="13"/>
  <c r="BA63" i="13"/>
  <c r="BA64" i="13"/>
  <c r="BA65" i="13"/>
  <c r="BA66" i="13"/>
  <c r="BA67" i="13"/>
  <c r="BA68" i="13"/>
  <c r="BA69" i="13"/>
  <c r="BA70" i="13"/>
  <c r="BA71" i="13"/>
  <c r="BA72" i="13"/>
  <c r="BA73" i="13"/>
  <c r="BA74" i="13"/>
  <c r="BA75" i="13"/>
  <c r="BA76" i="13"/>
  <c r="BA77" i="13"/>
  <c r="BA78" i="13"/>
  <c r="BA79" i="13"/>
  <c r="BA80" i="13"/>
  <c r="BA81" i="13"/>
  <c r="BA82" i="13"/>
  <c r="BA83" i="13"/>
  <c r="BA84" i="13"/>
  <c r="BA85" i="13"/>
  <c r="BA86" i="13"/>
  <c r="BA87" i="13"/>
  <c r="BA88" i="13"/>
  <c r="BA89" i="13"/>
  <c r="BA90" i="13"/>
  <c r="BA91" i="13"/>
  <c r="BA92" i="13"/>
  <c r="BA93" i="13"/>
  <c r="BA94" i="13"/>
  <c r="BA95" i="13"/>
  <c r="BA96" i="13"/>
  <c r="BA97" i="13"/>
  <c r="BA98" i="13"/>
  <c r="BA99" i="13"/>
  <c r="BA100" i="13"/>
  <c r="BA101" i="13"/>
  <c r="BA102" i="13"/>
  <c r="BA103" i="13"/>
  <c r="BA104" i="13"/>
  <c r="BA105" i="13"/>
  <c r="BA106" i="13"/>
  <c r="BA107" i="13"/>
  <c r="BA108" i="13"/>
  <c r="BA109" i="13"/>
  <c r="BA110" i="13"/>
  <c r="BA111" i="13"/>
  <c r="BA112" i="13"/>
  <c r="BA113" i="13"/>
  <c r="BA114" i="13"/>
  <c r="BA115" i="13"/>
  <c r="BA116" i="13"/>
  <c r="BA117" i="13"/>
  <c r="BA118" i="13"/>
  <c r="BA119" i="13"/>
  <c r="BA120" i="13"/>
  <c r="BA121" i="13"/>
  <c r="BA122" i="13"/>
  <c r="BA123" i="13"/>
  <c r="BA124" i="13"/>
  <c r="BA125" i="13"/>
  <c r="BA126" i="13"/>
  <c r="BA127" i="13"/>
  <c r="BA128" i="13"/>
  <c r="BA129" i="13"/>
  <c r="BA130" i="13"/>
  <c r="BA131" i="13"/>
  <c r="BA132" i="13"/>
  <c r="BA133" i="13"/>
  <c r="BA134" i="13"/>
  <c r="BA135" i="13"/>
  <c r="BA136" i="13"/>
  <c r="BA137" i="13"/>
  <c r="BA138" i="13"/>
  <c r="BA139" i="13"/>
  <c r="BA141" i="13"/>
  <c r="BA142" i="13"/>
  <c r="BA143" i="13"/>
  <c r="BA144" i="13"/>
  <c r="BA145" i="13"/>
  <c r="BA146" i="13"/>
  <c r="BA147" i="13"/>
  <c r="BA148" i="13"/>
  <c r="BA149" i="13"/>
  <c r="BA150" i="13"/>
  <c r="BA151" i="13"/>
  <c r="BA152" i="13"/>
  <c r="BA153" i="13"/>
  <c r="BA154" i="13"/>
  <c r="BA155" i="13"/>
  <c r="BA156" i="13"/>
  <c r="BA157" i="13"/>
  <c r="BA158" i="13"/>
  <c r="BA159" i="13"/>
  <c r="BA160" i="13"/>
  <c r="BA161" i="13"/>
  <c r="BA162" i="13"/>
  <c r="BA163" i="13"/>
  <c r="BA164" i="13"/>
  <c r="BA165" i="13"/>
  <c r="BA166" i="13"/>
  <c r="BA167" i="13"/>
  <c r="BA168" i="13"/>
  <c r="BA169" i="13"/>
  <c r="BA170" i="13"/>
  <c r="BA171" i="13"/>
  <c r="BA172" i="13"/>
  <c r="BA173" i="13"/>
  <c r="BA174" i="13"/>
  <c r="BA175" i="13"/>
  <c r="BA176" i="13"/>
  <c r="BA177" i="13"/>
  <c r="BA178" i="13"/>
  <c r="BA3" i="13"/>
  <c r="AY4" i="13"/>
  <c r="AY5" i="13"/>
  <c r="AY6" i="13"/>
  <c r="AY7" i="13"/>
  <c r="AY8" i="13"/>
  <c r="AY9" i="13"/>
  <c r="AY10" i="13"/>
  <c r="AY11" i="13"/>
  <c r="AY12" i="13"/>
  <c r="AY13" i="13"/>
  <c r="AY14" i="13"/>
  <c r="AY15" i="13"/>
  <c r="AY16" i="13"/>
  <c r="AY17" i="13"/>
  <c r="AY18" i="13"/>
  <c r="AY19" i="13"/>
  <c r="AY20" i="13"/>
  <c r="AY21" i="13"/>
  <c r="AY22" i="13"/>
  <c r="AY23" i="13"/>
  <c r="AY24" i="13"/>
  <c r="AY25" i="13"/>
  <c r="AY26" i="13"/>
  <c r="AY27" i="13"/>
  <c r="AY28" i="13"/>
  <c r="AY29" i="13"/>
  <c r="AY30" i="13"/>
  <c r="AY31" i="13"/>
  <c r="AY32" i="13"/>
  <c r="AY33" i="13"/>
  <c r="AY34" i="13"/>
  <c r="AY35" i="13"/>
  <c r="AY36" i="13"/>
  <c r="AY37" i="13"/>
  <c r="AY38" i="13"/>
  <c r="AY39" i="13"/>
  <c r="AY40" i="13"/>
  <c r="AY41" i="13"/>
  <c r="AY42" i="13"/>
  <c r="AY43" i="13"/>
  <c r="AY44" i="13"/>
  <c r="AY45" i="13"/>
  <c r="AY46" i="13"/>
  <c r="AY47" i="13"/>
  <c r="AY48" i="13"/>
  <c r="AY49" i="13"/>
  <c r="AY50" i="13"/>
  <c r="AY51" i="13"/>
  <c r="AY52" i="13"/>
  <c r="AY53" i="13"/>
  <c r="AY54" i="13"/>
  <c r="AY55" i="13"/>
  <c r="AY56" i="13"/>
  <c r="AY58" i="13"/>
  <c r="AY59" i="13"/>
  <c r="AY60" i="13"/>
  <c r="AY61" i="13"/>
  <c r="AY62" i="13"/>
  <c r="AY63" i="13"/>
  <c r="AY64" i="13"/>
  <c r="AY65" i="13"/>
  <c r="AY66" i="13"/>
  <c r="AY67" i="13"/>
  <c r="AY68" i="13"/>
  <c r="AY69" i="13"/>
  <c r="AY70" i="13"/>
  <c r="AY71" i="13"/>
  <c r="AY72" i="13"/>
  <c r="AY73" i="13"/>
  <c r="AY74" i="13"/>
  <c r="AY75" i="13"/>
  <c r="AY76" i="13"/>
  <c r="AY77" i="13"/>
  <c r="AY78" i="13"/>
  <c r="AY79" i="13"/>
  <c r="AY80" i="13"/>
  <c r="AY81" i="13"/>
  <c r="AY82" i="13"/>
  <c r="AY83" i="13"/>
  <c r="AY84" i="13"/>
  <c r="AY85" i="13"/>
  <c r="AY86" i="13"/>
  <c r="AY87" i="13"/>
  <c r="AY88" i="13"/>
  <c r="AY89" i="13"/>
  <c r="AY90" i="13"/>
  <c r="AY91" i="13"/>
  <c r="AY92" i="13"/>
  <c r="AY93" i="13"/>
  <c r="AY94" i="13"/>
  <c r="AY95" i="13"/>
  <c r="AY96" i="13"/>
  <c r="AY97" i="13"/>
  <c r="AY98" i="13"/>
  <c r="AY99" i="13"/>
  <c r="AY100" i="13"/>
  <c r="AY101" i="13"/>
  <c r="AY102" i="13"/>
  <c r="AY103" i="13"/>
  <c r="AY104" i="13"/>
  <c r="AY105" i="13"/>
  <c r="AY106" i="13"/>
  <c r="AY107" i="13"/>
  <c r="AY108" i="13"/>
  <c r="AY109" i="13"/>
  <c r="AY110" i="13"/>
  <c r="AY111" i="13"/>
  <c r="AY112" i="13"/>
  <c r="AY113" i="13"/>
  <c r="AY114" i="13"/>
  <c r="AY115" i="13"/>
  <c r="AY116" i="13"/>
  <c r="AY117" i="13"/>
  <c r="AY118" i="13"/>
  <c r="AY119" i="13"/>
  <c r="AY120" i="13"/>
  <c r="AY121" i="13"/>
  <c r="AY122" i="13"/>
  <c r="AY123" i="13"/>
  <c r="AY124" i="13"/>
  <c r="AY125" i="13"/>
  <c r="AY126" i="13"/>
  <c r="AY127" i="13"/>
  <c r="AY128" i="13"/>
  <c r="AY129" i="13"/>
  <c r="AY130" i="13"/>
  <c r="AY131" i="13"/>
  <c r="AY132" i="13"/>
  <c r="AY133" i="13"/>
  <c r="AY134" i="13"/>
  <c r="AY135" i="13"/>
  <c r="AY136" i="13"/>
  <c r="AY137" i="13"/>
  <c r="AY138" i="13"/>
  <c r="AY139" i="13"/>
  <c r="AY141" i="13"/>
  <c r="AY142" i="13"/>
  <c r="AY143" i="13"/>
  <c r="AY144" i="13"/>
  <c r="AY145" i="13"/>
  <c r="AY146" i="13"/>
  <c r="AY147" i="13"/>
  <c r="AY148" i="13"/>
  <c r="AY149" i="13"/>
  <c r="AY150" i="13"/>
  <c r="AY151" i="13"/>
  <c r="AY152" i="13"/>
  <c r="AY153" i="13"/>
  <c r="AY154" i="13"/>
  <c r="AY155" i="13"/>
  <c r="AY156" i="13"/>
  <c r="AY157" i="13"/>
  <c r="AY158" i="13"/>
  <c r="AY159" i="13"/>
  <c r="AY160" i="13"/>
  <c r="AY161" i="13"/>
  <c r="AY162" i="13"/>
  <c r="AY163" i="13"/>
  <c r="AY164" i="13"/>
  <c r="AY165" i="13"/>
  <c r="AY166" i="13"/>
  <c r="AY167" i="13"/>
  <c r="AY168" i="13"/>
  <c r="AY169" i="13"/>
  <c r="AY170" i="13"/>
  <c r="AY171" i="13"/>
  <c r="AY172" i="13"/>
  <c r="AY173" i="13"/>
  <c r="AY174" i="13"/>
  <c r="AY175" i="13"/>
  <c r="AY176" i="13"/>
  <c r="AY177" i="13"/>
  <c r="AY178" i="13"/>
  <c r="AY3" i="13"/>
  <c r="AW4" i="13"/>
  <c r="AW5" i="13"/>
  <c r="AW6" i="13"/>
  <c r="AW7" i="13"/>
  <c r="AW8" i="13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0" i="13"/>
  <c r="AW51" i="13"/>
  <c r="AW52" i="13"/>
  <c r="AW53" i="13"/>
  <c r="AW54" i="13"/>
  <c r="AW55" i="13"/>
  <c r="AW56" i="13"/>
  <c r="AW58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W83" i="13"/>
  <c r="AW84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W103" i="13"/>
  <c r="AW104" i="13"/>
  <c r="AW105" i="13"/>
  <c r="AW106" i="13"/>
  <c r="AW107" i="13"/>
  <c r="AW108" i="13"/>
  <c r="AW109" i="13"/>
  <c r="AW110" i="13"/>
  <c r="AW111" i="13"/>
  <c r="AW112" i="13"/>
  <c r="AW113" i="13"/>
  <c r="AW114" i="13"/>
  <c r="AW115" i="13"/>
  <c r="AW116" i="13"/>
  <c r="AW117" i="13"/>
  <c r="AW118" i="13"/>
  <c r="AW119" i="13"/>
  <c r="AW120" i="13"/>
  <c r="AW121" i="13"/>
  <c r="AW122" i="13"/>
  <c r="AW123" i="13"/>
  <c r="AW124" i="13"/>
  <c r="AW125" i="13"/>
  <c r="AW126" i="13"/>
  <c r="AW127" i="13"/>
  <c r="AW128" i="13"/>
  <c r="AW129" i="13"/>
  <c r="AW130" i="13"/>
  <c r="AW131" i="13"/>
  <c r="AW132" i="13"/>
  <c r="AW133" i="13"/>
  <c r="AW134" i="13"/>
  <c r="AW135" i="13"/>
  <c r="AW136" i="13"/>
  <c r="AW137" i="13"/>
  <c r="AW138" i="13"/>
  <c r="AW139" i="13"/>
  <c r="AW141" i="13"/>
  <c r="AW142" i="13"/>
  <c r="AW143" i="13"/>
  <c r="AW144" i="13"/>
  <c r="AW145" i="13"/>
  <c r="AW146" i="13"/>
  <c r="AW147" i="13"/>
  <c r="AW148" i="13"/>
  <c r="AW149" i="13"/>
  <c r="AW150" i="13"/>
  <c r="AW151" i="13"/>
  <c r="AW152" i="13"/>
  <c r="AW153" i="13"/>
  <c r="AW154" i="13"/>
  <c r="AW155" i="13"/>
  <c r="AW156" i="13"/>
  <c r="AW157" i="13"/>
  <c r="AW158" i="13"/>
  <c r="AW159" i="13"/>
  <c r="AW160" i="13"/>
  <c r="AW161" i="13"/>
  <c r="AW162" i="13"/>
  <c r="AW163" i="13"/>
  <c r="AW164" i="13"/>
  <c r="AW165" i="13"/>
  <c r="AW166" i="13"/>
  <c r="AW167" i="13"/>
  <c r="AW168" i="13"/>
  <c r="AW169" i="13"/>
  <c r="AW170" i="13"/>
  <c r="AW171" i="13"/>
  <c r="AW172" i="13"/>
  <c r="AW173" i="13"/>
  <c r="AW174" i="13"/>
  <c r="AW175" i="13"/>
  <c r="AW176" i="13"/>
  <c r="AW177" i="13"/>
  <c r="AW178" i="13"/>
  <c r="AW3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8" i="13"/>
  <c r="AU59" i="13"/>
  <c r="AU60" i="13"/>
  <c r="AU61" i="13"/>
  <c r="AU62" i="13"/>
  <c r="AU63" i="13"/>
  <c r="AU64" i="13"/>
  <c r="AU65" i="13"/>
  <c r="AU66" i="13"/>
  <c r="AU67" i="13"/>
  <c r="AU68" i="13"/>
  <c r="AU69" i="13"/>
  <c r="AU70" i="13"/>
  <c r="AU71" i="13"/>
  <c r="AU72" i="13"/>
  <c r="AU73" i="13"/>
  <c r="AU74" i="13"/>
  <c r="AU75" i="13"/>
  <c r="AU76" i="13"/>
  <c r="AU77" i="13"/>
  <c r="AU78" i="13"/>
  <c r="AU79" i="13"/>
  <c r="AU80" i="13"/>
  <c r="AU81" i="13"/>
  <c r="AU82" i="13"/>
  <c r="AU83" i="13"/>
  <c r="AU84" i="13"/>
  <c r="AU85" i="13"/>
  <c r="AU86" i="13"/>
  <c r="AU87" i="13"/>
  <c r="AU88" i="13"/>
  <c r="AU89" i="13"/>
  <c r="AU90" i="13"/>
  <c r="AU91" i="13"/>
  <c r="AU92" i="13"/>
  <c r="AU93" i="13"/>
  <c r="AU94" i="13"/>
  <c r="AU95" i="13"/>
  <c r="AU96" i="13"/>
  <c r="AU97" i="13"/>
  <c r="AU98" i="13"/>
  <c r="AU99" i="13"/>
  <c r="AU100" i="13"/>
  <c r="AU101" i="13"/>
  <c r="AU102" i="13"/>
  <c r="AU103" i="13"/>
  <c r="AU104" i="13"/>
  <c r="AU105" i="13"/>
  <c r="AU106" i="13"/>
  <c r="AU107" i="13"/>
  <c r="AU108" i="13"/>
  <c r="AU109" i="13"/>
  <c r="AU110" i="13"/>
  <c r="AU111" i="13"/>
  <c r="AU112" i="13"/>
  <c r="AU113" i="13"/>
  <c r="AU114" i="13"/>
  <c r="AU115" i="13"/>
  <c r="AU116" i="13"/>
  <c r="AU117" i="13"/>
  <c r="AU118" i="13"/>
  <c r="AU119" i="13"/>
  <c r="AU120" i="13"/>
  <c r="AU121" i="13"/>
  <c r="AU122" i="13"/>
  <c r="AU123" i="13"/>
  <c r="AU124" i="13"/>
  <c r="AU125" i="13"/>
  <c r="AU126" i="13"/>
  <c r="AU127" i="13"/>
  <c r="AU128" i="13"/>
  <c r="AU129" i="13"/>
  <c r="AU130" i="13"/>
  <c r="AU131" i="13"/>
  <c r="AU132" i="13"/>
  <c r="AU133" i="13"/>
  <c r="AU134" i="13"/>
  <c r="AU135" i="13"/>
  <c r="AU136" i="13"/>
  <c r="AU137" i="13"/>
  <c r="AU138" i="13"/>
  <c r="AU139" i="13"/>
  <c r="AU141" i="13"/>
  <c r="AU142" i="13"/>
  <c r="AU143" i="13"/>
  <c r="AU144" i="13"/>
  <c r="AU145" i="13"/>
  <c r="AU146" i="13"/>
  <c r="AU147" i="13"/>
  <c r="AU148" i="13"/>
  <c r="AU149" i="13"/>
  <c r="AU150" i="13"/>
  <c r="AU151" i="13"/>
  <c r="AU152" i="13"/>
  <c r="AU153" i="13"/>
  <c r="AU154" i="13"/>
  <c r="AU155" i="13"/>
  <c r="AU156" i="13"/>
  <c r="AU157" i="13"/>
  <c r="AU158" i="13"/>
  <c r="AU159" i="13"/>
  <c r="AU160" i="13"/>
  <c r="AU161" i="13"/>
  <c r="AU162" i="13"/>
  <c r="AU163" i="13"/>
  <c r="AU164" i="13"/>
  <c r="AU165" i="13"/>
  <c r="AU166" i="13"/>
  <c r="AU167" i="13"/>
  <c r="AU168" i="13"/>
  <c r="AU169" i="13"/>
  <c r="AU170" i="13"/>
  <c r="AU171" i="13"/>
  <c r="AU172" i="13"/>
  <c r="AU173" i="13"/>
  <c r="AU174" i="13"/>
  <c r="AU175" i="13"/>
  <c r="AU176" i="13"/>
  <c r="AU177" i="13"/>
  <c r="AU178" i="13"/>
  <c r="AU3" i="13"/>
  <c r="AS4" i="13"/>
  <c r="AS5" i="13"/>
  <c r="AS6" i="13"/>
  <c r="AS7" i="13"/>
  <c r="AS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8" i="13"/>
  <c r="AS59" i="13"/>
  <c r="AS60" i="13"/>
  <c r="AS61" i="13"/>
  <c r="AS62" i="13"/>
  <c r="AS63" i="13"/>
  <c r="AS64" i="13"/>
  <c r="AS65" i="13"/>
  <c r="AS66" i="13"/>
  <c r="AS67" i="13"/>
  <c r="AS68" i="13"/>
  <c r="AS69" i="13"/>
  <c r="AS70" i="13"/>
  <c r="AS71" i="13"/>
  <c r="AS72" i="13"/>
  <c r="AS73" i="13"/>
  <c r="AS74" i="13"/>
  <c r="AS75" i="13"/>
  <c r="AS76" i="13"/>
  <c r="AS77" i="13"/>
  <c r="AS78" i="13"/>
  <c r="AS79" i="13"/>
  <c r="AS80" i="13"/>
  <c r="AS81" i="13"/>
  <c r="AS82" i="13"/>
  <c r="AS83" i="13"/>
  <c r="AS84" i="13"/>
  <c r="AS85" i="13"/>
  <c r="AS86" i="13"/>
  <c r="AS87" i="13"/>
  <c r="AS88" i="13"/>
  <c r="AS89" i="13"/>
  <c r="AS90" i="13"/>
  <c r="AS91" i="13"/>
  <c r="AS92" i="13"/>
  <c r="AS93" i="13"/>
  <c r="AS94" i="13"/>
  <c r="AS95" i="13"/>
  <c r="AS96" i="13"/>
  <c r="AS97" i="13"/>
  <c r="AS98" i="13"/>
  <c r="AS99" i="13"/>
  <c r="AS100" i="13"/>
  <c r="AS101" i="13"/>
  <c r="AS102" i="13"/>
  <c r="AS103" i="13"/>
  <c r="AS104" i="13"/>
  <c r="AS105" i="13"/>
  <c r="AS106" i="13"/>
  <c r="AS107" i="13"/>
  <c r="AS108" i="13"/>
  <c r="AS109" i="13"/>
  <c r="AS110" i="13"/>
  <c r="AS111" i="13"/>
  <c r="AS112" i="13"/>
  <c r="AS113" i="13"/>
  <c r="AS114" i="13"/>
  <c r="AS115" i="13"/>
  <c r="AS116" i="13"/>
  <c r="AS117" i="13"/>
  <c r="AS118" i="13"/>
  <c r="AS119" i="13"/>
  <c r="AS120" i="13"/>
  <c r="AS121" i="13"/>
  <c r="AS122" i="13"/>
  <c r="AS123" i="13"/>
  <c r="AS124" i="13"/>
  <c r="AS125" i="13"/>
  <c r="AS126" i="13"/>
  <c r="AS127" i="13"/>
  <c r="AS128" i="13"/>
  <c r="AS129" i="13"/>
  <c r="AS130" i="13"/>
  <c r="AS131" i="13"/>
  <c r="AS132" i="13"/>
  <c r="AS133" i="13"/>
  <c r="AS134" i="13"/>
  <c r="AS135" i="13"/>
  <c r="AS136" i="13"/>
  <c r="AS137" i="13"/>
  <c r="AS138" i="13"/>
  <c r="AS139" i="13"/>
  <c r="AS141" i="13"/>
  <c r="AS142" i="13"/>
  <c r="AS143" i="13"/>
  <c r="AS144" i="13"/>
  <c r="AS145" i="13"/>
  <c r="AS146" i="13"/>
  <c r="AS147" i="13"/>
  <c r="AS148" i="13"/>
  <c r="AS149" i="13"/>
  <c r="AS150" i="13"/>
  <c r="AS151" i="13"/>
  <c r="AS152" i="13"/>
  <c r="AS153" i="13"/>
  <c r="AS154" i="13"/>
  <c r="AS155" i="13"/>
  <c r="AS156" i="13"/>
  <c r="AS157" i="13"/>
  <c r="AS158" i="13"/>
  <c r="AS159" i="13"/>
  <c r="AS160" i="13"/>
  <c r="AS161" i="13"/>
  <c r="AS162" i="13"/>
  <c r="AS163" i="13"/>
  <c r="AS164" i="13"/>
  <c r="AS165" i="13"/>
  <c r="AS166" i="13"/>
  <c r="AS167" i="13"/>
  <c r="AS168" i="13"/>
  <c r="AS169" i="13"/>
  <c r="AS170" i="13"/>
  <c r="AS171" i="13"/>
  <c r="AS172" i="13"/>
  <c r="AS173" i="13"/>
  <c r="AS174" i="13"/>
  <c r="AS175" i="13"/>
  <c r="AS176" i="13"/>
  <c r="AS177" i="13"/>
  <c r="AS3" i="13"/>
  <c r="AQ4" i="13"/>
  <c r="AQ5" i="13"/>
  <c r="AQ6" i="13"/>
  <c r="AQ7" i="13"/>
  <c r="AQ8" i="13"/>
  <c r="AQ9" i="13"/>
  <c r="AQ10" i="13"/>
  <c r="AQ11" i="13"/>
  <c r="AQ12" i="13"/>
  <c r="AQ13" i="13"/>
  <c r="AQ14" i="13"/>
  <c r="AQ15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8" i="13"/>
  <c r="AQ59" i="13"/>
  <c r="AQ60" i="13"/>
  <c r="AQ61" i="13"/>
  <c r="AQ62" i="13"/>
  <c r="AQ63" i="13"/>
  <c r="AQ64" i="13"/>
  <c r="AQ65" i="13"/>
  <c r="AQ66" i="13"/>
  <c r="AQ67" i="13"/>
  <c r="AQ68" i="13"/>
  <c r="AQ69" i="13"/>
  <c r="AQ70" i="13"/>
  <c r="AQ71" i="13"/>
  <c r="AQ72" i="13"/>
  <c r="AQ73" i="13"/>
  <c r="AQ74" i="13"/>
  <c r="AQ75" i="13"/>
  <c r="AQ76" i="13"/>
  <c r="AQ77" i="13"/>
  <c r="AQ78" i="13"/>
  <c r="AQ79" i="13"/>
  <c r="AQ80" i="13"/>
  <c r="AQ81" i="13"/>
  <c r="AQ82" i="13"/>
  <c r="AQ83" i="13"/>
  <c r="AQ84" i="13"/>
  <c r="AQ85" i="13"/>
  <c r="AQ86" i="13"/>
  <c r="AQ87" i="13"/>
  <c r="AQ88" i="13"/>
  <c r="AQ89" i="13"/>
  <c r="AQ90" i="13"/>
  <c r="AQ91" i="13"/>
  <c r="AQ92" i="13"/>
  <c r="AQ93" i="13"/>
  <c r="AQ94" i="13"/>
  <c r="AQ95" i="13"/>
  <c r="AQ96" i="13"/>
  <c r="AQ97" i="13"/>
  <c r="AQ98" i="13"/>
  <c r="AQ99" i="13"/>
  <c r="AQ100" i="13"/>
  <c r="AQ101" i="13"/>
  <c r="AQ102" i="13"/>
  <c r="AQ103" i="13"/>
  <c r="AQ104" i="13"/>
  <c r="AQ105" i="13"/>
  <c r="AQ106" i="13"/>
  <c r="AQ107" i="13"/>
  <c r="AQ108" i="13"/>
  <c r="AQ109" i="13"/>
  <c r="AQ110" i="13"/>
  <c r="AQ111" i="13"/>
  <c r="AQ112" i="13"/>
  <c r="AQ113" i="13"/>
  <c r="AQ114" i="13"/>
  <c r="AQ115" i="13"/>
  <c r="AQ116" i="13"/>
  <c r="AQ117" i="13"/>
  <c r="AQ118" i="13"/>
  <c r="AQ119" i="13"/>
  <c r="AQ120" i="13"/>
  <c r="AQ121" i="13"/>
  <c r="AQ122" i="13"/>
  <c r="AQ123" i="13"/>
  <c r="AQ124" i="13"/>
  <c r="AQ125" i="13"/>
  <c r="AQ126" i="13"/>
  <c r="AQ127" i="13"/>
  <c r="AQ128" i="13"/>
  <c r="AQ129" i="13"/>
  <c r="AQ130" i="13"/>
  <c r="AQ131" i="13"/>
  <c r="AQ132" i="13"/>
  <c r="AQ133" i="13"/>
  <c r="AQ134" i="13"/>
  <c r="AQ135" i="13"/>
  <c r="AQ136" i="13"/>
  <c r="AQ137" i="13"/>
  <c r="AQ138" i="13"/>
  <c r="AQ139" i="13"/>
  <c r="AQ141" i="13"/>
  <c r="AQ142" i="13"/>
  <c r="AQ143" i="13"/>
  <c r="AQ144" i="13"/>
  <c r="AQ145" i="13"/>
  <c r="AQ146" i="13"/>
  <c r="AQ147" i="13"/>
  <c r="AQ148" i="13"/>
  <c r="AQ149" i="13"/>
  <c r="AQ150" i="13"/>
  <c r="AQ151" i="13"/>
  <c r="AQ152" i="13"/>
  <c r="AQ153" i="13"/>
  <c r="AQ154" i="13"/>
  <c r="AQ155" i="13"/>
  <c r="AQ156" i="13"/>
  <c r="AQ157" i="13"/>
  <c r="AQ158" i="13"/>
  <c r="AQ159" i="13"/>
  <c r="AQ160" i="13"/>
  <c r="AQ161" i="13"/>
  <c r="AQ162" i="13"/>
  <c r="AQ163" i="13"/>
  <c r="AQ164" i="13"/>
  <c r="AQ165" i="13"/>
  <c r="AQ166" i="13"/>
  <c r="AQ167" i="13"/>
  <c r="AQ168" i="13"/>
  <c r="AQ169" i="13"/>
  <c r="AQ170" i="13"/>
  <c r="AQ171" i="13"/>
  <c r="AQ172" i="13"/>
  <c r="AQ173" i="13"/>
  <c r="AQ174" i="13"/>
  <c r="AQ175" i="13"/>
  <c r="AQ176" i="13"/>
  <c r="AQ177" i="13"/>
  <c r="AQ3" i="13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22" i="13"/>
  <c r="AO123" i="13"/>
  <c r="AO124" i="13"/>
  <c r="AO125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1" i="13"/>
  <c r="AO142" i="13"/>
  <c r="AO143" i="13"/>
  <c r="AO144" i="13"/>
  <c r="AO145" i="13"/>
  <c r="AO146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64" i="13"/>
  <c r="AO165" i="13"/>
  <c r="AO166" i="13"/>
  <c r="AO167" i="13"/>
  <c r="AO168" i="13"/>
  <c r="AO169" i="13"/>
  <c r="AO170" i="13"/>
  <c r="AO171" i="13"/>
  <c r="AO172" i="13"/>
  <c r="AO173" i="13"/>
  <c r="AO174" i="13"/>
  <c r="AO175" i="13"/>
  <c r="AO176" i="13"/>
  <c r="AO177" i="13"/>
  <c r="AO178" i="13"/>
  <c r="AO3" i="13"/>
  <c r="AW1" i="13" l="1"/>
  <c r="D11" i="6" s="1"/>
  <c r="D14" i="6" s="1"/>
  <c r="AO1" i="13"/>
  <c r="C4" i="6" s="1"/>
  <c r="AU1" i="13"/>
  <c r="C11" i="6" s="1"/>
  <c r="BC1" i="13"/>
  <c r="BE1" i="13"/>
  <c r="BK1" i="13"/>
  <c r="BI1" i="13"/>
  <c r="AS1" i="13"/>
  <c r="E4" i="6" s="1"/>
  <c r="E7" i="6" s="1"/>
  <c r="BA1" i="13"/>
  <c r="AQ1" i="13"/>
  <c r="D4" i="6" s="1"/>
  <c r="D7" i="6" s="1"/>
  <c r="AY1" i="13"/>
  <c r="E11" i="6" s="1"/>
  <c r="E14" i="6" s="1"/>
  <c r="F26" i="6"/>
  <c r="F27" i="6"/>
  <c r="F19" i="6"/>
  <c r="F20" i="6"/>
  <c r="F12" i="6"/>
  <c r="F13" i="6"/>
  <c r="F5" i="6"/>
  <c r="F6" i="6"/>
  <c r="F19" i="10"/>
  <c r="F20" i="10"/>
  <c r="F12" i="10"/>
  <c r="F13" i="10"/>
  <c r="F5" i="10"/>
  <c r="F6" i="10"/>
  <c r="E25" i="6" l="1"/>
  <c r="E28" i="6" s="1"/>
  <c r="F137" i="5"/>
  <c r="D25" i="6"/>
  <c r="D28" i="6" s="1"/>
  <c r="E137" i="5"/>
  <c r="E18" i="6"/>
  <c r="E21" i="6" s="1"/>
  <c r="F102" i="5"/>
  <c r="C18" i="6"/>
  <c r="C21" i="6" s="1"/>
  <c r="D102" i="5"/>
  <c r="D18" i="6"/>
  <c r="D21" i="6" s="1"/>
  <c r="E102" i="5"/>
  <c r="F11" i="6"/>
  <c r="F14" i="6" s="1"/>
  <c r="F4" i="6"/>
  <c r="F7" i="6" s="1"/>
  <c r="C7" i="6"/>
  <c r="C14" i="6"/>
  <c r="BG166" i="13"/>
  <c r="BG1" i="13" s="1"/>
  <c r="F18" i="6" l="1"/>
  <c r="F21" i="6" s="1"/>
  <c r="C25" i="6"/>
  <c r="C28" i="6" s="1"/>
  <c r="D137" i="5"/>
  <c r="G137" i="5" s="1"/>
  <c r="G102" i="5"/>
  <c r="F25" i="6" l="1"/>
  <c r="F28" i="6" s="1"/>
  <c r="D21" i="10" l="1"/>
  <c r="D28" i="10"/>
  <c r="D7" i="10"/>
  <c r="E7" i="10"/>
  <c r="F25" i="10"/>
  <c r="F28" i="10" s="1"/>
  <c r="G30" i="11"/>
  <c r="D14" i="10"/>
  <c r="E21" i="10"/>
  <c r="G102" i="11"/>
  <c r="E28" i="10"/>
  <c r="C14" i="10"/>
  <c r="C7" i="10"/>
  <c r="C21" i="10"/>
  <c r="F4" i="10" l="1"/>
  <c r="F7" i="10" s="1"/>
  <c r="G137" i="11"/>
  <c r="F11" i="10"/>
  <c r="F14" i="10" s="1"/>
  <c r="F18" i="10"/>
  <c r="F21" i="10" s="1"/>
  <c r="C28" i="10"/>
  <c r="G66" i="11"/>
  <c r="E14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Benson</author>
  </authors>
  <commentList>
    <comment ref="W64" authorId="0" shapeId="0" xr:uid="{26780757-4806-491E-BC9F-D9FE1CC47635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under MOQ +0.1/pc</t>
        </r>
      </text>
    </comment>
    <comment ref="X64" authorId="0" shapeId="0" xr:uid="{F0D3792D-475A-4B08-A956-1B2257AAA7E9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under MOQ +0.1/pc</t>
        </r>
      </text>
    </comment>
    <comment ref="Y64" authorId="0" shapeId="0" xr:uid="{A5251F3A-B468-45A4-A146-C3DC181246E0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under MOQ +0.1/pc</t>
        </r>
      </text>
    </comment>
    <comment ref="N103" authorId="0" shapeId="0" xr:uid="{444D9AB1-DDCE-4022-928C-AAD3DB3F8D12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For orders placed in 2022, the UP was 30.46 that time
</t>
        </r>
      </text>
    </comment>
    <comment ref="P235" authorId="0" shapeId="0" xr:uid="{D8D1952D-D7C5-4BFA-B9D9-58C840E92F76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MOQ hit 3600pcs</t>
        </r>
      </text>
    </comment>
    <comment ref="R235" authorId="0" shapeId="0" xr:uid="{F2E347C1-ED6D-40DD-AF51-6BF8C3EEEB01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MOQ hit 3600pcs</t>
        </r>
      </text>
    </comment>
    <comment ref="S235" authorId="0" shapeId="0" xr:uid="{9615B9FF-6D3D-4EA9-8608-2C2E65C7560E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MOQ hit 3600</t>
        </r>
      </text>
    </comment>
    <comment ref="T235" authorId="0" shapeId="0" xr:uid="{F0EF2F5F-3C2C-4CDD-AC77-1D0ADEAA454F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MOQ hit 3600</t>
        </r>
      </text>
    </comment>
    <comment ref="U235" authorId="0" shapeId="0" xr:uid="{5B47932E-34A0-4EF2-ADED-E23D83B31F08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MOQ hit 3600</t>
        </r>
      </text>
    </comment>
    <comment ref="W235" authorId="0" shapeId="0" xr:uid="{6218324A-D4FA-46F7-AD67-E53D4BEF88BF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MOQ hit 3600</t>
        </r>
      </text>
    </comment>
    <comment ref="X235" authorId="0" shapeId="0" xr:uid="{BD5A67DB-B0CD-4C13-B0BE-DA4000FFFEEC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MOQ hit 3600</t>
        </r>
      </text>
    </comment>
    <comment ref="R242" authorId="0" shapeId="0" xr:uid="{802F739B-247C-498D-87C8-538D877AFC79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Under MOQ upcharge $0.5/pc</t>
        </r>
      </text>
    </comment>
    <comment ref="X304" authorId="0" shapeId="0" xr:uid="{39E36785-AB56-472D-A302-63E545F36061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order placed in July ($20.96) before cost down, and shipped in Sep.</t>
        </r>
      </text>
    </comment>
    <comment ref="T312" authorId="0" shapeId="0" xr:uid="{3ED3C369-71F8-4ECA-8867-52B6A882213C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Under MOQ surcharge to ODM</t>
        </r>
      </text>
    </comment>
    <comment ref="T313" authorId="0" shapeId="0" xr:uid="{26F93B0E-0935-49BB-B9FC-CAA99B0DA1F7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Under MOQ surcharge to ODM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Benson</author>
  </authors>
  <commentList>
    <comment ref="W66" authorId="0" shapeId="0" xr:uid="{51B47C38-43B4-408F-AF18-62062209F637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under MOQ +0.1/pc</t>
        </r>
      </text>
    </comment>
    <comment ref="N103" authorId="0" shapeId="0" xr:uid="{DD1F732B-6D26-46D4-8121-EE587B394D96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For orders placed in 2022, the UP was 30.46 that time
</t>
        </r>
      </text>
    </comment>
    <comment ref="N301" authorId="0" shapeId="0" xr:uid="{19AB2006-DE62-4BED-A4C8-87AE9D1A0AC8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10/15</t>
        </r>
        <r>
          <rPr>
            <sz val="9"/>
            <color indexed="81"/>
            <rFont val="細明體"/>
            <family val="3"/>
            <charset val="136"/>
          </rPr>
          <t>下單</t>
        </r>
        <r>
          <rPr>
            <sz val="9"/>
            <color indexed="81"/>
            <rFont val="Tahoma"/>
            <family val="2"/>
          </rPr>
          <t>,10/17</t>
        </r>
        <r>
          <rPr>
            <sz val="9"/>
            <color indexed="81"/>
            <rFont val="細明體"/>
            <family val="3"/>
            <charset val="136"/>
          </rPr>
          <t>更新29.18報價</t>
        </r>
      </text>
    </comment>
    <comment ref="O301" authorId="0" shapeId="0" xr:uid="{B74BA28A-EB96-4EFC-AC91-116E0B1BBEBC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10/15</t>
        </r>
        <r>
          <rPr>
            <sz val="9"/>
            <color indexed="81"/>
            <rFont val="細明體"/>
            <family val="3"/>
            <charset val="136"/>
          </rPr>
          <t>下單</t>
        </r>
        <r>
          <rPr>
            <sz val="9"/>
            <color indexed="81"/>
            <rFont val="Tahoma"/>
            <family val="2"/>
          </rPr>
          <t>,10/17</t>
        </r>
        <r>
          <rPr>
            <sz val="9"/>
            <color indexed="81"/>
            <rFont val="細明體"/>
            <family val="3"/>
            <charset val="136"/>
          </rPr>
          <t>更新29.18報價</t>
        </r>
      </text>
    </comment>
    <comment ref="N303" authorId="0" shapeId="0" xr:uid="{269FA964-7832-4920-B02B-9134BAB70B14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10/17</t>
        </r>
        <r>
          <rPr>
            <sz val="9"/>
            <color indexed="81"/>
            <rFont val="細明體"/>
            <family val="3"/>
            <charset val="136"/>
          </rPr>
          <t>前下單</t>
        </r>
        <r>
          <rPr>
            <sz val="9"/>
            <color indexed="81"/>
            <rFont val="Tahoma"/>
            <family val="2"/>
          </rPr>
          <t>, 10/17</t>
        </r>
        <r>
          <rPr>
            <sz val="9"/>
            <color indexed="81"/>
            <rFont val="細明體"/>
            <family val="3"/>
            <charset val="136"/>
          </rPr>
          <t>後才更新報價$29.23</t>
        </r>
      </text>
    </comment>
    <comment ref="T323" authorId="0" shapeId="0" xr:uid="{24299CC0-710D-4A4A-BC15-6EAEA605BBA9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Under MOQ surcharge to ODM</t>
        </r>
      </text>
    </comment>
    <comment ref="T324" authorId="0" shapeId="0" xr:uid="{F7789022-BCC3-4999-BF32-ADDB89AD9867}">
      <text>
        <r>
          <rPr>
            <b/>
            <sz val="9"/>
            <color indexed="81"/>
            <rFont val="Tahoma"/>
            <family val="2"/>
          </rPr>
          <t>Benson:</t>
        </r>
        <r>
          <rPr>
            <sz val="9"/>
            <color indexed="81"/>
            <rFont val="Tahoma"/>
            <family val="2"/>
          </rPr>
          <t xml:space="preserve">
Under MOQ surcharge to ODM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<sst xmlns="http://schemas.openxmlformats.org/spreadsheetml/2006/main" count="23656" uniqueCount="1521">
  <si>
    <t>Platforms</t>
  </si>
  <si>
    <t>Comment</t>
  </si>
  <si>
    <t>Supplier Part#</t>
  </si>
  <si>
    <t>Table Price Aug</t>
  </si>
  <si>
    <t>加總 - Aug Q'ty</t>
  </si>
  <si>
    <t>Brac</t>
  </si>
  <si>
    <t>Flextronics CZ</t>
  </si>
  <si>
    <t>18H24AA#AC3</t>
  </si>
  <si>
    <t>1Y4D0AA#AC3</t>
  </si>
  <si>
    <t>1Y4D0UT#AC3</t>
  </si>
  <si>
    <t>Flextronics CZ 合計</t>
  </si>
  <si>
    <t>Foxconn Indy</t>
  </si>
  <si>
    <t>1Y4D0AA#ABA</t>
  </si>
  <si>
    <t>1Y4D0AA#ABC</t>
  </si>
  <si>
    <t>1Y4D0UT#ABA</t>
  </si>
  <si>
    <t>1Y4D0UT#ABC</t>
  </si>
  <si>
    <t>Foxconn Indy 合計</t>
  </si>
  <si>
    <t>Foxconn LH</t>
  </si>
  <si>
    <t>18H24AA#AB1</t>
  </si>
  <si>
    <t>18H24AA#ABA</t>
  </si>
  <si>
    <t>18H24AA#ABM</t>
  </si>
  <si>
    <t>18H24AA#AC4</t>
  </si>
  <si>
    <t>18H24AA#UUF</t>
  </si>
  <si>
    <t>1Y4D0AA#AB1</t>
  </si>
  <si>
    <t>1Y4D0AA#ABM</t>
  </si>
  <si>
    <t>1Y4D0AA#AC4</t>
  </si>
  <si>
    <t>1Y4D0AA#UUF</t>
  </si>
  <si>
    <t>1Y4D0UT#AB1</t>
  </si>
  <si>
    <t>1Y4D0UT#ABM</t>
  </si>
  <si>
    <t>1Y4D0UT#AC4</t>
  </si>
  <si>
    <t>1Y4D0UT#UUF</t>
  </si>
  <si>
    <t>Foxconn LH 合計</t>
  </si>
  <si>
    <t>QUANTA</t>
  </si>
  <si>
    <t>M40045-161</t>
  </si>
  <si>
    <t>QUANTA 合計</t>
  </si>
  <si>
    <t>Brac 合計</t>
  </si>
  <si>
    <t>總計</t>
  </si>
  <si>
    <r>
      <t xml:space="preserve">C 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一律填自己公司名稱</t>
    </r>
  </si>
  <si>
    <t>Supplier's name</t>
  </si>
  <si>
    <t>2023 12</t>
  </si>
  <si>
    <t>2024 01</t>
  </si>
  <si>
    <t>Total Q1</t>
  </si>
  <si>
    <t>Rebate amount</t>
  </si>
  <si>
    <t>E&amp;O reduction</t>
  </si>
  <si>
    <t>Complexity reduction</t>
  </si>
  <si>
    <t>1. 新增Summary_1, 原先的Summary重新命名為Summary_2</t>
  </si>
  <si>
    <t>Total amount</t>
  </si>
  <si>
    <t>2.黃色部位為貴司名稱, 請整份報告都跟檔名貴司名稱撰寫方式一致</t>
  </si>
  <si>
    <t>2024 02</t>
  </si>
  <si>
    <t>2024 03</t>
  </si>
  <si>
    <t>2024 04</t>
  </si>
  <si>
    <t>Total Q2</t>
  </si>
  <si>
    <t>3. 這些欄位一定要固定, B3-B28, C3-C28, D3-D28, E3-E28, F3-F28都有賦予定義</t>
  </si>
  <si>
    <t>4. Rebate amount 指得是summary_2的page金額 (就是我們一直以來收集的金額)</t>
  </si>
  <si>
    <t>5. 新增 E&amp;O reduction 及complexity reduction品項, 先留足空間</t>
  </si>
  <si>
    <t>若目前還未有此款項存在都先填0</t>
  </si>
  <si>
    <t>2024 05</t>
  </si>
  <si>
    <t>2024 06</t>
  </si>
  <si>
    <t>2024 07</t>
  </si>
  <si>
    <t>Total Q3</t>
  </si>
  <si>
    <t>6. 金額都放未經調整後的真實數字, 分析才具意義</t>
  </si>
  <si>
    <t>2024 08</t>
  </si>
  <si>
    <t>2024 09</t>
  </si>
  <si>
    <t>2024 10</t>
  </si>
  <si>
    <t>Total Q4</t>
  </si>
  <si>
    <t>2022 11</t>
  </si>
  <si>
    <t>2022 12</t>
  </si>
  <si>
    <t>2023 01</t>
  </si>
  <si>
    <t>2023 02</t>
  </si>
  <si>
    <t>2023 03</t>
  </si>
  <si>
    <t>2023 04</t>
  </si>
  <si>
    <t>2023 05</t>
  </si>
  <si>
    <t>2023 06</t>
  </si>
  <si>
    <t>2023 07</t>
  </si>
  <si>
    <t>2023 08</t>
  </si>
  <si>
    <t>2023 09</t>
  </si>
  <si>
    <t>2023 10</t>
  </si>
  <si>
    <t>Q1 Actual by Segment</t>
  </si>
  <si>
    <t>Segment</t>
  </si>
  <si>
    <t>Total Rebate in Q1 2023 (US$)</t>
  </si>
  <si>
    <t>CMIT Input Devices</t>
  </si>
  <si>
    <t>200 series (6U)</t>
  </si>
  <si>
    <t>400 series (S)</t>
  </si>
  <si>
    <t>600 series (B)</t>
  </si>
  <si>
    <t>800 series (P)</t>
  </si>
  <si>
    <t>1000 series (M</t>
  </si>
  <si>
    <t>MWS (Workstation)</t>
  </si>
  <si>
    <t>Soft Keyboard</t>
  </si>
  <si>
    <t>Chrome Book</t>
  </si>
  <si>
    <t>Clickpad</t>
  </si>
  <si>
    <t>Education</t>
  </si>
  <si>
    <t>Peripherals/AMO</t>
  </si>
  <si>
    <t>Desktop</t>
  </si>
  <si>
    <t>Consumer Input Devices</t>
  </si>
  <si>
    <t>OPP</t>
  </si>
  <si>
    <t>Pavillion</t>
  </si>
  <si>
    <t>Spectre</t>
  </si>
  <si>
    <t xml:space="preserve">Envy </t>
  </si>
  <si>
    <t>Stream</t>
  </si>
  <si>
    <t>Omen</t>
  </si>
  <si>
    <t>Supplier</t>
  </si>
  <si>
    <t>Input Devices</t>
  </si>
  <si>
    <t>Acrox</t>
  </si>
  <si>
    <t>Chicony</t>
  </si>
  <si>
    <t>Darfon</t>
  </si>
  <si>
    <t>Liteon</t>
  </si>
  <si>
    <t>Primax</t>
  </si>
  <si>
    <t>Sunrex</t>
  </si>
  <si>
    <t>Total Rebate Amount</t>
  </si>
  <si>
    <t>Q2 Actual by Segment</t>
  </si>
  <si>
    <t>Total Rebate in Q2 2023 (US$)</t>
  </si>
  <si>
    <t>Q3 Actual by Segment</t>
  </si>
  <si>
    <t>Total Rebate in Q3 2023 (US$)</t>
  </si>
  <si>
    <t>Q4 Actual by Segment</t>
  </si>
  <si>
    <t>Total Rebate in Q4 2023 (US$)</t>
  </si>
  <si>
    <t>Consumer/Commercial/
Peripheral</t>
  </si>
  <si>
    <t>NB/DT/Peripheral</t>
  </si>
  <si>
    <t>2020/2021/2022</t>
  </si>
  <si>
    <t>Remove Size/Color, define Platform naming
Hagrid/Hedwig/Granger/Ashmore/Ramla (follow naming rule of product list)</t>
  </si>
  <si>
    <t>NBL KB/BL KB/Mouse
/Combo/Clickpad/Others</t>
  </si>
  <si>
    <t>NA/</t>
  </si>
  <si>
    <t>(E China/W China/S China/NMC)</t>
  </si>
  <si>
    <t>COMPAL/
QUANTA
/INVENTEC
/WISTRON/
FOXCONN/
OTHERS</t>
  </si>
  <si>
    <t>FY23</t>
  </si>
  <si>
    <t>SPM (Project Owner)</t>
  </si>
  <si>
    <t>GTK Suppliers</t>
  </si>
  <si>
    <t>Category</t>
    <phoneticPr fontId="7" type="noConversion"/>
  </si>
  <si>
    <t>Series</t>
  </si>
  <si>
    <t>Production Year</t>
  </si>
  <si>
    <t>Product</t>
  </si>
  <si>
    <t>Size</t>
  </si>
  <si>
    <t>Color</t>
  </si>
  <si>
    <t>Location</t>
  </si>
  <si>
    <t>ODM</t>
    <phoneticPr fontId="13" type="noConversion"/>
  </si>
  <si>
    <t>The lowest unit table price (ODM cost)</t>
  </si>
  <si>
    <t>Table Price Nov</t>
  </si>
  <si>
    <t>Table Price Dec</t>
  </si>
  <si>
    <t>Table Price Jan</t>
  </si>
  <si>
    <t>Table Price Feb</t>
  </si>
  <si>
    <t>Table Price Mar</t>
  </si>
  <si>
    <t>Table Price Apr</t>
  </si>
  <si>
    <t>Table Price May</t>
  </si>
  <si>
    <t>Table Price Jun</t>
  </si>
  <si>
    <t>Table Price Jul</t>
  </si>
  <si>
    <t>Table Price Sep</t>
  </si>
  <si>
    <t>Table Price Oct</t>
  </si>
  <si>
    <t>The lowest unit rebate cost</t>
  </si>
  <si>
    <t>Unit Rebate Nov</t>
  </si>
  <si>
    <t>Unit Rebate Dec</t>
  </si>
  <si>
    <t>Unit Rebate Jan</t>
  </si>
  <si>
    <t>Unit Rebate Feb</t>
  </si>
  <si>
    <t>Unit Rebate Mar</t>
  </si>
  <si>
    <t>Unit Rebate Apr</t>
  </si>
  <si>
    <t>Unit Rebate May</t>
  </si>
  <si>
    <t>Unit Rebate Jun</t>
  </si>
  <si>
    <t>Unit Rebate Jul</t>
  </si>
  <si>
    <t>Unit Rebate Aug</t>
  </si>
  <si>
    <t>Unit Rebate Sep</t>
  </si>
  <si>
    <t>Unit Rebate Oct</t>
  </si>
  <si>
    <t>Nov Q'ty</t>
  </si>
  <si>
    <t>Nov Rebate Amount</t>
  </si>
  <si>
    <t>Dec Q'ty</t>
  </si>
  <si>
    <t>Dec Rebate Amount</t>
  </si>
  <si>
    <t>Jan Q'ty</t>
  </si>
  <si>
    <t>Jan Rebate Amount</t>
  </si>
  <si>
    <t>Feb Q'ty</t>
  </si>
  <si>
    <t>Feb Rebate Amount</t>
  </si>
  <si>
    <t>Mar Q'ty</t>
  </si>
  <si>
    <t>Mar Rebate Amount</t>
  </si>
  <si>
    <t>Apr Q'ty</t>
  </si>
  <si>
    <t>Apr Rebate Amount</t>
  </si>
  <si>
    <t>May Q'ty</t>
  </si>
  <si>
    <t>May Rebate Amount</t>
  </si>
  <si>
    <t>Jun Q'ty</t>
  </si>
  <si>
    <t>Jun Rebate Amount</t>
  </si>
  <si>
    <t>Jul Q'ty</t>
  </si>
  <si>
    <t>Jul Rebate Amount</t>
  </si>
  <si>
    <t>Aug Q'ty</t>
  </si>
  <si>
    <t>Aug Rebate Amount</t>
  </si>
  <si>
    <t>Sep Q'ty</t>
  </si>
  <si>
    <t>Sep Rebate Amount</t>
  </si>
  <si>
    <t>Oct Q'ty</t>
  </si>
  <si>
    <t>Oct Rebate Amount</t>
  </si>
  <si>
    <t>REMARK1</t>
    <phoneticPr fontId="4" type="noConversion"/>
  </si>
  <si>
    <t>Allen Chen</t>
  </si>
  <si>
    <t>Acrox</t>
    <phoneticPr fontId="3" type="noConversion"/>
  </si>
  <si>
    <t>Peripheral</t>
  </si>
  <si>
    <t>Peripherals</t>
  </si>
  <si>
    <t>BOGOTA</t>
    <phoneticPr fontId="3" type="noConversion"/>
  </si>
  <si>
    <t>Mouse</t>
    <phoneticPr fontId="3" type="noConversion"/>
  </si>
  <si>
    <t>NA</t>
    <phoneticPr fontId="3" type="noConversion"/>
  </si>
  <si>
    <t>Black</t>
    <phoneticPr fontId="4" type="noConversion"/>
  </si>
  <si>
    <t>S China</t>
  </si>
  <si>
    <t>OTHERS</t>
  </si>
  <si>
    <t>4QM14AA#ACJ/CPS/2880/EM</t>
  </si>
  <si>
    <t>BOGOTA</t>
    <phoneticPr fontId="4" type="noConversion"/>
  </si>
  <si>
    <t>Mouse</t>
  </si>
  <si>
    <t>NA</t>
  </si>
  <si>
    <t>4QM14AA#UUF/CPS/2880/EM</t>
  </si>
  <si>
    <t>Simon Yang</t>
  </si>
  <si>
    <t>BRAC</t>
  </si>
  <si>
    <t>Combo</t>
  </si>
  <si>
    <t>18H24AA#UUF/CPS/1280/GBU</t>
  </si>
  <si>
    <t>1Y4D0AA#UUF/BPS/1280/GBU</t>
  </si>
  <si>
    <t>M40045-161/DIB/1080/Brown box</t>
  </si>
  <si>
    <t>1Y4D0AA#AC3/BPS/1280/GBU</t>
  </si>
  <si>
    <t>18H24AA#ABM/CPS/1280/GBU</t>
  </si>
  <si>
    <t>1Y4D0AA#ABM/BPS/1280/GBU</t>
  </si>
  <si>
    <t>BRAC WHITE</t>
  </si>
  <si>
    <t>White</t>
    <phoneticPr fontId="4" type="noConversion"/>
  </si>
  <si>
    <t>M40043-161/DIB/2520/Brown box</t>
  </si>
  <si>
    <t>BRAC WLKB</t>
  </si>
  <si>
    <t>NBL KB</t>
  </si>
  <si>
    <t>3L1E7AA#AC3/CPS/1200/GBU</t>
  </si>
  <si>
    <t>3L1E7AA#ABM/CPS/1200/GBU</t>
  </si>
  <si>
    <t>BRAIN</t>
  </si>
  <si>
    <t>Nightfull black</t>
  </si>
  <si>
    <t>1D0K8AA#ABA/BPS/1008/BOX</t>
  </si>
  <si>
    <t>Natural Silver</t>
  </si>
  <si>
    <t>1D0K9AA#ABB/CPS/1008/BOX</t>
  </si>
  <si>
    <t>CAPRI</t>
  </si>
  <si>
    <t>Black</t>
  </si>
  <si>
    <t>9DF28AA#UUF/CPS/1440/GBU</t>
  </si>
  <si>
    <t>DRAKE2</t>
    <phoneticPr fontId="4" type="noConversion"/>
  </si>
  <si>
    <t>L77352-001/DIB/1800/bulk pack</t>
  </si>
  <si>
    <t>ELEPHANTA</t>
  </si>
  <si>
    <t>240J7AA#AC3/CPS/5200/GBU</t>
  </si>
  <si>
    <t>240J7AA#ACJ/CPS/5200/GBU</t>
  </si>
  <si>
    <t>240J7AA#ABM/CPS/5200/GBU</t>
  </si>
  <si>
    <t>ELEPHANTA KB</t>
  </si>
  <si>
    <t>664R5AA#ACJ/CPS/5600/GBU</t>
  </si>
  <si>
    <t>664R5AA#UUF/CPS/5600/GBU</t>
  </si>
  <si>
    <t>GADGET</t>
  </si>
  <si>
    <t>V0L79AA#UUF/CPS/1560/GBU</t>
  </si>
  <si>
    <r>
      <t>(</t>
    </r>
    <r>
      <rPr>
        <sz val="11"/>
        <color theme="1"/>
        <rFont val="細明體"/>
        <family val="3"/>
        <charset val="136"/>
      </rPr>
      <t>上海</t>
    </r>
    <r>
      <rPr>
        <sz val="11"/>
        <color theme="1"/>
        <rFont val="Calibri"/>
        <family val="2"/>
      </rPr>
      <t>)</t>
    </r>
  </si>
  <si>
    <t>White</t>
  </si>
  <si>
    <t>V0L80AA#UUF/CPS/1560/GBU/Shanghai</t>
  </si>
  <si>
    <t>Rose Gold</t>
  </si>
  <si>
    <t>L77931-001/DIB/1000/bulk pack</t>
  </si>
  <si>
    <t>Ceramic White</t>
  </si>
  <si>
    <t>171D8AA#ABB/CPS/1560/GBU</t>
  </si>
  <si>
    <t>Tranquil Pink(painting)</t>
  </si>
  <si>
    <t>4VY82AA#ABB/CPS/1560/GBU</t>
  </si>
  <si>
    <t>V0L79AA#ABB/CPS/1560/GBU</t>
  </si>
  <si>
    <t>V0L80AA#ABB/CPS/1560/GBU</t>
  </si>
  <si>
    <t>Blue</t>
  </si>
  <si>
    <t>V0L81AA#ABB/CPS/1560/GBU</t>
  </si>
  <si>
    <t>Gold(painting)</t>
  </si>
  <si>
    <t>X7Q43AA#ABB/CPS/1560/GBU</t>
  </si>
  <si>
    <t>NSilver(painting)</t>
  </si>
  <si>
    <t>L73781-201/DIB/1000/bulk pack</t>
  </si>
  <si>
    <t>Silver(painting)</t>
  </si>
  <si>
    <t>X7Q44AA#UUF/CPS/1560/GBUShanghai</t>
  </si>
  <si>
    <t>GALAPAGOS</t>
  </si>
  <si>
    <t>6VY96AA#ACJ/CPS/6720/EM</t>
  </si>
  <si>
    <t>6VY96AA#UUF/CPS/2880/EM</t>
  </si>
  <si>
    <t>6VY96AA#ABM/CPS/6720/EM</t>
  </si>
  <si>
    <t>6VY96AA#ABB/CPS/2880/EM</t>
  </si>
  <si>
    <t>HAVELOCK</t>
  </si>
  <si>
    <t>2V9E6AA#AC3/CPS/5280/GBU</t>
  </si>
  <si>
    <t>2V9E6AA#ACJ/CPS/5280/GBU</t>
  </si>
  <si>
    <t>IVY DONGLE</t>
    <phoneticPr fontId="4" type="noConversion"/>
  </si>
  <si>
    <t>Others</t>
    <phoneticPr fontId="3" type="noConversion"/>
  </si>
  <si>
    <t>6E+P8C01.001/1000/Tray</t>
  </si>
  <si>
    <t>JERRY</t>
  </si>
  <si>
    <t>1D0K2AA#AC3/BPS/1008/BOX</t>
  </si>
  <si>
    <t>KENTING PLUS</t>
  </si>
  <si>
    <t>4E407AA#AB2/BPS/2880/EM</t>
  </si>
  <si>
    <t>4E407AA#ACJ/BPS/2880/EM</t>
  </si>
  <si>
    <t>4E407AA#ABL/BPS/2880/Brown box</t>
  </si>
  <si>
    <t>KINGKONG</t>
  </si>
  <si>
    <t>3ML04AA#UUF/CPS/1280/GBU</t>
  </si>
  <si>
    <t>KITKAT</t>
  </si>
  <si>
    <t>2S9L1AA#ABM/CPS/6720/EM</t>
  </si>
  <si>
    <t>2S9L1AA#ABB/CPS/6720/EM</t>
  </si>
  <si>
    <t>2S9L1AA#UUF/CPS/6720/EM</t>
  </si>
  <si>
    <t>2S9L1AA#ACJ/CPS/6720/EM</t>
  </si>
  <si>
    <t>MICKEY</t>
  </si>
  <si>
    <t>6E6F0AA#ABL/BPS/1200/BOX</t>
  </si>
  <si>
    <t>6E6F2AA#ABL/CPS/1200/BOX</t>
  </si>
  <si>
    <t>MILKA B</t>
  </si>
  <si>
    <t>Pike silver</t>
  </si>
  <si>
    <t>43N04AA#ABB/CPS/2880/EM</t>
  </si>
  <si>
    <t>RED</t>
  </si>
  <si>
    <t>43N05AA#ABB/CPS/2880/EM</t>
  </si>
  <si>
    <t>793F9AA#ABB/CPS/2880/EM</t>
  </si>
  <si>
    <t>MOSCOW BLUE LED</t>
  </si>
  <si>
    <t>3FV66AA#UUF/CPS/1404/GBU</t>
  </si>
  <si>
    <t>L13998-001/DIB/3000/bulk pack</t>
  </si>
  <si>
    <t>L13998-002/DIB/3000/bulk pack</t>
  </si>
  <si>
    <t>3FV66AA#ABB/CPS/6720/EM</t>
  </si>
  <si>
    <t>Sred</t>
  </si>
  <si>
    <t>7KX10AA#ABB/CPS/1380/EM</t>
  </si>
  <si>
    <t>7KX11AA#ABB/CPS/1380/EM</t>
  </si>
  <si>
    <t>Snow White</t>
  </si>
  <si>
    <t>7KX12AA#ABB/CPS/1380/EM</t>
  </si>
  <si>
    <t>MOSCOW2 BLUE LED</t>
  </si>
  <si>
    <t>3FV67AA#ACJ/CPS/2880/EM</t>
  </si>
  <si>
    <t>3FV67AA#UUF/CPS/1404/GBU</t>
  </si>
  <si>
    <t>3FV67AA#ABL/CPS/1404/GBU</t>
  </si>
  <si>
    <t>NANJING</t>
    <phoneticPr fontId="4" type="noConversion"/>
  </si>
  <si>
    <t>NBL KB</t>
    <phoneticPr fontId="4" type="noConversion"/>
  </si>
  <si>
    <t>2UN30AA#AB2/1260/GBU</t>
  </si>
  <si>
    <t>NANJING</t>
  </si>
  <si>
    <t>L07896-DB1/DIB/1000/Brown box</t>
  </si>
  <si>
    <t>OMAN</t>
  </si>
  <si>
    <t>Empress red</t>
  </si>
  <si>
    <t>2HU82AA#ABB/CPS/1404/GBU</t>
  </si>
  <si>
    <t>902786-001/DIB/1000/bulk pack</t>
  </si>
  <si>
    <t>M53402-001/DIB/3000/bulk pack</t>
  </si>
  <si>
    <t>PIKE SILVER</t>
  </si>
  <si>
    <t>2HU84AA#ABB/CPS/1404/GBU</t>
  </si>
  <si>
    <t>2HU84AA#ABL/CPS/2880/EM</t>
  </si>
  <si>
    <t>X6W31AA#ABB/CPS/11232/GBU</t>
  </si>
  <si>
    <t>(G3K)</t>
  </si>
  <si>
    <t>Silk Gold</t>
  </si>
  <si>
    <t>2HU83AA#ABL/CPS/2880/EM</t>
  </si>
  <si>
    <t>OREO</t>
  </si>
  <si>
    <t>240J6AA#ACJ/CPS/6720/EM</t>
  </si>
  <si>
    <t>240J6AA#UUF/CPS/6720/EM</t>
  </si>
  <si>
    <t>S China</t>
    <phoneticPr fontId="3" type="noConversion"/>
  </si>
  <si>
    <t>OTHERS</t>
    <phoneticPr fontId="3" type="noConversion"/>
  </si>
  <si>
    <t>240J6AA#ABB/CPS/6720/EM</t>
  </si>
  <si>
    <t>VAL VENTURA</t>
    <phoneticPr fontId="3" type="noConversion"/>
  </si>
  <si>
    <t>M89938-001/DIB/1000/Brown box</t>
  </si>
  <si>
    <t>18H24AA#ABA/CPS/1280/GBU</t>
  </si>
  <si>
    <t>18H24AA#AC3/CPS/1280/GBU</t>
  </si>
  <si>
    <t>X7Q44AA#ABB/CPS/1560/GBU</t>
  </si>
  <si>
    <t>GADGET DUAL</t>
  </si>
  <si>
    <t>758A8AA#ABB/CPS/1020/EM</t>
  </si>
  <si>
    <t>Silver</t>
  </si>
  <si>
    <t>758A9AA#ABB/CPS/1020/EM</t>
  </si>
  <si>
    <t>JAIPUR</t>
    <phoneticPr fontId="3" type="noConversion"/>
  </si>
  <si>
    <t>850633-001/DIB/1000/Brown box</t>
  </si>
  <si>
    <t>1D0K2AA#ABA/BPS/1008/BOX</t>
  </si>
  <si>
    <t>1D0K2AA#UUF/BPS/1008/BOX</t>
  </si>
  <si>
    <t>6E6F0AA#ABB/BPS/1200/BOX</t>
  </si>
  <si>
    <t>6E6F0AA#UUF/BPS/1200/BOX</t>
  </si>
  <si>
    <t>6E6F2AA#ABB/CPS/1200/BOX</t>
  </si>
  <si>
    <t>6E6F2AA#UUF/CPS/1200/BOX</t>
  </si>
  <si>
    <t>3V0G9AA#ABM/CPS/2880/EM</t>
  </si>
  <si>
    <t>793F9AA#UUF/CPS/2880/EM</t>
  </si>
  <si>
    <t>2HU83AA#ABB/CPS/1404/GBU</t>
  </si>
  <si>
    <t>240J6AA#ABM/CPS/6720/EM</t>
  </si>
  <si>
    <t>SOCHI</t>
  </si>
  <si>
    <t>6V2J7AA#ABB/CPS/3640/EM</t>
  </si>
  <si>
    <t>Universe Blue</t>
  </si>
  <si>
    <t>N19080-001/DIB/3000/bulk pack</t>
  </si>
  <si>
    <t>758A8AA#UUF/CPS/1020/EM</t>
  </si>
  <si>
    <t>758A9AA#UUF/CPS/1020/EM</t>
  </si>
  <si>
    <t>6E6F1AA#ABL/CPS/1200/BOX</t>
  </si>
  <si>
    <t>43N04AA#ABM/CPS/2880/EM</t>
  </si>
  <si>
    <t>3V0G9AA#UUF/CPS/2880/EM</t>
  </si>
  <si>
    <t>X6W31AA#ABL/CPS/11520/EM</t>
  </si>
  <si>
    <t>6V2J7AA#UUF/CPS/3640/EM</t>
  </si>
  <si>
    <t>6V2J7AA#ABL/CPS/3640/EM</t>
  </si>
  <si>
    <t>KENTING</t>
  </si>
  <si>
    <t>Jack Black</t>
  </si>
  <si>
    <t>6VY95AA#ABM/CPS/1404/GBU</t>
  </si>
  <si>
    <t>683N/CPS/2880/EM</t>
  </si>
  <si>
    <t>Gadget/CPS/EM</t>
  </si>
  <si>
    <t>391R4AA#ABB/CPS/1404/GBU</t>
  </si>
  <si>
    <t>OREO BPS</t>
  </si>
  <si>
    <t>5B8B7AA#ACJ/BPS/6720/Brown box</t>
  </si>
  <si>
    <t>3L1F0AA#</t>
  </si>
  <si>
    <t>5B8C0AA#ACJ/BPS/5200/Brown box</t>
  </si>
  <si>
    <t>3ML04AA#AC3/CPS/1280/GBU</t>
  </si>
  <si>
    <t>9DF28AA#AC3/CPS/1440/GBU</t>
  </si>
  <si>
    <t>18H24AA#AB1/CPS/1280/GBU</t>
  </si>
  <si>
    <t>1Y4D0AA#ABA/BPS/1280/GBU</t>
  </si>
  <si>
    <t>1Y4D0AA#AB1/BPS/1280/GBU</t>
  </si>
  <si>
    <t>3L1F0AA#UUF/CPS/2880/GBU</t>
  </si>
  <si>
    <t>3L1F0AA#ABM/CPS/2880/GBU</t>
  </si>
  <si>
    <t>3L1F0AA#AC3/CPS/2880/GBU</t>
  </si>
  <si>
    <t>3L1E7AA#UUF/CPS/1200/GBU</t>
  </si>
  <si>
    <t>240J7AA#UUF/CPS/5200/GBU</t>
  </si>
  <si>
    <t>664R5AA#AC3/CPS/5600/GBU</t>
  </si>
  <si>
    <t>664R5AA#ABM/CPS/5600/GBU</t>
  </si>
  <si>
    <t>2V9E6AA#UUF/CPS/5280/GBU</t>
  </si>
  <si>
    <t>BRAZILIA</t>
    <phoneticPr fontId="3" type="noConversion"/>
  </si>
  <si>
    <t>H2C21AA#ACJ//11340/EM</t>
    <phoneticPr fontId="4" type="noConversion"/>
  </si>
  <si>
    <t>758A8AA#ABA/CPS/1020/EM</t>
  </si>
  <si>
    <t>758A9AA#ABA/CPS/1020/EM</t>
  </si>
  <si>
    <t>6E6F1AA#UUF/CPS/1200/BOX</t>
  </si>
  <si>
    <t>Red</t>
  </si>
  <si>
    <t>V0L82AA#ABB/CPS/1560/GBU</t>
  </si>
  <si>
    <t>X7Q43AA#UUF/CPS/1560/GBU</t>
  </si>
  <si>
    <t>Lumiere Blue</t>
  </si>
  <si>
    <t>7UH88AA#ABB/CPS/1560/GBU</t>
  </si>
  <si>
    <t>Forest</t>
  </si>
  <si>
    <t>171D9AA#ABB/CPS/1560/GBU</t>
  </si>
  <si>
    <t>X6W31AA#UUF/CPS/2880/EM</t>
  </si>
  <si>
    <t>(G7A)</t>
  </si>
  <si>
    <t>2HU82AA#ABL/CPS/2880/EM</t>
  </si>
  <si>
    <t>2HU82AA#UUF/CPS/2880/EM</t>
  </si>
  <si>
    <t>(G7A)</t>
    <phoneticPr fontId="4" type="noConversion"/>
  </si>
  <si>
    <t>2HU84AA#UUF/CPS/2880/EM</t>
  </si>
  <si>
    <t>Mrn Blue</t>
  </si>
  <si>
    <t>2HU85AA#ABL/CPS/2880/EM</t>
  </si>
  <si>
    <t>2HU85AA#UUF/CPS/2880/EM</t>
  </si>
  <si>
    <t>4QM14AA#ABB/CPS/6720/EM</t>
  </si>
  <si>
    <t>6VY95AA#ACJ/CPS/2880/EM</t>
  </si>
  <si>
    <t>6VY95AA#UUF/CPS/2880/EM</t>
  </si>
  <si>
    <t>6VY95AA#ABB/CPS/2880/EM</t>
  </si>
  <si>
    <t>1D0K8AA#UUF/BPS/1008/BOX</t>
  </si>
  <si>
    <t>1D0K9AA#UUF/CPS/1008/BOX</t>
  </si>
  <si>
    <t>3V0G9AA#ABB/CPS/2880/EM</t>
  </si>
  <si>
    <t>43N04AA#UUF/CPS/2880/EM</t>
  </si>
  <si>
    <t>43N05AA#ABM/CPS/2880/EM</t>
  </si>
  <si>
    <t>43N05AA#UUF/CPS/2880/EM</t>
  </si>
  <si>
    <t>4E407AA#UUF/BPS/2880/Brown box</t>
  </si>
  <si>
    <t>4E407AA#AC3/BPS/2880/Brown box</t>
  </si>
  <si>
    <t>848201-052/DIB/1000/bulk pack</t>
  </si>
  <si>
    <t>Underwater Teal</t>
  </si>
  <si>
    <t>M53860-001/DIB/3000/bulk pack</t>
  </si>
  <si>
    <t>Peacock Teal</t>
  </si>
  <si>
    <t>N19082-001/DIB/3000/bulk pack</t>
  </si>
  <si>
    <t>M49894-001/DIB/1000/bulk pack</t>
  </si>
  <si>
    <t>Moonlight Blue</t>
  </si>
  <si>
    <t>N38404-001/DIB/3000/bulk pack</t>
  </si>
  <si>
    <r>
      <t>(G79)(</t>
    </r>
    <r>
      <rPr>
        <sz val="11"/>
        <color theme="1"/>
        <rFont val="微軟正黑體"/>
        <family val="2"/>
        <charset val="136"/>
      </rPr>
      <t>廣達</t>
    </r>
    <r>
      <rPr>
        <sz val="11"/>
        <color theme="1"/>
        <rFont val="Calibri"/>
        <family val="2"/>
      </rPr>
      <t>+</t>
    </r>
    <r>
      <rPr>
        <sz val="11"/>
        <color theme="1"/>
        <rFont val="微軟正黑體"/>
        <family val="2"/>
        <charset val="136"/>
      </rPr>
      <t>英業達</t>
    </r>
    <r>
      <rPr>
        <sz val="11"/>
        <color theme="1"/>
        <rFont val="Calibri"/>
        <family val="2"/>
      </rPr>
      <t>)</t>
    </r>
    <phoneticPr fontId="4" type="noConversion"/>
  </si>
  <si>
    <t>1D0K8AA#AC3/BPS/1008/BOX</t>
  </si>
  <si>
    <t>X7Q43AA#ABB/CPS/1560/GBU/Shanghai</t>
  </si>
  <si>
    <t>3ML04AA#ABL/CPS/1280/GBU</t>
  </si>
  <si>
    <t>793F9AA#ABA/CPS/2880/EM</t>
  </si>
  <si>
    <t>M53402-001/DIB/1000/bulk pack</t>
  </si>
  <si>
    <t>3FV67AA#ABB/CPS/1404/GBU</t>
  </si>
  <si>
    <t>X6W31AA#ACJ/CPS/2880/EM</t>
  </si>
  <si>
    <t>3ML04AA#ABM/CPS/1280/GBU</t>
  </si>
  <si>
    <t>2V9E6AA#ABM/CPS/5280/GBU</t>
  </si>
  <si>
    <t>L77930-001/DIB/1000/bulk pack</t>
  </si>
  <si>
    <t>Lavender</t>
  </si>
  <si>
    <t>N43864-001/DIB/3000/bulk pack</t>
  </si>
  <si>
    <r>
      <t>(G79)(</t>
    </r>
    <r>
      <rPr>
        <sz val="11"/>
        <color theme="1"/>
        <rFont val="細明體"/>
        <family val="3"/>
        <charset val="136"/>
      </rPr>
      <t>廣達</t>
    </r>
    <r>
      <rPr>
        <sz val="11"/>
        <color theme="1"/>
        <rFont val="Calibri"/>
        <family val="2"/>
      </rPr>
      <t>+</t>
    </r>
    <r>
      <rPr>
        <sz val="11"/>
        <color theme="1"/>
        <rFont val="細明體"/>
        <family val="3"/>
        <charset val="136"/>
      </rPr>
      <t>英業達</t>
    </r>
    <r>
      <rPr>
        <sz val="11"/>
        <color theme="1"/>
        <rFont val="Calibri"/>
        <family val="2"/>
      </rPr>
      <t>)</t>
    </r>
  </si>
  <si>
    <t>Seafoam Teal</t>
  </si>
  <si>
    <t>N43866-001/DIB/3000/bulk pack</t>
  </si>
  <si>
    <t>N37102-001/DIB/3000/bulk pack</t>
  </si>
  <si>
    <r>
      <t>(</t>
    </r>
    <r>
      <rPr>
        <sz val="11"/>
        <color theme="1"/>
        <rFont val="細明體"/>
        <family val="3"/>
        <charset val="136"/>
      </rPr>
      <t>廣達</t>
    </r>
    <r>
      <rPr>
        <sz val="11"/>
        <color theme="1"/>
        <rFont val="Calibri"/>
        <family val="2"/>
      </rPr>
      <t>)</t>
    </r>
  </si>
  <si>
    <r>
      <t>(</t>
    </r>
    <r>
      <rPr>
        <sz val="11"/>
        <color theme="1"/>
        <rFont val="細明體"/>
        <family val="3"/>
        <charset val="136"/>
      </rPr>
      <t>英業達</t>
    </r>
    <r>
      <rPr>
        <sz val="11"/>
        <color theme="1"/>
        <rFont val="Calibri"/>
        <family val="2"/>
      </rPr>
      <t>)</t>
    </r>
  </si>
  <si>
    <t>DROSTE</t>
    <phoneticPr fontId="4" type="noConversion"/>
  </si>
  <si>
    <t>L33384-001/DIB/1800/bulk pack</t>
  </si>
  <si>
    <t>18H24AA#AC4/CPS/1280/GBU</t>
  </si>
  <si>
    <t>3L1E7AA#AC4/CPS/1200/GBU</t>
  </si>
  <si>
    <t>664R5AA#ABL/CPS/5600/GBU</t>
  </si>
  <si>
    <t>2V9E6AA#AC4/CPS/5280/GBU</t>
  </si>
  <si>
    <t>HAVELOCK KB</t>
  </si>
  <si>
    <t>805T1AA#AC3/BPS/5400/Brown box</t>
  </si>
  <si>
    <t>805T2AA#AC3/CPS/5400/GBU</t>
  </si>
  <si>
    <t>V0L79AA#UUF/CPS/1560/EM</t>
  </si>
  <si>
    <t>V0L80AA#UUF/CPS/1560/EM</t>
  </si>
  <si>
    <t>(G79)</t>
    <phoneticPr fontId="4" type="noConversion"/>
  </si>
  <si>
    <t>X7Q43AA#UUF/CPS/1560/EM</t>
  </si>
  <si>
    <t>X7Q44AA#UUF/CPS/1560/EM</t>
  </si>
  <si>
    <t>3FV66AA#UUF/CPS/1380/EM</t>
  </si>
  <si>
    <t>X6W31AA#ABB/CPS/4320/EM</t>
  </si>
  <si>
    <t>G7A)</t>
  </si>
  <si>
    <t>M53402-001/DIB/3600/bulk pack</t>
  </si>
  <si>
    <t>4X491AA#AC3/BPS/1000/Brown box</t>
  </si>
  <si>
    <t>805T1AA#ABA/BPS/5400/Brown box</t>
  </si>
  <si>
    <t>805T2AA#UUF/CPS/5400/GBU</t>
  </si>
  <si>
    <t>822M9AA#ABA/BPS/2880/Brown box</t>
    <phoneticPr fontId="4" type="noConversion"/>
  </si>
  <si>
    <t>822M9AA#UUF/BPS/2880/Brown box</t>
  </si>
  <si>
    <t>81S67AA#ABB/BPS/2880/Brown box</t>
  </si>
  <si>
    <t>81S67AA#UUF/BPS/2880/Brown box</t>
  </si>
  <si>
    <t>171D8AA#ABB/CPS/4320/EM</t>
  </si>
  <si>
    <t>L77930-001/DIB/3600/bulk pack</t>
  </si>
  <si>
    <t>M49894-001/DIB/3600/bulk pack</t>
  </si>
  <si>
    <t>V0L79AA#ABB/CPS/4320/EM</t>
  </si>
  <si>
    <t>V0L80AA#ABB/CPS/4320/EM</t>
  </si>
  <si>
    <t>X7Q43AA#ABB/CPS/4320/EM</t>
  </si>
  <si>
    <t>X7Q44AA#ABB/CPS/4320/EM</t>
  </si>
  <si>
    <t>4QM14AA#ABL/CPS/2880/EM</t>
  </si>
  <si>
    <t>240J7AA#AC4/CPS/5200/GBU</t>
  </si>
  <si>
    <t>805T2AA#ABM/CPS/5400/GBU</t>
  </si>
  <si>
    <t>805T2AA#ABA/CPS/5400/GBU</t>
  </si>
  <si>
    <t>2V9E6AA#ABL/CPS/5280/GBU</t>
  </si>
  <si>
    <t>1Y4D0AA#ABC/BPS/1280/GBU</t>
  </si>
  <si>
    <t>7UH88AA#ABB/CPS/4320/EM</t>
  </si>
  <si>
    <t>2HU84AA#ABB/CPS/4320/EM</t>
  </si>
  <si>
    <t>M03085-001/DIB/3000/bulk pack</t>
  </si>
  <si>
    <t>3L1E7AA#ABA/CPS/1200/GBU</t>
  </si>
  <si>
    <t>Black(painting)</t>
  </si>
  <si>
    <t>V0L79AA#ABL/CPS/1728/GBU</t>
  </si>
  <si>
    <t>X7Q43AA#ABL/CPS/1728/GBU</t>
  </si>
  <si>
    <t>7UH88AA#ABL/CPS/1728/GBU</t>
  </si>
  <si>
    <t>4E407AA#ABM/BPS/2880/EM</t>
  </si>
  <si>
    <t>V0L80AA#UUF/CPS/1560/GBU</t>
  </si>
  <si>
    <t>1Y4D0AA#AC4/BPS/1280/GBU</t>
  </si>
  <si>
    <t>Total Rebate in Q1 2024 (US$)</t>
  </si>
  <si>
    <t>Total Rebate in Q2 2024 (US$)</t>
  </si>
  <si>
    <t>Total Rebate in Q3 2024 (US$)</t>
  </si>
  <si>
    <t>Total Rebate in Q4 2024 (US$)</t>
  </si>
  <si>
    <t>Compal</t>
  </si>
  <si>
    <t>FOX CQ</t>
  </si>
  <si>
    <t>Foxconn CZ</t>
  </si>
  <si>
    <t>HP India</t>
  </si>
  <si>
    <t>Inventec</t>
  </si>
  <si>
    <t>Ryder Indy</t>
  </si>
  <si>
    <t>Shanghai</t>
  </si>
  <si>
    <t>列標籤</t>
  </si>
  <si>
    <t>加總 - Jul Q'ty</t>
  </si>
  <si>
    <t>171D8AA#ABB</t>
  </si>
  <si>
    <t>1D0K2AA#ABA</t>
  </si>
  <si>
    <t>1D0K2AA#AC3</t>
  </si>
  <si>
    <t>1D0K2AA#UUF</t>
  </si>
  <si>
    <t>1D0K8AA#ABA</t>
  </si>
  <si>
    <t>1D0K8AA#AC3</t>
  </si>
  <si>
    <t>1D0K8AA#UUF</t>
  </si>
  <si>
    <t>1D0K9AA#ABB</t>
  </si>
  <si>
    <t>1D0K9AA#UUF</t>
  </si>
  <si>
    <t>240J6AA#ABB</t>
  </si>
  <si>
    <t>240J6AA#ABM</t>
  </si>
  <si>
    <t>240J6AA#ACJ</t>
  </si>
  <si>
    <t>240J6AA#UUF</t>
  </si>
  <si>
    <t>240J7AA#ABL</t>
  </si>
  <si>
    <t>240J7AA#ABM</t>
  </si>
  <si>
    <t>240J7AA#AC3</t>
  </si>
  <si>
    <t>240J7AA#AC4</t>
  </si>
  <si>
    <t>240J7AA#ACJ</t>
  </si>
  <si>
    <t>240J7AA#UUF</t>
  </si>
  <si>
    <t>2HU82AA#ABB</t>
  </si>
  <si>
    <t>2HU82AA#ABL</t>
  </si>
  <si>
    <t>2HU82AA#UUF</t>
  </si>
  <si>
    <t>2HU83AA#ABB</t>
  </si>
  <si>
    <t>2HU83AA#ABL</t>
  </si>
  <si>
    <t>2HU84AA#ABB</t>
  </si>
  <si>
    <t>2HU84AA#ABL</t>
  </si>
  <si>
    <t>2HU84AA#UUF</t>
  </si>
  <si>
    <t>2HU85AA#ABL</t>
  </si>
  <si>
    <t>2HU85AA#UUF</t>
  </si>
  <si>
    <t>2S9L1AA#ABB</t>
  </si>
  <si>
    <t>2S9L1AA#ABL</t>
  </si>
  <si>
    <t>2S9L1AA#ABM</t>
  </si>
  <si>
    <t>2S9L1AA#ACJ</t>
  </si>
  <si>
    <t>2S9L1AA#UUF</t>
  </si>
  <si>
    <t>2UN30AA#AB2</t>
  </si>
  <si>
    <t>2V9E6AA#ABL</t>
  </si>
  <si>
    <t>2V9E6AA#ABM</t>
  </si>
  <si>
    <t>2V9E6AA#AC3</t>
  </si>
  <si>
    <t>2V9E6AA#AC4</t>
  </si>
  <si>
    <t>2V9E6AA#ACJ</t>
  </si>
  <si>
    <t>2V9E6AA#UUF</t>
  </si>
  <si>
    <t>3FV66AA#ABB</t>
  </si>
  <si>
    <t>3FV66AA#UUF</t>
  </si>
  <si>
    <t>3L1E7AA#ABA</t>
  </si>
  <si>
    <t>3L1E7AA#ABJ</t>
  </si>
  <si>
    <t>3L1E7AA#ABM</t>
  </si>
  <si>
    <t>3L1E7AA#AC3</t>
  </si>
  <si>
    <t>3L1E7AA#AC4</t>
  </si>
  <si>
    <t>3L1E7AA#UUF</t>
  </si>
  <si>
    <t>3L1F0AA#ABM</t>
  </si>
  <si>
    <t>3L1F0AA#AC3</t>
  </si>
  <si>
    <t>3L1F0AA#UUF</t>
  </si>
  <si>
    <t>3ML04AA#ABL</t>
  </si>
  <si>
    <t>3ML04AA#ABM</t>
  </si>
  <si>
    <t>3ML04AA#AC3</t>
  </si>
  <si>
    <t>3ML04AA#UUF</t>
  </si>
  <si>
    <t>3V0G9AA#ABB</t>
  </si>
  <si>
    <t>3V0G9AA#ABM</t>
  </si>
  <si>
    <t>3V0G9AA#UUF</t>
  </si>
  <si>
    <t>43N04AA#ABA</t>
  </si>
  <si>
    <t>43N04AA#ABB</t>
  </si>
  <si>
    <t>43N04AA#ABM</t>
  </si>
  <si>
    <t>43N04AA#UUF</t>
  </si>
  <si>
    <t>43N05AA#ABB</t>
  </si>
  <si>
    <t>43N05AA#ABM</t>
  </si>
  <si>
    <t>43N05AA#UUF</t>
  </si>
  <si>
    <t>4E407AA#ABL</t>
  </si>
  <si>
    <t>4E407AA#ABM</t>
  </si>
  <si>
    <t>4E407AA#AC3</t>
  </si>
  <si>
    <t>4E407AA#ACJ</t>
  </si>
  <si>
    <t>4E407AA#UUF</t>
  </si>
  <si>
    <t>4E407UT#ABL</t>
  </si>
  <si>
    <t>0</t>
  </si>
  <si>
    <t>4E407UT#ABM</t>
  </si>
  <si>
    <t>4E407UT#AC3</t>
  </si>
  <si>
    <t>4E407UT#UUF</t>
  </si>
  <si>
    <t>4QM14AA#ABB</t>
  </si>
  <si>
    <t>4QM14AA#ABL</t>
  </si>
  <si>
    <t>4QM14AA#UUF</t>
  </si>
  <si>
    <t>4VY82AA#ABB</t>
  </si>
  <si>
    <t>5B8B7AA#ACJ</t>
  </si>
  <si>
    <t>664R5AA#ABL</t>
  </si>
  <si>
    <t>664R5AA#ABM</t>
  </si>
  <si>
    <t>664R5AA#AC3</t>
  </si>
  <si>
    <t>664R5AA#ACJ</t>
  </si>
  <si>
    <t>664R5AA#UUF</t>
  </si>
  <si>
    <t>681S1AA#ABL</t>
  </si>
  <si>
    <t>683N7AA#ABL</t>
  </si>
  <si>
    <t>683N8AA#ABL</t>
  </si>
  <si>
    <t>683N9AA#ABL</t>
  </si>
  <si>
    <t>6E+P8C01.001</t>
  </si>
  <si>
    <t>6E+P8C01.011</t>
  </si>
  <si>
    <t>6E6F0AA#ABB</t>
  </si>
  <si>
    <t>6E6F0AA#ABL</t>
  </si>
  <si>
    <t>6E6F0AA#UUF</t>
  </si>
  <si>
    <t>6E6F1AA#ABL</t>
  </si>
  <si>
    <t>6E6F1AA#UUF</t>
  </si>
  <si>
    <t>6E6F2AA#ABB</t>
  </si>
  <si>
    <t>6E6F2AA#ABL</t>
  </si>
  <si>
    <t>6E6F2AA#UUF</t>
  </si>
  <si>
    <t>6V2J7AA#ABB</t>
  </si>
  <si>
    <t>6V2J7AA#ABL</t>
  </si>
  <si>
    <t>6V2J7AA#ACJ</t>
  </si>
  <si>
    <t>6V2J7AA#UUF</t>
  </si>
  <si>
    <t>6VY95AA#ABB</t>
  </si>
  <si>
    <t>6VY95AA#ACJ</t>
  </si>
  <si>
    <t>6VY96AA#ABA</t>
  </si>
  <si>
    <t>6VY96AA#ABB</t>
  </si>
  <si>
    <t>6VY96AA#ABM</t>
  </si>
  <si>
    <t>6VY96AA#ACJ</t>
  </si>
  <si>
    <t>6VY96AA#UUF</t>
  </si>
  <si>
    <t>758A8AA#ABA</t>
  </si>
  <si>
    <t>758A8AA#ABB</t>
  </si>
  <si>
    <t>758A8AA#UUF</t>
  </si>
  <si>
    <t>758A9AA#ABA</t>
  </si>
  <si>
    <t>758A9AA#ABB</t>
  </si>
  <si>
    <t>758A9AA#UUF</t>
  </si>
  <si>
    <t>793F9AA#ABA</t>
  </si>
  <si>
    <t>793F9AA#ABB</t>
  </si>
  <si>
    <t>793F9AA#UUF</t>
  </si>
  <si>
    <t>7KX10AA#ABB</t>
  </si>
  <si>
    <t>7KX11AA#ABB</t>
  </si>
  <si>
    <t>7KX12AA#ABB</t>
  </si>
  <si>
    <t>7UH88AA#ABB</t>
  </si>
  <si>
    <t>805T1AA#ABA</t>
  </si>
  <si>
    <t>805T1AA#AC3</t>
  </si>
  <si>
    <t>805T2AA#ABA</t>
  </si>
  <si>
    <t>805T2AA#ABM</t>
  </si>
  <si>
    <t>805T2AA#AC3</t>
  </si>
  <si>
    <t>805T2AA#UUF</t>
  </si>
  <si>
    <t>81S67AA#ABB</t>
  </si>
  <si>
    <t>81S67AA#UUF</t>
  </si>
  <si>
    <t>81S67UT#UUF</t>
  </si>
  <si>
    <t>822M9AA#ABA</t>
  </si>
  <si>
    <t>822M9AA#UUF</t>
  </si>
  <si>
    <t>822M9UT#ABA</t>
  </si>
  <si>
    <t>822M9UT#UUF</t>
  </si>
  <si>
    <t>850633-001</t>
  </si>
  <si>
    <t>8R3U1AA#ABA</t>
  </si>
  <si>
    <t>8R3U1AA#ABB</t>
  </si>
  <si>
    <t>8R3U1AA#ACJ</t>
  </si>
  <si>
    <t>8R3U1AA#UUF</t>
  </si>
  <si>
    <t>8R3U1UT#ABA</t>
  </si>
  <si>
    <t>8R3U1UT#ABB</t>
  </si>
  <si>
    <t>9C2F6AA#ABA</t>
  </si>
  <si>
    <t>9C2F6AA#ABB</t>
  </si>
  <si>
    <t>9C2F6AA#UUF</t>
  </si>
  <si>
    <t>9C2F7AA#ABA</t>
  </si>
  <si>
    <t>9C2F7AA#ABB</t>
  </si>
  <si>
    <t>9C2F7AA#UUF</t>
  </si>
  <si>
    <t>9DF28AA#ABL</t>
  </si>
  <si>
    <t>9DF28AA#AC3</t>
  </si>
  <si>
    <t>9DF28AA#UUF</t>
  </si>
  <si>
    <t>9T5A9AA#ABA</t>
  </si>
  <si>
    <t>9T5A9AA#ABJ</t>
  </si>
  <si>
    <t>9T5A9AA#AC3</t>
  </si>
  <si>
    <t>9T5A9AA#UUF</t>
  </si>
  <si>
    <t>9T5B1AA#ABA</t>
  </si>
  <si>
    <t>9T5B1AA#ABJ</t>
  </si>
  <si>
    <t>9T5B1AA#ABM</t>
  </si>
  <si>
    <t>9T5B1AA#AC3</t>
  </si>
  <si>
    <t>9T5B1AA#UUF</t>
  </si>
  <si>
    <t>9T5B2AA#ABA</t>
  </si>
  <si>
    <t>9T5B2AA#ABJ</t>
  </si>
  <si>
    <t>9T5B2AA#ABM</t>
  </si>
  <si>
    <t>9T5B2AA#AC3</t>
  </si>
  <si>
    <t>9T5B2AA#UUF</t>
  </si>
  <si>
    <t>AJ7C2AA#ABB</t>
  </si>
  <si>
    <t>H2C21AA#ACJ</t>
  </si>
  <si>
    <t>L07896-DB1</t>
  </si>
  <si>
    <t>L13998-002</t>
  </si>
  <si>
    <t>L77930-001</t>
  </si>
  <si>
    <t>M03085-001</t>
  </si>
  <si>
    <t>M40043-161</t>
  </si>
  <si>
    <t>M49894-001</t>
  </si>
  <si>
    <t>M53402-001</t>
  </si>
  <si>
    <t>N20172-001</t>
  </si>
  <si>
    <t>N20172-371</t>
  </si>
  <si>
    <t>N20172-A21</t>
  </si>
  <si>
    <t>N37102-001</t>
  </si>
  <si>
    <t>N37103-001</t>
  </si>
  <si>
    <t>N38404-001</t>
  </si>
  <si>
    <t>N43864-001</t>
  </si>
  <si>
    <t>N43866-001</t>
  </si>
  <si>
    <t>N61958-001</t>
  </si>
  <si>
    <t>N61958-371</t>
  </si>
  <si>
    <t>N61958-A21</t>
  </si>
  <si>
    <t>N61962-001</t>
  </si>
  <si>
    <t>N61962-371</t>
  </si>
  <si>
    <t>N61962-A21</t>
  </si>
  <si>
    <t>N62007-371</t>
  </si>
  <si>
    <t>N62007-A21</t>
  </si>
  <si>
    <t>N72845-001</t>
  </si>
  <si>
    <t>N72845-371</t>
  </si>
  <si>
    <t>N72845-A21</t>
  </si>
  <si>
    <t>N87312-001</t>
  </si>
  <si>
    <t>N87314-001</t>
  </si>
  <si>
    <t>V0L79AA#ABB</t>
  </si>
  <si>
    <t>V0L79AA#UUF</t>
  </si>
  <si>
    <t>V0L80AA#ABB</t>
  </si>
  <si>
    <t>V0L80AA#UUF</t>
  </si>
  <si>
    <t>V0L81AA#ABB</t>
  </si>
  <si>
    <t>V0L82AA#ABB</t>
  </si>
  <si>
    <t>X6W31AA#ABB</t>
  </si>
  <si>
    <t>X6W31AA#ABL</t>
  </si>
  <si>
    <t>X6W31AA#UUF</t>
  </si>
  <si>
    <t>X7Q43AA#ABB</t>
  </si>
  <si>
    <t>X7Q43AA#UUF</t>
  </si>
  <si>
    <t>X7Q44AA#ABB</t>
  </si>
  <si>
    <t>X7Q44AA#UUF</t>
  </si>
  <si>
    <t>加總 - Sep Rebate Amount</t>
  </si>
  <si>
    <t>Bogota</t>
  </si>
  <si>
    <t>Brain</t>
  </si>
  <si>
    <t>Brazilia</t>
  </si>
  <si>
    <t>Buble 2</t>
  </si>
  <si>
    <t>Capri</t>
  </si>
  <si>
    <t>Elephanta</t>
  </si>
  <si>
    <t>Gadget</t>
  </si>
  <si>
    <t>Gadget dual</t>
  </si>
  <si>
    <t>Galapagos</t>
  </si>
  <si>
    <t>Havelock</t>
  </si>
  <si>
    <t>Havelock KB</t>
  </si>
  <si>
    <t>Ivy dongle</t>
  </si>
  <si>
    <t>Jaipur</t>
  </si>
  <si>
    <t>Jazz</t>
  </si>
  <si>
    <t>Jazz KB</t>
  </si>
  <si>
    <t>Jerry</t>
  </si>
  <si>
    <t>Kenting</t>
  </si>
  <si>
    <t>KingKong</t>
  </si>
  <si>
    <t>Kitkat</t>
  </si>
  <si>
    <t>Mickey</t>
  </si>
  <si>
    <t>Nanjing</t>
  </si>
  <si>
    <t>Oman</t>
  </si>
  <si>
    <t>Oreo</t>
  </si>
  <si>
    <t>Sochi</t>
  </si>
  <si>
    <t>BracWhiteComb</t>
  </si>
  <si>
    <t>BracWLKB</t>
  </si>
  <si>
    <t>ElephantaBPS</t>
  </si>
  <si>
    <t>ElephantaKB</t>
  </si>
  <si>
    <t>KentingPlus</t>
  </si>
  <si>
    <t>MilkaB</t>
  </si>
  <si>
    <t>Moscow1BlueLed</t>
  </si>
  <si>
    <t>Moscow blue LED refresh</t>
  </si>
  <si>
    <t>OreoBPS</t>
  </si>
  <si>
    <t>加總 - Nov Q'ty</t>
  </si>
  <si>
    <t>FY24</t>
    <phoneticPr fontId="7" type="noConversion"/>
  </si>
  <si>
    <t>RFQ Final Cost</t>
  </si>
  <si>
    <t>Jul Q'ty</t>
    <phoneticPr fontId="23" type="noConversion"/>
  </si>
  <si>
    <t>Region</t>
    <phoneticPr fontId="23" type="noConversion"/>
  </si>
  <si>
    <t>DISCO</t>
  </si>
  <si>
    <t>FY24</t>
  </si>
  <si>
    <t>Acrox</t>
    <phoneticPr fontId="23" type="noConversion"/>
  </si>
  <si>
    <t>Black</t>
    <phoneticPr fontId="23" type="noConversion"/>
  </si>
  <si>
    <t>APJ</t>
  </si>
  <si>
    <t>White</t>
    <phoneticPr fontId="23" type="noConversion"/>
  </si>
  <si>
    <t>NA</t>
    <phoneticPr fontId="23" type="noConversion"/>
  </si>
  <si>
    <t>Gadget Dual</t>
  </si>
  <si>
    <t>Silver</t>
    <phoneticPr fontId="23" type="noConversion"/>
  </si>
  <si>
    <t>Wistron</t>
  </si>
  <si>
    <t>DIB</t>
  </si>
  <si>
    <t>Ceramic White</t>
    <phoneticPr fontId="23" type="noConversion"/>
  </si>
  <si>
    <t>822M9UT#ABB</t>
  </si>
  <si>
    <t>EMEA</t>
  </si>
  <si>
    <t>AJ7C2AA#ABA</t>
  </si>
  <si>
    <t>AJ7C2AA#UUF</t>
  </si>
  <si>
    <t>Simon Yang</t>
    <phoneticPr fontId="23" type="noConversion"/>
  </si>
  <si>
    <t>薰衣草(噴漆)</t>
  </si>
  <si>
    <t>Inventec</t>
    <phoneticPr fontId="23" type="noConversion"/>
  </si>
  <si>
    <t>鑽石白(噴漆)</t>
  </si>
  <si>
    <t>IMF款-日落紅</t>
  </si>
  <si>
    <t>N87318-001</t>
    <phoneticPr fontId="23" type="noConversion"/>
  </si>
  <si>
    <t>10/31/2024</t>
  </si>
  <si>
    <t>IMF款-寶石綠</t>
  </si>
  <si>
    <t>N87316-001</t>
    <phoneticPr fontId="23" type="noConversion"/>
  </si>
  <si>
    <t>Pike silver</t>
    <phoneticPr fontId="23" type="noConversion"/>
  </si>
  <si>
    <t>HP Japan</t>
  </si>
  <si>
    <t>Huaqin</t>
  </si>
  <si>
    <t>Others</t>
  </si>
  <si>
    <t>silver</t>
    <phoneticPr fontId="23" type="noConversion"/>
  </si>
  <si>
    <t>NBL KB</t>
    <phoneticPr fontId="23" type="noConversion"/>
  </si>
  <si>
    <t>Combo</t>
    <phoneticPr fontId="23" type="noConversion"/>
  </si>
  <si>
    <t>9T5B0UT#ABA</t>
    <phoneticPr fontId="23" type="noConversion"/>
  </si>
  <si>
    <t>9T5B0UT#ABJ</t>
    <phoneticPr fontId="23" type="noConversion"/>
  </si>
  <si>
    <t>9T5B0UT#AC3</t>
    <phoneticPr fontId="23" type="noConversion"/>
  </si>
  <si>
    <t>9T5B0UT#UUF</t>
    <phoneticPr fontId="23" type="noConversion"/>
  </si>
  <si>
    <t>July total q'ty</t>
    <phoneticPr fontId="23" type="noConversion"/>
  </si>
  <si>
    <t>FY25</t>
    <phoneticPr fontId="7" type="noConversion"/>
  </si>
  <si>
    <t>FY25</t>
    <phoneticPr fontId="4" type="noConversion"/>
  </si>
  <si>
    <t>Peripheral</t>
    <phoneticPr fontId="4" type="noConversion"/>
  </si>
  <si>
    <t>BOGOTA</t>
    <phoneticPr fontId="23" type="noConversion"/>
  </si>
  <si>
    <t>BOGOTA</t>
  </si>
  <si>
    <t>ELEPHANTA</t>
    <phoneticPr fontId="23" type="noConversion"/>
  </si>
  <si>
    <t>ELEPHANTA KB</t>
    <phoneticPr fontId="23" type="noConversion"/>
  </si>
  <si>
    <t>GADGET</t>
    <phoneticPr fontId="23" type="noConversion"/>
  </si>
  <si>
    <t>GALAPAGOS</t>
    <phoneticPr fontId="23" type="noConversion"/>
  </si>
  <si>
    <t>HAVELOCK</t>
    <phoneticPr fontId="23" type="noConversion"/>
  </si>
  <si>
    <t>JERRY</t>
    <phoneticPr fontId="23" type="noConversion"/>
  </si>
  <si>
    <t>KINGKONG</t>
    <phoneticPr fontId="23" type="noConversion"/>
  </si>
  <si>
    <t>KITKAT</t>
    <phoneticPr fontId="23" type="noConversion"/>
  </si>
  <si>
    <t>MICKEY</t>
    <phoneticPr fontId="23" type="noConversion"/>
  </si>
  <si>
    <t>MILKA B</t>
    <phoneticPr fontId="23" type="noConversion"/>
  </si>
  <si>
    <t>MOSCOW BLUE LED</t>
    <phoneticPr fontId="23" type="noConversion"/>
  </si>
  <si>
    <t>OMAN</t>
    <phoneticPr fontId="23" type="noConversion"/>
  </si>
  <si>
    <t>6V2J7AA#ABB</t>
    <phoneticPr fontId="4" type="noConversion"/>
  </si>
  <si>
    <t>6VY96AA#ABM</t>
    <phoneticPr fontId="4" type="noConversion"/>
  </si>
  <si>
    <t>EMEA</t>
    <phoneticPr fontId="4" type="noConversion"/>
  </si>
  <si>
    <t>NA</t>
    <phoneticPr fontId="4" type="noConversion"/>
  </si>
  <si>
    <t>OREO</t>
    <phoneticPr fontId="23" type="noConversion"/>
  </si>
  <si>
    <t>2S9L1AA#ABM</t>
    <phoneticPr fontId="4" type="noConversion"/>
  </si>
  <si>
    <t>KENTING PLUS</t>
    <phoneticPr fontId="23" type="noConversion"/>
  </si>
  <si>
    <t>4E407UT#ABM</t>
    <phoneticPr fontId="4" type="noConversion"/>
  </si>
  <si>
    <t>3ML04AA#UUF</t>
    <phoneticPr fontId="4" type="noConversion"/>
  </si>
  <si>
    <t>240J7AA#ABB</t>
    <phoneticPr fontId="4" type="noConversion"/>
  </si>
  <si>
    <t>L13996-001</t>
    <phoneticPr fontId="4" type="noConversion"/>
  </si>
  <si>
    <t>GADGET</t>
    <phoneticPr fontId="4" type="noConversion"/>
  </si>
  <si>
    <t>Rose Gold</t>
    <phoneticPr fontId="4" type="noConversion"/>
  </si>
  <si>
    <t>L77930-001</t>
    <phoneticPr fontId="4" type="noConversion"/>
  </si>
  <si>
    <t>OMAN</t>
    <phoneticPr fontId="4" type="noConversion"/>
  </si>
  <si>
    <t>M53402-001</t>
    <phoneticPr fontId="4" type="noConversion"/>
  </si>
  <si>
    <t>N37102-001</t>
    <phoneticPr fontId="4" type="noConversion"/>
  </si>
  <si>
    <t>BRAC</t>
    <phoneticPr fontId="23" type="noConversion"/>
  </si>
  <si>
    <t>OREO BPS</t>
    <phoneticPr fontId="23" type="noConversion"/>
  </si>
  <si>
    <t>NANJING</t>
    <phoneticPr fontId="23" type="noConversion"/>
  </si>
  <si>
    <t>Buble 2</t>
    <phoneticPr fontId="23" type="noConversion"/>
  </si>
  <si>
    <t>Jazz</t>
    <phoneticPr fontId="23" type="noConversion"/>
  </si>
  <si>
    <t>Jazz KB</t>
    <phoneticPr fontId="23" type="noConversion"/>
  </si>
  <si>
    <t>3L1F0AA#ABA</t>
    <phoneticPr fontId="4" type="noConversion"/>
  </si>
  <si>
    <t>Buble 2</t>
    <phoneticPr fontId="4" type="noConversion"/>
  </si>
  <si>
    <t>P29388-001</t>
    <phoneticPr fontId="4" type="noConversion"/>
  </si>
  <si>
    <t>ID</t>
  </si>
  <si>
    <t>Action</t>
  </si>
  <si>
    <t>Remark</t>
  </si>
  <si>
    <t>A-M欄及BM-BP欄照理來說不會更動只會新增</t>
  </si>
  <si>
    <t>檔名的部分請像這樣 "Rebate and Spending report Supplier’s name_2025 01"，勿加上其他說明，若有V2版本請寫 "Rebate and Spending report Supplier’s name_2025 01_V2"</t>
  </si>
  <si>
    <t>請全年度都放在同一個tab，Summary也是Q1-Q4都放在一起，若有更新的年度請一樣要加上對應的Summary</t>
  </si>
  <si>
    <t>Title相關規範請看右方所示, 請按照此欄位進行填寫, 勿更改資料次序
*上面也附上Example, 參考的顏色表以及Mason的PDF instruction</t>
  </si>
  <si>
    <t>A欄位:打上年度，新年度記得要更新</t>
  </si>
  <si>
    <t>B欄位: SPM, 請填全名, ex Benson Chen, 而不是Benson，若SPM有異動也請更新</t>
  </si>
  <si>
    <t>E欄位 : 請照上方指示, 勿自創提詞</t>
  </si>
  <si>
    <t>F欄位 : Peripheral只需填寫Peripheral</t>
  </si>
  <si>
    <t>G欄位 : 已更新到2025</t>
  </si>
  <si>
    <t>H欄位 : 
-請一定不能空白此欄位，不然後面的數字都會讀不到
-如果多個platforms共用同keyboard, 請用 '/' 去 group這些platforms，大小寫沒關係。
-請Platform name請跟LTF一模一樣，像是有些後面會加上尺寸也請加上( BAYMAX14/LUISA14/BAYMAXW14/BAYMAX13/BAYMAX13X)
-請用"/"來 Grouping 不同 Platform (e.g. ANDAZ/ABU) ，勿用其他符號，錯誤範例如:ANDAZ&amp;ABU</t>
  </si>
  <si>
    <t>I欄位 : 請照上方指示, 勿自創提詞</t>
  </si>
  <si>
    <t>L欄 : 請照上方指示，勿自創提詞，注意NMC更新為Thailand/Vietnam</t>
  </si>
  <si>
    <t>M欄 : 請照上方指示，勿自創提詞或簡寫，後面多加 Site 等</t>
  </si>
  <si>
    <t>N-BL欄 : 請注意勿留空白，O欄位為上一個年份的最後一個月的價格</t>
  </si>
  <si>
    <t>BM欄 : 請協助填寫料號，且每一列應為不同料號(除特殊情況)，接下來會使用這欄去串連其他資料</t>
  </si>
  <si>
    <t>BN欄 : 請勿將ODM, 料號等資料寫在這欄</t>
  </si>
  <si>
    <t>BO欄 : 請照上方指示，勿自創提詞，此部分指直接出貨到哪個地區的客戶，若是出到ODM則寫"ODM"</t>
  </si>
  <si>
    <t>BP欄 : 新增的欄位"HP Model"，需填上LTF中相對應的HP model (如下所示)，接下來會使用這欄去串連其他資料</t>
  </si>
  <si>
    <t>當月出貨的所有品項都必須填上, 即使rebate=0的項目, 定義為FCS之後, EOL前的platform 當月出貨都需要寫上(也就是不含service part)</t>
  </si>
  <si>
    <t>每個月10日固定上傳此份rebate and spending report，請注意目前的Share point已經與財務共用，因此有任何要更新的地方都請通知Jenny並且上傳V2/V3…版本，且舊檔案勿刪除</t>
  </si>
  <si>
    <t>在上傳此份檔案前針對數字的部分需再三確認，因為這些數字會直接當作日後開發票的金額</t>
  </si>
  <si>
    <t>excel欄位有相乘的部分 (rebate amount), 請不要直接在公式以外做數字上的調整, 沒有邏輯性的數字, 程式會偵測異常</t>
  </si>
  <si>
    <t>Summary_1不能有任何註記, 需要呈現最真實的數字, Summary_2貴司可有一些註記符號, 或是rebate抵扣等地紀錄是能夠被容許的</t>
  </si>
  <si>
    <t>2009/2010/….2023/2024/2025</t>
  </si>
  <si>
    <t>Platform name please strictly follow the LTF</t>
  </si>
  <si>
    <t>NBL KB/BL KB/Mouse
/Combo/Clickpad/Dongle</t>
  </si>
  <si>
    <t>E China/W China/S China/Thailand/Vietnam</t>
  </si>
  <si>
    <t>Please fill in your supplier part#</t>
  </si>
  <si>
    <t>Do not fill in ODM or Supplier part# at this column</t>
  </si>
  <si>
    <t>APJ/EMEA/NA/ODM</t>
  </si>
  <si>
    <t>Please follow the # on LTF</t>
  </si>
  <si>
    <t>HP Model</t>
  </si>
  <si>
    <t>K欄 : 
-要注意勿將 Color grouping 在一起，像是Jet Black/Soft Grey，若有n個顏色需分成n筆資料去填
-如果沒有Color，則填寫"NA/"，請注意不要只寫"NA"
-Color 需確保填寫正確，如 SEAFOAM TEAL PEARL 需完整打出來，避免填成 SEAFOAM TEAL
-請確保在顏色中間加上空格，大小寫沒關係。
-關於灰色，請使用“Grey” 而非“Gray”
-有些顏色後面可能需加上國家，請用"_"的方式加上，像是 : Pike Silver_JP, Ash Silver_INDIA。
-Color 欄位需保持正常format，像是 PERFORMANCE BLUE OPAQUE 請避免填成 PERFORMANCE BLUE OPAQUE-RGB
-針對CNB Gaming，關於Numpad及RGB方面請遵照以下方式及右方的說明 : 
RGB Per Key_Soft Grey
1 Zone W Numpad_Soft Grey, 1 Zone Red W Numpad_Soft Grey
4 Zone RGB W Numpad_Soft Grey
1 Zone W/O Numpad_Soft Grey, 1 Zone Red W/O Numpad_Soft Grey
4 Zone RGB W/O Numpad_Soft Grey
1 Zone RGB W Numpad_Soft Grey
1 Zone RGB W/O Numpad_Soft Grey</t>
  </si>
  <si>
    <t>J欄位 : 如果沒有Size，則填寫"NA/"，請注意不要只寫"NA"</t>
  </si>
  <si>
    <t>If no Size, fill in "NA/"</t>
  </si>
  <si>
    <t>If no Color, fill in "NA/"</t>
  </si>
  <si>
    <t>Vietnam</t>
    <phoneticPr fontId="4" type="noConversion"/>
  </si>
  <si>
    <t>Acrox</t>
    <phoneticPr fontId="4" type="noConversion"/>
  </si>
  <si>
    <r>
      <t>D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請照上方指示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勿自創提詞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須注意只有</t>
    </r>
    <r>
      <rPr>
        <sz val="11"/>
        <color theme="1"/>
        <rFont val="新細明體"/>
        <family val="2"/>
        <scheme val="minor"/>
      </rPr>
      <t>NB</t>
    </r>
    <r>
      <rPr>
        <sz val="11"/>
        <color theme="1"/>
        <rFont val="PMingLiU"/>
        <family val="1"/>
      </rPr>
      <t>和</t>
    </r>
    <r>
      <rPr>
        <sz val="11"/>
        <color theme="1"/>
        <rFont val="新細明體"/>
        <family val="2"/>
        <scheme val="minor"/>
      </rPr>
      <t>DT</t>
    </r>
    <r>
      <rPr>
        <sz val="11"/>
        <color theme="1"/>
        <rFont val="PMingLiU"/>
        <family val="1"/>
      </rPr>
      <t>才會有</t>
    </r>
    <r>
      <rPr>
        <sz val="11"/>
        <color theme="1"/>
        <rFont val="新細明體"/>
        <family val="2"/>
        <scheme val="minor"/>
      </rPr>
      <t>Consumer/Commercial</t>
    </r>
    <r>
      <rPr>
        <sz val="11"/>
        <color theme="1"/>
        <rFont val="PMingLiU"/>
        <family val="1"/>
      </rPr>
      <t>之分</t>
    </r>
    <r>
      <rPr>
        <sz val="11"/>
        <color theme="1"/>
        <rFont val="新細明體"/>
        <family val="2"/>
        <scheme val="minor"/>
      </rPr>
      <t>,  F</t>
    </r>
    <r>
      <rPr>
        <sz val="11"/>
        <color theme="1"/>
        <rFont val="PMingLiU"/>
        <family val="1"/>
      </rPr>
      <t>欄位是</t>
    </r>
    <r>
      <rPr>
        <sz val="11"/>
        <color theme="1"/>
        <rFont val="新細明體"/>
        <family val="2"/>
        <scheme val="minor"/>
      </rPr>
      <t>Peripheral</t>
    </r>
    <r>
      <rPr>
        <sz val="11"/>
        <color theme="1"/>
        <rFont val="PMingLiU"/>
        <family val="1"/>
      </rPr>
      <t>則D和E都是填</t>
    </r>
    <r>
      <rPr>
        <sz val="11"/>
        <color theme="1"/>
        <rFont val="新細明體"/>
        <family val="2"/>
        <scheme val="minor"/>
      </rPr>
      <t>Peripheral</t>
    </r>
    <phoneticPr fontId="4" type="noConversion"/>
  </si>
  <si>
    <t>2020/2021/2022</t>
    <phoneticPr fontId="23" type="noConversion"/>
  </si>
  <si>
    <t>2023 11</t>
    <phoneticPr fontId="4" type="noConversion"/>
  </si>
  <si>
    <t>2024 11</t>
    <phoneticPr fontId="4" type="noConversion"/>
  </si>
  <si>
    <t>2024 12</t>
    <phoneticPr fontId="4" type="noConversion"/>
  </si>
  <si>
    <t>2025 01</t>
    <phoneticPr fontId="4" type="noConversion"/>
  </si>
  <si>
    <t>2025 02</t>
    <phoneticPr fontId="4" type="noConversion"/>
  </si>
  <si>
    <t>2025 03</t>
    <phoneticPr fontId="4" type="noConversion"/>
  </si>
  <si>
    <t>2025 04</t>
    <phoneticPr fontId="4" type="noConversion"/>
  </si>
  <si>
    <t>2025 05</t>
    <phoneticPr fontId="4" type="noConversion"/>
  </si>
  <si>
    <t>2025 06</t>
    <phoneticPr fontId="4" type="noConversion"/>
  </si>
  <si>
    <t>2025 07</t>
    <phoneticPr fontId="4" type="noConversion"/>
  </si>
  <si>
    <t>2025 08</t>
    <phoneticPr fontId="4" type="noConversion"/>
  </si>
  <si>
    <t>2025 09</t>
    <phoneticPr fontId="4" type="noConversion"/>
  </si>
  <si>
    <t>2025 10</t>
    <phoneticPr fontId="4" type="noConversion"/>
  </si>
  <si>
    <t>Total Rebate in Q4 2025 (US$)</t>
    <phoneticPr fontId="4" type="noConversion"/>
  </si>
  <si>
    <t>Total Rebate in Q3 2025 (US$)</t>
    <phoneticPr fontId="4" type="noConversion"/>
  </si>
  <si>
    <t>Total Rebate in Q2 2025 (US$)</t>
    <phoneticPr fontId="4" type="noConversion"/>
  </si>
  <si>
    <t>Total Rebate in Q1 2025 (US$)</t>
    <phoneticPr fontId="4" type="noConversion"/>
  </si>
  <si>
    <t>NA/</t>
    <phoneticPr fontId="4" type="noConversion"/>
  </si>
  <si>
    <t>BRAC WLKB</t>
    <phoneticPr fontId="4" type="noConversion"/>
  </si>
  <si>
    <t>3L1E7AA#AC3</t>
    <phoneticPr fontId="4" type="noConversion"/>
  </si>
  <si>
    <t>Tranquil Pink(painting)</t>
    <phoneticPr fontId="4" type="noConversion"/>
  </si>
  <si>
    <t>Mrn Blue</t>
    <phoneticPr fontId="4" type="noConversion"/>
  </si>
  <si>
    <t>2HU85AA#UUF</t>
    <phoneticPr fontId="4" type="noConversion"/>
  </si>
  <si>
    <t>90A44UDTB3000IBB</t>
  </si>
  <si>
    <t>90A44UDTB3000IBE</t>
  </si>
  <si>
    <t>90K5GNGTB3AW50AA</t>
  </si>
  <si>
    <t>90B23NGTB3AV7NKF</t>
  </si>
  <si>
    <t>90B23NGTB3AV7NKC</t>
  </si>
  <si>
    <t>90B23NGTB3AV7NKE</t>
  </si>
  <si>
    <t>90G5N6GTB30I30DQ</t>
  </si>
  <si>
    <t>90JM6U0TB3375WB1</t>
  </si>
  <si>
    <t>90B21NGTB3AV7NKA</t>
  </si>
  <si>
    <t>90G6VNGTB3ACWZK3</t>
  </si>
  <si>
    <t>90B27NGTB3AOU4KP</t>
  </si>
  <si>
    <t>90B2C00TB3AMKCBE</t>
  </si>
  <si>
    <t>90G66NGTB30EXSA1</t>
  </si>
  <si>
    <t>90G66NGTB30EXSA2</t>
  </si>
  <si>
    <t>90G66NGTB30EXSA3</t>
  </si>
  <si>
    <t>90G3K6GTB30I3SBE</t>
  </si>
  <si>
    <t>90G666GBT3AEXSRQ</t>
  </si>
  <si>
    <t>90G666GTB30EXSBK</t>
  </si>
  <si>
    <t>90G666GTB3AEXSRR</t>
  </si>
  <si>
    <t>90G666GTB30EXSAB</t>
  </si>
  <si>
    <t>90G666GTB3AEXSWH</t>
  </si>
  <si>
    <t>90B2ANGTB3AOUAKP</t>
  </si>
  <si>
    <t>90B2ANGTB3AOUCKP</t>
  </si>
  <si>
    <t>90B2ANGTB3AOUBKP</t>
  </si>
  <si>
    <t>90B2ANGTB3AOUEKP</t>
  </si>
  <si>
    <t>90B2ANGTB3AOUFKP</t>
  </si>
  <si>
    <t>90B2ANGTB3AOUDKP</t>
  </si>
  <si>
    <t>90B2ANGTB3AOUFKC</t>
  </si>
  <si>
    <t>90B2ANGTB3AOUEKA</t>
  </si>
  <si>
    <t>90B2ANGTB3AOUEKD</t>
  </si>
  <si>
    <t>90B2ANGTB3AOUFKD</t>
  </si>
  <si>
    <t>90B2ANGTB3AOUEKB</t>
  </si>
  <si>
    <t>90B2ANGTB3AOUEKE</t>
  </si>
  <si>
    <t>90B2ANGTB3AOUFKB</t>
  </si>
  <si>
    <t>90B2ANGTB3AOUEKC</t>
  </si>
  <si>
    <t>90B2ANGTB3AOUEKF</t>
  </si>
  <si>
    <t>90B2ANGTB3AOUFKA</t>
  </si>
  <si>
    <t>90B2BNGTB3AOUCKP</t>
  </si>
  <si>
    <t>90B2BNGTB3AOUAKP</t>
  </si>
  <si>
    <t>90B2BNGTB3AOUBKP</t>
  </si>
  <si>
    <t>90B2BNGTB3AOUDKP</t>
  </si>
  <si>
    <t>90B27NGTB3AOU5KP</t>
  </si>
  <si>
    <t>90B27NGTB3AOU8KP</t>
  </si>
  <si>
    <t>90B27NGTB3AOU2KP</t>
  </si>
  <si>
    <t>90B27NGTB3AOU1KP</t>
  </si>
  <si>
    <t>90B27NGTB3AOU6KP</t>
  </si>
  <si>
    <t>90B27NGTB3AOU3KP</t>
  </si>
  <si>
    <t>90B27NGTB3AOU7KP</t>
  </si>
  <si>
    <t>90G5N6GTB30I30DF</t>
  </si>
  <si>
    <t>90G5N6GTB30I30WH</t>
  </si>
  <si>
    <t>90G5N6GTB30I30WF</t>
  </si>
  <si>
    <t>90G5N6GTB30I30BL</t>
  </si>
  <si>
    <t>90G5N6GTB30I30RD</t>
  </si>
  <si>
    <t>90G5N6GTB30I30GB</t>
  </si>
  <si>
    <t>90G5N6GTB30I30GF</t>
  </si>
  <si>
    <t>90G5N6GTB30I30SB</t>
  </si>
  <si>
    <t>90G5N6GTB30I30SF</t>
  </si>
  <si>
    <t>90G5N6GTB30I30BJ</t>
  </si>
  <si>
    <t>90G5N6GTB30I30BO</t>
  </si>
  <si>
    <t>90G5N6GTB30I30BT</t>
  </si>
  <si>
    <t>90G3K6GTB30I3SDE</t>
  </si>
  <si>
    <t>90G3K6GTB30I3SDB</t>
  </si>
  <si>
    <t>90G3K6GTB30I3SDF</t>
  </si>
  <si>
    <t>90G3K6GTB30I3SBD</t>
  </si>
  <si>
    <t>90G3K6GTB30I3SBF</t>
  </si>
  <si>
    <t>90G3K6GTB30I3SGB</t>
  </si>
  <si>
    <t>90G3K6GTB30I3SGD</t>
  </si>
  <si>
    <t>90G3K6GTB30I3SSG</t>
  </si>
  <si>
    <t>90G3K6GTB30I3SSV</t>
  </si>
  <si>
    <t>90G3K6GTB30I3SSF</t>
  </si>
  <si>
    <t>90G3K6GTB30I3SBC</t>
  </si>
  <si>
    <t>90G3K6GTB30I3SBG</t>
  </si>
  <si>
    <t>90JM6U0TB3375WB5</t>
  </si>
  <si>
    <t>90JM6U0TB3375WCJ</t>
  </si>
  <si>
    <t>90JM6U0TB3375WB4</t>
  </si>
  <si>
    <t>90JM6UDTB3A00ZBE</t>
  </si>
  <si>
    <t>90JM6UDTB3A00ZB6</t>
  </si>
  <si>
    <t>90JM6UDTB3A00ZA6</t>
  </si>
  <si>
    <t>90JM6UDTB3A00ZBF</t>
  </si>
  <si>
    <t>90B21NGTB3AV7NKC</t>
  </si>
  <si>
    <t>90B23NGTB3AV7NKA</t>
  </si>
  <si>
    <t>90B23NGTB3AV7NKB</t>
  </si>
  <si>
    <t>90B23NGTB3AV7NKD</t>
  </si>
  <si>
    <t>90A4DUDTB3A00Z5B</t>
  </si>
  <si>
    <t>90A4DUDTB3A00Z5C</t>
  </si>
  <si>
    <t>90A4DUDTB3A00Z5A</t>
  </si>
  <si>
    <t>90G6VNGTB3ACWZK2</t>
  </si>
  <si>
    <t>90G6VNGTB3ACWZK4</t>
  </si>
  <si>
    <t>90G6VNGTB3ACWZK5</t>
  </si>
  <si>
    <t>90G6VNGTB3ACWZK1</t>
  </si>
  <si>
    <t>90G6VNGTB3ACWZKA</t>
  </si>
  <si>
    <t>90B2800TB3AMKOBE</t>
  </si>
  <si>
    <t>90B2800TB3AMKKBE</t>
  </si>
  <si>
    <t>90B2800TB3AMKJBE</t>
  </si>
  <si>
    <t>90B2C00TB3AMKABE</t>
  </si>
  <si>
    <t>90B2C00TB3AMKBBE</t>
  </si>
  <si>
    <t>90B2C00TB3AMKDBE</t>
  </si>
  <si>
    <t>90B2800TB3AMKEFE</t>
  </si>
  <si>
    <t>90B2800TB3AMKIBE</t>
  </si>
  <si>
    <t>90B2800TB3AMKHBE</t>
  </si>
  <si>
    <t>90B2800TB3AMKGBE</t>
  </si>
  <si>
    <t>90B2800TB3AMKCBE</t>
  </si>
  <si>
    <t>90B2800TB3AMKEBE</t>
  </si>
  <si>
    <t>90B2800TB3AMK2WB</t>
  </si>
  <si>
    <t>90B2800TB3AMKABE</t>
  </si>
  <si>
    <t>90B2800TB3AMKBBE</t>
  </si>
  <si>
    <t>90B2800TB3AMKBBF</t>
  </si>
  <si>
    <t>90G71NGTB3AV2ZKJ</t>
  </si>
  <si>
    <t>90G71NGTB3AV2ZKQ</t>
  </si>
  <si>
    <t>90G71NGTB3AV2ZKF</t>
  </si>
  <si>
    <t>90G71NGTB3AV2ZKB</t>
  </si>
  <si>
    <t>90G71NGTB3AV2ZKP</t>
  </si>
  <si>
    <t>90G71NGTB3AV2ZKN</t>
  </si>
  <si>
    <t>90G71NGTB3AV2ZKR</t>
  </si>
  <si>
    <t>90G71NGTB3AV2ZKS</t>
  </si>
  <si>
    <t>90G71NGTB3AV2ZK3</t>
  </si>
  <si>
    <t>90G71NGTB3AV2ZK4</t>
  </si>
  <si>
    <t>90G71NGTB3AV2ZK9</t>
  </si>
  <si>
    <t>90G71NGTB3AV2ZK2</t>
  </si>
  <si>
    <t>90G71NGTB3AV2ZK5</t>
  </si>
  <si>
    <t>90G71NGTB3AV2ZK1</t>
  </si>
  <si>
    <t>90G71NGTB3AV2ZK6</t>
  </si>
  <si>
    <t>90G71NGTB3AV2ZKE</t>
  </si>
  <si>
    <t>90G71NGTB3AV2ZKD</t>
  </si>
  <si>
    <t>90G71NGTB3AV2ZKC</t>
  </si>
  <si>
    <t>90KBY6GTB30NF0BP</t>
  </si>
  <si>
    <t>90KBY6GTB30NF0BO</t>
  </si>
  <si>
    <t>90KBY6GTB30NF0BN</t>
  </si>
  <si>
    <t>90K70U0TB3445002</t>
  </si>
  <si>
    <t>90K70U0TB3445003</t>
  </si>
  <si>
    <t>90K5GNGTB3AW52BR</t>
  </si>
  <si>
    <t>90K5GNGTB3AW52ES</t>
  </si>
  <si>
    <t>90K5GNGTB3AW54KT</t>
  </si>
  <si>
    <t>90K5GNGTB3AW50IR</t>
  </si>
  <si>
    <t>90K5GNGTB3AW55KT</t>
  </si>
  <si>
    <t>90K5GNGTB3AW53KT</t>
  </si>
  <si>
    <t>90K5GNGTB3AW50AR</t>
  </si>
  <si>
    <t>90K5GNGTB3AW52KT</t>
  </si>
  <si>
    <t>90K5GNGTB3AW51ES</t>
  </si>
  <si>
    <t>90K5GNGTB3AW51BR</t>
  </si>
  <si>
    <t>90K5GNGTB3AW51CA</t>
  </si>
  <si>
    <t>90K5GNGTB3AW58KT</t>
  </si>
  <si>
    <t>90K5GNGTB3AW52CA</t>
  </si>
  <si>
    <t>90K5GNGTB3AW53ES</t>
  </si>
  <si>
    <t>90K5GNGTB3AW57KT</t>
  </si>
  <si>
    <t>90K5GNGTB3AW53BR</t>
  </si>
  <si>
    <t>90K5GNGTB3AW50W0</t>
  </si>
  <si>
    <t>90K5GNGTB3AW50WH</t>
  </si>
  <si>
    <t xml:space="preserve">90K5G00TB3AW51BR </t>
  </si>
  <si>
    <t>90K5G00TB3AW51ES</t>
  </si>
  <si>
    <t>90K5G00TB3AW51KT</t>
  </si>
  <si>
    <t>90K5GNGTB3AW56KT</t>
  </si>
  <si>
    <t>90K5GNGTB3AW51JP</t>
  </si>
  <si>
    <t>90K62NGTB3AOI0US</t>
  </si>
  <si>
    <t>90K62NGTB3AOI0IN</t>
  </si>
  <si>
    <t>90K62NGTB3AOI0BP</t>
  </si>
  <si>
    <t>90K62NGTB3AOI0UI</t>
  </si>
  <si>
    <t>90K62NGTB3AOI0LT</t>
  </si>
  <si>
    <t>90K62NGTB3AOI1US</t>
  </si>
  <si>
    <t>90K6200TB3AOI2US</t>
  </si>
  <si>
    <t>90K6200TB3AOI1IN</t>
  </si>
  <si>
    <t>90K6200TB3AOI1LT</t>
  </si>
  <si>
    <t>90K6200TB3AOI1US</t>
  </si>
  <si>
    <t>90K5JNGTB3AOK2US</t>
  </si>
  <si>
    <t>90K5JNGTB3AA51SP</t>
  </si>
  <si>
    <t>90K5JNGTB3AOK1US</t>
  </si>
  <si>
    <t>90K5JNGTB3AOK3US</t>
  </si>
  <si>
    <t>90K5JNGTB3AAA0US</t>
  </si>
  <si>
    <t>90K5JNGTB3AAA0IN</t>
  </si>
  <si>
    <t>90K5JNGTB3AOK1BP</t>
  </si>
  <si>
    <t>90K5JNGTB3AAA0DE</t>
  </si>
  <si>
    <t>90K5JNGTB3AAA0SP</t>
  </si>
  <si>
    <t>90K5JNGTB3AOK0E1</t>
  </si>
  <si>
    <t>90G7BNGTB3ACW2AE</t>
  </si>
  <si>
    <t>90G79NGTB3ACW2K3</t>
  </si>
  <si>
    <t>90G79NGTB3ACW2K5</t>
  </si>
  <si>
    <t>90G79NGTB3ACW2K2</t>
  </si>
  <si>
    <t>90G79NGTB3ACW2K6</t>
  </si>
  <si>
    <t>90G79NGTB3ACW2K1</t>
  </si>
  <si>
    <t>90G79NGTB3ACW2K4</t>
  </si>
  <si>
    <t>90G79NGTB3ACW2KZ</t>
  </si>
  <si>
    <t>90G79NGTB3ACW2BK</t>
  </si>
  <si>
    <t>90G79NGTB3ACW2KY</t>
  </si>
  <si>
    <t>90G79NGTB3ACW2WR</t>
  </si>
  <si>
    <t>90G79NGTB3ACW2RD</t>
  </si>
  <si>
    <t>90G79NGTB3ACW2KV</t>
  </si>
  <si>
    <t>90G79NGTB3ACW2GR</t>
  </si>
  <si>
    <t>90G79NGTB3ACW2KN</t>
  </si>
  <si>
    <t>90G5N6GTB30I30CA</t>
  </si>
  <si>
    <t>90G79NGTB3ACW2K9</t>
  </si>
  <si>
    <t>90G5N6GTB30I30B8</t>
  </si>
  <si>
    <t>90G5NNGTB30I31BT</t>
  </si>
  <si>
    <t>90G5NNGTB30I31BK</t>
  </si>
  <si>
    <t>90G5NNGTB30I31GD</t>
  </si>
  <si>
    <t>90G5NNGTB30I31WN</t>
  </si>
  <si>
    <t>90G5NNGTB30I31AA</t>
  </si>
  <si>
    <t>90G5N6GTB30I30AH</t>
  </si>
  <si>
    <t>90B2800TB3AMKPBE</t>
  </si>
  <si>
    <t>90B2800TB3AMKRBE</t>
  </si>
  <si>
    <t>90B2800TB3AMKRBA</t>
  </si>
  <si>
    <t>90B2800TB3AMK2BA</t>
  </si>
  <si>
    <t>90B2800TB3AMK2BB</t>
  </si>
  <si>
    <t>90K5GNGTB3AW50BK</t>
  </si>
  <si>
    <t>90K5GNGTB3AW50W3</t>
  </si>
  <si>
    <t>90A4DUDTB3A00Z5D</t>
  </si>
  <si>
    <t>90A4DUDTB3A00Z5E</t>
  </si>
  <si>
    <t>90B2NNGTB3AOU4KP</t>
  </si>
  <si>
    <t>90B2NNGTB3AOU5KP</t>
  </si>
  <si>
    <t>90B2NNGTB3AOU6KP</t>
  </si>
  <si>
    <t>90B2NNGTB3AOU3KP</t>
  </si>
  <si>
    <t>90B2NNGTB3AOU0KP</t>
  </si>
  <si>
    <t>90B2NNGTB3AOU9KP</t>
  </si>
  <si>
    <t>90G7FNGTB3AOUUFA</t>
  </si>
  <si>
    <t>90G7FNGTB3AOUUF6</t>
  </si>
  <si>
    <t>90G7FNGTB3AOUUFU</t>
  </si>
  <si>
    <t>90G7FNGTB3AOUUFB</t>
  </si>
  <si>
    <t>90G7FNGTB3AOUUF7</t>
  </si>
  <si>
    <t>90G7FNGTB3AOUUFF</t>
  </si>
  <si>
    <t>90KBPNGTB3A2MCBA</t>
  </si>
  <si>
    <t>90KBPNGTB3A2MCBJ</t>
  </si>
  <si>
    <t>90KBPNGTB3A2MCUF</t>
  </si>
  <si>
    <t>90KBPNGTB3A2MBBA</t>
  </si>
  <si>
    <t>90KBPNGTB3A2MBBJ</t>
  </si>
  <si>
    <t>90KBPNGTB3A2MBUF</t>
  </si>
  <si>
    <t>90KBPNGTB3APZCBA</t>
  </si>
  <si>
    <t>90KBPNGTB3APZCBJ</t>
  </si>
  <si>
    <t>90KBPNGTB3APZCBM</t>
  </si>
  <si>
    <t>90KBPNGTB3APZCUF</t>
  </si>
  <si>
    <t>90KBPNGTB3APZBBA</t>
  </si>
  <si>
    <t>90KBPNGTB3APZBBJ</t>
  </si>
  <si>
    <t>90KBPNGTB3APZBBM</t>
  </si>
  <si>
    <t>90KBPNGTB3APZBUF</t>
  </si>
  <si>
    <t>90K5GNGTB3AW50W4</t>
  </si>
  <si>
    <t>1D0K8AA#UUF</t>
    <phoneticPr fontId="4" type="noConversion"/>
  </si>
  <si>
    <t>240J7AA#ABM</t>
    <phoneticPr fontId="4" type="noConversion"/>
  </si>
  <si>
    <t>1Y4D0UT#AB1</t>
    <phoneticPr fontId="4" type="noConversion"/>
  </si>
  <si>
    <t>90K5GNGTB3AW52UK</t>
    <phoneticPr fontId="4" type="noConversion"/>
  </si>
  <si>
    <t>18H24AA#AC3</t>
    <phoneticPr fontId="4" type="noConversion"/>
  </si>
  <si>
    <t>3L1F0AA#AC3</t>
    <phoneticPr fontId="4" type="noConversion"/>
  </si>
  <si>
    <t>90K5GNGTB3AW50W1</t>
    <phoneticPr fontId="4" type="noConversion"/>
  </si>
  <si>
    <t>90K5G00TB3AW51UK</t>
    <phoneticPr fontId="4" type="noConversion"/>
  </si>
  <si>
    <t>240J7AA#AC3</t>
    <phoneticPr fontId="4" type="noConversion"/>
  </si>
  <si>
    <t>90K62NGTB3AOI0UK</t>
    <phoneticPr fontId="4" type="noConversion"/>
  </si>
  <si>
    <t>664R5AA#AC3</t>
    <phoneticPr fontId="4" type="noConversion"/>
  </si>
  <si>
    <t>90K6200TB3AOI0U1</t>
    <phoneticPr fontId="4" type="noConversion"/>
  </si>
  <si>
    <t>2V9E6AA#AC3</t>
    <phoneticPr fontId="4" type="noConversion"/>
  </si>
  <si>
    <t>90K5JNGTB3AOK1BK</t>
    <phoneticPr fontId="4" type="noConversion"/>
  </si>
  <si>
    <t>3ML04AA#AC3</t>
    <phoneticPr fontId="4" type="noConversion"/>
  </si>
  <si>
    <t>90KBY6GTB30NF0C5</t>
    <phoneticPr fontId="4" type="noConversion"/>
  </si>
  <si>
    <t>N72845-371</t>
    <phoneticPr fontId="4" type="noConversion"/>
  </si>
  <si>
    <t>N62007-001</t>
    <phoneticPr fontId="4" type="noConversion"/>
  </si>
  <si>
    <t>N62007-371</t>
    <phoneticPr fontId="4" type="noConversion"/>
  </si>
  <si>
    <t>N62007-A21</t>
    <phoneticPr fontId="4" type="noConversion"/>
  </si>
  <si>
    <t>N72845-A21</t>
    <phoneticPr fontId="4" type="noConversion"/>
  </si>
  <si>
    <t>N20172-A21</t>
    <phoneticPr fontId="4" type="noConversion"/>
  </si>
  <si>
    <t>9DF28AA#AC3</t>
    <phoneticPr fontId="4" type="noConversion"/>
  </si>
  <si>
    <t>90K70U0TB34450UK</t>
    <phoneticPr fontId="4" type="noConversion"/>
  </si>
  <si>
    <t>1Y4D0UT#AC3</t>
    <phoneticPr fontId="4" type="noConversion"/>
  </si>
  <si>
    <t>90K5GNGTB3AW53UK</t>
    <phoneticPr fontId="4" type="noConversion"/>
  </si>
  <si>
    <t>805T2AA#AC3</t>
    <phoneticPr fontId="4" type="noConversion"/>
  </si>
  <si>
    <t>90K5JNGTB3AAC0AA</t>
    <phoneticPr fontId="4" type="noConversion"/>
  </si>
  <si>
    <t>805T1AA#AC3</t>
    <phoneticPr fontId="4" type="noConversion"/>
  </si>
  <si>
    <t>90K5JNGTB3AA52BK</t>
    <phoneticPr fontId="4" type="noConversion"/>
  </si>
  <si>
    <t>M49894-001</t>
    <phoneticPr fontId="4" type="noConversion"/>
  </si>
  <si>
    <t>90G5N6GTB30I30CA</t>
    <phoneticPr fontId="4" type="noConversion"/>
  </si>
  <si>
    <t>2UN30AA#AB2</t>
    <phoneticPr fontId="4" type="noConversion"/>
  </si>
  <si>
    <t>8KBUSTB3K50AB2</t>
    <phoneticPr fontId="4" type="noConversion"/>
  </si>
  <si>
    <t>9T5A9AA#AC3</t>
    <phoneticPr fontId="4" type="noConversion"/>
  </si>
  <si>
    <t>90KBPNGTB3A2MCA9</t>
    <phoneticPr fontId="4" type="noConversion"/>
  </si>
  <si>
    <t>90KBPNGTB3A2MBB0</t>
    <phoneticPr fontId="4" type="noConversion"/>
  </si>
  <si>
    <t>9T5B1AA#AC3</t>
    <phoneticPr fontId="4" type="noConversion"/>
  </si>
  <si>
    <t>90KBPNGTB3APZCB1</t>
    <phoneticPr fontId="4" type="noConversion"/>
  </si>
  <si>
    <t>9T5B2AA#AC3</t>
    <phoneticPr fontId="4" type="noConversion"/>
  </si>
  <si>
    <t>90KBPNGTB3APZBB2</t>
    <phoneticPr fontId="4" type="noConversion"/>
  </si>
  <si>
    <t>90G7FNGTB3AOUUF1</t>
    <phoneticPr fontId="4" type="noConversion"/>
  </si>
  <si>
    <t>664R5AA#ACJ</t>
    <phoneticPr fontId="4" type="noConversion"/>
  </si>
  <si>
    <t>822M9UT#ABA</t>
    <phoneticPr fontId="4" type="noConversion"/>
  </si>
  <si>
    <t>822M9UT#UUF</t>
    <phoneticPr fontId="4" type="noConversion"/>
  </si>
  <si>
    <t>822M9UT#ABB</t>
    <phoneticPr fontId="4" type="noConversion"/>
  </si>
  <si>
    <t>4E407UT#AC3</t>
    <phoneticPr fontId="4" type="noConversion"/>
  </si>
  <si>
    <t>4E407UT#ABL</t>
    <phoneticPr fontId="4" type="noConversion"/>
  </si>
  <si>
    <t>4E407UT#UUF</t>
    <phoneticPr fontId="4" type="noConversion"/>
  </si>
  <si>
    <t>N61962-371</t>
    <phoneticPr fontId="4" type="noConversion"/>
  </si>
  <si>
    <t>AJ7C2AA#ABA</t>
    <phoneticPr fontId="4" type="noConversion"/>
  </si>
  <si>
    <t>AJ7C2AA#ABB</t>
    <phoneticPr fontId="4" type="noConversion"/>
  </si>
  <si>
    <t>AJ7C2AA#UUF</t>
    <phoneticPr fontId="4" type="noConversion"/>
  </si>
  <si>
    <t>1Y4D0UT#ABA</t>
    <phoneticPr fontId="4" type="noConversion"/>
  </si>
  <si>
    <t>1Y4D0UT#ABC</t>
    <phoneticPr fontId="4" type="noConversion"/>
  </si>
  <si>
    <t>1Y4D0UT#ABM</t>
    <phoneticPr fontId="4" type="noConversion"/>
  </si>
  <si>
    <t>1Y4D0UT#UUF</t>
    <phoneticPr fontId="4" type="noConversion"/>
  </si>
  <si>
    <t>1Y4D0UT#AC4</t>
    <phoneticPr fontId="4" type="noConversion"/>
  </si>
  <si>
    <t>N87312-001</t>
    <phoneticPr fontId="4" type="noConversion"/>
  </si>
  <si>
    <t>N87314-001</t>
    <phoneticPr fontId="4" type="noConversion"/>
  </si>
  <si>
    <t>8R3U1UT#ABA</t>
    <phoneticPr fontId="4" type="noConversion"/>
  </si>
  <si>
    <t>8R3U1UT#ABB</t>
    <phoneticPr fontId="4" type="noConversion"/>
  </si>
  <si>
    <t>9C2F6AA#ABA</t>
    <phoneticPr fontId="4" type="noConversion"/>
  </si>
  <si>
    <t>9C2F6AA#ABB</t>
    <phoneticPr fontId="4" type="noConversion"/>
  </si>
  <si>
    <t>9C2F6AA#UUF</t>
    <phoneticPr fontId="4" type="noConversion"/>
  </si>
  <si>
    <t>9C2F7AA#ABA</t>
    <phoneticPr fontId="4" type="noConversion"/>
  </si>
  <si>
    <t>M40043-161</t>
    <phoneticPr fontId="4" type="noConversion"/>
  </si>
  <si>
    <t>9C2F7AA#ABB</t>
    <phoneticPr fontId="4" type="noConversion"/>
  </si>
  <si>
    <t>9C2F7AA#UUF</t>
    <phoneticPr fontId="4" type="noConversion"/>
  </si>
  <si>
    <t>9T5A9AA#ABA</t>
    <phoneticPr fontId="4" type="noConversion"/>
  </si>
  <si>
    <t>9T5A9AA#ABJ</t>
    <phoneticPr fontId="4" type="noConversion"/>
  </si>
  <si>
    <t>9T5A9AA#UUF</t>
    <phoneticPr fontId="4" type="noConversion"/>
  </si>
  <si>
    <t>9T5B1AA#ABA</t>
    <phoneticPr fontId="4" type="noConversion"/>
  </si>
  <si>
    <t>9T5B1AA#ABJ</t>
    <phoneticPr fontId="4" type="noConversion"/>
  </si>
  <si>
    <t>9T5B1AA#ABM</t>
    <phoneticPr fontId="4" type="noConversion"/>
  </si>
  <si>
    <t>9T5B1AA#UUF</t>
    <phoneticPr fontId="4" type="noConversion"/>
  </si>
  <si>
    <t>9T5B2AA#ABA</t>
    <phoneticPr fontId="4" type="noConversion"/>
  </si>
  <si>
    <t>9T5B2AA#ABJ</t>
    <phoneticPr fontId="4" type="noConversion"/>
  </si>
  <si>
    <t>9T5B2AA#ABM</t>
    <phoneticPr fontId="4" type="noConversion"/>
  </si>
  <si>
    <t>9T5B2AA#UUF</t>
    <phoneticPr fontId="4" type="noConversion"/>
  </si>
  <si>
    <t>4QM14AA#UUF</t>
    <phoneticPr fontId="4" type="noConversion"/>
  </si>
  <si>
    <t>4QM14AA#ABB</t>
    <phoneticPr fontId="4" type="noConversion"/>
  </si>
  <si>
    <t>4QM14AA#ABL</t>
    <phoneticPr fontId="4" type="noConversion"/>
  </si>
  <si>
    <t>1D0K9AA#ABB</t>
    <phoneticPr fontId="4" type="noConversion"/>
  </si>
  <si>
    <t>1D0K8AA#AC3</t>
    <phoneticPr fontId="4" type="noConversion"/>
  </si>
  <si>
    <t>1D0K9AA#ABL</t>
    <phoneticPr fontId="4" type="noConversion"/>
  </si>
  <si>
    <t>V0L79AA#ABB</t>
    <phoneticPr fontId="4" type="noConversion"/>
  </si>
  <si>
    <t>1D0K2AA#AC3</t>
    <phoneticPr fontId="4" type="noConversion"/>
  </si>
  <si>
    <t>6E6F0AA#ABB</t>
    <phoneticPr fontId="4" type="noConversion"/>
  </si>
  <si>
    <t>43N04AA#ABB</t>
    <phoneticPr fontId="4" type="noConversion"/>
  </si>
  <si>
    <t>3FV66AA#UUF</t>
    <phoneticPr fontId="4" type="noConversion"/>
  </si>
  <si>
    <t>7KX10AA#ABB</t>
    <phoneticPr fontId="4" type="noConversion"/>
  </si>
  <si>
    <t>7KX11AA#ABB</t>
    <phoneticPr fontId="4" type="noConversion"/>
  </si>
  <si>
    <t>7KX12AA#ABB</t>
    <phoneticPr fontId="4" type="noConversion"/>
  </si>
  <si>
    <t>6E6F0AA#ABL</t>
    <phoneticPr fontId="4" type="noConversion"/>
  </si>
  <si>
    <t>6E6F0AA#UUF</t>
    <phoneticPr fontId="4" type="noConversion"/>
  </si>
  <si>
    <t>6E6F1AA#ABL</t>
    <phoneticPr fontId="4" type="noConversion"/>
  </si>
  <si>
    <t>6E6F1AA#UUF</t>
    <phoneticPr fontId="4" type="noConversion"/>
  </si>
  <si>
    <t>6E6F2AA#ABL</t>
    <phoneticPr fontId="4" type="noConversion"/>
  </si>
  <si>
    <t>6E6F2AA#ABB</t>
    <phoneticPr fontId="4" type="noConversion"/>
  </si>
  <si>
    <t>6E6F2AA#UUF</t>
    <phoneticPr fontId="4" type="noConversion"/>
  </si>
  <si>
    <t>V0L79AA#UUF</t>
    <phoneticPr fontId="4" type="noConversion"/>
  </si>
  <si>
    <t>V0L80AA#ABB</t>
    <phoneticPr fontId="4" type="noConversion"/>
  </si>
  <si>
    <t>V0L80AA#UUF</t>
    <phoneticPr fontId="4" type="noConversion"/>
  </si>
  <si>
    <t>V0L81AA#ABB</t>
    <phoneticPr fontId="4" type="noConversion"/>
  </si>
  <si>
    <t>V0L82AA#ABB</t>
    <phoneticPr fontId="4" type="noConversion"/>
  </si>
  <si>
    <t>X7Q43AA#ABB</t>
    <phoneticPr fontId="4" type="noConversion"/>
  </si>
  <si>
    <t>X7Q43AA#UUF</t>
    <phoneticPr fontId="4" type="noConversion"/>
  </si>
  <si>
    <t>X7Q44AA#ABB</t>
    <phoneticPr fontId="4" type="noConversion"/>
  </si>
  <si>
    <t>X7Q44AA#UUF</t>
    <phoneticPr fontId="4" type="noConversion"/>
  </si>
  <si>
    <t>4VY82AA#ABB</t>
    <phoneticPr fontId="4" type="noConversion"/>
  </si>
  <si>
    <t>7UH88AA#ABB</t>
    <phoneticPr fontId="4" type="noConversion"/>
  </si>
  <si>
    <t>171D8AA#ABB</t>
    <phoneticPr fontId="4" type="noConversion"/>
  </si>
  <si>
    <t>X6W31AA#UUF</t>
    <phoneticPr fontId="4" type="noConversion"/>
  </si>
  <si>
    <t>2HU83AA#ABL</t>
    <phoneticPr fontId="4" type="noConversion"/>
  </si>
  <si>
    <t>2HU84AA#ABL</t>
    <phoneticPr fontId="4" type="noConversion"/>
  </si>
  <si>
    <t>2HU84AA#UUF</t>
    <phoneticPr fontId="4" type="noConversion"/>
  </si>
  <si>
    <t>2HU85AA#ABL</t>
    <phoneticPr fontId="4" type="noConversion"/>
  </si>
  <si>
    <t>1D0K2AA#ABA</t>
    <phoneticPr fontId="4" type="noConversion"/>
  </si>
  <si>
    <t>1D0K2AA#UUF</t>
    <phoneticPr fontId="4" type="noConversion"/>
  </si>
  <si>
    <t>1D0K8AA#ABA</t>
    <phoneticPr fontId="4" type="noConversion"/>
  </si>
  <si>
    <t>1D0K9AA#UUF</t>
    <phoneticPr fontId="4" type="noConversion"/>
  </si>
  <si>
    <t>2S9L1AA#UUF</t>
    <phoneticPr fontId="4" type="noConversion"/>
  </si>
  <si>
    <t>3V0G9AA#ABB</t>
    <phoneticPr fontId="4" type="noConversion"/>
  </si>
  <si>
    <t>3V0G9AA#ABM</t>
    <phoneticPr fontId="4" type="noConversion"/>
  </si>
  <si>
    <t>3V0G9AA#UUF</t>
    <phoneticPr fontId="4" type="noConversion"/>
  </si>
  <si>
    <t>43N04AA#ABM</t>
    <phoneticPr fontId="4" type="noConversion"/>
  </si>
  <si>
    <t>43N04AA#UUF</t>
    <phoneticPr fontId="4" type="noConversion"/>
  </si>
  <si>
    <t>43N05AA#ABA</t>
    <phoneticPr fontId="4" type="noConversion"/>
  </si>
  <si>
    <t>43N05AA#ABB</t>
    <phoneticPr fontId="4" type="noConversion"/>
  </si>
  <si>
    <t>43N05AA#ABM</t>
    <phoneticPr fontId="4" type="noConversion"/>
  </si>
  <si>
    <t>43N05AA#UUF</t>
    <phoneticPr fontId="4" type="noConversion"/>
  </si>
  <si>
    <t>4E407AA#ACJ</t>
    <phoneticPr fontId="4" type="noConversion"/>
  </si>
  <si>
    <t>4E407AA#ABM</t>
    <phoneticPr fontId="4" type="noConversion"/>
  </si>
  <si>
    <t>3ML04AA#ABL</t>
    <phoneticPr fontId="4" type="noConversion"/>
  </si>
  <si>
    <t>3ML04AA#ABM</t>
    <phoneticPr fontId="4" type="noConversion"/>
  </si>
  <si>
    <t>9DF28AA#UUF</t>
    <phoneticPr fontId="4" type="noConversion"/>
  </si>
  <si>
    <t>9DF28AA#ABL</t>
    <phoneticPr fontId="4" type="noConversion"/>
  </si>
  <si>
    <t>18H24AA#AC4</t>
    <phoneticPr fontId="4" type="noConversion"/>
  </si>
  <si>
    <t>18H24AA#ABM</t>
    <phoneticPr fontId="4" type="noConversion"/>
  </si>
  <si>
    <t>18H24AA#UUF</t>
    <phoneticPr fontId="4" type="noConversion"/>
  </si>
  <si>
    <t>18H24AA#AB1</t>
    <phoneticPr fontId="4" type="noConversion"/>
  </si>
  <si>
    <t>18H24AA#ABA</t>
    <phoneticPr fontId="4" type="noConversion"/>
  </si>
  <si>
    <t>1Y4D0AA#UUF</t>
    <phoneticPr fontId="4" type="noConversion"/>
  </si>
  <si>
    <t>1Y4D0AA#AB1</t>
    <phoneticPr fontId="4" type="noConversion"/>
  </si>
  <si>
    <t>1Y4D0AA#ABA</t>
    <phoneticPr fontId="4" type="noConversion"/>
  </si>
  <si>
    <t>1Y4D0AA#ABM</t>
    <phoneticPr fontId="4" type="noConversion"/>
  </si>
  <si>
    <t>1Y4D0AA#AC4</t>
    <phoneticPr fontId="4" type="noConversion"/>
  </si>
  <si>
    <t>1Y4D0AA#ABC</t>
    <phoneticPr fontId="4" type="noConversion"/>
  </si>
  <si>
    <t>3L1F0AA#ABM</t>
    <phoneticPr fontId="4" type="noConversion"/>
  </si>
  <si>
    <t>3L1F0AA#UUF</t>
    <phoneticPr fontId="4" type="noConversion"/>
  </si>
  <si>
    <t>3L1E7AA#AC4</t>
    <phoneticPr fontId="4" type="noConversion"/>
  </si>
  <si>
    <t>3L1E7AA#ABM</t>
    <phoneticPr fontId="4" type="noConversion"/>
  </si>
  <si>
    <t>3L1E7AA#UUF</t>
    <phoneticPr fontId="4" type="noConversion"/>
  </si>
  <si>
    <t>3L1E7AA#ABA</t>
    <phoneticPr fontId="4" type="noConversion"/>
  </si>
  <si>
    <t>2V9E6AA#ABM</t>
    <phoneticPr fontId="4" type="noConversion"/>
  </si>
  <si>
    <t>681S1AA#ABL</t>
    <phoneticPr fontId="4" type="noConversion"/>
  </si>
  <si>
    <t>681R7AA#ABL</t>
    <phoneticPr fontId="4" type="noConversion"/>
  </si>
  <si>
    <t>681R8AA#ABL</t>
    <phoneticPr fontId="4" type="noConversion"/>
  </si>
  <si>
    <t>681R9AA#ABL</t>
    <phoneticPr fontId="4" type="noConversion"/>
  </si>
  <si>
    <t>681S0AA#ABL</t>
    <phoneticPr fontId="4" type="noConversion"/>
  </si>
  <si>
    <t>66Z09AA#ABL</t>
    <phoneticPr fontId="4" type="noConversion"/>
  </si>
  <si>
    <t>3V0G9AA#ABA</t>
    <phoneticPr fontId="4" type="noConversion"/>
  </si>
  <si>
    <t>M40045-161</t>
    <phoneticPr fontId="4" type="noConversion"/>
  </si>
  <si>
    <t>Chris Chang</t>
    <phoneticPr fontId="4" type="noConversion"/>
  </si>
  <si>
    <t>DT</t>
    <phoneticPr fontId="4" type="noConversion"/>
  </si>
  <si>
    <t>P33437-AB1</t>
    <phoneticPr fontId="4" type="noConversion"/>
  </si>
  <si>
    <r>
      <rPr>
        <sz val="11"/>
        <rFont val="新細明體"/>
        <family val="2"/>
        <charset val="136"/>
      </rPr>
      <t>月光藍</t>
    </r>
    <r>
      <rPr>
        <sz val="11"/>
        <rFont val="Calibri"/>
        <family val="2"/>
      </rPr>
      <t>(</t>
    </r>
    <r>
      <rPr>
        <sz val="11"/>
        <rFont val="新細明體"/>
        <family val="2"/>
        <charset val="136"/>
      </rPr>
      <t>噴漆</t>
    </r>
    <r>
      <rPr>
        <sz val="11"/>
        <rFont val="Calibri"/>
        <family val="2"/>
      </rPr>
      <t>)</t>
    </r>
    <phoneticPr fontId="4" type="noConversion"/>
  </si>
  <si>
    <r>
      <rPr>
        <sz val="11"/>
        <rFont val="新細明體"/>
        <family val="2"/>
        <charset val="136"/>
      </rPr>
      <t>鑽石白</t>
    </r>
    <r>
      <rPr>
        <sz val="11"/>
        <rFont val="Calibri"/>
        <family val="2"/>
      </rPr>
      <t>(</t>
    </r>
    <r>
      <rPr>
        <sz val="11"/>
        <rFont val="新細明體"/>
        <family val="2"/>
        <charset val="136"/>
      </rPr>
      <t>噴漆</t>
    </r>
    <r>
      <rPr>
        <sz val="11"/>
        <rFont val="Calibri"/>
        <family val="2"/>
      </rPr>
      <t>)</t>
    </r>
    <phoneticPr fontId="4" type="noConversion"/>
  </si>
  <si>
    <t>P28747-101</t>
    <phoneticPr fontId="4" type="noConversion"/>
  </si>
  <si>
    <r>
      <rPr>
        <sz val="11"/>
        <rFont val="新細明體"/>
        <family val="2"/>
        <charset val="136"/>
      </rPr>
      <t>薰衣草</t>
    </r>
    <r>
      <rPr>
        <sz val="11"/>
        <rFont val="Calibri"/>
        <family val="2"/>
      </rPr>
      <t>(</t>
    </r>
    <r>
      <rPr>
        <sz val="11"/>
        <rFont val="新細明體"/>
        <family val="2"/>
        <charset val="136"/>
      </rPr>
      <t>噴漆</t>
    </r>
    <r>
      <rPr>
        <sz val="11"/>
        <rFont val="Calibri"/>
        <family val="2"/>
      </rPr>
      <t>)</t>
    </r>
    <phoneticPr fontId="4" type="noConversion"/>
  </si>
  <si>
    <r>
      <rPr>
        <sz val="11"/>
        <rFont val="新細明體"/>
        <family val="2"/>
        <charset val="136"/>
      </rPr>
      <t>自然銀</t>
    </r>
    <r>
      <rPr>
        <sz val="11"/>
        <rFont val="Calibri"/>
        <family val="2"/>
      </rPr>
      <t>(</t>
    </r>
    <r>
      <rPr>
        <sz val="11"/>
        <rFont val="新細明體"/>
        <family val="2"/>
        <charset val="136"/>
      </rPr>
      <t>噴漆</t>
    </r>
    <r>
      <rPr>
        <sz val="11"/>
        <rFont val="Calibri"/>
        <family val="2"/>
      </rPr>
      <t>)</t>
    </r>
    <phoneticPr fontId="4" type="noConversion"/>
  </si>
  <si>
    <t>P33437-BL1</t>
    <phoneticPr fontId="4" type="noConversion"/>
  </si>
  <si>
    <t>P28745-001</t>
    <phoneticPr fontId="4" type="noConversion"/>
  </si>
  <si>
    <t>P28749-201</t>
    <phoneticPr fontId="4" type="noConversion"/>
  </si>
  <si>
    <t>P29386-301</t>
    <phoneticPr fontId="4" type="noConversion"/>
  </si>
  <si>
    <t>90G79NGTB3ACW2K7</t>
    <phoneticPr fontId="4" type="noConversion"/>
  </si>
  <si>
    <t>90B2800TB3AMK2FA</t>
    <phoneticPr fontId="4" type="noConversion"/>
  </si>
  <si>
    <t>90G7ANGTB3ACW2KP</t>
    <phoneticPr fontId="4" type="noConversion"/>
  </si>
  <si>
    <t>90B21NGTB3AV7NKB</t>
    <phoneticPr fontId="4" type="noConversion"/>
  </si>
  <si>
    <t>合計</t>
  </si>
  <si>
    <t>LA</t>
  </si>
  <si>
    <t>1D0K9AA#ABL</t>
    <phoneticPr fontId="23" type="noConversion"/>
  </si>
  <si>
    <t>5B8C0AA#ACJ</t>
    <phoneticPr fontId="23" type="noConversion"/>
  </si>
  <si>
    <t>N62007-001</t>
    <phoneticPr fontId="23" type="noConversion"/>
  </si>
  <si>
    <t>NA/LA</t>
  </si>
  <si>
    <t>681R7AA#ABL</t>
    <phoneticPr fontId="23" type="noConversion"/>
  </si>
  <si>
    <t>DIB</t>
    <phoneticPr fontId="4" type="noConversion"/>
  </si>
  <si>
    <t>GADGET DUAL</t>
    <phoneticPr fontId="1" type="noConversion"/>
  </si>
  <si>
    <t>SOCHI</t>
    <phoneticPr fontId="1" type="noConversion"/>
  </si>
  <si>
    <t>CAPRI</t>
    <phoneticPr fontId="1" type="noConversion"/>
  </si>
  <si>
    <t>HAVELOCK KB</t>
    <phoneticPr fontId="1" type="noConversion"/>
  </si>
  <si>
    <t>2V9E6AA#ABD</t>
    <phoneticPr fontId="4" type="noConversion"/>
  </si>
  <si>
    <t>APJ</t>
    <phoneticPr fontId="4" type="noConversion"/>
  </si>
  <si>
    <t>6V2J7AA#ACJ</t>
    <phoneticPr fontId="4" type="noConversion"/>
  </si>
  <si>
    <t>8R3U1AA#ACJ</t>
    <phoneticPr fontId="4" type="noConversion"/>
  </si>
  <si>
    <t>90A44UDTB3000IBF</t>
    <phoneticPr fontId="4" type="noConversion"/>
  </si>
  <si>
    <t>NA/LA</t>
    <phoneticPr fontId="4" type="noConversion"/>
  </si>
  <si>
    <t>4E407AA#ABL</t>
    <phoneticPr fontId="4" type="noConversion"/>
  </si>
  <si>
    <t>P33437-001</t>
    <phoneticPr fontId="4" type="noConversion"/>
  </si>
  <si>
    <t>DTO</t>
    <phoneticPr fontId="4" type="noConversion"/>
  </si>
  <si>
    <t>P33437-111</t>
    <phoneticPr fontId="4" type="noConversion"/>
  </si>
  <si>
    <r>
      <rPr>
        <sz val="11"/>
        <rFont val="Calibri"/>
        <family val="2"/>
      </rPr>
      <t>IMF</t>
    </r>
    <r>
      <rPr>
        <sz val="11"/>
        <rFont val="新細明體"/>
        <family val="2"/>
        <charset val="136"/>
      </rPr>
      <t>款</t>
    </r>
    <r>
      <rPr>
        <sz val="11"/>
        <rFont val="Calibri"/>
        <family val="2"/>
      </rPr>
      <t>-</t>
    </r>
    <r>
      <rPr>
        <sz val="11"/>
        <rFont val="新細明體"/>
        <family val="2"/>
        <charset val="136"/>
      </rPr>
      <t>拿鐵</t>
    </r>
    <phoneticPr fontId="4" type="noConversion"/>
  </si>
  <si>
    <t>P28745-401</t>
    <phoneticPr fontId="4" type="noConversion"/>
  </si>
  <si>
    <r>
      <rPr>
        <sz val="11"/>
        <rFont val="Calibri"/>
        <family val="2"/>
      </rPr>
      <t>IMF</t>
    </r>
    <r>
      <rPr>
        <sz val="11"/>
        <rFont val="細明體"/>
        <family val="2"/>
        <charset val="136"/>
      </rPr>
      <t>款</t>
    </r>
    <r>
      <rPr>
        <sz val="11"/>
        <rFont val="Calibri"/>
        <family val="2"/>
      </rPr>
      <t>-</t>
    </r>
    <r>
      <rPr>
        <sz val="11"/>
        <rFont val="細明體"/>
        <family val="2"/>
        <charset val="136"/>
      </rPr>
      <t>藍綠</t>
    </r>
    <phoneticPr fontId="4" type="noConversion"/>
  </si>
  <si>
    <t>P28745-501</t>
    <phoneticPr fontId="4" type="noConversion"/>
  </si>
  <si>
    <t>90G7FNGTB3AOUUF2</t>
    <phoneticPr fontId="4" type="noConversion"/>
  </si>
  <si>
    <t>P29388-371</t>
    <phoneticPr fontId="4" type="noConversion"/>
  </si>
  <si>
    <t>P33437-041</t>
    <phoneticPr fontId="4" type="noConversion"/>
  </si>
  <si>
    <t>P33437-171</t>
    <phoneticPr fontId="4" type="noConversion"/>
  </si>
  <si>
    <t>P33437-281</t>
    <phoneticPr fontId="4" type="noConversion"/>
  </si>
  <si>
    <t>P33437-291</t>
    <phoneticPr fontId="4" type="noConversion"/>
  </si>
  <si>
    <t>P33437-AA1</t>
    <phoneticPr fontId="4" type="noConversion"/>
  </si>
  <si>
    <t>P33437-BB1</t>
    <phoneticPr fontId="4" type="noConversion"/>
  </si>
  <si>
    <t>P33437-D61</t>
    <phoneticPr fontId="4" type="noConversion"/>
  </si>
  <si>
    <t>P33437-L31</t>
    <phoneticPr fontId="4" type="noConversion"/>
  </si>
  <si>
    <r>
      <t>COMPAL/QUANTA/INVENTEC/WISTRON/FOXCONN/</t>
    </r>
    <r>
      <rPr>
        <sz val="11"/>
        <color rgb="FFFF0000"/>
        <rFont val="Calibri"/>
        <family val="2"/>
      </rPr>
      <t>OTHERS</t>
    </r>
    <phoneticPr fontId="4" type="noConversion"/>
  </si>
  <si>
    <t>Simon Yang</t>
    <phoneticPr fontId="4" type="noConversion"/>
  </si>
  <si>
    <t>ODM</t>
    <phoneticPr fontId="4" type="noConversion"/>
  </si>
  <si>
    <t>805T1UT#AC3</t>
  </si>
  <si>
    <t>90K5JNGTB3AAC0AB</t>
    <phoneticPr fontId="4" type="noConversion"/>
  </si>
  <si>
    <t>P48683-371</t>
    <phoneticPr fontId="4" type="noConversion"/>
  </si>
  <si>
    <t>P29388-A21</t>
    <phoneticPr fontId="4" type="noConversion"/>
  </si>
  <si>
    <t>90G7FNGTB3AOUUFC</t>
    <phoneticPr fontId="4" type="noConversion"/>
  </si>
  <si>
    <t>90KBPNGTB3A2MBDB</t>
    <phoneticPr fontId="4" type="noConversion"/>
  </si>
  <si>
    <t>P33437-031</t>
    <phoneticPr fontId="4" type="noConversion"/>
  </si>
  <si>
    <t>P33437-161</t>
    <phoneticPr fontId="4" type="noConversion"/>
  </si>
  <si>
    <t>90KBPNGTB3AMSBU1</t>
    <phoneticPr fontId="4" type="noConversion"/>
  </si>
  <si>
    <t>90KBPNGTB3A2MBL2</t>
    <phoneticPr fontId="4" type="noConversion"/>
  </si>
  <si>
    <t>90KBPNGTB3APZBB1</t>
    <phoneticPr fontId="4" type="noConversion"/>
  </si>
  <si>
    <t>P33437-261</t>
    <phoneticPr fontId="4" type="noConversion"/>
  </si>
  <si>
    <t>90KBPNGTB3A2MBC4</t>
    <phoneticPr fontId="4" type="noConversion"/>
  </si>
  <si>
    <t>90KBPNGTB3A2MBIA</t>
    <phoneticPr fontId="4" type="noConversion"/>
  </si>
  <si>
    <t>P33437-CG1</t>
    <phoneticPr fontId="4" type="noConversion"/>
  </si>
  <si>
    <t>3FV66AA#ABB</t>
    <phoneticPr fontId="4" type="noConversion"/>
  </si>
  <si>
    <t>LA</t>
    <phoneticPr fontId="4" type="noConversion"/>
  </si>
  <si>
    <t>758A9AA#ABA</t>
    <phoneticPr fontId="4" type="noConversion"/>
  </si>
  <si>
    <t>90K6200TB3AOI1BP</t>
    <phoneticPr fontId="4" type="noConversion"/>
  </si>
  <si>
    <t>664R5AA#AC4</t>
    <phoneticPr fontId="4" type="noConversion"/>
  </si>
  <si>
    <t>90KBPNGTB3A2MBU1</t>
    <phoneticPr fontId="4" type="noConversion"/>
  </si>
  <si>
    <t>90KBPNGTB3A2MBDI</t>
    <phoneticPr fontId="4" type="noConversion"/>
  </si>
  <si>
    <t>90KBPNGTB3APZBD1</t>
    <phoneticPr fontId="4" type="noConversion"/>
  </si>
  <si>
    <t>90KBPNGTB3APZBS1</t>
    <phoneticPr fontId="4" type="noConversion"/>
  </si>
  <si>
    <t>90KBPNGTB3APZBT1</t>
    <phoneticPr fontId="4" type="noConversion"/>
  </si>
  <si>
    <t>90KBPNGTB3A2MBJ1</t>
    <phoneticPr fontId="4" type="noConversion"/>
  </si>
  <si>
    <t>90KBPNGTB3A2MBC3</t>
  </si>
  <si>
    <t>90KBPNGTB3APZBH1</t>
    <phoneticPr fontId="4" type="noConversion"/>
  </si>
  <si>
    <t>90KBPNGTB3A2MBI3</t>
    <phoneticPr fontId="4" type="noConversion"/>
  </si>
  <si>
    <t>90KBPNGTB3APZBS3</t>
    <phoneticPr fontId="4" type="noConversion"/>
  </si>
  <si>
    <t>90KBPNGTB3A2MBC2</t>
    <phoneticPr fontId="4" type="noConversion"/>
  </si>
  <si>
    <t>90KBPNGTB3A2MBIB</t>
    <phoneticPr fontId="4" type="noConversion"/>
  </si>
  <si>
    <t>90KBPNGTB3A2MBI2</t>
    <phoneticPr fontId="4" type="noConversion"/>
  </si>
  <si>
    <t>90KBPNGTB3A2MBL1</t>
    <phoneticPr fontId="4" type="noConversion"/>
  </si>
  <si>
    <t xml:space="preserve">90KBPNGTB3A2MBT1 </t>
    <phoneticPr fontId="4" type="noConversion"/>
  </si>
  <si>
    <t>90G79NGTB3ACW271</t>
    <phoneticPr fontId="4" type="noConversion"/>
  </si>
  <si>
    <t>N43866-001</t>
    <phoneticPr fontId="4" type="noConversion"/>
  </si>
  <si>
    <t>Site</t>
    <phoneticPr fontId="4" type="noConversion"/>
  </si>
  <si>
    <t>ACROX CN</t>
  </si>
  <si>
    <t>ACROX CN</t>
    <phoneticPr fontId="4" type="noConversion"/>
  </si>
  <si>
    <t>Foxconn_LH</t>
  </si>
  <si>
    <t>Foxconn_CZ</t>
  </si>
  <si>
    <t>Flextronics_CZ</t>
  </si>
  <si>
    <t>Ryder_Indy</t>
  </si>
  <si>
    <t>QUANTA_CQ</t>
  </si>
  <si>
    <t>Inventec_CQ</t>
  </si>
  <si>
    <t>Compal_KS</t>
  </si>
  <si>
    <t>Wistron_CQ</t>
  </si>
  <si>
    <t>Mentor_Media</t>
  </si>
  <si>
    <t>HP_India</t>
  </si>
  <si>
    <t>Foxconn_Indy</t>
  </si>
  <si>
    <t>Foxconn_CQ</t>
  </si>
  <si>
    <t>HP_Japan</t>
  </si>
  <si>
    <t>HP_China</t>
  </si>
  <si>
    <t>Foxconn_WH</t>
  </si>
  <si>
    <t>Comment</t>
    <phoneticPr fontId="4" type="noConversion"/>
  </si>
  <si>
    <t>Owtia VN</t>
    <phoneticPr fontId="4" type="noConversion"/>
  </si>
  <si>
    <t>Foxconn_LH</t>
    <phoneticPr fontId="4" type="noConversion"/>
  </si>
  <si>
    <t>P33437-051</t>
    <phoneticPr fontId="4" type="noConversion"/>
  </si>
  <si>
    <t>Inventec_CQ</t>
    <phoneticPr fontId="4" type="noConversion"/>
  </si>
  <si>
    <t>QUANTA_CQ</t>
    <phoneticPr fontId="4" type="noConversion"/>
  </si>
  <si>
    <t>P48683-A21</t>
    <phoneticPr fontId="4" type="noConversion"/>
  </si>
  <si>
    <t>P33437-131</t>
    <phoneticPr fontId="4" type="noConversion"/>
  </si>
  <si>
    <t>P33437-151</t>
    <phoneticPr fontId="4" type="noConversion"/>
  </si>
  <si>
    <t>P33437-181</t>
    <phoneticPr fontId="4" type="noConversion"/>
  </si>
  <si>
    <t>P33437-DX1</t>
    <phoneticPr fontId="4" type="noConversion"/>
  </si>
  <si>
    <t>Foxconn_WH</t>
    <phoneticPr fontId="4" type="noConversion"/>
  </si>
  <si>
    <t>P33437-KD1</t>
    <phoneticPr fontId="4" type="noConversion"/>
  </si>
  <si>
    <t>FOXCONN_WH</t>
    <phoneticPr fontId="4" type="noConversion"/>
  </si>
  <si>
    <t>90KBPNGTB3APZBF1</t>
    <phoneticPr fontId="4" type="noConversion"/>
  </si>
  <si>
    <t>90KBPNGTB3APZBS4</t>
    <phoneticPr fontId="4" type="noConversion"/>
  </si>
  <si>
    <t>90KBPNGTB3APZBS2</t>
    <phoneticPr fontId="4" type="noConversion"/>
  </si>
  <si>
    <t>90KBPNGTB3A2MBU3</t>
    <phoneticPr fontId="4" type="noConversion"/>
  </si>
  <si>
    <t>90G79NGTB3ACW2SR</t>
    <phoneticPr fontId="4" type="noConversion"/>
  </si>
  <si>
    <t>90KBPNGTB3APZBP1</t>
    <phoneticPr fontId="4" type="noConversion"/>
  </si>
  <si>
    <t>90KBPNGTB3APZBG1</t>
    <phoneticPr fontId="4" type="noConversion"/>
  </si>
  <si>
    <t>90KBPNGTB3APZBB3</t>
    <phoneticPr fontId="4" type="noConversion"/>
  </si>
  <si>
    <t>90KBPNGTB3APZBH2</t>
    <phoneticPr fontId="4" type="noConversion"/>
  </si>
  <si>
    <t>90KBPNGTB3APZBS5</t>
    <phoneticPr fontId="4" type="noConversion"/>
  </si>
  <si>
    <t>90KBPNGTB3APZBKB</t>
    <phoneticPr fontId="4" type="noConversion"/>
  </si>
  <si>
    <t>90KBPNGTB3APZBKI</t>
    <phoneticPr fontId="4" type="noConversion"/>
  </si>
  <si>
    <t>90KBPNGTB3APZBKD</t>
    <phoneticPr fontId="4" type="noConversion"/>
  </si>
  <si>
    <t>90KBPNGTB3APZBT2</t>
    <phoneticPr fontId="4" type="noConversion"/>
  </si>
  <si>
    <t>N/A</t>
    <phoneticPr fontId="4" type="noConversion"/>
  </si>
  <si>
    <t>P33437-101</t>
    <phoneticPr fontId="4" type="noConversion"/>
  </si>
  <si>
    <t>90KBPNGTB3APZBF2</t>
    <phoneticPr fontId="4" type="noConversion"/>
  </si>
  <si>
    <t>P33437-141</t>
    <phoneticPr fontId="4" type="noConversion"/>
  </si>
  <si>
    <t>P33437-B41</t>
    <phoneticPr fontId="4" type="noConversion"/>
  </si>
  <si>
    <t>P33437-071</t>
    <phoneticPr fontId="4" type="noConversion"/>
  </si>
  <si>
    <t>FY26</t>
  </si>
  <si>
    <t>FY26</t>
    <phoneticPr fontId="7" type="noConversion"/>
  </si>
  <si>
    <t>FY26</t>
    <phoneticPr fontId="4" type="noConversion"/>
  </si>
  <si>
    <t>Total qty</t>
    <phoneticPr fontId="4" type="noConversion"/>
  </si>
  <si>
    <t>Ttl $</t>
    <phoneticPr fontId="4" type="noConversion"/>
  </si>
  <si>
    <t>90B27NGTB3AOUNK3</t>
    <phoneticPr fontId="4" type="noConversion"/>
  </si>
  <si>
    <t>N61958-001</t>
    <phoneticPr fontId="4" type="noConversion"/>
  </si>
  <si>
    <t>P33437-081</t>
    <phoneticPr fontId="4" type="noConversion"/>
  </si>
  <si>
    <t>Mentor_Media</t>
    <phoneticPr fontId="4" type="noConversion"/>
  </si>
  <si>
    <t>ACROX VN</t>
    <phoneticPr fontId="4" type="noConversion"/>
  </si>
  <si>
    <t>Foxconn_Juarez</t>
    <phoneticPr fontId="4" type="noConversion"/>
  </si>
  <si>
    <t>P33437-211</t>
    <phoneticPr fontId="4" type="noConversion"/>
  </si>
  <si>
    <t>Vietnam</t>
  </si>
  <si>
    <t>N61958-A21</t>
    <phoneticPr fontId="4" type="noConversion"/>
  </si>
  <si>
    <t>QUANTA_CQ</t>
    <phoneticPr fontId="4" type="noConversion"/>
  </si>
  <si>
    <t>90B2C00TB3AMKABN</t>
    <phoneticPr fontId="4" type="noConversion"/>
  </si>
  <si>
    <t>90B2C00TB3AMKAB3</t>
    <phoneticPr fontId="4" type="noConversion"/>
  </si>
  <si>
    <t>Foxconn_CZ</t>
    <phoneticPr fontId="4" type="noConversion"/>
  </si>
  <si>
    <t>HP_India</t>
    <phoneticPr fontId="4" type="noConversion"/>
  </si>
  <si>
    <t>2025 11</t>
    <phoneticPr fontId="4" type="noConversion"/>
  </si>
  <si>
    <t>2025 12</t>
    <phoneticPr fontId="4" type="noConversion"/>
  </si>
  <si>
    <t>2026 01</t>
    <phoneticPr fontId="4" type="noConversion"/>
  </si>
  <si>
    <t xml:space="preserve">2026 02 </t>
    <phoneticPr fontId="4" type="noConversion"/>
  </si>
  <si>
    <t>2026 03</t>
    <phoneticPr fontId="4" type="noConversion"/>
  </si>
  <si>
    <t>2026 04</t>
    <phoneticPr fontId="4" type="noConversion"/>
  </si>
  <si>
    <t>2026 05</t>
    <phoneticPr fontId="4" type="noConversion"/>
  </si>
  <si>
    <t>2026 06</t>
    <phoneticPr fontId="4" type="noConversion"/>
  </si>
  <si>
    <t>2026 07</t>
    <phoneticPr fontId="4" type="noConversion"/>
  </si>
  <si>
    <t>2026 08</t>
    <phoneticPr fontId="4" type="noConversion"/>
  </si>
  <si>
    <t>2026 09</t>
    <phoneticPr fontId="4" type="noConversion"/>
  </si>
  <si>
    <t>2026 10</t>
    <phoneticPr fontId="4" type="noConversion"/>
  </si>
  <si>
    <t>Total Rebate in Q1 2026 (US$)</t>
    <phoneticPr fontId="4" type="noConversion"/>
  </si>
  <si>
    <t>2026 02</t>
    <phoneticPr fontId="4" type="noConversion"/>
  </si>
  <si>
    <t>Total Rebate in Q2 2026 (US$)</t>
    <phoneticPr fontId="4" type="noConversion"/>
  </si>
  <si>
    <t>Total Rebate in Q3 2026 (US$)</t>
    <phoneticPr fontId="4" type="noConversion"/>
  </si>
  <si>
    <t>Total Rebate in Q4 2026 (US$)</t>
    <phoneticPr fontId="4" type="noConversion"/>
  </si>
  <si>
    <t>D05WKAA#ABA</t>
  </si>
  <si>
    <t>D05WJAA#ABA</t>
  </si>
  <si>
    <t>D02GSAA#ABA</t>
  </si>
  <si>
    <t>P33437-BL1</t>
  </si>
  <si>
    <t>Commercial</t>
  </si>
  <si>
    <t>DT</t>
  </si>
  <si>
    <t>P33437-xx1</t>
  </si>
  <si>
    <t>1D0K9AA#ABL</t>
  </si>
  <si>
    <t>P28745-001</t>
  </si>
  <si>
    <t>P28747-101</t>
  </si>
  <si>
    <t>P28749-201</t>
  </si>
  <si>
    <t>P29386-301</t>
  </si>
  <si>
    <t>P28745-401</t>
  </si>
  <si>
    <t>P28745-501</t>
  </si>
  <si>
    <t>N62007-001</t>
  </si>
  <si>
    <t>43N05AA#ABA</t>
  </si>
  <si>
    <t>240J7AA#ABB</t>
  </si>
  <si>
    <t>2V9E6AA#ABD</t>
  </si>
  <si>
    <t>L13996-001</t>
  </si>
  <si>
    <t>N87318-001</t>
  </si>
  <si>
    <t>N87316-001</t>
  </si>
  <si>
    <t>681R7AA#ABL</t>
  </si>
  <si>
    <t>681R8AA#ABL</t>
  </si>
  <si>
    <t>681R9AA#ABL</t>
  </si>
  <si>
    <t>681S0AA#ABL</t>
  </si>
  <si>
    <t>66Z09AA#ABL</t>
  </si>
  <si>
    <t>3V0G9AA#ABA</t>
  </si>
  <si>
    <t>9T5B0UT#ABA</t>
  </si>
  <si>
    <t>9T5B0UT#ABJ</t>
  </si>
  <si>
    <t>9T5B0UT#AC3</t>
  </si>
  <si>
    <t>9T5B0UT#UUF</t>
  </si>
  <si>
    <t>3L1F0AA#ABA</t>
  </si>
  <si>
    <t>P29388-001</t>
  </si>
  <si>
    <t>P29388-371</t>
  </si>
  <si>
    <t>P48683-371</t>
  </si>
  <si>
    <t>P29388-A21</t>
  </si>
  <si>
    <t>664R5AA#AC4</t>
  </si>
  <si>
    <t>P48683-A21</t>
  </si>
  <si>
    <t>P28745-601</t>
  </si>
  <si>
    <t>P28745-701</t>
  </si>
  <si>
    <t>P28745-801</t>
  </si>
  <si>
    <t>P28745-901</t>
  </si>
  <si>
    <r>
      <rPr>
        <sz val="11"/>
        <rFont val="微軟正黑體"/>
        <family val="2"/>
        <charset val="136"/>
      </rPr>
      <t>雲母銀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噴漆</t>
    </r>
    <r>
      <rPr>
        <sz val="11"/>
        <rFont val="Calibri"/>
        <family val="2"/>
      </rPr>
      <t>)</t>
    </r>
    <phoneticPr fontId="4" type="noConversion"/>
  </si>
  <si>
    <r>
      <rPr>
        <sz val="11"/>
        <rFont val="微軟正黑體"/>
        <family val="2"/>
        <charset val="136"/>
      </rPr>
      <t>暖金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噴漆</t>
    </r>
    <r>
      <rPr>
        <sz val="11"/>
        <rFont val="Calibri"/>
        <family val="2"/>
      </rPr>
      <t>)</t>
    </r>
    <phoneticPr fontId="4" type="noConversion"/>
  </si>
  <si>
    <r>
      <t>IMF</t>
    </r>
    <r>
      <rPr>
        <sz val="11"/>
        <rFont val="微軟正黑體"/>
        <family val="2"/>
        <charset val="136"/>
      </rPr>
      <t>款</t>
    </r>
    <r>
      <rPr>
        <sz val="11"/>
        <rFont val="Calibri"/>
        <family val="2"/>
      </rPr>
      <t>-</t>
    </r>
    <r>
      <rPr>
        <sz val="11"/>
        <rFont val="微軟正黑體"/>
        <family val="2"/>
        <charset val="136"/>
      </rPr>
      <t>紫水晶</t>
    </r>
    <phoneticPr fontId="4" type="noConversion"/>
  </si>
  <si>
    <r>
      <t>IMF</t>
    </r>
    <r>
      <rPr>
        <sz val="11"/>
        <rFont val="微軟正黑體"/>
        <family val="2"/>
        <charset val="136"/>
      </rPr>
      <t>款</t>
    </r>
    <r>
      <rPr>
        <sz val="11"/>
        <rFont val="Calibri"/>
        <family val="2"/>
      </rPr>
      <t>-</t>
    </r>
    <r>
      <rPr>
        <sz val="11"/>
        <rFont val="微軟正黑體"/>
        <family val="2"/>
        <charset val="136"/>
      </rPr>
      <t>藍寶石</t>
    </r>
    <phoneticPr fontId="4" type="noConversion"/>
  </si>
  <si>
    <t>HP/ODM Part#</t>
    <phoneticPr fontId="4" type="noConversion"/>
  </si>
  <si>
    <t>3V0G9AA#ABM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</si>
</sst>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&quot;$&quot;#,##0_);[Red]\(&quot;$&quot;#,##0\)"/>
    <numFmt numFmtId="177" formatCode="&quot;$&quot;#,##0.00_);[Red]\(&quot;$&quot;#,##0.00\)"/>
    <numFmt numFmtId="178" formatCode="[$$-409]#,##0.00"/>
    <numFmt numFmtId="179" formatCode="0_);[Red]\(0\)"/>
    <numFmt numFmtId="180" formatCode="&quot;$&quot;#,##0.00"/>
    <numFmt numFmtId="181" formatCode="0.00_);[Red]\(0.00\)"/>
    <numFmt numFmtId="182" formatCode="[$-F400]h:mm:ss\ AM/PM"/>
    <numFmt numFmtId="183" formatCode="[$$-409]#,##0"/>
    <numFmt numFmtId="184" formatCode="0.0%"/>
  </numFmts>
  <fonts count="39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2"/>
      <color rgb="FF3333FF"/>
      <name val="Calibri"/>
      <family val="2"/>
    </font>
    <font>
      <sz val="11"/>
      <color rgb="FF3333FF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PMingLiU"/>
      <family val="1"/>
    </font>
    <font>
      <sz val="11"/>
      <color theme="1"/>
      <name val="SimSun"/>
    </font>
    <font>
      <b/>
      <sz val="10.5"/>
      <color rgb="FF000000"/>
      <name val="Calibri"/>
      <family val="2"/>
    </font>
    <font>
      <sz val="11"/>
      <color theme="1"/>
      <name val="新細明體"/>
      <family val="1"/>
      <scheme val="minor"/>
    </font>
    <font>
      <sz val="8"/>
      <name val="新細明體"/>
      <family val="2"/>
      <charset val="136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Helv"/>
      <family val="2"/>
    </font>
    <font>
      <sz val="11"/>
      <color rgb="FF000000"/>
      <name val="新細明體"/>
      <family val="1"/>
      <charset val="136"/>
    </font>
    <font>
      <sz val="11"/>
      <color theme="1"/>
      <name val="微軟正黑體"/>
      <family val="2"/>
      <charset val="136"/>
    </font>
    <font>
      <sz val="11"/>
      <color theme="1"/>
      <name val="細明體"/>
      <family val="3"/>
      <charset val="136"/>
    </font>
    <font>
      <b/>
      <sz val="12"/>
      <color theme="1"/>
      <name val="標楷體"/>
      <family val="2"/>
      <charset val="136"/>
    </font>
    <font>
      <sz val="12"/>
      <color theme="0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細明體"/>
      <family val="2"/>
      <charset val="136"/>
    </font>
    <font>
      <sz val="9"/>
      <color indexed="81"/>
      <name val="細明體"/>
      <family val="3"/>
      <charset val="136"/>
    </font>
    <font>
      <sz val="11"/>
      <name val="微軟正黑體"/>
      <family val="2"/>
      <charset val="136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6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8">
    <xf numFmtId="178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26" fillId="0" borderId="0"/>
    <xf numFmtId="182" fontId="27" fillId="0" borderId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307">
    <xf numFmtId="178" fontId="0" fillId="0" borderId="0" xfId="0">
      <alignment vertical="center"/>
    </xf>
    <xf numFmtId="178" fontId="6" fillId="0" borderId="0" xfId="0" applyFont="1">
      <alignment vertical="center"/>
    </xf>
    <xf numFmtId="178" fontId="6" fillId="0" borderId="0" xfId="0" applyFont="1" applyAlignment="1">
      <alignment horizontal="center" vertical="center"/>
    </xf>
    <xf numFmtId="177" fontId="6" fillId="0" borderId="0" xfId="0" applyNumberFormat="1" applyFont="1">
      <alignment vertical="center"/>
    </xf>
    <xf numFmtId="178" fontId="7" fillId="0" borderId="0" xfId="0" applyFont="1" applyAlignment="1">
      <alignment horizontal="center" vertical="center"/>
    </xf>
    <xf numFmtId="38" fontId="7" fillId="0" borderId="0" xfId="0" applyNumberFormat="1" applyFont="1" applyAlignment="1">
      <alignment horizontal="right" vertical="center"/>
    </xf>
    <xf numFmtId="177" fontId="7" fillId="0" borderId="0" xfId="0" applyNumberFormat="1" applyFont="1">
      <alignment vertical="center"/>
    </xf>
    <xf numFmtId="178" fontId="8" fillId="0" borderId="0" xfId="0" applyFont="1" applyAlignment="1">
      <alignment horizontal="center" vertical="center"/>
    </xf>
    <xf numFmtId="178" fontId="6" fillId="0" borderId="5" xfId="0" applyFont="1" applyBorder="1" applyAlignment="1">
      <alignment horizontal="center" vertical="center"/>
    </xf>
    <xf numFmtId="178" fontId="8" fillId="0" borderId="9" xfId="0" applyFont="1" applyBorder="1" applyAlignment="1">
      <alignment horizontal="center" vertical="center"/>
    </xf>
    <xf numFmtId="178" fontId="10" fillId="0" borderId="10" xfId="0" applyFont="1" applyBorder="1" applyAlignment="1">
      <alignment horizontal="center" vertical="center"/>
    </xf>
    <xf numFmtId="178" fontId="11" fillId="0" borderId="0" xfId="0" applyFont="1">
      <alignment vertical="center"/>
    </xf>
    <xf numFmtId="178" fontId="8" fillId="0" borderId="10" xfId="0" applyFont="1" applyBorder="1" applyAlignment="1">
      <alignment horizontal="center" vertical="center"/>
    </xf>
    <xf numFmtId="177" fontId="7" fillId="0" borderId="14" xfId="0" applyNumberFormat="1" applyFont="1" applyBorder="1" applyAlignment="1">
      <alignment horizontal="center" vertical="center"/>
    </xf>
    <xf numFmtId="177" fontId="7" fillId="0" borderId="13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8" fontId="6" fillId="0" borderId="10" xfId="0" applyFont="1" applyBorder="1">
      <alignment vertical="center"/>
    </xf>
    <xf numFmtId="178" fontId="11" fillId="0" borderId="3" xfId="0" applyFont="1" applyBorder="1" applyAlignment="1">
      <alignment horizontal="center" vertical="center" wrapText="1"/>
    </xf>
    <xf numFmtId="178" fontId="12" fillId="0" borderId="12" xfId="0" applyFont="1" applyBorder="1" applyAlignment="1">
      <alignment horizontal="center" vertical="center"/>
    </xf>
    <xf numFmtId="178" fontId="11" fillId="0" borderId="3" xfId="0" applyFont="1" applyBorder="1" applyAlignment="1">
      <alignment horizontal="center" vertical="center"/>
    </xf>
    <xf numFmtId="2" fontId="6" fillId="0" borderId="0" xfId="0" applyNumberFormat="1" applyFont="1">
      <alignment vertical="center"/>
    </xf>
    <xf numFmtId="178" fontId="11" fillId="0" borderId="7" xfId="0" applyFont="1" applyBorder="1" applyAlignment="1">
      <alignment horizontal="center" vertical="center" wrapText="1"/>
    </xf>
    <xf numFmtId="178" fontId="11" fillId="0" borderId="5" xfId="0" applyFont="1" applyBorder="1" applyAlignment="1">
      <alignment horizontal="center" vertical="center" wrapText="1"/>
    </xf>
    <xf numFmtId="178" fontId="15" fillId="7" borderId="0" xfId="0" applyFont="1" applyFill="1">
      <alignment vertical="center"/>
    </xf>
    <xf numFmtId="178" fontId="14" fillId="0" borderId="0" xfId="0" applyFont="1" applyAlignment="1"/>
    <xf numFmtId="178" fontId="16" fillId="8" borderId="12" xfId="0" applyFont="1" applyFill="1" applyBorder="1" applyAlignment="1">
      <alignment horizontal="center" vertical="center"/>
    </xf>
    <xf numFmtId="178" fontId="16" fillId="8" borderId="11" xfId="0" applyFont="1" applyFill="1" applyBorder="1" applyAlignment="1">
      <alignment horizontal="center" vertical="center"/>
    </xf>
    <xf numFmtId="178" fontId="16" fillId="8" borderId="11" xfId="0" applyFont="1" applyFill="1" applyBorder="1" applyAlignment="1">
      <alignment horizontal="center" vertical="center" wrapText="1"/>
    </xf>
    <xf numFmtId="178" fontId="17" fillId="0" borderId="0" xfId="0" applyFont="1" applyAlignment="1">
      <alignment horizontal="center" vertical="center"/>
    </xf>
    <xf numFmtId="178" fontId="17" fillId="0" borderId="2" xfId="0" applyFont="1" applyBorder="1" applyAlignment="1">
      <alignment horizontal="center" vertical="center"/>
    </xf>
    <xf numFmtId="178" fontId="17" fillId="0" borderId="2" xfId="0" applyFont="1" applyBorder="1">
      <alignment vertical="center"/>
    </xf>
    <xf numFmtId="178" fontId="17" fillId="0" borderId="15" xfId="0" applyFont="1" applyBorder="1" applyAlignment="1">
      <alignment horizontal="center" vertical="center"/>
    </xf>
    <xf numFmtId="178" fontId="17" fillId="0" borderId="11" xfId="0" applyFont="1" applyBorder="1" applyAlignment="1">
      <alignment horizontal="center" vertical="center"/>
    </xf>
    <xf numFmtId="178" fontId="17" fillId="2" borderId="15" xfId="0" applyFont="1" applyFill="1" applyBorder="1" applyAlignment="1">
      <alignment horizontal="center" vertical="center"/>
    </xf>
    <xf numFmtId="178" fontId="17" fillId="2" borderId="2" xfId="0" applyFont="1" applyFill="1" applyBorder="1" applyAlignment="1">
      <alignment horizontal="center" vertical="center"/>
    </xf>
    <xf numFmtId="17" fontId="18" fillId="8" borderId="18" xfId="0" applyNumberFormat="1" applyFont="1" applyFill="1" applyBorder="1" applyAlignment="1">
      <alignment horizontal="center" vertical="center"/>
    </xf>
    <xf numFmtId="178" fontId="11" fillId="0" borderId="4" xfId="0" applyFont="1" applyBorder="1" applyAlignment="1">
      <alignment horizontal="center" vertical="center" wrapText="1"/>
    </xf>
    <xf numFmtId="178" fontId="8" fillId="0" borderId="11" xfId="0" applyFont="1" applyBorder="1" applyAlignment="1">
      <alignment horizontal="center" vertical="center"/>
    </xf>
    <xf numFmtId="178" fontId="13" fillId="0" borderId="7" xfId="0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8" fontId="19" fillId="0" borderId="0" xfId="0" applyFont="1" applyAlignment="1">
      <alignment horizontal="left" vertical="center" indent="1"/>
    </xf>
    <xf numFmtId="178" fontId="20" fillId="0" borderId="0" xfId="0" applyFont="1" applyAlignment="1">
      <alignment horizontal="left" vertical="center" indent="1"/>
    </xf>
    <xf numFmtId="178" fontId="16" fillId="8" borderId="13" xfId="0" applyFont="1" applyFill="1" applyBorder="1" applyAlignment="1">
      <alignment horizontal="center" vertical="center"/>
    </xf>
    <xf numFmtId="177" fontId="9" fillId="3" borderId="18" xfId="0" applyNumberFormat="1" applyFont="1" applyFill="1" applyBorder="1" applyAlignment="1">
      <alignment horizontal="center" vertical="center" wrapText="1"/>
    </xf>
    <xf numFmtId="177" fontId="9" fillId="6" borderId="18" xfId="0" applyNumberFormat="1" applyFont="1" applyFill="1" applyBorder="1" applyAlignment="1">
      <alignment horizontal="center" vertical="center" wrapText="1"/>
    </xf>
    <xf numFmtId="177" fontId="12" fillId="5" borderId="18" xfId="0" applyNumberFormat="1" applyFont="1" applyFill="1" applyBorder="1" applyAlignment="1">
      <alignment horizontal="center" vertical="center" wrapText="1"/>
    </xf>
    <xf numFmtId="177" fontId="9" fillId="10" borderId="18" xfId="0" applyNumberFormat="1" applyFont="1" applyFill="1" applyBorder="1" applyAlignment="1">
      <alignment horizontal="center" vertical="center" wrapText="1"/>
    </xf>
    <xf numFmtId="177" fontId="9" fillId="11" borderId="18" xfId="0" applyNumberFormat="1" applyFont="1" applyFill="1" applyBorder="1" applyAlignment="1">
      <alignment horizontal="center" vertical="center" wrapText="1"/>
    </xf>
    <xf numFmtId="178" fontId="0" fillId="2" borderId="0" xfId="0" applyFill="1">
      <alignment vertical="center"/>
    </xf>
    <xf numFmtId="178" fontId="21" fillId="0" borderId="12" xfId="0" applyFont="1" applyBorder="1" applyAlignment="1">
      <alignment horizontal="center" vertical="center"/>
    </xf>
    <xf numFmtId="178" fontId="15" fillId="0" borderId="11" xfId="0" applyFont="1" applyBorder="1" applyAlignment="1">
      <alignment horizontal="center" vertical="center"/>
    </xf>
    <xf numFmtId="178" fontId="15" fillId="0" borderId="11" xfId="0" applyFont="1" applyBorder="1" applyAlignment="1">
      <alignment horizontal="center" vertical="center" wrapText="1"/>
    </xf>
    <xf numFmtId="178" fontId="21" fillId="0" borderId="13" xfId="0" applyFont="1" applyBorder="1" applyAlignment="1">
      <alignment horizontal="center" vertical="center"/>
    </xf>
    <xf numFmtId="178" fontId="15" fillId="0" borderId="6" xfId="0" applyFont="1" applyBorder="1" applyAlignment="1">
      <alignment horizontal="center" vertical="center"/>
    </xf>
    <xf numFmtId="178" fontId="15" fillId="0" borderId="6" xfId="0" applyFont="1" applyBorder="1" applyAlignment="1">
      <alignment horizontal="center" vertical="center" wrapText="1"/>
    </xf>
    <xf numFmtId="178" fontId="21" fillId="2" borderId="12" xfId="0" applyFont="1" applyFill="1" applyBorder="1" applyAlignment="1">
      <alignment horizontal="center" vertical="center"/>
    </xf>
    <xf numFmtId="178" fontId="15" fillId="0" borderId="0" xfId="0" applyFont="1" applyAlignment="1">
      <alignment horizontal="center" vertical="center"/>
    </xf>
    <xf numFmtId="178" fontId="6" fillId="0" borderId="18" xfId="0" applyFont="1" applyBorder="1" applyAlignment="1">
      <alignment horizontal="center" vertical="center"/>
    </xf>
    <xf numFmtId="178" fontId="8" fillId="12" borderId="18" xfId="0" applyFont="1" applyFill="1" applyBorder="1" applyAlignment="1">
      <alignment horizontal="center" vertical="center" wrapText="1"/>
    </xf>
    <xf numFmtId="178" fontId="22" fillId="0" borderId="0" xfId="0" applyFont="1" applyAlignment="1">
      <alignment horizontal="left" vertical="center" indent="4"/>
    </xf>
    <xf numFmtId="177" fontId="12" fillId="2" borderId="18" xfId="0" applyNumberFormat="1" applyFont="1" applyFill="1" applyBorder="1" applyAlignment="1">
      <alignment horizontal="center" vertical="center" wrapText="1"/>
    </xf>
    <xf numFmtId="38" fontId="9" fillId="10" borderId="18" xfId="0" applyNumberFormat="1" applyFont="1" applyFill="1" applyBorder="1" applyAlignment="1">
      <alignment horizontal="center" vertical="center" wrapText="1"/>
    </xf>
    <xf numFmtId="38" fontId="9" fillId="3" borderId="18" xfId="0" applyNumberFormat="1" applyFont="1" applyFill="1" applyBorder="1" applyAlignment="1">
      <alignment horizontal="center" vertical="center" wrapText="1"/>
    </xf>
    <xf numFmtId="38" fontId="9" fillId="11" borderId="18" xfId="0" applyNumberFormat="1" applyFont="1" applyFill="1" applyBorder="1" applyAlignment="1">
      <alignment horizontal="center" vertical="center" wrapText="1"/>
    </xf>
    <xf numFmtId="38" fontId="9" fillId="6" borderId="18" xfId="0" applyNumberFormat="1" applyFont="1" applyFill="1" applyBorder="1" applyAlignment="1">
      <alignment horizontal="center" vertical="center" wrapText="1"/>
    </xf>
    <xf numFmtId="178" fontId="12" fillId="0" borderId="18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177" fontId="12" fillId="6" borderId="10" xfId="0" applyNumberFormat="1" applyFont="1" applyFill="1" applyBorder="1" applyAlignment="1">
      <alignment horizontal="center" vertical="center" wrapText="1"/>
    </xf>
    <xf numFmtId="178" fontId="6" fillId="0" borderId="0" xfId="0" applyFont="1" applyAlignment="1">
      <alignment horizontal="right" vertical="center"/>
    </xf>
    <xf numFmtId="179" fontId="6" fillId="0" borderId="0" xfId="1" applyNumberFormat="1" applyFont="1" applyAlignment="1">
      <alignment horizontal="right" vertical="center"/>
    </xf>
    <xf numFmtId="179" fontId="6" fillId="0" borderId="0" xfId="1" applyNumberFormat="1" applyFont="1" applyAlignment="1">
      <alignment vertical="center"/>
    </xf>
    <xf numFmtId="178" fontId="7" fillId="0" borderId="0" xfId="0" applyFont="1" applyAlignment="1">
      <alignment horizontal="right" vertical="center"/>
    </xf>
    <xf numFmtId="179" fontId="7" fillId="0" borderId="0" xfId="1" applyNumberFormat="1" applyFont="1" applyAlignment="1">
      <alignment vertical="center"/>
    </xf>
    <xf numFmtId="179" fontId="6" fillId="0" borderId="0" xfId="1" applyNumberFormat="1" applyFont="1" applyBorder="1" applyAlignment="1">
      <alignment horizontal="right" vertical="center"/>
    </xf>
    <xf numFmtId="177" fontId="7" fillId="0" borderId="1" xfId="0" applyNumberFormat="1" applyFont="1" applyBorder="1" applyAlignment="1">
      <alignment horizontal="center" vertical="center"/>
    </xf>
    <xf numFmtId="178" fontId="7" fillId="0" borderId="14" xfId="0" applyFont="1" applyBorder="1" applyAlignment="1">
      <alignment horizontal="center" vertical="center" wrapText="1"/>
    </xf>
    <xf numFmtId="2" fontId="7" fillId="0" borderId="14" xfId="0" applyNumberFormat="1" applyFont="1" applyBorder="1" applyAlignment="1">
      <alignment horizontal="center" vertical="center" wrapText="1"/>
    </xf>
    <xf numFmtId="0" fontId="7" fillId="0" borderId="14" xfId="0" applyNumberFormat="1" applyFont="1" applyBorder="1" applyAlignment="1">
      <alignment horizontal="center" vertical="center"/>
    </xf>
    <xf numFmtId="179" fontId="7" fillId="0" borderId="0" xfId="0" applyNumberFormat="1" applyFont="1">
      <alignment vertical="center"/>
    </xf>
    <xf numFmtId="179" fontId="6" fillId="0" borderId="0" xfId="1" applyNumberFormat="1" applyFont="1" applyBorder="1" applyAlignment="1">
      <alignment vertical="center"/>
    </xf>
    <xf numFmtId="178" fontId="7" fillId="0" borderId="14" xfId="0" applyFont="1" applyBorder="1" applyAlignment="1">
      <alignment horizontal="center" vertical="center"/>
    </xf>
    <xf numFmtId="179" fontId="7" fillId="0" borderId="0" xfId="1" applyNumberFormat="1" applyFont="1" applyBorder="1" applyAlignment="1">
      <alignment vertical="center"/>
    </xf>
    <xf numFmtId="2" fontId="7" fillId="0" borderId="14" xfId="0" applyNumberFormat="1" applyFont="1" applyBorder="1" applyAlignment="1">
      <alignment horizontal="center" vertical="center"/>
    </xf>
    <xf numFmtId="178" fontId="7" fillId="0" borderId="7" xfId="0" applyFont="1" applyBorder="1" applyAlignment="1">
      <alignment horizontal="right" vertical="center"/>
    </xf>
    <xf numFmtId="179" fontId="7" fillId="0" borderId="7" xfId="1" applyNumberFormat="1" applyFont="1" applyBorder="1" applyAlignment="1">
      <alignment vertical="center"/>
    </xf>
    <xf numFmtId="177" fontId="7" fillId="0" borderId="8" xfId="0" applyNumberFormat="1" applyFont="1" applyBorder="1" applyAlignment="1">
      <alignment horizontal="center" vertical="center"/>
    </xf>
    <xf numFmtId="178" fontId="7" fillId="0" borderId="13" xfId="0" applyFont="1" applyBorder="1" applyAlignment="1">
      <alignment horizontal="center" vertical="center" wrapText="1"/>
    </xf>
    <xf numFmtId="2" fontId="7" fillId="0" borderId="13" xfId="0" applyNumberFormat="1" applyFont="1" applyBorder="1" applyAlignment="1">
      <alignment horizontal="center" vertical="center" wrapText="1"/>
    </xf>
    <xf numFmtId="0" fontId="7" fillId="0" borderId="13" xfId="0" applyNumberFormat="1" applyFont="1" applyBorder="1" applyAlignment="1">
      <alignment horizontal="center" vertical="center"/>
    </xf>
    <xf numFmtId="179" fontId="6" fillId="0" borderId="0" xfId="1" applyNumberFormat="1" applyFont="1" applyFill="1" applyAlignment="1">
      <alignment vertical="center"/>
    </xf>
    <xf numFmtId="178" fontId="6" fillId="0" borderId="7" xfId="0" applyFont="1" applyBorder="1" applyAlignment="1">
      <alignment horizontal="center" vertical="center"/>
    </xf>
    <xf numFmtId="178" fontId="24" fillId="0" borderId="0" xfId="0" applyFont="1" applyAlignment="1">
      <alignment horizontal="center" vertical="center"/>
    </xf>
    <xf numFmtId="178" fontId="25" fillId="0" borderId="0" xfId="0" applyFont="1" applyAlignment="1">
      <alignment horizontal="center" vertical="center"/>
    </xf>
    <xf numFmtId="178" fontId="24" fillId="0" borderId="0" xfId="0" applyFont="1">
      <alignment vertical="center"/>
    </xf>
    <xf numFmtId="180" fontId="7" fillId="0" borderId="4" xfId="0" applyNumberFormat="1" applyFont="1" applyBorder="1" applyAlignment="1">
      <alignment horizontal="right" vertical="center"/>
    </xf>
    <xf numFmtId="180" fontId="7" fillId="0" borderId="7" xfId="0" applyNumberFormat="1" applyFont="1" applyBorder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8" fontId="13" fillId="0" borderId="0" xfId="0" applyFont="1" applyAlignment="1">
      <alignment horizontal="right" vertical="center"/>
    </xf>
    <xf numFmtId="178" fontId="7" fillId="0" borderId="0" xfId="0" applyFont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 wrapText="1"/>
    </xf>
    <xf numFmtId="178" fontId="7" fillId="0" borderId="8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178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178" fontId="7" fillId="0" borderId="1" xfId="0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178" fontId="6" fillId="0" borderId="10" xfId="0" applyFont="1" applyBorder="1" applyAlignment="1">
      <alignment horizontal="center" vertical="center"/>
    </xf>
    <xf numFmtId="178" fontId="6" fillId="0" borderId="19" xfId="0" applyFont="1" applyBorder="1">
      <alignment vertical="center"/>
    </xf>
    <xf numFmtId="178" fontId="7" fillId="0" borderId="20" xfId="0" applyFont="1" applyBorder="1" applyAlignment="1">
      <alignment horizontal="center" vertical="center"/>
    </xf>
    <xf numFmtId="179" fontId="7" fillId="0" borderId="7" xfId="0" applyNumberFormat="1" applyFont="1" applyBorder="1" applyAlignment="1">
      <alignment horizontal="right" vertical="center"/>
    </xf>
    <xf numFmtId="177" fontId="7" fillId="0" borderId="7" xfId="0" applyNumberFormat="1" applyFont="1" applyBorder="1">
      <alignment vertical="center"/>
    </xf>
    <xf numFmtId="178" fontId="6" fillId="0" borderId="7" xfId="0" applyFont="1" applyBorder="1">
      <alignment vertical="center"/>
    </xf>
    <xf numFmtId="179" fontId="6" fillId="0" borderId="7" xfId="0" applyNumberFormat="1" applyFont="1" applyBorder="1">
      <alignment vertical="center"/>
    </xf>
    <xf numFmtId="181" fontId="6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right" vertical="center"/>
    </xf>
    <xf numFmtId="179" fontId="6" fillId="0" borderId="0" xfId="0" applyNumberFormat="1" applyFont="1">
      <alignment vertical="center"/>
    </xf>
    <xf numFmtId="178" fontId="12" fillId="2" borderId="12" xfId="0" applyFont="1" applyFill="1" applyBorder="1" applyAlignment="1">
      <alignment horizontal="center" vertical="center" wrapText="1"/>
    </xf>
    <xf numFmtId="178" fontId="12" fillId="5" borderId="18" xfId="0" applyFont="1" applyFill="1" applyBorder="1" applyAlignment="1">
      <alignment horizontal="center" vertical="center" wrapText="1"/>
    </xf>
    <xf numFmtId="178" fontId="8" fillId="13" borderId="18" xfId="0" applyFont="1" applyFill="1" applyBorder="1" applyAlignment="1">
      <alignment horizontal="center" vertical="center"/>
    </xf>
    <xf numFmtId="178" fontId="8" fillId="0" borderId="6" xfId="0" applyFont="1" applyBorder="1" applyAlignment="1">
      <alignment horizontal="center" vertical="center" wrapText="1"/>
    </xf>
    <xf numFmtId="178" fontId="6" fillId="0" borderId="21" xfId="0" applyFont="1" applyBorder="1">
      <alignment vertical="center"/>
    </xf>
    <xf numFmtId="178" fontId="6" fillId="0" borderId="22" xfId="0" applyFont="1" applyBorder="1">
      <alignment vertical="center"/>
    </xf>
    <xf numFmtId="178" fontId="7" fillId="0" borderId="24" xfId="0" applyFont="1" applyBorder="1" applyAlignment="1">
      <alignment horizontal="center" vertical="center"/>
    </xf>
    <xf numFmtId="178" fontId="6" fillId="0" borderId="25" xfId="0" applyFont="1" applyBorder="1">
      <alignment vertical="center"/>
    </xf>
    <xf numFmtId="178" fontId="7" fillId="0" borderId="9" xfId="0" applyFont="1" applyBorder="1" applyAlignment="1">
      <alignment horizontal="center" vertical="center"/>
    </xf>
    <xf numFmtId="178" fontId="8" fillId="4" borderId="10" xfId="0" applyFont="1" applyFill="1" applyBorder="1" applyAlignment="1">
      <alignment horizontal="center" vertical="center"/>
    </xf>
    <xf numFmtId="178" fontId="6" fillId="0" borderId="27" xfId="0" applyFont="1" applyBorder="1">
      <alignment vertical="center"/>
    </xf>
    <xf numFmtId="178" fontId="6" fillId="0" borderId="23" xfId="0" applyFont="1" applyBorder="1">
      <alignment vertical="center"/>
    </xf>
    <xf numFmtId="178" fontId="11" fillId="0" borderId="23" xfId="0" applyFont="1" applyBorder="1">
      <alignment vertical="center"/>
    </xf>
    <xf numFmtId="178" fontId="7" fillId="0" borderId="27" xfId="0" applyFont="1" applyBorder="1">
      <alignment vertical="center"/>
    </xf>
    <xf numFmtId="178" fontId="7" fillId="0" borderId="23" xfId="0" applyFont="1" applyBorder="1">
      <alignment vertical="center"/>
    </xf>
    <xf numFmtId="178" fontId="7" fillId="0" borderId="19" xfId="0" applyFont="1" applyBorder="1">
      <alignment vertical="center"/>
    </xf>
    <xf numFmtId="178" fontId="11" fillId="0" borderId="7" xfId="0" applyFont="1" applyBorder="1" applyAlignment="1">
      <alignment horizontal="center" vertical="center"/>
    </xf>
    <xf numFmtId="178" fontId="7" fillId="0" borderId="8" xfId="0" applyFont="1" applyBorder="1" applyAlignment="1">
      <alignment horizontal="center" vertical="center"/>
    </xf>
    <xf numFmtId="178" fontId="7" fillId="0" borderId="13" xfId="0" applyFont="1" applyBorder="1" applyAlignment="1">
      <alignment horizontal="center" vertical="center"/>
    </xf>
    <xf numFmtId="0" fontId="6" fillId="0" borderId="0" xfId="0" applyNumberFormat="1" applyFont="1">
      <alignment vertical="center"/>
    </xf>
    <xf numFmtId="14" fontId="6" fillId="0" borderId="0" xfId="0" applyNumberFormat="1" applyFont="1">
      <alignment vertical="center"/>
    </xf>
    <xf numFmtId="14" fontId="11" fillId="0" borderId="0" xfId="0" applyNumberFormat="1" applyFont="1">
      <alignment vertical="center"/>
    </xf>
    <xf numFmtId="178" fontId="7" fillId="0" borderId="23" xfId="0" applyFont="1" applyBorder="1" applyAlignment="1">
      <alignment horizontal="center" vertical="center"/>
    </xf>
    <xf numFmtId="178" fontId="7" fillId="0" borderId="26" xfId="0" applyFont="1" applyBorder="1">
      <alignment vertical="center"/>
    </xf>
    <xf numFmtId="178" fontId="6" fillId="0" borderId="30" xfId="0" applyFont="1" applyBorder="1">
      <alignment vertical="center"/>
    </xf>
    <xf numFmtId="178" fontId="7" fillId="0" borderId="30" xfId="0" applyFont="1" applyBorder="1">
      <alignment vertical="center"/>
    </xf>
    <xf numFmtId="178" fontId="8" fillId="13" borderId="24" xfId="0" applyFont="1" applyFill="1" applyBorder="1" applyAlignment="1">
      <alignment horizontal="center" vertical="center"/>
    </xf>
    <xf numFmtId="178" fontId="7" fillId="0" borderId="0" xfId="0" applyFont="1">
      <alignment vertical="center"/>
    </xf>
    <xf numFmtId="177" fontId="9" fillId="11" borderId="27" xfId="0" applyNumberFormat="1" applyFont="1" applyFill="1" applyBorder="1" applyAlignment="1">
      <alignment horizontal="center" vertical="center" wrapText="1"/>
    </xf>
    <xf numFmtId="178" fontId="13" fillId="0" borderId="0" xfId="0" applyFont="1">
      <alignment vertical="center"/>
    </xf>
    <xf numFmtId="0" fontId="0" fillId="0" borderId="0" xfId="0" applyNumberFormat="1">
      <alignment vertical="center"/>
    </xf>
    <xf numFmtId="178" fontId="30" fillId="14" borderId="31" xfId="0" applyFont="1" applyFill="1" applyBorder="1">
      <alignment vertical="center"/>
    </xf>
    <xf numFmtId="0" fontId="30" fillId="14" borderId="31" xfId="0" applyNumberFormat="1" applyFont="1" applyFill="1" applyBorder="1">
      <alignment vertical="center"/>
    </xf>
    <xf numFmtId="0" fontId="6" fillId="0" borderId="0" xfId="0" applyNumberFormat="1" applyFont="1" applyAlignment="1">
      <alignment horizontal="right" vertical="center"/>
    </xf>
    <xf numFmtId="178" fontId="7" fillId="0" borderId="18" xfId="0" quotePrefix="1" applyFont="1" applyBorder="1" applyAlignment="1">
      <alignment horizontal="center"/>
    </xf>
    <xf numFmtId="178" fontId="0" fillId="0" borderId="0" xfId="0" pivotButton="1">
      <alignment vertical="center"/>
    </xf>
    <xf numFmtId="178" fontId="0" fillId="0" borderId="0" xfId="0" applyAlignment="1">
      <alignment horizontal="left" vertical="center"/>
    </xf>
    <xf numFmtId="178" fontId="7" fillId="0" borderId="0" xfId="0" quotePrefix="1" applyFont="1" applyAlignment="1">
      <alignment horizontal="center"/>
    </xf>
    <xf numFmtId="178" fontId="0" fillId="2" borderId="0" xfId="0" applyFill="1" applyAlignment="1">
      <alignment horizontal="left" vertical="center"/>
    </xf>
    <xf numFmtId="179" fontId="6" fillId="0" borderId="0" xfId="0" applyNumberFormat="1" applyFont="1" applyAlignment="1">
      <alignment horizontal="right" vertical="center"/>
    </xf>
    <xf numFmtId="177" fontId="9" fillId="3" borderId="27" xfId="0" applyNumberFormat="1" applyFont="1" applyFill="1" applyBorder="1" applyAlignment="1">
      <alignment horizontal="center" vertical="center" wrapText="1"/>
    </xf>
    <xf numFmtId="177" fontId="7" fillId="0" borderId="29" xfId="0" applyNumberFormat="1" applyFont="1" applyBorder="1">
      <alignment vertical="center"/>
    </xf>
    <xf numFmtId="38" fontId="7" fillId="0" borderId="29" xfId="0" applyNumberFormat="1" applyFont="1" applyBorder="1" applyAlignment="1">
      <alignment horizontal="right" vertical="center"/>
    </xf>
    <xf numFmtId="179" fontId="7" fillId="0" borderId="29" xfId="0" applyNumberFormat="1" applyFont="1" applyBorder="1" applyAlignment="1">
      <alignment horizontal="right" vertical="center"/>
    </xf>
    <xf numFmtId="177" fontId="12" fillId="2" borderId="27" xfId="0" applyNumberFormat="1" applyFont="1" applyFill="1" applyBorder="1" applyAlignment="1">
      <alignment horizontal="center" vertical="center" wrapText="1"/>
    </xf>
    <xf numFmtId="177" fontId="12" fillId="5" borderId="27" xfId="0" applyNumberFormat="1" applyFont="1" applyFill="1" applyBorder="1" applyAlignment="1">
      <alignment horizontal="center" vertical="center" wrapText="1"/>
    </xf>
    <xf numFmtId="177" fontId="9" fillId="10" borderId="27" xfId="0" applyNumberFormat="1" applyFont="1" applyFill="1" applyBorder="1" applyAlignment="1">
      <alignment horizontal="center" vertical="center" wrapText="1"/>
    </xf>
    <xf numFmtId="178" fontId="8" fillId="0" borderId="29" xfId="0" applyFont="1" applyBorder="1" applyAlignment="1">
      <alignment horizontal="center" vertical="center"/>
    </xf>
    <xf numFmtId="179" fontId="6" fillId="0" borderId="29" xfId="0" applyNumberFormat="1" applyFont="1" applyBorder="1" applyAlignment="1">
      <alignment horizontal="right" vertical="center"/>
    </xf>
    <xf numFmtId="178" fontId="6" fillId="0" borderId="29" xfId="0" applyFont="1" applyBorder="1" applyAlignment="1">
      <alignment horizontal="center" vertical="center"/>
    </xf>
    <xf numFmtId="178" fontId="8" fillId="9" borderId="29" xfId="0" applyFont="1" applyFill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178" fontId="7" fillId="0" borderId="29" xfId="0" applyFont="1" applyBorder="1" applyAlignment="1">
      <alignment horizontal="center" vertical="center"/>
    </xf>
    <xf numFmtId="177" fontId="9" fillId="6" borderId="27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Alignment="1">
      <alignment horizontal="right" vertical="center"/>
    </xf>
    <xf numFmtId="40" fontId="9" fillId="0" borderId="0" xfId="0" applyNumberFormat="1" applyFont="1" applyAlignment="1">
      <alignment horizontal="right" vertical="center"/>
    </xf>
    <xf numFmtId="178" fontId="0" fillId="0" borderId="32" xfId="0" applyBorder="1">
      <alignment vertical="center"/>
    </xf>
    <xf numFmtId="183" fontId="7" fillId="0" borderId="10" xfId="0" applyNumberFormat="1" applyFont="1" applyBorder="1" applyAlignment="1">
      <alignment horizontal="right" vertical="center"/>
    </xf>
    <xf numFmtId="183" fontId="7" fillId="0" borderId="10" xfId="0" applyNumberFormat="1" applyFont="1" applyBorder="1">
      <alignment vertical="center"/>
    </xf>
    <xf numFmtId="183" fontId="7" fillId="0" borderId="29" xfId="0" applyNumberFormat="1" applyFont="1" applyBorder="1" applyAlignment="1">
      <alignment horizontal="right" vertical="center"/>
    </xf>
    <xf numFmtId="183" fontId="6" fillId="0" borderId="10" xfId="0" applyNumberFormat="1" applyFont="1" applyBorder="1">
      <alignment vertical="center"/>
    </xf>
    <xf numFmtId="183" fontId="6" fillId="0" borderId="11" xfId="0" applyNumberFormat="1" applyFont="1" applyBorder="1">
      <alignment vertical="center"/>
    </xf>
    <xf numFmtId="183" fontId="6" fillId="2" borderId="0" xfId="0" applyNumberFormat="1" applyFont="1" applyFill="1">
      <alignment vertical="center"/>
    </xf>
    <xf numFmtId="0" fontId="31" fillId="17" borderId="0" xfId="0" applyNumberFormat="1" applyFont="1" applyFill="1" applyAlignment="1">
      <alignment horizontal="center" vertical="center"/>
    </xf>
    <xf numFmtId="178" fontId="31" fillId="17" borderId="0" xfId="0" applyFont="1" applyFill="1" applyAlignment="1">
      <alignment horizontal="center" vertical="center"/>
    </xf>
    <xf numFmtId="178" fontId="31" fillId="17" borderId="33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8" fontId="2" fillId="0" borderId="0" xfId="0" applyFont="1" applyAlignment="1">
      <alignment horizontal="left" vertical="center" indent="1"/>
    </xf>
    <xf numFmtId="178" fontId="2" fillId="0" borderId="0" xfId="0" applyFont="1" applyAlignment="1">
      <alignment horizontal="left" vertical="center" indent="4"/>
    </xf>
    <xf numFmtId="0" fontId="19" fillId="0" borderId="0" xfId="0" applyNumberFormat="1" applyFon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178" fontId="2" fillId="2" borderId="33" xfId="0" applyFont="1" applyFill="1" applyBorder="1">
      <alignment vertical="center"/>
    </xf>
    <xf numFmtId="0" fontId="0" fillId="2" borderId="34" xfId="0" applyNumberFormat="1" applyFill="1" applyBorder="1" applyAlignment="1">
      <alignment horizontal="center" vertical="center"/>
    </xf>
    <xf numFmtId="178" fontId="2" fillId="2" borderId="34" xfId="0" applyFont="1" applyFill="1" applyBorder="1">
      <alignment vertical="center"/>
    </xf>
    <xf numFmtId="178" fontId="0" fillId="2" borderId="30" xfId="0" applyFill="1" applyBorder="1">
      <alignment vertical="center"/>
    </xf>
    <xf numFmtId="178" fontId="2" fillId="2" borderId="36" xfId="0" applyFont="1" applyFill="1" applyBorder="1">
      <alignment vertical="center"/>
    </xf>
    <xf numFmtId="178" fontId="1" fillId="2" borderId="33" xfId="0" applyFont="1" applyFill="1" applyBorder="1">
      <alignment vertical="center"/>
    </xf>
    <xf numFmtId="178" fontId="2" fillId="2" borderId="37" xfId="0" applyFont="1" applyFill="1" applyBorder="1">
      <alignment vertical="center"/>
    </xf>
    <xf numFmtId="0" fontId="0" fillId="2" borderId="37" xfId="0" applyNumberFormat="1" applyFill="1" applyBorder="1" applyAlignment="1">
      <alignment horizontal="center" vertical="center"/>
    </xf>
    <xf numFmtId="178" fontId="1" fillId="2" borderId="33" xfId="0" applyFont="1" applyFill="1" applyBorder="1" applyAlignment="1">
      <alignment vertical="center" wrapText="1"/>
    </xf>
    <xf numFmtId="178" fontId="2" fillId="2" borderId="33" xfId="0" applyFont="1" applyFill="1" applyBorder="1" applyAlignment="1">
      <alignment vertical="center" wrapText="1"/>
    </xf>
    <xf numFmtId="0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78" fontId="11" fillId="0" borderId="0" xfId="0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38" fontId="7" fillId="0" borderId="0" xfId="0" applyNumberFormat="1" applyFont="1" applyAlignment="1">
      <alignment horizontal="center" vertical="center"/>
    </xf>
    <xf numFmtId="0" fontId="6" fillId="0" borderId="29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9" fontId="6" fillId="0" borderId="29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78" fontId="7" fillId="0" borderId="30" xfId="0" quotePrefix="1" applyFont="1" applyBorder="1" applyAlignment="1">
      <alignment horizontal="center"/>
    </xf>
    <xf numFmtId="178" fontId="7" fillId="0" borderId="18" xfId="0" applyFont="1" applyBorder="1" applyAlignment="1">
      <alignment horizontal="center" vertical="center"/>
    </xf>
    <xf numFmtId="178" fontId="8" fillId="9" borderId="18" xfId="0" applyFont="1" applyFill="1" applyBorder="1" applyAlignment="1">
      <alignment horizontal="center" vertical="center"/>
    </xf>
    <xf numFmtId="178" fontId="8" fillId="0" borderId="18" xfId="0" applyFont="1" applyBorder="1" applyAlignment="1">
      <alignment horizontal="center" vertical="center"/>
    </xf>
    <xf numFmtId="0" fontId="7" fillId="0" borderId="18" xfId="0" applyNumberFormat="1" applyFont="1" applyBorder="1" applyAlignment="1">
      <alignment horizontal="center" vertical="center"/>
    </xf>
    <xf numFmtId="2" fontId="7" fillId="0" borderId="18" xfId="0" applyNumberFormat="1" applyFont="1" applyBorder="1" applyAlignment="1">
      <alignment horizontal="center" vertical="center" wrapText="1"/>
    </xf>
    <xf numFmtId="178" fontId="7" fillId="0" borderId="18" xfId="0" applyFont="1" applyBorder="1" applyAlignment="1">
      <alignment horizontal="center" vertical="center" wrapText="1"/>
    </xf>
    <xf numFmtId="177" fontId="7" fillId="0" borderId="18" xfId="0" applyNumberFormat="1" applyFont="1" applyBorder="1" applyAlignment="1">
      <alignment horizontal="center" vertical="center"/>
    </xf>
    <xf numFmtId="0" fontId="6" fillId="0" borderId="18" xfId="0" applyNumberFormat="1" applyFont="1" applyBorder="1" applyAlignment="1">
      <alignment horizontal="center" vertical="center"/>
    </xf>
    <xf numFmtId="177" fontId="6" fillId="0" borderId="18" xfId="0" applyNumberFormat="1" applyFont="1" applyBorder="1" applyAlignment="1">
      <alignment horizontal="center" vertical="center"/>
    </xf>
    <xf numFmtId="179" fontId="6" fillId="16" borderId="18" xfId="0" applyNumberFormat="1" applyFont="1" applyFill="1" applyBorder="1" applyAlignment="1">
      <alignment horizontal="center" vertical="center"/>
    </xf>
    <xf numFmtId="179" fontId="6" fillId="15" borderId="18" xfId="0" applyNumberFormat="1" applyFont="1" applyFill="1" applyBorder="1" applyAlignment="1">
      <alignment horizontal="center" vertical="center"/>
    </xf>
    <xf numFmtId="178" fontId="6" fillId="0" borderId="27" xfId="0" applyFont="1" applyBorder="1" applyAlignment="1">
      <alignment horizontal="center" vertical="center"/>
    </xf>
    <xf numFmtId="178" fontId="8" fillId="0" borderId="18" xfId="0" applyFont="1" applyBorder="1" applyAlignment="1">
      <alignment horizontal="center" vertical="center" wrapText="1"/>
    </xf>
    <xf numFmtId="178" fontId="12" fillId="2" borderId="18" xfId="0" applyFont="1" applyFill="1" applyBorder="1" applyAlignment="1">
      <alignment horizontal="center" vertical="center" wrapText="1"/>
    </xf>
    <xf numFmtId="177" fontId="12" fillId="6" borderId="18" xfId="0" applyNumberFormat="1" applyFont="1" applyFill="1" applyBorder="1" applyAlignment="1">
      <alignment horizontal="center" vertical="center" wrapText="1"/>
    </xf>
    <xf numFmtId="179" fontId="9" fillId="3" borderId="18" xfId="0" applyNumberFormat="1" applyFont="1" applyFill="1" applyBorder="1" applyAlignment="1">
      <alignment horizontal="center" vertical="center" wrapText="1"/>
    </xf>
    <xf numFmtId="179" fontId="6" fillId="0" borderId="18" xfId="0" applyNumberFormat="1" applyFont="1" applyBorder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176" fontId="8" fillId="4" borderId="10" xfId="0" applyNumberFormat="1" applyFont="1" applyFill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6" fillId="2" borderId="29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9" fontId="7" fillId="0" borderId="0" xfId="7" applyNumberFormat="1" applyFont="1" applyAlignment="1">
      <alignment horizontal="center" vertical="center"/>
    </xf>
    <xf numFmtId="10" fontId="6" fillId="0" borderId="0" xfId="7" applyNumberFormat="1" applyFont="1" applyAlignment="1">
      <alignment horizontal="center" vertical="center"/>
    </xf>
    <xf numFmtId="178" fontId="35" fillId="0" borderId="18" xfId="0" applyFont="1" applyBorder="1" applyAlignment="1">
      <alignment horizontal="center" vertical="center"/>
    </xf>
    <xf numFmtId="9" fontId="6" fillId="0" borderId="0" xfId="7" applyFont="1" applyAlignment="1">
      <alignment horizontal="center" vertical="center"/>
    </xf>
    <xf numFmtId="184" fontId="6" fillId="0" borderId="0" xfId="7" applyNumberFormat="1" applyFont="1">
      <alignment vertical="center"/>
    </xf>
    <xf numFmtId="178" fontId="0" fillId="0" borderId="39" xfId="0" applyBorder="1">
      <alignment vertical="center"/>
    </xf>
    <xf numFmtId="178" fontId="0" fillId="0" borderId="40" xfId="0" applyBorder="1">
      <alignment vertical="center"/>
    </xf>
    <xf numFmtId="178" fontId="0" fillId="0" borderId="41" xfId="0" applyBorder="1">
      <alignment vertical="center"/>
    </xf>
    <xf numFmtId="178" fontId="0" fillId="0" borderId="42" xfId="0" applyBorder="1">
      <alignment vertical="center"/>
    </xf>
    <xf numFmtId="178" fontId="0" fillId="0" borderId="43" xfId="0" applyBorder="1">
      <alignment vertical="center"/>
    </xf>
    <xf numFmtId="178" fontId="0" fillId="0" borderId="44" xfId="0" applyBorder="1">
      <alignment vertical="center"/>
    </xf>
    <xf numFmtId="178" fontId="0" fillId="0" borderId="45" xfId="0" applyBorder="1">
      <alignment vertical="center"/>
    </xf>
    <xf numFmtId="178" fontId="0" fillId="0" borderId="46" xfId="0" applyBorder="1">
      <alignment vertical="center"/>
    </xf>
    <xf numFmtId="0" fontId="6" fillId="16" borderId="18" xfId="0" applyNumberFormat="1" applyFont="1" applyFill="1" applyBorder="1" applyAlignment="1">
      <alignment horizontal="center" vertical="center"/>
    </xf>
    <xf numFmtId="177" fontId="9" fillId="2" borderId="18" xfId="0" applyNumberFormat="1" applyFont="1" applyFill="1" applyBorder="1" applyAlignment="1">
      <alignment horizontal="center" vertical="center" wrapText="1"/>
    </xf>
    <xf numFmtId="178" fontId="13" fillId="0" borderId="18" xfId="0" applyFont="1" applyBorder="1" applyAlignment="1">
      <alignment horizontal="center" vertical="center"/>
    </xf>
    <xf numFmtId="179" fontId="7" fillId="0" borderId="0" xfId="0" applyNumberFormat="1" applyFont="1" applyAlignment="1">
      <alignment horizontal="center" vertical="center" shrinkToFit="1"/>
    </xf>
    <xf numFmtId="178" fontId="7" fillId="0" borderId="0" xfId="0" applyFont="1" applyAlignment="1">
      <alignment horizontal="center" vertical="center" shrinkToFit="1"/>
    </xf>
    <xf numFmtId="179" fontId="7" fillId="0" borderId="0" xfId="7" applyNumberFormat="1" applyFont="1" applyAlignment="1">
      <alignment horizontal="center" vertical="center" shrinkToFit="1"/>
    </xf>
    <xf numFmtId="178" fontId="6" fillId="0" borderId="0" xfId="0" applyFont="1" applyAlignment="1">
      <alignment horizontal="center" vertical="center" shrinkToFit="1"/>
    </xf>
    <xf numFmtId="179" fontId="6" fillId="16" borderId="18" xfId="0" applyNumberFormat="1" applyFont="1" applyFill="1" applyBorder="1" applyAlignment="1">
      <alignment horizontal="center" vertical="center" shrinkToFit="1"/>
    </xf>
    <xf numFmtId="179" fontId="6" fillId="15" borderId="18" xfId="0" applyNumberFormat="1" applyFont="1" applyFill="1" applyBorder="1" applyAlignment="1">
      <alignment horizontal="center" vertical="center" shrinkToFit="1"/>
    </xf>
    <xf numFmtId="178" fontId="6" fillId="0" borderId="18" xfId="0" applyFont="1" applyBorder="1" applyAlignment="1">
      <alignment horizontal="center" vertical="center" shrinkToFit="1"/>
    </xf>
    <xf numFmtId="0" fontId="6" fillId="15" borderId="18" xfId="0" applyNumberFormat="1" applyFont="1" applyFill="1" applyBorder="1" applyAlignment="1">
      <alignment horizontal="center" vertical="center" shrinkToFit="1"/>
    </xf>
    <xf numFmtId="178" fontId="7" fillId="0" borderId="18" xfId="0" applyFont="1" applyBorder="1" applyAlignment="1">
      <alignment horizontal="center" vertical="center" shrinkToFit="1"/>
    </xf>
    <xf numFmtId="179" fontId="6" fillId="18" borderId="18" xfId="0" applyNumberFormat="1" applyFont="1" applyFill="1" applyBorder="1" applyAlignment="1">
      <alignment horizontal="center" vertical="center" shrinkToFit="1"/>
    </xf>
    <xf numFmtId="0" fontId="6" fillId="18" borderId="18" xfId="0" applyNumberFormat="1" applyFont="1" applyFill="1" applyBorder="1" applyAlignment="1">
      <alignment horizontal="center" vertical="center" shrinkToFit="1"/>
    </xf>
    <xf numFmtId="177" fontId="7" fillId="0" borderId="18" xfId="0" applyNumberFormat="1" applyFont="1" applyBorder="1" applyAlignment="1">
      <alignment horizontal="center" vertical="center" shrinkToFit="1"/>
    </xf>
    <xf numFmtId="179" fontId="7" fillId="0" borderId="18" xfId="0" applyNumberFormat="1" applyFont="1" applyBorder="1" applyAlignment="1">
      <alignment horizontal="center" vertical="center" shrinkToFit="1"/>
    </xf>
    <xf numFmtId="179" fontId="7" fillId="0" borderId="18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 shrinkToFit="1"/>
    </xf>
    <xf numFmtId="176" fontId="6" fillId="0" borderId="10" xfId="0" applyNumberFormat="1" applyFont="1" applyBorder="1" applyAlignment="1">
      <alignment horizontal="center" vertical="center" shrinkToFit="1"/>
    </xf>
    <xf numFmtId="176" fontId="8" fillId="4" borderId="10" xfId="0" applyNumberFormat="1" applyFont="1" applyFill="1" applyBorder="1" applyAlignment="1">
      <alignment horizontal="center" vertical="center" shrinkToFit="1"/>
    </xf>
    <xf numFmtId="176" fontId="10" fillId="0" borderId="10" xfId="0" applyNumberFormat="1" applyFont="1" applyBorder="1" applyAlignment="1">
      <alignment horizontal="center" vertical="center" shrinkToFit="1"/>
    </xf>
    <xf numFmtId="176" fontId="7" fillId="0" borderId="29" xfId="0" applyNumberFormat="1" applyFont="1" applyBorder="1" applyAlignment="1">
      <alignment horizontal="center" vertical="center" shrinkToFit="1"/>
    </xf>
    <xf numFmtId="176" fontId="7" fillId="0" borderId="10" xfId="0" applyNumberFormat="1" applyFont="1" applyBorder="1" applyAlignment="1">
      <alignment horizontal="center" vertical="center" shrinkToFit="1"/>
    </xf>
    <xf numFmtId="176" fontId="6" fillId="0" borderId="29" xfId="0" applyNumberFormat="1" applyFont="1" applyBorder="1" applyAlignment="1">
      <alignment horizontal="center" vertical="center" shrinkToFit="1"/>
    </xf>
    <xf numFmtId="176" fontId="6" fillId="2" borderId="29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0" fontId="0" fillId="0" borderId="35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37" xfId="0" applyNumberFormat="1" applyBorder="1" applyAlignment="1">
      <alignment horizontal="center" vertical="center"/>
    </xf>
    <xf numFmtId="178" fontId="0" fillId="0" borderId="35" xfId="0" applyBorder="1" applyAlignment="1">
      <alignment horizontal="left" vertical="center" wrapText="1"/>
    </xf>
    <xf numFmtId="178" fontId="0" fillId="0" borderId="0" xfId="0" applyAlignment="1">
      <alignment horizontal="left" vertical="center" wrapText="1"/>
    </xf>
    <xf numFmtId="178" fontId="0" fillId="0" borderId="37" xfId="0" applyBorder="1" applyAlignment="1">
      <alignment horizontal="left" vertical="center" wrapText="1"/>
    </xf>
    <xf numFmtId="178" fontId="0" fillId="0" borderId="33" xfId="0" applyBorder="1" applyAlignment="1">
      <alignment horizontal="center" vertical="center"/>
    </xf>
    <xf numFmtId="178" fontId="0" fillId="0" borderId="38" xfId="0" applyBorder="1" applyAlignment="1">
      <alignment horizontal="center" vertical="center"/>
    </xf>
    <xf numFmtId="178" fontId="2" fillId="2" borderId="34" xfId="0" applyFont="1" applyFill="1" applyBorder="1" applyAlignment="1">
      <alignment horizontal="left" vertical="center" wrapText="1"/>
    </xf>
    <xf numFmtId="178" fontId="2" fillId="2" borderId="30" xfId="0" applyFont="1" applyFill="1" applyBorder="1" applyAlignment="1">
      <alignment horizontal="left" vertical="center" wrapText="1"/>
    </xf>
    <xf numFmtId="178" fontId="17" fillId="0" borderId="13" xfId="0" applyFont="1" applyBorder="1" applyAlignment="1">
      <alignment horizontal="center" vertical="center"/>
    </xf>
    <xf numFmtId="178" fontId="17" fillId="0" borderId="14" xfId="0" applyFont="1" applyBorder="1" applyAlignment="1">
      <alignment horizontal="center" vertical="center"/>
    </xf>
    <xf numFmtId="178" fontId="17" fillId="0" borderId="16" xfId="0" applyFont="1" applyBorder="1" applyAlignment="1">
      <alignment horizontal="center" vertical="center"/>
    </xf>
    <xf numFmtId="178" fontId="17" fillId="0" borderId="17" xfId="0" applyFont="1" applyBorder="1" applyAlignment="1">
      <alignment horizontal="center" vertical="center" wrapText="1"/>
    </xf>
    <xf numFmtId="178" fontId="17" fillId="0" borderId="14" xfId="0" applyFont="1" applyBorder="1" applyAlignment="1">
      <alignment horizontal="center" vertical="center" wrapText="1"/>
    </xf>
    <xf numFmtId="178" fontId="17" fillId="0" borderId="15" xfId="0" applyFont="1" applyBorder="1" applyAlignment="1">
      <alignment horizontal="center" vertical="center" wrapText="1"/>
    </xf>
    <xf numFmtId="178" fontId="17" fillId="0" borderId="18" xfId="0" applyFont="1" applyBorder="1" applyAlignment="1">
      <alignment horizontal="center" vertical="center"/>
    </xf>
    <xf numFmtId="178" fontId="8" fillId="9" borderId="7" xfId="0" applyFont="1" applyFill="1" applyBorder="1" applyAlignment="1">
      <alignment horizontal="center" vertical="center"/>
    </xf>
    <xf numFmtId="178" fontId="8" fillId="9" borderId="0" xfId="0" applyFont="1" applyFill="1" applyAlignment="1">
      <alignment horizontal="center" vertical="center"/>
    </xf>
    <xf numFmtId="178" fontId="8" fillId="0" borderId="7" xfId="0" applyFont="1" applyBorder="1" applyAlignment="1">
      <alignment horizontal="center" vertical="center"/>
    </xf>
    <xf numFmtId="178" fontId="8" fillId="0" borderId="0" xfId="0" applyFont="1" applyAlignment="1">
      <alignment horizontal="center" vertical="center"/>
    </xf>
    <xf numFmtId="178" fontId="6" fillId="0" borderId="7" xfId="0" applyFont="1" applyBorder="1" applyAlignment="1">
      <alignment horizontal="center" vertical="center"/>
    </xf>
    <xf numFmtId="178" fontId="6" fillId="0" borderId="0" xfId="0" applyFont="1" applyAlignment="1">
      <alignment horizontal="center" vertical="center"/>
    </xf>
    <xf numFmtId="178" fontId="6" fillId="0" borderId="8" xfId="0" applyFont="1" applyBorder="1" applyAlignment="1">
      <alignment horizontal="center" vertical="center"/>
    </xf>
    <xf numFmtId="178" fontId="6" fillId="0" borderId="1" xfId="0" applyFont="1" applyBorder="1" applyAlignment="1">
      <alignment horizontal="center" vertical="center"/>
    </xf>
    <xf numFmtId="178" fontId="6" fillId="0" borderId="28" xfId="0" applyFont="1" applyBorder="1" applyAlignment="1">
      <alignment horizontal="center" vertical="center"/>
    </xf>
    <xf numFmtId="178" fontId="8" fillId="9" borderId="13" xfId="0" applyFont="1" applyFill="1" applyBorder="1" applyAlignment="1">
      <alignment horizontal="center" vertical="center"/>
    </xf>
    <xf numFmtId="178" fontId="8" fillId="9" borderId="14" xfId="0" applyFont="1" applyFill="1" applyBorder="1" applyAlignment="1">
      <alignment horizontal="center" vertical="center"/>
    </xf>
    <xf numFmtId="178" fontId="8" fillId="9" borderId="15" xfId="0" applyFont="1" applyFill="1" applyBorder="1" applyAlignment="1">
      <alignment horizontal="center" vertical="center"/>
    </xf>
    <xf numFmtId="178" fontId="8" fillId="0" borderId="29" xfId="0" applyFont="1" applyBorder="1" applyAlignment="1">
      <alignment horizontal="center" vertical="center"/>
    </xf>
  </cellXfs>
  <cellStyles count="8">
    <cellStyle name="20% - 輔色2 14 2 3 2" xfId="3" xr:uid="{00000000-0005-0000-0000-000000000000}"/>
    <cellStyle name="Style 1" xfId="2" xr:uid="{00000000-0005-0000-0000-000001000000}"/>
    <cellStyle name="一般" xfId="0" builtinId="0"/>
    <cellStyle name="千分位" xfId="1" builtinId="3"/>
    <cellStyle name="千分位 2" xfId="4" xr:uid="{00000000-0005-0000-0000-000004000000}"/>
    <cellStyle name="千分位 2 2" xfId="6" xr:uid="{CA00BCC0-A009-44C4-9DBD-DB87ACDA5AB2}"/>
    <cellStyle name="千分位 3" xfId="5" xr:uid="{7AED6C6A-8785-4706-A84B-DDD6D9081E4F}"/>
    <cellStyle name="百分比" xfId="7" builtinId="5"/>
  </cellStyles>
  <dxfs count="0"/>
  <tableStyles count="0" defaultTableStyle="TableStyleMedium9" defaultPivotStyle="PivotStyleLight16"/>
  <colors>
    <mruColors>
      <color rgb="FFD9D9D9"/>
      <color rgb="FFCC66FF"/>
      <color rgb="FF3333FF"/>
      <color rgb="FFCCFFFF"/>
      <color rgb="FFCCFFCC"/>
      <color rgb="FF00CC00"/>
      <color rgb="FFFFFF99"/>
      <color rgb="FF92D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pivotCacheDefinition" Target="pivotCache/pivotCacheDefinition5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pivotCacheDefinition" Target="pivotCache/pivotCacheDefinition1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pivotCacheDefinition" Target="pivotCache/pivotCacheDefinition3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4972051</xdr:colOff>
      <xdr:row>14</xdr:row>
      <xdr:rowOff>1673225</xdr:rowOff>
    </xdr:from>
    <xdr:to>
      <xdr:col>2</xdr:col>
      <xdr:colOff>7040030</xdr:colOff>
      <xdr:row>14</xdr:row>
      <xdr:rowOff>2057428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1" y="5153025"/>
          <a:ext cx="2064804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2</xdr:col>
      <xdr:colOff>7851392</xdr:colOff>
      <xdr:row>14</xdr:row>
      <xdr:rowOff>2733730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2250" y="5529574"/>
          <a:ext cx="3137152" cy="690306"/>
        </a:xfrm>
        <a:prstGeom prst="rect">
          <a:avLst/>
        </a:prstGeom>
      </xdr:spPr>
    </xdr:pic>
    <xdr:clientData/>
  </xdr:twoCellAnchor>
  <xdr:twoCellAnchor editAs="oneCell">
    <xdr:from>
      <xdr:col>2</xdr:col>
      <xdr:colOff>82550</xdr:colOff>
      <xdr:row>22</xdr:row>
      <xdr:rowOff>69666</xdr:rowOff>
    </xdr:from>
    <xdr:to>
      <xdr:col>2</xdr:col>
      <xdr:colOff>4940300</xdr:colOff>
      <xdr:row>25</xdr:row>
      <xdr:rowOff>106407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73550" y="7873816"/>
          <a:ext cx="4851400" cy="64316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472440</xdr:colOff>
          <xdr:row>11</xdr:row>
          <xdr:rowOff>647700</xdr:rowOff>
        </xdr:from>
        <xdr:to>
          <xdr:col>1</xdr:col>
          <xdr:colOff>1386840</xdr:colOff>
          <xdr:row>12</xdr:row>
          <xdr:rowOff>190500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1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1866900</xdr:colOff>
          <xdr:row>11</xdr:row>
          <xdr:rowOff>640080</xdr:rowOff>
        </xdr:from>
        <xdr:to>
          <xdr:col>1</xdr:col>
          <xdr:colOff>2247900</xdr:colOff>
          <xdr:row>13</xdr:row>
          <xdr:rowOff>60960</xdr:rowOff>
        </xdr:to>
        <xdr:sp macro="" textlink="">
          <xdr:nvSpPr>
            <xdr:cNvPr id="17410" name="Object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1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9</xdr:row>
          <xdr:rowOff>53340</xdr:rowOff>
        </xdr:from>
        <xdr:to>
          <xdr:col>1</xdr:col>
          <xdr:colOff>3352800</xdr:colOff>
          <xdr:row>11</xdr:row>
          <xdr:rowOff>137160</xdr:rowOff>
        </xdr:to>
        <xdr:sp macro="" textlink="">
          <xdr:nvSpPr>
            <xdr:cNvPr id="17412" name="Object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01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Charlene/Downloads/Rebate%20and%20Spending%20report%20Acrox_2024%2007%20(2).xlsx" TargetMode="External"/><Relationship Id="rId2" Type="http://schemas.openxmlformats.org/officeDocument/2006/relationships/externalLinkPath" Target="file:///C:\Users\Charlene\Downloads\Rebate%20and%20Spending%20report%20Acrox_2024%2007%20(2).xlsx" TargetMode="External"/><Relationship Id="rId1" Type="http://schemas.openxmlformats.org/officeDocument/2006/relationships/externalLinkPath" Target="/Users/Charlene/Downloads/Rebate%20and%20Spending%20report%20Acrox_2024%200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Charlene/Downloads/Rebate%20and%20Spending%20report%20Acrox_2024%2008.xlsx" TargetMode="External"/><Relationship Id="rId2" Type="http://schemas.openxmlformats.org/officeDocument/2006/relationships/externalLinkPath" Target="file:///C:\Users\Charlene\Downloads\Rebate%20and%20Spending%20report%20Acrox_2024%2008.xlsx" TargetMode="External"/><Relationship Id="rId1" Type="http://schemas.openxmlformats.org/officeDocument/2006/relationships/externalLinkPath" Target="/Users/Charlene/Downloads/Rebate%20and%20Spending%20report%20Acrox_2024%200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Charlene/Downloads/&#30070;&#24180;&#24230;Open%20PO%20(17).xlsx" TargetMode="External"/><Relationship Id="rId2" Type="http://schemas.openxmlformats.org/officeDocument/2006/relationships/externalLinkPath" Target="file:///C:\Users\Charlene\Downloads\&#30070;&#24180;&#24230;Open%20PO%20(17).xlsx" TargetMode="External"/><Relationship Id="rId1" Type="http://schemas.openxmlformats.org/officeDocument/2006/relationships/externalLinkPath" Target="/Users/Charlene/Downloads/&#30070;&#24180;&#24230;Open%20PO%20(17)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Benson/Desktop/Acrox/Open%20PO/2023-2025~%20Open%20PO.xlsx" TargetMode="External"/><Relationship Id="rId2" Type="http://schemas.openxmlformats.org/officeDocument/2006/relationships/externalLinkPath" Target="file:///C:\Users\Benson\Desktop\Acrox\Open%20PO\2023-2025~%20Open%20PO.xlsx" TargetMode="External"/><Relationship Id="rId1" Type="http://schemas.openxmlformats.org/officeDocument/2006/relationships/externalLinkPath" Target="/Users/Benson/Desktop/Acrox/Open%20PO/2023-2025~%20Open%20PO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Charlene/Downloads/Cost%20Database_1007'24.xlsx" TargetMode="External"/><Relationship Id="rId2" Type="http://schemas.openxmlformats.org/officeDocument/2006/relationships/externalLinkPath" Target="file:///C:\Users\Charlene\Downloads\Cost%20Database_1007'24.xlsx" TargetMode="External"/><Relationship Id="rId1" Type="http://schemas.openxmlformats.org/officeDocument/2006/relationships/externalLinkPath" Target="/Users/Charlene/Downloads/Cost%20Database_1007'24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Benson/Desktop/Acrox/AM/Rebate/to%20HP/Rebate%20and%20Spending%20report%20Acrox_2025%2003.xlsx" TargetMode="External"/><Relationship Id="rId2" Type="http://schemas.openxmlformats.org/officeDocument/2006/relationships/externalLinkPath" Target="file:///C:\Users\Benson\Desktop\Acrox\AM\Rebate\Rebate%20and%20Spending%20report%20Acrox_2025%2003.xlsx" TargetMode="External"/><Relationship Id="rId1" Type="http://schemas.openxmlformats.org/officeDocument/2006/relationships/externalLinkPath" Target="/Users/Benson/Desktop/Acrox/AM/Rebate/to%20HP/Rebate%20and%20Spending%20report%20Acrox_2025%20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說明頁"/>
      <sheetName val="FY24 Summary_1"/>
      <sheetName val="FY23 Summary_1"/>
      <sheetName val="FY23 Summary_2"/>
      <sheetName val="FY23"/>
      <sheetName val="FY24 Summary_2"/>
      <sheetName val="工作表3"/>
      <sheetName val="FY24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列標籤</v>
          </cell>
          <cell r="B3" t="str">
            <v>加總 - Jul Q'ty</v>
          </cell>
        </row>
        <row r="4">
          <cell r="A4" t="str">
            <v>171D8AA#ABB</v>
          </cell>
          <cell r="B4">
            <v>0</v>
          </cell>
        </row>
        <row r="5">
          <cell r="A5" t="str">
            <v>18H24AA#AB1</v>
          </cell>
          <cell r="B5">
            <v>0</v>
          </cell>
        </row>
        <row r="6">
          <cell r="A6" t="str">
            <v>18H24AA#ABA</v>
          </cell>
          <cell r="B6">
            <v>11520</v>
          </cell>
        </row>
        <row r="7">
          <cell r="A7" t="str">
            <v>18H24AA#ABM</v>
          </cell>
          <cell r="B7">
            <v>0</v>
          </cell>
        </row>
        <row r="8">
          <cell r="A8" t="str">
            <v>18H24AA#AC3</v>
          </cell>
          <cell r="B8">
            <v>25280</v>
          </cell>
        </row>
        <row r="9">
          <cell r="A9" t="str">
            <v>18H24AA#AC4</v>
          </cell>
          <cell r="B9">
            <v>1280</v>
          </cell>
        </row>
        <row r="10">
          <cell r="A10" t="str">
            <v>18H24AA#UUF</v>
          </cell>
          <cell r="B10">
            <v>6400</v>
          </cell>
        </row>
        <row r="11">
          <cell r="A11" t="str">
            <v>1D0K2AA#ABA</v>
          </cell>
          <cell r="B11">
            <v>1008</v>
          </cell>
        </row>
        <row r="12">
          <cell r="A12" t="str">
            <v>1D0K2AA#AC3</v>
          </cell>
          <cell r="B12">
            <v>1008</v>
          </cell>
        </row>
        <row r="13">
          <cell r="A13" t="str">
            <v>1D0K2AA#UUF</v>
          </cell>
          <cell r="B13">
            <v>0</v>
          </cell>
        </row>
        <row r="14">
          <cell r="A14" t="str">
            <v>1D0K8AA#ABA</v>
          </cell>
          <cell r="B14">
            <v>0</v>
          </cell>
        </row>
        <row r="15">
          <cell r="A15" t="str">
            <v>1D0K8AA#AC3</v>
          </cell>
          <cell r="B15">
            <v>1008</v>
          </cell>
        </row>
        <row r="16">
          <cell r="A16" t="str">
            <v>1D0K8AA#UUF</v>
          </cell>
          <cell r="B16">
            <v>0</v>
          </cell>
        </row>
        <row r="17">
          <cell r="A17" t="str">
            <v>1D0K9AA#ABB</v>
          </cell>
          <cell r="B17">
            <v>0</v>
          </cell>
        </row>
        <row r="18">
          <cell r="A18" t="str">
            <v>1D0K9AA#ABL</v>
          </cell>
          <cell r="B18">
            <v>0</v>
          </cell>
        </row>
        <row r="19">
          <cell r="A19" t="str">
            <v>1D0K9AA#UUF</v>
          </cell>
          <cell r="B19">
            <v>0</v>
          </cell>
        </row>
        <row r="20">
          <cell r="A20" t="str">
            <v>1Y4D0AA#AB1</v>
          </cell>
          <cell r="B20">
            <v>0</v>
          </cell>
        </row>
        <row r="21">
          <cell r="A21" t="str">
            <v>1Y4D0AA#ABA</v>
          </cell>
          <cell r="B21">
            <v>0</v>
          </cell>
        </row>
        <row r="22">
          <cell r="A22" t="str">
            <v>1Y4D0AA#ABC</v>
          </cell>
          <cell r="B22">
            <v>0</v>
          </cell>
        </row>
        <row r="23">
          <cell r="A23" t="str">
            <v>1Y4D0AA#ABM</v>
          </cell>
          <cell r="B23">
            <v>0</v>
          </cell>
        </row>
        <row r="24">
          <cell r="A24" t="str">
            <v>1Y4D0AA#AC3</v>
          </cell>
          <cell r="B24">
            <v>0</v>
          </cell>
        </row>
        <row r="25">
          <cell r="A25" t="str">
            <v>1Y4D0AA#AC4</v>
          </cell>
          <cell r="B25">
            <v>0</v>
          </cell>
        </row>
        <row r="26">
          <cell r="A26" t="str">
            <v>1Y4D0AA#UUF</v>
          </cell>
          <cell r="B26">
            <v>0</v>
          </cell>
        </row>
        <row r="27">
          <cell r="A27" t="str">
            <v>1Y4D0UT#AB1</v>
          </cell>
          <cell r="B27">
            <v>1280</v>
          </cell>
        </row>
        <row r="28">
          <cell r="A28" t="str">
            <v>1Y4D0UT#ABA</v>
          </cell>
          <cell r="B28">
            <v>26240</v>
          </cell>
        </row>
        <row r="29">
          <cell r="A29" t="str">
            <v>1Y4D0UT#ABC</v>
          </cell>
          <cell r="B29">
            <v>1130</v>
          </cell>
        </row>
        <row r="30">
          <cell r="A30" t="str">
            <v>1Y4D0UT#ABM</v>
          </cell>
          <cell r="B30">
            <v>3840</v>
          </cell>
        </row>
        <row r="31">
          <cell r="A31" t="str">
            <v>1Y4D0UT#AC3</v>
          </cell>
          <cell r="B31">
            <v>8200</v>
          </cell>
        </row>
        <row r="32">
          <cell r="A32" t="str">
            <v>1Y4D0UT#AC4</v>
          </cell>
          <cell r="B32">
            <v>0</v>
          </cell>
        </row>
        <row r="33">
          <cell r="A33" t="str">
            <v>1Y4D0UT#UUF</v>
          </cell>
          <cell r="B33">
            <v>8960</v>
          </cell>
        </row>
        <row r="34">
          <cell r="A34" t="str">
            <v>240J6AA#ABB</v>
          </cell>
          <cell r="B34">
            <v>0</v>
          </cell>
        </row>
        <row r="35">
          <cell r="A35" t="str">
            <v>240J6AA#ABM</v>
          </cell>
          <cell r="B35">
            <v>26880</v>
          </cell>
        </row>
        <row r="36">
          <cell r="A36" t="str">
            <v>240J6AA#ACJ</v>
          </cell>
          <cell r="B36">
            <v>0</v>
          </cell>
        </row>
        <row r="37">
          <cell r="A37" t="str">
            <v>240J6AA#UUF</v>
          </cell>
          <cell r="B37">
            <v>0</v>
          </cell>
        </row>
        <row r="38">
          <cell r="A38" t="str">
            <v>240J7AA#ABL</v>
          </cell>
          <cell r="B38">
            <v>0</v>
          </cell>
        </row>
        <row r="39">
          <cell r="A39" t="str">
            <v>240J7AA#ABM</v>
          </cell>
          <cell r="B39">
            <v>0</v>
          </cell>
        </row>
        <row r="40">
          <cell r="A40" t="str">
            <v>240J7AA#AC3</v>
          </cell>
          <cell r="B40">
            <v>0</v>
          </cell>
        </row>
        <row r="41">
          <cell r="A41" t="str">
            <v>240J7AA#AC4</v>
          </cell>
          <cell r="B41">
            <v>0</v>
          </cell>
        </row>
        <row r="42">
          <cell r="A42" t="str">
            <v>240J7AA#ACJ</v>
          </cell>
          <cell r="B42">
            <v>0</v>
          </cell>
        </row>
        <row r="43">
          <cell r="A43" t="str">
            <v>240J7AA#UUF</v>
          </cell>
          <cell r="B43">
            <v>0</v>
          </cell>
        </row>
        <row r="44">
          <cell r="A44" t="str">
            <v>2HU82AA#ABB</v>
          </cell>
          <cell r="B44">
            <v>0</v>
          </cell>
        </row>
        <row r="45">
          <cell r="A45" t="str">
            <v>2HU82AA#ABL</v>
          </cell>
          <cell r="B45">
            <v>0</v>
          </cell>
        </row>
        <row r="46">
          <cell r="A46" t="str">
            <v>2HU82AA#UUF</v>
          </cell>
          <cell r="B46">
            <v>2880</v>
          </cell>
        </row>
        <row r="47">
          <cell r="A47" t="str">
            <v>2HU83AA#ABB</v>
          </cell>
          <cell r="B47">
            <v>0</v>
          </cell>
        </row>
        <row r="48">
          <cell r="A48" t="str">
            <v>2HU83AA#ABL</v>
          </cell>
          <cell r="B48">
            <v>2880</v>
          </cell>
        </row>
        <row r="49">
          <cell r="A49" t="str">
            <v>2HU84AA#ABB</v>
          </cell>
          <cell r="B49">
            <v>4320</v>
          </cell>
        </row>
        <row r="50">
          <cell r="A50" t="str">
            <v>2HU84AA#ABL</v>
          </cell>
          <cell r="B50">
            <v>5760</v>
          </cell>
        </row>
        <row r="51">
          <cell r="A51" t="str">
            <v>2HU84AA#UUF</v>
          </cell>
          <cell r="B51">
            <v>0</v>
          </cell>
        </row>
        <row r="52">
          <cell r="A52" t="str">
            <v>2HU85AA#ABL</v>
          </cell>
          <cell r="B52">
            <v>8640</v>
          </cell>
        </row>
        <row r="53">
          <cell r="A53" t="str">
            <v>2HU85AA#UUF</v>
          </cell>
          <cell r="B53">
            <v>2880</v>
          </cell>
        </row>
        <row r="54">
          <cell r="A54" t="str">
            <v>2S9L1AA#ABB</v>
          </cell>
          <cell r="B54">
            <v>0</v>
          </cell>
        </row>
        <row r="55">
          <cell r="A55" t="str">
            <v>2S9L1AA#ABL</v>
          </cell>
          <cell r="B55">
            <v>0</v>
          </cell>
        </row>
        <row r="56">
          <cell r="A56" t="str">
            <v>2S9L1AA#ABM</v>
          </cell>
          <cell r="B56">
            <v>0</v>
          </cell>
        </row>
        <row r="57">
          <cell r="A57" t="str">
            <v>2S9L1AA#ACJ</v>
          </cell>
          <cell r="B57">
            <v>0</v>
          </cell>
        </row>
        <row r="58">
          <cell r="A58" t="str">
            <v>2S9L1AA#UUF</v>
          </cell>
          <cell r="B58">
            <v>0</v>
          </cell>
        </row>
        <row r="59">
          <cell r="A59" t="str">
            <v>2UN30AA#AB2</v>
          </cell>
          <cell r="B59">
            <v>1890</v>
          </cell>
        </row>
        <row r="60">
          <cell r="A60" t="str">
            <v>2V9E6AA#ABL</v>
          </cell>
          <cell r="B60">
            <v>0</v>
          </cell>
        </row>
        <row r="61">
          <cell r="A61" t="str">
            <v>2V9E6AA#ABM</v>
          </cell>
          <cell r="B61">
            <v>0</v>
          </cell>
        </row>
        <row r="62">
          <cell r="A62" t="str">
            <v>2V9E6AA#AC3</v>
          </cell>
          <cell r="B62">
            <v>25000</v>
          </cell>
        </row>
        <row r="63">
          <cell r="A63" t="str">
            <v>2V9E6AA#AC4</v>
          </cell>
          <cell r="B63">
            <v>5280</v>
          </cell>
        </row>
        <row r="64">
          <cell r="A64" t="str">
            <v>2V9E6AA#ACJ</v>
          </cell>
          <cell r="B64">
            <v>7920</v>
          </cell>
        </row>
        <row r="65">
          <cell r="A65" t="str">
            <v>2V9E6AA#UUF</v>
          </cell>
          <cell r="B65">
            <v>5280</v>
          </cell>
        </row>
        <row r="66">
          <cell r="A66" t="str">
            <v>3FV66AA#ABB</v>
          </cell>
          <cell r="B66">
            <v>0</v>
          </cell>
        </row>
        <row r="67">
          <cell r="A67" t="str">
            <v>3FV66AA#UUF</v>
          </cell>
          <cell r="B67">
            <v>0</v>
          </cell>
        </row>
        <row r="68">
          <cell r="A68" t="str">
            <v>3L1E7AA#ABA</v>
          </cell>
          <cell r="B68">
            <v>3600</v>
          </cell>
        </row>
        <row r="69">
          <cell r="A69" t="str">
            <v>3L1E7AA#ABJ</v>
          </cell>
          <cell r="B69">
            <v>0</v>
          </cell>
        </row>
        <row r="70">
          <cell r="A70" t="str">
            <v>3L1E7AA#ABM</v>
          </cell>
          <cell r="B70">
            <v>0</v>
          </cell>
        </row>
        <row r="71">
          <cell r="A71" t="str">
            <v>3L1E7AA#AC3</v>
          </cell>
          <cell r="B71">
            <v>0</v>
          </cell>
        </row>
        <row r="72">
          <cell r="A72" t="str">
            <v>3L1E7AA#AC4</v>
          </cell>
          <cell r="B72">
            <v>0</v>
          </cell>
        </row>
        <row r="73">
          <cell r="A73" t="str">
            <v>3L1E7AA#UUF</v>
          </cell>
          <cell r="B73">
            <v>1200</v>
          </cell>
        </row>
        <row r="74">
          <cell r="A74" t="str">
            <v>3L1F0AA#ABM</v>
          </cell>
          <cell r="B74">
            <v>0</v>
          </cell>
        </row>
        <row r="75">
          <cell r="A75" t="str">
            <v>3L1F0AA#AC3</v>
          </cell>
          <cell r="B75">
            <v>0</v>
          </cell>
        </row>
        <row r="76">
          <cell r="A76" t="str">
            <v>3L1F0AA#UUF</v>
          </cell>
          <cell r="B76">
            <v>0</v>
          </cell>
        </row>
        <row r="77">
          <cell r="A77" t="str">
            <v>3ML04AA#ABL</v>
          </cell>
          <cell r="B77">
            <v>0</v>
          </cell>
        </row>
        <row r="78">
          <cell r="A78" t="str">
            <v>3ML04AA#ABM</v>
          </cell>
          <cell r="B78">
            <v>0</v>
          </cell>
        </row>
        <row r="79">
          <cell r="A79" t="str">
            <v>3ML04AA#AC3</v>
          </cell>
          <cell r="B79">
            <v>0</v>
          </cell>
        </row>
        <row r="80">
          <cell r="A80" t="str">
            <v>3ML04AA#UUF</v>
          </cell>
          <cell r="B80">
            <v>3840</v>
          </cell>
        </row>
        <row r="81">
          <cell r="A81" t="str">
            <v>3V0G9AA#ABA</v>
          </cell>
          <cell r="B81">
            <v>0</v>
          </cell>
        </row>
        <row r="82">
          <cell r="A82" t="str">
            <v>3V0G9AA#ABB</v>
          </cell>
          <cell r="B82">
            <v>6160</v>
          </cell>
        </row>
        <row r="83">
          <cell r="A83" t="str">
            <v>3V0G9AA#ABM</v>
          </cell>
          <cell r="B83">
            <v>5760</v>
          </cell>
        </row>
        <row r="84">
          <cell r="A84" t="str">
            <v>3V0G9AA#UUF</v>
          </cell>
          <cell r="B84">
            <v>5760</v>
          </cell>
        </row>
        <row r="85">
          <cell r="A85" t="str">
            <v>43N04AA#ABA</v>
          </cell>
          <cell r="B85">
            <v>0</v>
          </cell>
        </row>
        <row r="86">
          <cell r="A86" t="str">
            <v>43N04AA#ABB</v>
          </cell>
          <cell r="B86">
            <v>2880</v>
          </cell>
        </row>
        <row r="87">
          <cell r="A87" t="str">
            <v>43N04AA#ABM</v>
          </cell>
          <cell r="B87">
            <v>0</v>
          </cell>
        </row>
        <row r="88">
          <cell r="A88" t="str">
            <v>43N04AA#UUF</v>
          </cell>
          <cell r="B88">
            <v>5760</v>
          </cell>
        </row>
        <row r="89">
          <cell r="A89" t="str">
            <v>43N05AA#ABA</v>
          </cell>
          <cell r="B89">
            <v>0</v>
          </cell>
        </row>
        <row r="90">
          <cell r="A90" t="str">
            <v>43N05AA#ABB</v>
          </cell>
          <cell r="B90">
            <v>2880</v>
          </cell>
        </row>
        <row r="91">
          <cell r="A91" t="str">
            <v>43N05AA#ABM</v>
          </cell>
          <cell r="B91">
            <v>0</v>
          </cell>
        </row>
        <row r="92">
          <cell r="A92" t="str">
            <v>43N05AA#UUF</v>
          </cell>
          <cell r="B92">
            <v>0</v>
          </cell>
        </row>
        <row r="93">
          <cell r="A93" t="str">
            <v>4E407AA#ABL</v>
          </cell>
          <cell r="B93">
            <v>0</v>
          </cell>
        </row>
        <row r="94">
          <cell r="A94" t="str">
            <v>4E407AA#ABM</v>
          </cell>
          <cell r="B94">
            <v>0</v>
          </cell>
        </row>
        <row r="95">
          <cell r="A95" t="str">
            <v>4E407AA#AC3</v>
          </cell>
          <cell r="B95">
            <v>0</v>
          </cell>
        </row>
        <row r="96">
          <cell r="A96" t="str">
            <v>4E407AA#ACJ</v>
          </cell>
          <cell r="B96">
            <v>0</v>
          </cell>
        </row>
        <row r="97">
          <cell r="A97" t="str">
            <v>4E407AA#UUF</v>
          </cell>
          <cell r="B97">
            <v>0</v>
          </cell>
        </row>
        <row r="98">
          <cell r="A98" t="str">
            <v>4E407UT#ABM</v>
          </cell>
          <cell r="B98">
            <v>2880</v>
          </cell>
        </row>
        <row r="99">
          <cell r="A99" t="str">
            <v>4E407UT#AC3</v>
          </cell>
          <cell r="B99">
            <v>5760</v>
          </cell>
        </row>
        <row r="100">
          <cell r="A100" t="str">
            <v>4E407UT#UUF</v>
          </cell>
          <cell r="B100">
            <v>5760</v>
          </cell>
        </row>
        <row r="101">
          <cell r="A101" t="str">
            <v>4QM14AA#ABB</v>
          </cell>
          <cell r="B101">
            <v>6720</v>
          </cell>
        </row>
        <row r="102">
          <cell r="A102" t="str">
            <v>4QM14AA#ABL</v>
          </cell>
          <cell r="B102">
            <v>2880</v>
          </cell>
        </row>
        <row r="103">
          <cell r="A103" t="str">
            <v>4QM14AA#UUF</v>
          </cell>
          <cell r="B103">
            <v>0</v>
          </cell>
        </row>
        <row r="104">
          <cell r="A104" t="str">
            <v>4VY82AA#ABB</v>
          </cell>
          <cell r="B104">
            <v>4320</v>
          </cell>
        </row>
        <row r="105">
          <cell r="A105" t="str">
            <v>5B8B7AA#ACJ</v>
          </cell>
          <cell r="B105">
            <v>0</v>
          </cell>
        </row>
        <row r="106">
          <cell r="A106" t="str">
            <v>5B8C0AA#ACJ</v>
          </cell>
          <cell r="B106">
            <v>0</v>
          </cell>
        </row>
        <row r="107">
          <cell r="A107" t="str">
            <v>664R5AA#ABL</v>
          </cell>
          <cell r="B107">
            <v>0</v>
          </cell>
        </row>
        <row r="108">
          <cell r="A108" t="str">
            <v>664R5AA#ABM</v>
          </cell>
          <cell r="B108">
            <v>0</v>
          </cell>
        </row>
        <row r="109">
          <cell r="A109" t="str">
            <v>664R5AA#AC3</v>
          </cell>
          <cell r="B109">
            <v>2800</v>
          </cell>
        </row>
        <row r="110">
          <cell r="A110" t="str">
            <v>664R5AA#ACJ</v>
          </cell>
          <cell r="B110">
            <v>0</v>
          </cell>
        </row>
        <row r="111">
          <cell r="A111" t="str">
            <v>664R5AA#UUF</v>
          </cell>
          <cell r="B111">
            <v>0</v>
          </cell>
        </row>
        <row r="112">
          <cell r="A112" t="str">
            <v>66Z09AA#ABL</v>
          </cell>
          <cell r="B112">
            <v>0</v>
          </cell>
        </row>
        <row r="113">
          <cell r="A113" t="str">
            <v>681R7AA#ABL</v>
          </cell>
          <cell r="B113">
            <v>0</v>
          </cell>
        </row>
        <row r="114">
          <cell r="A114" t="str">
            <v>681R8AA#ABL</v>
          </cell>
          <cell r="B114">
            <v>0</v>
          </cell>
        </row>
        <row r="115">
          <cell r="A115" t="str">
            <v>681R9AA#ABL</v>
          </cell>
          <cell r="B115">
            <v>0</v>
          </cell>
        </row>
        <row r="116">
          <cell r="A116" t="str">
            <v>681S0AA#ABL</v>
          </cell>
          <cell r="B116">
            <v>0</v>
          </cell>
        </row>
        <row r="117">
          <cell r="A117" t="str">
            <v>681S1AA#ABL</v>
          </cell>
          <cell r="B117">
            <v>0</v>
          </cell>
        </row>
        <row r="118">
          <cell r="A118" t="str">
            <v>683N7AA#ABL</v>
          </cell>
          <cell r="B118">
            <v>38880</v>
          </cell>
        </row>
        <row r="119">
          <cell r="A119" t="str">
            <v>683N8AA#ABL</v>
          </cell>
          <cell r="B119">
            <v>4320</v>
          </cell>
        </row>
        <row r="120">
          <cell r="A120" t="str">
            <v>683N9AA#ABL</v>
          </cell>
          <cell r="B120">
            <v>0</v>
          </cell>
        </row>
        <row r="121">
          <cell r="A121" t="str">
            <v>6E+P8C01.001</v>
          </cell>
          <cell r="B121">
            <v>1000</v>
          </cell>
        </row>
        <row r="122">
          <cell r="A122" t="str">
            <v>6E+P8C01.011</v>
          </cell>
          <cell r="B122">
            <v>0</v>
          </cell>
        </row>
        <row r="123">
          <cell r="A123" t="str">
            <v>6E6F0AA#ABB</v>
          </cell>
          <cell r="B123">
            <v>0</v>
          </cell>
        </row>
        <row r="124">
          <cell r="A124" t="str">
            <v>6E6F0AA#ABL</v>
          </cell>
          <cell r="B124">
            <v>0</v>
          </cell>
        </row>
        <row r="125">
          <cell r="A125" t="str">
            <v>6E6F0AA#UUF</v>
          </cell>
          <cell r="B125">
            <v>0</v>
          </cell>
        </row>
        <row r="126">
          <cell r="A126" t="str">
            <v>6E6F1AA#ABL</v>
          </cell>
          <cell r="B126">
            <v>0</v>
          </cell>
        </row>
        <row r="127">
          <cell r="A127" t="str">
            <v>6E6F1AA#UUF</v>
          </cell>
          <cell r="B127">
            <v>0</v>
          </cell>
        </row>
        <row r="128">
          <cell r="A128" t="str">
            <v>6E6F2AA#ABB</v>
          </cell>
          <cell r="B128">
            <v>0</v>
          </cell>
        </row>
        <row r="129">
          <cell r="A129" t="str">
            <v>6E6F2AA#ABL</v>
          </cell>
          <cell r="B129">
            <v>0</v>
          </cell>
        </row>
        <row r="130">
          <cell r="A130" t="str">
            <v>6E6F2AA#UUF</v>
          </cell>
          <cell r="B130">
            <v>1200</v>
          </cell>
        </row>
        <row r="131">
          <cell r="A131" t="str">
            <v>6V2J7AA#ABB</v>
          </cell>
          <cell r="B131">
            <v>0</v>
          </cell>
        </row>
        <row r="132">
          <cell r="A132" t="str">
            <v>6V2J7AA#ABL</v>
          </cell>
          <cell r="B132">
            <v>0</v>
          </cell>
        </row>
        <row r="133">
          <cell r="A133" t="str">
            <v>6V2J7AA#ACJ</v>
          </cell>
          <cell r="B133">
            <v>0</v>
          </cell>
        </row>
        <row r="134">
          <cell r="A134" t="str">
            <v>6V2J7AA#UUF</v>
          </cell>
          <cell r="B134">
            <v>3640</v>
          </cell>
        </row>
        <row r="135">
          <cell r="A135" t="str">
            <v>6VY95AA#ABB</v>
          </cell>
          <cell r="B135">
            <v>0</v>
          </cell>
        </row>
        <row r="136">
          <cell r="A136" t="str">
            <v>6VY95AA#ACJ</v>
          </cell>
          <cell r="B136">
            <v>8640</v>
          </cell>
        </row>
        <row r="137">
          <cell r="A137" t="str">
            <v>6VY96AA#ABA</v>
          </cell>
          <cell r="B137">
            <v>0</v>
          </cell>
        </row>
        <row r="138">
          <cell r="A138" t="str">
            <v>6VY96AA#ABB</v>
          </cell>
          <cell r="B138">
            <v>5760</v>
          </cell>
        </row>
        <row r="139">
          <cell r="A139" t="str">
            <v>6VY96AA#ABM</v>
          </cell>
          <cell r="B139">
            <v>13440</v>
          </cell>
        </row>
        <row r="140">
          <cell r="A140" t="str">
            <v>6VY96AA#ACJ</v>
          </cell>
          <cell r="B140">
            <v>0</v>
          </cell>
        </row>
        <row r="141">
          <cell r="A141" t="str">
            <v>6VY96AA#UUF</v>
          </cell>
          <cell r="B141">
            <v>8640</v>
          </cell>
        </row>
        <row r="142">
          <cell r="A142" t="str">
            <v>758A8AA#ABA</v>
          </cell>
          <cell r="B142">
            <v>2040</v>
          </cell>
        </row>
        <row r="143">
          <cell r="A143" t="str">
            <v>758A8AA#ABB</v>
          </cell>
          <cell r="B143">
            <v>1020</v>
          </cell>
        </row>
        <row r="144">
          <cell r="A144" t="str">
            <v>758A8AA#UUF</v>
          </cell>
          <cell r="B144">
            <v>6120</v>
          </cell>
        </row>
        <row r="145">
          <cell r="A145" t="str">
            <v>758A9AA#ABA</v>
          </cell>
          <cell r="B145">
            <v>3060</v>
          </cell>
        </row>
        <row r="146">
          <cell r="A146" t="str">
            <v>758A9AA#ABB</v>
          </cell>
          <cell r="B146">
            <v>0</v>
          </cell>
        </row>
        <row r="147">
          <cell r="A147" t="str">
            <v>758A9AA#UUF</v>
          </cell>
          <cell r="B147">
            <v>4080</v>
          </cell>
        </row>
        <row r="148">
          <cell r="A148" t="str">
            <v>793F9AA#ABA</v>
          </cell>
          <cell r="B148">
            <v>2880</v>
          </cell>
        </row>
        <row r="149">
          <cell r="A149" t="str">
            <v>793F9AA#ABB</v>
          </cell>
          <cell r="B149">
            <v>0</v>
          </cell>
        </row>
        <row r="150">
          <cell r="A150" t="str">
            <v>793F9AA#UUF</v>
          </cell>
          <cell r="B150">
            <v>0</v>
          </cell>
        </row>
        <row r="151">
          <cell r="A151" t="str">
            <v>7KX10AA#ABB</v>
          </cell>
          <cell r="B151">
            <v>0</v>
          </cell>
        </row>
        <row r="152">
          <cell r="A152" t="str">
            <v>7KX11AA#ABB</v>
          </cell>
          <cell r="B152">
            <v>0</v>
          </cell>
        </row>
        <row r="153">
          <cell r="A153" t="str">
            <v>7KX12AA#ABB</v>
          </cell>
          <cell r="B153">
            <v>2760</v>
          </cell>
        </row>
        <row r="154">
          <cell r="A154" t="str">
            <v>7UH88AA#ABB</v>
          </cell>
          <cell r="B154">
            <v>0</v>
          </cell>
        </row>
        <row r="155">
          <cell r="A155" t="str">
            <v>805T1AA#ABA</v>
          </cell>
          <cell r="B155">
            <v>0</v>
          </cell>
        </row>
        <row r="156">
          <cell r="A156" t="str">
            <v>805T1AA#AC3</v>
          </cell>
          <cell r="B156">
            <v>0</v>
          </cell>
        </row>
        <row r="157">
          <cell r="A157" t="str">
            <v>805T2AA#ABA</v>
          </cell>
          <cell r="B157">
            <v>0</v>
          </cell>
        </row>
        <row r="158">
          <cell r="A158" t="str">
            <v>805T2AA#ABM</v>
          </cell>
          <cell r="B158">
            <v>0</v>
          </cell>
        </row>
        <row r="159">
          <cell r="A159" t="str">
            <v>805T2AA#AC3</v>
          </cell>
          <cell r="B159">
            <v>2700</v>
          </cell>
        </row>
        <row r="160">
          <cell r="A160" t="str">
            <v>805T2AA#UUF</v>
          </cell>
          <cell r="B160">
            <v>0</v>
          </cell>
        </row>
        <row r="161">
          <cell r="A161" t="str">
            <v>81S67AA#ABB</v>
          </cell>
          <cell r="B161">
            <v>6680</v>
          </cell>
        </row>
        <row r="162">
          <cell r="A162" t="str">
            <v>81S67AA#UUF</v>
          </cell>
          <cell r="B162">
            <v>0</v>
          </cell>
        </row>
        <row r="163">
          <cell r="A163" t="str">
            <v>81S67UT#UUF</v>
          </cell>
          <cell r="B163">
            <v>0</v>
          </cell>
        </row>
        <row r="164">
          <cell r="A164" t="str">
            <v>822M9AA#ABA</v>
          </cell>
          <cell r="B164">
            <v>0</v>
          </cell>
        </row>
        <row r="165">
          <cell r="A165" t="str">
            <v>822M9AA#UUF</v>
          </cell>
          <cell r="B165">
            <v>0</v>
          </cell>
        </row>
        <row r="166">
          <cell r="A166" t="str">
            <v>822M9UT#UUF</v>
          </cell>
          <cell r="B166">
            <v>2880</v>
          </cell>
        </row>
        <row r="167">
          <cell r="A167" t="str">
            <v>850633-001</v>
          </cell>
          <cell r="B167">
            <v>0</v>
          </cell>
        </row>
        <row r="168">
          <cell r="A168" t="str">
            <v>8R3U1AA#ABA</v>
          </cell>
          <cell r="B168">
            <v>0</v>
          </cell>
        </row>
        <row r="169">
          <cell r="A169" t="str">
            <v>8R3U1AA#ABB</v>
          </cell>
          <cell r="B169">
            <v>0</v>
          </cell>
        </row>
        <row r="170">
          <cell r="A170" t="str">
            <v>8R3U1AA#ACJ</v>
          </cell>
          <cell r="B170">
            <v>0</v>
          </cell>
        </row>
        <row r="171">
          <cell r="A171" t="str">
            <v>8R3U1AA#UUF</v>
          </cell>
          <cell r="B171">
            <v>0</v>
          </cell>
        </row>
        <row r="172">
          <cell r="A172" t="str">
            <v>9C2F6AA#ABA</v>
          </cell>
          <cell r="B172">
            <v>2880</v>
          </cell>
        </row>
        <row r="173">
          <cell r="A173" t="str">
            <v>9C2F6AA#ABB</v>
          </cell>
          <cell r="B173">
            <v>1440</v>
          </cell>
        </row>
        <row r="174">
          <cell r="A174" t="str">
            <v>9C2F6AA#UUF</v>
          </cell>
          <cell r="B174">
            <v>0</v>
          </cell>
        </row>
        <row r="175">
          <cell r="A175" t="str">
            <v>9C2F7AA#ABA</v>
          </cell>
          <cell r="B175">
            <v>0</v>
          </cell>
        </row>
        <row r="176">
          <cell r="A176" t="str">
            <v>9C2F7AA#ABB</v>
          </cell>
          <cell r="B176">
            <v>1440</v>
          </cell>
        </row>
        <row r="177">
          <cell r="A177" t="str">
            <v>9C2F7AA#UUF</v>
          </cell>
          <cell r="B177">
            <v>0</v>
          </cell>
        </row>
        <row r="178">
          <cell r="A178" t="str">
            <v>9DF28AA#ABL</v>
          </cell>
          <cell r="B178">
            <v>0</v>
          </cell>
        </row>
        <row r="179">
          <cell r="A179" t="str">
            <v>9DF28AA#AC3</v>
          </cell>
          <cell r="B179">
            <v>0</v>
          </cell>
        </row>
        <row r="180">
          <cell r="A180" t="str">
            <v>9DF28AA#UUF</v>
          </cell>
          <cell r="B180">
            <v>2880</v>
          </cell>
        </row>
        <row r="181">
          <cell r="A181" t="str">
            <v>9T5A9AA#ABA</v>
          </cell>
          <cell r="B181">
            <v>0</v>
          </cell>
        </row>
        <row r="182">
          <cell r="A182" t="str">
            <v>9T5A9AA#ABJ</v>
          </cell>
          <cell r="B182">
            <v>0</v>
          </cell>
        </row>
        <row r="183">
          <cell r="A183" t="str">
            <v>9T5A9AA#AC3</v>
          </cell>
          <cell r="B183">
            <v>0</v>
          </cell>
        </row>
        <row r="184">
          <cell r="A184" t="str">
            <v>9T5A9AA#UUF</v>
          </cell>
          <cell r="B184">
            <v>0</v>
          </cell>
        </row>
        <row r="185">
          <cell r="A185" t="str">
            <v>9T5B0UT#ABA</v>
          </cell>
          <cell r="B185">
            <v>0</v>
          </cell>
        </row>
        <row r="186">
          <cell r="A186" t="str">
            <v>9T5B0UT#ABJ</v>
          </cell>
          <cell r="B186">
            <v>0</v>
          </cell>
        </row>
        <row r="187">
          <cell r="A187" t="str">
            <v>9T5B0UT#AC3</v>
          </cell>
          <cell r="B187">
            <v>0</v>
          </cell>
        </row>
        <row r="188">
          <cell r="A188" t="str">
            <v>9T5B0UT#UUF</v>
          </cell>
          <cell r="B188">
            <v>0</v>
          </cell>
        </row>
        <row r="189">
          <cell r="A189" t="str">
            <v>9T5B1AA#ABA</v>
          </cell>
          <cell r="B189">
            <v>0</v>
          </cell>
        </row>
        <row r="190">
          <cell r="A190" t="str">
            <v>9T5B1AA#ABJ</v>
          </cell>
          <cell r="B190">
            <v>0</v>
          </cell>
        </row>
        <row r="191">
          <cell r="A191" t="str">
            <v>9T5B1AA#ABM</v>
          </cell>
          <cell r="B191">
            <v>0</v>
          </cell>
        </row>
        <row r="192">
          <cell r="A192" t="str">
            <v>9T5B1AA#AC3</v>
          </cell>
          <cell r="B192">
            <v>0</v>
          </cell>
        </row>
        <row r="193">
          <cell r="A193" t="str">
            <v>9T5B1AA#UUF</v>
          </cell>
          <cell r="B193">
            <v>0</v>
          </cell>
        </row>
        <row r="194">
          <cell r="A194" t="str">
            <v>9T5B2AA#ABA</v>
          </cell>
          <cell r="B194">
            <v>0</v>
          </cell>
        </row>
        <row r="195">
          <cell r="A195" t="str">
            <v>9T5B2AA#ABJ</v>
          </cell>
          <cell r="B195">
            <v>0</v>
          </cell>
        </row>
        <row r="196">
          <cell r="A196" t="str">
            <v>9T5B2AA#ABM</v>
          </cell>
          <cell r="B196">
            <v>0</v>
          </cell>
        </row>
        <row r="197">
          <cell r="A197" t="str">
            <v>9T5B2AA#AC3</v>
          </cell>
          <cell r="B197">
            <v>0</v>
          </cell>
        </row>
        <row r="198">
          <cell r="A198" t="str">
            <v>9T5B2AA#UUF</v>
          </cell>
          <cell r="B198">
            <v>0</v>
          </cell>
        </row>
        <row r="199">
          <cell r="A199" t="str">
            <v>H2C21AA#ACJ</v>
          </cell>
          <cell r="B199">
            <v>0</v>
          </cell>
        </row>
        <row r="200">
          <cell r="A200" t="str">
            <v>L07896-DB1</v>
          </cell>
          <cell r="B200">
            <v>0</v>
          </cell>
        </row>
        <row r="201">
          <cell r="A201" t="str">
            <v>L13998-002</v>
          </cell>
          <cell r="B201">
            <v>0</v>
          </cell>
        </row>
        <row r="202">
          <cell r="A202" t="str">
            <v>L77930-001</v>
          </cell>
          <cell r="B202">
            <v>0</v>
          </cell>
        </row>
        <row r="203">
          <cell r="A203" t="str">
            <v>M03085-001</v>
          </cell>
          <cell r="B203">
            <v>0</v>
          </cell>
        </row>
        <row r="204">
          <cell r="A204" t="str">
            <v>M40043-161</v>
          </cell>
          <cell r="B204">
            <v>2520</v>
          </cell>
        </row>
        <row r="205">
          <cell r="A205" t="str">
            <v>M40045-161</v>
          </cell>
          <cell r="B205">
            <v>4320</v>
          </cell>
        </row>
        <row r="206">
          <cell r="A206" t="str">
            <v>M49894-001</v>
          </cell>
          <cell r="B206">
            <v>10800</v>
          </cell>
        </row>
        <row r="207">
          <cell r="A207" t="str">
            <v>M53402-001</v>
          </cell>
          <cell r="B207">
            <v>0</v>
          </cell>
        </row>
        <row r="208">
          <cell r="A208" t="str">
            <v>N20172-001</v>
          </cell>
          <cell r="B208">
            <v>3600</v>
          </cell>
        </row>
        <row r="209">
          <cell r="A209" t="str">
            <v>N20172-371</v>
          </cell>
          <cell r="B209">
            <v>0</v>
          </cell>
        </row>
        <row r="210">
          <cell r="A210" t="str">
            <v>N20172-A21</v>
          </cell>
          <cell r="B210">
            <v>0</v>
          </cell>
        </row>
        <row r="211">
          <cell r="A211" t="str">
            <v>N37102-001</v>
          </cell>
          <cell r="B211">
            <v>13200</v>
          </cell>
        </row>
        <row r="212">
          <cell r="A212" t="str">
            <v>N37103-001</v>
          </cell>
          <cell r="B212">
            <v>0</v>
          </cell>
        </row>
        <row r="213">
          <cell r="A213" t="str">
            <v>N38404-001</v>
          </cell>
          <cell r="B213">
            <v>0</v>
          </cell>
        </row>
        <row r="214">
          <cell r="A214" t="str">
            <v>N43864-001</v>
          </cell>
          <cell r="B214">
            <v>0</v>
          </cell>
        </row>
        <row r="215">
          <cell r="A215" t="str">
            <v>N43866-001</v>
          </cell>
          <cell r="B215">
            <v>0</v>
          </cell>
        </row>
        <row r="216">
          <cell r="A216" t="str">
            <v>N61958-001</v>
          </cell>
          <cell r="B216">
            <v>0</v>
          </cell>
        </row>
        <row r="217">
          <cell r="A217" t="str">
            <v>N61958-371</v>
          </cell>
          <cell r="B217">
            <v>0</v>
          </cell>
        </row>
        <row r="218">
          <cell r="A218" t="str">
            <v>N61958-A21</v>
          </cell>
          <cell r="B218">
            <v>0</v>
          </cell>
        </row>
        <row r="219">
          <cell r="A219" t="str">
            <v>N61962-001</v>
          </cell>
          <cell r="B219">
            <v>0</v>
          </cell>
        </row>
        <row r="220">
          <cell r="A220" t="str">
            <v>N61962-371</v>
          </cell>
          <cell r="B220">
            <v>0</v>
          </cell>
        </row>
        <row r="221">
          <cell r="A221" t="str">
            <v>N61962-A21</v>
          </cell>
          <cell r="B221">
            <v>0</v>
          </cell>
        </row>
        <row r="222">
          <cell r="A222" t="str">
            <v>N62007-001</v>
          </cell>
          <cell r="B222">
            <v>0</v>
          </cell>
        </row>
        <row r="223">
          <cell r="A223" t="str">
            <v>N62007-371</v>
          </cell>
          <cell r="B223">
            <v>0</v>
          </cell>
        </row>
        <row r="224">
          <cell r="A224" t="str">
            <v>N62007-A21</v>
          </cell>
          <cell r="B224">
            <v>0</v>
          </cell>
        </row>
        <row r="225">
          <cell r="A225" t="str">
            <v>N72845-001</v>
          </cell>
          <cell r="B225">
            <v>0</v>
          </cell>
        </row>
        <row r="226">
          <cell r="A226" t="str">
            <v>N72845-371</v>
          </cell>
          <cell r="B226">
            <v>0</v>
          </cell>
        </row>
        <row r="227">
          <cell r="A227" t="str">
            <v>N72845-A21</v>
          </cell>
          <cell r="B227">
            <v>0</v>
          </cell>
        </row>
        <row r="228">
          <cell r="A228" t="str">
            <v>N87314-001</v>
          </cell>
          <cell r="B228">
            <v>120</v>
          </cell>
        </row>
        <row r="229">
          <cell r="A229" t="str">
            <v>N87316-001</v>
          </cell>
          <cell r="B229">
            <v>3000</v>
          </cell>
        </row>
        <row r="230">
          <cell r="A230" t="str">
            <v>N87318-001</v>
          </cell>
          <cell r="B230">
            <v>3000</v>
          </cell>
        </row>
        <row r="231">
          <cell r="A231" t="str">
            <v>V0L79AA#ABB</v>
          </cell>
          <cell r="B231">
            <v>4320</v>
          </cell>
        </row>
        <row r="232">
          <cell r="A232" t="str">
            <v>V0L79AA#UUF</v>
          </cell>
          <cell r="B232">
            <v>3120</v>
          </cell>
        </row>
        <row r="233">
          <cell r="A233" t="str">
            <v>V0L80AA#ABB</v>
          </cell>
          <cell r="B233">
            <v>0</v>
          </cell>
        </row>
        <row r="234">
          <cell r="A234" t="str">
            <v>V0L80AA#UUF</v>
          </cell>
          <cell r="B234">
            <v>0</v>
          </cell>
        </row>
        <row r="235">
          <cell r="A235" t="str">
            <v>V0L81AA#ABB</v>
          </cell>
          <cell r="B235">
            <v>0</v>
          </cell>
        </row>
        <row r="236">
          <cell r="A236" t="str">
            <v>V0L82AA#ABB</v>
          </cell>
          <cell r="B236">
            <v>0</v>
          </cell>
        </row>
        <row r="237">
          <cell r="A237" t="str">
            <v>X6W31AA#ABB</v>
          </cell>
          <cell r="B237">
            <v>0</v>
          </cell>
        </row>
        <row r="238">
          <cell r="A238" t="str">
            <v>X6W31AA#ABL</v>
          </cell>
          <cell r="B238">
            <v>8640</v>
          </cell>
        </row>
        <row r="239">
          <cell r="A239" t="str">
            <v>X6W31AA#UUF</v>
          </cell>
          <cell r="B239">
            <v>5760</v>
          </cell>
        </row>
        <row r="240">
          <cell r="A240" t="str">
            <v>X7Q43AA#ABB</v>
          </cell>
          <cell r="B240">
            <v>0</v>
          </cell>
        </row>
        <row r="241">
          <cell r="A241" t="str">
            <v>X7Q43AA#UUF</v>
          </cell>
          <cell r="B241">
            <v>0</v>
          </cell>
        </row>
        <row r="242">
          <cell r="A242" t="str">
            <v>X7Q44AA#ABB</v>
          </cell>
          <cell r="B242">
            <v>0</v>
          </cell>
        </row>
        <row r="243">
          <cell r="A243" t="str">
            <v>X7Q44AA#UUF</v>
          </cell>
          <cell r="B243">
            <v>1560</v>
          </cell>
        </row>
        <row r="244">
          <cell r="A244" t="str">
            <v>(空白)</v>
          </cell>
        </row>
        <row r="245">
          <cell r="A245" t="str">
            <v>總計</v>
          </cell>
          <cell r="B245">
            <v>458064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說明頁"/>
      <sheetName val="FY24 Summary_1"/>
      <sheetName val="FY23 Summary_1"/>
      <sheetName val="FY23 Summary_2"/>
      <sheetName val="FY23"/>
      <sheetName val="FY24 Summary_2"/>
      <sheetName val="工作表1"/>
      <sheetName val="FY24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列標籤</v>
          </cell>
          <cell r="B3" t="str">
            <v>加總 - Aug Q'ty</v>
          </cell>
        </row>
        <row r="4">
          <cell r="A4" t="str">
            <v>171D8AA#ABB</v>
          </cell>
          <cell r="B4">
            <v>0</v>
          </cell>
        </row>
        <row r="5">
          <cell r="A5" t="str">
            <v>18H24AA#AB1</v>
          </cell>
          <cell r="B5">
            <v>0</v>
          </cell>
        </row>
        <row r="6">
          <cell r="A6" t="str">
            <v>18H24AA#ABA</v>
          </cell>
          <cell r="B6">
            <v>23040</v>
          </cell>
        </row>
        <row r="7">
          <cell r="A7" t="str">
            <v>18H24AA#ABM</v>
          </cell>
          <cell r="B7">
            <v>3840</v>
          </cell>
        </row>
        <row r="8">
          <cell r="A8" t="str">
            <v>18H24AA#AC3</v>
          </cell>
          <cell r="B8">
            <v>21280</v>
          </cell>
        </row>
        <row r="9">
          <cell r="A9" t="str">
            <v>18H24AA#AC4</v>
          </cell>
          <cell r="B9">
            <v>8960</v>
          </cell>
        </row>
        <row r="10">
          <cell r="A10" t="str">
            <v>18H24AA#UUF</v>
          </cell>
          <cell r="B10">
            <v>7680</v>
          </cell>
        </row>
        <row r="11">
          <cell r="A11" t="str">
            <v>1D0K2AA#ABA</v>
          </cell>
          <cell r="B11">
            <v>0</v>
          </cell>
        </row>
        <row r="12">
          <cell r="A12" t="str">
            <v>1D0K2AA#AC3</v>
          </cell>
          <cell r="B12">
            <v>0</v>
          </cell>
        </row>
        <row r="13">
          <cell r="A13" t="str">
            <v>1D0K2AA#UUF</v>
          </cell>
          <cell r="B13">
            <v>0</v>
          </cell>
        </row>
        <row r="14">
          <cell r="A14" t="str">
            <v>1D0K8AA#ABA</v>
          </cell>
          <cell r="B14">
            <v>0</v>
          </cell>
        </row>
        <row r="15">
          <cell r="A15" t="str">
            <v>1D0K8AA#AC3</v>
          </cell>
          <cell r="B15">
            <v>0</v>
          </cell>
        </row>
        <row r="16">
          <cell r="A16" t="str">
            <v>1D0K8AA#UUF</v>
          </cell>
          <cell r="B16">
            <v>0</v>
          </cell>
        </row>
        <row r="17">
          <cell r="A17" t="str">
            <v>1D0K9AA#ABB</v>
          </cell>
          <cell r="B17">
            <v>0</v>
          </cell>
        </row>
        <row r="18">
          <cell r="A18" t="str">
            <v>1D0K9AA#ABL</v>
          </cell>
          <cell r="B18">
            <v>0</v>
          </cell>
        </row>
        <row r="19">
          <cell r="A19" t="str">
            <v>1D0K9AA#UUF</v>
          </cell>
          <cell r="B19">
            <v>0</v>
          </cell>
        </row>
        <row r="20">
          <cell r="A20" t="str">
            <v>1Y4D0AA#AB1</v>
          </cell>
          <cell r="B20">
            <v>0</v>
          </cell>
        </row>
        <row r="21">
          <cell r="A21" t="str">
            <v>1Y4D0AA#ABA</v>
          </cell>
          <cell r="B21">
            <v>0</v>
          </cell>
        </row>
        <row r="22">
          <cell r="A22" t="str">
            <v>1Y4D0AA#ABC</v>
          </cell>
          <cell r="B22">
            <v>0</v>
          </cell>
        </row>
        <row r="23">
          <cell r="A23" t="str">
            <v>1Y4D0AA#ABM</v>
          </cell>
          <cell r="B23">
            <v>0</v>
          </cell>
        </row>
        <row r="24">
          <cell r="A24" t="str">
            <v>1Y4D0AA#AC3</v>
          </cell>
          <cell r="B24">
            <v>0</v>
          </cell>
        </row>
        <row r="25">
          <cell r="A25" t="str">
            <v>1Y4D0AA#AC4</v>
          </cell>
          <cell r="B25">
            <v>0</v>
          </cell>
        </row>
        <row r="26">
          <cell r="A26" t="str">
            <v>1Y4D0AA#UUF</v>
          </cell>
          <cell r="B26">
            <v>0</v>
          </cell>
        </row>
        <row r="27">
          <cell r="A27" t="str">
            <v>1Y4D0UT#AB1</v>
          </cell>
          <cell r="B27">
            <v>0</v>
          </cell>
        </row>
        <row r="28">
          <cell r="A28" t="str">
            <v>1Y4D0UT#ABA</v>
          </cell>
          <cell r="B28">
            <v>6400</v>
          </cell>
        </row>
        <row r="29">
          <cell r="A29" t="str">
            <v>1Y4D0UT#ABC</v>
          </cell>
          <cell r="B29">
            <v>0</v>
          </cell>
        </row>
        <row r="30">
          <cell r="A30" t="str">
            <v>1Y4D0UT#ABM</v>
          </cell>
          <cell r="B30">
            <v>5120</v>
          </cell>
        </row>
        <row r="31">
          <cell r="A31" t="str">
            <v>1Y4D0UT#AC3</v>
          </cell>
          <cell r="B31">
            <v>25800</v>
          </cell>
        </row>
        <row r="32">
          <cell r="A32" t="str">
            <v>1Y4D0UT#AC4</v>
          </cell>
          <cell r="B32">
            <v>0</v>
          </cell>
        </row>
        <row r="33">
          <cell r="A33" t="str">
            <v>1Y4D0UT#UUF</v>
          </cell>
          <cell r="B33">
            <v>5120</v>
          </cell>
        </row>
        <row r="34">
          <cell r="A34" t="str">
            <v>240J6AA#ABB</v>
          </cell>
          <cell r="B34">
            <v>6720</v>
          </cell>
        </row>
        <row r="35">
          <cell r="A35" t="str">
            <v>240J6AA#ABM</v>
          </cell>
          <cell r="B35">
            <v>20160</v>
          </cell>
        </row>
        <row r="36">
          <cell r="A36" t="str">
            <v>240J6AA#ACJ</v>
          </cell>
          <cell r="B36">
            <v>6720</v>
          </cell>
        </row>
        <row r="37">
          <cell r="A37" t="str">
            <v>240J6AA#UUF</v>
          </cell>
          <cell r="B37">
            <v>0</v>
          </cell>
        </row>
        <row r="38">
          <cell r="A38" t="str">
            <v>240J7AA#ABL</v>
          </cell>
          <cell r="B38">
            <v>4800</v>
          </cell>
        </row>
        <row r="39">
          <cell r="A39" t="str">
            <v>240J7AA#AC3</v>
          </cell>
          <cell r="B39">
            <v>2600</v>
          </cell>
        </row>
        <row r="40">
          <cell r="A40" t="str">
            <v>240J7AA#UUF</v>
          </cell>
          <cell r="B40">
            <v>5200</v>
          </cell>
        </row>
        <row r="41">
          <cell r="A41" t="str">
            <v>28Y30AA#ABA</v>
          </cell>
          <cell r="B41">
            <v>0</v>
          </cell>
        </row>
        <row r="42">
          <cell r="A42" t="str">
            <v>2HU82AA#ABB</v>
          </cell>
          <cell r="B42">
            <v>0</v>
          </cell>
        </row>
        <row r="43">
          <cell r="A43" t="str">
            <v>2HU82AA#ABL</v>
          </cell>
          <cell r="B43">
            <v>2880</v>
          </cell>
        </row>
        <row r="44">
          <cell r="A44" t="str">
            <v>2HU82AA#UUF</v>
          </cell>
          <cell r="B44">
            <v>0</v>
          </cell>
        </row>
        <row r="45">
          <cell r="A45" t="str">
            <v>2HU83AA#ABB</v>
          </cell>
          <cell r="B45">
            <v>0</v>
          </cell>
        </row>
        <row r="46">
          <cell r="A46" t="str">
            <v>2HU83AA#ABL</v>
          </cell>
          <cell r="B46">
            <v>2880</v>
          </cell>
        </row>
        <row r="47">
          <cell r="A47" t="str">
            <v>2HU84AA#ABB</v>
          </cell>
          <cell r="B47">
            <v>0</v>
          </cell>
        </row>
        <row r="48">
          <cell r="A48" t="str">
            <v>2HU84AA#ABL</v>
          </cell>
          <cell r="B48">
            <v>11520</v>
          </cell>
        </row>
        <row r="49">
          <cell r="A49" t="str">
            <v>2HU84AA#UUF</v>
          </cell>
          <cell r="B49">
            <v>0</v>
          </cell>
        </row>
        <row r="50">
          <cell r="A50" t="str">
            <v>2HU85AA#ABL</v>
          </cell>
          <cell r="B50">
            <v>5760</v>
          </cell>
        </row>
        <row r="51">
          <cell r="A51" t="str">
            <v>2HU85AA#UUF</v>
          </cell>
          <cell r="B51">
            <v>0</v>
          </cell>
        </row>
        <row r="52">
          <cell r="A52" t="str">
            <v>2S9L1AA#ABB</v>
          </cell>
          <cell r="B52">
            <v>25920</v>
          </cell>
        </row>
        <row r="53">
          <cell r="A53" t="str">
            <v>2S9L1AA#ABL</v>
          </cell>
          <cell r="B53">
            <v>0</v>
          </cell>
        </row>
        <row r="54">
          <cell r="A54" t="str">
            <v>2S9L1AA#ABM</v>
          </cell>
          <cell r="B54">
            <v>0</v>
          </cell>
        </row>
        <row r="55">
          <cell r="A55" t="str">
            <v>2S9L1AA#ACJ</v>
          </cell>
          <cell r="B55">
            <v>0</v>
          </cell>
        </row>
        <row r="56">
          <cell r="A56" t="str">
            <v>2S9L1AA#UUF</v>
          </cell>
          <cell r="B56">
            <v>0</v>
          </cell>
        </row>
        <row r="57">
          <cell r="A57" t="str">
            <v>2V9E6AA#ABL</v>
          </cell>
          <cell r="B57">
            <v>0</v>
          </cell>
        </row>
        <row r="58">
          <cell r="A58" t="str">
            <v>2V9E6AA#ABM</v>
          </cell>
          <cell r="B58">
            <v>0</v>
          </cell>
        </row>
        <row r="59">
          <cell r="A59" t="str">
            <v>2V9E6AA#AC3</v>
          </cell>
          <cell r="B59">
            <v>11500</v>
          </cell>
        </row>
        <row r="60">
          <cell r="A60" t="str">
            <v>2V9E6AA#ACJ</v>
          </cell>
          <cell r="B60">
            <v>0</v>
          </cell>
        </row>
        <row r="61">
          <cell r="A61" t="str">
            <v>2V9E6AA#UUF</v>
          </cell>
          <cell r="B61">
            <v>0</v>
          </cell>
        </row>
        <row r="62">
          <cell r="A62" t="str">
            <v>3FV66AA#ABB</v>
          </cell>
          <cell r="B62">
            <v>8640</v>
          </cell>
        </row>
        <row r="63">
          <cell r="A63" t="str">
            <v>3FV66AA#ABL</v>
          </cell>
          <cell r="B63">
            <v>0</v>
          </cell>
        </row>
        <row r="64">
          <cell r="A64" t="str">
            <v>3FV66AA#UUF</v>
          </cell>
          <cell r="B64">
            <v>0</v>
          </cell>
        </row>
        <row r="65">
          <cell r="A65" t="str">
            <v>3L1E7AA#ABA</v>
          </cell>
          <cell r="B65">
            <v>7200</v>
          </cell>
        </row>
        <row r="66">
          <cell r="A66" t="str">
            <v>3L1E7AA#ABJ</v>
          </cell>
          <cell r="B66">
            <v>0</v>
          </cell>
        </row>
        <row r="67">
          <cell r="A67" t="str">
            <v>3L1E7AA#ABM</v>
          </cell>
          <cell r="B67">
            <v>0</v>
          </cell>
        </row>
        <row r="68">
          <cell r="A68" t="str">
            <v>3L1E7AA#AC3</v>
          </cell>
          <cell r="B68">
            <v>1280</v>
          </cell>
        </row>
        <row r="69">
          <cell r="A69" t="str">
            <v>3L1E7AA#AC4</v>
          </cell>
          <cell r="B69">
            <v>0</v>
          </cell>
        </row>
        <row r="70">
          <cell r="A70" t="str">
            <v>3L1E7AA#UUF</v>
          </cell>
          <cell r="B70">
            <v>0</v>
          </cell>
        </row>
        <row r="71">
          <cell r="A71" t="str">
            <v>3L1F0AA#ABM</v>
          </cell>
          <cell r="B71">
            <v>0</v>
          </cell>
        </row>
        <row r="72">
          <cell r="A72" t="str">
            <v>3L1F0AA#AC3</v>
          </cell>
          <cell r="B72">
            <v>5760</v>
          </cell>
        </row>
        <row r="73">
          <cell r="A73" t="str">
            <v>3L1F0AA#UUF</v>
          </cell>
          <cell r="B73">
            <v>0</v>
          </cell>
        </row>
        <row r="74">
          <cell r="A74" t="str">
            <v>3ML04AA#ABL</v>
          </cell>
          <cell r="B74">
            <v>0</v>
          </cell>
        </row>
        <row r="75">
          <cell r="A75" t="str">
            <v>3ML04AA#ABM</v>
          </cell>
          <cell r="B75">
            <v>0</v>
          </cell>
        </row>
        <row r="76">
          <cell r="A76" t="str">
            <v>3ML04AA#AC3</v>
          </cell>
          <cell r="B76">
            <v>0</v>
          </cell>
        </row>
        <row r="77">
          <cell r="A77" t="str">
            <v>3ML04AA#UUF</v>
          </cell>
          <cell r="B77">
            <v>1280</v>
          </cell>
        </row>
        <row r="78">
          <cell r="A78" t="str">
            <v>3V0G9AA#ABA</v>
          </cell>
          <cell r="B78">
            <v>0</v>
          </cell>
        </row>
        <row r="79">
          <cell r="A79" t="str">
            <v>3V0G9AA#ABB</v>
          </cell>
          <cell r="B79">
            <v>7760</v>
          </cell>
        </row>
        <row r="80">
          <cell r="A80" t="str">
            <v>3V0G9AA#ABM</v>
          </cell>
          <cell r="B80">
            <v>11520</v>
          </cell>
        </row>
        <row r="81">
          <cell r="A81" t="str">
            <v>3V0G9AA#UUF</v>
          </cell>
          <cell r="B81">
            <v>14400</v>
          </cell>
        </row>
        <row r="82">
          <cell r="A82" t="str">
            <v>43N04AA#ABA</v>
          </cell>
          <cell r="B82">
            <v>0</v>
          </cell>
        </row>
        <row r="83">
          <cell r="A83" t="str">
            <v>43N04AA#ABB</v>
          </cell>
          <cell r="B83">
            <v>2880</v>
          </cell>
        </row>
        <row r="84">
          <cell r="A84" t="str">
            <v>43N04AA#ABM</v>
          </cell>
          <cell r="B84">
            <v>2880</v>
          </cell>
        </row>
        <row r="85">
          <cell r="A85" t="str">
            <v>43N04AA#UUF</v>
          </cell>
          <cell r="B85">
            <v>2880</v>
          </cell>
        </row>
        <row r="86">
          <cell r="A86" t="str">
            <v>43N05AA#ABA</v>
          </cell>
          <cell r="B86">
            <v>0</v>
          </cell>
        </row>
        <row r="87">
          <cell r="A87" t="str">
            <v>43N05AA#ABB</v>
          </cell>
          <cell r="B87">
            <v>0</v>
          </cell>
        </row>
        <row r="88">
          <cell r="A88" t="str">
            <v>43N05AA#ABM</v>
          </cell>
          <cell r="B88">
            <v>2880</v>
          </cell>
        </row>
        <row r="89">
          <cell r="A89" t="str">
            <v>43N05AA#UUF</v>
          </cell>
          <cell r="B89">
            <v>0</v>
          </cell>
        </row>
        <row r="90">
          <cell r="A90" t="str">
            <v>4E407AA#ABL</v>
          </cell>
          <cell r="B90">
            <v>0</v>
          </cell>
        </row>
        <row r="91">
          <cell r="A91" t="str">
            <v>4E407AA#ABM</v>
          </cell>
          <cell r="B91">
            <v>0</v>
          </cell>
        </row>
        <row r="92">
          <cell r="A92" t="str">
            <v>4E407AA#AC3</v>
          </cell>
          <cell r="B92">
            <v>0</v>
          </cell>
        </row>
        <row r="93">
          <cell r="A93" t="str">
            <v>4E407AA#ACJ</v>
          </cell>
          <cell r="B93">
            <v>0</v>
          </cell>
        </row>
        <row r="94">
          <cell r="A94" t="str">
            <v>4E407AA#UUF</v>
          </cell>
          <cell r="B94">
            <v>0</v>
          </cell>
        </row>
        <row r="95">
          <cell r="A95" t="str">
            <v>4E407UT#ABL</v>
          </cell>
          <cell r="B95">
            <v>0</v>
          </cell>
        </row>
        <row r="96">
          <cell r="A96" t="str">
            <v>4E407UT#ABM</v>
          </cell>
          <cell r="B96">
            <v>2880</v>
          </cell>
        </row>
        <row r="97">
          <cell r="A97" t="str">
            <v>4E407UT#AC3</v>
          </cell>
          <cell r="B97">
            <v>2880</v>
          </cell>
        </row>
        <row r="98">
          <cell r="A98" t="str">
            <v>4E407UT#UUF</v>
          </cell>
          <cell r="B98">
            <v>2880</v>
          </cell>
        </row>
        <row r="99">
          <cell r="A99" t="str">
            <v>4QM14AA#ABB</v>
          </cell>
          <cell r="B99">
            <v>20160</v>
          </cell>
        </row>
        <row r="100">
          <cell r="A100" t="str">
            <v>4QM14AA#ABL</v>
          </cell>
          <cell r="B100">
            <v>0</v>
          </cell>
        </row>
        <row r="101">
          <cell r="A101" t="str">
            <v>4QM14AA#UUF</v>
          </cell>
          <cell r="B101">
            <v>0</v>
          </cell>
        </row>
        <row r="102">
          <cell r="A102" t="str">
            <v>4VY82AA#ABB</v>
          </cell>
          <cell r="B102">
            <v>0</v>
          </cell>
        </row>
        <row r="103">
          <cell r="A103" t="str">
            <v>5B8B7AA#ACJ</v>
          </cell>
          <cell r="B103">
            <v>0</v>
          </cell>
        </row>
        <row r="104">
          <cell r="A104" t="str">
            <v>664R5AA#ABL</v>
          </cell>
          <cell r="B104">
            <v>5600</v>
          </cell>
        </row>
        <row r="105">
          <cell r="A105" t="str">
            <v>664R5AA#ABM</v>
          </cell>
          <cell r="B105">
            <v>0</v>
          </cell>
        </row>
        <row r="106">
          <cell r="A106" t="str">
            <v>664R5AA#AC3</v>
          </cell>
          <cell r="B106">
            <v>5600</v>
          </cell>
        </row>
        <row r="107">
          <cell r="A107" t="str">
            <v>664R5AA#ACJ</v>
          </cell>
          <cell r="B107">
            <v>0</v>
          </cell>
        </row>
        <row r="108">
          <cell r="A108" t="str">
            <v>664R5AA#UUF</v>
          </cell>
          <cell r="B108">
            <v>0</v>
          </cell>
        </row>
        <row r="109">
          <cell r="A109" t="str">
            <v>66Z09AA#ABL</v>
          </cell>
          <cell r="B109">
            <v>0</v>
          </cell>
        </row>
        <row r="110">
          <cell r="A110" t="str">
            <v>681R7AA#ABL</v>
          </cell>
          <cell r="B110">
            <v>0</v>
          </cell>
        </row>
        <row r="111">
          <cell r="A111" t="str">
            <v>681R8AA#ABL</v>
          </cell>
          <cell r="B111">
            <v>0</v>
          </cell>
        </row>
        <row r="112">
          <cell r="A112" t="str">
            <v>681R9AA#ABL</v>
          </cell>
          <cell r="B112">
            <v>0</v>
          </cell>
        </row>
        <row r="113">
          <cell r="A113" t="str">
            <v>681S0AA#ABL</v>
          </cell>
          <cell r="B113">
            <v>0</v>
          </cell>
        </row>
        <row r="114">
          <cell r="A114" t="str">
            <v>681S1AA#ABL</v>
          </cell>
          <cell r="B114">
            <v>0</v>
          </cell>
        </row>
        <row r="115">
          <cell r="A115" t="str">
            <v>683N7AA#ABL</v>
          </cell>
          <cell r="B115">
            <v>0</v>
          </cell>
        </row>
        <row r="116">
          <cell r="A116" t="str">
            <v>683N8AA#ABL</v>
          </cell>
          <cell r="B116">
            <v>0</v>
          </cell>
        </row>
        <row r="117">
          <cell r="A117" t="str">
            <v>683N9AA#ABL</v>
          </cell>
          <cell r="B117">
            <v>0</v>
          </cell>
        </row>
        <row r="118">
          <cell r="A118" t="str">
            <v>6E+P8C01.001</v>
          </cell>
          <cell r="B118">
            <v>5000</v>
          </cell>
        </row>
        <row r="119">
          <cell r="A119" t="str">
            <v>6E+P8C01.011</v>
          </cell>
          <cell r="B119">
            <v>0</v>
          </cell>
        </row>
        <row r="120">
          <cell r="A120" t="str">
            <v>6E6F0AA#ABB</v>
          </cell>
          <cell r="B120">
            <v>0</v>
          </cell>
        </row>
        <row r="121">
          <cell r="A121" t="str">
            <v>6E6F0AA#ABL</v>
          </cell>
          <cell r="B121">
            <v>1200</v>
          </cell>
        </row>
        <row r="122">
          <cell r="A122" t="str">
            <v>6E6F0AA#UUF</v>
          </cell>
          <cell r="B122">
            <v>0</v>
          </cell>
        </row>
        <row r="123">
          <cell r="A123" t="str">
            <v>6E6F1AA#ABL</v>
          </cell>
          <cell r="B123">
            <v>0</v>
          </cell>
        </row>
        <row r="124">
          <cell r="A124" t="str">
            <v>6E6F1AA#UUF</v>
          </cell>
          <cell r="B124">
            <v>0</v>
          </cell>
        </row>
        <row r="125">
          <cell r="A125" t="str">
            <v>6E6F2AA#ABB</v>
          </cell>
          <cell r="B125">
            <v>0</v>
          </cell>
        </row>
        <row r="126">
          <cell r="A126" t="str">
            <v>6E6F2AA#ABL</v>
          </cell>
          <cell r="B126">
            <v>0</v>
          </cell>
        </row>
        <row r="127">
          <cell r="A127" t="str">
            <v>6E6F2AA#UUF</v>
          </cell>
          <cell r="B127">
            <v>0</v>
          </cell>
        </row>
        <row r="128">
          <cell r="A128" t="str">
            <v>6V2J7AA#ABB</v>
          </cell>
          <cell r="B128">
            <v>7280</v>
          </cell>
        </row>
        <row r="129">
          <cell r="A129" t="str">
            <v>6V2J7AA#ABL</v>
          </cell>
          <cell r="B129">
            <v>0</v>
          </cell>
        </row>
        <row r="130">
          <cell r="A130" t="str">
            <v>6V2J7AA#ACJ</v>
          </cell>
          <cell r="B130">
            <v>0</v>
          </cell>
        </row>
        <row r="131">
          <cell r="A131" t="str">
            <v>6V2J7AA#UUF</v>
          </cell>
          <cell r="B131">
            <v>0</v>
          </cell>
        </row>
        <row r="132">
          <cell r="A132" t="str">
            <v>6VY95AA#ABB</v>
          </cell>
          <cell r="B132">
            <v>0</v>
          </cell>
        </row>
        <row r="133">
          <cell r="A133" t="str">
            <v>6VY95AA#ACJ</v>
          </cell>
          <cell r="B133">
            <v>0</v>
          </cell>
        </row>
        <row r="134">
          <cell r="A134" t="str">
            <v>6VY96AA#ABA</v>
          </cell>
          <cell r="B134">
            <v>0</v>
          </cell>
        </row>
        <row r="135">
          <cell r="A135" t="str">
            <v>6VY96AA#ABB</v>
          </cell>
          <cell r="B135">
            <v>20160</v>
          </cell>
        </row>
        <row r="136">
          <cell r="A136" t="str">
            <v>6VY96AA#ABM</v>
          </cell>
          <cell r="B136">
            <v>13440</v>
          </cell>
        </row>
        <row r="137">
          <cell r="A137" t="str">
            <v>6VY96AA#ACJ</v>
          </cell>
          <cell r="B137">
            <v>0</v>
          </cell>
        </row>
        <row r="138">
          <cell r="A138" t="str">
            <v>6VY96AA#UUF</v>
          </cell>
          <cell r="B138">
            <v>2880</v>
          </cell>
        </row>
        <row r="139">
          <cell r="A139" t="str">
            <v>758A8AA#ABA</v>
          </cell>
          <cell r="B139">
            <v>4080</v>
          </cell>
        </row>
        <row r="140">
          <cell r="A140" t="str">
            <v>758A8AA#ABB</v>
          </cell>
          <cell r="B140">
            <v>2100</v>
          </cell>
        </row>
        <row r="141">
          <cell r="A141" t="str">
            <v>758A8AA#UUF</v>
          </cell>
          <cell r="B141">
            <v>2040</v>
          </cell>
        </row>
        <row r="142">
          <cell r="A142" t="str">
            <v>758A9AA#ABA</v>
          </cell>
          <cell r="B142">
            <v>0</v>
          </cell>
        </row>
        <row r="143">
          <cell r="A143" t="str">
            <v>758A9AA#ABB</v>
          </cell>
          <cell r="B143">
            <v>0</v>
          </cell>
        </row>
        <row r="144">
          <cell r="A144" t="str">
            <v>758A9AA#UUF</v>
          </cell>
          <cell r="B144">
            <v>2040</v>
          </cell>
        </row>
        <row r="145">
          <cell r="A145" t="str">
            <v>793F9AA#ABA</v>
          </cell>
          <cell r="B145">
            <v>2880</v>
          </cell>
        </row>
        <row r="146">
          <cell r="A146" t="str">
            <v>793F9AA#ABB</v>
          </cell>
          <cell r="B146">
            <v>0</v>
          </cell>
        </row>
        <row r="147">
          <cell r="A147" t="str">
            <v>793F9AA#UUF</v>
          </cell>
          <cell r="B147">
            <v>0</v>
          </cell>
        </row>
        <row r="148">
          <cell r="A148" t="str">
            <v>7KX10AA#ABB</v>
          </cell>
          <cell r="B148">
            <v>0</v>
          </cell>
        </row>
        <row r="149">
          <cell r="A149" t="str">
            <v>7KX11AA#ABB</v>
          </cell>
          <cell r="B149">
            <v>0</v>
          </cell>
        </row>
        <row r="150">
          <cell r="A150" t="str">
            <v>7KX12AA#ABB</v>
          </cell>
          <cell r="B150">
            <v>1380</v>
          </cell>
        </row>
        <row r="151">
          <cell r="A151" t="str">
            <v>7UH88AA#ABB</v>
          </cell>
          <cell r="B151">
            <v>0</v>
          </cell>
        </row>
        <row r="152">
          <cell r="A152" t="str">
            <v>805T1AA#ABA</v>
          </cell>
          <cell r="B152">
            <v>0</v>
          </cell>
        </row>
        <row r="153">
          <cell r="A153" t="str">
            <v>805T1AA#AC3</v>
          </cell>
          <cell r="B153">
            <v>0</v>
          </cell>
        </row>
        <row r="154">
          <cell r="A154" t="str">
            <v>805T1UT#AC3</v>
          </cell>
          <cell r="B154">
            <v>0</v>
          </cell>
        </row>
        <row r="155">
          <cell r="A155" t="str">
            <v>805T2AA#ABA</v>
          </cell>
          <cell r="B155">
            <v>0</v>
          </cell>
        </row>
        <row r="156">
          <cell r="A156" t="str">
            <v>805T2AA#ABM</v>
          </cell>
          <cell r="B156">
            <v>0</v>
          </cell>
        </row>
        <row r="157">
          <cell r="A157" t="str">
            <v>805T2AA#AC3</v>
          </cell>
          <cell r="B157">
            <v>2700</v>
          </cell>
        </row>
        <row r="158">
          <cell r="A158" t="str">
            <v>805T2AA#UUF</v>
          </cell>
          <cell r="B158">
            <v>0</v>
          </cell>
        </row>
        <row r="159">
          <cell r="A159" t="str">
            <v>81S67AA#ABB</v>
          </cell>
          <cell r="B159">
            <v>0</v>
          </cell>
        </row>
        <row r="160">
          <cell r="A160" t="str">
            <v>81S67AA#UUF</v>
          </cell>
          <cell r="B160">
            <v>0</v>
          </cell>
        </row>
        <row r="161">
          <cell r="A161" t="str">
            <v>81S67UT#UUF</v>
          </cell>
          <cell r="B161">
            <v>0</v>
          </cell>
        </row>
        <row r="162">
          <cell r="A162" t="str">
            <v>822M9AA#ABA</v>
          </cell>
          <cell r="B162">
            <v>0</v>
          </cell>
        </row>
        <row r="163">
          <cell r="A163" t="str">
            <v>822M9AA#UUF</v>
          </cell>
          <cell r="B163">
            <v>0</v>
          </cell>
        </row>
        <row r="164">
          <cell r="A164" t="str">
            <v>822M9UT#UUF</v>
          </cell>
          <cell r="B164">
            <v>2880</v>
          </cell>
        </row>
        <row r="165">
          <cell r="A165" t="str">
            <v>8R3U1AA#ABA</v>
          </cell>
          <cell r="B165">
            <v>0</v>
          </cell>
        </row>
        <row r="166">
          <cell r="A166" t="str">
            <v>8R3U1AA#ABB</v>
          </cell>
          <cell r="B166">
            <v>0</v>
          </cell>
        </row>
        <row r="167">
          <cell r="A167" t="str">
            <v>8R3U1AA#ACJ</v>
          </cell>
          <cell r="B167">
            <v>0</v>
          </cell>
        </row>
        <row r="168">
          <cell r="A168" t="str">
            <v>8R3U1AA#UUF</v>
          </cell>
          <cell r="B168">
            <v>0</v>
          </cell>
        </row>
        <row r="169">
          <cell r="A169" t="str">
            <v>9C2F6AA#ABA</v>
          </cell>
          <cell r="B169">
            <v>1440</v>
          </cell>
        </row>
        <row r="170">
          <cell r="A170" t="str">
            <v>9C2F6AA#ABB</v>
          </cell>
          <cell r="B170">
            <v>0</v>
          </cell>
        </row>
        <row r="171">
          <cell r="A171" t="str">
            <v>9C2F6AA#UUF</v>
          </cell>
          <cell r="B171">
            <v>1440</v>
          </cell>
        </row>
        <row r="172">
          <cell r="A172" t="str">
            <v>9C2F7AA#ABA</v>
          </cell>
          <cell r="B172">
            <v>1440</v>
          </cell>
        </row>
        <row r="173">
          <cell r="A173" t="str">
            <v>9C2F7AA#ABB</v>
          </cell>
          <cell r="B173">
            <v>14400</v>
          </cell>
        </row>
        <row r="174">
          <cell r="A174" t="str">
            <v>9C2F7AA#UUF</v>
          </cell>
          <cell r="B174">
            <v>1440</v>
          </cell>
        </row>
        <row r="175">
          <cell r="A175" t="str">
            <v>9DF28AA#ABL</v>
          </cell>
          <cell r="B175">
            <v>0</v>
          </cell>
        </row>
        <row r="176">
          <cell r="A176" t="str">
            <v>9DF28AA#AC3</v>
          </cell>
          <cell r="B176">
            <v>0</v>
          </cell>
        </row>
        <row r="177">
          <cell r="A177" t="str">
            <v>9DF28AA#UUF</v>
          </cell>
          <cell r="B177">
            <v>0</v>
          </cell>
        </row>
        <row r="178">
          <cell r="A178" t="str">
            <v>9T5A9AA#ABA</v>
          </cell>
          <cell r="B178">
            <v>0</v>
          </cell>
        </row>
        <row r="179">
          <cell r="A179" t="str">
            <v>9T5A9AA#ABJ</v>
          </cell>
          <cell r="B179">
            <v>0</v>
          </cell>
        </row>
        <row r="180">
          <cell r="A180" t="str">
            <v>9T5A9AA#AC3</v>
          </cell>
          <cell r="B180">
            <v>0</v>
          </cell>
        </row>
        <row r="181">
          <cell r="A181" t="str">
            <v>9T5A9AA#UUF</v>
          </cell>
          <cell r="B181">
            <v>0</v>
          </cell>
        </row>
        <row r="182">
          <cell r="A182" t="str">
            <v>9T5B0UT#ABA</v>
          </cell>
          <cell r="B182">
            <v>0</v>
          </cell>
        </row>
        <row r="183">
          <cell r="A183" t="str">
            <v>9T5B0UT#ABJ</v>
          </cell>
          <cell r="B183">
            <v>0</v>
          </cell>
        </row>
        <row r="184">
          <cell r="A184" t="str">
            <v>9T5B0UT#AC3</v>
          </cell>
          <cell r="B184">
            <v>0</v>
          </cell>
        </row>
        <row r="185">
          <cell r="A185" t="str">
            <v>9T5B0UT#UUF</v>
          </cell>
          <cell r="B185">
            <v>0</v>
          </cell>
        </row>
        <row r="186">
          <cell r="A186" t="str">
            <v>9T5B1AA#ABA</v>
          </cell>
          <cell r="B186">
            <v>0</v>
          </cell>
        </row>
        <row r="187">
          <cell r="A187" t="str">
            <v>9T5B1AA#ABJ</v>
          </cell>
          <cell r="B187">
            <v>0</v>
          </cell>
        </row>
        <row r="188">
          <cell r="A188" t="str">
            <v>9T5B1AA#ABM</v>
          </cell>
          <cell r="B188">
            <v>0</v>
          </cell>
        </row>
        <row r="189">
          <cell r="A189" t="str">
            <v>9T5B1AA#AC3</v>
          </cell>
          <cell r="B189">
            <v>0</v>
          </cell>
        </row>
        <row r="190">
          <cell r="A190" t="str">
            <v>9T5B1AA#UUF</v>
          </cell>
          <cell r="B190">
            <v>0</v>
          </cell>
        </row>
        <row r="191">
          <cell r="A191" t="str">
            <v>9T5B2AA#ABA</v>
          </cell>
          <cell r="B191">
            <v>0</v>
          </cell>
        </row>
        <row r="192">
          <cell r="A192" t="str">
            <v>9T5B2AA#ABJ</v>
          </cell>
          <cell r="B192">
            <v>0</v>
          </cell>
        </row>
        <row r="193">
          <cell r="A193" t="str">
            <v>9T5B2AA#ABM</v>
          </cell>
          <cell r="B193">
            <v>0</v>
          </cell>
        </row>
        <row r="194">
          <cell r="A194" t="str">
            <v>9T5B2AA#AC3</v>
          </cell>
          <cell r="B194">
            <v>0</v>
          </cell>
        </row>
        <row r="195">
          <cell r="A195" t="str">
            <v>9T5B2AA#UUF</v>
          </cell>
          <cell r="B195">
            <v>0</v>
          </cell>
        </row>
        <row r="196">
          <cell r="A196" t="str">
            <v>AJ7C2AA#ABB</v>
          </cell>
          <cell r="B196">
            <v>0</v>
          </cell>
        </row>
        <row r="197">
          <cell r="A197" t="str">
            <v>L13998-002</v>
          </cell>
          <cell r="B197">
            <v>0</v>
          </cell>
        </row>
        <row r="198">
          <cell r="A198" t="str">
            <v>L77930-001</v>
          </cell>
          <cell r="B198">
            <v>0</v>
          </cell>
        </row>
        <row r="199">
          <cell r="A199" t="str">
            <v>M03085-001</v>
          </cell>
          <cell r="B199">
            <v>0</v>
          </cell>
        </row>
        <row r="200">
          <cell r="A200" t="str">
            <v>M40043-161</v>
          </cell>
          <cell r="B200">
            <v>2520</v>
          </cell>
        </row>
        <row r="201">
          <cell r="A201" t="str">
            <v>M40045-161</v>
          </cell>
          <cell r="B201">
            <v>4320</v>
          </cell>
        </row>
        <row r="202">
          <cell r="A202" t="str">
            <v>M49894-001</v>
          </cell>
          <cell r="B202">
            <v>7200</v>
          </cell>
        </row>
        <row r="203">
          <cell r="A203" t="str">
            <v>M53402-001</v>
          </cell>
          <cell r="B203">
            <v>0</v>
          </cell>
        </row>
        <row r="204">
          <cell r="A204" t="str">
            <v>N20172-001</v>
          </cell>
          <cell r="B204">
            <v>0</v>
          </cell>
        </row>
        <row r="205">
          <cell r="A205" t="str">
            <v>N20172-371</v>
          </cell>
          <cell r="B205">
            <v>0</v>
          </cell>
        </row>
        <row r="206">
          <cell r="A206" t="str">
            <v>N20172-A21</v>
          </cell>
          <cell r="B206">
            <v>0</v>
          </cell>
        </row>
        <row r="207">
          <cell r="A207" t="str">
            <v>N37102-001</v>
          </cell>
          <cell r="B207">
            <v>20400</v>
          </cell>
        </row>
        <row r="208">
          <cell r="A208" t="str">
            <v>N37103-001</v>
          </cell>
          <cell r="B208">
            <v>0</v>
          </cell>
        </row>
        <row r="209">
          <cell r="A209" t="str">
            <v>N38404-001</v>
          </cell>
          <cell r="B209">
            <v>3000</v>
          </cell>
        </row>
        <row r="210">
          <cell r="A210" t="str">
            <v>N43864-001</v>
          </cell>
          <cell r="B210">
            <v>0</v>
          </cell>
        </row>
        <row r="211">
          <cell r="A211" t="str">
            <v>N43866-001</v>
          </cell>
          <cell r="B211">
            <v>0</v>
          </cell>
        </row>
        <row r="212">
          <cell r="A212" t="str">
            <v>N61958-001</v>
          </cell>
          <cell r="B212">
            <v>0</v>
          </cell>
        </row>
        <row r="213">
          <cell r="A213" t="str">
            <v>N61958-371</v>
          </cell>
          <cell r="B213">
            <v>0</v>
          </cell>
        </row>
        <row r="214">
          <cell r="A214" t="str">
            <v>N61958-A21</v>
          </cell>
          <cell r="B214">
            <v>0</v>
          </cell>
        </row>
        <row r="215">
          <cell r="A215" t="str">
            <v>N61962-001</v>
          </cell>
          <cell r="B215">
            <v>0</v>
          </cell>
        </row>
        <row r="216">
          <cell r="A216" t="str">
            <v>N61962-371</v>
          </cell>
          <cell r="B216">
            <v>2880</v>
          </cell>
        </row>
        <row r="217">
          <cell r="A217" t="str">
            <v>N61962-A21</v>
          </cell>
          <cell r="B217">
            <v>1440</v>
          </cell>
        </row>
        <row r="218">
          <cell r="A218" t="str">
            <v>N62007-001</v>
          </cell>
          <cell r="B218">
            <v>0</v>
          </cell>
        </row>
        <row r="219">
          <cell r="A219" t="str">
            <v>N62007-371</v>
          </cell>
          <cell r="B219">
            <v>0</v>
          </cell>
        </row>
        <row r="220">
          <cell r="A220" t="str">
            <v>N62007-A21</v>
          </cell>
          <cell r="B220">
            <v>0</v>
          </cell>
        </row>
        <row r="221">
          <cell r="A221" t="str">
            <v>N72845-001</v>
          </cell>
          <cell r="B221">
            <v>1020</v>
          </cell>
        </row>
        <row r="222">
          <cell r="A222" t="str">
            <v>N72845-371</v>
          </cell>
          <cell r="B222">
            <v>0</v>
          </cell>
        </row>
        <row r="223">
          <cell r="A223" t="str">
            <v>N72845-A21</v>
          </cell>
          <cell r="B223">
            <v>0</v>
          </cell>
        </row>
        <row r="224">
          <cell r="A224" t="str">
            <v>N87314-001</v>
          </cell>
          <cell r="B224">
            <v>0</v>
          </cell>
        </row>
        <row r="225">
          <cell r="A225" t="str">
            <v>N87316-001</v>
          </cell>
          <cell r="B225">
            <v>3000</v>
          </cell>
        </row>
        <row r="226">
          <cell r="A226" t="str">
            <v>N87318-001</v>
          </cell>
          <cell r="B226">
            <v>9000</v>
          </cell>
        </row>
        <row r="227">
          <cell r="A227" t="str">
            <v>V0L79AA#ABB</v>
          </cell>
          <cell r="B227">
            <v>0</v>
          </cell>
        </row>
        <row r="228">
          <cell r="A228" t="str">
            <v>V0L79AA#UUF</v>
          </cell>
          <cell r="B228">
            <v>1560</v>
          </cell>
        </row>
        <row r="229">
          <cell r="A229" t="str">
            <v>V0L80AA#ABB</v>
          </cell>
          <cell r="B229">
            <v>4320</v>
          </cell>
        </row>
        <row r="230">
          <cell r="A230" t="str">
            <v>V0L80AA#UUF</v>
          </cell>
          <cell r="B230">
            <v>0</v>
          </cell>
        </row>
        <row r="231">
          <cell r="A231" t="str">
            <v>V0L81AA#ABB</v>
          </cell>
          <cell r="B231">
            <v>0</v>
          </cell>
        </row>
        <row r="232">
          <cell r="A232" t="str">
            <v>V0L82AA#ABB</v>
          </cell>
          <cell r="B232">
            <v>0</v>
          </cell>
        </row>
        <row r="233">
          <cell r="A233" t="str">
            <v>X6W31AA#ABB</v>
          </cell>
          <cell r="B233">
            <v>4320</v>
          </cell>
        </row>
        <row r="234">
          <cell r="A234" t="str">
            <v>X6W31AA#ABL</v>
          </cell>
          <cell r="B234">
            <v>4320</v>
          </cell>
        </row>
        <row r="235">
          <cell r="A235" t="str">
            <v>X6W31AA#UUF</v>
          </cell>
          <cell r="B235">
            <v>2880</v>
          </cell>
        </row>
        <row r="236">
          <cell r="A236" t="str">
            <v>X7Q43AA#ABB</v>
          </cell>
          <cell r="B236">
            <v>4320</v>
          </cell>
        </row>
        <row r="237">
          <cell r="A237" t="str">
            <v>X7Q43AA#UUF</v>
          </cell>
          <cell r="B237">
            <v>1560</v>
          </cell>
        </row>
        <row r="238">
          <cell r="A238" t="str">
            <v>X7Q44AA#ABB</v>
          </cell>
          <cell r="B238">
            <v>4320</v>
          </cell>
        </row>
        <row r="239">
          <cell r="A239" t="str">
            <v>X7Q44AA#UUF</v>
          </cell>
          <cell r="B239">
            <v>1560</v>
          </cell>
        </row>
        <row r="240">
          <cell r="A240" t="str">
            <v>(空白)</v>
          </cell>
        </row>
        <row r="241">
          <cell r="A241" t="str">
            <v>總計</v>
          </cell>
          <cell r="B241">
            <v>497420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工作表1 (2)"/>
      <sheetName val="工作表1"/>
      <sheetName val="PO Input"/>
    </sheetNames>
    <sheetDataSet>
      <sheetData sheetId="0">
        <row r="1">
          <cell r="A1" t="str">
            <v>Category</v>
          </cell>
          <cell r="B1" t="str">
            <v>(多重項目)</v>
          </cell>
        </row>
        <row r="7">
          <cell r="A7" t="str">
            <v>Project</v>
          </cell>
          <cell r="B7" t="str">
            <v>Ship to</v>
          </cell>
        </row>
        <row r="8">
          <cell r="A8" t="str">
            <v>Brac</v>
          </cell>
          <cell r="B8" t="str">
            <v>Flextronics CZ</v>
          </cell>
        </row>
        <row r="10">
          <cell r="B10" t="str">
            <v>Foxconn Indy</v>
          </cell>
        </row>
        <row r="11">
          <cell r="B11" t="str">
            <v>Foxconn LH</v>
          </cell>
        </row>
        <row r="17">
          <cell r="B17" t="str">
            <v>QUANTA</v>
          </cell>
        </row>
        <row r="18">
          <cell r="A18" t="str">
            <v>Brac 合計</v>
          </cell>
        </row>
        <row r="19">
          <cell r="A19" t="str">
            <v>總計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3-2025~"/>
    </sheetNames>
    <sheetDataSet>
      <sheetData sheetId="0">
        <row r="1">
          <cell r="D1" t="str">
            <v>Region</v>
          </cell>
          <cell r="H1" t="str">
            <v>HP P/N</v>
          </cell>
          <cell r="M1" t="str">
            <v>Ship to</v>
          </cell>
        </row>
        <row r="2">
          <cell r="D2" t="str">
            <v>APJ</v>
          </cell>
          <cell r="H2" t="str">
            <v>240J7AA#ACJ</v>
          </cell>
          <cell r="M2" t="str">
            <v>HP India</v>
          </cell>
        </row>
        <row r="3">
          <cell r="D3" t="str">
            <v>APJ</v>
          </cell>
          <cell r="H3" t="str">
            <v>240J6AA#ACJ</v>
          </cell>
          <cell r="M3" t="str">
            <v>HP India</v>
          </cell>
        </row>
        <row r="4">
          <cell r="D4" t="str">
            <v>APJ</v>
          </cell>
          <cell r="H4" t="str">
            <v>664R5AA#ACJ</v>
          </cell>
          <cell r="M4" t="str">
            <v>HP India</v>
          </cell>
        </row>
        <row r="5">
          <cell r="D5" t="str">
            <v>APJ</v>
          </cell>
          <cell r="H5" t="str">
            <v>4E407AA#ACJ</v>
          </cell>
          <cell r="M5" t="str">
            <v>HP India</v>
          </cell>
        </row>
        <row r="6">
          <cell r="D6" t="str">
            <v>APJ</v>
          </cell>
          <cell r="H6" t="str">
            <v>240J7AA#ACJ</v>
          </cell>
          <cell r="M6" t="str">
            <v>HP India</v>
          </cell>
        </row>
        <row r="7">
          <cell r="D7" t="str">
            <v>APJ</v>
          </cell>
          <cell r="H7" t="str">
            <v>664R5AA#ACJ</v>
          </cell>
          <cell r="M7" t="str">
            <v>HP India</v>
          </cell>
        </row>
        <row r="8">
          <cell r="D8" t="str">
            <v>APJ</v>
          </cell>
          <cell r="H8" t="str">
            <v>240J7AA#ACJ</v>
          </cell>
          <cell r="M8" t="str">
            <v>HP India</v>
          </cell>
        </row>
        <row r="9">
          <cell r="D9" t="str">
            <v>APJ</v>
          </cell>
          <cell r="H9" t="str">
            <v>240J6AA#ACJ</v>
          </cell>
          <cell r="M9" t="str">
            <v>HP India</v>
          </cell>
        </row>
        <row r="10">
          <cell r="D10" t="str">
            <v>APJ</v>
          </cell>
          <cell r="H10" t="str">
            <v>2S9L1AA#ACJ</v>
          </cell>
          <cell r="M10" t="str">
            <v>HP India</v>
          </cell>
        </row>
        <row r="11">
          <cell r="D11" t="str">
            <v>APJ</v>
          </cell>
          <cell r="H11" t="str">
            <v>240J7AA#ACJ</v>
          </cell>
          <cell r="M11" t="str">
            <v>HP India</v>
          </cell>
        </row>
        <row r="12">
          <cell r="D12" t="str">
            <v>APJ</v>
          </cell>
          <cell r="H12" t="str">
            <v>2V9E6AA#ACJ</v>
          </cell>
          <cell r="M12" t="str">
            <v>HP India</v>
          </cell>
        </row>
        <row r="13">
          <cell r="D13" t="str">
            <v>APJ</v>
          </cell>
          <cell r="H13" t="str">
            <v>6VY96AA#ACJ</v>
          </cell>
          <cell r="M13" t="str">
            <v>HP India</v>
          </cell>
        </row>
        <row r="14">
          <cell r="D14" t="str">
            <v>APJ</v>
          </cell>
          <cell r="H14" t="str">
            <v>6VY95AA#ACJ</v>
          </cell>
          <cell r="M14" t="str">
            <v>HP India</v>
          </cell>
        </row>
        <row r="15">
          <cell r="D15" t="str">
            <v>APJ</v>
          </cell>
          <cell r="H15" t="str">
            <v>4QM14AA#ACJ</v>
          </cell>
          <cell r="M15" t="str">
            <v>HP India</v>
          </cell>
        </row>
        <row r="16">
          <cell r="D16" t="str">
            <v>APJ</v>
          </cell>
          <cell r="H16" t="str">
            <v>240J7AA#ACJ</v>
          </cell>
          <cell r="M16" t="str">
            <v>HP India</v>
          </cell>
        </row>
        <row r="17">
          <cell r="D17" t="str">
            <v>APJ</v>
          </cell>
          <cell r="H17" t="str">
            <v>H2C21AA#ACJ</v>
          </cell>
          <cell r="M17" t="str">
            <v>HP India</v>
          </cell>
        </row>
        <row r="18">
          <cell r="D18" t="str">
            <v>APJ</v>
          </cell>
          <cell r="H18" t="str">
            <v>664R5AA#ACJ</v>
          </cell>
          <cell r="M18" t="str">
            <v>HP India</v>
          </cell>
        </row>
        <row r="19">
          <cell r="D19" t="str">
            <v>APJ</v>
          </cell>
          <cell r="H19" t="str">
            <v>4QM14AA#ACJ</v>
          </cell>
          <cell r="M19" t="str">
            <v>HP India</v>
          </cell>
        </row>
        <row r="20">
          <cell r="D20" t="str">
            <v>APJ</v>
          </cell>
          <cell r="H20" t="str">
            <v>2S9L1AA#ACJ</v>
          </cell>
          <cell r="M20" t="str">
            <v>HP India</v>
          </cell>
        </row>
        <row r="21">
          <cell r="D21" t="str">
            <v>APJ</v>
          </cell>
          <cell r="H21" t="str">
            <v>2S9L1AA#ACJ</v>
          </cell>
          <cell r="M21" t="str">
            <v>HP India</v>
          </cell>
        </row>
        <row r="22">
          <cell r="D22" t="str">
            <v>APJ</v>
          </cell>
          <cell r="H22" t="str">
            <v>240J6AA#ACJ</v>
          </cell>
          <cell r="M22" t="str">
            <v>HP India</v>
          </cell>
        </row>
        <row r="23">
          <cell r="D23" t="str">
            <v>APJ</v>
          </cell>
          <cell r="H23" t="str">
            <v>240J7AA#ACJ</v>
          </cell>
          <cell r="M23" t="str">
            <v>HP India</v>
          </cell>
        </row>
        <row r="24">
          <cell r="D24" t="str">
            <v>APJ</v>
          </cell>
          <cell r="H24" t="str">
            <v>6VY95AA#ACJ</v>
          </cell>
          <cell r="M24" t="str">
            <v>HP India</v>
          </cell>
        </row>
        <row r="25">
          <cell r="D25" t="str">
            <v>APJ</v>
          </cell>
          <cell r="H25" t="str">
            <v>4QM14AA#ACJ</v>
          </cell>
          <cell r="M25" t="str">
            <v>HP India</v>
          </cell>
        </row>
        <row r="26">
          <cell r="D26" t="str">
            <v>APJ</v>
          </cell>
          <cell r="H26" t="str">
            <v>664R5AA#ACJ</v>
          </cell>
          <cell r="M26" t="str">
            <v>HP India</v>
          </cell>
        </row>
        <row r="27">
          <cell r="D27" t="str">
            <v>APJ</v>
          </cell>
          <cell r="H27" t="str">
            <v>H2C21AA#ACJ</v>
          </cell>
          <cell r="M27" t="str">
            <v>HP India</v>
          </cell>
        </row>
        <row r="28">
          <cell r="D28" t="str">
            <v>APJ</v>
          </cell>
          <cell r="H28" t="str">
            <v>2S9L1AA#ACJ</v>
          </cell>
          <cell r="M28" t="str">
            <v>HP India</v>
          </cell>
        </row>
        <row r="29">
          <cell r="D29" t="str">
            <v>APJ</v>
          </cell>
          <cell r="H29" t="str">
            <v>6VY96AA#ACJ</v>
          </cell>
          <cell r="M29" t="str">
            <v>HP India</v>
          </cell>
        </row>
        <row r="30">
          <cell r="D30" t="str">
            <v>APJ</v>
          </cell>
          <cell r="H30" t="str">
            <v>6VY95AA#ACJ</v>
          </cell>
          <cell r="M30" t="str">
            <v>HP India</v>
          </cell>
        </row>
        <row r="31">
          <cell r="D31" t="str">
            <v>APJ</v>
          </cell>
          <cell r="H31" t="str">
            <v>H2C21AA#ACJ</v>
          </cell>
          <cell r="M31" t="str">
            <v>HP India</v>
          </cell>
        </row>
        <row r="32">
          <cell r="D32" t="str">
            <v>APJ</v>
          </cell>
          <cell r="H32" t="str">
            <v>2V9E6AA#ACJ</v>
          </cell>
          <cell r="M32" t="str">
            <v>HP India</v>
          </cell>
        </row>
        <row r="33">
          <cell r="D33" t="str">
            <v>APJ</v>
          </cell>
          <cell r="H33" t="str">
            <v>240J7AA#ACJ</v>
          </cell>
          <cell r="M33" t="str">
            <v>HP India</v>
          </cell>
        </row>
        <row r="34">
          <cell r="D34" t="str">
            <v>APJ</v>
          </cell>
          <cell r="H34" t="str">
            <v>6VY96AA#ACJ</v>
          </cell>
          <cell r="M34" t="str">
            <v>HP India</v>
          </cell>
        </row>
        <row r="35">
          <cell r="D35" t="str">
            <v>APJ</v>
          </cell>
          <cell r="H35" t="str">
            <v>2S9L1AA#ACJ</v>
          </cell>
          <cell r="M35" t="str">
            <v>HP India</v>
          </cell>
        </row>
        <row r="36">
          <cell r="D36" t="str">
            <v>APJ</v>
          </cell>
          <cell r="H36" t="str">
            <v>664R5AA#ACJ</v>
          </cell>
          <cell r="M36" t="str">
            <v>HP India</v>
          </cell>
        </row>
        <row r="37">
          <cell r="D37" t="str">
            <v>APJ</v>
          </cell>
          <cell r="H37" t="str">
            <v>240J7AA#ACJ</v>
          </cell>
          <cell r="M37" t="str">
            <v>HP India</v>
          </cell>
        </row>
        <row r="38">
          <cell r="D38" t="str">
            <v>APJ</v>
          </cell>
          <cell r="H38" t="str">
            <v>6VY95AA#ACJ</v>
          </cell>
          <cell r="M38" t="str">
            <v>HP India</v>
          </cell>
        </row>
        <row r="39">
          <cell r="D39" t="str">
            <v>APJ</v>
          </cell>
          <cell r="H39" t="str">
            <v>4QM14AA#ACJ</v>
          </cell>
          <cell r="M39" t="str">
            <v>HP India</v>
          </cell>
        </row>
        <row r="40">
          <cell r="D40" t="str">
            <v>APJ</v>
          </cell>
          <cell r="H40" t="str">
            <v>240J6AA#ACJ</v>
          </cell>
          <cell r="M40" t="str">
            <v>HP India</v>
          </cell>
        </row>
        <row r="41">
          <cell r="D41" t="str">
            <v>APJ</v>
          </cell>
          <cell r="H41" t="str">
            <v>664R5AA#ACJ</v>
          </cell>
          <cell r="M41" t="str">
            <v>HP India</v>
          </cell>
        </row>
        <row r="42">
          <cell r="D42" t="str">
            <v>APJ</v>
          </cell>
          <cell r="H42" t="str">
            <v>240J7AA#ACJ</v>
          </cell>
          <cell r="M42" t="str">
            <v>HP India</v>
          </cell>
        </row>
        <row r="43">
          <cell r="D43" t="str">
            <v>APJ</v>
          </cell>
          <cell r="H43" t="str">
            <v>2S9L1AA#ACJ</v>
          </cell>
          <cell r="M43" t="str">
            <v>HP India</v>
          </cell>
        </row>
        <row r="44">
          <cell r="D44" t="str">
            <v>APJ</v>
          </cell>
          <cell r="H44" t="str">
            <v>240J7AA#ACJ</v>
          </cell>
          <cell r="M44" t="str">
            <v>HP India</v>
          </cell>
        </row>
        <row r="45">
          <cell r="D45" t="str">
            <v>APJ</v>
          </cell>
          <cell r="H45" t="str">
            <v>240J6AA#ACJ</v>
          </cell>
          <cell r="M45" t="str">
            <v>HP India</v>
          </cell>
        </row>
        <row r="46">
          <cell r="D46" t="str">
            <v>APJ</v>
          </cell>
          <cell r="H46" t="str">
            <v>6VY95AA#ACJ</v>
          </cell>
          <cell r="M46" t="str">
            <v>HP India</v>
          </cell>
        </row>
        <row r="47">
          <cell r="D47" t="str">
            <v>APJ</v>
          </cell>
          <cell r="H47" t="str">
            <v>6VY96AA#ACJ</v>
          </cell>
          <cell r="M47" t="str">
            <v>HP India</v>
          </cell>
        </row>
        <row r="48">
          <cell r="D48" t="str">
            <v>APJ</v>
          </cell>
          <cell r="H48" t="str">
            <v>2V9E6AA#ACJ</v>
          </cell>
          <cell r="M48" t="str">
            <v>HP India</v>
          </cell>
        </row>
        <row r="49">
          <cell r="D49" t="str">
            <v>APJ</v>
          </cell>
          <cell r="H49" t="str">
            <v>4QM14AA#ACJ</v>
          </cell>
          <cell r="M49" t="str">
            <v>HP India</v>
          </cell>
        </row>
        <row r="50">
          <cell r="D50" t="str">
            <v>APJ</v>
          </cell>
          <cell r="H50" t="str">
            <v>664R5AA#ACJ</v>
          </cell>
          <cell r="M50" t="str">
            <v>HP India</v>
          </cell>
        </row>
        <row r="51">
          <cell r="D51" t="str">
            <v>APJ</v>
          </cell>
          <cell r="H51" t="str">
            <v>428K7PT#ACJ</v>
          </cell>
          <cell r="M51" t="str">
            <v>HP India</v>
          </cell>
        </row>
        <row r="52">
          <cell r="D52" t="str">
            <v>APJ</v>
          </cell>
          <cell r="H52" t="str">
            <v>428K6PT#ACJ</v>
          </cell>
          <cell r="M52" t="str">
            <v>HP India</v>
          </cell>
        </row>
        <row r="53">
          <cell r="D53" t="str">
            <v>APJ</v>
          </cell>
          <cell r="H53" t="str">
            <v>6VY95AA#ACJ</v>
          </cell>
          <cell r="M53" t="str">
            <v>HP India</v>
          </cell>
        </row>
        <row r="54">
          <cell r="D54" t="str">
            <v>APJ</v>
          </cell>
          <cell r="H54" t="str">
            <v>4QM14AA#ACJ</v>
          </cell>
          <cell r="M54" t="str">
            <v>HP India</v>
          </cell>
        </row>
        <row r="55">
          <cell r="D55" t="str">
            <v>APJ</v>
          </cell>
          <cell r="H55" t="str">
            <v>5B8B7AA#ACJ</v>
          </cell>
          <cell r="M55" t="str">
            <v>HP India</v>
          </cell>
        </row>
        <row r="56">
          <cell r="D56" t="str">
            <v>APJ</v>
          </cell>
          <cell r="H56" t="str">
            <v>428K6PT#ACJ</v>
          </cell>
          <cell r="M56" t="str">
            <v>HP India</v>
          </cell>
        </row>
        <row r="57">
          <cell r="D57" t="str">
            <v>APJ</v>
          </cell>
          <cell r="H57" t="str">
            <v>2S9L1AA#ACJ</v>
          </cell>
          <cell r="M57" t="str">
            <v>HP India</v>
          </cell>
        </row>
        <row r="58">
          <cell r="D58" t="str">
            <v>APJ</v>
          </cell>
          <cell r="H58" t="str">
            <v>240J7AA#ACJ</v>
          </cell>
          <cell r="M58" t="str">
            <v>HP India</v>
          </cell>
        </row>
        <row r="59">
          <cell r="D59" t="str">
            <v>APJ</v>
          </cell>
          <cell r="H59" t="str">
            <v>664R5AA#ACJ</v>
          </cell>
          <cell r="M59" t="str">
            <v>HP India</v>
          </cell>
        </row>
        <row r="60">
          <cell r="D60" t="str">
            <v>APJ</v>
          </cell>
          <cell r="H60" t="str">
            <v>4E407AA#ACJ</v>
          </cell>
          <cell r="M60" t="str">
            <v>HP India</v>
          </cell>
        </row>
        <row r="61">
          <cell r="D61" t="str">
            <v>APJ</v>
          </cell>
          <cell r="H61" t="str">
            <v>4QM14AA#ACJ</v>
          </cell>
          <cell r="M61" t="str">
            <v>HP India</v>
          </cell>
        </row>
        <row r="62">
          <cell r="D62" t="str">
            <v>APJ</v>
          </cell>
          <cell r="H62" t="str">
            <v>6VY95AA#ACJ</v>
          </cell>
          <cell r="M62" t="str">
            <v>HP India</v>
          </cell>
        </row>
        <row r="63">
          <cell r="D63" t="str">
            <v>APJ</v>
          </cell>
          <cell r="H63" t="str">
            <v>2V9E6AA#ACJ</v>
          </cell>
          <cell r="M63" t="str">
            <v>HP India</v>
          </cell>
        </row>
        <row r="64">
          <cell r="D64" t="str">
            <v>APJ</v>
          </cell>
          <cell r="H64" t="str">
            <v>240J7AA#ACJ</v>
          </cell>
          <cell r="M64" t="str">
            <v>HP India</v>
          </cell>
        </row>
        <row r="65">
          <cell r="D65" t="str">
            <v>APJ</v>
          </cell>
          <cell r="H65" t="str">
            <v>240J6AA#ACJ</v>
          </cell>
          <cell r="M65" t="str">
            <v>HP India</v>
          </cell>
        </row>
        <row r="66">
          <cell r="D66" t="str">
            <v>APJ</v>
          </cell>
          <cell r="H66" t="str">
            <v>664R5AA#ACJ</v>
          </cell>
          <cell r="M66" t="str">
            <v>HP India</v>
          </cell>
        </row>
        <row r="67">
          <cell r="D67" t="str">
            <v>APJ</v>
          </cell>
          <cell r="H67" t="str">
            <v>H2C21AA#ACJ</v>
          </cell>
          <cell r="M67" t="str">
            <v>HP India</v>
          </cell>
        </row>
        <row r="68">
          <cell r="D68" t="str">
            <v>APJ</v>
          </cell>
          <cell r="H68" t="str">
            <v>H2C21AA#ACJ</v>
          </cell>
          <cell r="M68" t="str">
            <v>HP India</v>
          </cell>
        </row>
        <row r="69">
          <cell r="D69" t="str">
            <v>APJ</v>
          </cell>
          <cell r="H69" t="str">
            <v>H2C21AA#ACJ</v>
          </cell>
          <cell r="M69" t="str">
            <v>HP India</v>
          </cell>
        </row>
        <row r="70">
          <cell r="D70" t="str">
            <v>APJ</v>
          </cell>
          <cell r="H70" t="str">
            <v>H2C21AA#ACJ</v>
          </cell>
          <cell r="M70" t="str">
            <v>HP India</v>
          </cell>
        </row>
        <row r="71">
          <cell r="D71" t="str">
            <v>APJ</v>
          </cell>
          <cell r="H71" t="str">
            <v>H2C21AA#ACJ</v>
          </cell>
          <cell r="M71" t="str">
            <v>HP India</v>
          </cell>
        </row>
        <row r="72">
          <cell r="D72" t="str">
            <v>APJ</v>
          </cell>
          <cell r="H72" t="str">
            <v>428K6PT#ACJ</v>
          </cell>
          <cell r="M72" t="str">
            <v>HP India</v>
          </cell>
        </row>
        <row r="73">
          <cell r="D73" t="str">
            <v>APJ</v>
          </cell>
          <cell r="H73" t="str">
            <v>240J7AA#ACJ</v>
          </cell>
          <cell r="M73" t="str">
            <v>HP India</v>
          </cell>
        </row>
        <row r="74">
          <cell r="D74" t="str">
            <v>APJ</v>
          </cell>
          <cell r="H74" t="str">
            <v>664R5AA#ACJ</v>
          </cell>
          <cell r="M74" t="str">
            <v>HP India</v>
          </cell>
        </row>
        <row r="75">
          <cell r="D75" t="str">
            <v>APJ</v>
          </cell>
          <cell r="H75" t="str">
            <v>240J6AA#ACJ</v>
          </cell>
          <cell r="M75" t="str">
            <v>HP India</v>
          </cell>
        </row>
        <row r="76">
          <cell r="D76" t="str">
            <v>APJ</v>
          </cell>
          <cell r="H76" t="str">
            <v>2V9E6AA#ACJ</v>
          </cell>
          <cell r="M76" t="str">
            <v>HP India</v>
          </cell>
        </row>
        <row r="77">
          <cell r="D77" t="str">
            <v>APJ</v>
          </cell>
          <cell r="H77" t="str">
            <v>6VY95AA#ACJ</v>
          </cell>
          <cell r="M77" t="str">
            <v>HP India</v>
          </cell>
        </row>
        <row r="78">
          <cell r="D78" t="str">
            <v>APJ</v>
          </cell>
          <cell r="H78" t="str">
            <v>2S9L1AA#ACJ</v>
          </cell>
          <cell r="M78" t="str">
            <v>HP India</v>
          </cell>
        </row>
        <row r="79">
          <cell r="D79" t="str">
            <v>APJ</v>
          </cell>
          <cell r="H79" t="str">
            <v>664R5AA#ACJ</v>
          </cell>
          <cell r="M79" t="str">
            <v>HP India</v>
          </cell>
        </row>
        <row r="80">
          <cell r="D80" t="str">
            <v>APJ</v>
          </cell>
          <cell r="H80" t="str">
            <v>428K6PT#ACJ</v>
          </cell>
          <cell r="M80" t="str">
            <v>HP India</v>
          </cell>
        </row>
        <row r="81">
          <cell r="D81" t="str">
            <v>EMEA</v>
          </cell>
          <cell r="H81" t="str">
            <v>1Y4D0AA#AC3</v>
          </cell>
          <cell r="M81" t="str">
            <v>Flextronics CZ</v>
          </cell>
        </row>
        <row r="82">
          <cell r="D82" t="str">
            <v>EMEA</v>
          </cell>
          <cell r="H82" t="str">
            <v>3L1E7AA#AC3</v>
          </cell>
          <cell r="M82" t="str">
            <v>Flextronics CZ</v>
          </cell>
        </row>
        <row r="83">
          <cell r="D83" t="str">
            <v>EMEA</v>
          </cell>
          <cell r="H83" t="str">
            <v>3L1E7AA#AC3</v>
          </cell>
          <cell r="M83" t="str">
            <v>Flextronics CZ</v>
          </cell>
        </row>
        <row r="84">
          <cell r="D84" t="str">
            <v>EMEA</v>
          </cell>
          <cell r="H84" t="str">
            <v>1Y4D0AA#AC3</v>
          </cell>
          <cell r="M84" t="str">
            <v>Flextronics CZ</v>
          </cell>
        </row>
        <row r="85">
          <cell r="D85" t="str">
            <v>EMEA</v>
          </cell>
          <cell r="H85" t="str">
            <v>3L1E7AA#AC3</v>
          </cell>
          <cell r="M85" t="str">
            <v>Flextronics CZ</v>
          </cell>
        </row>
        <row r="86">
          <cell r="D86" t="str">
            <v>EMEA</v>
          </cell>
          <cell r="H86" t="str">
            <v>2V9E6AA#AC3</v>
          </cell>
          <cell r="M86" t="str">
            <v>Flextronics CZ</v>
          </cell>
        </row>
        <row r="87">
          <cell r="D87" t="str">
            <v>EMEA</v>
          </cell>
          <cell r="H87" t="str">
            <v>2V9E6AA#AC3</v>
          </cell>
          <cell r="M87" t="str">
            <v>Flextronics CZ</v>
          </cell>
        </row>
        <row r="88">
          <cell r="D88" t="str">
            <v>EMEA</v>
          </cell>
          <cell r="H88" t="str">
            <v>18H24AA#AC3</v>
          </cell>
          <cell r="M88" t="str">
            <v>Flextronics CZ</v>
          </cell>
        </row>
        <row r="89">
          <cell r="D89" t="str">
            <v>EMEA</v>
          </cell>
          <cell r="H89" t="str">
            <v>1Y4D0AA#AC3</v>
          </cell>
          <cell r="M89" t="str">
            <v>Flextronics CZ</v>
          </cell>
        </row>
        <row r="90">
          <cell r="D90" t="str">
            <v>EMEA</v>
          </cell>
          <cell r="H90" t="str">
            <v>1Y4D0AA#AC3</v>
          </cell>
          <cell r="M90" t="str">
            <v>Flextronics CZ</v>
          </cell>
        </row>
        <row r="91">
          <cell r="D91" t="str">
            <v>EMEA</v>
          </cell>
          <cell r="H91" t="str">
            <v>18H24AA#AC3</v>
          </cell>
          <cell r="M91" t="str">
            <v>Flextronics CZ</v>
          </cell>
        </row>
        <row r="92">
          <cell r="D92" t="str">
            <v>EMEA</v>
          </cell>
          <cell r="H92" t="str">
            <v>18H24AA#AC3</v>
          </cell>
          <cell r="M92" t="str">
            <v>Flextronics CZ</v>
          </cell>
        </row>
        <row r="93">
          <cell r="D93" t="str">
            <v>EMEA</v>
          </cell>
          <cell r="H93" t="str">
            <v>3L1E7AA#AC3</v>
          </cell>
          <cell r="M93" t="str">
            <v>Flextronics CZ</v>
          </cell>
        </row>
        <row r="94">
          <cell r="D94" t="str">
            <v>EMEA</v>
          </cell>
          <cell r="H94" t="str">
            <v>2V9E6AA#AC3</v>
          </cell>
          <cell r="M94" t="str">
            <v>Flextronics CZ</v>
          </cell>
        </row>
        <row r="95">
          <cell r="D95" t="str">
            <v>EMEA</v>
          </cell>
          <cell r="H95" t="str">
            <v>1Y4D0AA#AC3</v>
          </cell>
          <cell r="M95" t="str">
            <v>Flextronics CZ</v>
          </cell>
        </row>
        <row r="96">
          <cell r="D96" t="str">
            <v>EMEA</v>
          </cell>
          <cell r="H96" t="str">
            <v>2V9E6AA#AC3</v>
          </cell>
          <cell r="M96" t="str">
            <v>Flextronics CZ</v>
          </cell>
        </row>
        <row r="97">
          <cell r="D97" t="str">
            <v>EMEA</v>
          </cell>
          <cell r="H97" t="str">
            <v>18H24AA#AC3</v>
          </cell>
          <cell r="M97" t="str">
            <v>Flextronics CZ</v>
          </cell>
        </row>
        <row r="98">
          <cell r="D98" t="str">
            <v>EMEA</v>
          </cell>
          <cell r="H98" t="str">
            <v>1Y4D0AA#AC3</v>
          </cell>
          <cell r="M98" t="str">
            <v>Flextronics CZ</v>
          </cell>
        </row>
        <row r="99">
          <cell r="D99" t="str">
            <v>EMEA</v>
          </cell>
          <cell r="H99" t="str">
            <v>3L1E7AA#AC3</v>
          </cell>
          <cell r="M99" t="str">
            <v>Flextronics CZ</v>
          </cell>
        </row>
        <row r="100">
          <cell r="D100" t="str">
            <v>EMEA</v>
          </cell>
          <cell r="H100" t="str">
            <v>2V9E6AA#AC3</v>
          </cell>
          <cell r="M100" t="str">
            <v>Flextronics CZ</v>
          </cell>
        </row>
        <row r="101">
          <cell r="D101" t="str">
            <v>EMEA</v>
          </cell>
          <cell r="H101" t="str">
            <v>18H24AA#AC3</v>
          </cell>
          <cell r="M101" t="str">
            <v>Flextronics CZ</v>
          </cell>
        </row>
        <row r="102">
          <cell r="D102" t="str">
            <v>EMEA</v>
          </cell>
          <cell r="H102" t="str">
            <v>1Y4D0AA#AC3</v>
          </cell>
          <cell r="M102" t="str">
            <v>Flextronics CZ</v>
          </cell>
        </row>
        <row r="103">
          <cell r="D103" t="str">
            <v>EMEA</v>
          </cell>
          <cell r="H103" t="str">
            <v>18H24AA#AC3</v>
          </cell>
          <cell r="M103" t="str">
            <v>Flextronics CZ</v>
          </cell>
        </row>
        <row r="104">
          <cell r="D104" t="str">
            <v>EMEA</v>
          </cell>
          <cell r="H104" t="str">
            <v>1Y4D0AA#AC3</v>
          </cell>
          <cell r="M104" t="str">
            <v>Flextronics CZ</v>
          </cell>
        </row>
        <row r="105">
          <cell r="D105" t="str">
            <v>EMEA</v>
          </cell>
          <cell r="H105" t="str">
            <v>18H24AA#AC3</v>
          </cell>
          <cell r="M105" t="str">
            <v>Flextronics CZ</v>
          </cell>
        </row>
        <row r="106">
          <cell r="D106" t="str">
            <v>EMEA</v>
          </cell>
          <cell r="H106" t="str">
            <v>1Y4D0AA#AC3</v>
          </cell>
          <cell r="M106" t="str">
            <v>Flextronics CZ</v>
          </cell>
        </row>
        <row r="107">
          <cell r="D107" t="str">
            <v>EMEA</v>
          </cell>
          <cell r="H107" t="str">
            <v>18H24AA#AC3</v>
          </cell>
          <cell r="M107" t="str">
            <v>Flextronics CZ</v>
          </cell>
        </row>
        <row r="108">
          <cell r="D108" t="str">
            <v>EMEA</v>
          </cell>
          <cell r="H108" t="str">
            <v>1Y4D0AA#AC3</v>
          </cell>
          <cell r="M108" t="str">
            <v>Flextronics CZ</v>
          </cell>
        </row>
        <row r="109">
          <cell r="D109" t="str">
            <v>EMEA</v>
          </cell>
          <cell r="H109" t="str">
            <v>3ML04AA#AC3</v>
          </cell>
          <cell r="M109" t="str">
            <v>Flextronics CZ</v>
          </cell>
        </row>
        <row r="110">
          <cell r="D110" t="str">
            <v>EMEA</v>
          </cell>
          <cell r="H110" t="str">
            <v>18H24AA#AC3</v>
          </cell>
          <cell r="M110" t="str">
            <v>Flextronics CZ</v>
          </cell>
        </row>
        <row r="111">
          <cell r="D111" t="str">
            <v>EMEA</v>
          </cell>
          <cell r="H111" t="str">
            <v>1Y4D0AA#AC3</v>
          </cell>
          <cell r="M111" t="str">
            <v>Flextronics CZ</v>
          </cell>
        </row>
        <row r="112">
          <cell r="D112" t="str">
            <v>EMEA</v>
          </cell>
          <cell r="H112" t="str">
            <v>3ML04AA#AC3</v>
          </cell>
          <cell r="M112" t="str">
            <v>Flextronics CZ</v>
          </cell>
        </row>
        <row r="113">
          <cell r="D113" t="str">
            <v>EMEA</v>
          </cell>
          <cell r="H113" t="str">
            <v>18H24AA#AC3</v>
          </cell>
          <cell r="M113" t="str">
            <v>Flextronics CZ</v>
          </cell>
        </row>
        <row r="114">
          <cell r="D114" t="str">
            <v>EMEA</v>
          </cell>
          <cell r="H114" t="str">
            <v>1Y4D0AA#AC3</v>
          </cell>
          <cell r="M114" t="str">
            <v>Flextronics CZ</v>
          </cell>
        </row>
        <row r="115">
          <cell r="D115" t="str">
            <v>EMEA</v>
          </cell>
          <cell r="H115" t="str">
            <v>3ML04AA#AC3</v>
          </cell>
          <cell r="M115" t="str">
            <v>Flextronics CZ</v>
          </cell>
        </row>
        <row r="116">
          <cell r="D116" t="str">
            <v>EMEA</v>
          </cell>
          <cell r="H116" t="str">
            <v>3L1E7AA#AC3</v>
          </cell>
          <cell r="M116" t="str">
            <v>Flextronics CZ</v>
          </cell>
        </row>
        <row r="117">
          <cell r="D117" t="str">
            <v>EMEA</v>
          </cell>
          <cell r="H117" t="str">
            <v>3L1F0AA#AC3</v>
          </cell>
          <cell r="M117" t="str">
            <v>Flextronics CZ</v>
          </cell>
        </row>
        <row r="118">
          <cell r="D118" t="str">
            <v>EMEA</v>
          </cell>
          <cell r="H118" t="str">
            <v>1Y4D0AA#AC3</v>
          </cell>
          <cell r="M118" t="str">
            <v>Flextronics CZ</v>
          </cell>
        </row>
        <row r="119">
          <cell r="D119" t="str">
            <v>EMEA</v>
          </cell>
          <cell r="H119" t="str">
            <v>1Y4D0AA#AC3</v>
          </cell>
          <cell r="M119" t="str">
            <v>Flextronics CZ</v>
          </cell>
        </row>
        <row r="120">
          <cell r="D120" t="str">
            <v>EMEA</v>
          </cell>
          <cell r="H120" t="str">
            <v>3ML04AA#AC3</v>
          </cell>
          <cell r="M120" t="str">
            <v>Flextronics CZ</v>
          </cell>
        </row>
        <row r="121">
          <cell r="D121" t="str">
            <v>EMEA</v>
          </cell>
          <cell r="H121" t="str">
            <v>18H24AA#AC3</v>
          </cell>
          <cell r="M121" t="str">
            <v>Flextronics CZ</v>
          </cell>
        </row>
        <row r="122">
          <cell r="D122" t="str">
            <v>EMEA</v>
          </cell>
          <cell r="H122" t="str">
            <v>1Y4D0AA#AC3</v>
          </cell>
          <cell r="M122" t="str">
            <v>Flextronics CZ</v>
          </cell>
        </row>
        <row r="123">
          <cell r="D123" t="str">
            <v>EMEA</v>
          </cell>
          <cell r="H123" t="str">
            <v>18H24AA#AC3</v>
          </cell>
          <cell r="M123" t="str">
            <v>Flextronics CZ</v>
          </cell>
        </row>
        <row r="124">
          <cell r="D124" t="str">
            <v>EMEA</v>
          </cell>
          <cell r="H124" t="str">
            <v>1Y4D0AA#AC3</v>
          </cell>
          <cell r="M124" t="str">
            <v>Flextronics CZ</v>
          </cell>
        </row>
        <row r="125">
          <cell r="D125" t="str">
            <v>EMEA</v>
          </cell>
          <cell r="H125" t="str">
            <v>18H24AA#AC3</v>
          </cell>
          <cell r="M125" t="str">
            <v>Flextronics CZ</v>
          </cell>
        </row>
        <row r="126">
          <cell r="D126" t="str">
            <v>EMEA</v>
          </cell>
          <cell r="H126" t="str">
            <v>1Y4D0AA#AC3</v>
          </cell>
          <cell r="M126" t="str">
            <v>Flextronics CZ</v>
          </cell>
        </row>
        <row r="127">
          <cell r="D127" t="str">
            <v>EMEA</v>
          </cell>
          <cell r="H127" t="str">
            <v>3ML04AA#AC3</v>
          </cell>
          <cell r="M127" t="str">
            <v>Flextronics CZ</v>
          </cell>
        </row>
        <row r="128">
          <cell r="D128" t="str">
            <v>EMEA</v>
          </cell>
          <cell r="H128" t="str">
            <v>3L1E7AA#AC3</v>
          </cell>
          <cell r="M128" t="str">
            <v>Flextronics CZ</v>
          </cell>
        </row>
        <row r="129">
          <cell r="D129" t="str">
            <v>EMEA</v>
          </cell>
          <cell r="H129" t="str">
            <v>3L1F0AA#AC3</v>
          </cell>
          <cell r="M129" t="str">
            <v>Flextronics CZ</v>
          </cell>
        </row>
        <row r="130">
          <cell r="D130" t="str">
            <v>EMEA</v>
          </cell>
          <cell r="H130" t="str">
            <v>18H24AA#AC3</v>
          </cell>
          <cell r="M130" t="str">
            <v>Flextronics CZ</v>
          </cell>
        </row>
        <row r="131">
          <cell r="D131" t="str">
            <v>EMEA</v>
          </cell>
          <cell r="H131" t="str">
            <v>1Y4D0AA#AC3</v>
          </cell>
          <cell r="M131" t="str">
            <v>Flextronics CZ</v>
          </cell>
        </row>
        <row r="132">
          <cell r="D132" t="str">
            <v>EMEA</v>
          </cell>
          <cell r="H132" t="str">
            <v>18H24AA#AC3</v>
          </cell>
          <cell r="M132" t="str">
            <v>Flextronics CZ</v>
          </cell>
        </row>
        <row r="133">
          <cell r="D133" t="str">
            <v>EMEA</v>
          </cell>
          <cell r="H133" t="str">
            <v>1Y4D0AA#AC3</v>
          </cell>
          <cell r="M133" t="str">
            <v>Flextronics CZ</v>
          </cell>
        </row>
        <row r="134">
          <cell r="D134" t="str">
            <v>EMEA</v>
          </cell>
          <cell r="H134" t="str">
            <v>18H24AA#AC3</v>
          </cell>
          <cell r="M134" t="str">
            <v>Flextronics CZ</v>
          </cell>
        </row>
        <row r="135">
          <cell r="D135" t="str">
            <v>EMEA</v>
          </cell>
          <cell r="H135" t="str">
            <v>1Y4D0AA#AC3</v>
          </cell>
          <cell r="M135" t="str">
            <v>Flextronics CZ</v>
          </cell>
        </row>
        <row r="136">
          <cell r="D136" t="str">
            <v>EMEA</v>
          </cell>
          <cell r="H136" t="str">
            <v>3L1F0AA#AC3</v>
          </cell>
          <cell r="M136" t="str">
            <v>Flextronics CZ</v>
          </cell>
        </row>
        <row r="137">
          <cell r="D137" t="str">
            <v>EMEA</v>
          </cell>
          <cell r="H137" t="str">
            <v>1Y4D0AA#AC3</v>
          </cell>
          <cell r="M137" t="str">
            <v>Flextronics CZ</v>
          </cell>
        </row>
        <row r="138">
          <cell r="D138" t="str">
            <v>EMEA</v>
          </cell>
          <cell r="H138" t="str">
            <v>3ML04AA#AC3</v>
          </cell>
          <cell r="M138" t="str">
            <v>Flextronics CZ</v>
          </cell>
        </row>
        <row r="139">
          <cell r="D139" t="str">
            <v>EMEA</v>
          </cell>
          <cell r="H139" t="str">
            <v>18H24AA#AC3</v>
          </cell>
          <cell r="M139" t="str">
            <v>Flextronics CZ</v>
          </cell>
        </row>
        <row r="140">
          <cell r="D140" t="str">
            <v>EMEA</v>
          </cell>
          <cell r="H140" t="str">
            <v>1Y4D0AA#AC3</v>
          </cell>
          <cell r="M140" t="str">
            <v>Flextronics CZ</v>
          </cell>
        </row>
        <row r="141">
          <cell r="D141" t="str">
            <v>EMEA</v>
          </cell>
          <cell r="H141" t="str">
            <v>3L1F0AA#AC3</v>
          </cell>
          <cell r="M141" t="str">
            <v>Flextronics CZ</v>
          </cell>
        </row>
        <row r="142">
          <cell r="D142" t="str">
            <v>EMEA</v>
          </cell>
          <cell r="H142" t="str">
            <v>805T1AA#AC3</v>
          </cell>
          <cell r="M142" t="str">
            <v>Flextronics CZ</v>
          </cell>
        </row>
        <row r="143">
          <cell r="D143" t="str">
            <v>EMEA</v>
          </cell>
          <cell r="H143" t="str">
            <v>805T2AA#AC3</v>
          </cell>
          <cell r="M143" t="str">
            <v>Flextronics CZ</v>
          </cell>
        </row>
        <row r="144">
          <cell r="D144" t="str">
            <v>EMEA</v>
          </cell>
          <cell r="H144" t="str">
            <v>3L1E7AA#AC3</v>
          </cell>
          <cell r="M144" t="str">
            <v>Flextronics CZ</v>
          </cell>
        </row>
        <row r="145">
          <cell r="D145" t="str">
            <v>EMEA</v>
          </cell>
          <cell r="H145" t="str">
            <v>3L1F0AA#AC3</v>
          </cell>
          <cell r="M145" t="str">
            <v>Flextronics CZ</v>
          </cell>
        </row>
        <row r="146">
          <cell r="D146" t="str">
            <v>EMEA</v>
          </cell>
          <cell r="H146" t="str">
            <v>2V9E6AA#AC3</v>
          </cell>
          <cell r="M146" t="str">
            <v>Flextronics CZ</v>
          </cell>
        </row>
        <row r="147">
          <cell r="D147" t="str">
            <v>EMEA</v>
          </cell>
          <cell r="H147" t="str">
            <v>18H24AA#AC3</v>
          </cell>
          <cell r="M147" t="str">
            <v>Flextronics CZ</v>
          </cell>
        </row>
        <row r="148">
          <cell r="D148" t="str">
            <v>EMEA</v>
          </cell>
          <cell r="H148" t="str">
            <v>1Y4D0AA#AC3</v>
          </cell>
          <cell r="M148" t="str">
            <v>Flextronics CZ</v>
          </cell>
        </row>
        <row r="149">
          <cell r="D149" t="str">
            <v>EMEA</v>
          </cell>
          <cell r="H149" t="str">
            <v>18H24AA#AC3</v>
          </cell>
          <cell r="M149" t="str">
            <v>Flextronics CZ</v>
          </cell>
        </row>
        <row r="150">
          <cell r="D150" t="str">
            <v>EMEA</v>
          </cell>
          <cell r="H150" t="str">
            <v>1Y4D0AA#AC3</v>
          </cell>
          <cell r="M150" t="str">
            <v>Flextronics CZ</v>
          </cell>
        </row>
        <row r="151">
          <cell r="D151" t="str">
            <v>EMEA</v>
          </cell>
          <cell r="H151" t="str">
            <v>18H24AA#AC3</v>
          </cell>
          <cell r="M151" t="str">
            <v>Flextronics CZ</v>
          </cell>
        </row>
        <row r="152">
          <cell r="D152" t="str">
            <v>EMEA</v>
          </cell>
          <cell r="H152" t="str">
            <v>1Y4D0AA#AC3</v>
          </cell>
          <cell r="M152" t="str">
            <v>Flextronics CZ</v>
          </cell>
        </row>
        <row r="153">
          <cell r="D153" t="str">
            <v>EMEA</v>
          </cell>
          <cell r="H153" t="str">
            <v>3ML04AA#AC3</v>
          </cell>
          <cell r="M153" t="str">
            <v>Flextronics CZ</v>
          </cell>
        </row>
        <row r="154">
          <cell r="D154" t="str">
            <v>EMEA</v>
          </cell>
          <cell r="H154" t="str">
            <v>805T1AA#AC3</v>
          </cell>
          <cell r="M154" t="str">
            <v>Flextronics CZ</v>
          </cell>
        </row>
        <row r="155">
          <cell r="D155" t="str">
            <v>EMEA</v>
          </cell>
          <cell r="H155" t="str">
            <v>805T2AA#AC3</v>
          </cell>
          <cell r="M155" t="str">
            <v>Flextronics CZ</v>
          </cell>
        </row>
        <row r="156">
          <cell r="D156" t="str">
            <v>EMEA</v>
          </cell>
          <cell r="H156" t="str">
            <v>1Y4D0AA#AC3</v>
          </cell>
          <cell r="M156" t="str">
            <v>Flextronics CZ</v>
          </cell>
        </row>
        <row r="157">
          <cell r="D157" t="str">
            <v>EMEA</v>
          </cell>
          <cell r="H157" t="str">
            <v>805T1AA#AC3</v>
          </cell>
          <cell r="M157" t="str">
            <v>Flextronics CZ</v>
          </cell>
        </row>
        <row r="158">
          <cell r="D158" t="str">
            <v>EMEA</v>
          </cell>
          <cell r="H158" t="str">
            <v>805T2AA#AC3</v>
          </cell>
          <cell r="M158" t="str">
            <v>Flextronics CZ</v>
          </cell>
        </row>
        <row r="159">
          <cell r="D159" t="str">
            <v>EMEA</v>
          </cell>
          <cell r="H159" t="str">
            <v>18H24AA#AC3</v>
          </cell>
          <cell r="M159" t="str">
            <v>Flextronics CZ</v>
          </cell>
        </row>
        <row r="160">
          <cell r="D160" t="str">
            <v>EMEA</v>
          </cell>
          <cell r="H160" t="str">
            <v>1Y4D0AA#AC3</v>
          </cell>
          <cell r="M160" t="str">
            <v>Flextronics CZ</v>
          </cell>
        </row>
        <row r="161">
          <cell r="D161" t="str">
            <v>EMEA</v>
          </cell>
          <cell r="H161" t="str">
            <v>18H24AA#AC3</v>
          </cell>
          <cell r="M161" t="str">
            <v>Flextronics CZ</v>
          </cell>
        </row>
        <row r="162">
          <cell r="D162" t="str">
            <v>EMEA</v>
          </cell>
          <cell r="H162" t="str">
            <v>3L1E7AA#AC3</v>
          </cell>
          <cell r="M162" t="str">
            <v>Flextronics CZ</v>
          </cell>
        </row>
        <row r="163">
          <cell r="D163" t="str">
            <v>EMEA</v>
          </cell>
          <cell r="H163" t="str">
            <v>3ML04AA#AC3</v>
          </cell>
          <cell r="M163" t="str">
            <v>Flextronics CZ</v>
          </cell>
        </row>
        <row r="164">
          <cell r="D164" t="str">
            <v>EMEA</v>
          </cell>
          <cell r="H164" t="str">
            <v>1Y4D0AA#AC3</v>
          </cell>
          <cell r="M164" t="str">
            <v>Flextronics CZ</v>
          </cell>
        </row>
        <row r="165">
          <cell r="D165" t="str">
            <v>EMEA</v>
          </cell>
          <cell r="H165" t="str">
            <v>805T1AA#AC3</v>
          </cell>
          <cell r="M165" t="str">
            <v>Flextronics CZ</v>
          </cell>
        </row>
        <row r="166">
          <cell r="D166" t="str">
            <v>EMEA</v>
          </cell>
          <cell r="H166" t="str">
            <v>3ML04AA#AC3</v>
          </cell>
          <cell r="M166" t="str">
            <v>Flextronics CZ</v>
          </cell>
        </row>
        <row r="167">
          <cell r="D167" t="str">
            <v>EMEA</v>
          </cell>
          <cell r="H167" t="str">
            <v>18H24AA#AC3</v>
          </cell>
          <cell r="M167" t="str">
            <v>Flextronics CZ</v>
          </cell>
        </row>
        <row r="168">
          <cell r="D168" t="str">
            <v>EMEA</v>
          </cell>
          <cell r="H168" t="str">
            <v>1Y4D0AA#AC3</v>
          </cell>
          <cell r="M168" t="str">
            <v>Flextronics CZ</v>
          </cell>
        </row>
        <row r="169">
          <cell r="D169" t="str">
            <v>EMEA</v>
          </cell>
          <cell r="H169" t="str">
            <v>3L1E7AA#AC3</v>
          </cell>
          <cell r="M169" t="str">
            <v>Flextronics CZ</v>
          </cell>
        </row>
        <row r="170">
          <cell r="D170" t="str">
            <v>EMEA</v>
          </cell>
          <cell r="H170" t="str">
            <v>3L1F0AA#AC3</v>
          </cell>
          <cell r="M170" t="str">
            <v>Flextronics CZ</v>
          </cell>
        </row>
        <row r="171">
          <cell r="D171" t="str">
            <v>EMEA</v>
          </cell>
          <cell r="H171" t="str">
            <v>240J7AA#AC3</v>
          </cell>
          <cell r="M171" t="str">
            <v>Flextronics CZ</v>
          </cell>
        </row>
        <row r="172">
          <cell r="D172" t="str">
            <v>EMEA</v>
          </cell>
          <cell r="H172" t="str">
            <v>2V9E6AA#AC3</v>
          </cell>
          <cell r="M172" t="str">
            <v>Flextronics CZ</v>
          </cell>
        </row>
        <row r="173">
          <cell r="D173" t="str">
            <v>EMEA</v>
          </cell>
          <cell r="H173" t="str">
            <v>18H24AA#AC3</v>
          </cell>
          <cell r="M173" t="str">
            <v>Flextronics CZ</v>
          </cell>
        </row>
        <row r="174">
          <cell r="D174" t="str">
            <v>EMEA</v>
          </cell>
          <cell r="H174" t="str">
            <v>805T1AA#AC3</v>
          </cell>
          <cell r="M174" t="str">
            <v>Flextronics CZ</v>
          </cell>
        </row>
        <row r="175">
          <cell r="D175" t="str">
            <v>EMEA</v>
          </cell>
          <cell r="H175" t="str">
            <v>805T2AA#AC3</v>
          </cell>
          <cell r="M175" t="str">
            <v>Flextronics CZ</v>
          </cell>
        </row>
        <row r="176">
          <cell r="D176" t="str">
            <v>EMEA</v>
          </cell>
          <cell r="H176" t="str">
            <v>18H24AA#AC3</v>
          </cell>
          <cell r="M176" t="str">
            <v>Flextronics CZ</v>
          </cell>
        </row>
        <row r="177">
          <cell r="D177" t="str">
            <v>EMEA</v>
          </cell>
          <cell r="H177" t="str">
            <v>1Y4D0AA#AC3</v>
          </cell>
          <cell r="M177" t="str">
            <v>Flextronics CZ</v>
          </cell>
        </row>
        <row r="178">
          <cell r="D178" t="str">
            <v>EMEA</v>
          </cell>
          <cell r="H178" t="str">
            <v>1Y4D0AA#AC3</v>
          </cell>
          <cell r="M178" t="str">
            <v>Flextronics CZ</v>
          </cell>
        </row>
        <row r="179">
          <cell r="D179" t="str">
            <v>EMEA</v>
          </cell>
          <cell r="H179" t="str">
            <v>1Y4D0AA#AC3</v>
          </cell>
          <cell r="M179" t="str">
            <v>Flextronics CZ</v>
          </cell>
        </row>
        <row r="180">
          <cell r="D180" t="str">
            <v>EMEA</v>
          </cell>
          <cell r="H180" t="str">
            <v>3ML04AA#AC3</v>
          </cell>
          <cell r="M180" t="str">
            <v>Flextronics CZ</v>
          </cell>
        </row>
        <row r="181">
          <cell r="D181" t="str">
            <v>EMEA</v>
          </cell>
          <cell r="H181" t="str">
            <v>240J7AA#AC3</v>
          </cell>
          <cell r="M181" t="str">
            <v>Flextronics CZ</v>
          </cell>
        </row>
        <row r="182">
          <cell r="D182" t="str">
            <v>EMEA</v>
          </cell>
          <cell r="H182" t="str">
            <v>18H24AA#AC3</v>
          </cell>
          <cell r="M182" t="str">
            <v>Flextronics CZ</v>
          </cell>
        </row>
        <row r="183">
          <cell r="D183" t="str">
            <v>EMEA</v>
          </cell>
          <cell r="H183" t="str">
            <v>3L1E7AA#AC3</v>
          </cell>
          <cell r="M183" t="str">
            <v>Flextronics CZ</v>
          </cell>
        </row>
        <row r="184">
          <cell r="D184" t="str">
            <v>EMEA</v>
          </cell>
          <cell r="H184" t="str">
            <v>240J7AA#AC3</v>
          </cell>
          <cell r="M184" t="str">
            <v>Flextronics CZ</v>
          </cell>
        </row>
        <row r="185">
          <cell r="D185" t="str">
            <v>EMEA</v>
          </cell>
          <cell r="H185" t="str">
            <v>18H24AA#AC3</v>
          </cell>
          <cell r="M185" t="str">
            <v>Flextronics CZ</v>
          </cell>
        </row>
        <row r="186">
          <cell r="D186" t="str">
            <v>EMEA</v>
          </cell>
          <cell r="H186" t="str">
            <v>1Y4D0AA#AC3</v>
          </cell>
          <cell r="M186" t="str">
            <v>Flextronics CZ</v>
          </cell>
        </row>
        <row r="187">
          <cell r="D187" t="str">
            <v>EMEA</v>
          </cell>
          <cell r="H187" t="str">
            <v>3L1E7AA#AC3</v>
          </cell>
          <cell r="M187" t="str">
            <v>Flextronics CZ</v>
          </cell>
        </row>
        <row r="188">
          <cell r="D188" t="str">
            <v>EMEA</v>
          </cell>
          <cell r="H188" t="str">
            <v>3L1F0AA#AC3</v>
          </cell>
          <cell r="M188" t="str">
            <v>Flextronics CZ</v>
          </cell>
        </row>
        <row r="189">
          <cell r="D189" t="str">
            <v>EMEA</v>
          </cell>
          <cell r="H189" t="str">
            <v>1Y4D0AA#AC3</v>
          </cell>
          <cell r="M189" t="str">
            <v>Flextronics CZ</v>
          </cell>
        </row>
        <row r="190">
          <cell r="D190" t="str">
            <v>EMEA</v>
          </cell>
          <cell r="H190" t="str">
            <v>1Y4D0AA#AC3</v>
          </cell>
          <cell r="M190" t="str">
            <v>Flextronics CZ</v>
          </cell>
        </row>
        <row r="191">
          <cell r="D191" t="str">
            <v>EMEA</v>
          </cell>
          <cell r="H191" t="str">
            <v>18H24AA#AC3</v>
          </cell>
          <cell r="M191" t="str">
            <v>Flextronics CZ</v>
          </cell>
        </row>
        <row r="192">
          <cell r="D192" t="str">
            <v>EMEA</v>
          </cell>
          <cell r="H192" t="str">
            <v>1Y4D0AA#AC3</v>
          </cell>
          <cell r="M192" t="str">
            <v>Flextronics CZ</v>
          </cell>
        </row>
        <row r="193">
          <cell r="D193" t="str">
            <v>EMEA</v>
          </cell>
          <cell r="H193" t="str">
            <v>3L1E7AA#AC3</v>
          </cell>
          <cell r="M193" t="str">
            <v>Flextronics CZ</v>
          </cell>
        </row>
        <row r="194">
          <cell r="D194" t="str">
            <v>EMEA</v>
          </cell>
          <cell r="H194" t="str">
            <v>2V9E6AA#AC3</v>
          </cell>
          <cell r="M194" t="str">
            <v>Flextronics CZ</v>
          </cell>
        </row>
        <row r="195">
          <cell r="D195" t="str">
            <v>EMEA</v>
          </cell>
          <cell r="H195" t="str">
            <v>18H24AA#AC3</v>
          </cell>
          <cell r="M195" t="str">
            <v>Flextronics CZ</v>
          </cell>
        </row>
        <row r="196">
          <cell r="D196" t="str">
            <v>EMEA</v>
          </cell>
          <cell r="H196" t="str">
            <v>18H24AA#AC3</v>
          </cell>
          <cell r="M196" t="str">
            <v>Flextronics CZ</v>
          </cell>
        </row>
        <row r="197">
          <cell r="D197" t="str">
            <v>EMEA</v>
          </cell>
          <cell r="H197" t="str">
            <v>1Y4D0AA#AC3</v>
          </cell>
          <cell r="M197" t="str">
            <v>Flextronics CZ</v>
          </cell>
        </row>
        <row r="198">
          <cell r="D198" t="str">
            <v>EMEA</v>
          </cell>
          <cell r="H198" t="str">
            <v>1Y4D0AA#AC3</v>
          </cell>
          <cell r="M198" t="str">
            <v>Flextronics CZ</v>
          </cell>
        </row>
        <row r="199">
          <cell r="D199" t="str">
            <v>EMEA</v>
          </cell>
          <cell r="H199" t="str">
            <v>3L1E7AA#AC3</v>
          </cell>
          <cell r="M199" t="str">
            <v>Flextronics CZ</v>
          </cell>
        </row>
        <row r="200">
          <cell r="D200" t="str">
            <v>EMEA</v>
          </cell>
          <cell r="H200" t="str">
            <v>3L1F0AA#AC3</v>
          </cell>
          <cell r="M200" t="str">
            <v>Flextronics CZ</v>
          </cell>
        </row>
        <row r="201">
          <cell r="D201" t="str">
            <v>EMEA</v>
          </cell>
          <cell r="H201" t="str">
            <v>240J7AA#AC3</v>
          </cell>
          <cell r="M201" t="str">
            <v>Flextronics CZ</v>
          </cell>
        </row>
        <row r="202">
          <cell r="D202" t="str">
            <v>EMEA</v>
          </cell>
          <cell r="H202" t="str">
            <v>2V9E6AA#AC3</v>
          </cell>
          <cell r="M202" t="str">
            <v>Flextronics CZ</v>
          </cell>
        </row>
        <row r="203">
          <cell r="D203" t="str">
            <v>EMEA</v>
          </cell>
          <cell r="H203" t="str">
            <v>18H24AA#AC3</v>
          </cell>
          <cell r="M203" t="str">
            <v>Flextronics CZ</v>
          </cell>
        </row>
        <row r="204">
          <cell r="D204" t="str">
            <v>EMEA</v>
          </cell>
          <cell r="H204" t="str">
            <v>1Y4D0AA#AC3</v>
          </cell>
          <cell r="M204" t="str">
            <v>Flextronics CZ</v>
          </cell>
        </row>
        <row r="205">
          <cell r="D205" t="str">
            <v>EMEA</v>
          </cell>
          <cell r="H205" t="str">
            <v>9DF28AA#AC3</v>
          </cell>
          <cell r="M205" t="str">
            <v>Flextronics CZ</v>
          </cell>
        </row>
        <row r="206">
          <cell r="D206" t="str">
            <v>EMEA</v>
          </cell>
          <cell r="H206" t="str">
            <v>3L1E7AA#AC3</v>
          </cell>
          <cell r="M206" t="str">
            <v>Flextronics CZ</v>
          </cell>
        </row>
        <row r="207">
          <cell r="D207" t="str">
            <v>EMEA</v>
          </cell>
          <cell r="H207" t="str">
            <v>18H24AA#AC3</v>
          </cell>
          <cell r="M207" t="str">
            <v>Flextronics CZ</v>
          </cell>
        </row>
        <row r="208">
          <cell r="D208" t="str">
            <v>EMEA</v>
          </cell>
          <cell r="H208" t="str">
            <v>18H24AA#AC3</v>
          </cell>
          <cell r="M208" t="str">
            <v>Flextronics CZ</v>
          </cell>
        </row>
        <row r="209">
          <cell r="D209" t="str">
            <v>EMEA</v>
          </cell>
          <cell r="H209" t="str">
            <v>1Y4D0AA#AC3</v>
          </cell>
          <cell r="M209" t="str">
            <v>Flextronics CZ</v>
          </cell>
        </row>
        <row r="210">
          <cell r="D210" t="str">
            <v>EMEA</v>
          </cell>
          <cell r="H210" t="str">
            <v>9DF28AA#AC3</v>
          </cell>
          <cell r="M210" t="str">
            <v>Flextronics CZ</v>
          </cell>
        </row>
        <row r="211">
          <cell r="D211" t="str">
            <v>EMEA</v>
          </cell>
          <cell r="H211" t="str">
            <v>18H24AA#AC3</v>
          </cell>
          <cell r="M211" t="str">
            <v>Flextronics CZ</v>
          </cell>
        </row>
        <row r="212">
          <cell r="D212" t="str">
            <v>EMEA</v>
          </cell>
          <cell r="H212" t="str">
            <v>3L1E7AA#AC3</v>
          </cell>
          <cell r="M212" t="str">
            <v>Flextronics CZ</v>
          </cell>
        </row>
        <row r="213">
          <cell r="D213" t="str">
            <v>EMEA</v>
          </cell>
          <cell r="H213" t="str">
            <v>3L1F0AA#AC3</v>
          </cell>
          <cell r="M213" t="str">
            <v>Flextronics CZ</v>
          </cell>
        </row>
        <row r="214">
          <cell r="D214" t="str">
            <v>EMEA</v>
          </cell>
          <cell r="H214" t="str">
            <v>1Y4D0AA#AC3</v>
          </cell>
          <cell r="M214" t="str">
            <v>Flextronics CZ</v>
          </cell>
        </row>
        <row r="215">
          <cell r="D215" t="str">
            <v>EMEA</v>
          </cell>
          <cell r="H215" t="str">
            <v>18H24AA#AC3</v>
          </cell>
          <cell r="M215" t="str">
            <v>Flextronics CZ</v>
          </cell>
        </row>
        <row r="216">
          <cell r="D216" t="str">
            <v>EMEA</v>
          </cell>
          <cell r="H216" t="str">
            <v>1Y4D0AA#AC3</v>
          </cell>
          <cell r="M216" t="str">
            <v>Flextronics CZ</v>
          </cell>
        </row>
        <row r="217">
          <cell r="D217" t="str">
            <v>EMEA</v>
          </cell>
          <cell r="H217" t="str">
            <v>1Y4D0AA#AC3</v>
          </cell>
          <cell r="M217" t="str">
            <v>Flextronics CZ</v>
          </cell>
        </row>
        <row r="218">
          <cell r="D218" t="str">
            <v>EMEA</v>
          </cell>
          <cell r="H218" t="str">
            <v>240J7AA#AC3</v>
          </cell>
          <cell r="M218" t="str">
            <v>Flextronics CZ</v>
          </cell>
        </row>
        <row r="219">
          <cell r="D219" t="str">
            <v>EMEA</v>
          </cell>
          <cell r="H219" t="str">
            <v>2V9E6AA#AC3</v>
          </cell>
          <cell r="M219" t="str">
            <v>Flextronics CZ</v>
          </cell>
        </row>
        <row r="220">
          <cell r="D220" t="str">
            <v>EMEA</v>
          </cell>
          <cell r="H220" t="str">
            <v>3L1E7AA#AC3</v>
          </cell>
          <cell r="M220" t="str">
            <v>Flextronics CZ</v>
          </cell>
        </row>
        <row r="221">
          <cell r="D221" t="str">
            <v>EMEA</v>
          </cell>
          <cell r="H221" t="str">
            <v>3L1F0AA#AC3</v>
          </cell>
          <cell r="M221" t="str">
            <v>Flextronics CZ</v>
          </cell>
        </row>
        <row r="222">
          <cell r="D222" t="str">
            <v>EMEA</v>
          </cell>
          <cell r="H222" t="str">
            <v>1Y4D0AA#AC3</v>
          </cell>
          <cell r="M222" t="str">
            <v>Flextronics CZ</v>
          </cell>
        </row>
        <row r="223">
          <cell r="D223" t="str">
            <v>EMEA</v>
          </cell>
          <cell r="H223" t="str">
            <v>18H24AA#AC3</v>
          </cell>
          <cell r="M223" t="str">
            <v>Flextronics CZ</v>
          </cell>
        </row>
        <row r="224">
          <cell r="D224" t="str">
            <v>EMEA</v>
          </cell>
          <cell r="H224" t="str">
            <v>1Y4D0AA#AC3</v>
          </cell>
          <cell r="M224" t="str">
            <v>Flextronics CZ</v>
          </cell>
        </row>
        <row r="225">
          <cell r="D225" t="str">
            <v>EMEA</v>
          </cell>
          <cell r="H225" t="str">
            <v>1Y4D0AA#AC3</v>
          </cell>
          <cell r="M225" t="str">
            <v>Flextronics CZ</v>
          </cell>
        </row>
        <row r="226">
          <cell r="D226" t="str">
            <v>EMEA</v>
          </cell>
          <cell r="H226" t="str">
            <v>2V9E6AA#AC3</v>
          </cell>
          <cell r="M226" t="str">
            <v>Flextronics CZ</v>
          </cell>
        </row>
        <row r="227">
          <cell r="D227" t="str">
            <v>EMEA</v>
          </cell>
          <cell r="H227" t="str">
            <v>9DF28AA#AC3</v>
          </cell>
          <cell r="M227" t="str">
            <v>Flextronics CZ</v>
          </cell>
        </row>
        <row r="228">
          <cell r="D228" t="str">
            <v>EMEA</v>
          </cell>
          <cell r="H228" t="str">
            <v>3L1E7AA#AC3</v>
          </cell>
          <cell r="M228" t="str">
            <v>Flextronics CZ</v>
          </cell>
        </row>
        <row r="229">
          <cell r="D229" t="str">
            <v>EMEA</v>
          </cell>
          <cell r="H229" t="str">
            <v>3L1F0AA#AC3</v>
          </cell>
          <cell r="M229" t="str">
            <v>Flextronics CZ</v>
          </cell>
        </row>
        <row r="230">
          <cell r="D230" t="str">
            <v>EMEA</v>
          </cell>
          <cell r="H230" t="str">
            <v>240J7AA#AC3</v>
          </cell>
          <cell r="M230" t="str">
            <v>Flextronics CZ</v>
          </cell>
        </row>
        <row r="231">
          <cell r="D231" t="str">
            <v>EMEA</v>
          </cell>
          <cell r="H231" t="str">
            <v>18H24AA#AC3</v>
          </cell>
          <cell r="M231" t="str">
            <v>Flextronics CZ</v>
          </cell>
        </row>
        <row r="232">
          <cell r="D232" t="str">
            <v>EMEA</v>
          </cell>
          <cell r="H232" t="str">
            <v>1Y4D0AA#AC3</v>
          </cell>
          <cell r="M232" t="str">
            <v>Flextronics CZ</v>
          </cell>
        </row>
        <row r="233">
          <cell r="D233" t="str">
            <v>EMEA</v>
          </cell>
          <cell r="H233" t="str">
            <v>9DF28AA#AC3</v>
          </cell>
          <cell r="M233" t="str">
            <v>Flextronics CZ</v>
          </cell>
        </row>
        <row r="234">
          <cell r="D234" t="str">
            <v>EMEA</v>
          </cell>
          <cell r="H234" t="str">
            <v>240J7AA#AC3</v>
          </cell>
          <cell r="M234" t="str">
            <v>Flextronics CZ</v>
          </cell>
        </row>
        <row r="235">
          <cell r="D235" t="str">
            <v>EMEA</v>
          </cell>
          <cell r="H235" t="str">
            <v>18H24AA#AC3</v>
          </cell>
          <cell r="M235" t="str">
            <v>Flextronics CZ</v>
          </cell>
        </row>
        <row r="236">
          <cell r="D236" t="str">
            <v>EMEA</v>
          </cell>
          <cell r="H236" t="str">
            <v>18H24AA#AC3</v>
          </cell>
          <cell r="M236" t="str">
            <v>Flextronics CZ</v>
          </cell>
        </row>
        <row r="237">
          <cell r="D237" t="str">
            <v>EMEA</v>
          </cell>
          <cell r="H237" t="str">
            <v>1Y4D0AA#AC3</v>
          </cell>
          <cell r="M237" t="str">
            <v>Flextronics CZ</v>
          </cell>
        </row>
        <row r="238">
          <cell r="D238" t="str">
            <v>EMEA</v>
          </cell>
          <cell r="H238" t="str">
            <v>240J7AA#AC3</v>
          </cell>
          <cell r="M238" t="str">
            <v>Flextronics CZ</v>
          </cell>
        </row>
        <row r="239">
          <cell r="D239" t="str">
            <v>EMEA</v>
          </cell>
          <cell r="H239" t="str">
            <v>1Y4D0AA#AC3</v>
          </cell>
          <cell r="M239" t="str">
            <v>Flextronics CZ</v>
          </cell>
        </row>
        <row r="240">
          <cell r="D240" t="str">
            <v>DIB</v>
          </cell>
          <cell r="H240" t="str">
            <v>6E+P8C01.001</v>
          </cell>
          <cell r="M240" t="str">
            <v>Darfon</v>
          </cell>
        </row>
        <row r="241">
          <cell r="D241" t="str">
            <v>DIB</v>
          </cell>
          <cell r="H241" t="str">
            <v>6E+P8C01.001</v>
          </cell>
          <cell r="M241" t="str">
            <v>Darfon</v>
          </cell>
        </row>
        <row r="242">
          <cell r="D242" t="str">
            <v>DIB</v>
          </cell>
          <cell r="H242" t="str">
            <v>6E+P8C01.001</v>
          </cell>
          <cell r="M242" t="str">
            <v>Darfon</v>
          </cell>
        </row>
        <row r="243">
          <cell r="D243" t="str">
            <v>DIB</v>
          </cell>
          <cell r="H243" t="str">
            <v>6E+P8C01.001</v>
          </cell>
          <cell r="M243" t="str">
            <v>Darfon</v>
          </cell>
        </row>
        <row r="244">
          <cell r="D244" t="str">
            <v>DIB</v>
          </cell>
          <cell r="H244" t="str">
            <v>6E+P8C01.001</v>
          </cell>
          <cell r="M244" t="str">
            <v>Darfon</v>
          </cell>
        </row>
        <row r="245">
          <cell r="D245" t="str">
            <v>DIB</v>
          </cell>
          <cell r="H245" t="str">
            <v>6E+P8C01.001</v>
          </cell>
          <cell r="M245" t="str">
            <v>Darfon</v>
          </cell>
        </row>
        <row r="246">
          <cell r="D246" t="str">
            <v>DIB</v>
          </cell>
          <cell r="H246" t="str">
            <v>6E+P8C01.001</v>
          </cell>
          <cell r="M246" t="str">
            <v>Darfon</v>
          </cell>
        </row>
        <row r="247">
          <cell r="D247" t="str">
            <v>DIB</v>
          </cell>
          <cell r="H247" t="str">
            <v>6E+P8C01.001</v>
          </cell>
          <cell r="M247" t="str">
            <v>Darfon</v>
          </cell>
        </row>
        <row r="248">
          <cell r="D248" t="str">
            <v>DIB</v>
          </cell>
          <cell r="H248" t="str">
            <v>6E+P8C01.001</v>
          </cell>
          <cell r="M248" t="str">
            <v>Darfon</v>
          </cell>
        </row>
        <row r="249">
          <cell r="D249" t="str">
            <v>DIB</v>
          </cell>
          <cell r="H249" t="str">
            <v>M89938-001</v>
          </cell>
          <cell r="M249" t="str">
            <v>FOX CQ</v>
          </cell>
        </row>
        <row r="250">
          <cell r="D250" t="str">
            <v>DIB</v>
          </cell>
          <cell r="H250" t="str">
            <v>M89938-001</v>
          </cell>
          <cell r="M250" t="str">
            <v>FOX CQ</v>
          </cell>
        </row>
        <row r="251">
          <cell r="D251" t="str">
            <v>DIB</v>
          </cell>
          <cell r="H251" t="str">
            <v>M89938-001</v>
          </cell>
          <cell r="M251" t="str">
            <v>FOX CQ</v>
          </cell>
        </row>
        <row r="252">
          <cell r="D252" t="str">
            <v>DIB</v>
          </cell>
          <cell r="H252" t="str">
            <v>M89938-001</v>
          </cell>
          <cell r="M252" t="str">
            <v>FOX CQ</v>
          </cell>
        </row>
        <row r="253">
          <cell r="D253" t="str">
            <v>DIB</v>
          </cell>
          <cell r="H253" t="str">
            <v>M89938-001</v>
          </cell>
          <cell r="M253" t="str">
            <v>FOX CQ</v>
          </cell>
        </row>
        <row r="254">
          <cell r="D254" t="str">
            <v>DIB</v>
          </cell>
          <cell r="H254" t="str">
            <v>M89938-001</v>
          </cell>
          <cell r="M254" t="str">
            <v>FOX CQ</v>
          </cell>
        </row>
        <row r="255">
          <cell r="D255" t="str">
            <v>DIB</v>
          </cell>
          <cell r="H255" t="str">
            <v>M89938-001</v>
          </cell>
          <cell r="M255" t="str">
            <v>FOX CQ</v>
          </cell>
        </row>
        <row r="256">
          <cell r="D256" t="str">
            <v>DIB</v>
          </cell>
          <cell r="H256" t="str">
            <v>M49894-001</v>
          </cell>
          <cell r="M256" t="str">
            <v>FOX CQ</v>
          </cell>
        </row>
        <row r="257">
          <cell r="D257" t="str">
            <v>DIB</v>
          </cell>
          <cell r="H257" t="str">
            <v>M49894-001</v>
          </cell>
          <cell r="M257" t="str">
            <v>FOX CQ</v>
          </cell>
        </row>
        <row r="258">
          <cell r="D258" t="str">
            <v>DIB</v>
          </cell>
          <cell r="H258" t="str">
            <v>M49894-001</v>
          </cell>
          <cell r="M258" t="str">
            <v>FOX CQ</v>
          </cell>
        </row>
        <row r="259">
          <cell r="D259" t="str">
            <v>DIB</v>
          </cell>
          <cell r="H259" t="str">
            <v>M89938-001</v>
          </cell>
          <cell r="M259" t="str">
            <v>FOX CQ</v>
          </cell>
        </row>
        <row r="260">
          <cell r="D260" t="str">
            <v>DIB</v>
          </cell>
          <cell r="H260" t="str">
            <v>M89938-001</v>
          </cell>
          <cell r="M260" t="str">
            <v>FOX CQ</v>
          </cell>
        </row>
        <row r="261">
          <cell r="D261" t="str">
            <v>DIB</v>
          </cell>
          <cell r="H261" t="str">
            <v>M49894-001</v>
          </cell>
          <cell r="M261" t="str">
            <v>FOX CQ</v>
          </cell>
        </row>
        <row r="262">
          <cell r="D262" t="str">
            <v>DIB</v>
          </cell>
          <cell r="H262" t="str">
            <v>M49894-001</v>
          </cell>
          <cell r="M262" t="str">
            <v>FOX CQ</v>
          </cell>
        </row>
        <row r="263">
          <cell r="D263" t="str">
            <v>DIB</v>
          </cell>
          <cell r="H263" t="str">
            <v>M89938-001</v>
          </cell>
          <cell r="M263" t="str">
            <v>FOX CQ</v>
          </cell>
        </row>
        <row r="264">
          <cell r="D264" t="str">
            <v>DIB</v>
          </cell>
          <cell r="H264" t="str">
            <v>M89938-001</v>
          </cell>
          <cell r="M264" t="str">
            <v>FOX CQ</v>
          </cell>
        </row>
        <row r="265">
          <cell r="D265" t="str">
            <v>DIB</v>
          </cell>
          <cell r="H265" t="str">
            <v>M89938-001</v>
          </cell>
          <cell r="M265" t="str">
            <v>FOX CQ</v>
          </cell>
        </row>
        <row r="266">
          <cell r="D266" t="str">
            <v>DIB</v>
          </cell>
          <cell r="H266" t="str">
            <v>M49894-001</v>
          </cell>
          <cell r="M266" t="str">
            <v>FOX CQ</v>
          </cell>
        </row>
        <row r="267">
          <cell r="D267" t="str">
            <v>DIB</v>
          </cell>
          <cell r="H267" t="str">
            <v>M89938-001</v>
          </cell>
          <cell r="M267" t="str">
            <v>FOX CQ</v>
          </cell>
        </row>
        <row r="268">
          <cell r="D268" t="str">
            <v>DIB</v>
          </cell>
          <cell r="H268" t="str">
            <v>M89938-001</v>
          </cell>
          <cell r="M268" t="str">
            <v>FOX CQ</v>
          </cell>
        </row>
        <row r="269">
          <cell r="D269" t="str">
            <v>DIB</v>
          </cell>
          <cell r="H269" t="str">
            <v>M89938-001</v>
          </cell>
          <cell r="M269" t="str">
            <v>FOX CQ</v>
          </cell>
        </row>
        <row r="270">
          <cell r="D270" t="str">
            <v>DIB</v>
          </cell>
          <cell r="H270" t="str">
            <v>M89938-001</v>
          </cell>
          <cell r="M270" t="str">
            <v>FOX CQ</v>
          </cell>
        </row>
        <row r="271">
          <cell r="D271" t="str">
            <v>DIB</v>
          </cell>
          <cell r="H271" t="str">
            <v>M89938-001</v>
          </cell>
          <cell r="M271" t="str">
            <v>FOX CQ</v>
          </cell>
        </row>
        <row r="272">
          <cell r="D272" t="str">
            <v>DIB</v>
          </cell>
          <cell r="H272" t="str">
            <v>M89938-001</v>
          </cell>
          <cell r="M272" t="str">
            <v>FOX CQ</v>
          </cell>
        </row>
        <row r="273">
          <cell r="D273" t="str">
            <v>DIB</v>
          </cell>
          <cell r="H273" t="str">
            <v>M89938-001</v>
          </cell>
          <cell r="M273" t="str">
            <v>FOX CQ</v>
          </cell>
        </row>
        <row r="274">
          <cell r="D274" t="str">
            <v>DIB</v>
          </cell>
          <cell r="H274" t="str">
            <v>M89938-001</v>
          </cell>
          <cell r="M274" t="str">
            <v>FOX CQ</v>
          </cell>
        </row>
        <row r="275">
          <cell r="D275" t="str">
            <v>DIB</v>
          </cell>
          <cell r="H275" t="str">
            <v>M89938-001</v>
          </cell>
          <cell r="M275" t="str">
            <v>FOX CQ</v>
          </cell>
        </row>
        <row r="276">
          <cell r="D276" t="str">
            <v>DIB</v>
          </cell>
          <cell r="H276" t="str">
            <v>M49894-001</v>
          </cell>
          <cell r="M276" t="str">
            <v>FOX CQ</v>
          </cell>
        </row>
        <row r="277">
          <cell r="D277" t="str">
            <v>DIB</v>
          </cell>
          <cell r="H277" t="str">
            <v>M89938-001</v>
          </cell>
          <cell r="M277" t="str">
            <v>FOX CQ</v>
          </cell>
        </row>
        <row r="278">
          <cell r="D278" t="str">
            <v>NA/LA</v>
          </cell>
          <cell r="H278" t="str">
            <v>1D0K2AA#ABA</v>
          </cell>
          <cell r="M278" t="str">
            <v>Foxconn Indy</v>
          </cell>
        </row>
        <row r="279">
          <cell r="D279" t="str">
            <v>NA/LA</v>
          </cell>
          <cell r="H279" t="str">
            <v>1D0K8AA#ABA</v>
          </cell>
          <cell r="M279" t="str">
            <v>Foxconn Indy</v>
          </cell>
        </row>
        <row r="280">
          <cell r="D280" t="str">
            <v>NA</v>
          </cell>
          <cell r="H280" t="str">
            <v>1Y4D0AA#ABA</v>
          </cell>
          <cell r="M280" t="str">
            <v>Foxconn Indy</v>
          </cell>
        </row>
        <row r="281">
          <cell r="D281" t="str">
            <v>NA</v>
          </cell>
          <cell r="H281" t="str">
            <v>1Y4D0AA#ABA</v>
          </cell>
          <cell r="M281" t="str">
            <v>Foxconn Indy</v>
          </cell>
        </row>
        <row r="282">
          <cell r="D282" t="str">
            <v>NA</v>
          </cell>
          <cell r="H282" t="str">
            <v>1Y4D0AA#ABA</v>
          </cell>
          <cell r="M282" t="str">
            <v>Foxconn Indy</v>
          </cell>
        </row>
        <row r="283">
          <cell r="D283" t="str">
            <v>NA</v>
          </cell>
          <cell r="H283" t="str">
            <v>1Y4D0AA#ABA</v>
          </cell>
          <cell r="M283" t="str">
            <v>Foxconn Indy</v>
          </cell>
        </row>
        <row r="284">
          <cell r="D284" t="str">
            <v>NA</v>
          </cell>
          <cell r="H284" t="str">
            <v>1Y4D0AA#ABA</v>
          </cell>
          <cell r="M284" t="str">
            <v>Foxconn Indy</v>
          </cell>
        </row>
        <row r="285">
          <cell r="D285" t="str">
            <v>NA</v>
          </cell>
          <cell r="H285" t="str">
            <v>1Y4D0AA#ABA</v>
          </cell>
          <cell r="M285" t="str">
            <v>Foxconn Indy</v>
          </cell>
        </row>
        <row r="286">
          <cell r="D286" t="str">
            <v>NA</v>
          </cell>
          <cell r="H286" t="str">
            <v>1Y4D0AA#ABA</v>
          </cell>
          <cell r="M286" t="str">
            <v>Foxconn Indy</v>
          </cell>
        </row>
        <row r="287">
          <cell r="D287" t="str">
            <v>NA</v>
          </cell>
          <cell r="H287" t="str">
            <v>1Y4D0AA#ABA</v>
          </cell>
          <cell r="M287" t="str">
            <v>Foxconn Indy</v>
          </cell>
        </row>
        <row r="288">
          <cell r="D288" t="str">
            <v>NA</v>
          </cell>
          <cell r="H288" t="str">
            <v>1Y4D0AA#ABA</v>
          </cell>
          <cell r="M288" t="str">
            <v>Foxconn Indy</v>
          </cell>
        </row>
        <row r="289">
          <cell r="D289" t="str">
            <v>NA</v>
          </cell>
          <cell r="H289" t="str">
            <v>1Y4D0AA#ABA</v>
          </cell>
          <cell r="M289" t="str">
            <v>Foxconn Indy</v>
          </cell>
        </row>
        <row r="290">
          <cell r="D290" t="str">
            <v>NA</v>
          </cell>
          <cell r="H290" t="str">
            <v>1Y4D0AA#ABA</v>
          </cell>
          <cell r="M290" t="str">
            <v>Foxconn Indy</v>
          </cell>
        </row>
        <row r="291">
          <cell r="D291" t="str">
            <v>NA</v>
          </cell>
          <cell r="H291" t="str">
            <v>1Y4D0AA#ABA</v>
          </cell>
          <cell r="M291" t="str">
            <v>Foxconn Indy</v>
          </cell>
        </row>
        <row r="292">
          <cell r="D292" t="str">
            <v>NA</v>
          </cell>
          <cell r="H292" t="str">
            <v>1Y4D0AA#ABA</v>
          </cell>
          <cell r="M292" t="str">
            <v>Foxconn Indy</v>
          </cell>
        </row>
        <row r="293">
          <cell r="D293" t="str">
            <v>NA</v>
          </cell>
          <cell r="H293" t="str">
            <v>1Y4D0AA#ABA</v>
          </cell>
          <cell r="M293" t="str">
            <v>Foxconn Indy</v>
          </cell>
        </row>
        <row r="294">
          <cell r="D294" t="str">
            <v>DIB</v>
          </cell>
          <cell r="H294" t="str">
            <v>850633-001</v>
          </cell>
          <cell r="M294" t="str">
            <v>Huaqin</v>
          </cell>
        </row>
        <row r="295">
          <cell r="D295" t="str">
            <v>DIB</v>
          </cell>
          <cell r="H295" t="str">
            <v>L07896-DB1</v>
          </cell>
          <cell r="M295" t="str">
            <v>Huaqin</v>
          </cell>
        </row>
        <row r="296">
          <cell r="D296" t="str">
            <v>DIB</v>
          </cell>
          <cell r="H296" t="str">
            <v>L73781-201</v>
          </cell>
          <cell r="M296" t="str">
            <v>Inventec</v>
          </cell>
        </row>
        <row r="297">
          <cell r="D297" t="str">
            <v>DIB</v>
          </cell>
          <cell r="H297" t="str">
            <v>L73781-201</v>
          </cell>
          <cell r="M297" t="str">
            <v>Inventec</v>
          </cell>
        </row>
        <row r="298">
          <cell r="D298" t="str">
            <v>DIB</v>
          </cell>
          <cell r="H298" t="str">
            <v>L73781-201</v>
          </cell>
          <cell r="M298" t="str">
            <v>Inventec</v>
          </cell>
        </row>
        <row r="299">
          <cell r="D299" t="str">
            <v>DIB</v>
          </cell>
          <cell r="H299" t="str">
            <v>L73781-201</v>
          </cell>
          <cell r="M299" t="str">
            <v>Inventec</v>
          </cell>
        </row>
        <row r="300">
          <cell r="D300" t="str">
            <v>DIB</v>
          </cell>
          <cell r="H300" t="str">
            <v>L73781-201</v>
          </cell>
          <cell r="M300" t="str">
            <v>Inventec</v>
          </cell>
        </row>
        <row r="301">
          <cell r="D301" t="str">
            <v>DIB</v>
          </cell>
          <cell r="H301" t="str">
            <v>L73781-201</v>
          </cell>
          <cell r="M301" t="str">
            <v>Inventec</v>
          </cell>
        </row>
        <row r="302">
          <cell r="D302" t="str">
            <v>DIB</v>
          </cell>
          <cell r="H302" t="str">
            <v>N37102-001</v>
          </cell>
          <cell r="M302" t="str">
            <v>Inventec</v>
          </cell>
        </row>
        <row r="303">
          <cell r="D303" t="str">
            <v>DIB</v>
          </cell>
          <cell r="H303" t="str">
            <v>M82158-001</v>
          </cell>
          <cell r="M303" t="str">
            <v>Inventec</v>
          </cell>
        </row>
        <row r="304">
          <cell r="D304" t="str">
            <v>DIB</v>
          </cell>
          <cell r="H304" t="str">
            <v>N38404-001</v>
          </cell>
          <cell r="M304" t="str">
            <v>Inventec</v>
          </cell>
        </row>
        <row r="305">
          <cell r="D305" t="str">
            <v>DIB</v>
          </cell>
          <cell r="H305" t="str">
            <v>N43864-001</v>
          </cell>
          <cell r="M305" t="str">
            <v>Inventec</v>
          </cell>
        </row>
        <row r="306">
          <cell r="D306" t="str">
            <v>DIB</v>
          </cell>
          <cell r="H306" t="str">
            <v>N43866-001</v>
          </cell>
          <cell r="M306" t="str">
            <v>Inventec</v>
          </cell>
        </row>
        <row r="307">
          <cell r="D307" t="str">
            <v>DIB</v>
          </cell>
          <cell r="H307" t="str">
            <v>N37102-001</v>
          </cell>
          <cell r="M307" t="str">
            <v>Inventec</v>
          </cell>
        </row>
        <row r="308">
          <cell r="D308" t="str">
            <v>DIB</v>
          </cell>
          <cell r="H308" t="str">
            <v>M49894-001</v>
          </cell>
          <cell r="M308" t="str">
            <v>Inventec</v>
          </cell>
        </row>
        <row r="309">
          <cell r="D309" t="str">
            <v>DIB</v>
          </cell>
          <cell r="H309" t="str">
            <v>L77930-001</v>
          </cell>
          <cell r="M309" t="str">
            <v>Inventec</v>
          </cell>
        </row>
        <row r="310">
          <cell r="D310" t="str">
            <v>DIB</v>
          </cell>
          <cell r="H310" t="str">
            <v>M49894-001</v>
          </cell>
          <cell r="M310" t="str">
            <v>Inventec</v>
          </cell>
        </row>
        <row r="311">
          <cell r="D311" t="str">
            <v>DIB</v>
          </cell>
          <cell r="H311" t="str">
            <v>N38404-001</v>
          </cell>
          <cell r="M311" t="str">
            <v>Inventec</v>
          </cell>
        </row>
        <row r="312">
          <cell r="D312" t="str">
            <v>DIB</v>
          </cell>
          <cell r="H312" t="str">
            <v>M49894-001</v>
          </cell>
          <cell r="M312" t="str">
            <v>Inventec</v>
          </cell>
        </row>
        <row r="313">
          <cell r="D313" t="str">
            <v>DIB</v>
          </cell>
          <cell r="H313" t="str">
            <v>M49894-001</v>
          </cell>
          <cell r="M313" t="str">
            <v>Inventec</v>
          </cell>
        </row>
        <row r="314">
          <cell r="D314" t="str">
            <v>DIB</v>
          </cell>
          <cell r="H314" t="str">
            <v>N43864-001</v>
          </cell>
          <cell r="M314" t="str">
            <v>Inventec</v>
          </cell>
        </row>
        <row r="315">
          <cell r="D315" t="str">
            <v>DIB</v>
          </cell>
          <cell r="H315" t="str">
            <v>N38404-001</v>
          </cell>
          <cell r="M315" t="str">
            <v>Inventec</v>
          </cell>
        </row>
        <row r="316">
          <cell r="D316" t="str">
            <v>DIB</v>
          </cell>
          <cell r="H316" t="str">
            <v>N37102-001</v>
          </cell>
          <cell r="M316" t="str">
            <v>Inventec</v>
          </cell>
        </row>
        <row r="317">
          <cell r="D317" t="str">
            <v>DIB</v>
          </cell>
          <cell r="H317" t="str">
            <v>N43866-001</v>
          </cell>
          <cell r="M317" t="str">
            <v>Inventec</v>
          </cell>
        </row>
        <row r="318">
          <cell r="D318" t="str">
            <v>DIB</v>
          </cell>
          <cell r="H318" t="str">
            <v>N43864-001</v>
          </cell>
          <cell r="M318" t="str">
            <v>Inventec</v>
          </cell>
        </row>
        <row r="319">
          <cell r="D319" t="str">
            <v>DIB</v>
          </cell>
          <cell r="H319" t="str">
            <v>N43866-001</v>
          </cell>
          <cell r="M319" t="str">
            <v>Inventec</v>
          </cell>
        </row>
        <row r="320">
          <cell r="D320" t="str">
            <v>DIB</v>
          </cell>
          <cell r="H320" t="str">
            <v>L77930-001</v>
          </cell>
          <cell r="M320" t="str">
            <v>Inventec</v>
          </cell>
        </row>
        <row r="321">
          <cell r="D321" t="str">
            <v>DIB</v>
          </cell>
          <cell r="H321" t="str">
            <v>N43866-001</v>
          </cell>
          <cell r="M321" t="str">
            <v>Inventec</v>
          </cell>
        </row>
        <row r="322">
          <cell r="D322" t="str">
            <v>DIB</v>
          </cell>
          <cell r="H322" t="str">
            <v>N38404-001</v>
          </cell>
          <cell r="M322" t="str">
            <v>Inventec</v>
          </cell>
        </row>
        <row r="323">
          <cell r="D323" t="str">
            <v>DIB</v>
          </cell>
          <cell r="H323" t="str">
            <v>N43864-001</v>
          </cell>
          <cell r="M323" t="str">
            <v>Inventec</v>
          </cell>
        </row>
        <row r="324">
          <cell r="D324" t="str">
            <v>DIB</v>
          </cell>
          <cell r="H324" t="str">
            <v>N43864-001</v>
          </cell>
          <cell r="M324" t="str">
            <v>Inventec</v>
          </cell>
        </row>
        <row r="325">
          <cell r="D325" t="str">
            <v>DIB</v>
          </cell>
          <cell r="H325" t="str">
            <v>N43866-001</v>
          </cell>
          <cell r="M325" t="str">
            <v>Inventec</v>
          </cell>
        </row>
        <row r="326">
          <cell r="D326" t="str">
            <v>DIB</v>
          </cell>
          <cell r="H326" t="str">
            <v>N43866-001</v>
          </cell>
          <cell r="M326" t="str">
            <v>Inventec</v>
          </cell>
        </row>
        <row r="327">
          <cell r="D327" t="str">
            <v>DIB</v>
          </cell>
          <cell r="H327" t="str">
            <v>N38404-001</v>
          </cell>
          <cell r="M327" t="str">
            <v>Inventec</v>
          </cell>
        </row>
        <row r="328">
          <cell r="D328" t="str">
            <v>DIB</v>
          </cell>
          <cell r="H328" t="str">
            <v>N37102-001</v>
          </cell>
          <cell r="M328" t="str">
            <v>Inventec</v>
          </cell>
        </row>
        <row r="329">
          <cell r="D329" t="str">
            <v>DIB</v>
          </cell>
          <cell r="H329" t="str">
            <v>N43864-001</v>
          </cell>
          <cell r="M329" t="str">
            <v>Inventec</v>
          </cell>
        </row>
        <row r="330">
          <cell r="D330" t="str">
            <v>DIB</v>
          </cell>
          <cell r="H330" t="str">
            <v>N43866-001</v>
          </cell>
          <cell r="M330" t="str">
            <v>Inventec</v>
          </cell>
        </row>
        <row r="331">
          <cell r="D331" t="str">
            <v>DIB</v>
          </cell>
          <cell r="H331" t="str">
            <v>N61962-001</v>
          </cell>
          <cell r="M331" t="str">
            <v>Inventec</v>
          </cell>
        </row>
        <row r="332">
          <cell r="D332" t="str">
            <v>DIB</v>
          </cell>
          <cell r="H332" t="str">
            <v>N61958-371</v>
          </cell>
          <cell r="M332" t="str">
            <v>Inventec</v>
          </cell>
        </row>
        <row r="333">
          <cell r="D333" t="str">
            <v>DIB</v>
          </cell>
          <cell r="H333" t="str">
            <v>N61958-A21</v>
          </cell>
          <cell r="M333" t="str">
            <v>Inventec</v>
          </cell>
        </row>
        <row r="334">
          <cell r="D334" t="str">
            <v>DIB</v>
          </cell>
          <cell r="H334" t="str">
            <v>N61958-001</v>
          </cell>
          <cell r="M334" t="str">
            <v>Inventec</v>
          </cell>
        </row>
        <row r="335">
          <cell r="D335" t="str">
            <v>DIB</v>
          </cell>
          <cell r="H335" t="str">
            <v>N43864-001</v>
          </cell>
          <cell r="M335" t="str">
            <v>Inventec</v>
          </cell>
        </row>
        <row r="336">
          <cell r="D336" t="str">
            <v>DIB</v>
          </cell>
          <cell r="H336" t="str">
            <v>N43866-001</v>
          </cell>
          <cell r="M336" t="str">
            <v>Inventec</v>
          </cell>
        </row>
        <row r="337">
          <cell r="D337" t="str">
            <v>DIB</v>
          </cell>
          <cell r="H337" t="str">
            <v>N37102-001</v>
          </cell>
          <cell r="M337" t="str">
            <v>Inventec</v>
          </cell>
        </row>
        <row r="338">
          <cell r="D338" t="str">
            <v>DIB</v>
          </cell>
          <cell r="H338" t="str">
            <v>L73781-201</v>
          </cell>
          <cell r="M338" t="str">
            <v>QUANTA</v>
          </cell>
        </row>
        <row r="339">
          <cell r="D339" t="str">
            <v>DIB</v>
          </cell>
          <cell r="H339" t="str">
            <v>L13998-001</v>
          </cell>
          <cell r="M339" t="str">
            <v>QUANTA</v>
          </cell>
        </row>
        <row r="340">
          <cell r="D340" t="str">
            <v>DIB</v>
          </cell>
          <cell r="H340" t="str">
            <v>902786-001</v>
          </cell>
          <cell r="M340" t="str">
            <v>QUANTA</v>
          </cell>
        </row>
        <row r="341">
          <cell r="D341" t="str">
            <v>DIB</v>
          </cell>
          <cell r="H341" t="str">
            <v>902786-001</v>
          </cell>
          <cell r="M341" t="str">
            <v>QUANTA</v>
          </cell>
        </row>
        <row r="342">
          <cell r="D342" t="str">
            <v>DIB</v>
          </cell>
          <cell r="H342" t="str">
            <v>902786-001</v>
          </cell>
          <cell r="M342" t="str">
            <v>QUANTA</v>
          </cell>
        </row>
        <row r="343">
          <cell r="D343" t="str">
            <v>DIB</v>
          </cell>
          <cell r="H343" t="str">
            <v>L13998-001</v>
          </cell>
          <cell r="M343" t="str">
            <v>QUANTA</v>
          </cell>
        </row>
        <row r="344">
          <cell r="D344" t="str">
            <v>DIB</v>
          </cell>
          <cell r="H344" t="str">
            <v>M40045-161</v>
          </cell>
          <cell r="M344" t="str">
            <v>QUANTA</v>
          </cell>
        </row>
        <row r="345">
          <cell r="D345" t="str">
            <v>DIB</v>
          </cell>
          <cell r="H345" t="str">
            <v>M40043-161</v>
          </cell>
          <cell r="M345" t="str">
            <v>QUANTA</v>
          </cell>
        </row>
        <row r="346">
          <cell r="D346" t="str">
            <v>DIB</v>
          </cell>
          <cell r="H346" t="str">
            <v>M40043-161</v>
          </cell>
          <cell r="M346" t="str">
            <v>QUANTA</v>
          </cell>
        </row>
        <row r="347">
          <cell r="D347" t="str">
            <v>DIB</v>
          </cell>
          <cell r="H347" t="str">
            <v>M40045-161</v>
          </cell>
          <cell r="M347" t="str">
            <v>QUANTA</v>
          </cell>
        </row>
        <row r="348">
          <cell r="D348" t="str">
            <v>DIB</v>
          </cell>
          <cell r="H348" t="str">
            <v>902786-001</v>
          </cell>
          <cell r="M348" t="str">
            <v>QUANTA</v>
          </cell>
        </row>
        <row r="349">
          <cell r="D349" t="str">
            <v>DIB</v>
          </cell>
          <cell r="H349" t="str">
            <v>902786-001</v>
          </cell>
          <cell r="M349" t="str">
            <v>QUANTA</v>
          </cell>
        </row>
        <row r="350">
          <cell r="D350" t="str">
            <v>DIB</v>
          </cell>
          <cell r="H350" t="str">
            <v>M40043-161</v>
          </cell>
          <cell r="M350" t="str">
            <v>QUANTA</v>
          </cell>
        </row>
        <row r="351">
          <cell r="D351" t="str">
            <v>DIB</v>
          </cell>
          <cell r="H351" t="str">
            <v>L77931-001</v>
          </cell>
          <cell r="M351" t="str">
            <v>QUANTA</v>
          </cell>
        </row>
        <row r="352">
          <cell r="D352" t="str">
            <v>DIB</v>
          </cell>
          <cell r="H352" t="str">
            <v>L13998-001</v>
          </cell>
          <cell r="M352" t="str">
            <v>QUANTA</v>
          </cell>
        </row>
        <row r="353">
          <cell r="D353" t="str">
            <v>DIB</v>
          </cell>
          <cell r="H353" t="str">
            <v>L13998-001</v>
          </cell>
          <cell r="M353" t="str">
            <v>QUANTA</v>
          </cell>
        </row>
        <row r="354">
          <cell r="D354" t="str">
            <v>DIB</v>
          </cell>
          <cell r="H354" t="str">
            <v>L77931-001</v>
          </cell>
          <cell r="M354" t="str">
            <v>QUANTA</v>
          </cell>
        </row>
        <row r="355">
          <cell r="D355" t="str">
            <v>DIB</v>
          </cell>
          <cell r="H355" t="str">
            <v>N19080-001</v>
          </cell>
          <cell r="M355" t="str">
            <v>QUANTA</v>
          </cell>
        </row>
        <row r="356">
          <cell r="D356" t="str">
            <v>DIB</v>
          </cell>
          <cell r="H356" t="str">
            <v>N19080-001</v>
          </cell>
          <cell r="M356" t="str">
            <v>QUANTA</v>
          </cell>
        </row>
        <row r="357">
          <cell r="D357" t="str">
            <v>DIB</v>
          </cell>
          <cell r="H357" t="str">
            <v>L13998-001</v>
          </cell>
          <cell r="M357" t="str">
            <v>QUANTA</v>
          </cell>
        </row>
        <row r="358">
          <cell r="D358" t="str">
            <v>DIB</v>
          </cell>
          <cell r="H358" t="str">
            <v>L13998-001</v>
          </cell>
          <cell r="M358" t="str">
            <v>QUANTA</v>
          </cell>
        </row>
        <row r="359">
          <cell r="D359" t="str">
            <v>DIB</v>
          </cell>
          <cell r="H359" t="str">
            <v>902786-001</v>
          </cell>
          <cell r="M359" t="str">
            <v>QUANTA</v>
          </cell>
        </row>
        <row r="360">
          <cell r="D360" t="str">
            <v>DIB</v>
          </cell>
          <cell r="H360" t="str">
            <v>M40043-161</v>
          </cell>
          <cell r="M360" t="str">
            <v>QUANTA</v>
          </cell>
        </row>
        <row r="361">
          <cell r="D361" t="str">
            <v>DIB</v>
          </cell>
          <cell r="H361" t="str">
            <v>M40045-161</v>
          </cell>
          <cell r="M361" t="str">
            <v>QUANTA</v>
          </cell>
        </row>
        <row r="362">
          <cell r="D362" t="str">
            <v>DIB</v>
          </cell>
          <cell r="H362" t="str">
            <v>M40045-161</v>
          </cell>
          <cell r="M362" t="str">
            <v>QUANTA</v>
          </cell>
        </row>
        <row r="363">
          <cell r="D363" t="str">
            <v>DIB</v>
          </cell>
          <cell r="H363" t="str">
            <v>M40045-161</v>
          </cell>
          <cell r="M363" t="str">
            <v>QUANTA</v>
          </cell>
        </row>
        <row r="364">
          <cell r="D364" t="str">
            <v>DIB</v>
          </cell>
          <cell r="H364" t="str">
            <v>N19082-001</v>
          </cell>
          <cell r="M364" t="str">
            <v>QUANTA</v>
          </cell>
        </row>
        <row r="365">
          <cell r="D365" t="str">
            <v>DIB</v>
          </cell>
          <cell r="H365" t="str">
            <v>N19080-001</v>
          </cell>
          <cell r="M365" t="str">
            <v>QUANTA</v>
          </cell>
        </row>
        <row r="366">
          <cell r="D366" t="str">
            <v>DIB</v>
          </cell>
          <cell r="H366" t="str">
            <v>N19082-001</v>
          </cell>
          <cell r="M366" t="str">
            <v>QUANTA</v>
          </cell>
        </row>
        <row r="367">
          <cell r="D367" t="str">
            <v>DIB</v>
          </cell>
          <cell r="H367" t="str">
            <v>L13998-001</v>
          </cell>
          <cell r="M367" t="str">
            <v>QUANTA</v>
          </cell>
        </row>
        <row r="368">
          <cell r="D368" t="str">
            <v>DIB</v>
          </cell>
          <cell r="H368" t="str">
            <v>902786-001</v>
          </cell>
          <cell r="M368" t="str">
            <v>QUANTA</v>
          </cell>
        </row>
        <row r="369">
          <cell r="D369" t="str">
            <v>DIB</v>
          </cell>
          <cell r="H369" t="str">
            <v>902786-001</v>
          </cell>
          <cell r="M369" t="str">
            <v>QUANTA</v>
          </cell>
        </row>
        <row r="370">
          <cell r="D370" t="str">
            <v>DIB</v>
          </cell>
          <cell r="H370" t="str">
            <v>902786-001</v>
          </cell>
          <cell r="M370" t="str">
            <v>QUANTA</v>
          </cell>
        </row>
        <row r="371">
          <cell r="D371" t="str">
            <v>DIB</v>
          </cell>
          <cell r="H371" t="str">
            <v>902786-001</v>
          </cell>
          <cell r="M371" t="str">
            <v>QUANTA</v>
          </cell>
        </row>
        <row r="372">
          <cell r="D372" t="str">
            <v>DIB</v>
          </cell>
          <cell r="H372" t="str">
            <v>902786-001</v>
          </cell>
          <cell r="M372" t="str">
            <v>QUANTA</v>
          </cell>
        </row>
        <row r="373">
          <cell r="D373" t="str">
            <v>DIB</v>
          </cell>
          <cell r="H373" t="str">
            <v>902786-001</v>
          </cell>
          <cell r="M373" t="str">
            <v>QUANTA</v>
          </cell>
        </row>
        <row r="374">
          <cell r="D374" t="str">
            <v>DIB</v>
          </cell>
          <cell r="H374" t="str">
            <v>902786-001</v>
          </cell>
          <cell r="M374" t="str">
            <v>QUANTA</v>
          </cell>
        </row>
        <row r="375">
          <cell r="D375" t="str">
            <v>DIB</v>
          </cell>
          <cell r="H375" t="str">
            <v>N19080-001</v>
          </cell>
          <cell r="M375" t="str">
            <v>QUANTA</v>
          </cell>
        </row>
        <row r="376">
          <cell r="D376" t="str">
            <v>DIB</v>
          </cell>
          <cell r="H376" t="str">
            <v>L13998-001</v>
          </cell>
          <cell r="M376" t="str">
            <v>QUANTA</v>
          </cell>
        </row>
        <row r="377">
          <cell r="D377" t="str">
            <v>DIB</v>
          </cell>
          <cell r="H377" t="str">
            <v>L77931-001</v>
          </cell>
          <cell r="M377" t="str">
            <v>QUANTA</v>
          </cell>
        </row>
        <row r="378">
          <cell r="D378" t="str">
            <v>DIB</v>
          </cell>
          <cell r="H378" t="str">
            <v>902786-001</v>
          </cell>
          <cell r="M378" t="str">
            <v>QUANTA</v>
          </cell>
        </row>
        <row r="379">
          <cell r="D379" t="str">
            <v>DIB</v>
          </cell>
          <cell r="H379" t="str">
            <v>902786-001</v>
          </cell>
          <cell r="M379" t="str">
            <v>QUANTA</v>
          </cell>
        </row>
        <row r="380">
          <cell r="D380" t="str">
            <v>DIB</v>
          </cell>
          <cell r="H380" t="str">
            <v>902786-001</v>
          </cell>
          <cell r="M380" t="str">
            <v>QUANTA</v>
          </cell>
        </row>
        <row r="381">
          <cell r="D381" t="str">
            <v>DIB</v>
          </cell>
          <cell r="H381" t="str">
            <v>M40043-161</v>
          </cell>
          <cell r="M381" t="str">
            <v>QUANTA</v>
          </cell>
        </row>
        <row r="382">
          <cell r="D382" t="str">
            <v>DIB</v>
          </cell>
          <cell r="H382" t="str">
            <v>M40045-161</v>
          </cell>
          <cell r="M382" t="str">
            <v>QUANTA</v>
          </cell>
        </row>
        <row r="383">
          <cell r="D383" t="str">
            <v>DIB</v>
          </cell>
          <cell r="H383" t="str">
            <v>M40045-161</v>
          </cell>
          <cell r="M383" t="str">
            <v>QUANTA</v>
          </cell>
        </row>
        <row r="384">
          <cell r="D384" t="str">
            <v>DIB</v>
          </cell>
          <cell r="H384" t="str">
            <v>L13998-001</v>
          </cell>
          <cell r="M384" t="str">
            <v>QUANTA</v>
          </cell>
        </row>
        <row r="385">
          <cell r="D385" t="str">
            <v>DIB</v>
          </cell>
          <cell r="H385" t="str">
            <v>902786-001</v>
          </cell>
          <cell r="M385" t="str">
            <v>QUANTA</v>
          </cell>
        </row>
        <row r="386">
          <cell r="D386" t="str">
            <v>DIB</v>
          </cell>
          <cell r="H386" t="str">
            <v>L13998-001</v>
          </cell>
          <cell r="M386" t="str">
            <v>QUANTA</v>
          </cell>
        </row>
        <row r="387">
          <cell r="D387" t="str">
            <v>DIB</v>
          </cell>
          <cell r="H387" t="str">
            <v>L13998-001</v>
          </cell>
          <cell r="M387" t="str">
            <v>QUANTA</v>
          </cell>
        </row>
        <row r="388">
          <cell r="D388" t="str">
            <v>DIB</v>
          </cell>
          <cell r="H388" t="str">
            <v>M53402-001</v>
          </cell>
          <cell r="M388" t="str">
            <v>QUANTA</v>
          </cell>
        </row>
        <row r="389">
          <cell r="D389" t="str">
            <v>DIB</v>
          </cell>
          <cell r="H389" t="str">
            <v>L73781-201</v>
          </cell>
          <cell r="M389" t="str">
            <v>QUANTA</v>
          </cell>
        </row>
        <row r="390">
          <cell r="D390" t="str">
            <v>DIB</v>
          </cell>
          <cell r="H390" t="str">
            <v>L73781-201</v>
          </cell>
          <cell r="M390" t="str">
            <v>QUANTA</v>
          </cell>
        </row>
        <row r="391">
          <cell r="D391" t="str">
            <v>DIB</v>
          </cell>
          <cell r="H391" t="str">
            <v>L73781-201</v>
          </cell>
          <cell r="M391" t="str">
            <v>QUANTA</v>
          </cell>
        </row>
        <row r="392">
          <cell r="D392" t="str">
            <v>DIB</v>
          </cell>
          <cell r="H392" t="str">
            <v>N19080-001</v>
          </cell>
          <cell r="M392" t="str">
            <v>QUANTA</v>
          </cell>
        </row>
        <row r="393">
          <cell r="D393" t="str">
            <v>DIB</v>
          </cell>
          <cell r="H393" t="str">
            <v>M53402-001</v>
          </cell>
          <cell r="M393" t="str">
            <v>QUANTA</v>
          </cell>
        </row>
        <row r="394">
          <cell r="D394" t="str">
            <v>DIB</v>
          </cell>
          <cell r="H394" t="str">
            <v>M53402-001</v>
          </cell>
          <cell r="M394" t="str">
            <v>QUANTA</v>
          </cell>
        </row>
        <row r="395">
          <cell r="D395" t="str">
            <v>DIB</v>
          </cell>
          <cell r="H395" t="str">
            <v>L13998-001</v>
          </cell>
          <cell r="M395" t="str">
            <v>QUANTA</v>
          </cell>
        </row>
        <row r="396">
          <cell r="D396" t="str">
            <v>DIB</v>
          </cell>
          <cell r="H396" t="str">
            <v>L13998-001</v>
          </cell>
          <cell r="M396" t="str">
            <v>QUANTA</v>
          </cell>
        </row>
        <row r="397">
          <cell r="D397" t="str">
            <v>DIB</v>
          </cell>
          <cell r="H397" t="str">
            <v>L13998-001</v>
          </cell>
          <cell r="M397" t="str">
            <v>QUANTA</v>
          </cell>
        </row>
        <row r="398">
          <cell r="D398" t="str">
            <v>DIB</v>
          </cell>
          <cell r="H398" t="str">
            <v>M40043-161</v>
          </cell>
          <cell r="M398" t="str">
            <v>QUANTA</v>
          </cell>
        </row>
        <row r="399">
          <cell r="D399" t="str">
            <v>DIB</v>
          </cell>
          <cell r="H399" t="str">
            <v>M53402-001</v>
          </cell>
          <cell r="M399" t="str">
            <v>QUANTA</v>
          </cell>
        </row>
        <row r="400">
          <cell r="D400" t="str">
            <v>DIB</v>
          </cell>
          <cell r="H400" t="str">
            <v>L73781-201</v>
          </cell>
          <cell r="M400" t="str">
            <v>QUANTA</v>
          </cell>
        </row>
        <row r="401">
          <cell r="D401" t="str">
            <v>DIB</v>
          </cell>
          <cell r="H401" t="str">
            <v>M40045-161</v>
          </cell>
          <cell r="M401" t="str">
            <v>QUANTA</v>
          </cell>
        </row>
        <row r="402">
          <cell r="D402" t="str">
            <v>DIB</v>
          </cell>
          <cell r="H402" t="str">
            <v>L77931-001</v>
          </cell>
          <cell r="M402" t="str">
            <v>QUANTA</v>
          </cell>
        </row>
        <row r="403">
          <cell r="D403" t="str">
            <v>DIB</v>
          </cell>
          <cell r="H403" t="str">
            <v>N37102-001</v>
          </cell>
          <cell r="M403" t="str">
            <v>QUANTA</v>
          </cell>
        </row>
        <row r="404">
          <cell r="D404" t="str">
            <v>DIB</v>
          </cell>
          <cell r="H404" t="str">
            <v>L73781-201</v>
          </cell>
          <cell r="M404" t="str">
            <v>QUANTA</v>
          </cell>
        </row>
        <row r="405">
          <cell r="D405" t="str">
            <v>DIB</v>
          </cell>
          <cell r="H405" t="str">
            <v>L73781-201</v>
          </cell>
          <cell r="M405" t="str">
            <v>QUANTA</v>
          </cell>
        </row>
        <row r="406">
          <cell r="D406" t="str">
            <v>DIB</v>
          </cell>
          <cell r="H406" t="str">
            <v>L13998-001</v>
          </cell>
          <cell r="M406" t="str">
            <v>QUANTA</v>
          </cell>
        </row>
        <row r="407">
          <cell r="D407" t="str">
            <v>DIB</v>
          </cell>
          <cell r="H407" t="str">
            <v>L13998-001</v>
          </cell>
          <cell r="M407" t="str">
            <v>QUANTA</v>
          </cell>
        </row>
        <row r="408">
          <cell r="D408" t="str">
            <v>DIB</v>
          </cell>
          <cell r="H408" t="str">
            <v>M53402-001</v>
          </cell>
          <cell r="M408" t="str">
            <v>QUANTA</v>
          </cell>
        </row>
        <row r="409">
          <cell r="D409" t="str">
            <v>DIB</v>
          </cell>
          <cell r="H409" t="str">
            <v>M53402-001</v>
          </cell>
          <cell r="M409" t="str">
            <v>QUANTA</v>
          </cell>
        </row>
        <row r="410">
          <cell r="D410" t="str">
            <v>DIB</v>
          </cell>
          <cell r="H410" t="str">
            <v>M53402-001</v>
          </cell>
          <cell r="M410" t="str">
            <v>QUANTA</v>
          </cell>
        </row>
        <row r="411">
          <cell r="D411" t="str">
            <v>DIB</v>
          </cell>
          <cell r="H411" t="str">
            <v>L77931-001</v>
          </cell>
          <cell r="M411" t="str">
            <v>QUANTA</v>
          </cell>
        </row>
        <row r="412">
          <cell r="D412" t="str">
            <v>DIB</v>
          </cell>
          <cell r="H412" t="str">
            <v>M40045-161</v>
          </cell>
          <cell r="M412" t="str">
            <v>QUANTA</v>
          </cell>
        </row>
        <row r="413">
          <cell r="D413" t="str">
            <v>DIB</v>
          </cell>
          <cell r="H413" t="str">
            <v>M53402-001</v>
          </cell>
          <cell r="M413" t="str">
            <v>QUANTA</v>
          </cell>
        </row>
        <row r="414">
          <cell r="D414" t="str">
            <v>DIB</v>
          </cell>
          <cell r="H414" t="str">
            <v>M53402-001</v>
          </cell>
          <cell r="M414" t="str">
            <v>QUANTA</v>
          </cell>
        </row>
        <row r="415">
          <cell r="D415" t="str">
            <v>DIB</v>
          </cell>
          <cell r="H415" t="str">
            <v>M53402-001</v>
          </cell>
          <cell r="M415" t="str">
            <v>QUANTA</v>
          </cell>
        </row>
        <row r="416">
          <cell r="D416" t="str">
            <v>DIB</v>
          </cell>
          <cell r="H416" t="str">
            <v>L73781-201</v>
          </cell>
          <cell r="M416" t="str">
            <v>QUANTA</v>
          </cell>
        </row>
        <row r="417">
          <cell r="D417" t="str">
            <v>DIB</v>
          </cell>
          <cell r="H417" t="str">
            <v>L13998-001</v>
          </cell>
          <cell r="M417" t="str">
            <v>QUANTA</v>
          </cell>
        </row>
        <row r="418">
          <cell r="D418" t="str">
            <v>DIB</v>
          </cell>
          <cell r="H418" t="str">
            <v>L77931-001</v>
          </cell>
          <cell r="M418" t="str">
            <v>QUANTA</v>
          </cell>
        </row>
        <row r="419">
          <cell r="D419" t="str">
            <v>DIB</v>
          </cell>
          <cell r="H419" t="str">
            <v>M53402-001</v>
          </cell>
          <cell r="M419" t="str">
            <v>QUANTA</v>
          </cell>
        </row>
        <row r="420">
          <cell r="D420" t="str">
            <v>DIB</v>
          </cell>
          <cell r="H420" t="str">
            <v>N37102-001</v>
          </cell>
          <cell r="M420" t="str">
            <v>QUANTA</v>
          </cell>
        </row>
        <row r="421">
          <cell r="D421" t="str">
            <v>DIB</v>
          </cell>
          <cell r="H421" t="str">
            <v>N37102-001</v>
          </cell>
          <cell r="M421" t="str">
            <v>QUANTA</v>
          </cell>
        </row>
        <row r="422">
          <cell r="D422" t="str">
            <v>DIB</v>
          </cell>
          <cell r="H422" t="str">
            <v>M40045-161</v>
          </cell>
          <cell r="M422" t="str">
            <v>QUANTA</v>
          </cell>
        </row>
        <row r="423">
          <cell r="D423" t="str">
            <v>DIB</v>
          </cell>
          <cell r="H423" t="str">
            <v>L73781-201</v>
          </cell>
          <cell r="M423" t="str">
            <v>QUANTA</v>
          </cell>
        </row>
        <row r="424">
          <cell r="D424" t="str">
            <v>DIB</v>
          </cell>
          <cell r="H424" t="str">
            <v>L13998-001</v>
          </cell>
          <cell r="M424" t="str">
            <v>QUANTA</v>
          </cell>
        </row>
        <row r="425">
          <cell r="D425" t="str">
            <v>DIB</v>
          </cell>
          <cell r="H425" t="str">
            <v>L77931-001</v>
          </cell>
          <cell r="M425" t="str">
            <v>QUANTA</v>
          </cell>
        </row>
        <row r="426">
          <cell r="D426" t="str">
            <v>DIB</v>
          </cell>
          <cell r="H426" t="str">
            <v>M40045-161</v>
          </cell>
          <cell r="M426" t="str">
            <v>QUANTA</v>
          </cell>
        </row>
        <row r="427">
          <cell r="D427" t="str">
            <v>DIB</v>
          </cell>
          <cell r="H427" t="str">
            <v>M40043-161</v>
          </cell>
          <cell r="M427" t="str">
            <v>QUANTA</v>
          </cell>
        </row>
        <row r="428">
          <cell r="D428" t="str">
            <v>DIB</v>
          </cell>
          <cell r="H428" t="str">
            <v>M40043-161</v>
          </cell>
          <cell r="M428" t="str">
            <v>QUANTA</v>
          </cell>
        </row>
        <row r="429">
          <cell r="D429" t="str">
            <v>DIB</v>
          </cell>
          <cell r="H429" t="str">
            <v>M40045-161</v>
          </cell>
          <cell r="M429" t="str">
            <v>QUANTA</v>
          </cell>
        </row>
        <row r="430">
          <cell r="D430" t="str">
            <v>DIB</v>
          </cell>
          <cell r="H430" t="str">
            <v>M40045-161</v>
          </cell>
          <cell r="M430" t="str">
            <v>QUANTA</v>
          </cell>
        </row>
        <row r="431">
          <cell r="D431" t="str">
            <v>DIB</v>
          </cell>
          <cell r="H431" t="str">
            <v>L73781-201</v>
          </cell>
          <cell r="M431" t="str">
            <v>QUANTA</v>
          </cell>
        </row>
        <row r="432">
          <cell r="D432" t="str">
            <v>DIB</v>
          </cell>
          <cell r="H432" t="str">
            <v>L77931-001</v>
          </cell>
          <cell r="M432" t="str">
            <v>QUANTA</v>
          </cell>
        </row>
        <row r="433">
          <cell r="D433" t="str">
            <v>DIB</v>
          </cell>
          <cell r="H433" t="str">
            <v>L13998-001</v>
          </cell>
          <cell r="M433" t="str">
            <v>QUANTA</v>
          </cell>
        </row>
        <row r="434">
          <cell r="D434" t="str">
            <v>DIB</v>
          </cell>
          <cell r="H434" t="str">
            <v>M53402-001</v>
          </cell>
          <cell r="M434" t="str">
            <v>QUANTA</v>
          </cell>
        </row>
        <row r="435">
          <cell r="D435" t="str">
            <v>DIB</v>
          </cell>
          <cell r="H435" t="str">
            <v>M53402-001</v>
          </cell>
          <cell r="M435" t="str">
            <v>QUANTA</v>
          </cell>
        </row>
        <row r="436">
          <cell r="D436" t="str">
            <v>DIB</v>
          </cell>
          <cell r="H436" t="str">
            <v>M53402-001</v>
          </cell>
          <cell r="M436" t="str">
            <v>QUANTA</v>
          </cell>
        </row>
        <row r="437">
          <cell r="D437" t="str">
            <v>DIB</v>
          </cell>
          <cell r="H437" t="str">
            <v>N55705-001</v>
          </cell>
          <cell r="M437" t="str">
            <v>QUANTA</v>
          </cell>
        </row>
        <row r="438">
          <cell r="D438" t="str">
            <v>DIB</v>
          </cell>
          <cell r="H438" t="str">
            <v>M53402-001</v>
          </cell>
          <cell r="M438" t="str">
            <v>QUANTA</v>
          </cell>
        </row>
        <row r="439">
          <cell r="D439" t="str">
            <v>DIB</v>
          </cell>
          <cell r="H439" t="str">
            <v>M53402-001</v>
          </cell>
          <cell r="M439" t="str">
            <v>QUANTA</v>
          </cell>
        </row>
        <row r="440">
          <cell r="D440" t="str">
            <v>DIB</v>
          </cell>
          <cell r="H440" t="str">
            <v>M40045-161</v>
          </cell>
          <cell r="M440" t="str">
            <v>QUANTA</v>
          </cell>
        </row>
        <row r="441">
          <cell r="D441" t="str">
            <v>DIB</v>
          </cell>
          <cell r="H441" t="str">
            <v>M40045-161</v>
          </cell>
          <cell r="M441" t="str">
            <v>QUANTA</v>
          </cell>
        </row>
        <row r="442">
          <cell r="D442" t="str">
            <v>DIB</v>
          </cell>
          <cell r="H442" t="str">
            <v>M49894-001</v>
          </cell>
          <cell r="M442" t="str">
            <v>QUANTA</v>
          </cell>
        </row>
        <row r="443">
          <cell r="D443" t="str">
            <v>DIB</v>
          </cell>
          <cell r="H443" t="str">
            <v>L77931-001</v>
          </cell>
          <cell r="M443" t="str">
            <v>QUANTA</v>
          </cell>
        </row>
        <row r="444">
          <cell r="D444" t="str">
            <v>DIB</v>
          </cell>
          <cell r="H444" t="str">
            <v>N37102-001</v>
          </cell>
          <cell r="M444" t="str">
            <v>QUANTA</v>
          </cell>
        </row>
        <row r="445">
          <cell r="D445" t="str">
            <v>DIB</v>
          </cell>
          <cell r="H445" t="str">
            <v>N37102-001</v>
          </cell>
          <cell r="M445" t="str">
            <v>QUANTA</v>
          </cell>
        </row>
        <row r="446">
          <cell r="D446" t="str">
            <v>DIB</v>
          </cell>
          <cell r="H446" t="str">
            <v>N37102-001</v>
          </cell>
          <cell r="M446" t="str">
            <v>QUANTA</v>
          </cell>
        </row>
        <row r="447">
          <cell r="D447" t="str">
            <v>DIB</v>
          </cell>
          <cell r="H447" t="str">
            <v>M40045-161</v>
          </cell>
          <cell r="M447" t="str">
            <v>QUANTA</v>
          </cell>
        </row>
        <row r="448">
          <cell r="D448" t="str">
            <v>DIB</v>
          </cell>
          <cell r="H448" t="str">
            <v>M40045-161</v>
          </cell>
          <cell r="M448" t="str">
            <v>QUANTA</v>
          </cell>
        </row>
        <row r="449">
          <cell r="D449" t="str">
            <v>DIB</v>
          </cell>
          <cell r="H449" t="str">
            <v>M49894-001</v>
          </cell>
          <cell r="M449" t="str">
            <v>QUANTA</v>
          </cell>
        </row>
        <row r="450">
          <cell r="D450" t="str">
            <v>DIB</v>
          </cell>
          <cell r="H450" t="str">
            <v>L13998-001</v>
          </cell>
          <cell r="M450" t="str">
            <v>QUANTA</v>
          </cell>
        </row>
        <row r="451">
          <cell r="D451" t="str">
            <v>DIB</v>
          </cell>
          <cell r="H451" t="str">
            <v>L13998-001</v>
          </cell>
          <cell r="M451" t="str">
            <v>QUANTA</v>
          </cell>
        </row>
        <row r="452">
          <cell r="D452" t="str">
            <v>DIB</v>
          </cell>
          <cell r="H452" t="str">
            <v>L13998-001</v>
          </cell>
          <cell r="M452" t="str">
            <v>QUANTA</v>
          </cell>
        </row>
        <row r="453">
          <cell r="D453" t="str">
            <v>DIB</v>
          </cell>
          <cell r="H453" t="str">
            <v>N43864-001</v>
          </cell>
          <cell r="M453" t="str">
            <v>QUANTA</v>
          </cell>
        </row>
        <row r="454">
          <cell r="D454" t="str">
            <v>DIB</v>
          </cell>
          <cell r="H454" t="str">
            <v>N38404-001</v>
          </cell>
          <cell r="M454" t="str">
            <v>QUANTA</v>
          </cell>
        </row>
        <row r="455">
          <cell r="D455" t="str">
            <v>DIB</v>
          </cell>
          <cell r="H455" t="str">
            <v>M53402-001</v>
          </cell>
          <cell r="M455" t="str">
            <v>QUANTA</v>
          </cell>
        </row>
        <row r="456">
          <cell r="D456" t="str">
            <v>DIB</v>
          </cell>
          <cell r="H456" t="str">
            <v>L13998-001</v>
          </cell>
          <cell r="M456" t="str">
            <v>QUANTA</v>
          </cell>
        </row>
        <row r="457">
          <cell r="D457" t="str">
            <v>DIB</v>
          </cell>
          <cell r="H457" t="str">
            <v>N43866-001</v>
          </cell>
          <cell r="M457" t="str">
            <v>QUANTA</v>
          </cell>
        </row>
        <row r="458">
          <cell r="D458" t="str">
            <v>DIB</v>
          </cell>
          <cell r="H458" t="str">
            <v>L13998-001</v>
          </cell>
          <cell r="M458" t="str">
            <v>QUANTA</v>
          </cell>
        </row>
        <row r="459">
          <cell r="D459" t="str">
            <v>DIB</v>
          </cell>
          <cell r="H459" t="str">
            <v>L77930-001</v>
          </cell>
          <cell r="M459" t="str">
            <v>QUANTA</v>
          </cell>
        </row>
        <row r="460">
          <cell r="D460" t="str">
            <v>DIB</v>
          </cell>
          <cell r="H460" t="str">
            <v>L13998-001</v>
          </cell>
          <cell r="M460" t="str">
            <v>QUANTA</v>
          </cell>
        </row>
        <row r="461">
          <cell r="D461" t="str">
            <v>DIB</v>
          </cell>
          <cell r="H461" t="str">
            <v>M40045-161</v>
          </cell>
          <cell r="M461" t="str">
            <v>QUANTA</v>
          </cell>
        </row>
        <row r="462">
          <cell r="D462" t="str">
            <v>DIB</v>
          </cell>
          <cell r="H462" t="str">
            <v>N37102-001</v>
          </cell>
          <cell r="M462" t="str">
            <v>QUANTA</v>
          </cell>
        </row>
        <row r="463">
          <cell r="D463" t="str">
            <v>DIB</v>
          </cell>
          <cell r="H463" t="str">
            <v>M40043-161</v>
          </cell>
          <cell r="M463" t="str">
            <v>QUANTA</v>
          </cell>
        </row>
        <row r="464">
          <cell r="D464" t="str">
            <v>DIB</v>
          </cell>
          <cell r="H464" t="str">
            <v>M40045-161</v>
          </cell>
          <cell r="M464" t="str">
            <v>QUANTA</v>
          </cell>
        </row>
        <row r="465">
          <cell r="D465" t="str">
            <v>DIB</v>
          </cell>
          <cell r="H465" t="str">
            <v>L13998-002</v>
          </cell>
          <cell r="M465" t="str">
            <v>QUANTA</v>
          </cell>
        </row>
        <row r="466">
          <cell r="D466" t="str">
            <v>DIB</v>
          </cell>
          <cell r="H466" t="str">
            <v>L13998-002</v>
          </cell>
          <cell r="M466" t="str">
            <v>QUANTA</v>
          </cell>
        </row>
        <row r="467">
          <cell r="D467" t="str">
            <v>DIB</v>
          </cell>
          <cell r="H467" t="str">
            <v>M53402-001</v>
          </cell>
          <cell r="M467" t="str">
            <v>QUANTA</v>
          </cell>
        </row>
        <row r="468">
          <cell r="D468" t="str">
            <v>DIB</v>
          </cell>
          <cell r="H468" t="str">
            <v>N37102-001</v>
          </cell>
          <cell r="M468" t="str">
            <v>QUANTA</v>
          </cell>
        </row>
        <row r="469">
          <cell r="D469" t="str">
            <v>DIB</v>
          </cell>
          <cell r="H469" t="str">
            <v>M40045-161</v>
          </cell>
          <cell r="M469" t="str">
            <v>QUANTA</v>
          </cell>
        </row>
        <row r="470">
          <cell r="D470" t="str">
            <v>DIB</v>
          </cell>
          <cell r="H470" t="str">
            <v>L77930-001</v>
          </cell>
          <cell r="M470" t="str">
            <v>QUANTA</v>
          </cell>
        </row>
        <row r="471">
          <cell r="D471" t="str">
            <v>DIB</v>
          </cell>
          <cell r="H471" t="str">
            <v>N37102-001</v>
          </cell>
          <cell r="M471" t="str">
            <v>QUANTA</v>
          </cell>
        </row>
        <row r="472">
          <cell r="D472" t="str">
            <v>DIB</v>
          </cell>
          <cell r="H472" t="str">
            <v>L13998-002</v>
          </cell>
          <cell r="M472" t="str">
            <v>QUANTA</v>
          </cell>
        </row>
        <row r="473">
          <cell r="D473" t="str">
            <v>DIB</v>
          </cell>
          <cell r="H473" t="str">
            <v>N38404-001</v>
          </cell>
          <cell r="M473" t="str">
            <v>QUANTA</v>
          </cell>
        </row>
        <row r="474">
          <cell r="D474" t="str">
            <v>DIB</v>
          </cell>
          <cell r="H474" t="str">
            <v>N43864-001</v>
          </cell>
          <cell r="M474" t="str">
            <v>QUANTA</v>
          </cell>
        </row>
        <row r="475">
          <cell r="D475" t="str">
            <v>DIB</v>
          </cell>
          <cell r="H475" t="str">
            <v>M40043-161</v>
          </cell>
          <cell r="M475" t="str">
            <v>QUANTA</v>
          </cell>
        </row>
        <row r="476">
          <cell r="D476" t="str">
            <v>DIB</v>
          </cell>
          <cell r="H476" t="str">
            <v>L77930-001</v>
          </cell>
          <cell r="M476" t="str">
            <v>QUANTA</v>
          </cell>
        </row>
        <row r="477">
          <cell r="D477" t="str">
            <v>DIB</v>
          </cell>
          <cell r="H477" t="str">
            <v>L77930-001</v>
          </cell>
          <cell r="M477" t="str">
            <v>QUANTA</v>
          </cell>
        </row>
        <row r="478">
          <cell r="D478" t="str">
            <v>DIB</v>
          </cell>
          <cell r="H478" t="str">
            <v>M40045-161</v>
          </cell>
          <cell r="M478" t="str">
            <v>QUANTA</v>
          </cell>
        </row>
        <row r="479">
          <cell r="D479" t="str">
            <v>DIB</v>
          </cell>
          <cell r="H479" t="str">
            <v>L13998-002</v>
          </cell>
          <cell r="M479" t="str">
            <v>QUANTA</v>
          </cell>
        </row>
        <row r="480">
          <cell r="D480" t="str">
            <v>DIB</v>
          </cell>
          <cell r="H480" t="str">
            <v>L13998-002</v>
          </cell>
          <cell r="M480" t="str">
            <v>QUANTA</v>
          </cell>
        </row>
        <row r="481">
          <cell r="D481" t="str">
            <v>DIB</v>
          </cell>
          <cell r="H481" t="str">
            <v>M40043-161</v>
          </cell>
          <cell r="M481" t="str">
            <v>QUANTA</v>
          </cell>
        </row>
        <row r="482">
          <cell r="D482" t="str">
            <v>DIB</v>
          </cell>
          <cell r="H482" t="str">
            <v>L13998-002</v>
          </cell>
          <cell r="M482" t="str">
            <v>QUANTA</v>
          </cell>
        </row>
        <row r="483">
          <cell r="D483" t="str">
            <v>DIB</v>
          </cell>
          <cell r="H483" t="str">
            <v>M40043-161</v>
          </cell>
          <cell r="M483" t="str">
            <v>QUANTA</v>
          </cell>
        </row>
        <row r="484">
          <cell r="D484" t="str">
            <v>DIB</v>
          </cell>
          <cell r="H484" t="str">
            <v>M53402-001</v>
          </cell>
          <cell r="M484" t="str">
            <v>QUANTA</v>
          </cell>
        </row>
        <row r="485">
          <cell r="D485" t="str">
            <v>DIB</v>
          </cell>
          <cell r="H485" t="str">
            <v>M53402-001</v>
          </cell>
          <cell r="M485" t="str">
            <v>QUANTA</v>
          </cell>
        </row>
        <row r="486">
          <cell r="D486" t="str">
            <v>DIB</v>
          </cell>
          <cell r="H486" t="str">
            <v>N55705-001</v>
          </cell>
          <cell r="M486" t="str">
            <v>QUANTA</v>
          </cell>
        </row>
        <row r="487">
          <cell r="D487" t="str">
            <v>DIB</v>
          </cell>
          <cell r="H487" t="str">
            <v>M53402-001</v>
          </cell>
          <cell r="M487" t="str">
            <v>QUANTA</v>
          </cell>
        </row>
        <row r="488">
          <cell r="D488" t="str">
            <v>DIB</v>
          </cell>
          <cell r="H488" t="str">
            <v>N43866-001</v>
          </cell>
          <cell r="M488" t="str">
            <v>QUANTA</v>
          </cell>
        </row>
        <row r="489">
          <cell r="D489" t="str">
            <v>DIB</v>
          </cell>
          <cell r="H489" t="str">
            <v>N43864-001</v>
          </cell>
          <cell r="M489" t="str">
            <v>QUANTA</v>
          </cell>
        </row>
        <row r="490">
          <cell r="D490" t="str">
            <v>DIB</v>
          </cell>
          <cell r="H490" t="str">
            <v>N37102-001</v>
          </cell>
          <cell r="M490" t="str">
            <v>QUANTA</v>
          </cell>
        </row>
        <row r="491">
          <cell r="D491" t="str">
            <v>DIB</v>
          </cell>
          <cell r="H491" t="str">
            <v>M40045-161</v>
          </cell>
          <cell r="M491" t="str">
            <v>QUANTA</v>
          </cell>
        </row>
        <row r="492">
          <cell r="D492" t="str">
            <v>DIB</v>
          </cell>
          <cell r="H492" t="str">
            <v>N37102-001</v>
          </cell>
          <cell r="M492" t="str">
            <v>QUANTA</v>
          </cell>
        </row>
        <row r="493">
          <cell r="D493" t="str">
            <v>DIB</v>
          </cell>
          <cell r="H493" t="str">
            <v>M40043-161</v>
          </cell>
          <cell r="M493" t="str">
            <v>QUANTA</v>
          </cell>
        </row>
        <row r="494">
          <cell r="D494" t="str">
            <v>DIB</v>
          </cell>
          <cell r="H494" t="str">
            <v>M53402-001</v>
          </cell>
          <cell r="M494" t="str">
            <v>QUANTA</v>
          </cell>
        </row>
        <row r="495">
          <cell r="D495" t="str">
            <v>DIB</v>
          </cell>
          <cell r="H495" t="str">
            <v>M53402-001</v>
          </cell>
          <cell r="M495" t="str">
            <v>QUANTA</v>
          </cell>
        </row>
        <row r="496">
          <cell r="D496" t="str">
            <v>DIB</v>
          </cell>
          <cell r="H496" t="str">
            <v>L13998-002</v>
          </cell>
          <cell r="M496" t="str">
            <v>QUANTA</v>
          </cell>
        </row>
        <row r="497">
          <cell r="D497" t="str">
            <v>DIB</v>
          </cell>
          <cell r="H497" t="str">
            <v>L13998-002</v>
          </cell>
          <cell r="M497" t="str">
            <v>QUANTA</v>
          </cell>
        </row>
        <row r="498">
          <cell r="D498" t="str">
            <v>DIB</v>
          </cell>
          <cell r="H498" t="str">
            <v>L13998-002</v>
          </cell>
          <cell r="M498" t="str">
            <v>QUANTA</v>
          </cell>
        </row>
        <row r="499">
          <cell r="D499" t="str">
            <v>DIB</v>
          </cell>
          <cell r="H499" t="str">
            <v>N37102-001</v>
          </cell>
          <cell r="M499" t="str">
            <v>QUANTA</v>
          </cell>
        </row>
        <row r="500">
          <cell r="D500" t="str">
            <v>DIB</v>
          </cell>
          <cell r="H500" t="str">
            <v>M40043-161</v>
          </cell>
          <cell r="M500" t="str">
            <v>QUANTA</v>
          </cell>
        </row>
        <row r="501">
          <cell r="D501" t="str">
            <v>DIB</v>
          </cell>
          <cell r="H501" t="str">
            <v>N43866-001</v>
          </cell>
          <cell r="M501" t="str">
            <v>QUANTA</v>
          </cell>
        </row>
        <row r="502">
          <cell r="D502" t="str">
            <v>DIB</v>
          </cell>
          <cell r="H502" t="str">
            <v>M53402-001</v>
          </cell>
          <cell r="M502" t="str">
            <v>QUANTA</v>
          </cell>
        </row>
        <row r="503">
          <cell r="D503" t="str">
            <v>DIB</v>
          </cell>
          <cell r="H503" t="str">
            <v>N43864-001</v>
          </cell>
          <cell r="M503" t="str">
            <v>QUANTA</v>
          </cell>
        </row>
        <row r="504">
          <cell r="D504" t="str">
            <v>DIB</v>
          </cell>
          <cell r="H504" t="str">
            <v>M40045-161</v>
          </cell>
          <cell r="M504" t="str">
            <v>QUANTA</v>
          </cell>
        </row>
        <row r="505">
          <cell r="D505" t="str">
            <v>DIB</v>
          </cell>
          <cell r="H505" t="str">
            <v>M40045-161</v>
          </cell>
          <cell r="M505" t="str">
            <v>QUANTA</v>
          </cell>
        </row>
        <row r="506">
          <cell r="D506" t="str">
            <v>DIB</v>
          </cell>
          <cell r="H506" t="str">
            <v>L13998-002</v>
          </cell>
          <cell r="M506" t="str">
            <v>QUANTA</v>
          </cell>
        </row>
        <row r="507">
          <cell r="D507" t="str">
            <v>DIB</v>
          </cell>
          <cell r="H507" t="str">
            <v>L13998-002</v>
          </cell>
          <cell r="M507" t="str">
            <v>QUANTA</v>
          </cell>
        </row>
        <row r="508">
          <cell r="D508" t="str">
            <v>DIB</v>
          </cell>
          <cell r="H508" t="str">
            <v>N43866-001</v>
          </cell>
          <cell r="M508" t="str">
            <v>QUANTA</v>
          </cell>
        </row>
        <row r="509">
          <cell r="D509" t="str">
            <v>DIB</v>
          </cell>
          <cell r="H509" t="str">
            <v>N61962-001</v>
          </cell>
          <cell r="M509" t="str">
            <v>QUANTA</v>
          </cell>
        </row>
        <row r="510">
          <cell r="D510" t="str">
            <v>DIB</v>
          </cell>
          <cell r="H510" t="str">
            <v>M53402-001</v>
          </cell>
          <cell r="M510" t="str">
            <v>QUANTA</v>
          </cell>
        </row>
        <row r="511">
          <cell r="D511" t="str">
            <v>DIB</v>
          </cell>
          <cell r="H511" t="str">
            <v>M40043-161</v>
          </cell>
          <cell r="M511" t="str">
            <v>QUANTA</v>
          </cell>
        </row>
        <row r="512">
          <cell r="D512" t="str">
            <v>DIB</v>
          </cell>
          <cell r="H512" t="str">
            <v>L13998-002</v>
          </cell>
          <cell r="M512" t="str">
            <v>QUANTA</v>
          </cell>
        </row>
        <row r="513">
          <cell r="D513" t="str">
            <v>DIB</v>
          </cell>
          <cell r="H513" t="str">
            <v>L13998-002</v>
          </cell>
          <cell r="M513" t="str">
            <v>QUANTA</v>
          </cell>
        </row>
        <row r="514">
          <cell r="D514" t="str">
            <v>DIB</v>
          </cell>
          <cell r="H514" t="str">
            <v>N37102-001</v>
          </cell>
          <cell r="M514" t="str">
            <v>QUANTA</v>
          </cell>
        </row>
        <row r="515">
          <cell r="D515" t="str">
            <v>DIB</v>
          </cell>
          <cell r="H515" t="str">
            <v>L77930-001</v>
          </cell>
          <cell r="M515" t="str">
            <v>QUANTA</v>
          </cell>
        </row>
        <row r="516">
          <cell r="D516" t="str">
            <v>DIB</v>
          </cell>
          <cell r="H516" t="str">
            <v>N55705-001</v>
          </cell>
          <cell r="M516" t="str">
            <v>QUANTA</v>
          </cell>
        </row>
        <row r="517">
          <cell r="D517" t="str">
            <v>DIB</v>
          </cell>
          <cell r="H517" t="str">
            <v>L13998-002</v>
          </cell>
          <cell r="M517" t="str">
            <v>QUANTA</v>
          </cell>
        </row>
        <row r="518">
          <cell r="D518" t="str">
            <v>DIB</v>
          </cell>
          <cell r="H518" t="str">
            <v>N37102-001</v>
          </cell>
          <cell r="M518" t="str">
            <v>QUANTA</v>
          </cell>
        </row>
        <row r="519">
          <cell r="D519" t="str">
            <v>DIB</v>
          </cell>
          <cell r="H519" t="str">
            <v>N37102-001</v>
          </cell>
          <cell r="M519" t="str">
            <v>QUANTA</v>
          </cell>
        </row>
        <row r="520">
          <cell r="D520" t="str">
            <v>DIB</v>
          </cell>
          <cell r="H520" t="str">
            <v>L13998-002</v>
          </cell>
          <cell r="M520" t="str">
            <v>QUANTA</v>
          </cell>
        </row>
        <row r="521">
          <cell r="D521" t="str">
            <v>DIB</v>
          </cell>
          <cell r="H521" t="str">
            <v>N37102-001</v>
          </cell>
          <cell r="M521" t="str">
            <v>QUANTA</v>
          </cell>
        </row>
        <row r="522">
          <cell r="D522" t="str">
            <v>DIB</v>
          </cell>
          <cell r="H522" t="str">
            <v>N37102-001</v>
          </cell>
          <cell r="M522" t="str">
            <v>QUANTA</v>
          </cell>
        </row>
        <row r="523">
          <cell r="D523" t="str">
            <v>DIB</v>
          </cell>
          <cell r="H523" t="str">
            <v>M40045-161</v>
          </cell>
          <cell r="M523" t="str">
            <v>QUANTA</v>
          </cell>
        </row>
        <row r="524">
          <cell r="D524" t="str">
            <v>DIB</v>
          </cell>
          <cell r="H524" t="str">
            <v>M40045-161</v>
          </cell>
          <cell r="M524" t="str">
            <v>QUANTA</v>
          </cell>
        </row>
        <row r="525">
          <cell r="D525" t="str">
            <v>DIB</v>
          </cell>
          <cell r="H525" t="str">
            <v>M40045-161</v>
          </cell>
          <cell r="M525" t="str">
            <v>QUANTA</v>
          </cell>
        </row>
        <row r="526">
          <cell r="D526" t="str">
            <v>DIB</v>
          </cell>
          <cell r="H526" t="str">
            <v>M40043-161</v>
          </cell>
          <cell r="M526" t="str">
            <v>QUANTA</v>
          </cell>
        </row>
        <row r="527">
          <cell r="D527" t="str">
            <v>DIB</v>
          </cell>
          <cell r="H527" t="str">
            <v>N37102-001</v>
          </cell>
          <cell r="M527" t="str">
            <v>QUANTA</v>
          </cell>
        </row>
        <row r="528">
          <cell r="D528" t="str">
            <v>NA</v>
          </cell>
          <cell r="H528" t="str">
            <v>3ML04AA#ABL</v>
          </cell>
          <cell r="M528" t="str">
            <v>Ryder Indy</v>
          </cell>
        </row>
        <row r="529">
          <cell r="D529" t="str">
            <v>NA</v>
          </cell>
          <cell r="H529" t="str">
            <v>3ML04AA#ABL</v>
          </cell>
          <cell r="M529" t="str">
            <v>Ryder Indy</v>
          </cell>
        </row>
        <row r="530">
          <cell r="D530" t="str">
            <v>NA/LA</v>
          </cell>
          <cell r="H530" t="str">
            <v>793F9AA#ABA</v>
          </cell>
          <cell r="M530" t="str">
            <v>Ryder Indy</v>
          </cell>
        </row>
        <row r="531">
          <cell r="D531" t="str">
            <v>NA/LA</v>
          </cell>
          <cell r="H531" t="str">
            <v>793F9AA#ABA</v>
          </cell>
          <cell r="M531" t="str">
            <v>Ryder Indy</v>
          </cell>
        </row>
        <row r="532">
          <cell r="D532" t="str">
            <v>NA/LA</v>
          </cell>
          <cell r="H532" t="str">
            <v>793F9AA#ABA</v>
          </cell>
          <cell r="M532" t="str">
            <v>Ryder Indy</v>
          </cell>
        </row>
        <row r="533">
          <cell r="D533" t="str">
            <v>NA</v>
          </cell>
          <cell r="H533" t="str">
            <v>3ML04AA#ABL</v>
          </cell>
          <cell r="M533" t="str">
            <v>Ryder Indy</v>
          </cell>
        </row>
        <row r="534">
          <cell r="D534" t="str">
            <v>NA</v>
          </cell>
          <cell r="H534" t="str">
            <v>3ML04AA#ABL</v>
          </cell>
          <cell r="M534" t="str">
            <v>Ryder Indy</v>
          </cell>
        </row>
        <row r="535">
          <cell r="D535" t="str">
            <v>NA</v>
          </cell>
          <cell r="H535" t="str">
            <v>3ML04AA#ABL</v>
          </cell>
          <cell r="M535" t="str">
            <v>Ryder Indy</v>
          </cell>
        </row>
        <row r="536">
          <cell r="D536" t="str">
            <v>NA</v>
          </cell>
          <cell r="H536" t="str">
            <v>3ML04AA#ABL</v>
          </cell>
          <cell r="M536" t="str">
            <v>Ryder Indy</v>
          </cell>
        </row>
        <row r="537">
          <cell r="D537" t="str">
            <v>NA</v>
          </cell>
          <cell r="H537" t="str">
            <v>3ML04AA#ABL</v>
          </cell>
          <cell r="M537" t="str">
            <v>Ryder Indy</v>
          </cell>
        </row>
        <row r="538">
          <cell r="D538" t="str">
            <v>NA</v>
          </cell>
          <cell r="H538" t="str">
            <v>3ML04AA#ABL</v>
          </cell>
          <cell r="M538" t="str">
            <v>Ryder Indy</v>
          </cell>
        </row>
        <row r="539">
          <cell r="D539" t="str">
            <v>NA</v>
          </cell>
          <cell r="H539" t="str">
            <v>3ML04AA#ABL</v>
          </cell>
          <cell r="M539" t="str">
            <v>Ryder Indy</v>
          </cell>
        </row>
        <row r="540">
          <cell r="D540" t="str">
            <v>NA</v>
          </cell>
          <cell r="H540" t="str">
            <v>3ML04AA#ABL</v>
          </cell>
          <cell r="M540" t="str">
            <v>Ryder Indy</v>
          </cell>
        </row>
        <row r="541">
          <cell r="D541" t="str">
            <v>NA</v>
          </cell>
          <cell r="H541" t="str">
            <v>3ML04AA#ABL</v>
          </cell>
          <cell r="M541" t="str">
            <v>Ryder Indy</v>
          </cell>
        </row>
        <row r="542">
          <cell r="D542" t="str">
            <v>NA</v>
          </cell>
          <cell r="H542" t="str">
            <v>3ML04AA#ABL</v>
          </cell>
          <cell r="M542" t="str">
            <v>Ryder Indy</v>
          </cell>
        </row>
        <row r="543">
          <cell r="D543" t="str">
            <v>NA</v>
          </cell>
          <cell r="H543" t="str">
            <v>1Y4D0AA#ABC</v>
          </cell>
          <cell r="M543" t="str">
            <v>Ryder Indy</v>
          </cell>
        </row>
        <row r="544">
          <cell r="D544" t="str">
            <v>NA</v>
          </cell>
          <cell r="H544" t="str">
            <v>3ML04AA#ABL</v>
          </cell>
          <cell r="M544" t="str">
            <v>Ryder Indy</v>
          </cell>
        </row>
        <row r="545">
          <cell r="D545" t="str">
            <v>NA</v>
          </cell>
          <cell r="H545" t="str">
            <v>3ML04AA#ABL</v>
          </cell>
          <cell r="M545" t="str">
            <v>Ryder Indy</v>
          </cell>
        </row>
        <row r="546">
          <cell r="D546" t="str">
            <v>NA</v>
          </cell>
          <cell r="H546" t="str">
            <v>1Y4D0AA#ABC</v>
          </cell>
          <cell r="M546" t="str">
            <v>Ryder Indy</v>
          </cell>
        </row>
        <row r="547">
          <cell r="D547" t="str">
            <v>NA</v>
          </cell>
          <cell r="H547" t="str">
            <v>3ML04AA#ABL</v>
          </cell>
          <cell r="M547" t="str">
            <v>Ryder Indy</v>
          </cell>
        </row>
        <row r="548">
          <cell r="D548" t="str">
            <v>NA</v>
          </cell>
          <cell r="H548" t="str">
            <v>3ML04AA#ABL</v>
          </cell>
          <cell r="M548" t="str">
            <v>Ryder Indy</v>
          </cell>
        </row>
        <row r="549">
          <cell r="D549" t="str">
            <v>NA</v>
          </cell>
          <cell r="H549" t="str">
            <v>3ML04AA#ABL</v>
          </cell>
          <cell r="M549" t="str">
            <v>Ryder Indy</v>
          </cell>
        </row>
        <row r="550">
          <cell r="D550" t="str">
            <v>NA</v>
          </cell>
          <cell r="H550" t="str">
            <v>3ML04AA#ABL</v>
          </cell>
          <cell r="M550" t="str">
            <v>Ryder Indy</v>
          </cell>
        </row>
        <row r="551">
          <cell r="D551" t="str">
            <v>NA</v>
          </cell>
          <cell r="H551" t="str">
            <v>3ML04AA#ABL</v>
          </cell>
          <cell r="M551" t="str">
            <v>Ryder Indy</v>
          </cell>
        </row>
        <row r="552">
          <cell r="D552" t="str">
            <v>NA</v>
          </cell>
          <cell r="H552" t="str">
            <v>3ML04AA#ABL</v>
          </cell>
          <cell r="M552" t="str">
            <v>Ryder Indy</v>
          </cell>
        </row>
        <row r="553">
          <cell r="D553" t="str">
            <v>NA</v>
          </cell>
          <cell r="H553" t="str">
            <v>681S1AA#ABL</v>
          </cell>
          <cell r="M553" t="str">
            <v>Ryder Indy</v>
          </cell>
        </row>
        <row r="554">
          <cell r="D554" t="str">
            <v>NA</v>
          </cell>
          <cell r="H554" t="str">
            <v>681S1AA#ABL</v>
          </cell>
          <cell r="M554" t="str">
            <v>Ryder Indy</v>
          </cell>
        </row>
        <row r="555">
          <cell r="D555" t="str">
            <v>NA</v>
          </cell>
          <cell r="H555" t="str">
            <v>681S1AA#ABL</v>
          </cell>
          <cell r="M555" t="str">
            <v>Ryder Indy</v>
          </cell>
        </row>
        <row r="556">
          <cell r="D556" t="str">
            <v>NA</v>
          </cell>
          <cell r="H556" t="str">
            <v>681S1AA#ABL</v>
          </cell>
          <cell r="M556" t="str">
            <v>Ryder Indy</v>
          </cell>
        </row>
        <row r="557">
          <cell r="D557" t="str">
            <v>NA</v>
          </cell>
          <cell r="H557" t="str">
            <v>681S1AA#ABL</v>
          </cell>
          <cell r="M557" t="str">
            <v>Ryder Indy</v>
          </cell>
        </row>
        <row r="558">
          <cell r="D558" t="str">
            <v>NA/LA</v>
          </cell>
          <cell r="H558" t="str">
            <v>683N8AA#ABL</v>
          </cell>
          <cell r="M558" t="str">
            <v>Ryder Indy</v>
          </cell>
        </row>
        <row r="559">
          <cell r="D559" t="str">
            <v>APJ</v>
          </cell>
          <cell r="H559" t="str">
            <v>X7Q43AA#UUF</v>
          </cell>
          <cell r="M559" t="str">
            <v>Shanghai</v>
          </cell>
        </row>
        <row r="560">
          <cell r="D560" t="str">
            <v>APJ</v>
          </cell>
          <cell r="H560" t="str">
            <v>V0L80AA#UUF</v>
          </cell>
          <cell r="M560" t="str">
            <v>Shanghai</v>
          </cell>
        </row>
        <row r="561">
          <cell r="D561" t="str">
            <v>APJ</v>
          </cell>
          <cell r="H561" t="str">
            <v>2UN30AA#AB2</v>
          </cell>
          <cell r="M561" t="str">
            <v>Shanghai</v>
          </cell>
        </row>
        <row r="562">
          <cell r="D562" t="str">
            <v>APJ</v>
          </cell>
          <cell r="H562" t="str">
            <v>2UN30AA#AB2</v>
          </cell>
          <cell r="M562" t="str">
            <v>Shanghai</v>
          </cell>
        </row>
        <row r="563">
          <cell r="D563" t="str">
            <v>APJ</v>
          </cell>
          <cell r="H563" t="str">
            <v>2UN30AA#AB2</v>
          </cell>
          <cell r="M563" t="str">
            <v>Shanghai</v>
          </cell>
        </row>
        <row r="564">
          <cell r="D564" t="str">
            <v>EMEA</v>
          </cell>
          <cell r="H564" t="str">
            <v>6E6F0AA#ABB</v>
          </cell>
          <cell r="M564" t="str">
            <v>Foxconn CZ</v>
          </cell>
        </row>
        <row r="565">
          <cell r="D565" t="str">
            <v>EMEA</v>
          </cell>
          <cell r="H565" t="str">
            <v>6E6F2AA#ABB</v>
          </cell>
          <cell r="M565" t="str">
            <v>Foxconn CZ</v>
          </cell>
        </row>
        <row r="566">
          <cell r="D566" t="str">
            <v>EMEA</v>
          </cell>
          <cell r="H566" t="str">
            <v>758A8AA#ABB</v>
          </cell>
          <cell r="M566" t="str">
            <v>Foxconn CZ</v>
          </cell>
        </row>
        <row r="567">
          <cell r="D567" t="str">
            <v>EMEA</v>
          </cell>
          <cell r="H567" t="str">
            <v>758A9AA#ABB</v>
          </cell>
          <cell r="M567" t="str">
            <v>Foxconn CZ</v>
          </cell>
        </row>
        <row r="568">
          <cell r="D568" t="str">
            <v>EMEA</v>
          </cell>
          <cell r="H568" t="str">
            <v>4VY82AA#ABB</v>
          </cell>
          <cell r="M568" t="str">
            <v>Foxconn CZ</v>
          </cell>
        </row>
        <row r="569">
          <cell r="D569" t="str">
            <v>EMEA</v>
          </cell>
          <cell r="H569" t="str">
            <v>2HU84AA#ABB</v>
          </cell>
          <cell r="M569" t="str">
            <v>Foxconn CZ</v>
          </cell>
        </row>
        <row r="570">
          <cell r="D570" t="str">
            <v>EMEA</v>
          </cell>
          <cell r="H570" t="str">
            <v>V0L79AA#ABB</v>
          </cell>
          <cell r="M570" t="str">
            <v>Foxconn CZ</v>
          </cell>
        </row>
        <row r="571">
          <cell r="D571" t="str">
            <v>EMEA</v>
          </cell>
          <cell r="H571" t="str">
            <v>43N04AA#ABB</v>
          </cell>
          <cell r="M571" t="str">
            <v>Foxconn CZ</v>
          </cell>
        </row>
        <row r="572">
          <cell r="D572" t="str">
            <v>EMEA</v>
          </cell>
          <cell r="H572" t="str">
            <v>7KX11AA#ABB</v>
          </cell>
          <cell r="M572" t="str">
            <v>Foxconn CZ</v>
          </cell>
        </row>
        <row r="573">
          <cell r="D573" t="str">
            <v>EMEA</v>
          </cell>
          <cell r="H573" t="str">
            <v>7KX12AA#ABB</v>
          </cell>
          <cell r="M573" t="str">
            <v>Foxconn CZ</v>
          </cell>
        </row>
        <row r="574">
          <cell r="D574" t="str">
            <v>EMEA</v>
          </cell>
          <cell r="H574" t="str">
            <v>2HU82AA#ABB</v>
          </cell>
          <cell r="M574" t="str">
            <v>Foxconn CZ</v>
          </cell>
        </row>
        <row r="575">
          <cell r="D575" t="str">
            <v>EMEA</v>
          </cell>
          <cell r="H575" t="str">
            <v>6VY96AA#ABB</v>
          </cell>
          <cell r="M575" t="str">
            <v>Foxconn CZ</v>
          </cell>
        </row>
        <row r="576">
          <cell r="D576" t="str">
            <v>EMEA</v>
          </cell>
          <cell r="H576" t="str">
            <v>2S9L1AA#ABB</v>
          </cell>
          <cell r="M576" t="str">
            <v>Foxconn CZ</v>
          </cell>
        </row>
        <row r="577">
          <cell r="D577" t="str">
            <v>EMEA</v>
          </cell>
          <cell r="H577" t="str">
            <v>7KX12AA#ABB</v>
          </cell>
          <cell r="M577" t="str">
            <v>Foxconn CZ</v>
          </cell>
        </row>
        <row r="578">
          <cell r="D578" t="str">
            <v>EMEA</v>
          </cell>
          <cell r="H578" t="str">
            <v>2HU84AA#ABB</v>
          </cell>
          <cell r="M578" t="str">
            <v>Foxconn CZ</v>
          </cell>
        </row>
        <row r="579">
          <cell r="D579" t="str">
            <v>EMEA</v>
          </cell>
          <cell r="H579" t="str">
            <v>X6W31AA#ABB</v>
          </cell>
          <cell r="M579" t="str">
            <v>Foxconn CZ</v>
          </cell>
        </row>
        <row r="580">
          <cell r="D580" t="str">
            <v>EMEA</v>
          </cell>
          <cell r="H580" t="str">
            <v>V0L79AA#ABB</v>
          </cell>
          <cell r="M580" t="str">
            <v>Foxconn CZ</v>
          </cell>
        </row>
        <row r="581">
          <cell r="D581" t="str">
            <v>EMEA</v>
          </cell>
          <cell r="H581" t="str">
            <v>V0L80AA#ABB</v>
          </cell>
          <cell r="M581" t="str">
            <v>Foxconn CZ</v>
          </cell>
        </row>
        <row r="582">
          <cell r="D582" t="str">
            <v>EMEA</v>
          </cell>
          <cell r="H582" t="str">
            <v>X7Q44AA#ABB</v>
          </cell>
          <cell r="M582" t="str">
            <v>Foxconn CZ</v>
          </cell>
        </row>
        <row r="583">
          <cell r="D583" t="str">
            <v>EMEA</v>
          </cell>
          <cell r="H583" t="str">
            <v>758A8AA#ABB</v>
          </cell>
          <cell r="M583" t="str">
            <v>Foxconn CZ</v>
          </cell>
        </row>
        <row r="584">
          <cell r="D584" t="str">
            <v>EMEA</v>
          </cell>
          <cell r="H584" t="str">
            <v>758A9AA#ABB</v>
          </cell>
          <cell r="M584" t="str">
            <v>Foxconn CZ</v>
          </cell>
        </row>
        <row r="585">
          <cell r="D585" t="str">
            <v>EMEA</v>
          </cell>
          <cell r="H585" t="str">
            <v>6V2J7AA#ABB</v>
          </cell>
          <cell r="M585" t="str">
            <v>Foxconn CZ</v>
          </cell>
        </row>
        <row r="586">
          <cell r="D586" t="str">
            <v>EMEA</v>
          </cell>
          <cell r="H586" t="str">
            <v>793F9AA#ABB</v>
          </cell>
          <cell r="M586" t="str">
            <v>Foxconn CZ</v>
          </cell>
        </row>
        <row r="587">
          <cell r="D587" t="str">
            <v>EMEA</v>
          </cell>
          <cell r="H587" t="str">
            <v>1D0K9AA#ABB</v>
          </cell>
          <cell r="M587" t="str">
            <v>Foxconn CZ</v>
          </cell>
        </row>
        <row r="588">
          <cell r="D588" t="str">
            <v>EMEA</v>
          </cell>
          <cell r="H588" t="str">
            <v>43N04AA#ABB</v>
          </cell>
          <cell r="M588" t="str">
            <v>Foxconn CZ</v>
          </cell>
        </row>
        <row r="589">
          <cell r="D589" t="str">
            <v>EMEA</v>
          </cell>
          <cell r="H589" t="str">
            <v>7KX10AA#ABB</v>
          </cell>
          <cell r="M589" t="str">
            <v>Foxconn CZ</v>
          </cell>
        </row>
        <row r="590">
          <cell r="D590" t="str">
            <v>EMEA</v>
          </cell>
          <cell r="H590" t="str">
            <v>7KX11AA#ABB</v>
          </cell>
          <cell r="M590" t="str">
            <v>Foxconn CZ</v>
          </cell>
        </row>
        <row r="591">
          <cell r="D591" t="str">
            <v>EMEA</v>
          </cell>
          <cell r="H591" t="str">
            <v>2HU82AA#ABB</v>
          </cell>
          <cell r="M591" t="str">
            <v>Foxconn CZ</v>
          </cell>
        </row>
        <row r="592">
          <cell r="D592" t="str">
            <v>EMEA</v>
          </cell>
          <cell r="H592" t="str">
            <v>2HU84AA#ABB</v>
          </cell>
          <cell r="M592" t="str">
            <v>Foxconn CZ</v>
          </cell>
        </row>
        <row r="593">
          <cell r="D593" t="str">
            <v>EMEA</v>
          </cell>
          <cell r="H593" t="str">
            <v>V0L79AA#ABB</v>
          </cell>
          <cell r="M593" t="str">
            <v>Foxconn CZ</v>
          </cell>
        </row>
        <row r="594">
          <cell r="D594" t="str">
            <v>EMEA</v>
          </cell>
          <cell r="H594" t="str">
            <v>X7Q44AA#ABB</v>
          </cell>
          <cell r="M594" t="str">
            <v>Foxconn CZ</v>
          </cell>
        </row>
        <row r="595">
          <cell r="D595" t="str">
            <v>EMEA</v>
          </cell>
          <cell r="H595" t="str">
            <v>2HU83AA#ABB</v>
          </cell>
          <cell r="M595" t="str">
            <v>Foxconn CZ</v>
          </cell>
        </row>
        <row r="596">
          <cell r="D596" t="str">
            <v>EMEA</v>
          </cell>
          <cell r="H596" t="str">
            <v>V0L79AA#ABB</v>
          </cell>
          <cell r="M596" t="str">
            <v>Foxconn CZ</v>
          </cell>
        </row>
        <row r="597">
          <cell r="D597" t="str">
            <v>EMEA</v>
          </cell>
          <cell r="H597" t="str">
            <v>X7Q44AA#ABB</v>
          </cell>
          <cell r="M597" t="str">
            <v>Foxconn CZ</v>
          </cell>
        </row>
        <row r="598">
          <cell r="D598" t="str">
            <v>EMEA</v>
          </cell>
          <cell r="H598" t="str">
            <v>7KX12AA#ABB</v>
          </cell>
          <cell r="M598" t="str">
            <v>Foxconn CZ</v>
          </cell>
        </row>
        <row r="599">
          <cell r="D599" t="str">
            <v>EMEA</v>
          </cell>
          <cell r="H599" t="str">
            <v>6V2J7AA#ABB</v>
          </cell>
          <cell r="M599" t="str">
            <v>Foxconn CZ</v>
          </cell>
        </row>
        <row r="600">
          <cell r="D600" t="str">
            <v>EMEA</v>
          </cell>
          <cell r="H600" t="str">
            <v>758A9AA#ABB</v>
          </cell>
          <cell r="M600" t="str">
            <v>Foxconn CZ</v>
          </cell>
        </row>
        <row r="601">
          <cell r="D601" t="str">
            <v>EMEA</v>
          </cell>
          <cell r="H601" t="str">
            <v>758A9AA#ABB</v>
          </cell>
          <cell r="M601" t="str">
            <v>Foxconn CZ</v>
          </cell>
        </row>
        <row r="602">
          <cell r="D602" t="str">
            <v>EMEA</v>
          </cell>
          <cell r="H602" t="str">
            <v>758A9AA#ABB</v>
          </cell>
          <cell r="M602" t="str">
            <v>Foxconn CZ</v>
          </cell>
        </row>
        <row r="603">
          <cell r="D603" t="str">
            <v>EMEA</v>
          </cell>
          <cell r="H603" t="str">
            <v>6VY96AA#ABB</v>
          </cell>
          <cell r="M603" t="str">
            <v>Foxconn CZ</v>
          </cell>
        </row>
        <row r="604">
          <cell r="D604" t="str">
            <v>EMEA</v>
          </cell>
          <cell r="H604" t="str">
            <v>758A8AA#ABB</v>
          </cell>
          <cell r="M604" t="str">
            <v>Foxconn CZ</v>
          </cell>
        </row>
        <row r="605">
          <cell r="D605" t="str">
            <v>EMEA</v>
          </cell>
          <cell r="H605" t="str">
            <v>6VY96AA#ABB</v>
          </cell>
          <cell r="M605" t="str">
            <v>Foxconn CZ</v>
          </cell>
        </row>
        <row r="606">
          <cell r="D606" t="str">
            <v>EMEA</v>
          </cell>
          <cell r="H606" t="str">
            <v>43N04AA#ABB</v>
          </cell>
          <cell r="M606" t="str">
            <v>Foxconn CZ</v>
          </cell>
        </row>
        <row r="607">
          <cell r="D607" t="str">
            <v>EMEA</v>
          </cell>
          <cell r="H607" t="str">
            <v>7KX12AA#ABB</v>
          </cell>
          <cell r="M607" t="str">
            <v>Foxconn CZ</v>
          </cell>
        </row>
        <row r="608">
          <cell r="D608" t="str">
            <v>EMEA</v>
          </cell>
          <cell r="H608" t="str">
            <v>171D8AA#ABB</v>
          </cell>
          <cell r="M608" t="str">
            <v>Foxconn CZ</v>
          </cell>
        </row>
        <row r="609">
          <cell r="D609" t="str">
            <v>EMEA</v>
          </cell>
          <cell r="H609" t="str">
            <v>758A8AA#ABB</v>
          </cell>
          <cell r="M609" t="str">
            <v>Foxconn CZ</v>
          </cell>
        </row>
        <row r="610">
          <cell r="D610" t="str">
            <v>EMEA</v>
          </cell>
          <cell r="H610" t="str">
            <v>4VY82AA#ABB</v>
          </cell>
          <cell r="M610" t="str">
            <v>Foxconn CZ</v>
          </cell>
        </row>
        <row r="611">
          <cell r="D611" t="str">
            <v>EMEA</v>
          </cell>
          <cell r="H611" t="str">
            <v>7KX12AA#ABB</v>
          </cell>
          <cell r="M611" t="str">
            <v>Foxconn CZ</v>
          </cell>
        </row>
        <row r="612">
          <cell r="D612" t="str">
            <v>EMEA</v>
          </cell>
          <cell r="H612" t="str">
            <v>6E6F0AA#ABB</v>
          </cell>
          <cell r="M612" t="str">
            <v>Foxconn CZ</v>
          </cell>
        </row>
        <row r="613">
          <cell r="D613" t="str">
            <v>EMEA</v>
          </cell>
          <cell r="H613" t="str">
            <v>6E6F2AA#ABB</v>
          </cell>
          <cell r="M613" t="str">
            <v>Foxconn CZ</v>
          </cell>
        </row>
        <row r="614">
          <cell r="D614" t="str">
            <v>EMEA</v>
          </cell>
          <cell r="H614" t="str">
            <v>6V2J7AA#ABB</v>
          </cell>
          <cell r="M614" t="str">
            <v>Foxconn CZ</v>
          </cell>
        </row>
        <row r="615">
          <cell r="D615" t="str">
            <v>EMEA</v>
          </cell>
          <cell r="H615" t="str">
            <v>6VY96AA#ABB</v>
          </cell>
          <cell r="M615" t="str">
            <v>Foxconn CZ</v>
          </cell>
        </row>
        <row r="616">
          <cell r="D616" t="str">
            <v>EMEA</v>
          </cell>
          <cell r="H616" t="str">
            <v>758A8AA#ABB</v>
          </cell>
          <cell r="M616" t="str">
            <v>Foxconn CZ</v>
          </cell>
        </row>
        <row r="617">
          <cell r="D617" t="str">
            <v>EMEA</v>
          </cell>
          <cell r="H617" t="str">
            <v>758A9AA#ABB</v>
          </cell>
          <cell r="M617" t="str">
            <v>Foxconn CZ</v>
          </cell>
        </row>
        <row r="618">
          <cell r="D618" t="str">
            <v>EMEA</v>
          </cell>
          <cell r="H618" t="str">
            <v>1D0K8AA#AC3</v>
          </cell>
          <cell r="M618" t="str">
            <v>Foxconn CZ</v>
          </cell>
        </row>
        <row r="619">
          <cell r="D619" t="str">
            <v>EMEA</v>
          </cell>
          <cell r="H619" t="str">
            <v>758A8AA#ABB</v>
          </cell>
          <cell r="M619" t="str">
            <v>Foxconn CZ</v>
          </cell>
        </row>
        <row r="620">
          <cell r="D620" t="str">
            <v>EMEA</v>
          </cell>
          <cell r="H620" t="str">
            <v>758A9AA#ABB</v>
          </cell>
          <cell r="M620" t="str">
            <v>Foxconn CZ</v>
          </cell>
        </row>
        <row r="621">
          <cell r="D621" t="str">
            <v>EMEA</v>
          </cell>
          <cell r="H621" t="str">
            <v>43N04AA#ABB</v>
          </cell>
          <cell r="M621" t="str">
            <v>Foxconn CZ</v>
          </cell>
        </row>
        <row r="622">
          <cell r="D622" t="str">
            <v>EMEA</v>
          </cell>
          <cell r="H622" t="str">
            <v>43N05AA#ABB</v>
          </cell>
          <cell r="M622" t="str">
            <v>Foxconn CZ</v>
          </cell>
        </row>
        <row r="623">
          <cell r="D623" t="str">
            <v>EMEA</v>
          </cell>
          <cell r="H623" t="str">
            <v>6VY96AA#ABB</v>
          </cell>
          <cell r="M623" t="str">
            <v>Foxconn CZ</v>
          </cell>
        </row>
        <row r="624">
          <cell r="D624" t="str">
            <v>EMEA</v>
          </cell>
          <cell r="H624" t="str">
            <v>758A8AA#ABB</v>
          </cell>
          <cell r="M624" t="str">
            <v>Foxconn CZ</v>
          </cell>
        </row>
        <row r="625">
          <cell r="D625" t="str">
            <v>EMEA</v>
          </cell>
          <cell r="H625" t="str">
            <v>758A9AA#ABB</v>
          </cell>
          <cell r="M625" t="str">
            <v>Foxconn CZ</v>
          </cell>
        </row>
        <row r="626">
          <cell r="D626" t="str">
            <v>EMEA</v>
          </cell>
          <cell r="H626" t="str">
            <v>V0L79AA#ABB</v>
          </cell>
          <cell r="M626" t="str">
            <v>Foxconn CZ</v>
          </cell>
        </row>
        <row r="627">
          <cell r="D627" t="str">
            <v>EMEA</v>
          </cell>
          <cell r="H627" t="str">
            <v>2D802AA#ABB</v>
          </cell>
          <cell r="M627" t="str">
            <v>Foxconn CZ</v>
          </cell>
        </row>
        <row r="628">
          <cell r="D628" t="str">
            <v>EMEA</v>
          </cell>
          <cell r="H628" t="str">
            <v>6VY96AA#ABB</v>
          </cell>
          <cell r="M628" t="str">
            <v>Foxconn CZ</v>
          </cell>
        </row>
        <row r="629">
          <cell r="D629" t="str">
            <v>EMEA</v>
          </cell>
          <cell r="H629" t="str">
            <v>758A8AA#ABB</v>
          </cell>
          <cell r="M629" t="str">
            <v>Foxconn CZ</v>
          </cell>
        </row>
        <row r="630">
          <cell r="D630" t="str">
            <v>EMEA</v>
          </cell>
          <cell r="H630" t="str">
            <v>V0L79AA#ABB</v>
          </cell>
          <cell r="M630" t="str">
            <v>Foxconn CZ</v>
          </cell>
        </row>
        <row r="631">
          <cell r="D631" t="str">
            <v>EMEA</v>
          </cell>
          <cell r="H631" t="str">
            <v>171D8AA#ABB</v>
          </cell>
          <cell r="M631" t="str">
            <v>Foxconn CZ</v>
          </cell>
        </row>
        <row r="632">
          <cell r="D632" t="str">
            <v>EMEA</v>
          </cell>
          <cell r="H632" t="str">
            <v>758A8AA#ABB</v>
          </cell>
          <cell r="M632" t="str">
            <v>Foxconn CZ</v>
          </cell>
        </row>
        <row r="633">
          <cell r="D633" t="str">
            <v>EMEA</v>
          </cell>
          <cell r="H633" t="str">
            <v>7KX12AA#ABB</v>
          </cell>
          <cell r="M633" t="str">
            <v>Foxconn CZ</v>
          </cell>
        </row>
        <row r="634">
          <cell r="D634" t="str">
            <v>EMEA</v>
          </cell>
          <cell r="H634" t="str">
            <v>2HU84AA#ABB</v>
          </cell>
          <cell r="M634" t="str">
            <v>Foxconn CZ</v>
          </cell>
        </row>
        <row r="635">
          <cell r="D635" t="str">
            <v>EMEA</v>
          </cell>
          <cell r="H635" t="str">
            <v>43N04AA#ABB</v>
          </cell>
          <cell r="M635" t="str">
            <v>Foxconn CZ</v>
          </cell>
        </row>
        <row r="636">
          <cell r="D636" t="str">
            <v>EMEA</v>
          </cell>
          <cell r="H636" t="str">
            <v>7KX11AA#ABB</v>
          </cell>
          <cell r="M636" t="str">
            <v>Foxconn CZ</v>
          </cell>
        </row>
        <row r="637">
          <cell r="D637" t="str">
            <v>EMEA</v>
          </cell>
          <cell r="H637" t="str">
            <v>7KX12AA#ABB</v>
          </cell>
          <cell r="M637" t="str">
            <v>Foxconn CZ</v>
          </cell>
        </row>
        <row r="638">
          <cell r="D638" t="str">
            <v>EMEA</v>
          </cell>
          <cell r="H638" t="str">
            <v>1D0K2AA#AC3</v>
          </cell>
          <cell r="M638" t="str">
            <v>Foxconn CZ</v>
          </cell>
        </row>
        <row r="639">
          <cell r="D639" t="str">
            <v>EMEA</v>
          </cell>
          <cell r="H639" t="str">
            <v>1D0K2AA#AC3</v>
          </cell>
          <cell r="M639" t="str">
            <v>Foxconn CZ</v>
          </cell>
        </row>
        <row r="640">
          <cell r="D640" t="str">
            <v>EMEA</v>
          </cell>
          <cell r="H640" t="str">
            <v>1D0K8AA#AC3</v>
          </cell>
          <cell r="M640" t="str">
            <v>Foxconn CZ</v>
          </cell>
        </row>
        <row r="641">
          <cell r="D641" t="str">
            <v>EMEA</v>
          </cell>
          <cell r="H641" t="str">
            <v>2HU83AA#ABB</v>
          </cell>
          <cell r="M641" t="str">
            <v>Foxconn CZ</v>
          </cell>
        </row>
        <row r="642">
          <cell r="D642" t="str">
            <v>EMEA</v>
          </cell>
          <cell r="H642" t="str">
            <v>758A9AA#ABB</v>
          </cell>
          <cell r="M642" t="str">
            <v>Foxconn CZ</v>
          </cell>
        </row>
        <row r="643">
          <cell r="D643" t="str">
            <v>EMEA</v>
          </cell>
          <cell r="H643" t="str">
            <v>V0L79AA#ABB</v>
          </cell>
          <cell r="M643" t="str">
            <v>Foxconn CZ</v>
          </cell>
        </row>
        <row r="644">
          <cell r="D644" t="str">
            <v>EMEA</v>
          </cell>
          <cell r="H644" t="str">
            <v>X7Q44AA#ABB</v>
          </cell>
          <cell r="M644" t="str">
            <v>Foxconn CZ</v>
          </cell>
        </row>
        <row r="645">
          <cell r="D645" t="str">
            <v>EMEA</v>
          </cell>
          <cell r="H645" t="str">
            <v>4VY82AA#ABB</v>
          </cell>
          <cell r="M645" t="str">
            <v>Foxconn CZ</v>
          </cell>
        </row>
        <row r="646">
          <cell r="D646" t="str">
            <v>EMEA</v>
          </cell>
          <cell r="H646" t="str">
            <v>758A9AA#ABB</v>
          </cell>
          <cell r="M646" t="str">
            <v>Foxconn CZ</v>
          </cell>
        </row>
        <row r="647">
          <cell r="D647" t="str">
            <v>EMEA</v>
          </cell>
          <cell r="H647" t="str">
            <v>7UH88AA#ABB</v>
          </cell>
          <cell r="M647" t="str">
            <v>Foxconn CZ</v>
          </cell>
        </row>
        <row r="648">
          <cell r="D648" t="str">
            <v>EMEA</v>
          </cell>
          <cell r="H648" t="str">
            <v>V0L79AA#ABB</v>
          </cell>
          <cell r="M648" t="str">
            <v>Foxconn CZ</v>
          </cell>
        </row>
        <row r="649">
          <cell r="D649" t="str">
            <v>EMEA</v>
          </cell>
          <cell r="H649" t="str">
            <v>X7Q44AA#ABB</v>
          </cell>
          <cell r="M649" t="str">
            <v>Foxconn CZ</v>
          </cell>
        </row>
        <row r="650">
          <cell r="D650" t="str">
            <v>EMEA</v>
          </cell>
          <cell r="H650" t="str">
            <v>7KX12AA#ABB</v>
          </cell>
          <cell r="M650" t="str">
            <v>Foxconn CZ</v>
          </cell>
        </row>
        <row r="651">
          <cell r="D651" t="str">
            <v>EMEA</v>
          </cell>
          <cell r="H651" t="str">
            <v>7UH88AA#ABB</v>
          </cell>
          <cell r="M651" t="str">
            <v>Foxconn CZ</v>
          </cell>
        </row>
        <row r="652">
          <cell r="D652" t="str">
            <v>EMEA</v>
          </cell>
          <cell r="H652" t="str">
            <v>V0L79AA#ABB</v>
          </cell>
          <cell r="M652" t="str">
            <v>Foxconn CZ</v>
          </cell>
        </row>
        <row r="653">
          <cell r="D653" t="str">
            <v>EMEA</v>
          </cell>
          <cell r="H653" t="str">
            <v>V0L82AA#ABB</v>
          </cell>
          <cell r="M653" t="str">
            <v>Foxconn CZ</v>
          </cell>
        </row>
        <row r="654">
          <cell r="D654" t="str">
            <v>EMEA</v>
          </cell>
          <cell r="H654" t="str">
            <v>X7Q43AA#ABB</v>
          </cell>
          <cell r="M654" t="str">
            <v>Foxconn CZ</v>
          </cell>
        </row>
        <row r="655">
          <cell r="D655" t="str">
            <v>EMEA</v>
          </cell>
          <cell r="H655" t="str">
            <v>X7Q44AA#ABB</v>
          </cell>
          <cell r="M655" t="str">
            <v>Foxconn CZ</v>
          </cell>
        </row>
        <row r="656">
          <cell r="D656" t="str">
            <v>EMEA</v>
          </cell>
          <cell r="H656" t="str">
            <v>240J6AA#ABB</v>
          </cell>
          <cell r="M656" t="str">
            <v>Foxconn CZ</v>
          </cell>
        </row>
        <row r="657">
          <cell r="D657" t="str">
            <v>EMEA</v>
          </cell>
          <cell r="H657" t="str">
            <v>4X491AA#AC3</v>
          </cell>
          <cell r="M657" t="str">
            <v>Foxconn CZ</v>
          </cell>
        </row>
        <row r="658">
          <cell r="D658" t="str">
            <v>EMEA</v>
          </cell>
          <cell r="H658" t="str">
            <v>7KX12AA#ABB</v>
          </cell>
          <cell r="M658" t="str">
            <v>Foxconn CZ</v>
          </cell>
        </row>
        <row r="659">
          <cell r="D659" t="str">
            <v>EMEA</v>
          </cell>
          <cell r="H659" t="str">
            <v>V0L79AA#ABB</v>
          </cell>
          <cell r="M659" t="str">
            <v>Foxconn CZ</v>
          </cell>
        </row>
        <row r="660">
          <cell r="D660" t="str">
            <v>EMEA</v>
          </cell>
          <cell r="H660" t="str">
            <v>V0L81AA#ABB</v>
          </cell>
          <cell r="M660" t="str">
            <v>Foxconn CZ</v>
          </cell>
        </row>
        <row r="661">
          <cell r="D661" t="str">
            <v>EMEA</v>
          </cell>
          <cell r="H661" t="str">
            <v>X7Q43AA#ABB</v>
          </cell>
          <cell r="M661" t="str">
            <v>Foxconn CZ</v>
          </cell>
        </row>
        <row r="662">
          <cell r="D662" t="str">
            <v>EMEA</v>
          </cell>
          <cell r="H662" t="str">
            <v>X7Q44AA#ABB</v>
          </cell>
          <cell r="M662" t="str">
            <v>Foxconn CZ</v>
          </cell>
        </row>
        <row r="663">
          <cell r="D663" t="str">
            <v>EMEA</v>
          </cell>
          <cell r="H663" t="str">
            <v>171D8AA#ABB</v>
          </cell>
          <cell r="M663" t="str">
            <v>Foxconn CZ</v>
          </cell>
        </row>
        <row r="664">
          <cell r="D664" t="str">
            <v>EMEA</v>
          </cell>
          <cell r="H664" t="str">
            <v>1D0K8AA#AC3</v>
          </cell>
          <cell r="M664" t="str">
            <v>Foxconn CZ</v>
          </cell>
        </row>
        <row r="665">
          <cell r="D665" t="str">
            <v>EMEA</v>
          </cell>
          <cell r="H665" t="str">
            <v>2HU82AA#ABB</v>
          </cell>
          <cell r="M665" t="str">
            <v>Foxconn CZ</v>
          </cell>
        </row>
        <row r="666">
          <cell r="D666" t="str">
            <v>EMEA</v>
          </cell>
          <cell r="H666" t="str">
            <v>43N05AA#ABB</v>
          </cell>
          <cell r="M666" t="str">
            <v>Foxconn CZ</v>
          </cell>
        </row>
        <row r="667">
          <cell r="D667" t="str">
            <v>EMEA</v>
          </cell>
          <cell r="H667" t="str">
            <v>6VY96AA#ABB</v>
          </cell>
          <cell r="M667" t="str">
            <v>Foxconn CZ</v>
          </cell>
        </row>
        <row r="668">
          <cell r="D668" t="str">
            <v>EMEA</v>
          </cell>
          <cell r="H668" t="str">
            <v>V0L79AA#ABB</v>
          </cell>
          <cell r="M668" t="str">
            <v>Foxconn CZ</v>
          </cell>
        </row>
        <row r="669">
          <cell r="D669" t="str">
            <v>EMEA</v>
          </cell>
          <cell r="H669" t="str">
            <v>X6W31AA#ABB</v>
          </cell>
          <cell r="M669" t="str">
            <v>Foxconn CZ</v>
          </cell>
        </row>
        <row r="670">
          <cell r="D670" t="str">
            <v>EMEA</v>
          </cell>
          <cell r="H670" t="str">
            <v>X7Q44AA#ABB</v>
          </cell>
          <cell r="M670" t="str">
            <v>Foxconn CZ</v>
          </cell>
        </row>
        <row r="671">
          <cell r="D671" t="str">
            <v>EMEA</v>
          </cell>
          <cell r="H671" t="str">
            <v>1D0K8AA#AC3</v>
          </cell>
          <cell r="M671" t="str">
            <v>Foxconn CZ</v>
          </cell>
        </row>
        <row r="672">
          <cell r="D672" t="str">
            <v>EMEA</v>
          </cell>
          <cell r="H672" t="str">
            <v>6VY96AA#ABB</v>
          </cell>
          <cell r="M672" t="str">
            <v>Foxconn CZ</v>
          </cell>
        </row>
        <row r="673">
          <cell r="D673" t="str">
            <v>EMEA</v>
          </cell>
          <cell r="H673" t="str">
            <v>7KX12AA#ABB</v>
          </cell>
          <cell r="M673" t="str">
            <v>Foxconn CZ</v>
          </cell>
        </row>
        <row r="674">
          <cell r="D674" t="str">
            <v>EMEA</v>
          </cell>
          <cell r="H674" t="str">
            <v>V0L79AA#ABB</v>
          </cell>
          <cell r="M674" t="str">
            <v>Foxconn CZ</v>
          </cell>
        </row>
        <row r="675">
          <cell r="D675" t="str">
            <v>EMEA</v>
          </cell>
          <cell r="H675" t="str">
            <v>X6W31AA#ABB</v>
          </cell>
          <cell r="M675" t="str">
            <v>Foxconn CZ</v>
          </cell>
        </row>
        <row r="676">
          <cell r="D676" t="str">
            <v>EMEA</v>
          </cell>
          <cell r="H676" t="str">
            <v>X7Q44AA#ABB</v>
          </cell>
          <cell r="M676" t="str">
            <v>Foxconn CZ</v>
          </cell>
        </row>
        <row r="677">
          <cell r="D677" t="str">
            <v>EMEA</v>
          </cell>
          <cell r="H677" t="str">
            <v>1D0K9AA#ABB</v>
          </cell>
          <cell r="M677" t="str">
            <v>Foxconn CZ</v>
          </cell>
        </row>
        <row r="678">
          <cell r="D678" t="str">
            <v>EMEA</v>
          </cell>
          <cell r="H678" t="str">
            <v>428H5AA#ABB</v>
          </cell>
          <cell r="M678" t="str">
            <v>Foxconn CZ</v>
          </cell>
        </row>
        <row r="679">
          <cell r="D679" t="str">
            <v>EMEA</v>
          </cell>
          <cell r="H679" t="str">
            <v>6VY96AA#ABB</v>
          </cell>
          <cell r="M679" t="str">
            <v>Foxconn CZ</v>
          </cell>
        </row>
        <row r="680">
          <cell r="D680" t="str">
            <v>EMEA</v>
          </cell>
          <cell r="H680" t="str">
            <v>V0L79AA#ABB</v>
          </cell>
          <cell r="M680" t="str">
            <v>Foxconn CZ</v>
          </cell>
        </row>
        <row r="681">
          <cell r="D681" t="str">
            <v>EMEA</v>
          </cell>
          <cell r="H681" t="str">
            <v>V0L80AA#ABB</v>
          </cell>
          <cell r="M681" t="str">
            <v>Foxconn CZ</v>
          </cell>
        </row>
        <row r="682">
          <cell r="D682" t="str">
            <v>EMEA</v>
          </cell>
          <cell r="H682" t="str">
            <v>X6W31AA#ABB</v>
          </cell>
          <cell r="M682" t="str">
            <v>Foxconn CZ</v>
          </cell>
        </row>
        <row r="683">
          <cell r="D683" t="str">
            <v>EMEA</v>
          </cell>
          <cell r="H683" t="str">
            <v>X7Q44AA#ABB</v>
          </cell>
          <cell r="M683" t="str">
            <v>Foxconn CZ</v>
          </cell>
        </row>
        <row r="684">
          <cell r="D684" t="str">
            <v>EMEA</v>
          </cell>
          <cell r="H684" t="str">
            <v>6VY96AA#ABB</v>
          </cell>
          <cell r="M684" t="str">
            <v>Foxconn CZ</v>
          </cell>
        </row>
        <row r="685">
          <cell r="D685" t="str">
            <v>EMEA</v>
          </cell>
          <cell r="H685" t="str">
            <v>171D8AA#ABB</v>
          </cell>
          <cell r="M685" t="str">
            <v>Foxconn CZ</v>
          </cell>
        </row>
        <row r="686">
          <cell r="D686" t="str">
            <v>EMEA</v>
          </cell>
          <cell r="H686" t="str">
            <v>1D0K2AA#AC3</v>
          </cell>
          <cell r="M686" t="str">
            <v>Foxconn CZ</v>
          </cell>
        </row>
        <row r="687">
          <cell r="D687" t="str">
            <v>EMEA</v>
          </cell>
          <cell r="H687" t="str">
            <v>2S9L1AA#ABB</v>
          </cell>
          <cell r="M687" t="str">
            <v>Foxconn CZ</v>
          </cell>
        </row>
        <row r="688">
          <cell r="D688" t="str">
            <v>EMEA</v>
          </cell>
          <cell r="H688" t="str">
            <v>3V0G9AA#ABB</v>
          </cell>
          <cell r="M688" t="str">
            <v>Foxconn CZ</v>
          </cell>
        </row>
        <row r="689">
          <cell r="D689" t="str">
            <v>EMEA</v>
          </cell>
          <cell r="H689" t="str">
            <v>6VY96AA#ABB</v>
          </cell>
          <cell r="M689" t="str">
            <v>Foxconn CZ</v>
          </cell>
        </row>
        <row r="690">
          <cell r="D690" t="str">
            <v>EMEA</v>
          </cell>
          <cell r="H690" t="str">
            <v>X7Q43AA#ABB</v>
          </cell>
          <cell r="M690" t="str">
            <v>Foxconn CZ</v>
          </cell>
        </row>
        <row r="691">
          <cell r="D691" t="str">
            <v>EMEA</v>
          </cell>
          <cell r="H691" t="str">
            <v>3V0G9AA#ABB</v>
          </cell>
          <cell r="M691" t="str">
            <v>Foxconn CZ</v>
          </cell>
        </row>
        <row r="692">
          <cell r="D692" t="str">
            <v>EMEA</v>
          </cell>
          <cell r="H692" t="str">
            <v>4VY82AA#ABB</v>
          </cell>
          <cell r="M692" t="str">
            <v>Foxconn CZ</v>
          </cell>
        </row>
        <row r="693">
          <cell r="D693" t="str">
            <v>EMEA</v>
          </cell>
          <cell r="H693" t="str">
            <v>X6W31AA#ABB</v>
          </cell>
          <cell r="M693" t="str">
            <v>Foxconn CZ</v>
          </cell>
        </row>
        <row r="694">
          <cell r="D694" t="str">
            <v>EMEA</v>
          </cell>
          <cell r="H694" t="str">
            <v>81S67AA#ABB</v>
          </cell>
          <cell r="M694" t="str">
            <v>Foxconn CZ</v>
          </cell>
        </row>
        <row r="695">
          <cell r="D695" t="str">
            <v>EMEA</v>
          </cell>
          <cell r="H695" t="str">
            <v>81S67AA#ABB</v>
          </cell>
          <cell r="M695" t="str">
            <v>Foxconn CZ</v>
          </cell>
        </row>
        <row r="696">
          <cell r="D696" t="str">
            <v>EMEA</v>
          </cell>
          <cell r="H696" t="str">
            <v>4E407AA#AC3</v>
          </cell>
          <cell r="M696" t="str">
            <v>Foxconn CZ</v>
          </cell>
        </row>
        <row r="697">
          <cell r="D697" t="str">
            <v>EMEA</v>
          </cell>
          <cell r="H697" t="str">
            <v>81S67AA#ABB</v>
          </cell>
          <cell r="M697" t="str">
            <v>Foxconn CZ</v>
          </cell>
        </row>
        <row r="698">
          <cell r="D698" t="str">
            <v>EMEA</v>
          </cell>
          <cell r="H698" t="str">
            <v>240J6AA#ABB</v>
          </cell>
          <cell r="M698" t="str">
            <v>Foxconn CZ</v>
          </cell>
        </row>
        <row r="699">
          <cell r="D699" t="str">
            <v>EMEA</v>
          </cell>
          <cell r="H699" t="str">
            <v>4E407AA#AC3</v>
          </cell>
          <cell r="M699" t="str">
            <v>Foxconn CZ</v>
          </cell>
        </row>
        <row r="700">
          <cell r="D700" t="str">
            <v>EMEA</v>
          </cell>
          <cell r="H700" t="str">
            <v>6VY96AA#ABB</v>
          </cell>
          <cell r="M700" t="str">
            <v>Foxconn CZ</v>
          </cell>
        </row>
        <row r="701">
          <cell r="D701" t="str">
            <v>EMEA</v>
          </cell>
          <cell r="H701" t="str">
            <v>7UH88AA#ABB</v>
          </cell>
          <cell r="M701" t="str">
            <v>Foxconn CZ</v>
          </cell>
        </row>
        <row r="702">
          <cell r="D702" t="str">
            <v>EMEA</v>
          </cell>
          <cell r="H702" t="str">
            <v>1D0K8AA#AC3</v>
          </cell>
          <cell r="M702" t="str">
            <v>Foxconn CZ</v>
          </cell>
        </row>
        <row r="703">
          <cell r="D703" t="str">
            <v>EMEA</v>
          </cell>
          <cell r="H703" t="str">
            <v>3V0G9AA#ABB</v>
          </cell>
          <cell r="M703" t="str">
            <v>Foxconn CZ</v>
          </cell>
        </row>
        <row r="704">
          <cell r="D704" t="str">
            <v>EMEA</v>
          </cell>
          <cell r="H704" t="str">
            <v>428H6AA#ABB</v>
          </cell>
          <cell r="M704" t="str">
            <v>Foxconn CZ</v>
          </cell>
        </row>
        <row r="705">
          <cell r="D705" t="str">
            <v>EMEA</v>
          </cell>
          <cell r="H705" t="str">
            <v>6VY96AA#ABB</v>
          </cell>
          <cell r="M705" t="str">
            <v>Foxconn CZ</v>
          </cell>
        </row>
        <row r="706">
          <cell r="D706" t="str">
            <v>EMEA</v>
          </cell>
          <cell r="H706" t="str">
            <v>2HU84AA#ABB</v>
          </cell>
          <cell r="M706" t="str">
            <v>Foxconn CZ</v>
          </cell>
        </row>
        <row r="707">
          <cell r="D707" t="str">
            <v>EMEA</v>
          </cell>
          <cell r="H707" t="str">
            <v>2S9L1AA#ABB</v>
          </cell>
          <cell r="M707" t="str">
            <v>Foxconn CZ</v>
          </cell>
        </row>
        <row r="708">
          <cell r="D708" t="str">
            <v>EMEA</v>
          </cell>
          <cell r="H708" t="str">
            <v>6VY96AA#ABB</v>
          </cell>
          <cell r="M708" t="str">
            <v>Foxconn CZ</v>
          </cell>
        </row>
        <row r="709">
          <cell r="D709" t="str">
            <v>EMEA</v>
          </cell>
          <cell r="H709" t="str">
            <v>43N04AA#ABB</v>
          </cell>
          <cell r="M709" t="str">
            <v>Foxconn CZ</v>
          </cell>
        </row>
        <row r="710">
          <cell r="D710" t="str">
            <v>EMEA</v>
          </cell>
          <cell r="H710" t="str">
            <v>4E407AA#AC3</v>
          </cell>
          <cell r="M710" t="str">
            <v>Foxconn CZ</v>
          </cell>
        </row>
        <row r="711">
          <cell r="D711" t="str">
            <v>EMEA</v>
          </cell>
          <cell r="H711" t="str">
            <v>4E407AA#AC3</v>
          </cell>
          <cell r="M711" t="str">
            <v>Foxconn CZ</v>
          </cell>
        </row>
        <row r="712">
          <cell r="D712" t="str">
            <v>EMEA</v>
          </cell>
          <cell r="H712" t="str">
            <v>1D0K2AA#AC3</v>
          </cell>
          <cell r="M712" t="str">
            <v>Foxconn CZ</v>
          </cell>
        </row>
        <row r="713">
          <cell r="D713" t="str">
            <v>EMEA</v>
          </cell>
          <cell r="H713" t="str">
            <v>3V0G9AA#ABB</v>
          </cell>
          <cell r="M713" t="str">
            <v>Foxconn CZ</v>
          </cell>
        </row>
        <row r="714">
          <cell r="D714" t="str">
            <v>EMEA</v>
          </cell>
          <cell r="H714" t="str">
            <v>428H6AA#ABB</v>
          </cell>
          <cell r="M714" t="str">
            <v>Foxconn CZ</v>
          </cell>
        </row>
        <row r="715">
          <cell r="D715" t="str">
            <v>EMEA</v>
          </cell>
          <cell r="H715" t="str">
            <v>6VY96AA#ABB</v>
          </cell>
          <cell r="M715" t="str">
            <v>Foxconn CZ</v>
          </cell>
        </row>
        <row r="716">
          <cell r="D716" t="str">
            <v>EMEA</v>
          </cell>
          <cell r="H716" t="str">
            <v>2HU84AA#ABB</v>
          </cell>
          <cell r="M716" t="str">
            <v>Foxconn CZ</v>
          </cell>
        </row>
        <row r="717">
          <cell r="D717" t="str">
            <v>EMEA</v>
          </cell>
          <cell r="H717" t="str">
            <v>3FV66AA#ABB</v>
          </cell>
          <cell r="M717" t="str">
            <v>Foxconn CZ</v>
          </cell>
        </row>
        <row r="718">
          <cell r="D718" t="str">
            <v>EMEA</v>
          </cell>
          <cell r="H718" t="str">
            <v>43N04AA#ABB</v>
          </cell>
          <cell r="M718" t="str">
            <v>Foxconn CZ</v>
          </cell>
        </row>
        <row r="719">
          <cell r="D719" t="str">
            <v>EMEA</v>
          </cell>
          <cell r="H719" t="str">
            <v>43N05AA#ABB</v>
          </cell>
          <cell r="M719" t="str">
            <v>Foxconn CZ</v>
          </cell>
        </row>
        <row r="720">
          <cell r="D720" t="str">
            <v>EMEA</v>
          </cell>
          <cell r="H720" t="str">
            <v>4QM14AA#ABB</v>
          </cell>
          <cell r="M720" t="str">
            <v>Foxconn CZ</v>
          </cell>
        </row>
        <row r="721">
          <cell r="D721" t="str">
            <v>EMEA</v>
          </cell>
          <cell r="H721" t="str">
            <v>6VY96AA#ABB</v>
          </cell>
          <cell r="M721" t="str">
            <v>Foxconn CZ</v>
          </cell>
        </row>
        <row r="722">
          <cell r="D722" t="str">
            <v>EMEA</v>
          </cell>
          <cell r="H722" t="str">
            <v>240J6AA#ABB</v>
          </cell>
          <cell r="M722" t="str">
            <v>Foxconn CZ</v>
          </cell>
        </row>
        <row r="723">
          <cell r="D723" t="str">
            <v>EMEA</v>
          </cell>
          <cell r="H723" t="str">
            <v>43N04AA#ABB</v>
          </cell>
          <cell r="M723" t="str">
            <v>Foxconn CZ</v>
          </cell>
        </row>
        <row r="724">
          <cell r="D724" t="str">
            <v>EMEA</v>
          </cell>
          <cell r="H724" t="str">
            <v>4QM14AA#ABB</v>
          </cell>
          <cell r="M724" t="str">
            <v>Foxconn CZ</v>
          </cell>
        </row>
        <row r="725">
          <cell r="D725" t="str">
            <v>EMEA</v>
          </cell>
          <cell r="H725" t="str">
            <v>6VY96AA#ABB</v>
          </cell>
          <cell r="M725" t="str">
            <v>Foxconn CZ</v>
          </cell>
        </row>
        <row r="726">
          <cell r="D726" t="str">
            <v>EMEA</v>
          </cell>
          <cell r="H726" t="str">
            <v>77B11AA#ABB</v>
          </cell>
          <cell r="M726" t="str">
            <v>Foxconn CZ</v>
          </cell>
        </row>
        <row r="727">
          <cell r="D727" t="str">
            <v>EMEA</v>
          </cell>
          <cell r="H727" t="str">
            <v>43N04AA#ABB</v>
          </cell>
          <cell r="M727" t="str">
            <v>Foxconn CZ</v>
          </cell>
        </row>
        <row r="728">
          <cell r="D728" t="str">
            <v>EMEA</v>
          </cell>
          <cell r="H728" t="str">
            <v>43N04AA#ABB</v>
          </cell>
          <cell r="M728" t="str">
            <v>Foxconn CZ</v>
          </cell>
        </row>
        <row r="729">
          <cell r="D729" t="str">
            <v>EMEA</v>
          </cell>
          <cell r="H729" t="str">
            <v>4X491AA#AC3</v>
          </cell>
          <cell r="M729" t="str">
            <v>Foxconn CZ</v>
          </cell>
        </row>
        <row r="730">
          <cell r="D730" t="str">
            <v>EMEA</v>
          </cell>
          <cell r="H730" t="str">
            <v>77B11AA#ABB</v>
          </cell>
          <cell r="M730" t="str">
            <v>Foxconn CZ</v>
          </cell>
        </row>
        <row r="731">
          <cell r="D731" t="str">
            <v>EMEA</v>
          </cell>
          <cell r="H731" t="str">
            <v>2S9L1AA#ABB</v>
          </cell>
          <cell r="M731" t="str">
            <v>Foxconn CZ</v>
          </cell>
        </row>
        <row r="732">
          <cell r="D732" t="str">
            <v>EMEA</v>
          </cell>
          <cell r="H732" t="str">
            <v>4QM14AA#ABB</v>
          </cell>
          <cell r="M732" t="str">
            <v>Foxconn CZ</v>
          </cell>
        </row>
        <row r="733">
          <cell r="D733" t="str">
            <v>EMEA</v>
          </cell>
          <cell r="H733" t="str">
            <v>3V0G9AA#ABB</v>
          </cell>
          <cell r="M733" t="str">
            <v>Foxconn CZ</v>
          </cell>
        </row>
        <row r="734">
          <cell r="D734" t="str">
            <v>EMEA</v>
          </cell>
          <cell r="H734" t="str">
            <v>4E407AA#AC3</v>
          </cell>
          <cell r="M734" t="str">
            <v>Foxconn CZ</v>
          </cell>
        </row>
        <row r="735">
          <cell r="D735" t="str">
            <v>EMEA</v>
          </cell>
          <cell r="H735" t="str">
            <v>4QM14AA#ABB</v>
          </cell>
          <cell r="M735" t="str">
            <v>Foxconn CZ</v>
          </cell>
        </row>
        <row r="736">
          <cell r="D736" t="str">
            <v>EMEA</v>
          </cell>
          <cell r="H736" t="str">
            <v>6VY96AA#ABB</v>
          </cell>
          <cell r="M736" t="str">
            <v>Foxconn CZ</v>
          </cell>
        </row>
        <row r="737">
          <cell r="D737" t="str">
            <v>EMEA</v>
          </cell>
          <cell r="H737" t="str">
            <v>X6W31AA#ABB</v>
          </cell>
          <cell r="M737" t="str">
            <v>Foxconn CZ</v>
          </cell>
        </row>
        <row r="738">
          <cell r="D738" t="str">
            <v>EMEA</v>
          </cell>
          <cell r="H738" t="str">
            <v>240J6AA#ABB</v>
          </cell>
          <cell r="M738" t="str">
            <v>Foxconn CZ</v>
          </cell>
        </row>
        <row r="739">
          <cell r="D739" t="str">
            <v>EMEA</v>
          </cell>
          <cell r="H739" t="str">
            <v>3V0G9AA#ABB</v>
          </cell>
          <cell r="M739" t="str">
            <v>Foxconn CZ</v>
          </cell>
        </row>
        <row r="740">
          <cell r="D740" t="str">
            <v>EMEA</v>
          </cell>
          <cell r="H740" t="str">
            <v>4E407AA#AC3</v>
          </cell>
          <cell r="M740" t="str">
            <v>Foxconn CZ</v>
          </cell>
        </row>
        <row r="741">
          <cell r="D741" t="str">
            <v>EMEA</v>
          </cell>
          <cell r="H741" t="str">
            <v>4X491AA#AC3</v>
          </cell>
          <cell r="M741" t="str">
            <v>Foxconn CZ</v>
          </cell>
        </row>
        <row r="742">
          <cell r="D742" t="str">
            <v>EMEA</v>
          </cell>
          <cell r="H742" t="str">
            <v>6VY96AA#ABB</v>
          </cell>
          <cell r="M742" t="str">
            <v>Foxconn CZ</v>
          </cell>
        </row>
        <row r="743">
          <cell r="D743" t="str">
            <v>EMEA</v>
          </cell>
          <cell r="H743" t="str">
            <v>V0L82AA#ABB</v>
          </cell>
          <cell r="M743" t="str">
            <v>Foxconn CZ</v>
          </cell>
        </row>
        <row r="744">
          <cell r="D744" t="str">
            <v>EMEA</v>
          </cell>
          <cell r="H744" t="str">
            <v>X6W31AA#ABB</v>
          </cell>
          <cell r="M744" t="str">
            <v>Foxconn CZ</v>
          </cell>
        </row>
        <row r="745">
          <cell r="D745" t="str">
            <v>EMEA</v>
          </cell>
          <cell r="H745" t="str">
            <v>77B10AA#ABB</v>
          </cell>
          <cell r="M745" t="str">
            <v>Foxconn CZ</v>
          </cell>
        </row>
        <row r="746">
          <cell r="D746" t="str">
            <v>EMEA</v>
          </cell>
          <cell r="H746" t="str">
            <v>3FV66AA#ABB</v>
          </cell>
          <cell r="M746" t="str">
            <v>Foxconn CZ</v>
          </cell>
        </row>
        <row r="747">
          <cell r="D747" t="str">
            <v>EMEA</v>
          </cell>
          <cell r="H747" t="str">
            <v>7KX12AA#ABB</v>
          </cell>
          <cell r="M747" t="str">
            <v>Foxconn CZ</v>
          </cell>
        </row>
        <row r="748">
          <cell r="D748" t="str">
            <v>EMEA</v>
          </cell>
          <cell r="H748" t="str">
            <v>428H6AA#ABB</v>
          </cell>
          <cell r="M748" t="str">
            <v>Foxconn CZ</v>
          </cell>
        </row>
        <row r="749">
          <cell r="D749" t="str">
            <v>EMEA</v>
          </cell>
          <cell r="H749" t="str">
            <v>6VY96AA#ABB</v>
          </cell>
          <cell r="M749" t="str">
            <v>Foxconn CZ</v>
          </cell>
        </row>
        <row r="750">
          <cell r="D750" t="str">
            <v>EMEA</v>
          </cell>
          <cell r="H750" t="str">
            <v>428H5AA#ABB</v>
          </cell>
          <cell r="M750" t="str">
            <v>Foxconn CZ</v>
          </cell>
        </row>
        <row r="751">
          <cell r="D751" t="str">
            <v>EMEA</v>
          </cell>
          <cell r="H751" t="str">
            <v>428K7AA</v>
          </cell>
          <cell r="M751" t="str">
            <v>Foxconn CZ</v>
          </cell>
        </row>
        <row r="752">
          <cell r="D752" t="str">
            <v>EMEA</v>
          </cell>
          <cell r="H752" t="str">
            <v>V0L79AA#ABB</v>
          </cell>
          <cell r="M752" t="str">
            <v>Foxconn CZ</v>
          </cell>
        </row>
        <row r="753">
          <cell r="D753" t="str">
            <v>EMEA</v>
          </cell>
          <cell r="H753" t="str">
            <v>2HU84AA#ABB</v>
          </cell>
          <cell r="M753" t="str">
            <v>Foxconn CZ</v>
          </cell>
        </row>
        <row r="754">
          <cell r="D754" t="str">
            <v>EMEA</v>
          </cell>
          <cell r="H754" t="str">
            <v>428K7AA</v>
          </cell>
          <cell r="M754" t="str">
            <v>Foxconn CZ</v>
          </cell>
        </row>
        <row r="755">
          <cell r="D755" t="str">
            <v>EMEA</v>
          </cell>
          <cell r="H755" t="str">
            <v>43N04AA#ABB</v>
          </cell>
          <cell r="M755" t="str">
            <v>Foxconn CZ</v>
          </cell>
        </row>
        <row r="756">
          <cell r="D756" t="str">
            <v>EMEA</v>
          </cell>
          <cell r="H756" t="str">
            <v>2S9L1AA#ABB</v>
          </cell>
          <cell r="M756" t="str">
            <v>Foxconn CZ</v>
          </cell>
        </row>
        <row r="757">
          <cell r="D757" t="str">
            <v>EMEA</v>
          </cell>
          <cell r="H757" t="str">
            <v>3FV66AA#ABB</v>
          </cell>
          <cell r="M757" t="str">
            <v>Foxconn CZ</v>
          </cell>
        </row>
        <row r="758">
          <cell r="D758" t="str">
            <v>EMEA</v>
          </cell>
          <cell r="H758" t="str">
            <v>X6W31AA#ABB</v>
          </cell>
          <cell r="M758" t="str">
            <v>Foxconn CZ</v>
          </cell>
        </row>
        <row r="759">
          <cell r="D759" t="str">
            <v>EMEA</v>
          </cell>
          <cell r="H759" t="str">
            <v>77B10AA#ABB</v>
          </cell>
          <cell r="M759" t="str">
            <v>Foxconn CZ</v>
          </cell>
        </row>
        <row r="760">
          <cell r="D760" t="str">
            <v>EMEA</v>
          </cell>
          <cell r="H760" t="str">
            <v>77B11AA#ABB</v>
          </cell>
          <cell r="M760" t="str">
            <v>Foxconn CZ</v>
          </cell>
        </row>
        <row r="761">
          <cell r="D761" t="str">
            <v>EMEA</v>
          </cell>
          <cell r="H761" t="str">
            <v>3FV66AA#ABB</v>
          </cell>
          <cell r="M761" t="str">
            <v>Foxconn CZ</v>
          </cell>
        </row>
        <row r="762">
          <cell r="D762" t="str">
            <v>EMEA</v>
          </cell>
          <cell r="H762" t="str">
            <v>2S9L1AA#ABB</v>
          </cell>
          <cell r="M762" t="str">
            <v>Foxconn CZ</v>
          </cell>
        </row>
        <row r="763">
          <cell r="D763" t="str">
            <v>EMEA</v>
          </cell>
          <cell r="H763" t="str">
            <v>2S9L1AA#ABB</v>
          </cell>
          <cell r="M763" t="str">
            <v>Foxconn CZ</v>
          </cell>
        </row>
        <row r="764">
          <cell r="D764" t="str">
            <v>EMEA</v>
          </cell>
          <cell r="H764" t="str">
            <v>428K7AA</v>
          </cell>
          <cell r="M764" t="str">
            <v>Foxconn CZ</v>
          </cell>
        </row>
        <row r="765">
          <cell r="D765" t="str">
            <v>EMEA</v>
          </cell>
          <cell r="H765" t="str">
            <v>X6W31AA#ABB</v>
          </cell>
          <cell r="M765" t="str">
            <v>Foxconn CZ</v>
          </cell>
        </row>
        <row r="766">
          <cell r="D766" t="str">
            <v>EMEA</v>
          </cell>
          <cell r="H766" t="str">
            <v>77B11AA#ABB</v>
          </cell>
          <cell r="M766" t="str">
            <v>Foxconn CZ</v>
          </cell>
        </row>
        <row r="767">
          <cell r="D767" t="str">
            <v>EMEA</v>
          </cell>
          <cell r="H767" t="str">
            <v>77B10AA#ABB</v>
          </cell>
          <cell r="M767" t="str">
            <v>Foxconn CZ</v>
          </cell>
        </row>
        <row r="768">
          <cell r="D768" t="str">
            <v>EMEA</v>
          </cell>
          <cell r="H768" t="str">
            <v>77B11AA#ABB</v>
          </cell>
          <cell r="M768" t="str">
            <v>Foxconn CZ</v>
          </cell>
        </row>
        <row r="769">
          <cell r="D769" t="str">
            <v>EMEA</v>
          </cell>
          <cell r="H769" t="str">
            <v>77B10AA#ABB</v>
          </cell>
          <cell r="M769" t="str">
            <v>Foxconn CZ</v>
          </cell>
        </row>
        <row r="770">
          <cell r="D770" t="str">
            <v>EMEA</v>
          </cell>
          <cell r="H770" t="str">
            <v>77B11AA#ABB</v>
          </cell>
          <cell r="M770" t="str">
            <v>Foxconn CZ</v>
          </cell>
        </row>
        <row r="771">
          <cell r="D771" t="str">
            <v>EMEA</v>
          </cell>
          <cell r="H771" t="str">
            <v>77B11AA#ABB</v>
          </cell>
          <cell r="M771" t="str">
            <v>Foxconn CZ</v>
          </cell>
        </row>
        <row r="772">
          <cell r="D772" t="str">
            <v>EMEA</v>
          </cell>
          <cell r="H772" t="str">
            <v>4X491AA#AC3</v>
          </cell>
          <cell r="M772" t="str">
            <v>Foxconn CZ</v>
          </cell>
        </row>
        <row r="773">
          <cell r="D773" t="str">
            <v>EMEA</v>
          </cell>
          <cell r="H773" t="str">
            <v>2S9L1AA#ABB</v>
          </cell>
          <cell r="M773" t="str">
            <v>Foxconn CZ</v>
          </cell>
        </row>
        <row r="774">
          <cell r="D774" t="str">
            <v>EMEA</v>
          </cell>
          <cell r="H774" t="str">
            <v>6VY96AA#ABB</v>
          </cell>
          <cell r="M774" t="str">
            <v>Foxconn CZ</v>
          </cell>
        </row>
        <row r="775">
          <cell r="D775" t="str">
            <v>EMEA</v>
          </cell>
          <cell r="H775" t="str">
            <v>V0L79AA#ABB</v>
          </cell>
          <cell r="M775" t="str">
            <v>Foxconn CZ</v>
          </cell>
        </row>
        <row r="776">
          <cell r="D776" t="str">
            <v>EMEA</v>
          </cell>
          <cell r="H776" t="str">
            <v>240J6AA#ABB</v>
          </cell>
          <cell r="M776" t="str">
            <v>Foxconn CZ</v>
          </cell>
        </row>
        <row r="777">
          <cell r="D777" t="str">
            <v>EMEA</v>
          </cell>
          <cell r="H777" t="str">
            <v>2S9L1AA#ABB</v>
          </cell>
          <cell r="M777" t="str">
            <v>Foxconn CZ</v>
          </cell>
        </row>
        <row r="778">
          <cell r="D778" t="str">
            <v>EMEA</v>
          </cell>
          <cell r="H778" t="str">
            <v>3FV66AA#ABB</v>
          </cell>
          <cell r="M778" t="str">
            <v>Foxconn CZ</v>
          </cell>
        </row>
        <row r="779">
          <cell r="D779" t="str">
            <v>EMEA</v>
          </cell>
          <cell r="H779" t="str">
            <v>43N04AA#ABB</v>
          </cell>
          <cell r="M779" t="str">
            <v>Foxconn CZ</v>
          </cell>
        </row>
        <row r="780">
          <cell r="D780" t="str">
            <v>EMEA</v>
          </cell>
          <cell r="H780" t="str">
            <v>6VY96AA#ABB</v>
          </cell>
          <cell r="M780" t="str">
            <v>Foxconn CZ</v>
          </cell>
        </row>
        <row r="781">
          <cell r="D781" t="str">
            <v>EMEA</v>
          </cell>
          <cell r="H781" t="str">
            <v>6VY96AA#ABB</v>
          </cell>
          <cell r="M781" t="str">
            <v>Foxconn CZ</v>
          </cell>
        </row>
        <row r="782">
          <cell r="D782" t="str">
            <v>EMEA</v>
          </cell>
          <cell r="H782" t="str">
            <v>4X491AA#AC3</v>
          </cell>
          <cell r="M782" t="str">
            <v>Foxconn CZ</v>
          </cell>
        </row>
        <row r="783">
          <cell r="D783" t="str">
            <v>EMEA</v>
          </cell>
          <cell r="H783" t="str">
            <v>3V0G9AA#ABB</v>
          </cell>
          <cell r="M783" t="str">
            <v>Foxconn CZ</v>
          </cell>
        </row>
        <row r="784">
          <cell r="D784" t="str">
            <v>EMEA</v>
          </cell>
          <cell r="H784" t="str">
            <v>171D8AA#ABB</v>
          </cell>
          <cell r="M784" t="str">
            <v>Foxconn CZ</v>
          </cell>
        </row>
        <row r="785">
          <cell r="D785" t="str">
            <v>EMEA</v>
          </cell>
          <cell r="H785" t="str">
            <v>240J6AA#ABB</v>
          </cell>
          <cell r="M785" t="str">
            <v>Foxconn CZ</v>
          </cell>
        </row>
        <row r="786">
          <cell r="D786" t="str">
            <v>EMEA</v>
          </cell>
          <cell r="H786" t="str">
            <v>2S9L1AA#ABB</v>
          </cell>
          <cell r="M786" t="str">
            <v>Foxconn CZ</v>
          </cell>
        </row>
        <row r="787">
          <cell r="D787" t="str">
            <v>EMEA</v>
          </cell>
          <cell r="H787" t="str">
            <v>3FV66AA#ABB</v>
          </cell>
          <cell r="M787" t="str">
            <v>Foxconn CZ</v>
          </cell>
        </row>
        <row r="788">
          <cell r="D788" t="str">
            <v>EMEA</v>
          </cell>
          <cell r="H788" t="str">
            <v>3V0G9AA#ABB</v>
          </cell>
          <cell r="M788" t="str">
            <v>Foxconn CZ</v>
          </cell>
        </row>
        <row r="789">
          <cell r="D789" t="str">
            <v>EMEA</v>
          </cell>
          <cell r="H789" t="str">
            <v>43N04AA#ABB</v>
          </cell>
          <cell r="M789" t="str">
            <v>Foxconn CZ</v>
          </cell>
        </row>
        <row r="790">
          <cell r="D790" t="str">
            <v>EMEA</v>
          </cell>
          <cell r="H790" t="str">
            <v>6VY96AA#ABB</v>
          </cell>
          <cell r="M790" t="str">
            <v>Foxconn CZ</v>
          </cell>
        </row>
        <row r="791">
          <cell r="D791" t="str">
            <v>EMEA</v>
          </cell>
          <cell r="H791" t="str">
            <v>1D0K9AA#ABB</v>
          </cell>
          <cell r="M791" t="str">
            <v>Foxconn CZ</v>
          </cell>
        </row>
        <row r="792">
          <cell r="D792" t="str">
            <v>EMEA</v>
          </cell>
          <cell r="H792" t="str">
            <v>3V0G9AA#ABB</v>
          </cell>
          <cell r="M792" t="str">
            <v>Foxconn CZ</v>
          </cell>
        </row>
        <row r="793">
          <cell r="D793" t="str">
            <v>EMEA</v>
          </cell>
          <cell r="H793" t="str">
            <v>428H5AA#ABB</v>
          </cell>
          <cell r="M793" t="str">
            <v>Foxconn CZ</v>
          </cell>
        </row>
        <row r="794">
          <cell r="D794" t="str">
            <v>EMEA</v>
          </cell>
          <cell r="H794" t="str">
            <v>428H6AA#ABB</v>
          </cell>
          <cell r="M794" t="str">
            <v>Foxconn CZ</v>
          </cell>
        </row>
        <row r="795">
          <cell r="D795" t="str">
            <v>EMEA</v>
          </cell>
          <cell r="H795" t="str">
            <v>4QM14AA#ABB</v>
          </cell>
          <cell r="M795" t="str">
            <v>Foxconn CZ</v>
          </cell>
        </row>
        <row r="796">
          <cell r="D796" t="str">
            <v>EMEA</v>
          </cell>
          <cell r="H796" t="str">
            <v>6VY96AA#ABB</v>
          </cell>
          <cell r="M796" t="str">
            <v>Foxconn CZ</v>
          </cell>
        </row>
        <row r="797">
          <cell r="D797" t="str">
            <v>EMEA</v>
          </cell>
          <cell r="H797" t="str">
            <v>X6W31AA#ABB</v>
          </cell>
          <cell r="M797" t="str">
            <v>Foxconn CZ</v>
          </cell>
        </row>
        <row r="798">
          <cell r="D798" t="str">
            <v>EMEA</v>
          </cell>
          <cell r="H798" t="str">
            <v>3FV66AA#ABB</v>
          </cell>
          <cell r="M798" t="str">
            <v>Foxconn CZ</v>
          </cell>
        </row>
        <row r="799">
          <cell r="D799" t="str">
            <v>EMEA</v>
          </cell>
          <cell r="H799" t="str">
            <v>3V0G9AA#ABB</v>
          </cell>
          <cell r="M799" t="str">
            <v>Foxconn CZ</v>
          </cell>
        </row>
        <row r="800">
          <cell r="D800" t="str">
            <v>EMEA</v>
          </cell>
          <cell r="H800" t="str">
            <v>4E407AA#AC3</v>
          </cell>
          <cell r="M800" t="str">
            <v>Foxconn CZ</v>
          </cell>
        </row>
        <row r="801">
          <cell r="D801" t="str">
            <v>EMEA</v>
          </cell>
          <cell r="H801" t="str">
            <v>4X491AA#AC3</v>
          </cell>
          <cell r="M801" t="str">
            <v>Foxconn CZ</v>
          </cell>
        </row>
        <row r="802">
          <cell r="D802" t="str">
            <v>EMEA</v>
          </cell>
          <cell r="H802" t="str">
            <v>6VY96AA#ABB</v>
          </cell>
          <cell r="M802" t="str">
            <v>Foxconn CZ</v>
          </cell>
        </row>
        <row r="803">
          <cell r="D803" t="str">
            <v>EMEA</v>
          </cell>
          <cell r="H803" t="str">
            <v>7KX12AA#ABB</v>
          </cell>
          <cell r="M803" t="str">
            <v>Foxconn CZ</v>
          </cell>
        </row>
        <row r="804">
          <cell r="D804" t="str">
            <v>EMEA</v>
          </cell>
          <cell r="H804" t="str">
            <v>X6W31AA#ABB</v>
          </cell>
          <cell r="M804" t="str">
            <v>Foxconn CZ</v>
          </cell>
        </row>
        <row r="805">
          <cell r="D805" t="str">
            <v>EMEA</v>
          </cell>
          <cell r="H805" t="str">
            <v>4E407AA#AC3</v>
          </cell>
          <cell r="M805" t="str">
            <v>Foxconn CZ</v>
          </cell>
        </row>
        <row r="806">
          <cell r="D806" t="str">
            <v>EMEA</v>
          </cell>
          <cell r="H806" t="str">
            <v>6VY96AA#ABB</v>
          </cell>
          <cell r="M806" t="str">
            <v>Foxconn CZ</v>
          </cell>
        </row>
        <row r="807">
          <cell r="D807" t="str">
            <v>EMEA</v>
          </cell>
          <cell r="H807" t="str">
            <v>X6W31AA#ABB</v>
          </cell>
          <cell r="M807" t="str">
            <v>Foxconn CZ</v>
          </cell>
        </row>
        <row r="808">
          <cell r="D808" t="str">
            <v>EMEA</v>
          </cell>
          <cell r="H808" t="str">
            <v>43N05AA#ABB</v>
          </cell>
          <cell r="M808" t="str">
            <v>Foxconn CZ</v>
          </cell>
        </row>
        <row r="809">
          <cell r="D809" t="str">
            <v>EMEA</v>
          </cell>
          <cell r="H809" t="str">
            <v>6VY96AA#ABB</v>
          </cell>
          <cell r="M809" t="str">
            <v>Foxconn CZ</v>
          </cell>
        </row>
        <row r="810">
          <cell r="D810" t="str">
            <v>EMEA</v>
          </cell>
          <cell r="H810" t="str">
            <v>X7Q44AA#ABB</v>
          </cell>
          <cell r="M810" t="str">
            <v>Foxconn CZ</v>
          </cell>
        </row>
        <row r="811">
          <cell r="D811" t="str">
            <v>EMEA</v>
          </cell>
          <cell r="H811" t="str">
            <v>6E6F2AA#ABB</v>
          </cell>
          <cell r="M811" t="str">
            <v>Foxconn CZ</v>
          </cell>
        </row>
        <row r="812">
          <cell r="D812" t="str">
            <v>EMEA</v>
          </cell>
          <cell r="H812" t="str">
            <v>240J6AA#ABB</v>
          </cell>
          <cell r="M812" t="str">
            <v>Foxconn CZ</v>
          </cell>
        </row>
        <row r="813">
          <cell r="D813" t="str">
            <v>EMEA</v>
          </cell>
          <cell r="H813" t="str">
            <v>428H6AA#ABB</v>
          </cell>
          <cell r="M813" t="str">
            <v>Foxconn CZ</v>
          </cell>
        </row>
        <row r="814">
          <cell r="D814" t="str">
            <v>EMEA</v>
          </cell>
          <cell r="H814" t="str">
            <v>4QM14AA#ABB</v>
          </cell>
          <cell r="M814" t="str">
            <v>Foxconn CZ</v>
          </cell>
        </row>
        <row r="815">
          <cell r="D815" t="str">
            <v>EMEA</v>
          </cell>
          <cell r="H815" t="str">
            <v>240J6AA#ABB</v>
          </cell>
          <cell r="M815" t="str">
            <v>Foxconn CZ</v>
          </cell>
        </row>
        <row r="816">
          <cell r="D816" t="str">
            <v>EMEA</v>
          </cell>
          <cell r="H816" t="str">
            <v>2S9L1AA#ABB</v>
          </cell>
          <cell r="M816" t="str">
            <v>Foxconn CZ</v>
          </cell>
        </row>
        <row r="817">
          <cell r="D817" t="str">
            <v>EMEA</v>
          </cell>
          <cell r="H817" t="str">
            <v>3V0G9AA#ABB</v>
          </cell>
          <cell r="M817" t="str">
            <v>Foxconn CZ</v>
          </cell>
        </row>
        <row r="818">
          <cell r="D818" t="str">
            <v>EMEA</v>
          </cell>
          <cell r="H818" t="str">
            <v>4QM14AA#ABB</v>
          </cell>
          <cell r="M818" t="str">
            <v>Foxconn CZ</v>
          </cell>
        </row>
        <row r="819">
          <cell r="D819" t="str">
            <v>EMEA</v>
          </cell>
          <cell r="H819" t="str">
            <v>V0L79AA#ABB</v>
          </cell>
          <cell r="M819" t="str">
            <v>Foxconn CZ</v>
          </cell>
        </row>
        <row r="820">
          <cell r="D820" t="str">
            <v>EMEA</v>
          </cell>
          <cell r="H820" t="str">
            <v>240J6AA#ABB</v>
          </cell>
          <cell r="M820" t="str">
            <v>Foxconn CZ</v>
          </cell>
        </row>
        <row r="821">
          <cell r="D821" t="str">
            <v>EMEA</v>
          </cell>
          <cell r="H821" t="str">
            <v>2HU83AA#ABB</v>
          </cell>
          <cell r="M821" t="str">
            <v>Foxconn CZ</v>
          </cell>
        </row>
        <row r="822">
          <cell r="D822" t="str">
            <v>EMEA</v>
          </cell>
          <cell r="H822" t="str">
            <v>2S9L1AA#ABB</v>
          </cell>
          <cell r="M822" t="str">
            <v>Foxconn CZ</v>
          </cell>
        </row>
        <row r="823">
          <cell r="D823" t="str">
            <v>EMEA</v>
          </cell>
          <cell r="H823" t="str">
            <v>43N05AA#ABB</v>
          </cell>
          <cell r="M823" t="str">
            <v>Foxconn CZ</v>
          </cell>
        </row>
        <row r="824">
          <cell r="D824" t="str">
            <v>EMEA</v>
          </cell>
          <cell r="H824" t="str">
            <v>4E407AA#AC3</v>
          </cell>
          <cell r="M824" t="str">
            <v>Foxconn CZ</v>
          </cell>
        </row>
        <row r="825">
          <cell r="D825" t="str">
            <v>EMEA</v>
          </cell>
          <cell r="H825" t="str">
            <v>4QM14AA#ABB</v>
          </cell>
          <cell r="M825" t="str">
            <v>Foxconn CZ</v>
          </cell>
        </row>
        <row r="826">
          <cell r="D826" t="str">
            <v>EMEA</v>
          </cell>
          <cell r="H826" t="str">
            <v>428K7AA</v>
          </cell>
          <cell r="M826" t="str">
            <v>Foxconn CZ</v>
          </cell>
        </row>
        <row r="827">
          <cell r="D827" t="str">
            <v>EMEA</v>
          </cell>
          <cell r="H827" t="str">
            <v>428H5AA#ABB</v>
          </cell>
          <cell r="M827" t="str">
            <v>Foxconn CZ</v>
          </cell>
        </row>
        <row r="828">
          <cell r="D828" t="str">
            <v>EMEA</v>
          </cell>
          <cell r="H828" t="str">
            <v>1D0K8AA#AC3</v>
          </cell>
          <cell r="M828" t="str">
            <v>Foxconn CZ</v>
          </cell>
        </row>
        <row r="829">
          <cell r="D829" t="str">
            <v>EMEA</v>
          </cell>
          <cell r="H829" t="str">
            <v>240J6AA#ABB</v>
          </cell>
          <cell r="M829" t="str">
            <v>Foxconn CZ</v>
          </cell>
        </row>
        <row r="830">
          <cell r="D830" t="str">
            <v>EMEA</v>
          </cell>
          <cell r="H830" t="str">
            <v>2S9L1AA#ABB</v>
          </cell>
          <cell r="M830" t="str">
            <v>Foxconn CZ</v>
          </cell>
        </row>
        <row r="831">
          <cell r="D831" t="str">
            <v>EMEA</v>
          </cell>
          <cell r="H831" t="str">
            <v>3V0G9AA#ABB</v>
          </cell>
          <cell r="M831" t="str">
            <v>Foxconn CZ</v>
          </cell>
        </row>
        <row r="832">
          <cell r="D832" t="str">
            <v>EMEA</v>
          </cell>
          <cell r="H832" t="str">
            <v>43N04AA#ABB</v>
          </cell>
          <cell r="M832" t="str">
            <v>Foxconn CZ</v>
          </cell>
        </row>
        <row r="833">
          <cell r="D833" t="str">
            <v>EMEA</v>
          </cell>
          <cell r="H833" t="str">
            <v>43N04AA#ABB</v>
          </cell>
          <cell r="M833" t="str">
            <v>Foxconn CZ</v>
          </cell>
        </row>
        <row r="834">
          <cell r="D834" t="str">
            <v>EMEA</v>
          </cell>
          <cell r="H834" t="str">
            <v>43N05AA#ABB</v>
          </cell>
          <cell r="M834" t="str">
            <v>Foxconn CZ</v>
          </cell>
        </row>
        <row r="835">
          <cell r="D835" t="str">
            <v>EMEA</v>
          </cell>
          <cell r="H835" t="str">
            <v>43N05AA#ABB</v>
          </cell>
          <cell r="M835" t="str">
            <v>Foxconn CZ</v>
          </cell>
        </row>
        <row r="836">
          <cell r="D836" t="str">
            <v>EMEA</v>
          </cell>
          <cell r="H836" t="str">
            <v>4E407AA#AC3</v>
          </cell>
          <cell r="M836" t="str">
            <v>Foxconn CZ</v>
          </cell>
        </row>
        <row r="837">
          <cell r="D837" t="str">
            <v>EMEA</v>
          </cell>
          <cell r="H837" t="str">
            <v>4QM14AA#ABB</v>
          </cell>
          <cell r="M837" t="str">
            <v>Foxconn CZ</v>
          </cell>
        </row>
        <row r="838">
          <cell r="D838" t="str">
            <v>EMEA</v>
          </cell>
          <cell r="H838" t="str">
            <v>6VY95AA#ABB</v>
          </cell>
          <cell r="M838" t="str">
            <v>Foxconn CZ</v>
          </cell>
        </row>
        <row r="839">
          <cell r="D839" t="str">
            <v>EMEA</v>
          </cell>
          <cell r="H839" t="str">
            <v>6VY96AA#ABB</v>
          </cell>
          <cell r="M839" t="str">
            <v>Foxconn CZ</v>
          </cell>
        </row>
        <row r="840">
          <cell r="D840" t="str">
            <v>EMEA</v>
          </cell>
          <cell r="H840" t="str">
            <v>7UH88AA#ABB</v>
          </cell>
          <cell r="M840" t="str">
            <v>Foxconn CZ</v>
          </cell>
        </row>
        <row r="841">
          <cell r="D841" t="str">
            <v>EMEA</v>
          </cell>
          <cell r="H841" t="str">
            <v>X6W31AA#ABB</v>
          </cell>
          <cell r="M841" t="str">
            <v>Foxconn CZ</v>
          </cell>
        </row>
        <row r="842">
          <cell r="D842" t="str">
            <v>EMEA</v>
          </cell>
          <cell r="H842" t="str">
            <v>X7Q44AA#ABB</v>
          </cell>
          <cell r="M842" t="str">
            <v>Foxconn CZ</v>
          </cell>
        </row>
        <row r="843">
          <cell r="D843" t="str">
            <v>EMEA</v>
          </cell>
          <cell r="H843" t="str">
            <v>3V0G9AA#ABB</v>
          </cell>
          <cell r="M843" t="str">
            <v>Foxconn CZ</v>
          </cell>
        </row>
        <row r="844">
          <cell r="D844" t="str">
            <v>EMEA</v>
          </cell>
          <cell r="H844" t="str">
            <v>6VY96AA#ABB</v>
          </cell>
          <cell r="M844" t="str">
            <v>Foxconn CZ</v>
          </cell>
        </row>
        <row r="845">
          <cell r="D845" t="str">
            <v>EMEA</v>
          </cell>
          <cell r="H845" t="str">
            <v>X6W31AA#ABB</v>
          </cell>
          <cell r="M845" t="str">
            <v>Foxconn CZ</v>
          </cell>
        </row>
        <row r="846">
          <cell r="D846" t="str">
            <v>EMEA</v>
          </cell>
          <cell r="H846" t="str">
            <v>8R3U1AA#ABB</v>
          </cell>
          <cell r="M846" t="str">
            <v>Foxconn CZ</v>
          </cell>
        </row>
        <row r="847">
          <cell r="D847" t="str">
            <v>EMEA</v>
          </cell>
          <cell r="H847" t="str">
            <v>1D0K2AA#AC3</v>
          </cell>
          <cell r="M847" t="str">
            <v>Foxconn CZ</v>
          </cell>
        </row>
        <row r="848">
          <cell r="D848" t="str">
            <v>EMEA</v>
          </cell>
          <cell r="H848" t="str">
            <v>1D0K8AA#AC3</v>
          </cell>
          <cell r="M848" t="str">
            <v>Foxconn CZ</v>
          </cell>
        </row>
        <row r="849">
          <cell r="D849" t="str">
            <v>EMEA</v>
          </cell>
          <cell r="H849" t="str">
            <v>2S9L1AA#ABB</v>
          </cell>
          <cell r="M849" t="str">
            <v>Foxconn CZ</v>
          </cell>
        </row>
        <row r="850">
          <cell r="D850" t="str">
            <v>EMEA</v>
          </cell>
          <cell r="H850" t="str">
            <v>3V0G9AA#ABB</v>
          </cell>
          <cell r="M850" t="str">
            <v>Foxconn CZ</v>
          </cell>
        </row>
        <row r="851">
          <cell r="D851" t="str">
            <v>EMEA</v>
          </cell>
          <cell r="H851" t="str">
            <v>6VY95AA#ABB</v>
          </cell>
          <cell r="M851" t="str">
            <v>Foxconn CZ</v>
          </cell>
        </row>
        <row r="852">
          <cell r="D852" t="str">
            <v>EMEA</v>
          </cell>
          <cell r="H852" t="str">
            <v>V0L79AA#ABB</v>
          </cell>
          <cell r="M852" t="str">
            <v>Foxconn CZ</v>
          </cell>
        </row>
        <row r="853">
          <cell r="D853" t="str">
            <v>EMEA</v>
          </cell>
          <cell r="H853" t="str">
            <v>X7Q44AA#ABB</v>
          </cell>
          <cell r="M853" t="str">
            <v>Foxconn CZ</v>
          </cell>
        </row>
        <row r="854">
          <cell r="D854" t="str">
            <v>EMEA</v>
          </cell>
          <cell r="H854" t="str">
            <v>1D0K8AA#AC3</v>
          </cell>
          <cell r="M854" t="str">
            <v>Foxconn CZ</v>
          </cell>
        </row>
        <row r="855">
          <cell r="D855" t="str">
            <v>EMEA</v>
          </cell>
          <cell r="H855" t="str">
            <v>2HU84AA#ABB</v>
          </cell>
          <cell r="M855" t="str">
            <v>Foxconn CZ</v>
          </cell>
        </row>
        <row r="856">
          <cell r="D856" t="str">
            <v>EMEA</v>
          </cell>
          <cell r="H856" t="str">
            <v>3FV66AA#ABB</v>
          </cell>
          <cell r="M856" t="str">
            <v>Foxconn CZ</v>
          </cell>
        </row>
        <row r="857">
          <cell r="D857" t="str">
            <v>EMEA</v>
          </cell>
          <cell r="H857" t="str">
            <v>428H5AA#ABB</v>
          </cell>
          <cell r="M857" t="str">
            <v>Foxconn CZ</v>
          </cell>
        </row>
        <row r="858">
          <cell r="D858" t="str">
            <v>EMEA</v>
          </cell>
          <cell r="H858" t="str">
            <v>428H6AA#ABB</v>
          </cell>
          <cell r="M858" t="str">
            <v>Foxconn CZ</v>
          </cell>
        </row>
        <row r="859">
          <cell r="D859" t="str">
            <v>EMEA</v>
          </cell>
          <cell r="H859" t="str">
            <v>43N04AA#ABB</v>
          </cell>
          <cell r="M859" t="str">
            <v>Foxconn CZ</v>
          </cell>
        </row>
        <row r="860">
          <cell r="D860" t="str">
            <v>EMEA</v>
          </cell>
          <cell r="H860" t="str">
            <v>4QM14AA#ABB</v>
          </cell>
          <cell r="M860" t="str">
            <v>Foxconn CZ</v>
          </cell>
        </row>
        <row r="861">
          <cell r="D861" t="str">
            <v>EMEA</v>
          </cell>
          <cell r="H861" t="str">
            <v>6VY96AA#ABB</v>
          </cell>
          <cell r="M861" t="str">
            <v>Foxconn CZ</v>
          </cell>
        </row>
        <row r="862">
          <cell r="D862" t="str">
            <v>EMEA</v>
          </cell>
          <cell r="H862" t="str">
            <v>7KX12AA#ABB</v>
          </cell>
          <cell r="M862" t="str">
            <v>Foxconn CZ</v>
          </cell>
        </row>
        <row r="863">
          <cell r="D863" t="str">
            <v>EMEA</v>
          </cell>
          <cell r="H863" t="str">
            <v>V0L81AA#ABB</v>
          </cell>
          <cell r="M863" t="str">
            <v>Foxconn CZ</v>
          </cell>
        </row>
        <row r="864">
          <cell r="D864" t="str">
            <v>EMEA</v>
          </cell>
          <cell r="H864" t="str">
            <v>240J6AA#ABB</v>
          </cell>
          <cell r="M864" t="str">
            <v>Foxconn CZ</v>
          </cell>
        </row>
        <row r="865">
          <cell r="D865" t="str">
            <v>EMEA</v>
          </cell>
          <cell r="H865" t="str">
            <v>3FV66AA#ABB</v>
          </cell>
          <cell r="M865" t="str">
            <v>Foxconn CZ</v>
          </cell>
        </row>
        <row r="866">
          <cell r="D866" t="str">
            <v>EMEA</v>
          </cell>
          <cell r="H866" t="str">
            <v>6E6F2AA#ABB</v>
          </cell>
          <cell r="M866" t="str">
            <v>Foxconn CZ</v>
          </cell>
        </row>
        <row r="867">
          <cell r="D867" t="str">
            <v>EMEA</v>
          </cell>
          <cell r="H867" t="str">
            <v>X6W31AA#ABB</v>
          </cell>
          <cell r="M867" t="str">
            <v>Foxconn CZ</v>
          </cell>
        </row>
        <row r="868">
          <cell r="D868" t="str">
            <v>EMEA</v>
          </cell>
          <cell r="H868" t="str">
            <v>4X491AA#AC3</v>
          </cell>
          <cell r="M868" t="str">
            <v>Foxconn CZ</v>
          </cell>
        </row>
        <row r="869">
          <cell r="D869" t="str">
            <v>EMEA</v>
          </cell>
          <cell r="H869" t="str">
            <v>2HU82AA#ABB</v>
          </cell>
          <cell r="M869" t="str">
            <v>Foxconn CZ</v>
          </cell>
        </row>
        <row r="870">
          <cell r="D870" t="str">
            <v>EMEA</v>
          </cell>
          <cell r="H870" t="str">
            <v>2S9L1AA#ABB</v>
          </cell>
          <cell r="M870" t="str">
            <v>Foxconn CZ</v>
          </cell>
        </row>
        <row r="871">
          <cell r="D871" t="str">
            <v>EMEA</v>
          </cell>
          <cell r="H871" t="str">
            <v>3FV66AA#ABB</v>
          </cell>
          <cell r="M871" t="str">
            <v>Foxconn CZ</v>
          </cell>
        </row>
        <row r="872">
          <cell r="D872" t="str">
            <v>EMEA</v>
          </cell>
          <cell r="H872" t="str">
            <v>4E407AA#AC3</v>
          </cell>
          <cell r="M872" t="str">
            <v>Foxconn CZ</v>
          </cell>
        </row>
        <row r="873">
          <cell r="D873" t="str">
            <v>EMEA</v>
          </cell>
          <cell r="H873" t="str">
            <v>4QM14AA#ABB</v>
          </cell>
          <cell r="M873" t="str">
            <v>Foxconn CZ</v>
          </cell>
        </row>
        <row r="874">
          <cell r="D874" t="str">
            <v>EMEA</v>
          </cell>
          <cell r="H874" t="str">
            <v>4VY82AA#ABB</v>
          </cell>
          <cell r="M874" t="str">
            <v>Foxconn CZ</v>
          </cell>
        </row>
        <row r="875">
          <cell r="D875" t="str">
            <v>EMEA</v>
          </cell>
          <cell r="H875" t="str">
            <v>53X26AA#ABB</v>
          </cell>
          <cell r="M875" t="str">
            <v>Foxconn CZ</v>
          </cell>
        </row>
        <row r="876">
          <cell r="D876" t="str">
            <v>EMEA</v>
          </cell>
          <cell r="H876" t="str">
            <v>6E6F2AA#ABB</v>
          </cell>
          <cell r="M876" t="str">
            <v>Foxconn CZ</v>
          </cell>
        </row>
        <row r="877">
          <cell r="D877" t="str">
            <v>EMEA</v>
          </cell>
          <cell r="H877" t="str">
            <v>6VY96AA#ABB</v>
          </cell>
          <cell r="M877" t="str">
            <v>Foxconn CZ</v>
          </cell>
        </row>
        <row r="878">
          <cell r="D878" t="str">
            <v>EMEA</v>
          </cell>
          <cell r="H878" t="str">
            <v>7KX11AA#ABB</v>
          </cell>
          <cell r="M878" t="str">
            <v>Foxconn CZ</v>
          </cell>
        </row>
        <row r="879">
          <cell r="D879" t="str">
            <v>EMEA</v>
          </cell>
          <cell r="H879" t="str">
            <v>V0L79AA#ABB</v>
          </cell>
          <cell r="M879" t="str">
            <v>Foxconn CZ</v>
          </cell>
        </row>
        <row r="880">
          <cell r="D880" t="str">
            <v>EMEA</v>
          </cell>
          <cell r="H880" t="str">
            <v>X7Q44AA#ABB</v>
          </cell>
          <cell r="M880" t="str">
            <v>Foxconn CZ</v>
          </cell>
        </row>
        <row r="881">
          <cell r="D881" t="str">
            <v>APJ</v>
          </cell>
          <cell r="H881" t="str">
            <v>793F9AA#UUF</v>
          </cell>
          <cell r="M881" t="str">
            <v>Foxconn LH</v>
          </cell>
        </row>
        <row r="882">
          <cell r="D882" t="str">
            <v>APJ</v>
          </cell>
          <cell r="H882" t="str">
            <v>1Y4D0AA#UUF</v>
          </cell>
          <cell r="M882" t="str">
            <v>Foxconn LH</v>
          </cell>
        </row>
        <row r="883">
          <cell r="D883" t="str">
            <v>LA</v>
          </cell>
          <cell r="H883" t="str">
            <v>18H24AA#ABM</v>
          </cell>
          <cell r="M883" t="str">
            <v>Foxconn LH</v>
          </cell>
        </row>
        <row r="884">
          <cell r="D884" t="str">
            <v>APJ</v>
          </cell>
          <cell r="H884" t="str">
            <v>428K7AA</v>
          </cell>
          <cell r="M884" t="str">
            <v>Foxconn LH</v>
          </cell>
        </row>
        <row r="885">
          <cell r="D885" t="str">
            <v>APJ</v>
          </cell>
          <cell r="H885" t="str">
            <v>4QM14AA#UUF</v>
          </cell>
          <cell r="M885" t="str">
            <v>Foxconn LH</v>
          </cell>
        </row>
        <row r="886">
          <cell r="D886" t="str">
            <v>APJ</v>
          </cell>
          <cell r="H886" t="str">
            <v>6E6F2AA#UUF</v>
          </cell>
          <cell r="M886" t="str">
            <v>Foxconn LH</v>
          </cell>
        </row>
        <row r="887">
          <cell r="D887" t="str">
            <v>APJ</v>
          </cell>
          <cell r="H887" t="str">
            <v>6E6F0AA#UUF</v>
          </cell>
          <cell r="M887" t="str">
            <v>Foxconn LH</v>
          </cell>
        </row>
        <row r="888">
          <cell r="D888" t="str">
            <v>APJ</v>
          </cell>
          <cell r="H888" t="str">
            <v>664R5AA#UUF</v>
          </cell>
          <cell r="M888" t="str">
            <v>Foxconn LH</v>
          </cell>
        </row>
        <row r="889">
          <cell r="D889" t="str">
            <v>APJ</v>
          </cell>
          <cell r="H889" t="str">
            <v>53X26AA#UUF</v>
          </cell>
          <cell r="M889" t="str">
            <v>Foxconn LH</v>
          </cell>
        </row>
        <row r="890">
          <cell r="D890" t="str">
            <v>APJ</v>
          </cell>
          <cell r="H890" t="str">
            <v>1Y4D0AA#UUF</v>
          </cell>
          <cell r="M890" t="str">
            <v>Foxconn LH</v>
          </cell>
        </row>
        <row r="891">
          <cell r="D891" t="str">
            <v>APJ</v>
          </cell>
          <cell r="H891" t="str">
            <v>1Y4D0AA#UUF</v>
          </cell>
          <cell r="M891" t="str">
            <v>Foxconn LH</v>
          </cell>
        </row>
        <row r="892">
          <cell r="D892" t="str">
            <v>APJ</v>
          </cell>
          <cell r="H892" t="str">
            <v>428K7AA</v>
          </cell>
          <cell r="M892" t="str">
            <v>Foxconn LH</v>
          </cell>
        </row>
        <row r="893">
          <cell r="D893" t="str">
            <v>APJ</v>
          </cell>
          <cell r="H893" t="str">
            <v>428K6AA</v>
          </cell>
          <cell r="M893" t="str">
            <v>Foxconn LH</v>
          </cell>
        </row>
        <row r="894">
          <cell r="D894" t="str">
            <v>NA</v>
          </cell>
          <cell r="H894" t="str">
            <v>18H24AA#ABA</v>
          </cell>
          <cell r="M894" t="str">
            <v>Foxconn LH</v>
          </cell>
        </row>
        <row r="895">
          <cell r="D895" t="str">
            <v>NA</v>
          </cell>
          <cell r="H895" t="str">
            <v>18H24AA#ABA</v>
          </cell>
          <cell r="M895" t="str">
            <v>Foxconn LH</v>
          </cell>
        </row>
        <row r="896">
          <cell r="D896" t="str">
            <v>LA</v>
          </cell>
          <cell r="H896" t="str">
            <v>3V0G9AA#ABM</v>
          </cell>
          <cell r="M896" t="str">
            <v>Foxconn LH</v>
          </cell>
        </row>
        <row r="897">
          <cell r="D897" t="str">
            <v>LA</v>
          </cell>
          <cell r="H897" t="str">
            <v>1Y4D0AA#ABM</v>
          </cell>
          <cell r="M897" t="str">
            <v>Foxconn LH</v>
          </cell>
        </row>
        <row r="898">
          <cell r="D898" t="str">
            <v>LA</v>
          </cell>
          <cell r="H898" t="str">
            <v>3L1E7AA#ABM</v>
          </cell>
          <cell r="M898" t="str">
            <v>Foxconn LH</v>
          </cell>
        </row>
        <row r="899">
          <cell r="D899" t="str">
            <v>APJ</v>
          </cell>
          <cell r="H899" t="str">
            <v>1D0K2AA#UUF</v>
          </cell>
          <cell r="M899" t="str">
            <v>Foxconn LH</v>
          </cell>
        </row>
        <row r="900">
          <cell r="D900" t="str">
            <v>LA</v>
          </cell>
          <cell r="H900" t="str">
            <v>18H24AA#ABM</v>
          </cell>
          <cell r="M900" t="str">
            <v>Foxconn LH</v>
          </cell>
        </row>
        <row r="901">
          <cell r="D901" t="str">
            <v>APJ</v>
          </cell>
          <cell r="H901" t="str">
            <v>1Y4D0AA#UUF</v>
          </cell>
          <cell r="M901" t="str">
            <v>Foxconn LH</v>
          </cell>
        </row>
        <row r="902">
          <cell r="D902" t="str">
            <v>APJ</v>
          </cell>
          <cell r="H902" t="str">
            <v>2S9L1AA#UUF</v>
          </cell>
          <cell r="M902" t="str">
            <v>Foxconn LH</v>
          </cell>
        </row>
        <row r="903">
          <cell r="D903" t="str">
            <v>NA/LA</v>
          </cell>
          <cell r="H903" t="str">
            <v>3FV67AA#ABL</v>
          </cell>
          <cell r="M903" t="str">
            <v>Foxconn LH</v>
          </cell>
        </row>
        <row r="904">
          <cell r="D904" t="str">
            <v>APJ</v>
          </cell>
          <cell r="H904" t="str">
            <v>4QM14AA#UUF</v>
          </cell>
          <cell r="M904" t="str">
            <v>Foxconn LH</v>
          </cell>
        </row>
        <row r="905">
          <cell r="D905" t="str">
            <v>LA</v>
          </cell>
          <cell r="H905" t="str">
            <v>240J6AA#ABM</v>
          </cell>
          <cell r="M905" t="str">
            <v>Foxconn LH</v>
          </cell>
        </row>
        <row r="906">
          <cell r="D906" t="str">
            <v>NA/LA</v>
          </cell>
          <cell r="H906" t="str">
            <v>2HU84AA#ABL</v>
          </cell>
          <cell r="M906" t="str">
            <v>Foxconn LH</v>
          </cell>
        </row>
        <row r="907">
          <cell r="D907" t="str">
            <v>APJ</v>
          </cell>
          <cell r="H907" t="str">
            <v>428K7AA</v>
          </cell>
          <cell r="M907" t="str">
            <v>Foxconn LH</v>
          </cell>
        </row>
        <row r="908">
          <cell r="D908" t="str">
            <v>APJ</v>
          </cell>
          <cell r="H908" t="str">
            <v>758A8AA#UUF</v>
          </cell>
          <cell r="M908" t="str">
            <v>Foxconn LH</v>
          </cell>
        </row>
        <row r="909">
          <cell r="D909" t="str">
            <v>APJ</v>
          </cell>
          <cell r="H909" t="str">
            <v>758A9AA#UUF</v>
          </cell>
          <cell r="M909" t="str">
            <v>Foxconn LH</v>
          </cell>
        </row>
        <row r="910">
          <cell r="D910" t="str">
            <v>APJ</v>
          </cell>
          <cell r="H910" t="str">
            <v>6V2J7AA#UUF</v>
          </cell>
          <cell r="M910" t="str">
            <v>Foxconn LH</v>
          </cell>
        </row>
        <row r="911">
          <cell r="D911" t="str">
            <v>APJ</v>
          </cell>
          <cell r="H911" t="str">
            <v>18H24AA#UUF</v>
          </cell>
          <cell r="M911" t="str">
            <v>Foxconn LH</v>
          </cell>
        </row>
        <row r="912">
          <cell r="D912" t="str">
            <v>APJ</v>
          </cell>
          <cell r="H912" t="str">
            <v>3FV67AA#UUF</v>
          </cell>
          <cell r="M912" t="str">
            <v>Foxconn LH</v>
          </cell>
        </row>
        <row r="913">
          <cell r="D913" t="str">
            <v>NA/LA</v>
          </cell>
          <cell r="H913" t="str">
            <v>2HU84AA#ABL</v>
          </cell>
          <cell r="M913" t="str">
            <v>Foxconn LH</v>
          </cell>
        </row>
        <row r="914">
          <cell r="D914" t="str">
            <v>NA</v>
          </cell>
          <cell r="H914" t="str">
            <v>53X26AA#ABL</v>
          </cell>
          <cell r="M914" t="str">
            <v>Foxconn LH</v>
          </cell>
        </row>
        <row r="915">
          <cell r="D915" t="str">
            <v>APJ</v>
          </cell>
          <cell r="H915" t="str">
            <v>18H24AA#UUF</v>
          </cell>
          <cell r="M915" t="str">
            <v>Foxconn LH</v>
          </cell>
        </row>
        <row r="916">
          <cell r="D916" t="str">
            <v>APJ</v>
          </cell>
          <cell r="H916" t="str">
            <v>6VY96AA#UUF</v>
          </cell>
          <cell r="M916" t="str">
            <v>Foxconn LH</v>
          </cell>
        </row>
        <row r="917">
          <cell r="D917" t="str">
            <v>APJ</v>
          </cell>
          <cell r="H917" t="str">
            <v>240J6AA#UUF</v>
          </cell>
          <cell r="M917" t="str">
            <v>Foxconn LH</v>
          </cell>
        </row>
        <row r="918">
          <cell r="D918" t="str">
            <v>LA</v>
          </cell>
          <cell r="H918" t="str">
            <v>18H24AA#ABM</v>
          </cell>
          <cell r="M918" t="str">
            <v>Foxconn LH</v>
          </cell>
        </row>
        <row r="919">
          <cell r="D919" t="str">
            <v>LA</v>
          </cell>
          <cell r="H919" t="str">
            <v>3L1E7AA#ABM</v>
          </cell>
          <cell r="M919" t="str">
            <v>Foxconn LH</v>
          </cell>
        </row>
        <row r="920">
          <cell r="D920" t="str">
            <v>APJ</v>
          </cell>
          <cell r="H920" t="str">
            <v>1Y4D0AA#UUF</v>
          </cell>
          <cell r="M920" t="str">
            <v>Foxconn LH</v>
          </cell>
        </row>
        <row r="921">
          <cell r="D921" t="str">
            <v>APJ</v>
          </cell>
          <cell r="H921" t="str">
            <v>1Y4D0AA#UUF</v>
          </cell>
          <cell r="M921" t="str">
            <v>Foxconn LH</v>
          </cell>
        </row>
        <row r="922">
          <cell r="D922" t="str">
            <v>APJ</v>
          </cell>
          <cell r="H922" t="str">
            <v>9DF28AA#UUF</v>
          </cell>
          <cell r="M922" t="str">
            <v>Foxconn LH</v>
          </cell>
        </row>
        <row r="923">
          <cell r="D923" t="str">
            <v>APJ</v>
          </cell>
          <cell r="H923" t="str">
            <v>2D799AA#ABL</v>
          </cell>
          <cell r="M923" t="str">
            <v>Foxconn LH</v>
          </cell>
        </row>
        <row r="924">
          <cell r="D924" t="str">
            <v>APJ</v>
          </cell>
          <cell r="H924" t="str">
            <v>428K6AA</v>
          </cell>
          <cell r="M924" t="str">
            <v>Foxconn LH</v>
          </cell>
        </row>
        <row r="925">
          <cell r="D925" t="str">
            <v>LA</v>
          </cell>
          <cell r="H925" t="str">
            <v>43N04AA#ABM</v>
          </cell>
          <cell r="M925" t="str">
            <v>Foxconn LH</v>
          </cell>
        </row>
        <row r="926">
          <cell r="D926" t="str">
            <v>APJ</v>
          </cell>
          <cell r="H926" t="str">
            <v>428K7AA</v>
          </cell>
          <cell r="M926" t="str">
            <v>Foxconn LH</v>
          </cell>
        </row>
        <row r="927">
          <cell r="D927" t="str">
            <v>APJ</v>
          </cell>
          <cell r="H927" t="str">
            <v>3V0G9AA#UUF</v>
          </cell>
          <cell r="M927" t="str">
            <v>Foxconn LH</v>
          </cell>
        </row>
        <row r="928">
          <cell r="D928" t="str">
            <v>LA</v>
          </cell>
          <cell r="H928" t="str">
            <v>6VY96AA#ABM</v>
          </cell>
          <cell r="M928" t="str">
            <v>Foxconn LH</v>
          </cell>
        </row>
        <row r="929">
          <cell r="D929" t="str">
            <v>NA/LA</v>
          </cell>
          <cell r="H929" t="str">
            <v>6V2J7AA#ABL</v>
          </cell>
          <cell r="M929" t="str">
            <v>Foxconn LH</v>
          </cell>
        </row>
        <row r="930">
          <cell r="D930" t="str">
            <v>APJ</v>
          </cell>
          <cell r="H930" t="str">
            <v>1Y4D0AA#UUF</v>
          </cell>
          <cell r="M930" t="str">
            <v>Foxconn LH</v>
          </cell>
        </row>
        <row r="931">
          <cell r="D931" t="str">
            <v>APJ</v>
          </cell>
          <cell r="H931" t="str">
            <v>4QM14AA#UUF</v>
          </cell>
          <cell r="M931" t="str">
            <v>Foxconn LH</v>
          </cell>
        </row>
        <row r="932">
          <cell r="D932" t="str">
            <v>NA/LA</v>
          </cell>
          <cell r="H932" t="str">
            <v>6E6F1AA#ABL</v>
          </cell>
          <cell r="M932" t="str">
            <v>Foxconn LH</v>
          </cell>
        </row>
        <row r="933">
          <cell r="D933" t="str">
            <v>LA</v>
          </cell>
          <cell r="H933" t="str">
            <v>2D801AA#ABL</v>
          </cell>
          <cell r="M933" t="str">
            <v>Foxconn LH</v>
          </cell>
        </row>
        <row r="934">
          <cell r="D934" t="str">
            <v>APJ</v>
          </cell>
          <cell r="H934" t="str">
            <v>2D799AA#ABL</v>
          </cell>
          <cell r="M934" t="str">
            <v>Foxconn LH</v>
          </cell>
        </row>
        <row r="935">
          <cell r="D935" t="str">
            <v>APJ</v>
          </cell>
          <cell r="H935" t="str">
            <v>2D800AA#ABL</v>
          </cell>
          <cell r="M935" t="str">
            <v>Foxconn LH</v>
          </cell>
        </row>
        <row r="936">
          <cell r="D936" t="str">
            <v>LA</v>
          </cell>
          <cell r="H936" t="str">
            <v>1Y4D0AA#ABM</v>
          </cell>
          <cell r="M936" t="str">
            <v>Foxconn LH</v>
          </cell>
        </row>
        <row r="937">
          <cell r="D937" t="str">
            <v>LA</v>
          </cell>
          <cell r="H937" t="str">
            <v>1Y4D0AA#ABM</v>
          </cell>
          <cell r="M937" t="str">
            <v>Foxconn LH</v>
          </cell>
        </row>
        <row r="938">
          <cell r="D938" t="str">
            <v>LA</v>
          </cell>
          <cell r="H938" t="str">
            <v>1Y4D0AA#ABM</v>
          </cell>
          <cell r="M938" t="str">
            <v>Foxconn LH</v>
          </cell>
        </row>
        <row r="939">
          <cell r="D939" t="str">
            <v>APJ</v>
          </cell>
          <cell r="H939" t="str">
            <v>428K7AA</v>
          </cell>
          <cell r="M939" t="str">
            <v>Foxconn LH</v>
          </cell>
        </row>
        <row r="940">
          <cell r="D940" t="str">
            <v>LA</v>
          </cell>
          <cell r="H940" t="str">
            <v>6VY95AA#ABM</v>
          </cell>
          <cell r="M940" t="str">
            <v>Foxconn LH</v>
          </cell>
        </row>
        <row r="941">
          <cell r="D941" t="str">
            <v>APJ</v>
          </cell>
          <cell r="H941" t="str">
            <v>428K6AA</v>
          </cell>
          <cell r="M941" t="str">
            <v>Foxconn LH</v>
          </cell>
        </row>
        <row r="942">
          <cell r="D942" t="str">
            <v>NA/LA</v>
          </cell>
          <cell r="H942" t="str">
            <v>X6W31AA#ABL</v>
          </cell>
          <cell r="M942" t="str">
            <v>Foxconn LH</v>
          </cell>
        </row>
        <row r="943">
          <cell r="D943" t="str">
            <v>APJ</v>
          </cell>
          <cell r="H943" t="str">
            <v>6V2J7AA#UUF</v>
          </cell>
          <cell r="M943" t="str">
            <v>Foxconn LH</v>
          </cell>
        </row>
        <row r="944">
          <cell r="D944" t="str">
            <v>NA/LA</v>
          </cell>
          <cell r="H944" t="str">
            <v>3FV67AA#ABL</v>
          </cell>
          <cell r="M944" t="str">
            <v>Foxconn LH</v>
          </cell>
        </row>
        <row r="945">
          <cell r="D945" t="str">
            <v>LA</v>
          </cell>
          <cell r="H945" t="str">
            <v>1Y4D0AA#ABM</v>
          </cell>
          <cell r="M945" t="str">
            <v>Foxconn LH</v>
          </cell>
        </row>
        <row r="946">
          <cell r="D946" t="str">
            <v>APJ</v>
          </cell>
          <cell r="H946" t="str">
            <v>2D799AA#ABL</v>
          </cell>
          <cell r="M946" t="str">
            <v>Foxconn LH</v>
          </cell>
        </row>
        <row r="947">
          <cell r="D947" t="str">
            <v>APJ</v>
          </cell>
          <cell r="H947" t="str">
            <v>2D800AA#ABL</v>
          </cell>
          <cell r="M947" t="str">
            <v>Foxconn LH</v>
          </cell>
        </row>
        <row r="948">
          <cell r="D948" t="str">
            <v>APJ</v>
          </cell>
          <cell r="H948" t="str">
            <v>6E6F1AA#UUF</v>
          </cell>
          <cell r="M948" t="str">
            <v>Foxconn LH</v>
          </cell>
        </row>
        <row r="949">
          <cell r="D949" t="str">
            <v>APJ</v>
          </cell>
          <cell r="H949" t="str">
            <v>6E6F2AA#UUF</v>
          </cell>
          <cell r="M949" t="str">
            <v>Foxconn LH</v>
          </cell>
        </row>
        <row r="950">
          <cell r="D950" t="str">
            <v>APJ</v>
          </cell>
          <cell r="H950" t="str">
            <v>1Y4D0AA#UUF</v>
          </cell>
          <cell r="M950" t="str">
            <v>Foxconn LH</v>
          </cell>
        </row>
        <row r="951">
          <cell r="D951" t="str">
            <v>APJ</v>
          </cell>
          <cell r="H951" t="str">
            <v>1Y4D0AA#UUF</v>
          </cell>
          <cell r="M951" t="str">
            <v>Foxconn LH</v>
          </cell>
        </row>
        <row r="952">
          <cell r="D952" t="str">
            <v>LA</v>
          </cell>
          <cell r="H952" t="str">
            <v>2D801AA#ABL</v>
          </cell>
          <cell r="M952" t="str">
            <v>Foxconn LH</v>
          </cell>
        </row>
        <row r="953">
          <cell r="D953" t="str">
            <v>APJ</v>
          </cell>
          <cell r="H953" t="str">
            <v>1Y4D0AA#UUF</v>
          </cell>
          <cell r="M953" t="str">
            <v>Foxconn LH</v>
          </cell>
        </row>
        <row r="954">
          <cell r="D954" t="str">
            <v>APJ</v>
          </cell>
          <cell r="H954" t="str">
            <v>4QM14AA#UUF</v>
          </cell>
          <cell r="M954" t="str">
            <v>Foxconn LH</v>
          </cell>
        </row>
        <row r="955">
          <cell r="D955" t="str">
            <v>APJ</v>
          </cell>
          <cell r="H955" t="str">
            <v>3L1F0AA#UUF</v>
          </cell>
          <cell r="M955" t="str">
            <v>Foxconn LH</v>
          </cell>
        </row>
        <row r="956">
          <cell r="D956" t="str">
            <v>APJ</v>
          </cell>
          <cell r="H956" t="str">
            <v>53X26AA#UUF</v>
          </cell>
          <cell r="M956" t="str">
            <v>Foxconn LH</v>
          </cell>
        </row>
        <row r="957">
          <cell r="D957" t="str">
            <v>LA</v>
          </cell>
          <cell r="H957" t="str">
            <v>18H24AA#ABM</v>
          </cell>
          <cell r="M957" t="str">
            <v>Foxconn LH</v>
          </cell>
        </row>
        <row r="958">
          <cell r="D958" t="str">
            <v>APJ</v>
          </cell>
          <cell r="H958" t="str">
            <v>1Y4D0AA#UUF</v>
          </cell>
          <cell r="M958" t="str">
            <v>Foxconn LH</v>
          </cell>
        </row>
        <row r="959">
          <cell r="D959" t="str">
            <v>APJ</v>
          </cell>
          <cell r="H959" t="str">
            <v>9DF28AA#UUF</v>
          </cell>
          <cell r="M959" t="str">
            <v>Foxconn LH</v>
          </cell>
        </row>
        <row r="960">
          <cell r="D960" t="str">
            <v>APJ</v>
          </cell>
          <cell r="H960" t="str">
            <v>18H24AA#UUF</v>
          </cell>
          <cell r="M960" t="str">
            <v>Foxconn LH</v>
          </cell>
        </row>
        <row r="961">
          <cell r="D961" t="str">
            <v>APJ</v>
          </cell>
          <cell r="H961" t="str">
            <v>2S9L1AA#UUF</v>
          </cell>
          <cell r="M961" t="str">
            <v>Foxconn LH</v>
          </cell>
        </row>
        <row r="962">
          <cell r="D962" t="str">
            <v>LA</v>
          </cell>
          <cell r="H962" t="str">
            <v>2D801AA#ABL</v>
          </cell>
          <cell r="M962" t="str">
            <v>Foxconn LH</v>
          </cell>
        </row>
        <row r="963">
          <cell r="D963" t="str">
            <v>APJ</v>
          </cell>
          <cell r="H963" t="str">
            <v>758A8AA#UUF</v>
          </cell>
          <cell r="M963" t="str">
            <v>Foxconn LH</v>
          </cell>
        </row>
        <row r="964">
          <cell r="D964" t="str">
            <v>APJ</v>
          </cell>
          <cell r="H964" t="str">
            <v>758A9AA#UUF</v>
          </cell>
          <cell r="M964" t="str">
            <v>Foxconn LH</v>
          </cell>
        </row>
        <row r="965">
          <cell r="D965" t="str">
            <v>NA/LA</v>
          </cell>
          <cell r="H965" t="str">
            <v>758A8AA#ABA</v>
          </cell>
          <cell r="M965" t="str">
            <v>Foxconn LH</v>
          </cell>
        </row>
        <row r="966">
          <cell r="D966" t="str">
            <v>NA/LA</v>
          </cell>
          <cell r="H966" t="str">
            <v>758A9AA#ABA</v>
          </cell>
          <cell r="M966" t="str">
            <v>Foxconn LH</v>
          </cell>
        </row>
        <row r="967">
          <cell r="D967" t="str">
            <v>LA</v>
          </cell>
          <cell r="H967" t="str">
            <v>2S9L1AA#ABM</v>
          </cell>
          <cell r="M967" t="str">
            <v>Foxconn LH</v>
          </cell>
        </row>
        <row r="968">
          <cell r="D968" t="str">
            <v>APJ</v>
          </cell>
          <cell r="H968" t="str">
            <v>4E407AA#UUF</v>
          </cell>
          <cell r="M968" t="str">
            <v>Foxconn LH</v>
          </cell>
        </row>
        <row r="969">
          <cell r="D969" t="str">
            <v>LA</v>
          </cell>
          <cell r="H969" t="str">
            <v>18H24AA#ABM</v>
          </cell>
          <cell r="M969" t="str">
            <v>Foxconn LH</v>
          </cell>
        </row>
        <row r="970">
          <cell r="D970" t="str">
            <v>NA/LA</v>
          </cell>
          <cell r="H970" t="str">
            <v>3FV67AA#ABL</v>
          </cell>
          <cell r="M970" t="str">
            <v>Foxconn LH</v>
          </cell>
        </row>
        <row r="971">
          <cell r="D971" t="str">
            <v>APJ</v>
          </cell>
          <cell r="H971" t="str">
            <v>1D0K9AA#UUF</v>
          </cell>
          <cell r="M971" t="str">
            <v>Foxconn LH</v>
          </cell>
        </row>
        <row r="972">
          <cell r="D972" t="str">
            <v>APJ</v>
          </cell>
          <cell r="H972" t="str">
            <v>4QM14AA#UUF</v>
          </cell>
          <cell r="M972" t="str">
            <v>Foxconn LH</v>
          </cell>
        </row>
        <row r="973">
          <cell r="D973" t="str">
            <v>LA</v>
          </cell>
          <cell r="H973" t="str">
            <v>1Y4D0AA#ABM</v>
          </cell>
          <cell r="M973" t="str">
            <v>Foxconn LH</v>
          </cell>
        </row>
        <row r="974">
          <cell r="D974" t="str">
            <v>APJ</v>
          </cell>
          <cell r="H974" t="str">
            <v>3L1F0AA#UUF</v>
          </cell>
          <cell r="M974" t="str">
            <v>Foxconn LH</v>
          </cell>
        </row>
        <row r="975">
          <cell r="D975" t="str">
            <v>APJ</v>
          </cell>
          <cell r="H975" t="str">
            <v>9DF28AA#UUF</v>
          </cell>
          <cell r="M975" t="str">
            <v>Foxconn LH</v>
          </cell>
        </row>
        <row r="976">
          <cell r="D976" t="str">
            <v>LA</v>
          </cell>
          <cell r="H976" t="str">
            <v>3V0G9AA#ABM</v>
          </cell>
          <cell r="M976" t="str">
            <v>Foxconn LH</v>
          </cell>
        </row>
        <row r="977">
          <cell r="D977" t="str">
            <v>LA</v>
          </cell>
          <cell r="H977" t="str">
            <v>3L1E7AA#ABM</v>
          </cell>
          <cell r="M977" t="str">
            <v>Foxconn LH</v>
          </cell>
        </row>
        <row r="978">
          <cell r="D978" t="str">
            <v>APJ</v>
          </cell>
          <cell r="H978" t="str">
            <v>4QM14AA#UUF</v>
          </cell>
          <cell r="M978" t="str">
            <v>Foxconn LH</v>
          </cell>
        </row>
        <row r="979">
          <cell r="D979" t="str">
            <v>APJ</v>
          </cell>
          <cell r="H979" t="str">
            <v>758A9AA#UUF</v>
          </cell>
          <cell r="M979" t="str">
            <v>Foxconn LH</v>
          </cell>
        </row>
        <row r="980">
          <cell r="D980" t="str">
            <v>LA</v>
          </cell>
          <cell r="H980" t="str">
            <v>1Y4D0AA#ABM</v>
          </cell>
          <cell r="M980" t="str">
            <v>Foxconn LH</v>
          </cell>
        </row>
        <row r="981">
          <cell r="D981" t="str">
            <v>APJ</v>
          </cell>
          <cell r="H981" t="str">
            <v>3L1F0AA#UUF</v>
          </cell>
          <cell r="M981" t="str">
            <v>Foxconn LH</v>
          </cell>
        </row>
        <row r="982">
          <cell r="D982" t="str">
            <v>APJ</v>
          </cell>
          <cell r="H982" t="str">
            <v>758A8AA#UUF</v>
          </cell>
          <cell r="M982" t="str">
            <v>Foxconn LH</v>
          </cell>
        </row>
        <row r="983">
          <cell r="D983" t="str">
            <v>APJ</v>
          </cell>
          <cell r="H983" t="str">
            <v>758A9AA#UUF</v>
          </cell>
          <cell r="M983" t="str">
            <v>Foxconn LH</v>
          </cell>
        </row>
        <row r="984">
          <cell r="D984" t="str">
            <v>APJ</v>
          </cell>
          <cell r="H984" t="str">
            <v>2D800AA#ABL</v>
          </cell>
          <cell r="M984" t="str">
            <v>Foxconn LH</v>
          </cell>
        </row>
        <row r="985">
          <cell r="D985" t="str">
            <v>LA</v>
          </cell>
          <cell r="H985" t="str">
            <v>1Y4D0AA#ABM</v>
          </cell>
          <cell r="M985" t="str">
            <v>Foxconn LH</v>
          </cell>
        </row>
        <row r="986">
          <cell r="D986" t="str">
            <v>LA</v>
          </cell>
          <cell r="H986" t="str">
            <v>18H24AA#ABM</v>
          </cell>
          <cell r="M986" t="str">
            <v>Foxconn LH</v>
          </cell>
        </row>
        <row r="987">
          <cell r="D987" t="str">
            <v>APJ</v>
          </cell>
          <cell r="H987" t="str">
            <v>2HU84AA#UUF</v>
          </cell>
          <cell r="M987" t="str">
            <v>Foxconn LH</v>
          </cell>
        </row>
        <row r="988">
          <cell r="D988" t="str">
            <v>APJ</v>
          </cell>
          <cell r="H988" t="str">
            <v>6VY96AA#UUF</v>
          </cell>
          <cell r="M988" t="str">
            <v>Foxconn LH</v>
          </cell>
        </row>
        <row r="989">
          <cell r="D989" t="str">
            <v>APJ</v>
          </cell>
          <cell r="H989" t="str">
            <v>9DF28AA#UUF</v>
          </cell>
          <cell r="M989" t="str">
            <v>Foxconn LH</v>
          </cell>
        </row>
        <row r="990">
          <cell r="D990" t="str">
            <v>APJ</v>
          </cell>
          <cell r="H990" t="str">
            <v>3ML04AA#UUF</v>
          </cell>
          <cell r="M990" t="str">
            <v>Foxconn LH</v>
          </cell>
        </row>
        <row r="991">
          <cell r="D991" t="str">
            <v>LA</v>
          </cell>
          <cell r="H991" t="str">
            <v>1Y4D0AA#ABM</v>
          </cell>
          <cell r="M991" t="str">
            <v>Foxconn LH</v>
          </cell>
        </row>
        <row r="992">
          <cell r="D992" t="str">
            <v>APJ</v>
          </cell>
          <cell r="H992" t="str">
            <v>4E407AA#UUF</v>
          </cell>
          <cell r="M992" t="str">
            <v>Foxconn LH</v>
          </cell>
        </row>
        <row r="993">
          <cell r="D993" t="str">
            <v>LA</v>
          </cell>
          <cell r="H993" t="str">
            <v>6VY96AA#ABM</v>
          </cell>
          <cell r="M993" t="str">
            <v>Foxconn LH</v>
          </cell>
        </row>
        <row r="994">
          <cell r="D994" t="str">
            <v>NA/LA</v>
          </cell>
          <cell r="H994" t="str">
            <v>2HU83AA#ABL</v>
          </cell>
          <cell r="M994" t="str">
            <v>Foxconn LH</v>
          </cell>
        </row>
        <row r="995">
          <cell r="D995" t="str">
            <v>APJ</v>
          </cell>
          <cell r="H995" t="str">
            <v>428K7AA</v>
          </cell>
          <cell r="M995" t="str">
            <v>Foxconn LH</v>
          </cell>
        </row>
        <row r="996">
          <cell r="D996" t="str">
            <v>LA</v>
          </cell>
          <cell r="H996" t="str">
            <v>43N04AA#ABM</v>
          </cell>
          <cell r="M996" t="str">
            <v>Foxconn LH</v>
          </cell>
        </row>
        <row r="997">
          <cell r="D997" t="str">
            <v>LA</v>
          </cell>
          <cell r="H997" t="str">
            <v>3L1E7AA#ABM</v>
          </cell>
          <cell r="M997" t="str">
            <v>Foxconn LH</v>
          </cell>
        </row>
        <row r="998">
          <cell r="D998" t="str">
            <v>APJ</v>
          </cell>
          <cell r="H998" t="str">
            <v>758A9AA#UUF</v>
          </cell>
          <cell r="M998" t="str">
            <v>Foxconn LH</v>
          </cell>
        </row>
        <row r="999">
          <cell r="D999" t="str">
            <v>APJ</v>
          </cell>
          <cell r="H999" t="str">
            <v>758A9AA#UUF</v>
          </cell>
          <cell r="M999" t="str">
            <v>Foxconn LH</v>
          </cell>
        </row>
        <row r="1000">
          <cell r="D1000" t="str">
            <v>LA</v>
          </cell>
          <cell r="H1000" t="str">
            <v>3L1F0AA#ABM</v>
          </cell>
          <cell r="M1000" t="str">
            <v>Foxconn LH</v>
          </cell>
        </row>
        <row r="1001">
          <cell r="D1001" t="str">
            <v>APJ</v>
          </cell>
          <cell r="H1001" t="str">
            <v>3L1F0AA#UUF</v>
          </cell>
          <cell r="M1001" t="str">
            <v>Foxconn LH</v>
          </cell>
        </row>
        <row r="1002">
          <cell r="D1002" t="str">
            <v>APJ</v>
          </cell>
          <cell r="H1002" t="str">
            <v>9DF28AA#UUF</v>
          </cell>
          <cell r="M1002" t="str">
            <v>Foxconn LH</v>
          </cell>
        </row>
        <row r="1003">
          <cell r="D1003" t="str">
            <v>LA</v>
          </cell>
          <cell r="H1003" t="str">
            <v>18H24AA#ABM</v>
          </cell>
          <cell r="M1003" t="str">
            <v>Foxconn LH</v>
          </cell>
        </row>
        <row r="1004">
          <cell r="D1004" t="str">
            <v>LA</v>
          </cell>
          <cell r="H1004" t="str">
            <v>1Y4D0AA#ABM</v>
          </cell>
          <cell r="M1004" t="str">
            <v>Foxconn LH</v>
          </cell>
        </row>
        <row r="1005">
          <cell r="D1005" t="str">
            <v>NA</v>
          </cell>
          <cell r="H1005" t="str">
            <v>18H24AA#ABA</v>
          </cell>
          <cell r="M1005" t="str">
            <v>Foxconn LH</v>
          </cell>
        </row>
        <row r="1006">
          <cell r="D1006" t="str">
            <v>APJ</v>
          </cell>
          <cell r="H1006" t="str">
            <v>758A9AA#UUF</v>
          </cell>
          <cell r="M1006" t="str">
            <v>Foxconn LH</v>
          </cell>
        </row>
        <row r="1007">
          <cell r="D1007" t="str">
            <v>NA</v>
          </cell>
          <cell r="H1007" t="str">
            <v>18H24AA#ABA</v>
          </cell>
          <cell r="M1007" t="str">
            <v>Foxconn LH</v>
          </cell>
        </row>
        <row r="1008">
          <cell r="D1008" t="str">
            <v>LA</v>
          </cell>
          <cell r="H1008" t="str">
            <v>3V0G9AA#ABM</v>
          </cell>
          <cell r="M1008" t="str">
            <v>Foxconn LH</v>
          </cell>
        </row>
        <row r="1009">
          <cell r="D1009" t="str">
            <v>APJ</v>
          </cell>
          <cell r="H1009" t="str">
            <v>428K7AA</v>
          </cell>
          <cell r="M1009" t="str">
            <v>Foxconn LH</v>
          </cell>
        </row>
        <row r="1010">
          <cell r="D1010" t="str">
            <v>LA</v>
          </cell>
          <cell r="H1010" t="str">
            <v>18H24AA#ABM</v>
          </cell>
          <cell r="M1010" t="str">
            <v>Foxconn LH</v>
          </cell>
        </row>
        <row r="1011">
          <cell r="D1011" t="str">
            <v>LA</v>
          </cell>
          <cell r="H1011" t="str">
            <v>18H24AA#ABM</v>
          </cell>
          <cell r="M1011" t="str">
            <v>Foxconn LH</v>
          </cell>
        </row>
        <row r="1012">
          <cell r="D1012" t="str">
            <v>APJ</v>
          </cell>
          <cell r="H1012" t="str">
            <v>428K6AA</v>
          </cell>
          <cell r="M1012" t="str">
            <v>Foxconn LH</v>
          </cell>
        </row>
        <row r="1013">
          <cell r="D1013" t="str">
            <v>LA</v>
          </cell>
          <cell r="H1013" t="str">
            <v>2S9L1AA#ABM</v>
          </cell>
          <cell r="M1013" t="str">
            <v>Foxconn LH</v>
          </cell>
        </row>
        <row r="1014">
          <cell r="D1014" t="str">
            <v>APJ</v>
          </cell>
          <cell r="H1014" t="str">
            <v>3ML04AA#UUF</v>
          </cell>
          <cell r="M1014" t="str">
            <v>Foxconn LH</v>
          </cell>
        </row>
        <row r="1015">
          <cell r="D1015" t="str">
            <v>NA/LA</v>
          </cell>
          <cell r="H1015" t="str">
            <v>2HU82AA#ABL</v>
          </cell>
          <cell r="M1015" t="str">
            <v>Foxconn LH</v>
          </cell>
        </row>
        <row r="1016">
          <cell r="D1016" t="str">
            <v>LA</v>
          </cell>
          <cell r="H1016" t="str">
            <v>6VY95AA#ABM</v>
          </cell>
          <cell r="M1016" t="str">
            <v>Foxconn LH</v>
          </cell>
        </row>
        <row r="1017">
          <cell r="D1017" t="str">
            <v>APJ</v>
          </cell>
          <cell r="H1017" t="str">
            <v>3L1F0AA#UUF</v>
          </cell>
          <cell r="M1017" t="str">
            <v>Foxconn LH</v>
          </cell>
        </row>
        <row r="1018">
          <cell r="D1018" t="str">
            <v>LA</v>
          </cell>
          <cell r="H1018" t="str">
            <v>6VY96AA#ABM</v>
          </cell>
          <cell r="M1018" t="str">
            <v>Foxconn LH</v>
          </cell>
        </row>
        <row r="1019">
          <cell r="D1019" t="str">
            <v>APJ</v>
          </cell>
          <cell r="H1019" t="str">
            <v>428K7AA</v>
          </cell>
          <cell r="M1019" t="str">
            <v>Foxconn LH</v>
          </cell>
        </row>
        <row r="1020">
          <cell r="D1020" t="str">
            <v>LA</v>
          </cell>
          <cell r="H1020" t="str">
            <v>240J7AA#ABM</v>
          </cell>
          <cell r="M1020" t="str">
            <v>Foxconn LH</v>
          </cell>
        </row>
        <row r="1021">
          <cell r="D1021" t="str">
            <v>APJ</v>
          </cell>
          <cell r="H1021" t="str">
            <v>9DF28AA#UUF</v>
          </cell>
          <cell r="M1021" t="str">
            <v>Foxconn LH</v>
          </cell>
        </row>
        <row r="1022">
          <cell r="D1022" t="str">
            <v>APJ</v>
          </cell>
          <cell r="H1022" t="str">
            <v>18H24AA#UUF</v>
          </cell>
          <cell r="M1022" t="str">
            <v>Foxconn LH</v>
          </cell>
        </row>
        <row r="1023">
          <cell r="D1023" t="str">
            <v>LA</v>
          </cell>
          <cell r="H1023" t="str">
            <v>3L1E7AA#ABM</v>
          </cell>
          <cell r="M1023" t="str">
            <v>Foxconn LH</v>
          </cell>
        </row>
        <row r="1024">
          <cell r="D1024" t="str">
            <v>LA</v>
          </cell>
          <cell r="H1024" t="str">
            <v>3L1E7AA#ABM</v>
          </cell>
          <cell r="M1024" t="str">
            <v>Foxconn LH</v>
          </cell>
        </row>
        <row r="1025">
          <cell r="D1025" t="str">
            <v>APJ</v>
          </cell>
          <cell r="H1025" t="str">
            <v>6V2J7AA#UUF</v>
          </cell>
          <cell r="M1025" t="str">
            <v>Foxconn LH</v>
          </cell>
        </row>
        <row r="1026">
          <cell r="D1026" t="str">
            <v>LA</v>
          </cell>
          <cell r="H1026" t="str">
            <v>18H24AA#ABM</v>
          </cell>
          <cell r="M1026" t="str">
            <v>Foxconn LH</v>
          </cell>
        </row>
        <row r="1027">
          <cell r="D1027" t="str">
            <v>LA</v>
          </cell>
          <cell r="H1027" t="str">
            <v>18H24AA#ABM</v>
          </cell>
          <cell r="M1027" t="str">
            <v>Foxconn LH</v>
          </cell>
        </row>
        <row r="1028">
          <cell r="D1028" t="str">
            <v>LA</v>
          </cell>
          <cell r="H1028" t="str">
            <v>18H24AA#ABM</v>
          </cell>
          <cell r="M1028" t="str">
            <v>Foxconn LH</v>
          </cell>
        </row>
        <row r="1029">
          <cell r="D1029" t="str">
            <v>LA</v>
          </cell>
          <cell r="H1029" t="str">
            <v>18H24AA#ABM</v>
          </cell>
          <cell r="M1029" t="str">
            <v>Foxconn LH</v>
          </cell>
        </row>
        <row r="1030">
          <cell r="D1030" t="str">
            <v>APJ</v>
          </cell>
          <cell r="H1030" t="str">
            <v>4E407AA#UUF</v>
          </cell>
          <cell r="M1030" t="str">
            <v>Foxconn LH</v>
          </cell>
        </row>
        <row r="1031">
          <cell r="D1031" t="str">
            <v>LA</v>
          </cell>
          <cell r="H1031" t="str">
            <v>43N05AA#ABM</v>
          </cell>
          <cell r="M1031" t="str">
            <v>Foxconn LH</v>
          </cell>
        </row>
        <row r="1032">
          <cell r="D1032" t="str">
            <v>APJ</v>
          </cell>
          <cell r="H1032" t="str">
            <v>4QM14AA#UUF</v>
          </cell>
          <cell r="M1032" t="str">
            <v>Foxconn LH</v>
          </cell>
        </row>
        <row r="1033">
          <cell r="D1033" t="str">
            <v>APJ</v>
          </cell>
          <cell r="H1033" t="str">
            <v>4QM14AA#UUF</v>
          </cell>
          <cell r="M1033" t="str">
            <v>Foxconn LH</v>
          </cell>
        </row>
        <row r="1034">
          <cell r="D1034" t="str">
            <v>LA</v>
          </cell>
          <cell r="H1034" t="str">
            <v>240J6AA#ABM</v>
          </cell>
          <cell r="M1034" t="str">
            <v>Foxconn LH</v>
          </cell>
        </row>
        <row r="1035">
          <cell r="D1035" t="str">
            <v>APJ</v>
          </cell>
          <cell r="H1035" t="str">
            <v>2D800AA#ABL</v>
          </cell>
          <cell r="M1035" t="str">
            <v>Foxconn LH</v>
          </cell>
        </row>
        <row r="1036">
          <cell r="D1036" t="str">
            <v>APJ</v>
          </cell>
          <cell r="H1036" t="str">
            <v>428K7AA</v>
          </cell>
          <cell r="M1036" t="str">
            <v>Foxconn LH</v>
          </cell>
        </row>
        <row r="1037">
          <cell r="D1037" t="str">
            <v>LA</v>
          </cell>
          <cell r="H1037" t="str">
            <v>2S9L1AA#ABM</v>
          </cell>
          <cell r="M1037" t="str">
            <v>Foxconn LH</v>
          </cell>
        </row>
        <row r="1038">
          <cell r="D1038" t="str">
            <v>LA</v>
          </cell>
          <cell r="H1038" t="str">
            <v>2V9E6AA#ABM</v>
          </cell>
          <cell r="M1038" t="str">
            <v>Foxconn LH</v>
          </cell>
        </row>
        <row r="1039">
          <cell r="D1039" t="str">
            <v>LA</v>
          </cell>
          <cell r="H1039" t="str">
            <v>3V0G9AA#ABM</v>
          </cell>
          <cell r="M1039" t="str">
            <v>Foxconn LH</v>
          </cell>
        </row>
        <row r="1040">
          <cell r="D1040" t="str">
            <v>NA/LA</v>
          </cell>
          <cell r="H1040" t="str">
            <v>6E6F1AA#ABL</v>
          </cell>
          <cell r="M1040" t="str">
            <v>Foxconn LH</v>
          </cell>
        </row>
        <row r="1041">
          <cell r="D1041" t="str">
            <v>APJ</v>
          </cell>
          <cell r="H1041" t="str">
            <v>X7Q43AA#UUF</v>
          </cell>
          <cell r="M1041" t="str">
            <v>Foxconn LH</v>
          </cell>
        </row>
        <row r="1042">
          <cell r="D1042" t="str">
            <v>APJ</v>
          </cell>
          <cell r="H1042" t="str">
            <v>4QM14AA#UUF</v>
          </cell>
          <cell r="M1042" t="str">
            <v>Foxconn LH</v>
          </cell>
        </row>
        <row r="1043">
          <cell r="D1043" t="str">
            <v>LA</v>
          </cell>
          <cell r="H1043" t="str">
            <v>1Y4D0AA#ABM</v>
          </cell>
          <cell r="M1043" t="str">
            <v>Foxconn LH</v>
          </cell>
        </row>
        <row r="1044">
          <cell r="D1044" t="str">
            <v>NA/LA</v>
          </cell>
          <cell r="H1044" t="str">
            <v>758A8AA#ABA</v>
          </cell>
          <cell r="M1044" t="str">
            <v>Foxconn LH</v>
          </cell>
        </row>
        <row r="1045">
          <cell r="D1045" t="str">
            <v>NA/LA</v>
          </cell>
          <cell r="H1045" t="str">
            <v>758A9AA#ABA</v>
          </cell>
          <cell r="M1045" t="str">
            <v>Foxconn LH</v>
          </cell>
        </row>
        <row r="1046">
          <cell r="D1046" t="str">
            <v>APJ</v>
          </cell>
          <cell r="H1046" t="str">
            <v>758A8AA#UUF</v>
          </cell>
          <cell r="M1046" t="str">
            <v>Foxconn LH</v>
          </cell>
        </row>
        <row r="1047">
          <cell r="D1047" t="str">
            <v>APJ</v>
          </cell>
          <cell r="H1047" t="str">
            <v>X7Q43AA#UUF</v>
          </cell>
          <cell r="M1047" t="str">
            <v>Foxconn LH</v>
          </cell>
        </row>
        <row r="1048">
          <cell r="D1048" t="str">
            <v>APJ</v>
          </cell>
          <cell r="H1048" t="str">
            <v>758A8AA#UUF</v>
          </cell>
          <cell r="M1048" t="str">
            <v>Foxconn LH</v>
          </cell>
        </row>
        <row r="1049">
          <cell r="D1049" t="str">
            <v>LA</v>
          </cell>
          <cell r="H1049" t="str">
            <v>6VY95AA#ABM</v>
          </cell>
          <cell r="M1049" t="str">
            <v>Foxconn LH</v>
          </cell>
        </row>
        <row r="1050">
          <cell r="D1050" t="str">
            <v>APJ</v>
          </cell>
          <cell r="H1050" t="str">
            <v>4E407AA#UUF</v>
          </cell>
          <cell r="M1050" t="str">
            <v>Foxconn LH</v>
          </cell>
        </row>
        <row r="1051">
          <cell r="D1051" t="str">
            <v>LA</v>
          </cell>
          <cell r="H1051" t="str">
            <v>6VY95AA#ABM</v>
          </cell>
          <cell r="M1051" t="str">
            <v>Foxconn LH</v>
          </cell>
        </row>
        <row r="1052">
          <cell r="D1052" t="str">
            <v>LA</v>
          </cell>
          <cell r="H1052" t="str">
            <v>6VY96AA#ABM</v>
          </cell>
          <cell r="M1052" t="str">
            <v>Foxconn LH</v>
          </cell>
        </row>
        <row r="1053">
          <cell r="D1053" t="str">
            <v>LA</v>
          </cell>
          <cell r="H1053" t="str">
            <v>18H24AA#ABM</v>
          </cell>
          <cell r="M1053" t="str">
            <v>Foxconn LH</v>
          </cell>
        </row>
        <row r="1054">
          <cell r="D1054" t="str">
            <v>APJ</v>
          </cell>
          <cell r="H1054" t="str">
            <v>758A8AA#UUF</v>
          </cell>
          <cell r="M1054" t="str">
            <v>Foxconn LH</v>
          </cell>
        </row>
        <row r="1055">
          <cell r="D1055" t="str">
            <v>NA</v>
          </cell>
          <cell r="H1055" t="str">
            <v>18H24AA#ABA</v>
          </cell>
          <cell r="M1055" t="str">
            <v>Foxconn LH</v>
          </cell>
        </row>
        <row r="1056">
          <cell r="D1056" t="str">
            <v>APJ</v>
          </cell>
          <cell r="H1056" t="str">
            <v>18H24AA#UUF</v>
          </cell>
          <cell r="M1056" t="str">
            <v>Foxconn LH</v>
          </cell>
        </row>
        <row r="1057">
          <cell r="D1057" t="str">
            <v>APJ</v>
          </cell>
          <cell r="H1057" t="str">
            <v>18H24AA#UUF</v>
          </cell>
          <cell r="M1057" t="str">
            <v>Foxconn LH</v>
          </cell>
        </row>
        <row r="1058">
          <cell r="D1058" t="str">
            <v>APJ</v>
          </cell>
          <cell r="H1058" t="str">
            <v>2D799AA#ABL</v>
          </cell>
          <cell r="M1058" t="str">
            <v>Foxconn LH</v>
          </cell>
        </row>
        <row r="1059">
          <cell r="D1059" t="str">
            <v>APJ</v>
          </cell>
          <cell r="H1059" t="str">
            <v>9DF28AA#UUF</v>
          </cell>
          <cell r="M1059" t="str">
            <v>Foxconn LH</v>
          </cell>
        </row>
        <row r="1060">
          <cell r="D1060" t="str">
            <v>NA/LA</v>
          </cell>
          <cell r="H1060" t="str">
            <v>2HU82AA#ABL</v>
          </cell>
          <cell r="M1060" t="str">
            <v>Foxconn LH</v>
          </cell>
        </row>
        <row r="1061">
          <cell r="D1061" t="str">
            <v>APJ</v>
          </cell>
          <cell r="H1061" t="str">
            <v>2D801AA#UUF</v>
          </cell>
          <cell r="M1061" t="str">
            <v>Foxconn LH</v>
          </cell>
        </row>
        <row r="1062">
          <cell r="D1062" t="str">
            <v>APJ</v>
          </cell>
          <cell r="H1062" t="str">
            <v>6VY96AA#UUF</v>
          </cell>
          <cell r="M1062" t="str">
            <v>Foxconn LH</v>
          </cell>
        </row>
        <row r="1063">
          <cell r="D1063" t="str">
            <v>APJ</v>
          </cell>
          <cell r="H1063" t="str">
            <v>6V2J7AA#UUF</v>
          </cell>
          <cell r="M1063" t="str">
            <v>Foxconn LH</v>
          </cell>
        </row>
        <row r="1064">
          <cell r="D1064" t="str">
            <v>NA/LA</v>
          </cell>
          <cell r="H1064" t="str">
            <v>2HU84AA#ABL</v>
          </cell>
          <cell r="M1064" t="str">
            <v>Foxconn LH</v>
          </cell>
        </row>
        <row r="1065">
          <cell r="D1065" t="str">
            <v>NA</v>
          </cell>
          <cell r="H1065" t="str">
            <v>18H24AA#ABA</v>
          </cell>
          <cell r="M1065" t="str">
            <v>Foxconn LH</v>
          </cell>
        </row>
        <row r="1066">
          <cell r="D1066" t="str">
            <v>APJ</v>
          </cell>
          <cell r="H1066" t="str">
            <v>4E407AA#UUF</v>
          </cell>
          <cell r="M1066" t="str">
            <v>Foxconn LH</v>
          </cell>
        </row>
        <row r="1067">
          <cell r="D1067" t="str">
            <v>APJ</v>
          </cell>
          <cell r="H1067" t="str">
            <v>2S9L1AA#UUF</v>
          </cell>
          <cell r="M1067" t="str">
            <v>Foxconn LH</v>
          </cell>
        </row>
        <row r="1068">
          <cell r="D1068" t="str">
            <v>LA</v>
          </cell>
          <cell r="H1068" t="str">
            <v>18H24AA#AC4</v>
          </cell>
          <cell r="M1068" t="str">
            <v>Foxconn LH</v>
          </cell>
        </row>
        <row r="1069">
          <cell r="D1069" t="str">
            <v>LA</v>
          </cell>
          <cell r="H1069" t="str">
            <v>3L1E7AA#AC4</v>
          </cell>
          <cell r="M1069" t="str">
            <v>Foxconn LH</v>
          </cell>
        </row>
        <row r="1070">
          <cell r="D1070" t="str">
            <v>LA</v>
          </cell>
          <cell r="H1070" t="str">
            <v>18H24AA#AC4</v>
          </cell>
          <cell r="M1070" t="str">
            <v>Foxconn LH</v>
          </cell>
        </row>
        <row r="1071">
          <cell r="D1071" t="str">
            <v>LA</v>
          </cell>
          <cell r="H1071" t="str">
            <v>2V9E6AA#AC4</v>
          </cell>
          <cell r="M1071" t="str">
            <v>Foxconn LH</v>
          </cell>
        </row>
        <row r="1072">
          <cell r="D1072" t="str">
            <v>LA</v>
          </cell>
          <cell r="H1072" t="str">
            <v>18H24AA#AC4</v>
          </cell>
          <cell r="M1072" t="str">
            <v>Foxconn LH</v>
          </cell>
        </row>
        <row r="1073">
          <cell r="D1073" t="str">
            <v>LA</v>
          </cell>
          <cell r="H1073" t="str">
            <v>18H24AA#ABM</v>
          </cell>
          <cell r="M1073" t="str">
            <v>Foxconn LH</v>
          </cell>
        </row>
        <row r="1074">
          <cell r="D1074" t="str">
            <v>APJ</v>
          </cell>
          <cell r="H1074" t="str">
            <v>3V0G9AA#UUF</v>
          </cell>
          <cell r="M1074" t="str">
            <v>Foxconn LH</v>
          </cell>
        </row>
        <row r="1075">
          <cell r="D1075" t="str">
            <v>APJ</v>
          </cell>
          <cell r="H1075" t="str">
            <v>428K6AA</v>
          </cell>
          <cell r="M1075" t="str">
            <v>Foxconn LH</v>
          </cell>
        </row>
        <row r="1076">
          <cell r="D1076" t="str">
            <v>NA/LA</v>
          </cell>
          <cell r="H1076" t="str">
            <v>2HU82AA#ABL</v>
          </cell>
          <cell r="M1076" t="str">
            <v>Foxconn LH</v>
          </cell>
        </row>
        <row r="1077">
          <cell r="D1077" t="str">
            <v>NA/LA</v>
          </cell>
          <cell r="H1077" t="str">
            <v>758A9AA#ABA</v>
          </cell>
          <cell r="M1077" t="str">
            <v>Foxconn LH</v>
          </cell>
        </row>
        <row r="1078">
          <cell r="D1078" t="str">
            <v>APJ</v>
          </cell>
          <cell r="H1078" t="str">
            <v>4E407AA#UUF</v>
          </cell>
          <cell r="M1078" t="str">
            <v>Foxconn LH</v>
          </cell>
        </row>
        <row r="1079">
          <cell r="D1079" t="str">
            <v>APJ</v>
          </cell>
          <cell r="H1079" t="str">
            <v>4E407AA#UUF</v>
          </cell>
          <cell r="M1079" t="str">
            <v>Foxconn LH</v>
          </cell>
        </row>
        <row r="1080">
          <cell r="D1080" t="str">
            <v>LA</v>
          </cell>
          <cell r="H1080" t="str">
            <v>2S9L1AA#ABM</v>
          </cell>
          <cell r="M1080" t="str">
            <v>Foxconn LH</v>
          </cell>
        </row>
        <row r="1081">
          <cell r="D1081" t="str">
            <v>LA</v>
          </cell>
          <cell r="H1081" t="str">
            <v>3L1F0AA#ABM</v>
          </cell>
          <cell r="M1081" t="str">
            <v>Foxconn LH</v>
          </cell>
        </row>
        <row r="1082">
          <cell r="D1082" t="str">
            <v>NA/LA</v>
          </cell>
          <cell r="H1082" t="str">
            <v>822M9AA#ABA</v>
          </cell>
          <cell r="M1082" t="str">
            <v>Foxconn LH</v>
          </cell>
        </row>
        <row r="1083">
          <cell r="D1083" t="str">
            <v>APJ</v>
          </cell>
          <cell r="H1083" t="str">
            <v>822M9AA#UUF</v>
          </cell>
          <cell r="M1083" t="str">
            <v>Foxconn LH</v>
          </cell>
        </row>
        <row r="1084">
          <cell r="D1084" t="str">
            <v>APJ</v>
          </cell>
          <cell r="H1084" t="str">
            <v>81S67AA#UUF</v>
          </cell>
          <cell r="M1084" t="str">
            <v>Foxconn LH</v>
          </cell>
        </row>
        <row r="1085">
          <cell r="D1085" t="str">
            <v>APJ</v>
          </cell>
          <cell r="H1085" t="str">
            <v>81S67AA#UUF</v>
          </cell>
          <cell r="M1085" t="str">
            <v>Foxconn LH</v>
          </cell>
        </row>
        <row r="1086">
          <cell r="D1086" t="str">
            <v>NA/LA</v>
          </cell>
          <cell r="H1086" t="str">
            <v>2HU83AA#ABL</v>
          </cell>
          <cell r="M1086" t="str">
            <v>Foxconn LH</v>
          </cell>
        </row>
        <row r="1087">
          <cell r="D1087" t="str">
            <v>LA</v>
          </cell>
          <cell r="H1087" t="str">
            <v>6VY95AA#ABM</v>
          </cell>
          <cell r="M1087" t="str">
            <v>Foxconn LH</v>
          </cell>
        </row>
        <row r="1088">
          <cell r="D1088" t="str">
            <v>APJ</v>
          </cell>
          <cell r="H1088" t="str">
            <v>6VY96AA#UUF</v>
          </cell>
          <cell r="M1088" t="str">
            <v>Foxconn LH</v>
          </cell>
        </row>
        <row r="1089">
          <cell r="D1089" t="str">
            <v>APJ</v>
          </cell>
          <cell r="H1089" t="str">
            <v>2HU82AA#UUF</v>
          </cell>
          <cell r="M1089" t="str">
            <v>Foxconn LH</v>
          </cell>
        </row>
        <row r="1090">
          <cell r="D1090" t="str">
            <v>NA/LA</v>
          </cell>
          <cell r="H1090" t="str">
            <v>2HU83AA#ABL</v>
          </cell>
          <cell r="M1090" t="str">
            <v>Foxconn LH</v>
          </cell>
        </row>
        <row r="1091">
          <cell r="D1091" t="str">
            <v>APJ</v>
          </cell>
          <cell r="H1091" t="str">
            <v>664R5AA#UUF</v>
          </cell>
          <cell r="M1091" t="str">
            <v>Foxconn LH</v>
          </cell>
        </row>
        <row r="1092">
          <cell r="D1092" t="str">
            <v>APJ</v>
          </cell>
          <cell r="H1092" t="str">
            <v>18H24AA#UUF</v>
          </cell>
          <cell r="M1092" t="str">
            <v>Foxconn LH</v>
          </cell>
        </row>
        <row r="1093">
          <cell r="D1093" t="str">
            <v>NA/LA</v>
          </cell>
          <cell r="H1093" t="str">
            <v>793F9AA#ABA</v>
          </cell>
          <cell r="M1093" t="str">
            <v>Foxconn LH</v>
          </cell>
        </row>
        <row r="1094">
          <cell r="D1094" t="str">
            <v>APJ</v>
          </cell>
          <cell r="H1094" t="str">
            <v>9DF28AA#UUF</v>
          </cell>
          <cell r="M1094" t="str">
            <v>Foxconn LH</v>
          </cell>
        </row>
        <row r="1095">
          <cell r="D1095" t="str">
            <v>APJ</v>
          </cell>
          <cell r="H1095" t="str">
            <v>428K6AA</v>
          </cell>
          <cell r="M1095" t="str">
            <v>Foxconn LH</v>
          </cell>
        </row>
        <row r="1096">
          <cell r="D1096" t="str">
            <v>APJ</v>
          </cell>
          <cell r="H1096" t="str">
            <v>2HU85AA#UUF</v>
          </cell>
          <cell r="M1096" t="str">
            <v>Foxconn LH</v>
          </cell>
        </row>
        <row r="1097">
          <cell r="D1097" t="str">
            <v>APJ</v>
          </cell>
          <cell r="H1097" t="str">
            <v>3ML04AA#UUF</v>
          </cell>
          <cell r="M1097" t="str">
            <v>Foxconn LH</v>
          </cell>
        </row>
        <row r="1098">
          <cell r="D1098" t="str">
            <v>APJ</v>
          </cell>
          <cell r="H1098" t="str">
            <v>3L1F0AA#UUF</v>
          </cell>
          <cell r="M1098" t="str">
            <v>Foxconn LH</v>
          </cell>
        </row>
        <row r="1099">
          <cell r="D1099" t="str">
            <v>NA/LA</v>
          </cell>
          <cell r="H1099" t="str">
            <v>2HU83AA#ABL</v>
          </cell>
          <cell r="M1099" t="str">
            <v>Foxconn LH</v>
          </cell>
        </row>
        <row r="1100">
          <cell r="D1100" t="str">
            <v>APJ</v>
          </cell>
          <cell r="H1100" t="str">
            <v>18H24AA#UUF</v>
          </cell>
          <cell r="M1100" t="str">
            <v>Foxconn LH</v>
          </cell>
        </row>
        <row r="1101">
          <cell r="D1101" t="str">
            <v>APJ</v>
          </cell>
          <cell r="H1101" t="str">
            <v>758A8AA#UUF</v>
          </cell>
          <cell r="M1101" t="str">
            <v>Foxconn LH</v>
          </cell>
        </row>
        <row r="1102">
          <cell r="D1102" t="str">
            <v>APJ</v>
          </cell>
          <cell r="H1102" t="str">
            <v>758A8AA#UUF</v>
          </cell>
          <cell r="M1102" t="str">
            <v>Foxconn LH</v>
          </cell>
        </row>
        <row r="1103">
          <cell r="D1103" t="str">
            <v>APJ</v>
          </cell>
          <cell r="H1103" t="str">
            <v>664R5AA#UUF</v>
          </cell>
          <cell r="M1103" t="str">
            <v>Foxconn LH</v>
          </cell>
        </row>
        <row r="1104">
          <cell r="D1104" t="str">
            <v>APJ</v>
          </cell>
          <cell r="H1104" t="str">
            <v>6V2J7AA#UUF</v>
          </cell>
          <cell r="M1104" t="str">
            <v>Foxconn LH</v>
          </cell>
        </row>
        <row r="1105">
          <cell r="D1105" t="str">
            <v>APJ</v>
          </cell>
          <cell r="H1105" t="str">
            <v>18H24AA#UUF</v>
          </cell>
          <cell r="M1105" t="str">
            <v>Foxconn LH</v>
          </cell>
        </row>
        <row r="1106">
          <cell r="D1106" t="str">
            <v>APJ</v>
          </cell>
          <cell r="H1106" t="str">
            <v>18H24AA#UUF</v>
          </cell>
          <cell r="M1106" t="str">
            <v>Foxconn LH</v>
          </cell>
        </row>
        <row r="1107">
          <cell r="D1107" t="str">
            <v>APJ</v>
          </cell>
          <cell r="H1107" t="str">
            <v>758A8AA#UUF</v>
          </cell>
          <cell r="M1107" t="str">
            <v>Foxconn LH</v>
          </cell>
        </row>
        <row r="1108">
          <cell r="D1108" t="str">
            <v>APJ</v>
          </cell>
          <cell r="H1108" t="str">
            <v>758A8AA#UUF</v>
          </cell>
          <cell r="M1108" t="str">
            <v>Foxconn LH</v>
          </cell>
        </row>
        <row r="1109">
          <cell r="D1109" t="str">
            <v>APJ</v>
          </cell>
          <cell r="H1109" t="str">
            <v>43N05AA#UUF</v>
          </cell>
          <cell r="M1109" t="str">
            <v>Foxconn LH</v>
          </cell>
        </row>
        <row r="1110">
          <cell r="D1110" t="str">
            <v>APJ</v>
          </cell>
          <cell r="H1110" t="str">
            <v>9DF28AA#UUF</v>
          </cell>
          <cell r="M1110" t="str">
            <v>Foxconn LH</v>
          </cell>
        </row>
        <row r="1111">
          <cell r="D1111" t="str">
            <v>APJ</v>
          </cell>
          <cell r="H1111" t="str">
            <v>9DF28AA#UUF</v>
          </cell>
          <cell r="M1111" t="str">
            <v>Foxconn LH</v>
          </cell>
        </row>
        <row r="1112">
          <cell r="D1112" t="str">
            <v>APJ</v>
          </cell>
          <cell r="H1112" t="str">
            <v>9DF28AA#UUF</v>
          </cell>
          <cell r="M1112" t="str">
            <v>Foxconn LH</v>
          </cell>
        </row>
        <row r="1113">
          <cell r="D1113" t="str">
            <v>APJ</v>
          </cell>
          <cell r="H1113" t="str">
            <v>18H24AA#UUF</v>
          </cell>
          <cell r="M1113" t="str">
            <v>Foxconn LH</v>
          </cell>
        </row>
        <row r="1114">
          <cell r="D1114" t="str">
            <v>APJ</v>
          </cell>
          <cell r="H1114" t="str">
            <v>18H24AA#UUF</v>
          </cell>
          <cell r="M1114" t="str">
            <v>Foxconn LH</v>
          </cell>
        </row>
        <row r="1115">
          <cell r="D1115" t="str">
            <v>APJ</v>
          </cell>
          <cell r="H1115" t="str">
            <v>18H24AA#UUF</v>
          </cell>
          <cell r="M1115" t="str">
            <v>Foxconn LH</v>
          </cell>
        </row>
        <row r="1116">
          <cell r="D1116" t="str">
            <v>APJ</v>
          </cell>
          <cell r="H1116" t="str">
            <v>18H24AA#UUF</v>
          </cell>
          <cell r="M1116" t="str">
            <v>Foxconn LH</v>
          </cell>
        </row>
        <row r="1117">
          <cell r="D1117" t="str">
            <v>APJ</v>
          </cell>
          <cell r="H1117" t="str">
            <v>664R5AA#UUF</v>
          </cell>
          <cell r="M1117" t="str">
            <v>Foxconn LH</v>
          </cell>
        </row>
        <row r="1118">
          <cell r="D1118" t="str">
            <v>APJ</v>
          </cell>
          <cell r="H1118" t="str">
            <v>1Y4D0AA#UUF</v>
          </cell>
          <cell r="M1118" t="str">
            <v>Foxconn LH</v>
          </cell>
        </row>
        <row r="1119">
          <cell r="D1119" t="str">
            <v>LA</v>
          </cell>
          <cell r="H1119" t="str">
            <v>664R5AA#ABM</v>
          </cell>
          <cell r="M1119" t="str">
            <v>Foxconn LH</v>
          </cell>
        </row>
        <row r="1120">
          <cell r="D1120" t="str">
            <v>APJ</v>
          </cell>
          <cell r="H1120" t="str">
            <v>9DF28AA#UUF</v>
          </cell>
          <cell r="M1120" t="str">
            <v>Foxconn LH</v>
          </cell>
        </row>
        <row r="1121">
          <cell r="D1121" t="str">
            <v>APJ</v>
          </cell>
          <cell r="H1121" t="str">
            <v>428K7AA</v>
          </cell>
          <cell r="M1121" t="str">
            <v>Foxconn LH</v>
          </cell>
        </row>
        <row r="1122">
          <cell r="D1122" t="str">
            <v>NA/LA</v>
          </cell>
          <cell r="H1122" t="str">
            <v>758A8AA#ABA</v>
          </cell>
          <cell r="M1122" t="str">
            <v>Foxconn LH</v>
          </cell>
        </row>
        <row r="1123">
          <cell r="D1123" t="str">
            <v>NA/LA</v>
          </cell>
          <cell r="H1123" t="str">
            <v>758A9AA#ABA</v>
          </cell>
          <cell r="M1123" t="str">
            <v>Foxconn LH</v>
          </cell>
        </row>
        <row r="1124">
          <cell r="D1124" t="str">
            <v>NA/LA</v>
          </cell>
          <cell r="H1124" t="str">
            <v>758A9AA#ABA</v>
          </cell>
          <cell r="M1124" t="str">
            <v>Foxconn LH</v>
          </cell>
        </row>
        <row r="1125">
          <cell r="D1125" t="str">
            <v>APJ</v>
          </cell>
          <cell r="H1125" t="str">
            <v>4E407AA#UUF</v>
          </cell>
          <cell r="M1125" t="str">
            <v>Foxconn LH</v>
          </cell>
        </row>
        <row r="1126">
          <cell r="D1126" t="str">
            <v>APJ</v>
          </cell>
          <cell r="H1126" t="str">
            <v>758A9AA#UUF</v>
          </cell>
          <cell r="M1126" t="str">
            <v>Foxconn LH</v>
          </cell>
        </row>
        <row r="1127">
          <cell r="D1127" t="str">
            <v>APJ</v>
          </cell>
          <cell r="H1127" t="str">
            <v>758A9AA#UUF</v>
          </cell>
          <cell r="M1127" t="str">
            <v>Foxconn LH</v>
          </cell>
        </row>
        <row r="1128">
          <cell r="D1128" t="str">
            <v>APJ</v>
          </cell>
          <cell r="H1128" t="str">
            <v>9DF28AA#UUF</v>
          </cell>
          <cell r="M1128" t="str">
            <v>Foxconn LH</v>
          </cell>
        </row>
        <row r="1129">
          <cell r="D1129" t="str">
            <v>APJ</v>
          </cell>
          <cell r="H1129" t="str">
            <v>18H24AA#UUF</v>
          </cell>
          <cell r="M1129" t="str">
            <v>Foxconn LH</v>
          </cell>
        </row>
        <row r="1130">
          <cell r="D1130" t="str">
            <v>APJ</v>
          </cell>
          <cell r="H1130" t="str">
            <v>9DF28AA#UUF</v>
          </cell>
          <cell r="M1130" t="str">
            <v>Foxconn LH</v>
          </cell>
        </row>
        <row r="1131">
          <cell r="D1131" t="str">
            <v>APJ</v>
          </cell>
          <cell r="H1131" t="str">
            <v>18H24AA#UUF</v>
          </cell>
          <cell r="M1131" t="str">
            <v>Foxconn LH</v>
          </cell>
        </row>
        <row r="1132">
          <cell r="D1132" t="str">
            <v>APJ</v>
          </cell>
          <cell r="H1132" t="str">
            <v>2V9E6AA#UUF</v>
          </cell>
          <cell r="M1132" t="str">
            <v>Foxconn LH</v>
          </cell>
        </row>
        <row r="1133">
          <cell r="D1133" t="str">
            <v>NA</v>
          </cell>
          <cell r="H1133" t="str">
            <v>18H24AA#ABA</v>
          </cell>
          <cell r="M1133" t="str">
            <v>Foxconn LH</v>
          </cell>
        </row>
        <row r="1134">
          <cell r="D1134" t="str">
            <v>APJ</v>
          </cell>
          <cell r="H1134" t="str">
            <v>9DF28AA#UUF</v>
          </cell>
          <cell r="M1134" t="str">
            <v>Foxconn LH</v>
          </cell>
        </row>
        <row r="1135">
          <cell r="D1135" t="str">
            <v>APJ</v>
          </cell>
          <cell r="H1135" t="str">
            <v>758A8AA#UUF</v>
          </cell>
          <cell r="M1135" t="str">
            <v>Foxconn LH</v>
          </cell>
        </row>
        <row r="1136">
          <cell r="D1136" t="str">
            <v>APJ</v>
          </cell>
          <cell r="H1136" t="str">
            <v>6V2J7AA#UUF</v>
          </cell>
          <cell r="M1136" t="str">
            <v>Foxconn LH</v>
          </cell>
        </row>
        <row r="1137">
          <cell r="D1137" t="str">
            <v>APJ</v>
          </cell>
          <cell r="H1137" t="str">
            <v>3ML04AA#UUF</v>
          </cell>
          <cell r="M1137" t="str">
            <v>Foxconn LH</v>
          </cell>
        </row>
        <row r="1138">
          <cell r="D1138" t="str">
            <v>APJ</v>
          </cell>
          <cell r="H1138" t="str">
            <v>4E407AA#UUF</v>
          </cell>
          <cell r="M1138" t="str">
            <v>Foxconn LH</v>
          </cell>
        </row>
        <row r="1139">
          <cell r="D1139" t="str">
            <v>APJ</v>
          </cell>
          <cell r="H1139" t="str">
            <v>18H24AA#UUF</v>
          </cell>
          <cell r="M1139" t="str">
            <v>Foxconn LH</v>
          </cell>
        </row>
        <row r="1140">
          <cell r="D1140" t="str">
            <v>APJ</v>
          </cell>
          <cell r="H1140" t="str">
            <v>4QM14AA#UUF</v>
          </cell>
          <cell r="M1140" t="str">
            <v>Foxconn LH</v>
          </cell>
        </row>
        <row r="1141">
          <cell r="D1141" t="str">
            <v>NA/LA</v>
          </cell>
          <cell r="H1141" t="str">
            <v>2HU85AA#ABL</v>
          </cell>
          <cell r="M1141" t="str">
            <v>Foxconn LH</v>
          </cell>
        </row>
        <row r="1142">
          <cell r="D1142" t="str">
            <v>APJ</v>
          </cell>
          <cell r="H1142" t="str">
            <v>3ML04AA#UUF</v>
          </cell>
          <cell r="M1142" t="str">
            <v>Foxconn LH</v>
          </cell>
        </row>
        <row r="1143">
          <cell r="D1143" t="str">
            <v>APJ</v>
          </cell>
          <cell r="H1143" t="str">
            <v>18H24AA#UUF</v>
          </cell>
          <cell r="M1143" t="str">
            <v>Foxconn LH</v>
          </cell>
        </row>
        <row r="1144">
          <cell r="D1144" t="str">
            <v>APJ</v>
          </cell>
          <cell r="H1144" t="str">
            <v>6VY96AA#UUF</v>
          </cell>
          <cell r="M1144" t="str">
            <v>Foxconn LH</v>
          </cell>
        </row>
        <row r="1145">
          <cell r="D1145" t="str">
            <v>LA</v>
          </cell>
          <cell r="H1145" t="str">
            <v>18H24AA#AC4</v>
          </cell>
          <cell r="M1145" t="str">
            <v>Foxconn LH</v>
          </cell>
        </row>
        <row r="1146">
          <cell r="D1146" t="str">
            <v>APJ</v>
          </cell>
          <cell r="H1146" t="str">
            <v>6VY96AA#UUF</v>
          </cell>
          <cell r="M1146" t="str">
            <v>Foxconn LH</v>
          </cell>
        </row>
        <row r="1147">
          <cell r="D1147" t="str">
            <v>LA</v>
          </cell>
          <cell r="H1147" t="str">
            <v>18H24AA#AC4</v>
          </cell>
          <cell r="M1147" t="str">
            <v>Foxconn LH</v>
          </cell>
        </row>
        <row r="1148">
          <cell r="D1148" t="str">
            <v>NA</v>
          </cell>
          <cell r="H1148" t="str">
            <v>18H24AA#ABA</v>
          </cell>
          <cell r="M1148" t="str">
            <v>Foxconn LH</v>
          </cell>
        </row>
        <row r="1149">
          <cell r="D1149" t="str">
            <v>APJ</v>
          </cell>
          <cell r="H1149" t="str">
            <v>793F9AA#UUF</v>
          </cell>
          <cell r="M1149" t="str">
            <v>Foxconn LH</v>
          </cell>
        </row>
        <row r="1150">
          <cell r="D1150" t="str">
            <v>APJ</v>
          </cell>
          <cell r="H1150" t="str">
            <v>1Y4D0AA#AB1</v>
          </cell>
          <cell r="M1150" t="str">
            <v>Foxconn LH</v>
          </cell>
        </row>
        <row r="1151">
          <cell r="D1151" t="str">
            <v>APJ</v>
          </cell>
          <cell r="H1151" t="str">
            <v>3ML04AA#UUF</v>
          </cell>
          <cell r="M1151" t="str">
            <v>Foxconn LH</v>
          </cell>
        </row>
        <row r="1152">
          <cell r="D1152" t="str">
            <v>APJ</v>
          </cell>
          <cell r="H1152" t="str">
            <v>3ML04AA#UUF</v>
          </cell>
          <cell r="M1152" t="str">
            <v>Foxconn LH</v>
          </cell>
        </row>
        <row r="1153">
          <cell r="D1153" t="str">
            <v>APJ</v>
          </cell>
          <cell r="H1153" t="str">
            <v>1Y4D0AA#UUF</v>
          </cell>
          <cell r="M1153" t="str">
            <v>Foxconn LH</v>
          </cell>
        </row>
        <row r="1154">
          <cell r="D1154" t="str">
            <v>APJ</v>
          </cell>
          <cell r="H1154" t="str">
            <v>805T2AA#UUF</v>
          </cell>
          <cell r="M1154" t="str">
            <v>Foxconn LH</v>
          </cell>
        </row>
        <row r="1155">
          <cell r="D1155" t="str">
            <v>APJ</v>
          </cell>
          <cell r="H1155" t="str">
            <v>758A9AA#UUF</v>
          </cell>
          <cell r="M1155" t="str">
            <v>Foxconn LH</v>
          </cell>
        </row>
        <row r="1156">
          <cell r="D1156" t="str">
            <v>APJ</v>
          </cell>
          <cell r="H1156" t="str">
            <v>3ML04AA#UUF</v>
          </cell>
          <cell r="M1156" t="str">
            <v>Foxconn LH</v>
          </cell>
        </row>
        <row r="1157">
          <cell r="D1157" t="str">
            <v>NA</v>
          </cell>
          <cell r="H1157" t="str">
            <v>18H24AA#ABA</v>
          </cell>
          <cell r="M1157" t="str">
            <v>Foxconn LH</v>
          </cell>
        </row>
        <row r="1158">
          <cell r="D1158" t="str">
            <v>NA</v>
          </cell>
          <cell r="H1158" t="str">
            <v>18H24AA#ABA</v>
          </cell>
          <cell r="M1158" t="str">
            <v>Foxconn LH</v>
          </cell>
        </row>
        <row r="1159">
          <cell r="D1159" t="str">
            <v>APJ</v>
          </cell>
          <cell r="H1159" t="str">
            <v>18H24AA#AB1</v>
          </cell>
          <cell r="M1159" t="str">
            <v>Foxconn LH</v>
          </cell>
        </row>
        <row r="1160">
          <cell r="D1160" t="str">
            <v>LA</v>
          </cell>
          <cell r="H1160" t="str">
            <v>43N04AA#ABM</v>
          </cell>
          <cell r="M1160" t="str">
            <v>Foxconn LH</v>
          </cell>
        </row>
        <row r="1161">
          <cell r="D1161" t="str">
            <v>LA</v>
          </cell>
          <cell r="H1161" t="str">
            <v>3V0G9AA#ABM</v>
          </cell>
          <cell r="M1161" t="str">
            <v>Foxconn LH</v>
          </cell>
        </row>
        <row r="1162">
          <cell r="D1162" t="str">
            <v>APJ</v>
          </cell>
          <cell r="H1162" t="str">
            <v>428H6AA#ABL</v>
          </cell>
          <cell r="M1162" t="str">
            <v>Foxconn LH</v>
          </cell>
        </row>
        <row r="1163">
          <cell r="D1163" t="str">
            <v>LA</v>
          </cell>
          <cell r="H1163" t="str">
            <v>2S9L1AA#ABM</v>
          </cell>
          <cell r="M1163" t="str">
            <v>Foxconn LH</v>
          </cell>
        </row>
        <row r="1164">
          <cell r="D1164" t="str">
            <v>LA</v>
          </cell>
          <cell r="H1164" t="str">
            <v>18H24AA#ABM</v>
          </cell>
          <cell r="M1164" t="str">
            <v>Foxconn LH</v>
          </cell>
        </row>
        <row r="1165">
          <cell r="D1165" t="str">
            <v>LA</v>
          </cell>
          <cell r="H1165" t="str">
            <v>18H24AA#ABM</v>
          </cell>
          <cell r="M1165" t="str">
            <v>Foxconn LH</v>
          </cell>
        </row>
        <row r="1166">
          <cell r="D1166" t="str">
            <v>APJ</v>
          </cell>
          <cell r="H1166" t="str">
            <v>428K6AA</v>
          </cell>
          <cell r="M1166" t="str">
            <v>Foxconn LH</v>
          </cell>
        </row>
        <row r="1167">
          <cell r="D1167" t="str">
            <v>NA/LA</v>
          </cell>
          <cell r="H1167" t="str">
            <v>6E6F2AA#ABL</v>
          </cell>
          <cell r="M1167" t="str">
            <v>Foxconn LH</v>
          </cell>
        </row>
        <row r="1168">
          <cell r="D1168" t="str">
            <v>APJ</v>
          </cell>
          <cell r="H1168" t="str">
            <v>6E6F0AA#UUF</v>
          </cell>
          <cell r="M1168" t="str">
            <v>Foxconn LH</v>
          </cell>
        </row>
        <row r="1169">
          <cell r="D1169" t="str">
            <v>NA/LA</v>
          </cell>
          <cell r="H1169" t="str">
            <v>6E6F2AA#ABL</v>
          </cell>
          <cell r="M1169" t="str">
            <v>Foxconn LH</v>
          </cell>
        </row>
        <row r="1170">
          <cell r="D1170" t="str">
            <v>APJ</v>
          </cell>
          <cell r="H1170" t="str">
            <v>3V0G9AA#UUF</v>
          </cell>
          <cell r="M1170" t="str">
            <v>Foxconn LH</v>
          </cell>
        </row>
        <row r="1171">
          <cell r="D1171" t="str">
            <v>NA</v>
          </cell>
          <cell r="H1171" t="str">
            <v>18H24AA#ABA</v>
          </cell>
          <cell r="M1171" t="str">
            <v>Foxconn LH</v>
          </cell>
        </row>
        <row r="1172">
          <cell r="D1172" t="str">
            <v>APJ</v>
          </cell>
          <cell r="H1172" t="str">
            <v>3ML04AA#UUF</v>
          </cell>
          <cell r="M1172" t="str">
            <v>Foxconn LH</v>
          </cell>
        </row>
        <row r="1173">
          <cell r="D1173" t="str">
            <v>APJ</v>
          </cell>
          <cell r="H1173" t="str">
            <v>1Y4D0AA#UUF</v>
          </cell>
          <cell r="M1173" t="str">
            <v>Foxconn LH</v>
          </cell>
        </row>
        <row r="1174">
          <cell r="D1174" t="str">
            <v>LA</v>
          </cell>
          <cell r="H1174" t="str">
            <v>18H24AA#ABM</v>
          </cell>
          <cell r="M1174" t="str">
            <v>Foxconn LH</v>
          </cell>
        </row>
        <row r="1175">
          <cell r="D1175" t="str">
            <v>NA</v>
          </cell>
          <cell r="H1175" t="str">
            <v>805T1AA#ABA</v>
          </cell>
          <cell r="M1175" t="str">
            <v>Foxconn LH</v>
          </cell>
        </row>
        <row r="1176">
          <cell r="D1176" t="str">
            <v>APJ</v>
          </cell>
          <cell r="H1176" t="str">
            <v>3ML04AA#UUF</v>
          </cell>
          <cell r="M1176" t="str">
            <v>Foxconn LH</v>
          </cell>
        </row>
        <row r="1177">
          <cell r="D1177" t="str">
            <v>APJ</v>
          </cell>
          <cell r="H1177" t="str">
            <v>758A8AA#UUF</v>
          </cell>
          <cell r="M1177" t="str">
            <v>Foxconn LH</v>
          </cell>
        </row>
        <row r="1178">
          <cell r="D1178" t="str">
            <v>APJ</v>
          </cell>
          <cell r="H1178" t="str">
            <v>4E407AA#UUF</v>
          </cell>
          <cell r="M1178" t="str">
            <v>Foxconn LH</v>
          </cell>
        </row>
        <row r="1179">
          <cell r="D1179" t="str">
            <v>APJ</v>
          </cell>
          <cell r="H1179" t="str">
            <v>664R5AA#UUF</v>
          </cell>
          <cell r="M1179" t="str">
            <v>Foxconn LH</v>
          </cell>
        </row>
        <row r="1180">
          <cell r="D1180" t="str">
            <v>APJ</v>
          </cell>
          <cell r="H1180" t="str">
            <v>758A9AA#UUF</v>
          </cell>
          <cell r="M1180" t="str">
            <v>Foxconn LH</v>
          </cell>
        </row>
        <row r="1181">
          <cell r="D1181" t="str">
            <v>LA</v>
          </cell>
          <cell r="H1181" t="str">
            <v>3V0G9AA#ABM</v>
          </cell>
          <cell r="M1181" t="str">
            <v>Foxconn LH</v>
          </cell>
        </row>
        <row r="1182">
          <cell r="D1182" t="str">
            <v>APJ</v>
          </cell>
          <cell r="H1182" t="str">
            <v>X6W31AA#UUF</v>
          </cell>
          <cell r="M1182" t="str">
            <v>Foxconn LH</v>
          </cell>
        </row>
        <row r="1183">
          <cell r="D1183" t="str">
            <v>NA/LA</v>
          </cell>
          <cell r="H1183" t="str">
            <v>758A8AA#ABA</v>
          </cell>
          <cell r="M1183" t="str">
            <v>Foxconn LH</v>
          </cell>
        </row>
        <row r="1184">
          <cell r="D1184" t="str">
            <v>NA/LA</v>
          </cell>
          <cell r="H1184" t="str">
            <v>758A8AA#ABA</v>
          </cell>
          <cell r="M1184" t="str">
            <v>Foxconn LH</v>
          </cell>
        </row>
        <row r="1185">
          <cell r="D1185" t="str">
            <v>LA</v>
          </cell>
          <cell r="H1185" t="str">
            <v>805T2AA#ABM</v>
          </cell>
          <cell r="M1185" t="str">
            <v>Foxconn LH</v>
          </cell>
        </row>
        <row r="1186">
          <cell r="D1186" t="str">
            <v>NA</v>
          </cell>
          <cell r="H1186" t="str">
            <v>805T2AA#ABA</v>
          </cell>
          <cell r="M1186" t="str">
            <v>Foxconn LH</v>
          </cell>
        </row>
        <row r="1187">
          <cell r="D1187" t="str">
            <v>LA</v>
          </cell>
          <cell r="H1187" t="str">
            <v>18H24AA#ABM</v>
          </cell>
          <cell r="M1187" t="str">
            <v>Foxconn LH</v>
          </cell>
        </row>
        <row r="1188">
          <cell r="D1188" t="str">
            <v>APJ</v>
          </cell>
          <cell r="H1188" t="str">
            <v>758A8AA#UUF</v>
          </cell>
          <cell r="M1188" t="str">
            <v>Foxconn LH</v>
          </cell>
        </row>
        <row r="1189">
          <cell r="D1189" t="str">
            <v>LA</v>
          </cell>
          <cell r="H1189" t="str">
            <v>6VY96AA#ABM</v>
          </cell>
          <cell r="M1189" t="str">
            <v>Foxconn LH</v>
          </cell>
        </row>
        <row r="1190">
          <cell r="D1190" t="str">
            <v>LA</v>
          </cell>
          <cell r="H1190" t="str">
            <v>6VY95AA#ABM</v>
          </cell>
          <cell r="M1190" t="str">
            <v>Foxconn LH</v>
          </cell>
        </row>
        <row r="1191">
          <cell r="D1191" t="str">
            <v>APJ</v>
          </cell>
          <cell r="H1191" t="str">
            <v>6V2J7AA#UUF</v>
          </cell>
          <cell r="M1191" t="str">
            <v>Foxconn LH</v>
          </cell>
        </row>
        <row r="1192">
          <cell r="D1192" t="str">
            <v>APJ</v>
          </cell>
          <cell r="H1192" t="str">
            <v>6VY96AA#UUF</v>
          </cell>
          <cell r="M1192" t="str">
            <v>Foxconn LH</v>
          </cell>
        </row>
        <row r="1193">
          <cell r="D1193" t="str">
            <v>APJ</v>
          </cell>
          <cell r="H1193" t="str">
            <v>V0L80AA#UUF</v>
          </cell>
          <cell r="M1193" t="str">
            <v>Foxconn LH</v>
          </cell>
        </row>
        <row r="1194">
          <cell r="D1194" t="str">
            <v>APJ</v>
          </cell>
          <cell r="H1194" t="str">
            <v>428K7AA</v>
          </cell>
          <cell r="M1194" t="str">
            <v>Foxconn LH</v>
          </cell>
        </row>
        <row r="1195">
          <cell r="D1195" t="str">
            <v>LA</v>
          </cell>
          <cell r="H1195" t="str">
            <v>240J7AA#AC4</v>
          </cell>
          <cell r="M1195" t="str">
            <v>Foxconn LH</v>
          </cell>
        </row>
        <row r="1196">
          <cell r="D1196" t="str">
            <v>LA</v>
          </cell>
          <cell r="H1196" t="str">
            <v>2S9L1AA#ABM</v>
          </cell>
          <cell r="M1196" t="str">
            <v>Foxconn LH</v>
          </cell>
        </row>
        <row r="1197">
          <cell r="D1197" t="str">
            <v>LA</v>
          </cell>
          <cell r="H1197" t="str">
            <v>1Y4D0AA#AC4</v>
          </cell>
          <cell r="M1197" t="str">
            <v>Foxconn LH</v>
          </cell>
        </row>
        <row r="1198">
          <cell r="D1198" t="str">
            <v>NA</v>
          </cell>
          <cell r="H1198" t="str">
            <v>77B11AA#ABA</v>
          </cell>
          <cell r="M1198" t="str">
            <v>Foxconn LH</v>
          </cell>
        </row>
        <row r="1199">
          <cell r="D1199" t="str">
            <v>APJ</v>
          </cell>
          <cell r="H1199" t="str">
            <v>1Y4D0AA#UUF</v>
          </cell>
          <cell r="M1199" t="str">
            <v>Foxconn LH</v>
          </cell>
        </row>
        <row r="1200">
          <cell r="D1200" t="str">
            <v>APJ</v>
          </cell>
          <cell r="H1200" t="str">
            <v>2S9L1AA#UUF</v>
          </cell>
          <cell r="M1200" t="str">
            <v>Foxconn LH</v>
          </cell>
        </row>
        <row r="1201">
          <cell r="D1201" t="str">
            <v>LA</v>
          </cell>
          <cell r="H1201" t="str">
            <v>240J7AA#AC4</v>
          </cell>
          <cell r="M1201" t="str">
            <v>Foxconn LH</v>
          </cell>
        </row>
        <row r="1202">
          <cell r="D1202" t="str">
            <v>APJ</v>
          </cell>
          <cell r="H1202" t="str">
            <v>53X26AA#UUF</v>
          </cell>
          <cell r="M1202" t="str">
            <v>Foxconn LH</v>
          </cell>
        </row>
        <row r="1203">
          <cell r="D1203" t="str">
            <v>APJ</v>
          </cell>
          <cell r="H1203" t="str">
            <v>758A8AA#UUF</v>
          </cell>
          <cell r="M1203" t="str">
            <v>Foxconn LH</v>
          </cell>
        </row>
        <row r="1204">
          <cell r="D1204" t="str">
            <v>NA</v>
          </cell>
          <cell r="H1204" t="str">
            <v>18H24AA#ABA</v>
          </cell>
          <cell r="M1204" t="str">
            <v>Foxconn LH</v>
          </cell>
        </row>
        <row r="1205">
          <cell r="D1205" t="str">
            <v>APJ</v>
          </cell>
          <cell r="H1205" t="str">
            <v>240J7AA#UUF</v>
          </cell>
          <cell r="M1205" t="str">
            <v>Foxconn LH</v>
          </cell>
        </row>
        <row r="1206">
          <cell r="D1206" t="str">
            <v>APJ</v>
          </cell>
          <cell r="H1206" t="str">
            <v>1Y4D0AA#UUF</v>
          </cell>
          <cell r="M1206" t="str">
            <v>Foxconn LH</v>
          </cell>
        </row>
        <row r="1207">
          <cell r="D1207" t="str">
            <v>APJ</v>
          </cell>
          <cell r="H1207" t="str">
            <v>43N05AA#UUF</v>
          </cell>
          <cell r="M1207" t="str">
            <v>Foxconn LH</v>
          </cell>
        </row>
        <row r="1208">
          <cell r="D1208" t="str">
            <v>APJ</v>
          </cell>
          <cell r="H1208" t="str">
            <v>3V0G9AA#UUF</v>
          </cell>
          <cell r="M1208" t="str">
            <v>Foxconn LH</v>
          </cell>
        </row>
        <row r="1209">
          <cell r="D1209" t="str">
            <v>LA</v>
          </cell>
          <cell r="H1209" t="str">
            <v>3ML04AA#ABM</v>
          </cell>
          <cell r="M1209" t="str">
            <v>Foxconn LH</v>
          </cell>
        </row>
        <row r="1210">
          <cell r="D1210" t="str">
            <v>APJ</v>
          </cell>
          <cell r="H1210" t="str">
            <v>1D0K9AA#UUF</v>
          </cell>
          <cell r="M1210" t="str">
            <v>Foxconn LH</v>
          </cell>
        </row>
        <row r="1211">
          <cell r="D1211" t="str">
            <v>APJ</v>
          </cell>
          <cell r="H1211" t="str">
            <v>2V9E6AA#UUF</v>
          </cell>
          <cell r="M1211" t="str">
            <v>Foxconn LH</v>
          </cell>
        </row>
        <row r="1212">
          <cell r="D1212" t="str">
            <v>NA/LA</v>
          </cell>
          <cell r="H1212" t="str">
            <v>793F9AA#ABA</v>
          </cell>
          <cell r="M1212" t="str">
            <v>Foxconn LH</v>
          </cell>
        </row>
        <row r="1213">
          <cell r="D1213" t="str">
            <v>LA</v>
          </cell>
          <cell r="H1213" t="str">
            <v>3V0G9AA#ABM</v>
          </cell>
          <cell r="M1213" t="str">
            <v>Foxconn LH</v>
          </cell>
        </row>
        <row r="1214">
          <cell r="D1214" t="str">
            <v>NA</v>
          </cell>
          <cell r="H1214" t="str">
            <v>18H24AA#ABA</v>
          </cell>
          <cell r="M1214" t="str">
            <v>Foxconn LH</v>
          </cell>
        </row>
        <row r="1215">
          <cell r="D1215" t="str">
            <v>APJ</v>
          </cell>
          <cell r="H1215" t="str">
            <v>240J7AA#UUF</v>
          </cell>
          <cell r="M1215" t="str">
            <v>Foxconn LH</v>
          </cell>
        </row>
        <row r="1216">
          <cell r="D1216" t="str">
            <v>LA</v>
          </cell>
          <cell r="H1216" t="str">
            <v>1Y4D0AA#ABM</v>
          </cell>
          <cell r="M1216" t="str">
            <v>Foxconn LH</v>
          </cell>
        </row>
        <row r="1217">
          <cell r="D1217" t="str">
            <v>APJ</v>
          </cell>
          <cell r="H1217" t="str">
            <v>1Y4D0AA#UUF</v>
          </cell>
          <cell r="M1217" t="str">
            <v>Foxconn LH</v>
          </cell>
        </row>
        <row r="1218">
          <cell r="D1218" t="str">
            <v>APJ</v>
          </cell>
          <cell r="H1218" t="str">
            <v>428K6AA</v>
          </cell>
          <cell r="M1218" t="str">
            <v>Foxconn LH</v>
          </cell>
        </row>
        <row r="1219">
          <cell r="D1219" t="str">
            <v>APJ</v>
          </cell>
          <cell r="H1219" t="str">
            <v>6E6F1AA#UUF</v>
          </cell>
          <cell r="M1219" t="str">
            <v>Foxconn LH</v>
          </cell>
        </row>
        <row r="1220">
          <cell r="D1220" t="str">
            <v>APJ</v>
          </cell>
          <cell r="H1220" t="str">
            <v>53X26AA#UUF</v>
          </cell>
          <cell r="M1220" t="str">
            <v>Foxconn LH</v>
          </cell>
        </row>
        <row r="1221">
          <cell r="D1221" t="str">
            <v>NA</v>
          </cell>
          <cell r="H1221" t="str">
            <v>18H24AA#ABA</v>
          </cell>
          <cell r="M1221" t="str">
            <v>Foxconn LH</v>
          </cell>
        </row>
        <row r="1222">
          <cell r="D1222" t="str">
            <v>APJ</v>
          </cell>
          <cell r="H1222" t="str">
            <v>240J6AA#UUF</v>
          </cell>
          <cell r="M1222" t="str">
            <v>Foxconn LH</v>
          </cell>
        </row>
        <row r="1223">
          <cell r="D1223" t="str">
            <v>APJ</v>
          </cell>
          <cell r="H1223" t="str">
            <v>3V0G9AA#UUF</v>
          </cell>
          <cell r="M1223" t="str">
            <v>Foxconn LH</v>
          </cell>
        </row>
        <row r="1224">
          <cell r="D1224" t="str">
            <v>APJ</v>
          </cell>
          <cell r="H1224" t="str">
            <v>758A9AA#UUF</v>
          </cell>
          <cell r="M1224" t="str">
            <v>Foxconn LH</v>
          </cell>
        </row>
        <row r="1225">
          <cell r="D1225" t="str">
            <v>APJ</v>
          </cell>
          <cell r="H1225" t="str">
            <v>822M9AA#UUF</v>
          </cell>
          <cell r="M1225" t="str">
            <v>Foxconn LH</v>
          </cell>
        </row>
        <row r="1226">
          <cell r="D1226" t="str">
            <v>APJ</v>
          </cell>
          <cell r="H1226" t="str">
            <v>6VY96AA#UUF</v>
          </cell>
          <cell r="M1226" t="str">
            <v>Foxconn LH</v>
          </cell>
        </row>
        <row r="1227">
          <cell r="D1227" t="str">
            <v>APJ</v>
          </cell>
          <cell r="H1227" t="str">
            <v>822M9AA#UUF</v>
          </cell>
          <cell r="M1227" t="str">
            <v>Foxconn LH</v>
          </cell>
        </row>
        <row r="1228">
          <cell r="D1228" t="str">
            <v>NA</v>
          </cell>
          <cell r="H1228" t="str">
            <v>77B10AA#ABA</v>
          </cell>
          <cell r="M1228" t="str">
            <v>Foxconn LH</v>
          </cell>
        </row>
        <row r="1229">
          <cell r="D1229" t="str">
            <v>APJ</v>
          </cell>
          <cell r="H1229" t="str">
            <v>77B11AA#UUF</v>
          </cell>
          <cell r="M1229" t="str">
            <v>Foxconn LH</v>
          </cell>
        </row>
        <row r="1230">
          <cell r="D1230" t="str">
            <v>APJ</v>
          </cell>
          <cell r="H1230" t="str">
            <v>428K7AA</v>
          </cell>
          <cell r="M1230" t="str">
            <v>Foxconn LH</v>
          </cell>
        </row>
        <row r="1231">
          <cell r="D1231" t="str">
            <v>APJ</v>
          </cell>
          <cell r="H1231" t="str">
            <v>2HU85AA#UUF</v>
          </cell>
          <cell r="M1231" t="str">
            <v>Foxconn LH</v>
          </cell>
        </row>
        <row r="1232">
          <cell r="D1232" t="str">
            <v>NA</v>
          </cell>
          <cell r="H1232" t="str">
            <v>18H24AA#ABA</v>
          </cell>
          <cell r="M1232" t="str">
            <v>Foxconn LH</v>
          </cell>
        </row>
        <row r="1233">
          <cell r="D1233" t="str">
            <v>APJ</v>
          </cell>
          <cell r="H1233" t="str">
            <v>758A9AA#UUF</v>
          </cell>
          <cell r="M1233" t="str">
            <v>Foxconn LH</v>
          </cell>
        </row>
        <row r="1234">
          <cell r="D1234" t="str">
            <v>LA</v>
          </cell>
          <cell r="H1234" t="str">
            <v>18H24AA#ABM</v>
          </cell>
          <cell r="M1234" t="str">
            <v>Foxconn LH</v>
          </cell>
        </row>
        <row r="1235">
          <cell r="D1235" t="str">
            <v>APJ</v>
          </cell>
          <cell r="H1235" t="str">
            <v>18H24AA#AB1</v>
          </cell>
          <cell r="M1235" t="str">
            <v>Foxconn LH</v>
          </cell>
        </row>
        <row r="1236">
          <cell r="D1236" t="str">
            <v>APJ</v>
          </cell>
          <cell r="H1236" t="str">
            <v>77B10AA#UUF</v>
          </cell>
          <cell r="M1236" t="str">
            <v>Foxconn LH</v>
          </cell>
        </row>
        <row r="1237">
          <cell r="D1237" t="str">
            <v>APJ</v>
          </cell>
          <cell r="H1237" t="str">
            <v>53X26AA#UUF</v>
          </cell>
          <cell r="M1237" t="str">
            <v>Foxconn LH</v>
          </cell>
        </row>
        <row r="1238">
          <cell r="D1238" t="str">
            <v>APJ</v>
          </cell>
          <cell r="H1238" t="str">
            <v>428K6AA</v>
          </cell>
          <cell r="M1238" t="str">
            <v>Foxconn LH</v>
          </cell>
        </row>
        <row r="1239">
          <cell r="D1239" t="str">
            <v>APJ</v>
          </cell>
          <cell r="H1239" t="str">
            <v>2S9L1AA#UUF</v>
          </cell>
          <cell r="M1239" t="str">
            <v>Foxconn LH</v>
          </cell>
        </row>
        <row r="1240">
          <cell r="D1240" t="str">
            <v>APJ</v>
          </cell>
          <cell r="H1240" t="str">
            <v>6E6F2AA#UUF</v>
          </cell>
          <cell r="M1240" t="str">
            <v>Foxconn LH</v>
          </cell>
        </row>
        <row r="1241">
          <cell r="D1241" t="str">
            <v>APJ</v>
          </cell>
          <cell r="H1241" t="str">
            <v>758A8AA#UUF</v>
          </cell>
          <cell r="M1241" t="str">
            <v>Foxconn LH</v>
          </cell>
        </row>
        <row r="1242">
          <cell r="D1242" t="str">
            <v>APJ</v>
          </cell>
          <cell r="H1242" t="str">
            <v>6V2J7AA#UUF</v>
          </cell>
          <cell r="M1242" t="str">
            <v>Foxconn LH</v>
          </cell>
        </row>
        <row r="1243">
          <cell r="D1243" t="str">
            <v>APJ</v>
          </cell>
          <cell r="H1243" t="str">
            <v>4E407AA#UUF</v>
          </cell>
          <cell r="M1243" t="str">
            <v>Foxconn LH</v>
          </cell>
        </row>
        <row r="1244">
          <cell r="D1244" t="str">
            <v>APJ</v>
          </cell>
          <cell r="H1244" t="str">
            <v>822M9AA#UUF</v>
          </cell>
          <cell r="M1244" t="str">
            <v>Foxconn LH</v>
          </cell>
        </row>
        <row r="1245">
          <cell r="D1245" t="str">
            <v>NA/LA</v>
          </cell>
          <cell r="H1245" t="str">
            <v>6E6F2AA#ABL</v>
          </cell>
          <cell r="M1245" t="str">
            <v>Foxconn LH</v>
          </cell>
        </row>
        <row r="1246">
          <cell r="D1246" t="str">
            <v>APJ</v>
          </cell>
          <cell r="H1246" t="str">
            <v>1Y4D0AA#UUF</v>
          </cell>
          <cell r="M1246" t="str">
            <v>Foxconn LH</v>
          </cell>
        </row>
        <row r="1247">
          <cell r="D1247" t="str">
            <v>LA</v>
          </cell>
          <cell r="H1247" t="str">
            <v>3L1E7AA#ABM</v>
          </cell>
          <cell r="M1247" t="str">
            <v>Foxconn LH</v>
          </cell>
        </row>
        <row r="1248">
          <cell r="D1248" t="str">
            <v>LA</v>
          </cell>
          <cell r="H1248" t="str">
            <v>2S9L1AA#ABM</v>
          </cell>
          <cell r="M1248" t="str">
            <v>Foxconn LH</v>
          </cell>
        </row>
        <row r="1249">
          <cell r="D1249" t="str">
            <v>LA</v>
          </cell>
          <cell r="H1249" t="str">
            <v>1Y4D0AA#ABM</v>
          </cell>
          <cell r="M1249" t="str">
            <v>Foxconn LH</v>
          </cell>
        </row>
        <row r="1250">
          <cell r="D1250" t="str">
            <v>APJ</v>
          </cell>
          <cell r="H1250" t="str">
            <v>6VY96AA#UUF</v>
          </cell>
          <cell r="M1250" t="str">
            <v>Foxconn LH</v>
          </cell>
        </row>
        <row r="1251">
          <cell r="D1251" t="str">
            <v>APJ</v>
          </cell>
          <cell r="H1251" t="str">
            <v>3V0G9AA#UUF</v>
          </cell>
          <cell r="M1251" t="str">
            <v>Foxconn LH</v>
          </cell>
        </row>
        <row r="1252">
          <cell r="D1252" t="str">
            <v>APJ</v>
          </cell>
          <cell r="H1252" t="str">
            <v>81S67AA#UUF</v>
          </cell>
          <cell r="M1252" t="str">
            <v>Foxconn LH</v>
          </cell>
        </row>
        <row r="1253">
          <cell r="D1253" t="str">
            <v>APJ</v>
          </cell>
          <cell r="H1253" t="str">
            <v>2S9L1AA#UUF</v>
          </cell>
          <cell r="M1253" t="str">
            <v>Foxconn LH</v>
          </cell>
        </row>
        <row r="1254">
          <cell r="D1254" t="str">
            <v>APJ</v>
          </cell>
          <cell r="H1254" t="str">
            <v>4E407AA#UUF</v>
          </cell>
          <cell r="M1254" t="str">
            <v>Foxconn LH</v>
          </cell>
        </row>
        <row r="1255">
          <cell r="D1255" t="str">
            <v>APJ</v>
          </cell>
          <cell r="H1255" t="str">
            <v>4E407AA#UUF</v>
          </cell>
          <cell r="M1255" t="str">
            <v>Foxconn LH</v>
          </cell>
        </row>
        <row r="1256">
          <cell r="D1256" t="str">
            <v>LA</v>
          </cell>
          <cell r="H1256" t="str">
            <v>1Y4D0AA#AC4</v>
          </cell>
          <cell r="M1256" t="str">
            <v>Foxconn LH</v>
          </cell>
        </row>
        <row r="1257">
          <cell r="D1257" t="str">
            <v>APJ</v>
          </cell>
          <cell r="H1257" t="str">
            <v>X6W31AA#UUF</v>
          </cell>
          <cell r="M1257" t="str">
            <v>Foxconn LH</v>
          </cell>
        </row>
        <row r="1258">
          <cell r="D1258" t="str">
            <v>APJ</v>
          </cell>
          <cell r="H1258" t="str">
            <v>1Y4D0AA#UUF</v>
          </cell>
          <cell r="M1258" t="str">
            <v>Foxconn LH</v>
          </cell>
        </row>
        <row r="1259">
          <cell r="D1259" t="str">
            <v>NA/LA</v>
          </cell>
          <cell r="H1259" t="str">
            <v>6E6F2AA#ABL</v>
          </cell>
          <cell r="M1259" t="str">
            <v>Foxconn LH</v>
          </cell>
        </row>
        <row r="1260">
          <cell r="D1260" t="str">
            <v>LA</v>
          </cell>
          <cell r="H1260" t="str">
            <v>43N04AA#ABM</v>
          </cell>
          <cell r="M1260" t="str">
            <v>Foxconn LH</v>
          </cell>
        </row>
        <row r="1261">
          <cell r="D1261" t="str">
            <v>APJ</v>
          </cell>
          <cell r="H1261" t="str">
            <v>428K7AA</v>
          </cell>
          <cell r="M1261" t="str">
            <v>Foxconn LH</v>
          </cell>
        </row>
        <row r="1262">
          <cell r="D1262" t="str">
            <v>APJ</v>
          </cell>
          <cell r="H1262" t="str">
            <v>53X26AA#UUF</v>
          </cell>
          <cell r="M1262" t="str">
            <v>Foxconn LH</v>
          </cell>
        </row>
        <row r="1263">
          <cell r="D1263" t="str">
            <v>APJ</v>
          </cell>
          <cell r="H1263" t="str">
            <v>793F9AA#UUF</v>
          </cell>
          <cell r="M1263" t="str">
            <v>Foxconn LH</v>
          </cell>
        </row>
        <row r="1264">
          <cell r="D1264" t="str">
            <v>APJ</v>
          </cell>
          <cell r="H1264" t="str">
            <v>6E6F2AA#UUF</v>
          </cell>
          <cell r="M1264" t="str">
            <v>Foxconn LH</v>
          </cell>
        </row>
        <row r="1265">
          <cell r="D1265" t="str">
            <v>APJ</v>
          </cell>
          <cell r="H1265" t="str">
            <v>53X26AA#UUF</v>
          </cell>
          <cell r="M1265" t="str">
            <v>Foxconn LH</v>
          </cell>
        </row>
        <row r="1266">
          <cell r="D1266" t="str">
            <v>APJ</v>
          </cell>
          <cell r="H1266" t="str">
            <v>428K7AA</v>
          </cell>
          <cell r="M1266" t="str">
            <v>Foxconn LH</v>
          </cell>
        </row>
        <row r="1267">
          <cell r="D1267" t="str">
            <v>APJ</v>
          </cell>
          <cell r="H1267" t="str">
            <v>6E6F2AA#UUF</v>
          </cell>
          <cell r="M1267" t="str">
            <v>Foxconn LH</v>
          </cell>
        </row>
        <row r="1268">
          <cell r="D1268" t="str">
            <v>NA</v>
          </cell>
          <cell r="H1268" t="str">
            <v>2V9E6AA#ABL</v>
          </cell>
          <cell r="M1268" t="str">
            <v>Foxconn LH</v>
          </cell>
        </row>
        <row r="1269">
          <cell r="D1269" t="str">
            <v>APJ</v>
          </cell>
          <cell r="H1269" t="str">
            <v>4QM14AA#UUF</v>
          </cell>
          <cell r="M1269" t="str">
            <v>Foxconn LH</v>
          </cell>
        </row>
        <row r="1270">
          <cell r="D1270" t="str">
            <v>APJ</v>
          </cell>
          <cell r="H1270" t="str">
            <v>18H24AA#UUF</v>
          </cell>
          <cell r="M1270" t="str">
            <v>Foxconn LH</v>
          </cell>
        </row>
        <row r="1271">
          <cell r="D1271" t="str">
            <v>APJ</v>
          </cell>
          <cell r="H1271" t="str">
            <v>428K6AA</v>
          </cell>
          <cell r="M1271" t="str">
            <v>Foxconn LH</v>
          </cell>
        </row>
        <row r="1272">
          <cell r="D1272" t="str">
            <v>APJ</v>
          </cell>
          <cell r="H1272" t="str">
            <v>53X26AA#UUF</v>
          </cell>
          <cell r="M1272" t="str">
            <v>Foxconn LH</v>
          </cell>
        </row>
        <row r="1273">
          <cell r="D1273" t="str">
            <v>APJ</v>
          </cell>
          <cell r="H1273" t="str">
            <v>428K7AA</v>
          </cell>
          <cell r="M1273" t="str">
            <v>Foxconn LH</v>
          </cell>
        </row>
        <row r="1274">
          <cell r="D1274" t="str">
            <v>APJ</v>
          </cell>
          <cell r="H1274" t="str">
            <v>6V2J7AA#UUF</v>
          </cell>
          <cell r="M1274" t="str">
            <v>Foxconn LH</v>
          </cell>
        </row>
        <row r="1275">
          <cell r="D1275" t="str">
            <v>APJ</v>
          </cell>
          <cell r="H1275" t="str">
            <v>240J6AA#UUF</v>
          </cell>
          <cell r="M1275" t="str">
            <v>Foxconn LH</v>
          </cell>
        </row>
        <row r="1276">
          <cell r="D1276" t="str">
            <v>APJ</v>
          </cell>
          <cell r="H1276" t="str">
            <v>6E6F1AA#UUF</v>
          </cell>
          <cell r="M1276" t="str">
            <v>Foxconn LH</v>
          </cell>
        </row>
        <row r="1277">
          <cell r="D1277" t="str">
            <v>NA</v>
          </cell>
          <cell r="H1277" t="str">
            <v>3L1E7AA#ABA</v>
          </cell>
          <cell r="M1277" t="str">
            <v>Foxconn LH</v>
          </cell>
        </row>
        <row r="1278">
          <cell r="D1278" t="str">
            <v>APJ</v>
          </cell>
          <cell r="H1278" t="str">
            <v>9DF28AA#UUF</v>
          </cell>
          <cell r="M1278" t="str">
            <v>Foxconn LH</v>
          </cell>
        </row>
        <row r="1279">
          <cell r="D1279" t="str">
            <v>APJ</v>
          </cell>
          <cell r="H1279" t="str">
            <v>4E407AA#UUF</v>
          </cell>
          <cell r="M1279" t="str">
            <v>Foxconn LH</v>
          </cell>
        </row>
        <row r="1280">
          <cell r="D1280" t="str">
            <v>APJ</v>
          </cell>
          <cell r="H1280" t="str">
            <v>1Y4D0AA#AB1</v>
          </cell>
          <cell r="M1280" t="str">
            <v>Foxconn LH</v>
          </cell>
        </row>
        <row r="1281">
          <cell r="D1281" t="str">
            <v>APJ</v>
          </cell>
          <cell r="H1281" t="str">
            <v>9DF28AA#UUF</v>
          </cell>
          <cell r="M1281" t="str">
            <v>Foxconn LH</v>
          </cell>
        </row>
        <row r="1282">
          <cell r="D1282" t="str">
            <v>APJ</v>
          </cell>
          <cell r="H1282" t="str">
            <v>3ML04AA#UUF</v>
          </cell>
          <cell r="M1282" t="str">
            <v>Foxconn LH</v>
          </cell>
        </row>
        <row r="1283">
          <cell r="D1283" t="str">
            <v>APJ</v>
          </cell>
          <cell r="H1283" t="str">
            <v>6E6F0AA#UUF</v>
          </cell>
          <cell r="M1283" t="str">
            <v>Foxconn LH</v>
          </cell>
        </row>
        <row r="1284">
          <cell r="D1284" t="str">
            <v>APJ</v>
          </cell>
          <cell r="H1284" t="str">
            <v>53X26AA#UUF</v>
          </cell>
          <cell r="M1284" t="str">
            <v>Foxconn LH</v>
          </cell>
        </row>
        <row r="1285">
          <cell r="D1285" t="str">
            <v>APJ</v>
          </cell>
          <cell r="H1285" t="str">
            <v>2S9L1AA#UUF</v>
          </cell>
          <cell r="M1285" t="str">
            <v>Foxconn LH</v>
          </cell>
        </row>
        <row r="1286">
          <cell r="D1286" t="str">
            <v>APJ</v>
          </cell>
          <cell r="H1286" t="str">
            <v>6VY96AA#UUF</v>
          </cell>
          <cell r="M1286" t="str">
            <v>Foxconn LH</v>
          </cell>
        </row>
        <row r="1287">
          <cell r="D1287" t="str">
            <v>APJ</v>
          </cell>
          <cell r="H1287" t="str">
            <v>3L1E7AA#UUF</v>
          </cell>
          <cell r="M1287" t="str">
            <v>Foxconn LH</v>
          </cell>
        </row>
        <row r="1288">
          <cell r="D1288" t="str">
            <v>LA</v>
          </cell>
          <cell r="H1288" t="str">
            <v>18H24AA#ABM</v>
          </cell>
          <cell r="M1288" t="str">
            <v>Foxconn LH</v>
          </cell>
        </row>
        <row r="1289">
          <cell r="D1289" t="str">
            <v>APJ</v>
          </cell>
          <cell r="H1289" t="str">
            <v>3ML04AA#UUF</v>
          </cell>
          <cell r="M1289" t="str">
            <v>Foxconn LH</v>
          </cell>
        </row>
        <row r="1290">
          <cell r="D1290" t="str">
            <v>APJ</v>
          </cell>
          <cell r="H1290" t="str">
            <v>1Y4D0AA#UUF</v>
          </cell>
          <cell r="M1290" t="str">
            <v>Foxconn LH</v>
          </cell>
        </row>
        <row r="1291">
          <cell r="D1291" t="str">
            <v>APJ</v>
          </cell>
          <cell r="H1291" t="str">
            <v>1Y4D0AA#UUF</v>
          </cell>
          <cell r="M1291" t="str">
            <v>Foxconn LH</v>
          </cell>
        </row>
        <row r="1292">
          <cell r="D1292" t="str">
            <v>APJ</v>
          </cell>
          <cell r="H1292" t="str">
            <v>6E6F2AA#UUF</v>
          </cell>
          <cell r="M1292" t="str">
            <v>Foxconn LH</v>
          </cell>
        </row>
        <row r="1293">
          <cell r="D1293" t="str">
            <v>NA</v>
          </cell>
          <cell r="H1293" t="str">
            <v>3L1E7AA#ABA</v>
          </cell>
          <cell r="M1293" t="str">
            <v>Foxconn LH</v>
          </cell>
        </row>
        <row r="1294">
          <cell r="D1294" t="str">
            <v>NA/LA</v>
          </cell>
          <cell r="H1294" t="str">
            <v>2HU82AA#ABL</v>
          </cell>
          <cell r="M1294" t="str">
            <v>Foxconn LH</v>
          </cell>
        </row>
        <row r="1295">
          <cell r="D1295" t="str">
            <v>NA/LA</v>
          </cell>
          <cell r="H1295" t="str">
            <v>2HU83AA#ABL</v>
          </cell>
          <cell r="M1295" t="str">
            <v>Foxconn LH</v>
          </cell>
        </row>
        <row r="1296">
          <cell r="D1296" t="str">
            <v>APJ</v>
          </cell>
          <cell r="H1296" t="str">
            <v>6E6F2AA#UUF</v>
          </cell>
          <cell r="M1296" t="str">
            <v>Foxconn LH</v>
          </cell>
        </row>
        <row r="1297">
          <cell r="D1297" t="str">
            <v>APJ</v>
          </cell>
          <cell r="H1297" t="str">
            <v>758A9AA#UUF</v>
          </cell>
          <cell r="M1297" t="str">
            <v>Foxconn LH</v>
          </cell>
        </row>
        <row r="1298">
          <cell r="D1298" t="str">
            <v>APJ</v>
          </cell>
          <cell r="H1298" t="str">
            <v>793F9AA#UUF</v>
          </cell>
          <cell r="M1298" t="str">
            <v>Foxconn LH</v>
          </cell>
        </row>
        <row r="1299">
          <cell r="D1299" t="str">
            <v>APJ</v>
          </cell>
          <cell r="H1299" t="str">
            <v>3V0G9AA#UUF</v>
          </cell>
          <cell r="M1299" t="str">
            <v>Foxconn LH</v>
          </cell>
        </row>
        <row r="1300">
          <cell r="D1300" t="str">
            <v>NA</v>
          </cell>
          <cell r="H1300" t="str">
            <v>2V9E6AA#ABL</v>
          </cell>
          <cell r="M1300" t="str">
            <v>Foxconn LH</v>
          </cell>
        </row>
        <row r="1301">
          <cell r="D1301" t="str">
            <v>NA/LA</v>
          </cell>
          <cell r="H1301" t="str">
            <v>X6W31AA#ABL</v>
          </cell>
          <cell r="M1301" t="str">
            <v>Foxconn LH</v>
          </cell>
        </row>
        <row r="1302">
          <cell r="D1302" t="str">
            <v>APJ</v>
          </cell>
          <cell r="H1302" t="str">
            <v>1Y4D0AA#UUF</v>
          </cell>
          <cell r="M1302" t="str">
            <v>Foxconn LH</v>
          </cell>
        </row>
        <row r="1303">
          <cell r="D1303" t="str">
            <v>APJ</v>
          </cell>
          <cell r="H1303" t="str">
            <v>428K7AA</v>
          </cell>
          <cell r="M1303" t="str">
            <v>Foxconn LH</v>
          </cell>
        </row>
        <row r="1304">
          <cell r="D1304" t="str">
            <v>APJ</v>
          </cell>
          <cell r="H1304" t="str">
            <v>428K7AA</v>
          </cell>
          <cell r="M1304" t="str">
            <v>Foxconn LH</v>
          </cell>
        </row>
        <row r="1305">
          <cell r="D1305" t="str">
            <v>APJ</v>
          </cell>
          <cell r="H1305" t="str">
            <v>4E407AA#UUF</v>
          </cell>
          <cell r="M1305" t="str">
            <v>Foxconn LH</v>
          </cell>
        </row>
        <row r="1306">
          <cell r="D1306" t="str">
            <v>NA</v>
          </cell>
          <cell r="H1306" t="str">
            <v>3L1E7AA#ABA</v>
          </cell>
          <cell r="M1306" t="str">
            <v>Foxconn LH</v>
          </cell>
        </row>
        <row r="1307">
          <cell r="D1307" t="str">
            <v>APJ</v>
          </cell>
          <cell r="H1307" t="str">
            <v>6E6F1AA#UUF</v>
          </cell>
          <cell r="M1307" t="str">
            <v>Foxconn LH</v>
          </cell>
        </row>
        <row r="1308">
          <cell r="D1308" t="str">
            <v>APJ</v>
          </cell>
          <cell r="H1308" t="str">
            <v>428H5AA#UUF</v>
          </cell>
          <cell r="M1308" t="str">
            <v>Foxconn LH</v>
          </cell>
        </row>
        <row r="1309">
          <cell r="D1309" t="str">
            <v>NA</v>
          </cell>
          <cell r="H1309" t="str">
            <v>3L1E7AA#ABA</v>
          </cell>
          <cell r="M1309" t="str">
            <v>Foxconn LH</v>
          </cell>
        </row>
        <row r="1310">
          <cell r="D1310" t="str">
            <v>APJ</v>
          </cell>
          <cell r="H1310" t="str">
            <v>2S9L1AA#UUF</v>
          </cell>
          <cell r="M1310" t="str">
            <v>Foxconn LH</v>
          </cell>
        </row>
        <row r="1311">
          <cell r="D1311" t="str">
            <v>APJ</v>
          </cell>
          <cell r="H1311" t="str">
            <v>428K6AA</v>
          </cell>
          <cell r="M1311" t="str">
            <v>Foxconn LH</v>
          </cell>
        </row>
        <row r="1312">
          <cell r="D1312" t="str">
            <v>NA</v>
          </cell>
          <cell r="H1312" t="str">
            <v>805T2AA#ABA</v>
          </cell>
          <cell r="M1312" t="str">
            <v>Foxconn LH</v>
          </cell>
        </row>
        <row r="1313">
          <cell r="D1313" t="str">
            <v>APJ</v>
          </cell>
          <cell r="H1313" t="str">
            <v>4E407AA#UUF</v>
          </cell>
          <cell r="M1313" t="str">
            <v>Foxconn LH</v>
          </cell>
        </row>
        <row r="1314">
          <cell r="D1314" t="str">
            <v>APJ</v>
          </cell>
          <cell r="H1314" t="str">
            <v>X6W31AA#UUF</v>
          </cell>
          <cell r="M1314" t="str">
            <v>Foxconn LH</v>
          </cell>
        </row>
        <row r="1315">
          <cell r="D1315" t="str">
            <v>LA</v>
          </cell>
          <cell r="H1315" t="str">
            <v>2V9E6AA#ABM</v>
          </cell>
          <cell r="M1315" t="str">
            <v>Foxconn LH</v>
          </cell>
        </row>
        <row r="1316">
          <cell r="D1316" t="str">
            <v>APJ</v>
          </cell>
          <cell r="H1316" t="str">
            <v>53X26AA#UUF</v>
          </cell>
          <cell r="M1316" t="str">
            <v>Foxconn LH</v>
          </cell>
        </row>
        <row r="1317">
          <cell r="D1317" t="str">
            <v>NA</v>
          </cell>
          <cell r="H1317" t="str">
            <v>805T2AA#ABA</v>
          </cell>
          <cell r="M1317" t="str">
            <v>Foxconn LH</v>
          </cell>
        </row>
        <row r="1318">
          <cell r="D1318" t="str">
            <v>APJ</v>
          </cell>
          <cell r="H1318" t="str">
            <v>M82158-001</v>
          </cell>
          <cell r="M1318" t="str">
            <v>Foxconn LH</v>
          </cell>
        </row>
        <row r="1319">
          <cell r="D1319" t="str">
            <v>NA</v>
          </cell>
          <cell r="H1319" t="str">
            <v>18H24AA#ABA</v>
          </cell>
          <cell r="M1319" t="str">
            <v>Foxconn LH</v>
          </cell>
        </row>
        <row r="1320">
          <cell r="D1320" t="str">
            <v>APJ</v>
          </cell>
          <cell r="H1320" t="str">
            <v>1Y4D0AA#UUF</v>
          </cell>
          <cell r="M1320" t="str">
            <v>Foxconn LH</v>
          </cell>
        </row>
        <row r="1321">
          <cell r="D1321" t="str">
            <v>APJ</v>
          </cell>
          <cell r="H1321" t="str">
            <v>1Y4D0AA#UUF</v>
          </cell>
          <cell r="M1321" t="str">
            <v>Foxconn LH</v>
          </cell>
        </row>
        <row r="1322">
          <cell r="D1322" t="str">
            <v>APJ</v>
          </cell>
          <cell r="H1322" t="str">
            <v>6VY96AA#UUF</v>
          </cell>
          <cell r="M1322" t="str">
            <v>Foxconn LH</v>
          </cell>
        </row>
        <row r="1323">
          <cell r="D1323" t="str">
            <v>LA</v>
          </cell>
          <cell r="H1323" t="str">
            <v>1Y4D0AA#ABM</v>
          </cell>
          <cell r="M1323" t="str">
            <v>Foxconn LH</v>
          </cell>
        </row>
        <row r="1324">
          <cell r="D1324" t="str">
            <v>APJ</v>
          </cell>
          <cell r="H1324" t="str">
            <v>428K7AA</v>
          </cell>
          <cell r="M1324" t="str">
            <v>Foxconn LH</v>
          </cell>
        </row>
        <row r="1325">
          <cell r="D1325" t="str">
            <v>NA</v>
          </cell>
          <cell r="H1325" t="str">
            <v>3L1E7AA#ABA</v>
          </cell>
          <cell r="M1325" t="str">
            <v>Foxconn LH</v>
          </cell>
        </row>
        <row r="1326">
          <cell r="D1326" t="str">
            <v>NA</v>
          </cell>
          <cell r="H1326" t="str">
            <v>18H24AA#ABA</v>
          </cell>
          <cell r="M1326" t="str">
            <v>Foxconn LH</v>
          </cell>
        </row>
        <row r="1327">
          <cell r="D1327" t="str">
            <v>APJ</v>
          </cell>
          <cell r="H1327" t="str">
            <v>428K7AA</v>
          </cell>
          <cell r="M1327" t="str">
            <v>Foxconn LH</v>
          </cell>
        </row>
        <row r="1328">
          <cell r="D1328" t="str">
            <v>APJ</v>
          </cell>
          <cell r="H1328" t="str">
            <v>428K7AA</v>
          </cell>
          <cell r="M1328" t="str">
            <v>Foxconn LH</v>
          </cell>
        </row>
        <row r="1329">
          <cell r="D1329" t="str">
            <v>APJ</v>
          </cell>
          <cell r="H1329" t="str">
            <v>1Y4D0AA#UUF</v>
          </cell>
          <cell r="M1329" t="str">
            <v>Foxconn LH</v>
          </cell>
        </row>
        <row r="1330">
          <cell r="D1330" t="str">
            <v>APJ</v>
          </cell>
          <cell r="H1330" t="str">
            <v>428K6AA</v>
          </cell>
          <cell r="M1330" t="str">
            <v>Foxconn LH</v>
          </cell>
        </row>
        <row r="1331">
          <cell r="D1331" t="str">
            <v>APJ</v>
          </cell>
          <cell r="H1331" t="str">
            <v>X6W31AA#UUF</v>
          </cell>
          <cell r="M1331" t="str">
            <v>Foxconn LH</v>
          </cell>
        </row>
        <row r="1332">
          <cell r="D1332" t="str">
            <v>APJ</v>
          </cell>
          <cell r="H1332" t="str">
            <v>18H24AA#UUF</v>
          </cell>
          <cell r="M1332" t="str">
            <v>Foxconn LH</v>
          </cell>
        </row>
        <row r="1333">
          <cell r="D1333" t="str">
            <v>APJ</v>
          </cell>
          <cell r="H1333" t="str">
            <v>18H24AA#UUF</v>
          </cell>
          <cell r="M1333" t="str">
            <v>Foxconn LH</v>
          </cell>
        </row>
        <row r="1334">
          <cell r="D1334" t="str">
            <v>NA/LA</v>
          </cell>
          <cell r="H1334" t="str">
            <v>8R3U1AA#ABA</v>
          </cell>
          <cell r="M1334" t="str">
            <v>Foxconn LH</v>
          </cell>
        </row>
        <row r="1335">
          <cell r="D1335" t="str">
            <v>APJ</v>
          </cell>
          <cell r="H1335" t="str">
            <v>8R3U1AA#UUF</v>
          </cell>
          <cell r="M1335" t="str">
            <v>Foxconn LH</v>
          </cell>
        </row>
        <row r="1336">
          <cell r="D1336" t="str">
            <v>APJ</v>
          </cell>
          <cell r="H1336" t="str">
            <v>3L1E7AA#ABJ</v>
          </cell>
          <cell r="M1336" t="str">
            <v>Foxconn LH</v>
          </cell>
        </row>
        <row r="1337">
          <cell r="D1337" t="str">
            <v>APJ</v>
          </cell>
          <cell r="H1337" t="str">
            <v>6E6F2AA#UUF</v>
          </cell>
          <cell r="M1337" t="str">
            <v>Foxconn LH</v>
          </cell>
        </row>
        <row r="1338">
          <cell r="D1338" t="str">
            <v>APJ</v>
          </cell>
          <cell r="H1338" t="str">
            <v>428K7AA</v>
          </cell>
          <cell r="M1338" t="str">
            <v>Foxconn LH</v>
          </cell>
        </row>
        <row r="1339">
          <cell r="D1339" t="str">
            <v>APJ</v>
          </cell>
          <cell r="H1339" t="str">
            <v>6VY96AA#UUF</v>
          </cell>
          <cell r="M1339" t="str">
            <v>Foxconn LH</v>
          </cell>
        </row>
        <row r="1340">
          <cell r="D1340" t="str">
            <v>LA</v>
          </cell>
          <cell r="H1340" t="str">
            <v>1Y4D0AA#ABM</v>
          </cell>
          <cell r="M1340" t="str">
            <v>Foxconn LH</v>
          </cell>
        </row>
        <row r="1341">
          <cell r="D1341" t="str">
            <v>APJ</v>
          </cell>
          <cell r="H1341" t="str">
            <v>428K7AA</v>
          </cell>
          <cell r="M1341" t="str">
            <v>Foxconn LH</v>
          </cell>
        </row>
        <row r="1342">
          <cell r="D1342" t="str">
            <v>LA</v>
          </cell>
          <cell r="H1342" t="str">
            <v>18H24AA#ABM</v>
          </cell>
          <cell r="M1342" t="str">
            <v>Foxconn LH</v>
          </cell>
        </row>
        <row r="1343">
          <cell r="D1343" t="str">
            <v>APJ</v>
          </cell>
          <cell r="H1343" t="str">
            <v>3ML04AA#UUF</v>
          </cell>
          <cell r="M1343" t="str">
            <v>Foxconn LH</v>
          </cell>
        </row>
        <row r="1344">
          <cell r="D1344" t="str">
            <v>LA</v>
          </cell>
          <cell r="H1344" t="str">
            <v>1Y4D0AA#AC4</v>
          </cell>
          <cell r="M1344" t="str">
            <v>Foxconn LH</v>
          </cell>
        </row>
        <row r="1345">
          <cell r="D1345" t="str">
            <v>APJ</v>
          </cell>
          <cell r="H1345" t="str">
            <v>4E407AA#UUF</v>
          </cell>
          <cell r="M1345" t="str">
            <v>Foxconn LH</v>
          </cell>
        </row>
        <row r="1346">
          <cell r="D1346" t="str">
            <v>APJ</v>
          </cell>
          <cell r="H1346" t="str">
            <v>M82159-001</v>
          </cell>
          <cell r="M1346" t="str">
            <v>Foxconn LH</v>
          </cell>
        </row>
        <row r="1348">
          <cell r="D1348" t="str">
            <v>DIB</v>
          </cell>
          <cell r="H1348" t="str">
            <v>N72845-001</v>
          </cell>
          <cell r="M1348" t="str">
            <v>Compal</v>
          </cell>
        </row>
        <row r="1349">
          <cell r="D1349" t="str">
            <v>DIB</v>
          </cell>
          <cell r="H1349" t="str">
            <v>N37102-001</v>
          </cell>
          <cell r="M1349" t="str">
            <v>Compal</v>
          </cell>
        </row>
        <row r="1350">
          <cell r="D1350" t="str">
            <v>DIB</v>
          </cell>
          <cell r="H1350" t="str">
            <v>N37102-001</v>
          </cell>
          <cell r="M1350" t="str">
            <v>Compal</v>
          </cell>
        </row>
        <row r="1351">
          <cell r="D1351" t="str">
            <v>DIB</v>
          </cell>
          <cell r="H1351" t="str">
            <v>N37102-001</v>
          </cell>
          <cell r="M1351" t="str">
            <v>Compal</v>
          </cell>
        </row>
        <row r="1352">
          <cell r="D1352" t="str">
            <v>DIB</v>
          </cell>
          <cell r="H1352" t="str">
            <v>N37102-001</v>
          </cell>
          <cell r="M1352" t="str">
            <v>Compal</v>
          </cell>
        </row>
        <row r="1353">
          <cell r="D1353" t="str">
            <v>DIB</v>
          </cell>
          <cell r="H1353" t="str">
            <v>N37102-001</v>
          </cell>
          <cell r="M1353" t="str">
            <v>Compal</v>
          </cell>
        </row>
        <row r="1354">
          <cell r="D1354" t="str">
            <v>DIB</v>
          </cell>
          <cell r="H1354" t="str">
            <v>N37102-001</v>
          </cell>
          <cell r="M1354" t="str">
            <v>Compal</v>
          </cell>
        </row>
        <row r="1355">
          <cell r="D1355" t="str">
            <v>DIB</v>
          </cell>
          <cell r="H1355" t="str">
            <v>N61962-371</v>
          </cell>
          <cell r="M1355" t="str">
            <v>Compal</v>
          </cell>
        </row>
        <row r="1356">
          <cell r="D1356" t="str">
            <v>DIB</v>
          </cell>
          <cell r="H1356" t="str">
            <v>N72845-001</v>
          </cell>
          <cell r="M1356" t="str">
            <v>Compal</v>
          </cell>
        </row>
        <row r="1357">
          <cell r="D1357" t="str">
            <v>DIB</v>
          </cell>
          <cell r="H1357" t="str">
            <v>N37102-001</v>
          </cell>
          <cell r="M1357" t="str">
            <v>Compal</v>
          </cell>
        </row>
        <row r="1358">
          <cell r="D1358" t="str">
            <v>DIB</v>
          </cell>
          <cell r="H1358" t="str">
            <v>N72845-001</v>
          </cell>
          <cell r="M1358" t="str">
            <v>Compal</v>
          </cell>
        </row>
        <row r="1359">
          <cell r="D1359" t="str">
            <v>DIB</v>
          </cell>
          <cell r="H1359" t="str">
            <v>N37102-001</v>
          </cell>
          <cell r="M1359" t="str">
            <v>Compal</v>
          </cell>
        </row>
        <row r="1360">
          <cell r="D1360" t="str">
            <v>DIB</v>
          </cell>
          <cell r="H1360" t="str">
            <v>N37102-001</v>
          </cell>
          <cell r="M1360" t="str">
            <v>Compal</v>
          </cell>
        </row>
        <row r="1361">
          <cell r="D1361" t="str">
            <v>DIB</v>
          </cell>
          <cell r="H1361" t="str">
            <v>N37102-001</v>
          </cell>
          <cell r="M1361" t="str">
            <v>Compal</v>
          </cell>
        </row>
        <row r="1362">
          <cell r="D1362" t="str">
            <v>DIB</v>
          </cell>
          <cell r="H1362" t="str">
            <v>N37102-001</v>
          </cell>
          <cell r="M1362" t="str">
            <v>Compal</v>
          </cell>
        </row>
        <row r="1363">
          <cell r="D1363" t="str">
            <v>DIB</v>
          </cell>
          <cell r="H1363" t="str">
            <v>N37102-001</v>
          </cell>
          <cell r="M1363" t="str">
            <v>Compal</v>
          </cell>
        </row>
        <row r="1364">
          <cell r="D1364" t="str">
            <v>DIB</v>
          </cell>
          <cell r="H1364" t="str">
            <v>N37102-001</v>
          </cell>
          <cell r="M1364" t="str">
            <v>Compal</v>
          </cell>
        </row>
        <row r="1365">
          <cell r="D1365" t="str">
            <v>DIB</v>
          </cell>
          <cell r="H1365" t="str">
            <v>N37102-001</v>
          </cell>
          <cell r="M1365" t="str">
            <v>Compal</v>
          </cell>
        </row>
        <row r="1366">
          <cell r="D1366" t="str">
            <v>DIB</v>
          </cell>
          <cell r="H1366" t="str">
            <v>6E+P8C01.001</v>
          </cell>
          <cell r="M1366" t="str">
            <v>Darfon</v>
          </cell>
        </row>
        <row r="1367">
          <cell r="D1367" t="str">
            <v>DIB</v>
          </cell>
          <cell r="H1367" t="str">
            <v>6E+P8C01.001</v>
          </cell>
          <cell r="M1367" t="str">
            <v>Darfon</v>
          </cell>
        </row>
        <row r="1368">
          <cell r="D1368" t="str">
            <v>DIB</v>
          </cell>
          <cell r="H1368" t="str">
            <v>6E+P8C01.001</v>
          </cell>
          <cell r="M1368" t="str">
            <v>Darfon</v>
          </cell>
        </row>
        <row r="1369">
          <cell r="D1369" t="str">
            <v>DIB</v>
          </cell>
          <cell r="H1369" t="str">
            <v>6E+P8C01.001</v>
          </cell>
          <cell r="M1369" t="str">
            <v>Darfon</v>
          </cell>
        </row>
        <row r="1370">
          <cell r="D1370" t="str">
            <v>DIB</v>
          </cell>
          <cell r="H1370" t="str">
            <v>6E+P8C01.001</v>
          </cell>
          <cell r="M1370" t="str">
            <v>Darfon</v>
          </cell>
        </row>
        <row r="1371">
          <cell r="D1371" t="str">
            <v>DIB</v>
          </cell>
          <cell r="H1371" t="str">
            <v>6E+P8C01.001</v>
          </cell>
          <cell r="M1371" t="str">
            <v>Darfon</v>
          </cell>
        </row>
        <row r="1372">
          <cell r="D1372" t="str">
            <v>DIB</v>
          </cell>
          <cell r="H1372" t="str">
            <v>6E+P8C01.001</v>
          </cell>
          <cell r="M1372" t="str">
            <v>Darfon</v>
          </cell>
        </row>
        <row r="1373">
          <cell r="D1373" t="str">
            <v>DIB</v>
          </cell>
          <cell r="H1373" t="str">
            <v>6E+P8C01.001</v>
          </cell>
          <cell r="M1373" t="str">
            <v>Darfon</v>
          </cell>
        </row>
        <row r="1374">
          <cell r="D1374" t="str">
            <v>DIB</v>
          </cell>
          <cell r="H1374" t="str">
            <v>6E+P8C01.001</v>
          </cell>
          <cell r="M1374" t="str">
            <v>Darfon</v>
          </cell>
        </row>
        <row r="1375">
          <cell r="D1375" t="str">
            <v>DIB</v>
          </cell>
          <cell r="H1375" t="str">
            <v>6E+P8C01.001</v>
          </cell>
          <cell r="M1375" t="str">
            <v>Darfon</v>
          </cell>
        </row>
        <row r="1376">
          <cell r="D1376" t="str">
            <v>DIB</v>
          </cell>
          <cell r="H1376" t="str">
            <v>6E+P8C01.001</v>
          </cell>
          <cell r="M1376" t="str">
            <v>Darfon</v>
          </cell>
        </row>
        <row r="1377">
          <cell r="D1377" t="str">
            <v>DIB</v>
          </cell>
          <cell r="H1377" t="str">
            <v>6E+P8C01.001</v>
          </cell>
          <cell r="M1377" t="str">
            <v>Darfon</v>
          </cell>
        </row>
        <row r="1378">
          <cell r="D1378" t="str">
            <v>DIB</v>
          </cell>
          <cell r="H1378" t="str">
            <v>6E+P8C01.001</v>
          </cell>
          <cell r="M1378" t="str">
            <v>Darfon</v>
          </cell>
        </row>
        <row r="1379">
          <cell r="D1379" t="str">
            <v>DIB</v>
          </cell>
          <cell r="H1379" t="str">
            <v>6E+P8C01.001</v>
          </cell>
          <cell r="M1379" t="str">
            <v>Darfon</v>
          </cell>
        </row>
        <row r="1380">
          <cell r="D1380" t="str">
            <v>DIB</v>
          </cell>
          <cell r="H1380" t="str">
            <v>6E+P8C01.001</v>
          </cell>
          <cell r="M1380" t="str">
            <v>Darfon</v>
          </cell>
        </row>
        <row r="1381">
          <cell r="D1381" t="str">
            <v>DIB</v>
          </cell>
          <cell r="H1381" t="str">
            <v>6E+P8C01.001</v>
          </cell>
          <cell r="M1381" t="str">
            <v>Darfon</v>
          </cell>
        </row>
        <row r="1382">
          <cell r="D1382" t="str">
            <v>DIB</v>
          </cell>
          <cell r="H1382" t="str">
            <v>6E+P8C01.001</v>
          </cell>
          <cell r="M1382" t="str">
            <v>Darfon</v>
          </cell>
        </row>
        <row r="1383">
          <cell r="D1383" t="str">
            <v>DIB</v>
          </cell>
          <cell r="H1383" t="str">
            <v>6E+P8C01.001</v>
          </cell>
          <cell r="M1383" t="str">
            <v>Darfon</v>
          </cell>
        </row>
        <row r="1384">
          <cell r="D1384" t="str">
            <v>DIB</v>
          </cell>
          <cell r="H1384" t="str">
            <v>6E+P8C01.001</v>
          </cell>
          <cell r="M1384" t="str">
            <v>Darfon</v>
          </cell>
        </row>
        <row r="1385">
          <cell r="D1385" t="str">
            <v>DIB</v>
          </cell>
          <cell r="H1385" t="str">
            <v>6E+P8C01.011</v>
          </cell>
          <cell r="M1385" t="str">
            <v>Darfon</v>
          </cell>
        </row>
        <row r="1386">
          <cell r="D1386" t="str">
            <v>DIB</v>
          </cell>
          <cell r="H1386" t="str">
            <v>6E+P8C01.001</v>
          </cell>
          <cell r="M1386" t="str">
            <v>Darfon</v>
          </cell>
        </row>
        <row r="1387">
          <cell r="D1387" t="str">
            <v>DIB</v>
          </cell>
          <cell r="H1387" t="str">
            <v>6E+P8C01.001</v>
          </cell>
          <cell r="M1387" t="str">
            <v>Darfon</v>
          </cell>
        </row>
        <row r="1388">
          <cell r="D1388" t="str">
            <v>DIB</v>
          </cell>
          <cell r="H1388" t="str">
            <v>6E+P8C01.011</v>
          </cell>
          <cell r="M1388" t="str">
            <v>Darfon</v>
          </cell>
        </row>
        <row r="1389">
          <cell r="D1389" t="str">
            <v>DIB</v>
          </cell>
          <cell r="H1389" t="str">
            <v>6E+P8C01.001</v>
          </cell>
          <cell r="M1389" t="str">
            <v>Darfon</v>
          </cell>
        </row>
        <row r="1390">
          <cell r="D1390" t="str">
            <v>DIB</v>
          </cell>
          <cell r="H1390" t="str">
            <v>6E+P8C01.001</v>
          </cell>
          <cell r="M1390" t="str">
            <v>Darfon</v>
          </cell>
        </row>
        <row r="1391">
          <cell r="D1391" t="str">
            <v>DIB</v>
          </cell>
          <cell r="H1391" t="str">
            <v>6E+P8C01.001</v>
          </cell>
          <cell r="M1391" t="str">
            <v>Darfon</v>
          </cell>
        </row>
        <row r="1392">
          <cell r="D1392" t="str">
            <v>DIB</v>
          </cell>
          <cell r="H1392" t="str">
            <v>6E+P8C01.011</v>
          </cell>
          <cell r="M1392" t="str">
            <v>Darfon</v>
          </cell>
        </row>
        <row r="1393">
          <cell r="D1393" t="str">
            <v>DIB</v>
          </cell>
          <cell r="H1393" t="str">
            <v>6E+P8C01.001</v>
          </cell>
          <cell r="M1393" t="str">
            <v>Darfon</v>
          </cell>
        </row>
        <row r="1394">
          <cell r="D1394" t="str">
            <v>EMEA</v>
          </cell>
          <cell r="H1394" t="str">
            <v>1Y4D0AA#AC3</v>
          </cell>
          <cell r="M1394" t="str">
            <v>Flextronics CZ</v>
          </cell>
        </row>
        <row r="1395">
          <cell r="D1395" t="str">
            <v>EMEA</v>
          </cell>
          <cell r="H1395" t="str">
            <v>1Y4D0AA#AC3</v>
          </cell>
          <cell r="M1395" t="str">
            <v>Flextronics CZ</v>
          </cell>
        </row>
        <row r="1396">
          <cell r="D1396" t="str">
            <v>EMEA</v>
          </cell>
          <cell r="H1396" t="str">
            <v>1Y4D0AA#AC3</v>
          </cell>
          <cell r="M1396" t="str">
            <v>Flextronics CZ</v>
          </cell>
        </row>
        <row r="1397">
          <cell r="D1397" t="str">
            <v>EMEA</v>
          </cell>
          <cell r="H1397" t="str">
            <v>18H24AA#AC3</v>
          </cell>
          <cell r="M1397" t="str">
            <v>Flextronics CZ</v>
          </cell>
        </row>
        <row r="1398">
          <cell r="D1398" t="str">
            <v>EMEA</v>
          </cell>
          <cell r="H1398" t="str">
            <v>18H24AA#AC3</v>
          </cell>
          <cell r="M1398" t="str">
            <v>Flextronics CZ</v>
          </cell>
        </row>
        <row r="1399">
          <cell r="D1399" t="str">
            <v>EMEA</v>
          </cell>
          <cell r="H1399" t="str">
            <v>18H24AA#AC3</v>
          </cell>
          <cell r="M1399" t="str">
            <v>Flextronics CZ</v>
          </cell>
        </row>
        <row r="1400">
          <cell r="D1400" t="str">
            <v>EMEA</v>
          </cell>
          <cell r="H1400" t="str">
            <v>3L1E7AA#AC3</v>
          </cell>
          <cell r="M1400" t="str">
            <v>Flextronics CZ</v>
          </cell>
        </row>
        <row r="1401">
          <cell r="D1401" t="str">
            <v>EMEA</v>
          </cell>
          <cell r="H1401" t="str">
            <v>18H24AA#AC3</v>
          </cell>
          <cell r="M1401" t="str">
            <v>Flextronics CZ</v>
          </cell>
        </row>
        <row r="1402">
          <cell r="D1402" t="str">
            <v>EMEA</v>
          </cell>
          <cell r="H1402" t="str">
            <v>9DF28AA#AC3</v>
          </cell>
          <cell r="M1402" t="str">
            <v>Flextronics CZ</v>
          </cell>
        </row>
        <row r="1403">
          <cell r="D1403" t="str">
            <v>EMEA</v>
          </cell>
          <cell r="H1403" t="str">
            <v>3L1F0AA#AC3</v>
          </cell>
          <cell r="M1403" t="str">
            <v>Flextronics CZ</v>
          </cell>
        </row>
        <row r="1404">
          <cell r="D1404" t="str">
            <v>EMEA</v>
          </cell>
          <cell r="H1404" t="str">
            <v>240J7AA#AC3</v>
          </cell>
          <cell r="M1404" t="str">
            <v>Flextronics CZ</v>
          </cell>
        </row>
        <row r="1405">
          <cell r="D1405" t="str">
            <v>EMEA</v>
          </cell>
          <cell r="H1405" t="str">
            <v>2V9E6AA#AC3</v>
          </cell>
          <cell r="M1405" t="str">
            <v>Flextronics CZ</v>
          </cell>
        </row>
        <row r="1406">
          <cell r="D1406" t="str">
            <v>EMEA</v>
          </cell>
          <cell r="H1406" t="str">
            <v>18H24AA#AC3</v>
          </cell>
          <cell r="M1406" t="str">
            <v>Flextronics CZ</v>
          </cell>
        </row>
        <row r="1407">
          <cell r="D1407" t="str">
            <v>EMEA</v>
          </cell>
          <cell r="H1407" t="str">
            <v>18H24AA#AC3</v>
          </cell>
          <cell r="M1407" t="str">
            <v>Flextronics CZ</v>
          </cell>
        </row>
        <row r="1408">
          <cell r="D1408" t="str">
            <v>EMEA</v>
          </cell>
          <cell r="H1408" t="str">
            <v>3L1E7AA#AC3</v>
          </cell>
          <cell r="M1408" t="str">
            <v>Flextronics CZ</v>
          </cell>
        </row>
        <row r="1409">
          <cell r="D1409" t="str">
            <v>EMEA</v>
          </cell>
          <cell r="H1409" t="str">
            <v>18H24AA#AC3</v>
          </cell>
          <cell r="M1409" t="str">
            <v>Flextronics CZ</v>
          </cell>
        </row>
        <row r="1410">
          <cell r="D1410" t="str">
            <v>EMEA</v>
          </cell>
          <cell r="H1410" t="str">
            <v>18H24AA#AC3</v>
          </cell>
          <cell r="M1410" t="str">
            <v>Flextronics CZ</v>
          </cell>
        </row>
        <row r="1411">
          <cell r="D1411" t="str">
            <v>EMEA</v>
          </cell>
          <cell r="H1411" t="str">
            <v>1Y4D0AA#AC3</v>
          </cell>
          <cell r="M1411" t="str">
            <v>Flextronics CZ</v>
          </cell>
        </row>
        <row r="1412">
          <cell r="D1412" t="str">
            <v>EMEA</v>
          </cell>
          <cell r="H1412" t="str">
            <v>1Y4D0AA#AC3</v>
          </cell>
          <cell r="M1412" t="str">
            <v>Flextronics CZ</v>
          </cell>
        </row>
        <row r="1413">
          <cell r="D1413" t="str">
            <v>EMEA</v>
          </cell>
          <cell r="H1413" t="str">
            <v>3L1E7AA#AC3</v>
          </cell>
          <cell r="M1413" t="str">
            <v>Flextronics CZ</v>
          </cell>
        </row>
        <row r="1414">
          <cell r="D1414" t="str">
            <v>EMEA</v>
          </cell>
          <cell r="H1414" t="str">
            <v>3L1F0AA#AC3</v>
          </cell>
          <cell r="M1414" t="str">
            <v>Flextronics CZ</v>
          </cell>
        </row>
        <row r="1415">
          <cell r="D1415" t="str">
            <v>EMEA</v>
          </cell>
          <cell r="H1415" t="str">
            <v>18H24AA#AC3</v>
          </cell>
          <cell r="M1415" t="str">
            <v>Flextronics CZ</v>
          </cell>
        </row>
        <row r="1416">
          <cell r="D1416" t="str">
            <v>EMEA</v>
          </cell>
          <cell r="H1416" t="str">
            <v>1Y4D0AA#AC3</v>
          </cell>
          <cell r="M1416" t="str">
            <v>Flextronics CZ</v>
          </cell>
        </row>
        <row r="1417">
          <cell r="D1417" t="str">
            <v>EMEA</v>
          </cell>
          <cell r="H1417" t="str">
            <v>240J7AA#AC3</v>
          </cell>
          <cell r="M1417" t="str">
            <v>Flextronics CZ</v>
          </cell>
        </row>
        <row r="1418">
          <cell r="D1418" t="str">
            <v>EMEA</v>
          </cell>
          <cell r="H1418" t="str">
            <v>18H24AA#AC3</v>
          </cell>
          <cell r="M1418" t="str">
            <v>Flextronics CZ</v>
          </cell>
        </row>
        <row r="1419">
          <cell r="D1419" t="str">
            <v>EMEA</v>
          </cell>
          <cell r="H1419" t="str">
            <v>9DF28AA#AC3</v>
          </cell>
          <cell r="M1419" t="str">
            <v>Flextronics CZ</v>
          </cell>
        </row>
        <row r="1420">
          <cell r="D1420" t="str">
            <v>EMEA</v>
          </cell>
          <cell r="H1420" t="str">
            <v>3L1E7AA#AC3</v>
          </cell>
          <cell r="M1420" t="str">
            <v>Flextronics CZ</v>
          </cell>
        </row>
        <row r="1421">
          <cell r="D1421" t="str">
            <v>EMEA</v>
          </cell>
          <cell r="H1421" t="str">
            <v>1Y4D0AA#AC3</v>
          </cell>
          <cell r="M1421" t="str">
            <v>Flextronics CZ</v>
          </cell>
        </row>
        <row r="1422">
          <cell r="D1422" t="str">
            <v>EMEA</v>
          </cell>
          <cell r="H1422" t="str">
            <v>18H24AA#AC3</v>
          </cell>
          <cell r="M1422" t="str">
            <v>Flextronics CZ</v>
          </cell>
        </row>
        <row r="1423">
          <cell r="D1423" t="str">
            <v>EMEA</v>
          </cell>
          <cell r="H1423" t="str">
            <v>18H24AA#AC3</v>
          </cell>
          <cell r="M1423" t="str">
            <v>Flextronics CZ</v>
          </cell>
        </row>
        <row r="1424">
          <cell r="D1424" t="str">
            <v>EMEA</v>
          </cell>
          <cell r="H1424" t="str">
            <v>18H24AA#AC3</v>
          </cell>
          <cell r="M1424" t="str">
            <v>Flextronics CZ</v>
          </cell>
        </row>
        <row r="1425">
          <cell r="D1425" t="str">
            <v>EMEA</v>
          </cell>
          <cell r="H1425" t="str">
            <v>18H24AA#AC3</v>
          </cell>
          <cell r="M1425" t="str">
            <v>Flextronics CZ</v>
          </cell>
        </row>
        <row r="1426">
          <cell r="D1426" t="str">
            <v>EMEA</v>
          </cell>
          <cell r="H1426" t="str">
            <v>1Y4D0AA#AC3</v>
          </cell>
          <cell r="M1426" t="str">
            <v>Flextronics CZ</v>
          </cell>
        </row>
        <row r="1427">
          <cell r="D1427" t="str">
            <v>EMEA</v>
          </cell>
          <cell r="H1427" t="str">
            <v>1Y4D0AA#AC3</v>
          </cell>
          <cell r="M1427" t="str">
            <v>Flextronics CZ</v>
          </cell>
        </row>
        <row r="1428">
          <cell r="D1428" t="str">
            <v>EMEA</v>
          </cell>
          <cell r="H1428" t="str">
            <v>3L1E7AA#AC3</v>
          </cell>
          <cell r="M1428" t="str">
            <v>Flextronics CZ</v>
          </cell>
        </row>
        <row r="1429">
          <cell r="D1429" t="str">
            <v>EMEA</v>
          </cell>
          <cell r="H1429" t="str">
            <v>3L1F0AA#AC3</v>
          </cell>
          <cell r="M1429" t="str">
            <v>Flextronics CZ</v>
          </cell>
        </row>
        <row r="1430">
          <cell r="D1430" t="str">
            <v>EMEA</v>
          </cell>
          <cell r="H1430" t="str">
            <v>3L1F0AA#AC3</v>
          </cell>
          <cell r="M1430" t="str">
            <v>Flextronics CZ</v>
          </cell>
        </row>
        <row r="1431">
          <cell r="D1431" t="str">
            <v>EMEA</v>
          </cell>
          <cell r="H1431" t="str">
            <v>18H24AA#AC3</v>
          </cell>
          <cell r="M1431" t="str">
            <v>Flextronics CZ</v>
          </cell>
        </row>
        <row r="1432">
          <cell r="D1432" t="str">
            <v>EMEA</v>
          </cell>
          <cell r="H1432" t="str">
            <v>1Y4D0AA#AC3</v>
          </cell>
          <cell r="M1432" t="str">
            <v>Flextronics CZ</v>
          </cell>
        </row>
        <row r="1433">
          <cell r="D1433" t="str">
            <v>EMEA</v>
          </cell>
          <cell r="H1433" t="str">
            <v>3L1E7AA#AC3</v>
          </cell>
          <cell r="M1433" t="str">
            <v>Flextronics CZ</v>
          </cell>
        </row>
        <row r="1434">
          <cell r="D1434" t="str">
            <v>EMEA</v>
          </cell>
          <cell r="H1434" t="str">
            <v>1Y4D0AA#AC3</v>
          </cell>
          <cell r="M1434" t="str">
            <v>Flextronics CZ</v>
          </cell>
        </row>
        <row r="1435">
          <cell r="D1435" t="str">
            <v>EMEA</v>
          </cell>
          <cell r="H1435" t="str">
            <v>9DF28AA#AC3</v>
          </cell>
          <cell r="M1435" t="str">
            <v>Flextronics CZ</v>
          </cell>
        </row>
        <row r="1436">
          <cell r="D1436" t="str">
            <v>EMEA</v>
          </cell>
          <cell r="H1436" t="str">
            <v>18H24AA#AC3</v>
          </cell>
          <cell r="M1436" t="str">
            <v>Flextronics CZ</v>
          </cell>
        </row>
        <row r="1437">
          <cell r="D1437" t="str">
            <v>EMEA</v>
          </cell>
          <cell r="H1437" t="str">
            <v>1Y4D0AA#AC3</v>
          </cell>
          <cell r="M1437" t="str">
            <v>Flextronics CZ</v>
          </cell>
        </row>
        <row r="1438">
          <cell r="D1438" t="str">
            <v>EMEA</v>
          </cell>
          <cell r="H1438" t="str">
            <v>9DF28AA#AC3</v>
          </cell>
          <cell r="M1438" t="str">
            <v>Flextronics CZ</v>
          </cell>
        </row>
        <row r="1439">
          <cell r="D1439" t="str">
            <v>EMEA</v>
          </cell>
          <cell r="H1439" t="str">
            <v>3L1E7AA#AC3</v>
          </cell>
          <cell r="M1439" t="str">
            <v>Flextronics CZ</v>
          </cell>
        </row>
        <row r="1440">
          <cell r="D1440" t="str">
            <v>EMEA</v>
          </cell>
          <cell r="H1440" t="str">
            <v>3L1E7AA#AC3</v>
          </cell>
          <cell r="M1440" t="str">
            <v>Flextronics CZ</v>
          </cell>
        </row>
        <row r="1441">
          <cell r="D1441" t="str">
            <v>EMEA</v>
          </cell>
          <cell r="H1441" t="str">
            <v>1Y4D0AA#AC3</v>
          </cell>
          <cell r="M1441" t="str">
            <v>Flextronics CZ</v>
          </cell>
        </row>
        <row r="1442">
          <cell r="D1442" t="str">
            <v>EMEA</v>
          </cell>
          <cell r="H1442" t="str">
            <v>3L1E7AA#AC3</v>
          </cell>
          <cell r="M1442" t="str">
            <v>Flextronics CZ</v>
          </cell>
        </row>
        <row r="1443">
          <cell r="D1443" t="str">
            <v>EMEA</v>
          </cell>
          <cell r="H1443" t="str">
            <v>18H24AA#AC3</v>
          </cell>
          <cell r="M1443" t="str">
            <v>Flextronics CZ</v>
          </cell>
        </row>
        <row r="1444">
          <cell r="D1444" t="str">
            <v>EMEA</v>
          </cell>
          <cell r="H1444" t="str">
            <v>1Y4D0AA#AC3</v>
          </cell>
          <cell r="M1444" t="str">
            <v>Flextronics CZ</v>
          </cell>
        </row>
        <row r="1445">
          <cell r="D1445" t="str">
            <v>EMEA</v>
          </cell>
          <cell r="H1445" t="str">
            <v>1Y4D0AA#AC3</v>
          </cell>
          <cell r="M1445" t="str">
            <v>Flextronics CZ</v>
          </cell>
        </row>
        <row r="1446">
          <cell r="D1446" t="str">
            <v>EMEA</v>
          </cell>
          <cell r="H1446" t="str">
            <v>3L1F0AA#AC3</v>
          </cell>
          <cell r="M1446" t="str">
            <v>Flextronics CZ</v>
          </cell>
        </row>
        <row r="1447">
          <cell r="D1447" t="str">
            <v>EMEA</v>
          </cell>
          <cell r="H1447" t="str">
            <v>3L1F0AA#AC3</v>
          </cell>
          <cell r="M1447" t="str">
            <v>Flextronics CZ</v>
          </cell>
        </row>
        <row r="1448">
          <cell r="D1448" t="str">
            <v>EMEA</v>
          </cell>
          <cell r="H1448" t="str">
            <v>240J7AA#AC3</v>
          </cell>
          <cell r="M1448" t="str">
            <v>Flextronics CZ</v>
          </cell>
        </row>
        <row r="1449">
          <cell r="D1449" t="str">
            <v>EMEA</v>
          </cell>
          <cell r="H1449" t="str">
            <v>240J7AA#AC3</v>
          </cell>
          <cell r="M1449" t="str">
            <v>Flextronics CZ</v>
          </cell>
        </row>
        <row r="1450">
          <cell r="D1450" t="str">
            <v>EMEA</v>
          </cell>
          <cell r="H1450" t="str">
            <v>18H24AA#AC3</v>
          </cell>
          <cell r="M1450" t="str">
            <v>Flextronics CZ</v>
          </cell>
        </row>
        <row r="1451">
          <cell r="D1451" t="str">
            <v>EMEA</v>
          </cell>
          <cell r="H1451" t="str">
            <v>1Y4D0AA#AC3</v>
          </cell>
          <cell r="M1451" t="str">
            <v>Flextronics CZ</v>
          </cell>
        </row>
        <row r="1452">
          <cell r="D1452" t="str">
            <v>EMEA</v>
          </cell>
          <cell r="H1452" t="str">
            <v>1Y4D0AA#AC3</v>
          </cell>
          <cell r="M1452" t="str">
            <v>Flextronics CZ</v>
          </cell>
        </row>
        <row r="1453">
          <cell r="D1453" t="str">
            <v>EMEA</v>
          </cell>
          <cell r="H1453" t="str">
            <v>1Y4D0AA#AC3</v>
          </cell>
          <cell r="M1453" t="str">
            <v>Flextronics CZ</v>
          </cell>
        </row>
        <row r="1454">
          <cell r="D1454" t="str">
            <v>EMEA</v>
          </cell>
          <cell r="H1454" t="str">
            <v>9DF28AA#AC3</v>
          </cell>
          <cell r="M1454" t="str">
            <v>Flextronics CZ</v>
          </cell>
        </row>
        <row r="1455">
          <cell r="D1455" t="str">
            <v>EMEA</v>
          </cell>
          <cell r="H1455" t="str">
            <v>3L1E7AA#AC3</v>
          </cell>
          <cell r="M1455" t="str">
            <v>Flextronics CZ</v>
          </cell>
        </row>
        <row r="1456">
          <cell r="D1456" t="str">
            <v>EMEA</v>
          </cell>
          <cell r="H1456" t="str">
            <v>3L1F0AA#AC3</v>
          </cell>
          <cell r="M1456" t="str">
            <v>Flextronics CZ</v>
          </cell>
        </row>
        <row r="1457">
          <cell r="D1457" t="str">
            <v>EMEA</v>
          </cell>
          <cell r="H1457" t="str">
            <v>3L1F0AA#AC3</v>
          </cell>
          <cell r="M1457" t="str">
            <v>Flextronics CZ</v>
          </cell>
        </row>
        <row r="1458">
          <cell r="D1458" t="str">
            <v>EMEA</v>
          </cell>
          <cell r="H1458" t="str">
            <v>240J7AA#AC3</v>
          </cell>
          <cell r="M1458" t="str">
            <v>Flextronics CZ</v>
          </cell>
        </row>
        <row r="1459">
          <cell r="D1459" t="str">
            <v>EMEA</v>
          </cell>
          <cell r="H1459" t="str">
            <v>18H24AA#AC3</v>
          </cell>
          <cell r="M1459" t="str">
            <v>Flextronics CZ</v>
          </cell>
        </row>
        <row r="1460">
          <cell r="D1460" t="str">
            <v>EMEA</v>
          </cell>
          <cell r="H1460" t="str">
            <v>1Y4D0AA#AC3</v>
          </cell>
          <cell r="M1460" t="str">
            <v>Flextronics CZ</v>
          </cell>
        </row>
        <row r="1461">
          <cell r="D1461" t="str">
            <v>EMEA</v>
          </cell>
          <cell r="H1461" t="str">
            <v>3L1F0AA#AC3</v>
          </cell>
          <cell r="M1461" t="str">
            <v>Flextronics CZ</v>
          </cell>
        </row>
        <row r="1462">
          <cell r="D1462" t="str">
            <v>EMEA</v>
          </cell>
          <cell r="H1462" t="str">
            <v>18H24AA#AC3</v>
          </cell>
          <cell r="M1462" t="str">
            <v>Flextronics CZ</v>
          </cell>
        </row>
        <row r="1463">
          <cell r="D1463" t="str">
            <v>EMEA</v>
          </cell>
          <cell r="H1463" t="str">
            <v>1Y4D0AA#AC3</v>
          </cell>
          <cell r="M1463" t="str">
            <v>Flextronics CZ</v>
          </cell>
        </row>
        <row r="1464">
          <cell r="D1464" t="str">
            <v>EMEA</v>
          </cell>
          <cell r="H1464" t="str">
            <v>9DF28AA#AC3</v>
          </cell>
          <cell r="M1464" t="str">
            <v>Flextronics CZ</v>
          </cell>
        </row>
        <row r="1465">
          <cell r="D1465" t="str">
            <v>EMEA</v>
          </cell>
          <cell r="H1465" t="str">
            <v>3L1E7AA#AC3</v>
          </cell>
          <cell r="M1465" t="str">
            <v>Flextronics CZ</v>
          </cell>
        </row>
        <row r="1466">
          <cell r="D1466" t="str">
            <v>EMEA</v>
          </cell>
          <cell r="H1466" t="str">
            <v>3L1F0AA#AC3</v>
          </cell>
          <cell r="M1466" t="str">
            <v>Flextronics CZ</v>
          </cell>
        </row>
        <row r="1467">
          <cell r="D1467" t="str">
            <v>EMEA</v>
          </cell>
          <cell r="H1467" t="str">
            <v>664R5AA#AC3</v>
          </cell>
          <cell r="M1467" t="str">
            <v>Flextronics CZ</v>
          </cell>
        </row>
        <row r="1468">
          <cell r="D1468" t="str">
            <v>EMEA</v>
          </cell>
          <cell r="H1468" t="str">
            <v>240J7AA#AC3</v>
          </cell>
          <cell r="M1468" t="str">
            <v>Flextronics CZ</v>
          </cell>
        </row>
        <row r="1469">
          <cell r="D1469" t="str">
            <v>EMEA</v>
          </cell>
          <cell r="H1469" t="str">
            <v>664R5AA#AC3</v>
          </cell>
          <cell r="M1469" t="str">
            <v>Flextronics CZ</v>
          </cell>
        </row>
        <row r="1470">
          <cell r="D1470" t="str">
            <v>EMEA</v>
          </cell>
          <cell r="H1470" t="str">
            <v>2V9E6AA#AC3</v>
          </cell>
          <cell r="M1470" t="str">
            <v>Flextronics CZ</v>
          </cell>
        </row>
        <row r="1471">
          <cell r="D1471" t="str">
            <v>EMEA</v>
          </cell>
          <cell r="H1471" t="str">
            <v>18H24AA#AC3</v>
          </cell>
          <cell r="M1471" t="str">
            <v>Flextronics CZ</v>
          </cell>
        </row>
        <row r="1472">
          <cell r="D1472" t="str">
            <v>EMEA</v>
          </cell>
          <cell r="H1472" t="str">
            <v>18H24AA#AC3</v>
          </cell>
          <cell r="M1472" t="str">
            <v>Flextronics CZ</v>
          </cell>
        </row>
        <row r="1473">
          <cell r="D1473" t="str">
            <v>EMEA</v>
          </cell>
          <cell r="H1473" t="str">
            <v>1Y4D0AA#AC3</v>
          </cell>
          <cell r="M1473" t="str">
            <v>Flextronics CZ</v>
          </cell>
        </row>
        <row r="1474">
          <cell r="D1474" t="str">
            <v>EMEA</v>
          </cell>
          <cell r="H1474" t="str">
            <v>18H24AA#AC3</v>
          </cell>
          <cell r="M1474" t="str">
            <v>Flextronics CZ</v>
          </cell>
        </row>
        <row r="1475">
          <cell r="D1475" t="str">
            <v>EMEA</v>
          </cell>
          <cell r="H1475" t="str">
            <v>1Y4D0AA#AC3</v>
          </cell>
          <cell r="M1475" t="str">
            <v>Flextronics CZ</v>
          </cell>
        </row>
        <row r="1476">
          <cell r="D1476" t="str">
            <v>EMEA</v>
          </cell>
          <cell r="H1476" t="str">
            <v>1Y4D0AA#AC3</v>
          </cell>
          <cell r="M1476" t="str">
            <v>Flextronics CZ</v>
          </cell>
        </row>
        <row r="1477">
          <cell r="D1477" t="str">
            <v>EMEA</v>
          </cell>
          <cell r="H1477" t="str">
            <v>3L1F0AA#AC3</v>
          </cell>
          <cell r="M1477" t="str">
            <v>Flextronics CZ</v>
          </cell>
        </row>
        <row r="1478">
          <cell r="D1478" t="str">
            <v>EMEA</v>
          </cell>
          <cell r="H1478" t="str">
            <v>2V9E6AA#AC3</v>
          </cell>
          <cell r="M1478" t="str">
            <v>Flextronics CZ</v>
          </cell>
        </row>
        <row r="1479">
          <cell r="D1479" t="str">
            <v>EMEA</v>
          </cell>
          <cell r="H1479" t="str">
            <v>18H24AA#AC3</v>
          </cell>
          <cell r="M1479" t="str">
            <v>Flextronics CZ</v>
          </cell>
        </row>
        <row r="1480">
          <cell r="D1480" t="str">
            <v>EMEA</v>
          </cell>
          <cell r="H1480" t="str">
            <v>1Y4D0AA#AC3</v>
          </cell>
          <cell r="M1480" t="str">
            <v>Flextronics CZ</v>
          </cell>
        </row>
        <row r="1481">
          <cell r="D1481" t="str">
            <v>EMEA</v>
          </cell>
          <cell r="H1481" t="str">
            <v>18H24AA#AC3</v>
          </cell>
          <cell r="M1481" t="str">
            <v>Flextronics CZ</v>
          </cell>
        </row>
        <row r="1482">
          <cell r="D1482" t="str">
            <v>EMEA</v>
          </cell>
          <cell r="H1482" t="str">
            <v>18H24AA#AC3</v>
          </cell>
          <cell r="M1482" t="str">
            <v>Flextronics CZ</v>
          </cell>
        </row>
        <row r="1483">
          <cell r="D1483" t="str">
            <v>EMEA</v>
          </cell>
          <cell r="H1483" t="str">
            <v>18H24AA#AC3</v>
          </cell>
          <cell r="M1483" t="str">
            <v>Flextronics CZ</v>
          </cell>
        </row>
        <row r="1484">
          <cell r="D1484" t="str">
            <v>EMEA</v>
          </cell>
          <cell r="H1484" t="str">
            <v>3L1F0AA#AC3</v>
          </cell>
          <cell r="M1484" t="str">
            <v>Flextronics CZ</v>
          </cell>
        </row>
        <row r="1485">
          <cell r="D1485" t="str">
            <v>EMEA</v>
          </cell>
          <cell r="H1485" t="str">
            <v>3L1F0AA#AC3</v>
          </cell>
          <cell r="M1485" t="str">
            <v>Flextronics CZ</v>
          </cell>
        </row>
        <row r="1486">
          <cell r="D1486" t="str">
            <v>EMEA</v>
          </cell>
          <cell r="H1486" t="str">
            <v>1Y4D0AA#AC3</v>
          </cell>
          <cell r="M1486" t="str">
            <v>Flextronics CZ</v>
          </cell>
        </row>
        <row r="1487">
          <cell r="D1487" t="str">
            <v>EMEA</v>
          </cell>
          <cell r="H1487" t="str">
            <v>1Y4D0AA#AC3</v>
          </cell>
          <cell r="M1487" t="str">
            <v>Flextronics CZ</v>
          </cell>
        </row>
        <row r="1488">
          <cell r="D1488" t="str">
            <v>EMEA</v>
          </cell>
          <cell r="H1488" t="str">
            <v>1Y4D0AA#AC3</v>
          </cell>
          <cell r="M1488" t="str">
            <v>Flextronics CZ</v>
          </cell>
        </row>
        <row r="1489">
          <cell r="D1489" t="str">
            <v>EMEA</v>
          </cell>
          <cell r="H1489" t="str">
            <v>18H24AA#AC3</v>
          </cell>
          <cell r="M1489" t="str">
            <v>Flextronics CZ</v>
          </cell>
        </row>
        <row r="1490">
          <cell r="D1490" t="str">
            <v>EMEA</v>
          </cell>
          <cell r="H1490" t="str">
            <v>1Y4D0AA#AC3</v>
          </cell>
          <cell r="M1490" t="str">
            <v>Flextronics CZ</v>
          </cell>
        </row>
        <row r="1491">
          <cell r="D1491" t="str">
            <v>EMEA</v>
          </cell>
          <cell r="H1491" t="str">
            <v>1Y4D0AA#AC3</v>
          </cell>
          <cell r="M1491" t="str">
            <v>Flextronics CZ</v>
          </cell>
        </row>
        <row r="1492">
          <cell r="D1492" t="str">
            <v>EMEA</v>
          </cell>
          <cell r="H1492" t="str">
            <v>664R5AA#AC3</v>
          </cell>
          <cell r="M1492" t="str">
            <v>Flextronics CZ</v>
          </cell>
        </row>
        <row r="1493">
          <cell r="D1493" t="str">
            <v>EMEA</v>
          </cell>
          <cell r="H1493" t="str">
            <v>664R5AA#AC3</v>
          </cell>
          <cell r="M1493" t="str">
            <v>Flextronics CZ</v>
          </cell>
        </row>
        <row r="1494">
          <cell r="D1494" t="str">
            <v>EMEA</v>
          </cell>
          <cell r="H1494" t="str">
            <v>240J7AA#AC3</v>
          </cell>
          <cell r="M1494" t="str">
            <v>Flextronics CZ</v>
          </cell>
        </row>
        <row r="1495">
          <cell r="D1495" t="str">
            <v>EMEA</v>
          </cell>
          <cell r="H1495" t="str">
            <v>3ML04AA#AC3</v>
          </cell>
          <cell r="M1495" t="str">
            <v>Flextronics CZ</v>
          </cell>
        </row>
        <row r="1496">
          <cell r="D1496" t="str">
            <v>EMEA</v>
          </cell>
          <cell r="H1496" t="str">
            <v>18H24AA#AC3</v>
          </cell>
          <cell r="M1496" t="str">
            <v>Flextronics CZ</v>
          </cell>
        </row>
        <row r="1497">
          <cell r="D1497" t="str">
            <v>EMEA</v>
          </cell>
          <cell r="H1497" t="str">
            <v>1Y4D0AA#AC3</v>
          </cell>
          <cell r="M1497" t="str">
            <v>Flextronics CZ</v>
          </cell>
        </row>
        <row r="1498">
          <cell r="D1498" t="str">
            <v>EMEA</v>
          </cell>
          <cell r="H1498" t="str">
            <v>3L1F0AA#AC3</v>
          </cell>
          <cell r="M1498" t="str">
            <v>Flextronics CZ</v>
          </cell>
        </row>
        <row r="1499">
          <cell r="D1499" t="str">
            <v>EMEA</v>
          </cell>
          <cell r="H1499" t="str">
            <v>1Y4D0AA#AC3</v>
          </cell>
          <cell r="M1499" t="str">
            <v>Flextronics CZ</v>
          </cell>
        </row>
        <row r="1500">
          <cell r="D1500" t="str">
            <v>EMEA</v>
          </cell>
          <cell r="H1500" t="str">
            <v>18H24AA#AC3</v>
          </cell>
          <cell r="M1500" t="str">
            <v>Flextronics CZ</v>
          </cell>
        </row>
        <row r="1501">
          <cell r="D1501" t="str">
            <v>EMEA</v>
          </cell>
          <cell r="H1501" t="str">
            <v>1Y4D0AA#AC3</v>
          </cell>
          <cell r="M1501" t="str">
            <v>Flextronics CZ</v>
          </cell>
        </row>
        <row r="1502">
          <cell r="D1502" t="str">
            <v>EMEA</v>
          </cell>
          <cell r="H1502" t="str">
            <v>1Y4D0AA#AC3</v>
          </cell>
          <cell r="M1502" t="str">
            <v>Flextronics CZ</v>
          </cell>
        </row>
        <row r="1503">
          <cell r="D1503" t="str">
            <v>EMEA</v>
          </cell>
          <cell r="H1503" t="str">
            <v>9DF28AA#AC3</v>
          </cell>
          <cell r="M1503" t="str">
            <v>Flextronics CZ</v>
          </cell>
        </row>
        <row r="1504">
          <cell r="D1504" t="str">
            <v>EMEA</v>
          </cell>
          <cell r="H1504" t="str">
            <v>3L1F0AA#AC3</v>
          </cell>
          <cell r="M1504" t="str">
            <v>Flextronics CZ</v>
          </cell>
        </row>
        <row r="1505">
          <cell r="D1505" t="str">
            <v>EMEA</v>
          </cell>
          <cell r="H1505" t="str">
            <v>18H24AA#AC3</v>
          </cell>
          <cell r="M1505" t="str">
            <v>Flextronics CZ</v>
          </cell>
        </row>
        <row r="1506">
          <cell r="D1506" t="str">
            <v>EMEA</v>
          </cell>
          <cell r="H1506" t="str">
            <v>1Y4D0AA#AC3</v>
          </cell>
          <cell r="M1506" t="str">
            <v>Flextronics CZ</v>
          </cell>
        </row>
        <row r="1507">
          <cell r="D1507" t="str">
            <v>EMEA</v>
          </cell>
          <cell r="H1507" t="str">
            <v>240J7AA#AC3</v>
          </cell>
          <cell r="M1507" t="str">
            <v>Flextronics CZ</v>
          </cell>
        </row>
        <row r="1508">
          <cell r="D1508" t="str">
            <v>EMEA</v>
          </cell>
          <cell r="H1508" t="str">
            <v>1Y4D0AA#AC3</v>
          </cell>
          <cell r="M1508" t="str">
            <v>Flextronics CZ</v>
          </cell>
        </row>
        <row r="1509">
          <cell r="D1509" t="str">
            <v>EMEA</v>
          </cell>
          <cell r="H1509" t="str">
            <v>18H24AA#AC3</v>
          </cell>
          <cell r="M1509" t="str">
            <v>Flextronics CZ</v>
          </cell>
        </row>
        <row r="1510">
          <cell r="D1510" t="str">
            <v>EMEA</v>
          </cell>
          <cell r="H1510" t="str">
            <v>18H24AA#AC3</v>
          </cell>
          <cell r="M1510" t="str">
            <v>Flextronics CZ</v>
          </cell>
        </row>
        <row r="1511">
          <cell r="D1511" t="str">
            <v>EMEA</v>
          </cell>
          <cell r="H1511" t="str">
            <v>18H24AA#AC3</v>
          </cell>
          <cell r="M1511" t="str">
            <v>Flextronics CZ</v>
          </cell>
        </row>
        <row r="1512">
          <cell r="D1512" t="str">
            <v>EMEA</v>
          </cell>
          <cell r="H1512" t="str">
            <v>664R5AA#AC3</v>
          </cell>
          <cell r="M1512" t="str">
            <v>Flextronics CZ</v>
          </cell>
        </row>
        <row r="1513">
          <cell r="D1513" t="str">
            <v>EMEA</v>
          </cell>
          <cell r="H1513" t="str">
            <v>240J7AA#AC3</v>
          </cell>
          <cell r="M1513" t="str">
            <v>Flextronics CZ</v>
          </cell>
        </row>
        <row r="1514">
          <cell r="D1514" t="str">
            <v>EMEA</v>
          </cell>
          <cell r="H1514" t="str">
            <v>240J7AA#AC3</v>
          </cell>
          <cell r="M1514" t="str">
            <v>Flextronics CZ</v>
          </cell>
        </row>
        <row r="1515">
          <cell r="D1515" t="str">
            <v>EMEA</v>
          </cell>
          <cell r="H1515" t="str">
            <v>18H24AA#AC3</v>
          </cell>
          <cell r="M1515" t="str">
            <v>Flextronics CZ</v>
          </cell>
        </row>
        <row r="1516">
          <cell r="D1516" t="str">
            <v>EMEA</v>
          </cell>
          <cell r="H1516" t="str">
            <v>18H24AA#AC3</v>
          </cell>
          <cell r="M1516" t="str">
            <v>Flextronics CZ</v>
          </cell>
        </row>
        <row r="1517">
          <cell r="D1517" t="str">
            <v>EMEA</v>
          </cell>
          <cell r="H1517" t="str">
            <v>3L1F0AA#AC3</v>
          </cell>
          <cell r="M1517" t="str">
            <v>Flextronics CZ</v>
          </cell>
        </row>
        <row r="1518">
          <cell r="D1518" t="str">
            <v>EMEA</v>
          </cell>
          <cell r="H1518" t="str">
            <v>1Y4D0UT#AC3</v>
          </cell>
          <cell r="M1518" t="str">
            <v>Flextronics CZ</v>
          </cell>
        </row>
        <row r="1519">
          <cell r="D1519" t="str">
            <v>EMEA</v>
          </cell>
          <cell r="H1519" t="str">
            <v>18H24AA#AC3</v>
          </cell>
          <cell r="M1519" t="str">
            <v>Flextronics CZ</v>
          </cell>
        </row>
        <row r="1520">
          <cell r="D1520" t="str">
            <v>EMEA</v>
          </cell>
          <cell r="H1520" t="str">
            <v>2V9E6AA#AC3</v>
          </cell>
          <cell r="M1520" t="str">
            <v>Flextronics CZ</v>
          </cell>
        </row>
        <row r="1521">
          <cell r="D1521" t="str">
            <v>EMEA</v>
          </cell>
          <cell r="H1521" t="str">
            <v>1Y4D0UT#AC3</v>
          </cell>
          <cell r="M1521" t="str">
            <v>Flextronics CZ</v>
          </cell>
        </row>
        <row r="1522">
          <cell r="D1522" t="str">
            <v>EMEA</v>
          </cell>
          <cell r="H1522" t="str">
            <v>18H24AA#AC3</v>
          </cell>
          <cell r="M1522" t="str">
            <v>Flextronics CZ</v>
          </cell>
        </row>
        <row r="1523">
          <cell r="D1523" t="str">
            <v>EMEA</v>
          </cell>
          <cell r="H1523" t="str">
            <v>2V9E6AA#AC3</v>
          </cell>
          <cell r="M1523" t="str">
            <v>Flextronics CZ</v>
          </cell>
        </row>
        <row r="1524">
          <cell r="D1524" t="str">
            <v>EMEA</v>
          </cell>
          <cell r="H1524" t="str">
            <v>1Y4D0UT#AC3</v>
          </cell>
          <cell r="M1524" t="str">
            <v>Flextronics CZ</v>
          </cell>
        </row>
        <row r="1525">
          <cell r="D1525" t="str">
            <v>EMEA</v>
          </cell>
          <cell r="H1525" t="str">
            <v>18H24AA#AC3</v>
          </cell>
          <cell r="M1525" t="str">
            <v>Flextronics CZ</v>
          </cell>
        </row>
        <row r="1526">
          <cell r="D1526" t="str">
            <v>EMEA</v>
          </cell>
          <cell r="H1526" t="str">
            <v>1Y4D0UT#AC3</v>
          </cell>
          <cell r="M1526" t="str">
            <v>Flextronics CZ</v>
          </cell>
        </row>
        <row r="1527">
          <cell r="D1527" t="str">
            <v>EMEA</v>
          </cell>
          <cell r="H1527" t="str">
            <v>1Y4D0UT#AC3</v>
          </cell>
          <cell r="M1527" t="str">
            <v>Flextronics CZ</v>
          </cell>
        </row>
        <row r="1528">
          <cell r="D1528" t="str">
            <v>EMEA</v>
          </cell>
          <cell r="H1528" t="str">
            <v>18H24AA#AC3</v>
          </cell>
          <cell r="M1528" t="str">
            <v>Flextronics CZ</v>
          </cell>
        </row>
        <row r="1529">
          <cell r="D1529" t="str">
            <v>EMEA</v>
          </cell>
          <cell r="H1529" t="str">
            <v>1Y4D0UT#AC3</v>
          </cell>
          <cell r="M1529" t="str">
            <v>Flextronics CZ</v>
          </cell>
        </row>
        <row r="1530">
          <cell r="D1530" t="str">
            <v>EMEA</v>
          </cell>
          <cell r="H1530" t="str">
            <v>18H24AA#AC3</v>
          </cell>
          <cell r="M1530" t="str">
            <v>Flextronics CZ</v>
          </cell>
        </row>
        <row r="1531">
          <cell r="D1531" t="str">
            <v>EMEA</v>
          </cell>
          <cell r="H1531" t="str">
            <v>664R5AA#AC3</v>
          </cell>
          <cell r="M1531" t="str">
            <v>Flextronics CZ</v>
          </cell>
        </row>
        <row r="1532">
          <cell r="D1532" t="str">
            <v>EMEA</v>
          </cell>
          <cell r="H1532" t="str">
            <v>2V9E6AA#AC3</v>
          </cell>
          <cell r="M1532" t="str">
            <v>Flextronics CZ</v>
          </cell>
        </row>
        <row r="1533">
          <cell r="D1533" t="str">
            <v>EMEA</v>
          </cell>
          <cell r="H1533" t="str">
            <v>2V9E6AA#AC3</v>
          </cell>
          <cell r="M1533" t="str">
            <v>Flextronics CZ</v>
          </cell>
        </row>
        <row r="1534">
          <cell r="D1534" t="str">
            <v>EMEA</v>
          </cell>
          <cell r="H1534" t="str">
            <v>2V9E6AA#AC3</v>
          </cell>
          <cell r="M1534" t="str">
            <v>Flextronics CZ</v>
          </cell>
        </row>
        <row r="1535">
          <cell r="D1535" t="str">
            <v>EMEA</v>
          </cell>
          <cell r="H1535" t="str">
            <v>805T2AA#AC3</v>
          </cell>
          <cell r="M1535" t="str">
            <v>Flextronics CZ</v>
          </cell>
        </row>
        <row r="1536">
          <cell r="D1536" t="str">
            <v>EMEA</v>
          </cell>
          <cell r="H1536" t="str">
            <v>18H24AA#AC3</v>
          </cell>
          <cell r="M1536" t="str">
            <v>Flextronics CZ</v>
          </cell>
        </row>
        <row r="1537">
          <cell r="D1537" t="str">
            <v>EMEA</v>
          </cell>
          <cell r="H1537" t="str">
            <v>18H24AA#AC3</v>
          </cell>
          <cell r="M1537" t="str">
            <v>Flextronics CZ</v>
          </cell>
        </row>
        <row r="1538">
          <cell r="D1538" t="str">
            <v>EMEA</v>
          </cell>
          <cell r="H1538" t="str">
            <v>1Y4D0UT#AC3</v>
          </cell>
          <cell r="M1538" t="str">
            <v>Flextronics CZ</v>
          </cell>
        </row>
        <row r="1539">
          <cell r="D1539" t="str">
            <v>EMEA</v>
          </cell>
          <cell r="H1539" t="str">
            <v>2V9E6AA#AC3</v>
          </cell>
          <cell r="M1539" t="str">
            <v>Flextronics CZ</v>
          </cell>
        </row>
        <row r="1540">
          <cell r="D1540" t="str">
            <v>EMEA</v>
          </cell>
          <cell r="H1540" t="str">
            <v>3L1E7AA#AC3</v>
          </cell>
          <cell r="M1540" t="str">
            <v>Flextronics CZ</v>
          </cell>
        </row>
        <row r="1541">
          <cell r="D1541" t="str">
            <v>EMEA</v>
          </cell>
          <cell r="H1541" t="str">
            <v>3L1F0AA#AC3</v>
          </cell>
          <cell r="M1541" t="str">
            <v>Flextronics CZ</v>
          </cell>
        </row>
        <row r="1542">
          <cell r="D1542" t="str">
            <v>EMEA</v>
          </cell>
          <cell r="H1542" t="str">
            <v>664R5AA#AC3</v>
          </cell>
          <cell r="M1542" t="str">
            <v>Flextronics CZ</v>
          </cell>
        </row>
        <row r="1543">
          <cell r="D1543" t="str">
            <v>EMEA</v>
          </cell>
          <cell r="H1543" t="str">
            <v>240J7AA#AC3</v>
          </cell>
          <cell r="M1543" t="str">
            <v>Flextronics CZ</v>
          </cell>
        </row>
        <row r="1544">
          <cell r="D1544" t="str">
            <v>EMEA</v>
          </cell>
          <cell r="H1544" t="str">
            <v>18H24AA#AC3</v>
          </cell>
          <cell r="M1544" t="str">
            <v>Flextronics CZ</v>
          </cell>
        </row>
        <row r="1545">
          <cell r="D1545" t="str">
            <v>EMEA</v>
          </cell>
          <cell r="H1545" t="str">
            <v>2V9E6AA#AC3</v>
          </cell>
          <cell r="M1545" t="str">
            <v>Flextronics CZ</v>
          </cell>
        </row>
        <row r="1546">
          <cell r="D1546" t="str">
            <v>EMEA</v>
          </cell>
          <cell r="H1546" t="str">
            <v>2V9E6AA#AC3</v>
          </cell>
          <cell r="M1546" t="str">
            <v>Flextronics CZ</v>
          </cell>
        </row>
        <row r="1547">
          <cell r="D1547" t="str">
            <v>EMEA</v>
          </cell>
          <cell r="H1547" t="str">
            <v>1Y4D0UT#AC3</v>
          </cell>
          <cell r="M1547" t="str">
            <v>Flextronics CZ</v>
          </cell>
        </row>
        <row r="1548">
          <cell r="D1548" t="str">
            <v>EMEA</v>
          </cell>
          <cell r="H1548" t="str">
            <v>18H24AA#AC3</v>
          </cell>
          <cell r="M1548" t="str">
            <v>Flextronics CZ</v>
          </cell>
        </row>
        <row r="1549">
          <cell r="D1549" t="str">
            <v>EMEA</v>
          </cell>
          <cell r="H1549" t="str">
            <v>1Y4D0UT#AC3</v>
          </cell>
          <cell r="M1549" t="str">
            <v>Flextronics CZ</v>
          </cell>
        </row>
        <row r="1550">
          <cell r="D1550" t="str">
            <v>EMEA</v>
          </cell>
          <cell r="H1550" t="str">
            <v>1Y4D0UT#AC3</v>
          </cell>
          <cell r="M1550" t="str">
            <v>Flextronics CZ</v>
          </cell>
        </row>
        <row r="1551">
          <cell r="D1551" t="str">
            <v>EMEA</v>
          </cell>
          <cell r="H1551" t="str">
            <v>18H24AA#AC3</v>
          </cell>
          <cell r="M1551" t="str">
            <v>Flextronics CZ</v>
          </cell>
        </row>
        <row r="1552">
          <cell r="D1552" t="str">
            <v>EMEA</v>
          </cell>
          <cell r="H1552" t="str">
            <v>1Y4D0UT#AC3</v>
          </cell>
          <cell r="M1552" t="str">
            <v>Flextronics CZ</v>
          </cell>
        </row>
        <row r="1553">
          <cell r="D1553" t="str">
            <v>EMEA</v>
          </cell>
          <cell r="H1553" t="str">
            <v>1Y4D0UT#AC3</v>
          </cell>
          <cell r="M1553" t="str">
            <v>Flextronics CZ</v>
          </cell>
        </row>
        <row r="1554">
          <cell r="D1554" t="str">
            <v>EMEA</v>
          </cell>
          <cell r="H1554" t="str">
            <v>18H24AA#AC3</v>
          </cell>
          <cell r="M1554" t="str">
            <v>Flextronics CZ</v>
          </cell>
        </row>
        <row r="1555">
          <cell r="D1555" t="str">
            <v>EMEA</v>
          </cell>
          <cell r="H1555" t="str">
            <v>3L1F0AA#AC3</v>
          </cell>
          <cell r="M1555" t="str">
            <v>Flextronics CZ</v>
          </cell>
        </row>
        <row r="1556">
          <cell r="D1556" t="str">
            <v>EMEA</v>
          </cell>
          <cell r="H1556" t="str">
            <v>664R5AA#AC3</v>
          </cell>
          <cell r="M1556" t="str">
            <v>Flextronics CZ</v>
          </cell>
        </row>
        <row r="1557">
          <cell r="D1557" t="str">
            <v>EMEA</v>
          </cell>
          <cell r="H1557" t="str">
            <v>805T2AA#AC3</v>
          </cell>
          <cell r="M1557" t="str">
            <v>Flextronics CZ</v>
          </cell>
        </row>
        <row r="1558">
          <cell r="D1558" t="str">
            <v>EMEA</v>
          </cell>
          <cell r="H1558" t="str">
            <v>1Y4D0UT#AC3</v>
          </cell>
          <cell r="M1558" t="str">
            <v>Flextronics CZ</v>
          </cell>
        </row>
        <row r="1559">
          <cell r="D1559" t="str">
            <v>EMEA</v>
          </cell>
          <cell r="H1559" t="str">
            <v>18H24AA#AC3</v>
          </cell>
          <cell r="M1559" t="str">
            <v>Flextronics CZ</v>
          </cell>
        </row>
        <row r="1560">
          <cell r="D1560" t="str">
            <v>EMEA</v>
          </cell>
          <cell r="H1560" t="str">
            <v>3L1E7AA#AC3</v>
          </cell>
          <cell r="M1560" t="str">
            <v>Flextronics CZ</v>
          </cell>
        </row>
        <row r="1561">
          <cell r="D1561" t="str">
            <v>EMEA</v>
          </cell>
          <cell r="H1561" t="str">
            <v>3L1F0AA#AC3</v>
          </cell>
          <cell r="M1561" t="str">
            <v>Flextronics CZ</v>
          </cell>
        </row>
        <row r="1562">
          <cell r="D1562" t="str">
            <v>EMEA</v>
          </cell>
          <cell r="H1562" t="str">
            <v>3L1F0AA#AC3</v>
          </cell>
          <cell r="M1562" t="str">
            <v>Flextronics CZ</v>
          </cell>
        </row>
        <row r="1563">
          <cell r="D1563" t="str">
            <v>EMEA</v>
          </cell>
          <cell r="H1563" t="str">
            <v>1Y4D0UT#AC3</v>
          </cell>
          <cell r="M1563" t="str">
            <v>Flextronics CZ</v>
          </cell>
        </row>
        <row r="1564">
          <cell r="D1564" t="str">
            <v>EMEA</v>
          </cell>
          <cell r="H1564" t="str">
            <v>1Y4D0UT#AC3</v>
          </cell>
          <cell r="M1564" t="str">
            <v>Flextronics CZ</v>
          </cell>
        </row>
        <row r="1565">
          <cell r="D1565" t="str">
            <v>EMEA</v>
          </cell>
          <cell r="H1565" t="str">
            <v>18H24AA#AC3</v>
          </cell>
          <cell r="M1565" t="str">
            <v>Flextronics CZ</v>
          </cell>
        </row>
        <row r="1566">
          <cell r="D1566" t="str">
            <v>EMEA</v>
          </cell>
          <cell r="H1566" t="str">
            <v>18H24AA#AC3</v>
          </cell>
          <cell r="M1566" t="str">
            <v>Flextronics CZ</v>
          </cell>
        </row>
        <row r="1567">
          <cell r="D1567" t="str">
            <v>EMEA</v>
          </cell>
          <cell r="H1567" t="str">
            <v>1Y4D0UT#AC3</v>
          </cell>
          <cell r="M1567" t="str">
            <v>Flextronics CZ</v>
          </cell>
        </row>
        <row r="1568">
          <cell r="D1568" t="str">
            <v>EMEA</v>
          </cell>
          <cell r="H1568" t="str">
            <v>1Y4D0UT#AC3</v>
          </cell>
          <cell r="M1568" t="str">
            <v>Flextronics CZ</v>
          </cell>
        </row>
        <row r="1569">
          <cell r="D1569" t="str">
            <v>EMEA</v>
          </cell>
          <cell r="H1569" t="str">
            <v>9DF28AA#AC3</v>
          </cell>
          <cell r="M1569" t="str">
            <v>Flextronics CZ</v>
          </cell>
        </row>
        <row r="1570">
          <cell r="D1570" t="str">
            <v>EMEA</v>
          </cell>
          <cell r="H1570" t="str">
            <v>3L1E7AA#AC3</v>
          </cell>
          <cell r="M1570" t="str">
            <v>Flextronics CZ</v>
          </cell>
        </row>
        <row r="1571">
          <cell r="D1571" t="str">
            <v>EMEA</v>
          </cell>
          <cell r="H1571" t="str">
            <v>664R5AA#AC3</v>
          </cell>
          <cell r="M1571" t="str">
            <v>Flextronics CZ</v>
          </cell>
        </row>
        <row r="1572">
          <cell r="D1572" t="str">
            <v>EMEA</v>
          </cell>
          <cell r="H1572" t="str">
            <v>240J7AA#AC3</v>
          </cell>
          <cell r="M1572" t="str">
            <v>Flextronics CZ</v>
          </cell>
        </row>
        <row r="1573">
          <cell r="D1573" t="str">
            <v>EMEA</v>
          </cell>
          <cell r="H1573" t="str">
            <v>2V9E6AA#AC3</v>
          </cell>
          <cell r="M1573" t="str">
            <v>Flextronics CZ</v>
          </cell>
        </row>
        <row r="1574">
          <cell r="D1574" t="str">
            <v>EMEA</v>
          </cell>
          <cell r="H1574" t="str">
            <v>1Y4D0UT#AC3</v>
          </cell>
          <cell r="M1574" t="str">
            <v>Flextronics CZ</v>
          </cell>
        </row>
        <row r="1575">
          <cell r="D1575" t="str">
            <v>EMEA</v>
          </cell>
          <cell r="H1575" t="str">
            <v>18H24AA#AC3</v>
          </cell>
          <cell r="M1575" t="str">
            <v>Flextronics CZ</v>
          </cell>
        </row>
        <row r="1576">
          <cell r="D1576" t="str">
            <v>EMEA</v>
          </cell>
          <cell r="H1576" t="str">
            <v>18H24AA#AC3</v>
          </cell>
          <cell r="M1576" t="str">
            <v>Flextronics CZ</v>
          </cell>
        </row>
        <row r="1577">
          <cell r="D1577" t="str">
            <v>EMEA</v>
          </cell>
          <cell r="H1577" t="str">
            <v>1Y4D0UT#AC3</v>
          </cell>
          <cell r="M1577" t="str">
            <v>Flextronics CZ</v>
          </cell>
        </row>
        <row r="1578">
          <cell r="D1578" t="str">
            <v>EMEA</v>
          </cell>
          <cell r="H1578" t="str">
            <v>3L1F0AA#AC3</v>
          </cell>
          <cell r="M1578" t="str">
            <v>Flextronics CZ</v>
          </cell>
        </row>
        <row r="1579">
          <cell r="D1579" t="str">
            <v>EMEA</v>
          </cell>
          <cell r="H1579" t="str">
            <v>18H24AA#AC3</v>
          </cell>
          <cell r="M1579" t="str">
            <v>Flextronics CZ</v>
          </cell>
        </row>
        <row r="1580">
          <cell r="D1580" t="str">
            <v>EMEA</v>
          </cell>
          <cell r="H1580" t="str">
            <v>18H24AA#AC3</v>
          </cell>
          <cell r="M1580" t="str">
            <v>Flextronics CZ</v>
          </cell>
        </row>
        <row r="1581">
          <cell r="D1581" t="str">
            <v>EMEA</v>
          </cell>
          <cell r="H1581" t="str">
            <v>9DF28AA#AC3</v>
          </cell>
          <cell r="M1581" t="str">
            <v>Flextronics CZ</v>
          </cell>
        </row>
        <row r="1582">
          <cell r="D1582" t="str">
            <v>EMEA</v>
          </cell>
          <cell r="H1582" t="str">
            <v>3L1F0AA#AC3</v>
          </cell>
          <cell r="M1582" t="str">
            <v>Flextronics CZ</v>
          </cell>
        </row>
        <row r="1583">
          <cell r="D1583" t="str">
            <v>EMEA</v>
          </cell>
          <cell r="H1583" t="str">
            <v>240J7AA#AC3</v>
          </cell>
          <cell r="M1583" t="str">
            <v>Flextronics CZ</v>
          </cell>
        </row>
        <row r="1584">
          <cell r="D1584" t="str">
            <v>EMEA</v>
          </cell>
          <cell r="H1584" t="str">
            <v>805T2AA#AC3</v>
          </cell>
          <cell r="M1584" t="str">
            <v>Flextronics CZ</v>
          </cell>
        </row>
        <row r="1585">
          <cell r="D1585" t="str">
            <v>EMEA</v>
          </cell>
          <cell r="H1585" t="str">
            <v>18H24AA#AC3</v>
          </cell>
          <cell r="M1585" t="str">
            <v>Flextronics CZ</v>
          </cell>
        </row>
        <row r="1586">
          <cell r="D1586" t="str">
            <v>EMEA</v>
          </cell>
          <cell r="H1586" t="str">
            <v>9T5B1AA#AC3</v>
          </cell>
          <cell r="M1586" t="str">
            <v>Flextronics CZ</v>
          </cell>
        </row>
        <row r="1587">
          <cell r="D1587" t="str">
            <v>EMEA</v>
          </cell>
          <cell r="H1587" t="str">
            <v>1Y4D0UT#AC3</v>
          </cell>
          <cell r="M1587" t="str">
            <v>Flextronics CZ</v>
          </cell>
        </row>
        <row r="1588">
          <cell r="D1588" t="str">
            <v>EMEA</v>
          </cell>
          <cell r="H1588" t="str">
            <v>3L1F0AA#AC3</v>
          </cell>
          <cell r="M1588" t="str">
            <v>Flextronics CZ</v>
          </cell>
        </row>
        <row r="1589">
          <cell r="D1589" t="str">
            <v>EMEA</v>
          </cell>
          <cell r="H1589" t="str">
            <v>2V9E6AA#AC3</v>
          </cell>
          <cell r="M1589" t="str">
            <v>Flextronics CZ</v>
          </cell>
        </row>
        <row r="1590">
          <cell r="D1590" t="str">
            <v>EMEA</v>
          </cell>
          <cell r="H1590" t="str">
            <v>3L1F0AA#AC3</v>
          </cell>
          <cell r="M1590" t="str">
            <v>Flextronics CZ</v>
          </cell>
        </row>
        <row r="1591">
          <cell r="D1591" t="str">
            <v>EMEA</v>
          </cell>
          <cell r="H1591" t="str">
            <v>805T2AA#AC3</v>
          </cell>
          <cell r="M1591" t="str">
            <v>Flextronics CZ</v>
          </cell>
        </row>
        <row r="1592">
          <cell r="D1592" t="str">
            <v>EMEA</v>
          </cell>
          <cell r="H1592" t="str">
            <v>9T5B2AA#AC3</v>
          </cell>
          <cell r="M1592" t="str">
            <v>Flextronics CZ</v>
          </cell>
        </row>
        <row r="1593">
          <cell r="D1593" t="str">
            <v>EMEA</v>
          </cell>
          <cell r="H1593" t="str">
            <v>664R5AA#AC3</v>
          </cell>
          <cell r="M1593" t="str">
            <v>Flextronics CZ</v>
          </cell>
        </row>
        <row r="1594">
          <cell r="D1594" t="str">
            <v>EMEA</v>
          </cell>
          <cell r="H1594" t="str">
            <v>240J7AA#AC3</v>
          </cell>
          <cell r="M1594" t="str">
            <v>Flextronics CZ</v>
          </cell>
        </row>
        <row r="1595">
          <cell r="D1595" t="str">
            <v>EMEA</v>
          </cell>
          <cell r="H1595" t="str">
            <v>2V9E6AA#AC3</v>
          </cell>
          <cell r="M1595" t="str">
            <v>Flextronics CZ</v>
          </cell>
        </row>
        <row r="1596">
          <cell r="D1596" t="str">
            <v>EMEA</v>
          </cell>
          <cell r="H1596" t="str">
            <v>3L1E7AA#AC3</v>
          </cell>
          <cell r="M1596" t="str">
            <v>Flextronics CZ</v>
          </cell>
        </row>
        <row r="1597">
          <cell r="D1597" t="str">
            <v>EMEA</v>
          </cell>
          <cell r="H1597" t="str">
            <v>1Y4D0UT#AC3</v>
          </cell>
          <cell r="M1597" t="str">
            <v>Flextronics CZ</v>
          </cell>
        </row>
        <row r="1598">
          <cell r="D1598" t="str">
            <v>EMEA</v>
          </cell>
          <cell r="H1598" t="str">
            <v>9T5A9AA#AC3</v>
          </cell>
          <cell r="M1598" t="str">
            <v>Flextronics CZ</v>
          </cell>
        </row>
        <row r="1599">
          <cell r="D1599" t="str">
            <v>EMEA</v>
          </cell>
          <cell r="H1599" t="str">
            <v>18H24AA#AC3</v>
          </cell>
          <cell r="M1599" t="str">
            <v>Flextronics CZ</v>
          </cell>
        </row>
        <row r="1600">
          <cell r="D1600" t="str">
            <v>EMEA</v>
          </cell>
          <cell r="H1600" t="str">
            <v>18H24AA#AC3</v>
          </cell>
          <cell r="M1600" t="str">
            <v>Flextronics CZ</v>
          </cell>
        </row>
        <row r="1601">
          <cell r="D1601" t="str">
            <v>EMEA</v>
          </cell>
          <cell r="H1601" t="str">
            <v>3L1E7AA#AC3</v>
          </cell>
          <cell r="M1601" t="str">
            <v>Flextronics CZ</v>
          </cell>
        </row>
        <row r="1602">
          <cell r="D1602" t="str">
            <v>EMEA</v>
          </cell>
          <cell r="H1602" t="str">
            <v>3L1F0AA#AC3</v>
          </cell>
          <cell r="M1602" t="str">
            <v>Flextronics CZ</v>
          </cell>
        </row>
        <row r="1603">
          <cell r="D1603" t="str">
            <v>EMEA</v>
          </cell>
          <cell r="H1603" t="str">
            <v>664R5AA#AC3</v>
          </cell>
          <cell r="M1603" t="str">
            <v>Flextronics CZ</v>
          </cell>
        </row>
        <row r="1604">
          <cell r="D1604" t="str">
            <v>EMEA</v>
          </cell>
          <cell r="H1604" t="str">
            <v>805T2AA#AC3</v>
          </cell>
          <cell r="M1604" t="str">
            <v>Flextronics CZ</v>
          </cell>
        </row>
        <row r="1605">
          <cell r="D1605" t="str">
            <v>EMEA</v>
          </cell>
          <cell r="H1605" t="str">
            <v>1Y4D0UT#AC3</v>
          </cell>
          <cell r="M1605" t="str">
            <v>Flextronics CZ</v>
          </cell>
        </row>
        <row r="1606">
          <cell r="D1606" t="str">
            <v>EMEA</v>
          </cell>
          <cell r="H1606" t="str">
            <v>1Y4D0UT#AC3</v>
          </cell>
          <cell r="M1606" t="str">
            <v>Flextronics CZ</v>
          </cell>
        </row>
        <row r="1607">
          <cell r="D1607" t="str">
            <v>EMEA</v>
          </cell>
          <cell r="H1607" t="str">
            <v>9T5A9AA#AC3</v>
          </cell>
          <cell r="M1607" t="str">
            <v>Flextronics CZ</v>
          </cell>
        </row>
        <row r="1608">
          <cell r="D1608" t="str">
            <v>EMEA</v>
          </cell>
          <cell r="H1608" t="str">
            <v>9T5B2AA#AC3</v>
          </cell>
          <cell r="M1608" t="str">
            <v>Flextronics CZ</v>
          </cell>
        </row>
        <row r="1609">
          <cell r="D1609" t="str">
            <v>EMEA</v>
          </cell>
          <cell r="H1609" t="str">
            <v>9T5B0UT#AC3</v>
          </cell>
          <cell r="M1609" t="str">
            <v>Flextronics CZ</v>
          </cell>
        </row>
        <row r="1610">
          <cell r="D1610" t="str">
            <v>EMEA</v>
          </cell>
          <cell r="H1610" t="str">
            <v>1Y4D0UT#AC3</v>
          </cell>
          <cell r="M1610" t="str">
            <v>Flextronics CZ</v>
          </cell>
        </row>
        <row r="1611">
          <cell r="D1611" t="str">
            <v>EMEA</v>
          </cell>
          <cell r="H1611" t="str">
            <v>9T5B1AA#AC3</v>
          </cell>
          <cell r="M1611" t="str">
            <v>Flextronics CZ</v>
          </cell>
        </row>
        <row r="1612">
          <cell r="D1612" t="str">
            <v>EMEA</v>
          </cell>
          <cell r="H1612" t="str">
            <v>9T5B0UT#AC3</v>
          </cell>
          <cell r="M1612" t="str">
            <v>Flextronics CZ</v>
          </cell>
        </row>
        <row r="1613">
          <cell r="D1613" t="str">
            <v>EMEA</v>
          </cell>
          <cell r="H1613" t="str">
            <v>9T5B2AA#AC3</v>
          </cell>
          <cell r="M1613" t="str">
            <v>Flextronics CZ</v>
          </cell>
        </row>
        <row r="1614">
          <cell r="D1614" t="str">
            <v>EMEA</v>
          </cell>
          <cell r="H1614" t="str">
            <v>18H24AA#AC3</v>
          </cell>
          <cell r="M1614" t="str">
            <v>Flextronics CZ</v>
          </cell>
        </row>
        <row r="1615">
          <cell r="D1615" t="str">
            <v>EMEA</v>
          </cell>
          <cell r="H1615" t="str">
            <v>1Y4D0UT#AC3</v>
          </cell>
          <cell r="M1615" t="str">
            <v>Flextronics CZ</v>
          </cell>
        </row>
        <row r="1616">
          <cell r="D1616" t="str">
            <v>EMEA</v>
          </cell>
          <cell r="H1616" t="str">
            <v>1Y4D0UT#AC3</v>
          </cell>
          <cell r="M1616" t="str">
            <v>Flextronics CZ</v>
          </cell>
        </row>
        <row r="1617">
          <cell r="D1617" t="str">
            <v>EMEA</v>
          </cell>
          <cell r="H1617" t="str">
            <v>9DF28AA#AC3</v>
          </cell>
          <cell r="M1617" t="str">
            <v>Flextronics CZ</v>
          </cell>
        </row>
        <row r="1618">
          <cell r="D1618" t="str">
            <v>EMEA</v>
          </cell>
          <cell r="H1618" t="str">
            <v>3L1E7AA#AC3</v>
          </cell>
          <cell r="M1618" t="str">
            <v>Flextronics CZ</v>
          </cell>
        </row>
        <row r="1619">
          <cell r="D1619" t="str">
            <v>EMEA</v>
          </cell>
          <cell r="H1619" t="str">
            <v>3L1F0AA#AC3</v>
          </cell>
          <cell r="M1619" t="str">
            <v>Flextronics CZ</v>
          </cell>
        </row>
        <row r="1620">
          <cell r="D1620" t="str">
            <v>EMEA</v>
          </cell>
          <cell r="H1620" t="str">
            <v>664R5AA#AC3</v>
          </cell>
          <cell r="M1620" t="str">
            <v>Flextronics CZ</v>
          </cell>
        </row>
        <row r="1621">
          <cell r="D1621" t="str">
            <v>EMEA</v>
          </cell>
          <cell r="H1621" t="str">
            <v>9T5B0UT#AC3</v>
          </cell>
          <cell r="M1621" t="str">
            <v>Flextronics CZ</v>
          </cell>
        </row>
        <row r="1622">
          <cell r="D1622" t="str">
            <v>EMEA</v>
          </cell>
          <cell r="H1622" t="str">
            <v>9T5B0UT#AC3</v>
          </cell>
          <cell r="M1622" t="str">
            <v>Flextronics CZ</v>
          </cell>
        </row>
        <row r="1623">
          <cell r="D1623" t="str">
            <v>EMEA</v>
          </cell>
          <cell r="H1623" t="str">
            <v>18H24AA#AC3</v>
          </cell>
          <cell r="M1623" t="str">
            <v>Flextronics CZ</v>
          </cell>
        </row>
        <row r="1624">
          <cell r="D1624" t="str">
            <v>EMEA</v>
          </cell>
          <cell r="H1624" t="str">
            <v>18H24AA#AC3</v>
          </cell>
          <cell r="M1624" t="str">
            <v>Flextronics CZ</v>
          </cell>
        </row>
        <row r="1625">
          <cell r="D1625" t="str">
            <v>EMEA</v>
          </cell>
          <cell r="H1625" t="str">
            <v>9DF28AA#AC3</v>
          </cell>
          <cell r="M1625" t="str">
            <v>Flextronics CZ</v>
          </cell>
        </row>
        <row r="1626">
          <cell r="D1626" t="str">
            <v>EMEA</v>
          </cell>
          <cell r="H1626" t="str">
            <v>3L1E7AA#AC3</v>
          </cell>
          <cell r="M1626" t="str">
            <v>Flextronics CZ</v>
          </cell>
        </row>
        <row r="1627">
          <cell r="D1627" t="str">
            <v>EMEA</v>
          </cell>
          <cell r="H1627" t="str">
            <v>3L1F0AA#AC3</v>
          </cell>
          <cell r="M1627" t="str">
            <v>Flextronics CZ</v>
          </cell>
        </row>
        <row r="1628">
          <cell r="D1628" t="str">
            <v>EMEA</v>
          </cell>
          <cell r="H1628" t="str">
            <v>240J7AA#AC3</v>
          </cell>
          <cell r="M1628" t="str">
            <v>Flextronics CZ</v>
          </cell>
        </row>
        <row r="1629">
          <cell r="D1629" t="str">
            <v>EMEA</v>
          </cell>
          <cell r="H1629" t="str">
            <v>1Y4D0UT#AC3</v>
          </cell>
          <cell r="M1629" t="str">
            <v>Flextronics CZ</v>
          </cell>
        </row>
        <row r="1630">
          <cell r="D1630" t="str">
            <v>EMEA</v>
          </cell>
          <cell r="H1630" t="str">
            <v>1Y4D0UT#AC3</v>
          </cell>
          <cell r="M1630" t="str">
            <v>Flextronics CZ</v>
          </cell>
        </row>
        <row r="1631">
          <cell r="D1631" t="str">
            <v>EMEA</v>
          </cell>
          <cell r="H1631" t="str">
            <v>9T5A9AA#AC3</v>
          </cell>
          <cell r="M1631" t="str">
            <v>Flextronics CZ</v>
          </cell>
        </row>
        <row r="1632">
          <cell r="D1632" t="str">
            <v>EMEA</v>
          </cell>
          <cell r="H1632" t="str">
            <v>9T5B1AA#AC3</v>
          </cell>
          <cell r="M1632" t="str">
            <v>Flextronics CZ</v>
          </cell>
        </row>
        <row r="1633">
          <cell r="D1633" t="str">
            <v>EMEA</v>
          </cell>
          <cell r="H1633" t="str">
            <v>18H24AA#AC3</v>
          </cell>
          <cell r="M1633" t="str">
            <v>Flextronics CZ</v>
          </cell>
        </row>
        <row r="1634">
          <cell r="D1634" t="str">
            <v>EMEA</v>
          </cell>
          <cell r="H1634" t="str">
            <v>18H24AA#AC3</v>
          </cell>
          <cell r="M1634" t="str">
            <v>Flextronics CZ</v>
          </cell>
        </row>
        <row r="1635">
          <cell r="D1635" t="str">
            <v>EMEA</v>
          </cell>
          <cell r="H1635" t="str">
            <v>18H24AA#AC3</v>
          </cell>
          <cell r="M1635" t="str">
            <v>Flextronics CZ</v>
          </cell>
        </row>
        <row r="1636">
          <cell r="D1636" t="str">
            <v>EMEA</v>
          </cell>
          <cell r="H1636" t="str">
            <v>3L1E7AA#AC3</v>
          </cell>
          <cell r="M1636" t="str">
            <v>Flextronics CZ</v>
          </cell>
        </row>
        <row r="1637">
          <cell r="D1637" t="str">
            <v>EMEA</v>
          </cell>
          <cell r="H1637" t="str">
            <v>3L1F0AA#AC3</v>
          </cell>
          <cell r="M1637" t="str">
            <v>Flextronics CZ</v>
          </cell>
        </row>
        <row r="1638">
          <cell r="D1638" t="str">
            <v>EMEA</v>
          </cell>
          <cell r="H1638" t="str">
            <v>664R5AA#AC3</v>
          </cell>
          <cell r="M1638" t="str">
            <v>Flextronics CZ</v>
          </cell>
        </row>
        <row r="1639">
          <cell r="D1639" t="str">
            <v>EMEA</v>
          </cell>
          <cell r="H1639" t="str">
            <v>240J7AA#AC3</v>
          </cell>
          <cell r="M1639" t="str">
            <v>Flextronics CZ</v>
          </cell>
        </row>
        <row r="1640">
          <cell r="D1640" t="str">
            <v>EMEA</v>
          </cell>
          <cell r="H1640" t="str">
            <v>2V9E6AA#AC3</v>
          </cell>
          <cell r="M1640" t="str">
            <v>Flextronics CZ</v>
          </cell>
        </row>
        <row r="1641">
          <cell r="D1641" t="str">
            <v>EMEA</v>
          </cell>
          <cell r="H1641" t="str">
            <v>1Y4D0UT#AC3</v>
          </cell>
          <cell r="M1641" t="str">
            <v>Flextronics CZ</v>
          </cell>
        </row>
        <row r="1642">
          <cell r="D1642" t="str">
            <v>EMEA</v>
          </cell>
          <cell r="H1642" t="str">
            <v>1Y4D0UT#AC3</v>
          </cell>
          <cell r="M1642" t="str">
            <v>Flextronics CZ</v>
          </cell>
        </row>
        <row r="1643">
          <cell r="D1643" t="str">
            <v>EMEA</v>
          </cell>
          <cell r="H1643" t="str">
            <v>18H24AA#AC3</v>
          </cell>
          <cell r="M1643" t="str">
            <v>Flextronics CZ</v>
          </cell>
        </row>
        <row r="1644">
          <cell r="D1644" t="str">
            <v>EMEA</v>
          </cell>
          <cell r="H1644" t="str">
            <v>9DF28AA#AC3</v>
          </cell>
          <cell r="M1644" t="str">
            <v>Flextronics CZ</v>
          </cell>
        </row>
        <row r="1645">
          <cell r="D1645" t="str">
            <v>EMEA</v>
          </cell>
          <cell r="H1645" t="str">
            <v>240J7AA#AC3</v>
          </cell>
          <cell r="M1645" t="str">
            <v>Flextronics CZ</v>
          </cell>
        </row>
        <row r="1646">
          <cell r="D1646" t="str">
            <v>EMEA</v>
          </cell>
          <cell r="H1646" t="str">
            <v>2V9E6AA#AC3</v>
          </cell>
          <cell r="M1646" t="str">
            <v>Flextronics CZ</v>
          </cell>
        </row>
        <row r="1647">
          <cell r="D1647" t="str">
            <v>EMEA</v>
          </cell>
          <cell r="H1647" t="str">
            <v>18H24AA#AC3</v>
          </cell>
          <cell r="M1647" t="str">
            <v>Flextronics CZ</v>
          </cell>
        </row>
        <row r="1648">
          <cell r="D1648" t="str">
            <v>EMEA</v>
          </cell>
          <cell r="H1648" t="str">
            <v>18H24AA#AC3</v>
          </cell>
          <cell r="M1648" t="str">
            <v>Flextronics CZ</v>
          </cell>
        </row>
        <row r="1649">
          <cell r="D1649" t="str">
            <v>EMEA</v>
          </cell>
          <cell r="H1649" t="str">
            <v>18H24AA#AC3</v>
          </cell>
          <cell r="M1649" t="str">
            <v>Flextronics CZ</v>
          </cell>
        </row>
        <row r="1650">
          <cell r="D1650" t="str">
            <v>EMEA</v>
          </cell>
          <cell r="H1650" t="str">
            <v>664R5AA#AC3</v>
          </cell>
          <cell r="M1650" t="str">
            <v>Flextronics CZ</v>
          </cell>
        </row>
        <row r="1651">
          <cell r="D1651" t="str">
            <v>EMEA</v>
          </cell>
          <cell r="H1651" t="str">
            <v>2V9E6AA#AC3</v>
          </cell>
          <cell r="M1651" t="str">
            <v>Flextronics CZ</v>
          </cell>
        </row>
        <row r="1652">
          <cell r="D1652" t="str">
            <v>EMEA</v>
          </cell>
          <cell r="H1652" t="str">
            <v>18H24AA#AC3</v>
          </cell>
          <cell r="M1652" t="str">
            <v>Flextronics CZ</v>
          </cell>
        </row>
        <row r="1653">
          <cell r="D1653" t="str">
            <v>EMEA</v>
          </cell>
          <cell r="H1653" t="str">
            <v>18H24AA#AC3</v>
          </cell>
          <cell r="M1653" t="str">
            <v>Flextronics CZ</v>
          </cell>
        </row>
        <row r="1654">
          <cell r="D1654" t="str">
            <v>EMEA</v>
          </cell>
          <cell r="H1654" t="str">
            <v>3L1E7AA#AC3</v>
          </cell>
          <cell r="M1654" t="str">
            <v>Flextronics CZ</v>
          </cell>
        </row>
        <row r="1655">
          <cell r="D1655" t="str">
            <v>EMEA</v>
          </cell>
          <cell r="H1655" t="str">
            <v>3L1F0AA#AC3</v>
          </cell>
          <cell r="M1655" t="str">
            <v>Flextronics CZ</v>
          </cell>
        </row>
        <row r="1656">
          <cell r="D1656" t="str">
            <v>EMEA</v>
          </cell>
          <cell r="H1656" t="str">
            <v>664R5AA#AC3</v>
          </cell>
          <cell r="M1656" t="str">
            <v>Flextronics CZ</v>
          </cell>
        </row>
        <row r="1657">
          <cell r="D1657" t="str">
            <v>EMEA</v>
          </cell>
          <cell r="H1657" t="str">
            <v>240J7AA#AC3</v>
          </cell>
          <cell r="M1657" t="str">
            <v>Flextronics CZ</v>
          </cell>
        </row>
        <row r="1658">
          <cell r="D1658" t="str">
            <v>EMEA</v>
          </cell>
          <cell r="H1658" t="str">
            <v>2V9E6AA#AC3</v>
          </cell>
          <cell r="M1658" t="str">
            <v>Flextronics CZ</v>
          </cell>
        </row>
        <row r="1659">
          <cell r="D1659" t="str">
            <v>EMEA</v>
          </cell>
          <cell r="H1659" t="str">
            <v>805T2AA#AC3</v>
          </cell>
          <cell r="M1659" t="str">
            <v>Flextronics CZ</v>
          </cell>
        </row>
        <row r="1660">
          <cell r="D1660" t="str">
            <v>EMEA</v>
          </cell>
          <cell r="H1660" t="str">
            <v>9DF28AA#AC3</v>
          </cell>
          <cell r="M1660" t="str">
            <v>Flextronics CZ</v>
          </cell>
        </row>
        <row r="1661">
          <cell r="D1661" t="str">
            <v>EMEA</v>
          </cell>
          <cell r="H1661" t="str">
            <v>9T5B2AA#AC3</v>
          </cell>
          <cell r="M1661" t="str">
            <v>Flextronics CZ</v>
          </cell>
        </row>
        <row r="1662">
          <cell r="D1662" t="str">
            <v>EMEA</v>
          </cell>
          <cell r="H1662" t="str">
            <v>9T5B0UT#AC3</v>
          </cell>
          <cell r="M1662" t="str">
            <v>Flextronics CZ</v>
          </cell>
        </row>
        <row r="1663">
          <cell r="D1663" t="str">
            <v>EMEA</v>
          </cell>
          <cell r="H1663" t="str">
            <v>18H24AA#AC3</v>
          </cell>
          <cell r="M1663" t="str">
            <v>Flextronics CZ</v>
          </cell>
        </row>
        <row r="1664">
          <cell r="D1664" t="str">
            <v>EMEA</v>
          </cell>
          <cell r="H1664" t="str">
            <v>18H24AA#AC3</v>
          </cell>
          <cell r="M1664" t="str">
            <v>Flextronics CZ</v>
          </cell>
        </row>
        <row r="1665">
          <cell r="D1665" t="str">
            <v>EMEA</v>
          </cell>
          <cell r="H1665" t="str">
            <v>240J7AA#AC3</v>
          </cell>
          <cell r="M1665" t="str">
            <v>Flextronics CZ</v>
          </cell>
        </row>
        <row r="1666">
          <cell r="D1666" t="str">
            <v>EMEA</v>
          </cell>
          <cell r="H1666" t="str">
            <v>2V9E6AA#AC3</v>
          </cell>
          <cell r="M1666" t="str">
            <v>Flextronics CZ</v>
          </cell>
        </row>
        <row r="1667">
          <cell r="D1667" t="str">
            <v>EMEA</v>
          </cell>
          <cell r="H1667" t="str">
            <v>18H24AA#AC3</v>
          </cell>
          <cell r="M1667" t="str">
            <v>Flextronics CZ</v>
          </cell>
        </row>
        <row r="1668">
          <cell r="D1668" t="str">
            <v>EMEA</v>
          </cell>
          <cell r="H1668" t="str">
            <v>3L1E7AA#AC3</v>
          </cell>
          <cell r="M1668" t="str">
            <v>Flextronics CZ</v>
          </cell>
        </row>
        <row r="1669">
          <cell r="D1669" t="str">
            <v>EMEA</v>
          </cell>
          <cell r="H1669" t="str">
            <v>3L1F0AA#AC3</v>
          </cell>
          <cell r="M1669" t="str">
            <v>Flextronics CZ</v>
          </cell>
        </row>
        <row r="1670">
          <cell r="D1670" t="str">
            <v>EMEA</v>
          </cell>
          <cell r="H1670" t="str">
            <v>240J7AA#AC3</v>
          </cell>
          <cell r="M1670" t="str">
            <v>Flextronics CZ</v>
          </cell>
        </row>
        <row r="1671">
          <cell r="D1671" t="str">
            <v>EMEA</v>
          </cell>
          <cell r="H1671" t="str">
            <v>2V9E6AA#AC3</v>
          </cell>
          <cell r="M1671" t="str">
            <v>Flextronics CZ</v>
          </cell>
        </row>
        <row r="1672">
          <cell r="D1672" t="str">
            <v>EMEA</v>
          </cell>
          <cell r="H1672" t="str">
            <v>9T5B2AA#AC3</v>
          </cell>
          <cell r="M1672" t="str">
            <v>Flextronics CZ</v>
          </cell>
        </row>
        <row r="1673">
          <cell r="D1673" t="str">
            <v>EMEA</v>
          </cell>
          <cell r="H1673" t="str">
            <v>9T5B0UT#AC3</v>
          </cell>
          <cell r="M1673" t="str">
            <v>Flextronics CZ</v>
          </cell>
        </row>
        <row r="1674">
          <cell r="D1674" t="str">
            <v>EMEA</v>
          </cell>
          <cell r="H1674" t="str">
            <v>18H24AA#AC3</v>
          </cell>
          <cell r="M1674" t="str">
            <v>Flextronics CZ</v>
          </cell>
        </row>
        <row r="1675">
          <cell r="D1675" t="str">
            <v>EMEA</v>
          </cell>
          <cell r="H1675" t="str">
            <v>3L1E7AA#AC3</v>
          </cell>
          <cell r="M1675" t="str">
            <v>Flextronics CZ</v>
          </cell>
        </row>
        <row r="1676">
          <cell r="D1676" t="str">
            <v>EMEA</v>
          </cell>
          <cell r="H1676" t="str">
            <v>3L1F0AA#AC3</v>
          </cell>
          <cell r="M1676" t="str">
            <v>Flextronics CZ</v>
          </cell>
        </row>
        <row r="1677">
          <cell r="D1677" t="str">
            <v>EMEA</v>
          </cell>
          <cell r="H1677" t="str">
            <v>240J7AA#AC3</v>
          </cell>
          <cell r="M1677" t="str">
            <v>Flextronics CZ</v>
          </cell>
        </row>
        <row r="1678">
          <cell r="D1678" t="str">
            <v>EMEA</v>
          </cell>
          <cell r="H1678" t="str">
            <v>1Y4D0UT#AC3</v>
          </cell>
          <cell r="M1678" t="str">
            <v>Flextronics CZ</v>
          </cell>
        </row>
        <row r="1679">
          <cell r="D1679" t="str">
            <v>EMEA</v>
          </cell>
          <cell r="H1679" t="str">
            <v>3L1E7AA#AC3</v>
          </cell>
          <cell r="M1679" t="str">
            <v>Flextronics CZ</v>
          </cell>
        </row>
        <row r="1680">
          <cell r="D1680" t="str">
            <v>EMEA</v>
          </cell>
          <cell r="H1680" t="str">
            <v>3L1F0AA#AC3</v>
          </cell>
          <cell r="M1680" t="str">
            <v>Flextronics CZ</v>
          </cell>
        </row>
        <row r="1681">
          <cell r="D1681" t="str">
            <v>EMEA</v>
          </cell>
          <cell r="H1681" t="str">
            <v>1Y4D0UT#AC3</v>
          </cell>
          <cell r="M1681" t="str">
            <v>Flextronics CZ</v>
          </cell>
        </row>
        <row r="1682">
          <cell r="D1682" t="str">
            <v>EMEA</v>
          </cell>
          <cell r="H1682" t="str">
            <v>1Y4D0UT#AC3</v>
          </cell>
          <cell r="M1682" t="str">
            <v>Flextronics CZ</v>
          </cell>
        </row>
        <row r="1683">
          <cell r="D1683" t="str">
            <v>EMEA</v>
          </cell>
          <cell r="H1683" t="str">
            <v>1Y4D0UT#AC3</v>
          </cell>
          <cell r="M1683" t="str">
            <v>Flextronics CZ</v>
          </cell>
        </row>
        <row r="1684">
          <cell r="D1684" t="str">
            <v>EMEA</v>
          </cell>
          <cell r="H1684" t="str">
            <v>664R5AA#AC3</v>
          </cell>
          <cell r="M1684" t="str">
            <v>Flextronics CZ</v>
          </cell>
        </row>
        <row r="1685">
          <cell r="D1685" t="str">
            <v>EMEA</v>
          </cell>
          <cell r="H1685" t="str">
            <v>240J7AA#AC3</v>
          </cell>
          <cell r="M1685" t="str">
            <v>Flextronics CZ</v>
          </cell>
        </row>
        <row r="1686">
          <cell r="D1686" t="str">
            <v>EMEA</v>
          </cell>
          <cell r="H1686" t="str">
            <v>1Y4D0UT#AC3</v>
          </cell>
          <cell r="M1686" t="str">
            <v>Flextronics CZ</v>
          </cell>
        </row>
        <row r="1687">
          <cell r="D1687" t="str">
            <v>EMEA</v>
          </cell>
          <cell r="H1687" t="str">
            <v>9T5A9AA#AC3</v>
          </cell>
          <cell r="M1687" t="str">
            <v>Flextronics CZ</v>
          </cell>
        </row>
        <row r="1688">
          <cell r="D1688" t="str">
            <v>EMEA</v>
          </cell>
          <cell r="H1688" t="str">
            <v>9T5B0UT#AC3</v>
          </cell>
          <cell r="M1688" t="str">
            <v>Flextronics CZ</v>
          </cell>
        </row>
        <row r="1689">
          <cell r="D1689" t="str">
            <v>DIB</v>
          </cell>
          <cell r="H1689" t="str">
            <v>M89938-001</v>
          </cell>
          <cell r="M1689" t="str">
            <v>FOX CQ</v>
          </cell>
        </row>
        <row r="1690">
          <cell r="D1690" t="str">
            <v>DIB</v>
          </cell>
          <cell r="H1690" t="str">
            <v>M49894-001</v>
          </cell>
          <cell r="M1690" t="str">
            <v>FOX CQ</v>
          </cell>
        </row>
        <row r="1691">
          <cell r="D1691" t="str">
            <v>DIB</v>
          </cell>
          <cell r="H1691" t="str">
            <v>M89938-001</v>
          </cell>
          <cell r="M1691" t="str">
            <v>FOX CQ</v>
          </cell>
        </row>
        <row r="1692">
          <cell r="D1692" t="str">
            <v>DIB</v>
          </cell>
          <cell r="H1692" t="str">
            <v>M49894-001</v>
          </cell>
          <cell r="M1692" t="str">
            <v>FOX CQ</v>
          </cell>
        </row>
        <row r="1693">
          <cell r="D1693" t="str">
            <v>DIB</v>
          </cell>
          <cell r="H1693" t="str">
            <v>M49894-001</v>
          </cell>
          <cell r="M1693" t="str">
            <v>FOX CQ</v>
          </cell>
        </row>
        <row r="1694">
          <cell r="D1694" t="str">
            <v>DIB</v>
          </cell>
          <cell r="H1694" t="str">
            <v>M49894-001</v>
          </cell>
          <cell r="M1694" t="str">
            <v>FOX CQ</v>
          </cell>
        </row>
        <row r="1695">
          <cell r="D1695" t="str">
            <v>DIB</v>
          </cell>
          <cell r="H1695" t="str">
            <v>M89938-001</v>
          </cell>
          <cell r="M1695" t="str">
            <v>FOX CQ</v>
          </cell>
        </row>
        <row r="1696">
          <cell r="D1696" t="str">
            <v>DIB</v>
          </cell>
          <cell r="H1696" t="str">
            <v>M89938-001</v>
          </cell>
          <cell r="M1696" t="str">
            <v>FOX CQ</v>
          </cell>
        </row>
        <row r="1697">
          <cell r="D1697" t="str">
            <v>DIB</v>
          </cell>
          <cell r="H1697" t="str">
            <v>M89938-001</v>
          </cell>
          <cell r="M1697" t="str">
            <v>FOX CQ</v>
          </cell>
        </row>
        <row r="1698">
          <cell r="D1698" t="str">
            <v>DIB</v>
          </cell>
          <cell r="H1698" t="str">
            <v>M89938-001</v>
          </cell>
          <cell r="M1698" t="str">
            <v>FOX CQ</v>
          </cell>
        </row>
        <row r="1699">
          <cell r="D1699" t="str">
            <v>DIB</v>
          </cell>
          <cell r="H1699" t="str">
            <v>M89938-001</v>
          </cell>
          <cell r="M1699" t="str">
            <v>FOX CQ</v>
          </cell>
        </row>
        <row r="1700">
          <cell r="D1700" t="str">
            <v>DIB</v>
          </cell>
          <cell r="H1700" t="str">
            <v>M89938-001</v>
          </cell>
          <cell r="M1700" t="str">
            <v>FOX CQ</v>
          </cell>
        </row>
        <row r="1701">
          <cell r="D1701" t="str">
            <v>DIB</v>
          </cell>
          <cell r="H1701" t="str">
            <v>M89938-001</v>
          </cell>
          <cell r="M1701" t="str">
            <v>FOX CQ</v>
          </cell>
        </row>
        <row r="1702">
          <cell r="D1702" t="str">
            <v>DIB</v>
          </cell>
          <cell r="H1702" t="str">
            <v>M49894-001</v>
          </cell>
          <cell r="M1702" t="str">
            <v>FOX CQ</v>
          </cell>
        </row>
        <row r="1703">
          <cell r="D1703" t="str">
            <v>DIB</v>
          </cell>
          <cell r="H1703" t="str">
            <v>M49894-001</v>
          </cell>
          <cell r="M1703" t="str">
            <v>FOX CQ</v>
          </cell>
        </row>
        <row r="1704">
          <cell r="D1704" t="str">
            <v>DIB</v>
          </cell>
          <cell r="H1704" t="str">
            <v>M89938-001</v>
          </cell>
          <cell r="M1704" t="str">
            <v>FOX CQ</v>
          </cell>
        </row>
        <row r="1705">
          <cell r="D1705" t="str">
            <v>DIB</v>
          </cell>
          <cell r="H1705" t="str">
            <v>M89938-001</v>
          </cell>
          <cell r="M1705" t="str">
            <v>FOX CQ</v>
          </cell>
        </row>
        <row r="1706">
          <cell r="D1706" t="str">
            <v>DIB</v>
          </cell>
          <cell r="H1706" t="str">
            <v>M49894-001</v>
          </cell>
          <cell r="M1706" t="str">
            <v>FOX CQ</v>
          </cell>
        </row>
        <row r="1707">
          <cell r="D1707" t="str">
            <v>DIB</v>
          </cell>
          <cell r="H1707" t="str">
            <v>M89938-001</v>
          </cell>
          <cell r="M1707" t="str">
            <v>FOX CQ</v>
          </cell>
        </row>
        <row r="1708">
          <cell r="D1708" t="str">
            <v>DIB</v>
          </cell>
          <cell r="H1708" t="str">
            <v>M89938-001</v>
          </cell>
          <cell r="M1708" t="str">
            <v>FOX CQ</v>
          </cell>
        </row>
        <row r="1709">
          <cell r="D1709" t="str">
            <v>DIB</v>
          </cell>
          <cell r="H1709" t="str">
            <v>M49894-001</v>
          </cell>
          <cell r="M1709" t="str">
            <v>FOX CQ</v>
          </cell>
        </row>
        <row r="1710">
          <cell r="D1710" t="str">
            <v>DIB</v>
          </cell>
          <cell r="H1710" t="str">
            <v>M89938-001</v>
          </cell>
          <cell r="M1710" t="str">
            <v>FOX CQ</v>
          </cell>
        </row>
        <row r="1711">
          <cell r="D1711" t="str">
            <v>DIB</v>
          </cell>
          <cell r="H1711" t="str">
            <v>M89938-001</v>
          </cell>
          <cell r="M1711" t="str">
            <v>FOX CQ</v>
          </cell>
        </row>
        <row r="1712">
          <cell r="D1712" t="str">
            <v>DIB</v>
          </cell>
          <cell r="H1712" t="str">
            <v>M89938-001</v>
          </cell>
          <cell r="M1712" t="str">
            <v>FOX CQ</v>
          </cell>
        </row>
        <row r="1713">
          <cell r="D1713" t="str">
            <v>DIB</v>
          </cell>
          <cell r="H1713" t="str">
            <v>M89938-001</v>
          </cell>
          <cell r="M1713" t="str">
            <v>FOX CQ</v>
          </cell>
        </row>
        <row r="1714">
          <cell r="D1714" t="str">
            <v>DIB</v>
          </cell>
          <cell r="H1714" t="str">
            <v>M89938-001</v>
          </cell>
          <cell r="M1714" t="str">
            <v>FOX CQ</v>
          </cell>
        </row>
        <row r="1715">
          <cell r="D1715" t="str">
            <v>DIB</v>
          </cell>
          <cell r="H1715" t="str">
            <v>M89938-001</v>
          </cell>
          <cell r="M1715" t="str">
            <v>FOX CQ</v>
          </cell>
        </row>
        <row r="1716">
          <cell r="D1716" t="str">
            <v>DIB</v>
          </cell>
          <cell r="H1716" t="str">
            <v>M89938-001</v>
          </cell>
          <cell r="M1716" t="str">
            <v>FOX CQ</v>
          </cell>
        </row>
        <row r="1717">
          <cell r="D1717" t="str">
            <v>DIB</v>
          </cell>
          <cell r="H1717" t="str">
            <v>M49894-001</v>
          </cell>
          <cell r="M1717" t="str">
            <v>FOX CQ</v>
          </cell>
        </row>
        <row r="1718">
          <cell r="D1718" t="str">
            <v>DIB</v>
          </cell>
          <cell r="H1718" t="str">
            <v>M89938-001</v>
          </cell>
          <cell r="M1718" t="str">
            <v>FOX CQ</v>
          </cell>
        </row>
        <row r="1719">
          <cell r="D1719" t="str">
            <v>DIB</v>
          </cell>
          <cell r="H1719" t="str">
            <v>M89938-001</v>
          </cell>
          <cell r="M1719" t="str">
            <v>FOX CQ</v>
          </cell>
        </row>
        <row r="1720">
          <cell r="D1720" t="str">
            <v>DIB</v>
          </cell>
          <cell r="H1720" t="str">
            <v>M89938-001</v>
          </cell>
          <cell r="M1720" t="str">
            <v>FOX CQ</v>
          </cell>
        </row>
        <row r="1721">
          <cell r="D1721" t="str">
            <v>DIB</v>
          </cell>
          <cell r="H1721" t="str">
            <v>M89938-001</v>
          </cell>
          <cell r="M1721" t="str">
            <v>FOX CQ</v>
          </cell>
        </row>
        <row r="1722">
          <cell r="D1722" t="str">
            <v>DIB</v>
          </cell>
          <cell r="H1722" t="str">
            <v>M89938-001</v>
          </cell>
          <cell r="M1722" t="str">
            <v>FOX CQ</v>
          </cell>
        </row>
        <row r="1723">
          <cell r="D1723" t="str">
            <v>EMEA</v>
          </cell>
          <cell r="H1723" t="str">
            <v>6VY95AA#ABB</v>
          </cell>
          <cell r="M1723" t="str">
            <v>Foxconn CZ</v>
          </cell>
        </row>
        <row r="1724">
          <cell r="D1724" t="str">
            <v>EMEA</v>
          </cell>
          <cell r="H1724" t="str">
            <v>53X26AA#ABB</v>
          </cell>
          <cell r="M1724" t="str">
            <v>Foxconn CZ</v>
          </cell>
        </row>
        <row r="1725">
          <cell r="D1725" t="str">
            <v>EMEA</v>
          </cell>
          <cell r="H1725" t="str">
            <v>428H5AA#ABB</v>
          </cell>
          <cell r="M1725" t="str">
            <v>Foxconn CZ</v>
          </cell>
        </row>
        <row r="1726">
          <cell r="D1726" t="str">
            <v>EMEA</v>
          </cell>
          <cell r="H1726" t="str">
            <v>43N04AA#ABB</v>
          </cell>
          <cell r="M1726" t="str">
            <v>Foxconn CZ</v>
          </cell>
        </row>
        <row r="1727">
          <cell r="D1727" t="str">
            <v>EMEA</v>
          </cell>
          <cell r="H1727" t="str">
            <v>6E6F0AA#ABB</v>
          </cell>
          <cell r="M1727" t="str">
            <v>Foxconn CZ</v>
          </cell>
        </row>
        <row r="1728">
          <cell r="D1728" t="str">
            <v>EMEA</v>
          </cell>
          <cell r="H1728" t="str">
            <v>X6W31AA#ABB</v>
          </cell>
          <cell r="M1728" t="str">
            <v>Foxconn CZ</v>
          </cell>
        </row>
        <row r="1729">
          <cell r="D1729" t="str">
            <v>EMEA</v>
          </cell>
          <cell r="H1729" t="str">
            <v>6VY96AA#ABB</v>
          </cell>
          <cell r="M1729" t="str">
            <v>Foxconn CZ</v>
          </cell>
        </row>
        <row r="1730">
          <cell r="D1730" t="str">
            <v>EMEA</v>
          </cell>
          <cell r="H1730" t="str">
            <v>3FV66AA#ABB</v>
          </cell>
          <cell r="M1730" t="str">
            <v>Foxconn CZ</v>
          </cell>
        </row>
        <row r="1731">
          <cell r="D1731" t="str">
            <v>EMEA</v>
          </cell>
          <cell r="H1731" t="str">
            <v>3V0G9AA#ABB</v>
          </cell>
          <cell r="M1731" t="str">
            <v>Foxconn CZ</v>
          </cell>
        </row>
        <row r="1732">
          <cell r="D1732" t="str">
            <v>EMEA</v>
          </cell>
          <cell r="H1732" t="str">
            <v>4E407AA#AC3</v>
          </cell>
          <cell r="M1732" t="str">
            <v>Foxconn CZ</v>
          </cell>
        </row>
        <row r="1733">
          <cell r="D1733" t="str">
            <v>EMEA</v>
          </cell>
          <cell r="H1733" t="str">
            <v>X6W31AA#ABB</v>
          </cell>
          <cell r="M1733" t="str">
            <v>Foxconn CZ</v>
          </cell>
        </row>
        <row r="1734">
          <cell r="D1734" t="str">
            <v>EMEA</v>
          </cell>
          <cell r="H1734" t="str">
            <v>1D0K2AA#AC3</v>
          </cell>
          <cell r="M1734" t="str">
            <v>Foxconn CZ</v>
          </cell>
        </row>
        <row r="1735">
          <cell r="D1735" t="str">
            <v>EMEA</v>
          </cell>
          <cell r="H1735" t="str">
            <v>240J6AA#ABB</v>
          </cell>
          <cell r="M1735" t="str">
            <v>Foxconn CZ</v>
          </cell>
        </row>
        <row r="1736">
          <cell r="D1736" t="str">
            <v>EMEA</v>
          </cell>
          <cell r="H1736" t="str">
            <v>2HU84AA#ABB</v>
          </cell>
          <cell r="M1736" t="str">
            <v>Foxconn CZ</v>
          </cell>
        </row>
        <row r="1737">
          <cell r="D1737" t="str">
            <v>EMEA</v>
          </cell>
          <cell r="H1737" t="str">
            <v>3V0G9AA#ABB</v>
          </cell>
          <cell r="M1737" t="str">
            <v>Foxconn CZ</v>
          </cell>
        </row>
        <row r="1738">
          <cell r="D1738" t="str">
            <v>EMEA</v>
          </cell>
          <cell r="H1738" t="str">
            <v>6E6F0AA#ABB</v>
          </cell>
          <cell r="M1738" t="str">
            <v>Foxconn CZ</v>
          </cell>
        </row>
        <row r="1739">
          <cell r="D1739" t="str">
            <v>EMEA</v>
          </cell>
          <cell r="H1739" t="str">
            <v>793F9AA#ABB</v>
          </cell>
          <cell r="M1739" t="str">
            <v>Foxconn CZ</v>
          </cell>
        </row>
        <row r="1740">
          <cell r="D1740" t="str">
            <v>EMEA</v>
          </cell>
          <cell r="H1740" t="str">
            <v>V0L79AA#ABB</v>
          </cell>
          <cell r="M1740" t="str">
            <v>Foxconn CZ</v>
          </cell>
        </row>
        <row r="1741">
          <cell r="D1741" t="str">
            <v>EMEA</v>
          </cell>
          <cell r="H1741" t="str">
            <v>V0L80AA#ABB</v>
          </cell>
          <cell r="M1741" t="str">
            <v>Foxconn CZ</v>
          </cell>
        </row>
        <row r="1742">
          <cell r="D1742" t="str">
            <v>EMEA</v>
          </cell>
          <cell r="H1742" t="str">
            <v>X7Q43AA#ABB</v>
          </cell>
          <cell r="M1742" t="str">
            <v>Foxconn CZ</v>
          </cell>
        </row>
        <row r="1743">
          <cell r="D1743" t="str">
            <v>EMEA</v>
          </cell>
          <cell r="H1743" t="str">
            <v>171D8AA#ABB</v>
          </cell>
          <cell r="M1743" t="str">
            <v>Foxconn CZ</v>
          </cell>
        </row>
        <row r="1744">
          <cell r="D1744" t="str">
            <v>EMEA</v>
          </cell>
          <cell r="H1744" t="str">
            <v>43N05AA#ABB</v>
          </cell>
          <cell r="M1744" t="str">
            <v>Foxconn CZ</v>
          </cell>
        </row>
        <row r="1745">
          <cell r="D1745" t="str">
            <v>EMEA</v>
          </cell>
          <cell r="H1745" t="str">
            <v>6VY95AA#ABB</v>
          </cell>
          <cell r="M1745" t="str">
            <v>Foxconn CZ</v>
          </cell>
        </row>
        <row r="1746">
          <cell r="D1746" t="str">
            <v>EMEA</v>
          </cell>
          <cell r="H1746" t="str">
            <v>428K7AA</v>
          </cell>
          <cell r="M1746" t="str">
            <v>Foxconn CZ</v>
          </cell>
        </row>
        <row r="1747">
          <cell r="D1747" t="str">
            <v>EMEA</v>
          </cell>
          <cell r="H1747" t="str">
            <v>428K7AA</v>
          </cell>
          <cell r="M1747" t="str">
            <v>Foxconn CZ</v>
          </cell>
        </row>
        <row r="1748">
          <cell r="D1748" t="str">
            <v>EMEA</v>
          </cell>
          <cell r="H1748" t="str">
            <v>6E6F2AA#ABB</v>
          </cell>
          <cell r="M1748" t="str">
            <v>Foxconn CZ</v>
          </cell>
        </row>
        <row r="1749">
          <cell r="D1749" t="str">
            <v>EMEA</v>
          </cell>
          <cell r="H1749" t="str">
            <v>53X26AA#ABB</v>
          </cell>
          <cell r="M1749" t="str">
            <v>Foxconn CZ</v>
          </cell>
        </row>
        <row r="1750">
          <cell r="D1750" t="str">
            <v>EMEA</v>
          </cell>
          <cell r="H1750" t="str">
            <v>240J6AA#ABB</v>
          </cell>
          <cell r="M1750" t="str">
            <v>Foxconn CZ</v>
          </cell>
        </row>
        <row r="1751">
          <cell r="D1751" t="str">
            <v>EMEA</v>
          </cell>
          <cell r="H1751" t="str">
            <v>2HU84AA#ABB</v>
          </cell>
          <cell r="M1751" t="str">
            <v>Foxconn CZ</v>
          </cell>
        </row>
        <row r="1752">
          <cell r="D1752" t="str">
            <v>EMEA</v>
          </cell>
          <cell r="H1752" t="str">
            <v>428H5AA#ABB</v>
          </cell>
          <cell r="M1752" t="str">
            <v>Foxconn CZ</v>
          </cell>
        </row>
        <row r="1753">
          <cell r="D1753" t="str">
            <v>EMEA</v>
          </cell>
          <cell r="H1753" t="str">
            <v>428K7AA</v>
          </cell>
          <cell r="M1753" t="str">
            <v>Foxconn CZ</v>
          </cell>
        </row>
        <row r="1754">
          <cell r="D1754" t="str">
            <v>EMEA</v>
          </cell>
          <cell r="H1754" t="str">
            <v>6VY95AA#ABB</v>
          </cell>
          <cell r="M1754" t="str">
            <v>Foxconn CZ</v>
          </cell>
        </row>
        <row r="1755">
          <cell r="D1755" t="str">
            <v>EMEA</v>
          </cell>
          <cell r="H1755" t="str">
            <v>X7Q44AA#ABB</v>
          </cell>
          <cell r="M1755" t="str">
            <v>Foxconn CZ</v>
          </cell>
        </row>
        <row r="1756">
          <cell r="D1756" t="str">
            <v>EMEA</v>
          </cell>
          <cell r="H1756" t="str">
            <v>1D0K2AA#AC3</v>
          </cell>
          <cell r="M1756" t="str">
            <v>Foxconn CZ</v>
          </cell>
        </row>
        <row r="1757">
          <cell r="D1757" t="str">
            <v>EMEA</v>
          </cell>
          <cell r="H1757" t="str">
            <v>1D0K8AA#AC3</v>
          </cell>
          <cell r="M1757" t="str">
            <v>Foxconn CZ</v>
          </cell>
        </row>
        <row r="1758">
          <cell r="D1758" t="str">
            <v>EMEA</v>
          </cell>
          <cell r="H1758" t="str">
            <v>240J6AA#ABB</v>
          </cell>
          <cell r="M1758" t="str">
            <v>Foxconn CZ</v>
          </cell>
        </row>
        <row r="1759">
          <cell r="D1759" t="str">
            <v>EMEA</v>
          </cell>
          <cell r="H1759" t="str">
            <v>3V0G9AA#ABB</v>
          </cell>
          <cell r="M1759" t="str">
            <v>Foxconn CZ</v>
          </cell>
        </row>
        <row r="1760">
          <cell r="D1760" t="str">
            <v>EMEA</v>
          </cell>
          <cell r="H1760" t="str">
            <v>428H6AA#ABB</v>
          </cell>
          <cell r="M1760" t="str">
            <v>Foxconn CZ</v>
          </cell>
        </row>
        <row r="1761">
          <cell r="D1761" t="str">
            <v>EMEA</v>
          </cell>
          <cell r="H1761" t="str">
            <v>43N04AA#ABB</v>
          </cell>
          <cell r="M1761" t="str">
            <v>Foxconn CZ</v>
          </cell>
        </row>
        <row r="1762">
          <cell r="D1762" t="str">
            <v>EMEA</v>
          </cell>
          <cell r="H1762" t="str">
            <v>4E407AA#AC3</v>
          </cell>
          <cell r="M1762" t="str">
            <v>Foxconn CZ</v>
          </cell>
        </row>
        <row r="1763">
          <cell r="D1763" t="str">
            <v>EMEA</v>
          </cell>
          <cell r="H1763" t="str">
            <v>6E6F2AA#ABB</v>
          </cell>
          <cell r="M1763" t="str">
            <v>Foxconn CZ</v>
          </cell>
        </row>
        <row r="1764">
          <cell r="D1764" t="str">
            <v>EMEA</v>
          </cell>
          <cell r="H1764" t="str">
            <v>6VY95AA#ABB</v>
          </cell>
          <cell r="M1764" t="str">
            <v>Foxconn CZ</v>
          </cell>
        </row>
        <row r="1765">
          <cell r="D1765" t="str">
            <v>EMEA</v>
          </cell>
          <cell r="H1765" t="str">
            <v>7KX10AA#ABB</v>
          </cell>
          <cell r="M1765" t="str">
            <v>Foxconn CZ</v>
          </cell>
        </row>
        <row r="1766">
          <cell r="D1766" t="str">
            <v>EMEA</v>
          </cell>
          <cell r="H1766" t="str">
            <v>7KX12AA#ABB</v>
          </cell>
          <cell r="M1766" t="str">
            <v>Foxconn CZ</v>
          </cell>
        </row>
        <row r="1767">
          <cell r="D1767" t="str">
            <v>EMEA</v>
          </cell>
          <cell r="H1767" t="str">
            <v>X6W31AA#ABB</v>
          </cell>
          <cell r="M1767" t="str">
            <v>Foxconn CZ</v>
          </cell>
        </row>
        <row r="1768">
          <cell r="D1768" t="str">
            <v>EMEA</v>
          </cell>
          <cell r="H1768" t="str">
            <v>X7Q44AA#ABB</v>
          </cell>
          <cell r="M1768" t="str">
            <v>Foxconn CZ</v>
          </cell>
        </row>
        <row r="1769">
          <cell r="D1769" t="str">
            <v>EMEA</v>
          </cell>
          <cell r="H1769" t="str">
            <v>8R3U1AA#ABB</v>
          </cell>
          <cell r="M1769" t="str">
            <v>Foxconn CZ</v>
          </cell>
        </row>
        <row r="1770">
          <cell r="D1770" t="str">
            <v>EMEA</v>
          </cell>
          <cell r="H1770" t="str">
            <v>428K7AA</v>
          </cell>
          <cell r="M1770" t="str">
            <v>Foxconn CZ</v>
          </cell>
        </row>
        <row r="1771">
          <cell r="D1771" t="str">
            <v>EMEA</v>
          </cell>
          <cell r="H1771" t="str">
            <v>4QM14AA#ABB</v>
          </cell>
          <cell r="M1771" t="str">
            <v>Foxconn CZ</v>
          </cell>
        </row>
        <row r="1772">
          <cell r="D1772" t="str">
            <v>EMEA</v>
          </cell>
          <cell r="H1772" t="str">
            <v>4X491AA#AC3</v>
          </cell>
          <cell r="M1772" t="str">
            <v>Foxconn CZ</v>
          </cell>
        </row>
        <row r="1773">
          <cell r="D1773" t="str">
            <v>EMEA</v>
          </cell>
          <cell r="H1773" t="str">
            <v>V0L80AA#ABB</v>
          </cell>
          <cell r="M1773" t="str">
            <v>Foxconn CZ</v>
          </cell>
        </row>
        <row r="1774">
          <cell r="D1774" t="str">
            <v>EMEA</v>
          </cell>
          <cell r="H1774" t="str">
            <v>3V0G9AA#ABB</v>
          </cell>
          <cell r="M1774" t="str">
            <v>Foxconn CZ</v>
          </cell>
        </row>
        <row r="1775">
          <cell r="D1775" t="str">
            <v>EMEA</v>
          </cell>
          <cell r="H1775" t="str">
            <v>43N04AA#ABB</v>
          </cell>
          <cell r="M1775" t="str">
            <v>Foxconn CZ</v>
          </cell>
        </row>
        <row r="1776">
          <cell r="D1776" t="str">
            <v>EMEA</v>
          </cell>
          <cell r="H1776" t="str">
            <v>X6W31AA#ABB</v>
          </cell>
          <cell r="M1776" t="str">
            <v>Foxconn CZ</v>
          </cell>
        </row>
        <row r="1777">
          <cell r="D1777" t="str">
            <v>EMEA</v>
          </cell>
          <cell r="H1777" t="str">
            <v>X7Q44AA#ABB</v>
          </cell>
          <cell r="M1777" t="str">
            <v>Foxconn CZ</v>
          </cell>
        </row>
        <row r="1778">
          <cell r="D1778" t="str">
            <v>EMEA</v>
          </cell>
          <cell r="H1778" t="str">
            <v>X7Q44AA#ABB</v>
          </cell>
          <cell r="M1778" t="str">
            <v>Foxconn CZ</v>
          </cell>
        </row>
        <row r="1779">
          <cell r="D1779" t="str">
            <v>EMEA</v>
          </cell>
          <cell r="H1779" t="str">
            <v>53X26AA#ABB</v>
          </cell>
          <cell r="M1779" t="str">
            <v>Foxconn CZ</v>
          </cell>
        </row>
        <row r="1780">
          <cell r="D1780" t="str">
            <v>EMEA</v>
          </cell>
          <cell r="H1780" t="str">
            <v>6VY95AA#ABB</v>
          </cell>
          <cell r="M1780" t="str">
            <v>Foxconn CZ</v>
          </cell>
        </row>
        <row r="1781">
          <cell r="D1781" t="str">
            <v>EMEA</v>
          </cell>
          <cell r="H1781" t="str">
            <v>1D0K9AA#ABB</v>
          </cell>
          <cell r="M1781" t="str">
            <v>Foxconn CZ</v>
          </cell>
        </row>
        <row r="1782">
          <cell r="D1782" t="str">
            <v>EMEA</v>
          </cell>
          <cell r="H1782" t="str">
            <v>2S9L1AA#ABB</v>
          </cell>
          <cell r="M1782" t="str">
            <v>Foxconn CZ</v>
          </cell>
        </row>
        <row r="1783">
          <cell r="D1783" t="str">
            <v>EMEA</v>
          </cell>
          <cell r="H1783" t="str">
            <v>4E407AA#AC3</v>
          </cell>
          <cell r="M1783" t="str">
            <v>Foxconn CZ</v>
          </cell>
        </row>
        <row r="1784">
          <cell r="D1784" t="str">
            <v>EMEA</v>
          </cell>
          <cell r="H1784" t="str">
            <v>6VY95AA#ABB</v>
          </cell>
          <cell r="M1784" t="str">
            <v>Foxconn CZ</v>
          </cell>
        </row>
        <row r="1785">
          <cell r="D1785" t="str">
            <v>EMEA</v>
          </cell>
          <cell r="H1785" t="str">
            <v>2S9L1AA#ABB</v>
          </cell>
          <cell r="M1785" t="str">
            <v>Foxconn CZ</v>
          </cell>
        </row>
        <row r="1786">
          <cell r="D1786" t="str">
            <v>EMEA</v>
          </cell>
          <cell r="H1786" t="str">
            <v>53X26AA#ABB</v>
          </cell>
          <cell r="M1786" t="str">
            <v>Foxconn CZ</v>
          </cell>
        </row>
        <row r="1787">
          <cell r="D1787" t="str">
            <v>EMEA</v>
          </cell>
          <cell r="H1787" t="str">
            <v>53X26AA#ABB</v>
          </cell>
          <cell r="M1787" t="str">
            <v>Foxconn CZ</v>
          </cell>
        </row>
        <row r="1788">
          <cell r="D1788" t="str">
            <v>EMEA</v>
          </cell>
          <cell r="H1788" t="str">
            <v>2S9L1AA#ABB</v>
          </cell>
          <cell r="M1788" t="str">
            <v>Foxconn CZ</v>
          </cell>
        </row>
        <row r="1789">
          <cell r="D1789" t="str">
            <v>EMEA</v>
          </cell>
          <cell r="H1789" t="str">
            <v>3V0G9AA#ABB</v>
          </cell>
          <cell r="M1789" t="str">
            <v>Foxconn CZ</v>
          </cell>
        </row>
        <row r="1790">
          <cell r="D1790" t="str">
            <v>EMEA</v>
          </cell>
          <cell r="H1790" t="str">
            <v>43N04AA#ABB</v>
          </cell>
          <cell r="M1790" t="str">
            <v>Foxconn CZ</v>
          </cell>
        </row>
        <row r="1791">
          <cell r="D1791" t="str">
            <v>EMEA</v>
          </cell>
          <cell r="H1791" t="str">
            <v>43N05AA#ABB</v>
          </cell>
          <cell r="M1791" t="str">
            <v>Foxconn CZ</v>
          </cell>
        </row>
        <row r="1792">
          <cell r="D1792" t="str">
            <v>EMEA</v>
          </cell>
          <cell r="H1792" t="str">
            <v>4E407AA#AC3</v>
          </cell>
          <cell r="M1792" t="str">
            <v>Foxconn CZ</v>
          </cell>
        </row>
        <row r="1793">
          <cell r="D1793" t="str">
            <v>EMEA</v>
          </cell>
          <cell r="H1793" t="str">
            <v>4QM14AA#ABB</v>
          </cell>
          <cell r="M1793" t="str">
            <v>Foxconn CZ</v>
          </cell>
        </row>
        <row r="1794">
          <cell r="D1794" t="str">
            <v>EMEA</v>
          </cell>
          <cell r="H1794" t="str">
            <v>53X26AA#ABB</v>
          </cell>
          <cell r="M1794" t="str">
            <v>Foxconn CZ</v>
          </cell>
        </row>
        <row r="1795">
          <cell r="D1795" t="str">
            <v>EMEA</v>
          </cell>
          <cell r="H1795" t="str">
            <v>6VY96AA#ABB</v>
          </cell>
          <cell r="M1795" t="str">
            <v>Foxconn CZ</v>
          </cell>
        </row>
        <row r="1796">
          <cell r="D1796" t="str">
            <v>EMEA</v>
          </cell>
          <cell r="H1796" t="str">
            <v>793F9AA#ABB</v>
          </cell>
          <cell r="M1796" t="str">
            <v>Foxconn CZ</v>
          </cell>
        </row>
        <row r="1797">
          <cell r="D1797" t="str">
            <v>EMEA</v>
          </cell>
          <cell r="H1797" t="str">
            <v>8R3U1AA#ABB</v>
          </cell>
          <cell r="M1797" t="str">
            <v>Foxconn CZ</v>
          </cell>
        </row>
        <row r="1798">
          <cell r="D1798" t="str">
            <v>EMEA</v>
          </cell>
          <cell r="H1798" t="str">
            <v>X6W31AA#ABB</v>
          </cell>
          <cell r="M1798" t="str">
            <v>Foxconn CZ</v>
          </cell>
        </row>
        <row r="1799">
          <cell r="D1799" t="str">
            <v>EMEA</v>
          </cell>
          <cell r="H1799" t="str">
            <v>240J6AA#ABB</v>
          </cell>
          <cell r="M1799" t="str">
            <v>Foxconn CZ</v>
          </cell>
        </row>
        <row r="1800">
          <cell r="D1800" t="str">
            <v>EMEA</v>
          </cell>
          <cell r="H1800" t="str">
            <v>3FV66AA#ABB</v>
          </cell>
          <cell r="M1800" t="str">
            <v>Foxconn CZ</v>
          </cell>
        </row>
        <row r="1801">
          <cell r="D1801" t="str">
            <v>EMEA</v>
          </cell>
          <cell r="H1801" t="str">
            <v>4QM14AA#ABB</v>
          </cell>
          <cell r="M1801" t="str">
            <v>Foxconn CZ</v>
          </cell>
        </row>
        <row r="1802">
          <cell r="D1802" t="str">
            <v>EMEA</v>
          </cell>
          <cell r="H1802" t="str">
            <v>X7Q44AA#ABB</v>
          </cell>
          <cell r="M1802" t="str">
            <v>Foxconn CZ</v>
          </cell>
        </row>
        <row r="1803">
          <cell r="D1803" t="str">
            <v>EMEA</v>
          </cell>
          <cell r="H1803" t="str">
            <v>428H6AA#ABB</v>
          </cell>
          <cell r="M1803" t="str">
            <v>Foxconn CZ</v>
          </cell>
        </row>
        <row r="1804">
          <cell r="D1804" t="str">
            <v>EMEA</v>
          </cell>
          <cell r="H1804" t="str">
            <v>6VY95AA#ABB</v>
          </cell>
          <cell r="M1804" t="str">
            <v>Foxconn CZ</v>
          </cell>
        </row>
        <row r="1805">
          <cell r="D1805" t="str">
            <v>EMEA</v>
          </cell>
          <cell r="H1805" t="str">
            <v>2HU84AA#ABB</v>
          </cell>
          <cell r="M1805" t="str">
            <v>Foxconn CZ</v>
          </cell>
        </row>
        <row r="1806">
          <cell r="D1806" t="str">
            <v>EMEA</v>
          </cell>
          <cell r="H1806" t="str">
            <v>3V0G9AA#ABB</v>
          </cell>
          <cell r="M1806" t="str">
            <v>Foxconn CZ</v>
          </cell>
        </row>
        <row r="1807">
          <cell r="D1807" t="str">
            <v>EMEA</v>
          </cell>
          <cell r="H1807" t="str">
            <v>43N04AA#ABB</v>
          </cell>
          <cell r="M1807" t="str">
            <v>Foxconn CZ</v>
          </cell>
        </row>
        <row r="1808">
          <cell r="D1808" t="str">
            <v>EMEA</v>
          </cell>
          <cell r="H1808" t="str">
            <v>X6W31AA#ABB</v>
          </cell>
          <cell r="M1808" t="str">
            <v>Foxconn CZ</v>
          </cell>
        </row>
        <row r="1809">
          <cell r="D1809" t="str">
            <v>EMEA</v>
          </cell>
          <cell r="H1809" t="str">
            <v>171D8AA#ABB</v>
          </cell>
          <cell r="M1809" t="str">
            <v>Foxconn CZ</v>
          </cell>
        </row>
        <row r="1810">
          <cell r="D1810" t="str">
            <v>EMEA</v>
          </cell>
          <cell r="H1810" t="str">
            <v>1D0K2AA#AC3</v>
          </cell>
          <cell r="M1810" t="str">
            <v>Foxconn CZ</v>
          </cell>
        </row>
        <row r="1811">
          <cell r="D1811" t="str">
            <v>EMEA</v>
          </cell>
          <cell r="H1811" t="str">
            <v>1D0K8AA#AC3</v>
          </cell>
          <cell r="M1811" t="str">
            <v>Foxconn CZ</v>
          </cell>
        </row>
        <row r="1812">
          <cell r="D1812" t="str">
            <v>EMEA</v>
          </cell>
          <cell r="H1812" t="str">
            <v>2HU82AA#ABB</v>
          </cell>
          <cell r="M1812" t="str">
            <v>Foxconn CZ</v>
          </cell>
        </row>
        <row r="1813">
          <cell r="D1813" t="str">
            <v>EMEA</v>
          </cell>
          <cell r="H1813" t="str">
            <v>758A9AA#ABB</v>
          </cell>
          <cell r="M1813" t="str">
            <v>Foxconn CZ</v>
          </cell>
        </row>
        <row r="1814">
          <cell r="D1814" t="str">
            <v>EMEA</v>
          </cell>
          <cell r="H1814" t="str">
            <v>V0L79AA#ABB</v>
          </cell>
          <cell r="M1814" t="str">
            <v>Foxconn CZ</v>
          </cell>
        </row>
        <row r="1815">
          <cell r="D1815" t="str">
            <v>EMEA</v>
          </cell>
          <cell r="H1815" t="str">
            <v>V0L82AA#ABB</v>
          </cell>
          <cell r="M1815" t="str">
            <v>Foxconn CZ</v>
          </cell>
        </row>
        <row r="1816">
          <cell r="D1816" t="str">
            <v>EMEA</v>
          </cell>
          <cell r="H1816" t="str">
            <v>758A9AA#ABB</v>
          </cell>
          <cell r="M1816" t="str">
            <v>Foxconn CZ</v>
          </cell>
        </row>
        <row r="1817">
          <cell r="D1817" t="str">
            <v>EMEA</v>
          </cell>
          <cell r="H1817" t="str">
            <v>V0L79AA#ABB</v>
          </cell>
          <cell r="M1817" t="str">
            <v>Foxconn CZ</v>
          </cell>
        </row>
        <row r="1818">
          <cell r="D1818" t="str">
            <v>EMEA</v>
          </cell>
          <cell r="H1818" t="str">
            <v>V0L80AA#ABB</v>
          </cell>
          <cell r="M1818" t="str">
            <v>Foxconn CZ</v>
          </cell>
        </row>
        <row r="1819">
          <cell r="D1819" t="str">
            <v>EMEA</v>
          </cell>
          <cell r="H1819" t="str">
            <v>6VY95AA#ABB</v>
          </cell>
          <cell r="M1819" t="str">
            <v>Foxconn CZ</v>
          </cell>
        </row>
        <row r="1820">
          <cell r="D1820" t="str">
            <v>EMEA</v>
          </cell>
          <cell r="H1820" t="str">
            <v>6VY96AA#ABB</v>
          </cell>
          <cell r="M1820" t="str">
            <v>Foxconn CZ</v>
          </cell>
        </row>
        <row r="1821">
          <cell r="D1821" t="str">
            <v>EMEA</v>
          </cell>
          <cell r="H1821" t="str">
            <v>2S9L1AA#ABB</v>
          </cell>
          <cell r="M1821" t="str">
            <v>Foxconn CZ</v>
          </cell>
        </row>
        <row r="1822">
          <cell r="D1822" t="str">
            <v>EMEA</v>
          </cell>
          <cell r="H1822" t="str">
            <v>53X26AA#ABB</v>
          </cell>
          <cell r="M1822" t="str">
            <v>Foxconn CZ</v>
          </cell>
        </row>
        <row r="1823">
          <cell r="D1823" t="str">
            <v>EMEA</v>
          </cell>
          <cell r="H1823" t="str">
            <v>6E6F0AA#ABB</v>
          </cell>
          <cell r="M1823" t="str">
            <v>Foxconn CZ</v>
          </cell>
        </row>
        <row r="1824">
          <cell r="D1824" t="str">
            <v>EMEA</v>
          </cell>
          <cell r="H1824" t="str">
            <v>428K7AA</v>
          </cell>
          <cell r="M1824" t="str">
            <v>Foxconn CZ</v>
          </cell>
        </row>
        <row r="1825">
          <cell r="D1825" t="str">
            <v>EMEA</v>
          </cell>
          <cell r="H1825" t="str">
            <v>240J6AA#ABB</v>
          </cell>
          <cell r="M1825" t="str">
            <v>Foxconn CZ</v>
          </cell>
        </row>
        <row r="1826">
          <cell r="D1826" t="str">
            <v>EMEA</v>
          </cell>
          <cell r="H1826" t="str">
            <v>3FV66AA#ABB</v>
          </cell>
          <cell r="M1826" t="str">
            <v>Foxconn CZ</v>
          </cell>
        </row>
        <row r="1827">
          <cell r="D1827" t="str">
            <v>EMEA</v>
          </cell>
          <cell r="H1827" t="str">
            <v>428K6AA</v>
          </cell>
          <cell r="M1827" t="str">
            <v>Foxconn CZ</v>
          </cell>
        </row>
        <row r="1828">
          <cell r="D1828" t="str">
            <v>EMEA</v>
          </cell>
          <cell r="H1828" t="str">
            <v>7KX12AA#ABB</v>
          </cell>
          <cell r="M1828" t="str">
            <v>Foxconn CZ</v>
          </cell>
        </row>
        <row r="1829">
          <cell r="D1829" t="str">
            <v>EMEA</v>
          </cell>
          <cell r="H1829" t="str">
            <v>X6W31AA#ABB</v>
          </cell>
          <cell r="M1829" t="str">
            <v>Foxconn CZ</v>
          </cell>
        </row>
        <row r="1830">
          <cell r="D1830" t="str">
            <v>EMEA</v>
          </cell>
          <cell r="H1830" t="str">
            <v>428H5AA#ABB</v>
          </cell>
          <cell r="M1830" t="str">
            <v>Foxconn CZ</v>
          </cell>
        </row>
        <row r="1831">
          <cell r="D1831" t="str">
            <v>EMEA</v>
          </cell>
          <cell r="H1831" t="str">
            <v>7KX11AA#ABB</v>
          </cell>
          <cell r="M1831" t="str">
            <v>Foxconn CZ</v>
          </cell>
        </row>
        <row r="1832">
          <cell r="D1832" t="str">
            <v>EMEA</v>
          </cell>
          <cell r="H1832" t="str">
            <v>7KX12AA#ABB</v>
          </cell>
          <cell r="M1832" t="str">
            <v>Foxconn CZ</v>
          </cell>
        </row>
        <row r="1833">
          <cell r="D1833" t="str">
            <v>EMEA</v>
          </cell>
          <cell r="H1833" t="str">
            <v>8R3U1AA#ABB</v>
          </cell>
          <cell r="M1833" t="str">
            <v>Foxconn CZ</v>
          </cell>
        </row>
        <row r="1834">
          <cell r="D1834" t="str">
            <v>EMEA</v>
          </cell>
          <cell r="H1834" t="str">
            <v>4E407AA#AC3</v>
          </cell>
          <cell r="M1834" t="str">
            <v>Foxconn CZ</v>
          </cell>
        </row>
        <row r="1835">
          <cell r="D1835" t="str">
            <v>EMEA</v>
          </cell>
          <cell r="H1835" t="str">
            <v>X6W31AA#ABB</v>
          </cell>
          <cell r="M1835" t="str">
            <v>Foxconn CZ</v>
          </cell>
        </row>
        <row r="1836">
          <cell r="D1836" t="str">
            <v>EMEA</v>
          </cell>
          <cell r="H1836" t="str">
            <v>240J6AA#ABB</v>
          </cell>
          <cell r="M1836" t="str">
            <v>Foxconn CZ</v>
          </cell>
        </row>
        <row r="1837">
          <cell r="D1837" t="str">
            <v>EMEA</v>
          </cell>
          <cell r="H1837" t="str">
            <v>428K7AA</v>
          </cell>
          <cell r="M1837" t="str">
            <v>Foxconn CZ</v>
          </cell>
        </row>
        <row r="1838">
          <cell r="D1838" t="str">
            <v>EMEA</v>
          </cell>
          <cell r="H1838" t="str">
            <v>4QM14AA#ABB</v>
          </cell>
          <cell r="M1838" t="str">
            <v>Foxconn CZ</v>
          </cell>
        </row>
        <row r="1839">
          <cell r="D1839" t="str">
            <v>EMEA</v>
          </cell>
          <cell r="H1839" t="str">
            <v>X7Q44AA#ABB</v>
          </cell>
          <cell r="M1839" t="str">
            <v>Foxconn CZ</v>
          </cell>
        </row>
        <row r="1840">
          <cell r="D1840" t="str">
            <v>EMEA</v>
          </cell>
          <cell r="H1840" t="str">
            <v>53X26AA#ABB</v>
          </cell>
          <cell r="M1840" t="str">
            <v>Foxconn CZ</v>
          </cell>
        </row>
        <row r="1841">
          <cell r="D1841" t="str">
            <v>EMEA</v>
          </cell>
          <cell r="H1841" t="str">
            <v>6VY95AA#ABB</v>
          </cell>
          <cell r="M1841" t="str">
            <v>Foxconn CZ</v>
          </cell>
        </row>
        <row r="1842">
          <cell r="D1842" t="str">
            <v>EMEA</v>
          </cell>
          <cell r="H1842" t="str">
            <v>6VY96AA#ABB</v>
          </cell>
          <cell r="M1842" t="str">
            <v>Foxconn CZ</v>
          </cell>
        </row>
        <row r="1843">
          <cell r="D1843" t="str">
            <v>EMEA</v>
          </cell>
          <cell r="H1843" t="str">
            <v>53X26AA#ABB</v>
          </cell>
          <cell r="M1843" t="str">
            <v>Foxconn CZ</v>
          </cell>
        </row>
        <row r="1844">
          <cell r="D1844" t="str">
            <v>EMEA</v>
          </cell>
          <cell r="H1844" t="str">
            <v>6E6F2AA#ABB</v>
          </cell>
          <cell r="M1844" t="str">
            <v>Foxconn CZ</v>
          </cell>
        </row>
        <row r="1845">
          <cell r="D1845" t="str">
            <v>EMEA</v>
          </cell>
          <cell r="H1845" t="str">
            <v>6VY95AA#ABB</v>
          </cell>
          <cell r="M1845" t="str">
            <v>Foxconn CZ</v>
          </cell>
        </row>
        <row r="1846">
          <cell r="D1846" t="str">
            <v>EMEA</v>
          </cell>
          <cell r="H1846" t="str">
            <v>6VY95AA#ABB</v>
          </cell>
          <cell r="M1846" t="str">
            <v>Foxconn CZ</v>
          </cell>
        </row>
        <row r="1847">
          <cell r="D1847" t="str">
            <v>EMEA</v>
          </cell>
          <cell r="H1847" t="str">
            <v>6VY95AA#ABB</v>
          </cell>
          <cell r="M1847" t="str">
            <v>Foxconn CZ</v>
          </cell>
        </row>
        <row r="1848">
          <cell r="D1848" t="str">
            <v>EMEA</v>
          </cell>
          <cell r="H1848" t="str">
            <v>6VY96AA#ABB</v>
          </cell>
          <cell r="M1848" t="str">
            <v>Foxconn CZ</v>
          </cell>
        </row>
        <row r="1849">
          <cell r="D1849" t="str">
            <v>EMEA</v>
          </cell>
          <cell r="H1849" t="str">
            <v>6E6F0AA#ABB</v>
          </cell>
          <cell r="M1849" t="str">
            <v>Foxconn CZ</v>
          </cell>
        </row>
        <row r="1850">
          <cell r="D1850" t="str">
            <v>EMEA</v>
          </cell>
          <cell r="H1850" t="str">
            <v>3V0G9AA#ABB</v>
          </cell>
          <cell r="M1850" t="str">
            <v>Foxconn CZ</v>
          </cell>
        </row>
        <row r="1851">
          <cell r="D1851" t="str">
            <v>EMEA</v>
          </cell>
          <cell r="H1851" t="str">
            <v>428K6AA</v>
          </cell>
          <cell r="M1851" t="str">
            <v>Foxconn CZ</v>
          </cell>
        </row>
        <row r="1852">
          <cell r="D1852" t="str">
            <v>EMEA</v>
          </cell>
          <cell r="H1852" t="str">
            <v>4E407AA#AC3</v>
          </cell>
          <cell r="M1852" t="str">
            <v>Foxconn CZ</v>
          </cell>
        </row>
        <row r="1853">
          <cell r="D1853" t="str">
            <v>EMEA</v>
          </cell>
          <cell r="H1853" t="str">
            <v>4QM14AA#ABB</v>
          </cell>
          <cell r="M1853" t="str">
            <v>Foxconn CZ</v>
          </cell>
        </row>
        <row r="1854">
          <cell r="D1854" t="str">
            <v>EMEA</v>
          </cell>
          <cell r="H1854" t="str">
            <v>2HU84AA#ABB</v>
          </cell>
          <cell r="M1854" t="str">
            <v>Foxconn CZ</v>
          </cell>
        </row>
        <row r="1855">
          <cell r="D1855" t="str">
            <v>EMEA</v>
          </cell>
          <cell r="H1855" t="str">
            <v>3FV66AA#ABB</v>
          </cell>
          <cell r="M1855" t="str">
            <v>Foxconn CZ</v>
          </cell>
        </row>
        <row r="1856">
          <cell r="D1856" t="str">
            <v>EMEA</v>
          </cell>
          <cell r="H1856" t="str">
            <v>428H5AA#ABB</v>
          </cell>
          <cell r="M1856" t="str">
            <v>Foxconn CZ</v>
          </cell>
        </row>
        <row r="1857">
          <cell r="D1857" t="str">
            <v>EMEA</v>
          </cell>
          <cell r="H1857" t="str">
            <v>7KX10AA#ABB</v>
          </cell>
          <cell r="M1857" t="str">
            <v>Foxconn CZ</v>
          </cell>
        </row>
        <row r="1858">
          <cell r="D1858" t="str">
            <v>EMEA</v>
          </cell>
          <cell r="H1858" t="str">
            <v>7KX11AA#ABB</v>
          </cell>
          <cell r="M1858" t="str">
            <v>Foxconn CZ</v>
          </cell>
        </row>
        <row r="1859">
          <cell r="D1859" t="str">
            <v>EMEA</v>
          </cell>
          <cell r="H1859" t="str">
            <v>X6W31AA#ABB</v>
          </cell>
          <cell r="M1859" t="str">
            <v>Foxconn CZ</v>
          </cell>
        </row>
        <row r="1860">
          <cell r="D1860" t="str">
            <v>EMEA</v>
          </cell>
          <cell r="H1860" t="str">
            <v>6VY96AA#ABB</v>
          </cell>
          <cell r="M1860" t="str">
            <v>Foxconn CZ</v>
          </cell>
        </row>
        <row r="1861">
          <cell r="D1861" t="str">
            <v>EMEA</v>
          </cell>
          <cell r="H1861" t="str">
            <v>240J6AA#ABB</v>
          </cell>
          <cell r="M1861" t="str">
            <v>Foxconn CZ</v>
          </cell>
        </row>
        <row r="1862">
          <cell r="D1862" t="str">
            <v>EMEA</v>
          </cell>
          <cell r="H1862" t="str">
            <v>6E6F0AA#ABB</v>
          </cell>
          <cell r="M1862" t="str">
            <v>Foxconn CZ</v>
          </cell>
        </row>
        <row r="1863">
          <cell r="D1863" t="str">
            <v>EMEA</v>
          </cell>
          <cell r="H1863" t="str">
            <v>6VY95AA#ABB</v>
          </cell>
          <cell r="M1863" t="str">
            <v>Foxconn CZ</v>
          </cell>
        </row>
        <row r="1864">
          <cell r="D1864" t="str">
            <v>EMEA</v>
          </cell>
          <cell r="H1864" t="str">
            <v>1D0K2AA#AC3</v>
          </cell>
          <cell r="M1864" t="str">
            <v>Foxconn CZ</v>
          </cell>
        </row>
        <row r="1865">
          <cell r="D1865" t="str">
            <v>EMEA</v>
          </cell>
          <cell r="H1865" t="str">
            <v>1D0K9AA#ABB</v>
          </cell>
          <cell r="M1865" t="str">
            <v>Foxconn CZ</v>
          </cell>
        </row>
        <row r="1866">
          <cell r="D1866" t="str">
            <v>EMEA</v>
          </cell>
          <cell r="H1866" t="str">
            <v>240J6AA#ABB</v>
          </cell>
          <cell r="M1866" t="str">
            <v>Foxconn CZ</v>
          </cell>
        </row>
        <row r="1867">
          <cell r="D1867" t="str">
            <v>EMEA</v>
          </cell>
          <cell r="H1867" t="str">
            <v>2S9L1AA#ABB</v>
          </cell>
          <cell r="M1867" t="str">
            <v>Foxconn CZ</v>
          </cell>
        </row>
        <row r="1868">
          <cell r="D1868" t="str">
            <v>EMEA</v>
          </cell>
          <cell r="H1868" t="str">
            <v>3V0G9AA#ABB</v>
          </cell>
          <cell r="M1868" t="str">
            <v>Foxconn CZ</v>
          </cell>
        </row>
        <row r="1869">
          <cell r="D1869" t="str">
            <v>EMEA</v>
          </cell>
          <cell r="H1869" t="str">
            <v>43N05AA#ABB</v>
          </cell>
          <cell r="M1869" t="str">
            <v>Foxconn CZ</v>
          </cell>
        </row>
        <row r="1870">
          <cell r="D1870" t="str">
            <v>EMEA</v>
          </cell>
          <cell r="H1870" t="str">
            <v>4QM14AA#ABB</v>
          </cell>
          <cell r="M1870" t="str">
            <v>Foxconn CZ</v>
          </cell>
        </row>
        <row r="1871">
          <cell r="D1871" t="str">
            <v>EMEA</v>
          </cell>
          <cell r="H1871" t="str">
            <v>793F9AA#ABB</v>
          </cell>
          <cell r="M1871" t="str">
            <v>Foxconn CZ</v>
          </cell>
        </row>
        <row r="1872">
          <cell r="D1872" t="str">
            <v>EMEA</v>
          </cell>
          <cell r="H1872" t="str">
            <v>V0L79AA#ABB</v>
          </cell>
          <cell r="M1872" t="str">
            <v>Foxconn CZ</v>
          </cell>
        </row>
        <row r="1873">
          <cell r="D1873" t="str">
            <v>EMEA</v>
          </cell>
          <cell r="H1873" t="str">
            <v>6VY96AA#ABB</v>
          </cell>
          <cell r="M1873" t="str">
            <v>Foxconn CZ</v>
          </cell>
        </row>
        <row r="1874">
          <cell r="D1874" t="str">
            <v>EMEA</v>
          </cell>
          <cell r="H1874" t="str">
            <v>6V2J7AA#ABB</v>
          </cell>
          <cell r="M1874" t="str">
            <v>Foxconn CZ</v>
          </cell>
        </row>
        <row r="1875">
          <cell r="D1875" t="str">
            <v>EMEA</v>
          </cell>
          <cell r="H1875" t="str">
            <v>6VY95AA#ABB</v>
          </cell>
          <cell r="M1875" t="str">
            <v>Foxconn CZ</v>
          </cell>
        </row>
        <row r="1876">
          <cell r="D1876" t="str">
            <v>EMEA</v>
          </cell>
          <cell r="H1876" t="str">
            <v>4E407AA#AC3</v>
          </cell>
          <cell r="M1876" t="str">
            <v>Foxconn CZ</v>
          </cell>
        </row>
        <row r="1877">
          <cell r="D1877" t="str">
            <v>EMEA</v>
          </cell>
          <cell r="H1877" t="str">
            <v>2HU82AA#ABB</v>
          </cell>
          <cell r="M1877" t="str">
            <v>Foxconn CZ</v>
          </cell>
        </row>
        <row r="1878">
          <cell r="D1878" t="str">
            <v>EMEA</v>
          </cell>
          <cell r="H1878" t="str">
            <v>2S9L1AA#ABB</v>
          </cell>
          <cell r="M1878" t="str">
            <v>Foxconn CZ</v>
          </cell>
        </row>
        <row r="1879">
          <cell r="D1879" t="str">
            <v>EMEA</v>
          </cell>
          <cell r="H1879" t="str">
            <v>3FV66AA#ABB</v>
          </cell>
          <cell r="M1879" t="str">
            <v>Foxconn CZ</v>
          </cell>
        </row>
        <row r="1880">
          <cell r="D1880" t="str">
            <v>EMEA</v>
          </cell>
          <cell r="H1880" t="str">
            <v>3V0G9AA#ABB</v>
          </cell>
          <cell r="M1880" t="str">
            <v>Foxconn CZ</v>
          </cell>
        </row>
        <row r="1881">
          <cell r="D1881" t="str">
            <v>EMEA</v>
          </cell>
          <cell r="H1881" t="str">
            <v>6V2J7AA#ABB</v>
          </cell>
          <cell r="M1881" t="str">
            <v>Foxconn CZ</v>
          </cell>
        </row>
        <row r="1882">
          <cell r="D1882" t="str">
            <v>EMEA</v>
          </cell>
          <cell r="H1882" t="str">
            <v>6VY96AA#ABB</v>
          </cell>
          <cell r="M1882" t="str">
            <v>Foxconn CZ</v>
          </cell>
        </row>
        <row r="1883">
          <cell r="D1883" t="str">
            <v>EMEA</v>
          </cell>
          <cell r="H1883" t="str">
            <v>7KX11AA#ABB</v>
          </cell>
          <cell r="M1883" t="str">
            <v>Foxconn CZ</v>
          </cell>
        </row>
        <row r="1884">
          <cell r="D1884" t="str">
            <v>EMEA</v>
          </cell>
          <cell r="H1884" t="str">
            <v>7KX12AA#ABB</v>
          </cell>
          <cell r="M1884" t="str">
            <v>Foxconn CZ</v>
          </cell>
        </row>
        <row r="1885">
          <cell r="D1885" t="str">
            <v>EMEA</v>
          </cell>
          <cell r="H1885" t="str">
            <v>X6W31AA#ABB</v>
          </cell>
          <cell r="M1885" t="str">
            <v>Foxconn CZ</v>
          </cell>
        </row>
        <row r="1886">
          <cell r="D1886" t="str">
            <v>EMEA</v>
          </cell>
          <cell r="H1886" t="str">
            <v>240J6AA#ABB</v>
          </cell>
          <cell r="M1886" t="str">
            <v>Foxconn CZ</v>
          </cell>
        </row>
        <row r="1887">
          <cell r="D1887" t="str">
            <v>EMEA</v>
          </cell>
          <cell r="H1887" t="str">
            <v>2S9L1AA#ABB</v>
          </cell>
          <cell r="M1887" t="str">
            <v>Foxconn CZ</v>
          </cell>
        </row>
        <row r="1888">
          <cell r="D1888" t="str">
            <v>EMEA</v>
          </cell>
          <cell r="H1888" t="str">
            <v>3V0G9AA#ABB</v>
          </cell>
          <cell r="M1888" t="str">
            <v>Foxconn CZ</v>
          </cell>
        </row>
        <row r="1889">
          <cell r="D1889" t="str">
            <v>EMEA</v>
          </cell>
          <cell r="H1889" t="str">
            <v>43N05AA#ABB</v>
          </cell>
          <cell r="M1889" t="str">
            <v>Foxconn CZ</v>
          </cell>
        </row>
        <row r="1890">
          <cell r="D1890" t="str">
            <v>EMEA</v>
          </cell>
          <cell r="H1890" t="str">
            <v>4QM14AA#ABB</v>
          </cell>
          <cell r="M1890" t="str">
            <v>Foxconn CZ</v>
          </cell>
        </row>
        <row r="1891">
          <cell r="D1891" t="str">
            <v>EMEA</v>
          </cell>
          <cell r="H1891" t="str">
            <v>6VY96AA#ABB</v>
          </cell>
          <cell r="M1891" t="str">
            <v>Foxconn CZ</v>
          </cell>
        </row>
        <row r="1892">
          <cell r="D1892" t="str">
            <v>EMEA</v>
          </cell>
          <cell r="H1892" t="str">
            <v>758A8AA#ABB</v>
          </cell>
          <cell r="M1892" t="str">
            <v>Foxconn CZ</v>
          </cell>
        </row>
        <row r="1893">
          <cell r="D1893" t="str">
            <v>EMEA</v>
          </cell>
          <cell r="H1893" t="str">
            <v>758A9AA#ABB</v>
          </cell>
          <cell r="M1893" t="str">
            <v>Foxconn CZ</v>
          </cell>
        </row>
        <row r="1894">
          <cell r="D1894" t="str">
            <v>EMEA</v>
          </cell>
          <cell r="H1894" t="str">
            <v>793F9AA#ABB</v>
          </cell>
          <cell r="M1894" t="str">
            <v>Foxconn CZ</v>
          </cell>
        </row>
        <row r="1895">
          <cell r="D1895" t="str">
            <v>EMEA</v>
          </cell>
          <cell r="H1895" t="str">
            <v>7KX12AA#ABB</v>
          </cell>
          <cell r="M1895" t="str">
            <v>Foxconn CZ</v>
          </cell>
        </row>
        <row r="1896">
          <cell r="D1896" t="str">
            <v>EMEA</v>
          </cell>
          <cell r="H1896" t="str">
            <v>81S67AA#ABB</v>
          </cell>
          <cell r="M1896" t="str">
            <v>Foxconn CZ</v>
          </cell>
        </row>
        <row r="1897">
          <cell r="D1897" t="str">
            <v>EMEA</v>
          </cell>
          <cell r="H1897" t="str">
            <v>8R3U1AA#ABB</v>
          </cell>
          <cell r="M1897" t="str">
            <v>Foxconn CZ</v>
          </cell>
        </row>
        <row r="1898">
          <cell r="D1898" t="str">
            <v>EMEA</v>
          </cell>
          <cell r="H1898" t="str">
            <v>V0L79AA#ABB</v>
          </cell>
          <cell r="M1898" t="str">
            <v>Foxconn CZ</v>
          </cell>
        </row>
        <row r="1899">
          <cell r="D1899" t="str">
            <v>EMEA</v>
          </cell>
          <cell r="H1899" t="str">
            <v>53X26AA#ABB</v>
          </cell>
          <cell r="M1899" t="str">
            <v>Foxconn CZ</v>
          </cell>
        </row>
        <row r="1900">
          <cell r="D1900" t="str">
            <v>EMEA</v>
          </cell>
          <cell r="H1900" t="str">
            <v>6E6F0AA#ABB</v>
          </cell>
          <cell r="M1900" t="str">
            <v>Foxconn CZ</v>
          </cell>
        </row>
        <row r="1901">
          <cell r="D1901" t="str">
            <v>EMEA</v>
          </cell>
          <cell r="H1901" t="str">
            <v>6VY95AA#ABB</v>
          </cell>
          <cell r="M1901" t="str">
            <v>Foxconn CZ</v>
          </cell>
        </row>
        <row r="1902">
          <cell r="D1902" t="str">
            <v>EMEA</v>
          </cell>
          <cell r="H1902" t="str">
            <v>6VY96AA#ABB</v>
          </cell>
          <cell r="M1902" t="str">
            <v>Foxconn CZ</v>
          </cell>
        </row>
        <row r="1903">
          <cell r="D1903" t="str">
            <v>EMEA</v>
          </cell>
          <cell r="H1903" t="str">
            <v>6VY95AA#ABB</v>
          </cell>
          <cell r="M1903" t="str">
            <v>Foxconn CZ</v>
          </cell>
        </row>
        <row r="1904">
          <cell r="D1904" t="str">
            <v>EMEA</v>
          </cell>
          <cell r="H1904" t="str">
            <v>2HU84AA#ABB</v>
          </cell>
          <cell r="M1904" t="str">
            <v>Foxconn CZ</v>
          </cell>
        </row>
        <row r="1905">
          <cell r="D1905" t="str">
            <v>EMEA</v>
          </cell>
          <cell r="H1905" t="str">
            <v>428K6AA</v>
          </cell>
          <cell r="M1905" t="str">
            <v>Foxconn CZ</v>
          </cell>
        </row>
        <row r="1906">
          <cell r="D1906" t="str">
            <v>EMEA</v>
          </cell>
          <cell r="H1906" t="str">
            <v>6VY95AA#ABB</v>
          </cell>
          <cell r="M1906" t="str">
            <v>Foxconn CZ</v>
          </cell>
        </row>
        <row r="1907">
          <cell r="D1907" t="str">
            <v>EMEA</v>
          </cell>
          <cell r="H1907" t="str">
            <v>X6W31AA#ABB</v>
          </cell>
          <cell r="M1907" t="str">
            <v>Foxconn CZ</v>
          </cell>
        </row>
        <row r="1908">
          <cell r="D1908" t="str">
            <v>EMEA</v>
          </cell>
          <cell r="H1908" t="str">
            <v>240J6AA#ABB</v>
          </cell>
          <cell r="M1908" t="str">
            <v>Foxconn CZ</v>
          </cell>
        </row>
        <row r="1909">
          <cell r="D1909" t="str">
            <v>EMEA</v>
          </cell>
          <cell r="H1909" t="str">
            <v>3V0G9AA#ABB</v>
          </cell>
          <cell r="M1909" t="str">
            <v>Foxconn CZ</v>
          </cell>
        </row>
        <row r="1910">
          <cell r="D1910" t="str">
            <v>EMEA</v>
          </cell>
          <cell r="H1910" t="str">
            <v>428H6AA#ABB</v>
          </cell>
          <cell r="M1910" t="str">
            <v>Foxconn CZ</v>
          </cell>
        </row>
        <row r="1911">
          <cell r="D1911" t="str">
            <v>EMEA</v>
          </cell>
          <cell r="H1911" t="str">
            <v>6VY96AA#ABB</v>
          </cell>
          <cell r="M1911" t="str">
            <v>Foxconn CZ</v>
          </cell>
        </row>
        <row r="1912">
          <cell r="D1912" t="str">
            <v>EMEA</v>
          </cell>
          <cell r="H1912" t="str">
            <v>758A8AA#ABB</v>
          </cell>
          <cell r="M1912" t="str">
            <v>Foxconn CZ</v>
          </cell>
        </row>
        <row r="1913">
          <cell r="D1913" t="str">
            <v>EMEA</v>
          </cell>
          <cell r="H1913" t="str">
            <v>7KX12AA#ABB</v>
          </cell>
          <cell r="M1913" t="str">
            <v>Foxconn CZ</v>
          </cell>
        </row>
        <row r="1914">
          <cell r="D1914" t="str">
            <v>EMEA</v>
          </cell>
          <cell r="H1914" t="str">
            <v>8R3U1AA#ABB</v>
          </cell>
          <cell r="M1914" t="str">
            <v>Foxconn CZ</v>
          </cell>
        </row>
        <row r="1915">
          <cell r="D1915" t="str">
            <v>EMEA</v>
          </cell>
          <cell r="H1915" t="str">
            <v>V0L79AA#ABB</v>
          </cell>
          <cell r="M1915" t="str">
            <v>Foxconn CZ</v>
          </cell>
        </row>
        <row r="1916">
          <cell r="D1916" t="str">
            <v>EMEA</v>
          </cell>
          <cell r="H1916" t="str">
            <v>X6W31AA#ABB</v>
          </cell>
          <cell r="M1916" t="str">
            <v>Foxconn CZ</v>
          </cell>
        </row>
        <row r="1917">
          <cell r="D1917" t="str">
            <v>EMEA</v>
          </cell>
          <cell r="H1917" t="str">
            <v>4E407AA#AC3</v>
          </cell>
          <cell r="M1917" t="str">
            <v>Foxconn CZ</v>
          </cell>
        </row>
        <row r="1918">
          <cell r="D1918" t="str">
            <v>EMEA</v>
          </cell>
          <cell r="H1918" t="str">
            <v>7KX10AA#ABB</v>
          </cell>
          <cell r="M1918" t="str">
            <v>Foxconn CZ</v>
          </cell>
        </row>
        <row r="1919">
          <cell r="D1919" t="str">
            <v>EMEA</v>
          </cell>
          <cell r="H1919" t="str">
            <v>81S67AA#ABB</v>
          </cell>
          <cell r="M1919" t="str">
            <v>Foxconn CZ</v>
          </cell>
        </row>
        <row r="1920">
          <cell r="D1920" t="str">
            <v>EMEA</v>
          </cell>
          <cell r="H1920" t="str">
            <v>X6W31AA#ABB</v>
          </cell>
          <cell r="M1920" t="str">
            <v>Foxconn CZ</v>
          </cell>
        </row>
        <row r="1921">
          <cell r="D1921" t="str">
            <v>EMEA</v>
          </cell>
          <cell r="H1921" t="str">
            <v>X7Q43AA#ABB</v>
          </cell>
          <cell r="M1921" t="str">
            <v>Foxconn CZ</v>
          </cell>
        </row>
        <row r="1922">
          <cell r="D1922" t="str">
            <v>EMEA</v>
          </cell>
          <cell r="H1922" t="str">
            <v>3V0G9AA#ABB</v>
          </cell>
          <cell r="M1922" t="str">
            <v>Foxconn CZ</v>
          </cell>
        </row>
        <row r="1923">
          <cell r="D1923" t="str">
            <v>EMEA</v>
          </cell>
          <cell r="H1923" t="str">
            <v>V0L80AA#ABB</v>
          </cell>
          <cell r="M1923" t="str">
            <v>Foxconn CZ</v>
          </cell>
        </row>
        <row r="1924">
          <cell r="D1924" t="str">
            <v>EMEA</v>
          </cell>
          <cell r="H1924" t="str">
            <v>53X26AA#ABB</v>
          </cell>
          <cell r="M1924" t="str">
            <v>Foxconn CZ</v>
          </cell>
        </row>
        <row r="1925">
          <cell r="D1925" t="str">
            <v>EMEA</v>
          </cell>
          <cell r="H1925" t="str">
            <v>1D0K2AA#AC3</v>
          </cell>
          <cell r="M1925" t="str">
            <v>Foxconn CZ</v>
          </cell>
        </row>
        <row r="1926">
          <cell r="D1926" t="str">
            <v>EMEA</v>
          </cell>
          <cell r="H1926" t="str">
            <v>6E6F2AA#ABB</v>
          </cell>
          <cell r="M1926" t="str">
            <v>Foxconn CZ</v>
          </cell>
        </row>
        <row r="1927">
          <cell r="D1927" t="str">
            <v>EMEA</v>
          </cell>
          <cell r="H1927" t="str">
            <v>4E407AA#AC3</v>
          </cell>
          <cell r="M1927" t="str">
            <v>Foxconn CZ</v>
          </cell>
        </row>
        <row r="1928">
          <cell r="D1928" t="str">
            <v>EMEA</v>
          </cell>
          <cell r="H1928" t="str">
            <v>7KX11AA#ABB</v>
          </cell>
          <cell r="M1928" t="str">
            <v>Foxconn CZ</v>
          </cell>
        </row>
        <row r="1929">
          <cell r="D1929" t="str">
            <v>EMEA</v>
          </cell>
          <cell r="H1929" t="str">
            <v>53X26AA#ABB</v>
          </cell>
          <cell r="M1929" t="str">
            <v>Foxconn CZ</v>
          </cell>
        </row>
        <row r="1930">
          <cell r="D1930" t="str">
            <v>EMEA</v>
          </cell>
          <cell r="H1930" t="str">
            <v>2S9L1AA#ABB</v>
          </cell>
          <cell r="M1930" t="str">
            <v>Foxconn CZ</v>
          </cell>
        </row>
        <row r="1931">
          <cell r="D1931" t="str">
            <v>EMEA</v>
          </cell>
          <cell r="H1931" t="str">
            <v>758A9AA#ABB</v>
          </cell>
          <cell r="M1931" t="str">
            <v>Foxconn CZ</v>
          </cell>
        </row>
        <row r="1932">
          <cell r="D1932" t="str">
            <v>EMEA</v>
          </cell>
          <cell r="H1932" t="str">
            <v>758A8AA#ABB</v>
          </cell>
          <cell r="M1932" t="str">
            <v>Foxconn CZ</v>
          </cell>
        </row>
        <row r="1933">
          <cell r="D1933" t="str">
            <v>EMEA</v>
          </cell>
          <cell r="H1933" t="str">
            <v>758A9AA#ABB</v>
          </cell>
          <cell r="M1933" t="str">
            <v>Foxconn CZ</v>
          </cell>
        </row>
        <row r="1934">
          <cell r="D1934" t="str">
            <v>EMEA</v>
          </cell>
          <cell r="H1934" t="str">
            <v>8R3U1AA#ABB</v>
          </cell>
          <cell r="M1934" t="str">
            <v>Foxconn CZ</v>
          </cell>
        </row>
        <row r="1935">
          <cell r="D1935" t="str">
            <v>EMEA</v>
          </cell>
          <cell r="H1935" t="str">
            <v>240J6AA#ABB</v>
          </cell>
          <cell r="M1935" t="str">
            <v>Foxconn CZ</v>
          </cell>
        </row>
        <row r="1936">
          <cell r="D1936" t="str">
            <v>EMEA</v>
          </cell>
          <cell r="H1936" t="str">
            <v>2HU84AA#ABB</v>
          </cell>
          <cell r="M1936" t="str">
            <v>Foxconn CZ</v>
          </cell>
        </row>
        <row r="1937">
          <cell r="D1937" t="str">
            <v>EMEA</v>
          </cell>
          <cell r="H1937" t="str">
            <v>2S9L1AA#ABB</v>
          </cell>
          <cell r="M1937" t="str">
            <v>Foxconn CZ</v>
          </cell>
        </row>
        <row r="1938">
          <cell r="D1938" t="str">
            <v>EMEA</v>
          </cell>
          <cell r="H1938" t="str">
            <v>3FV66AA#ABB</v>
          </cell>
          <cell r="M1938" t="str">
            <v>Foxconn CZ</v>
          </cell>
        </row>
        <row r="1939">
          <cell r="D1939" t="str">
            <v>EMEA</v>
          </cell>
          <cell r="H1939" t="str">
            <v>758A9AA#ABB</v>
          </cell>
          <cell r="M1939" t="str">
            <v>Foxconn CZ</v>
          </cell>
        </row>
        <row r="1940">
          <cell r="D1940" t="str">
            <v>EMEA</v>
          </cell>
          <cell r="H1940" t="str">
            <v>7KX10AA#ABB</v>
          </cell>
          <cell r="M1940" t="str">
            <v>Foxconn CZ</v>
          </cell>
        </row>
        <row r="1941">
          <cell r="D1941" t="str">
            <v>EMEA</v>
          </cell>
          <cell r="H1941" t="str">
            <v>7KX11AA#ABB</v>
          </cell>
          <cell r="M1941" t="str">
            <v>Foxconn CZ</v>
          </cell>
        </row>
        <row r="1942">
          <cell r="D1942" t="str">
            <v>EMEA</v>
          </cell>
          <cell r="H1942" t="str">
            <v>X6W31AA#ABB</v>
          </cell>
          <cell r="M1942" t="str">
            <v>Foxconn CZ</v>
          </cell>
        </row>
        <row r="1943">
          <cell r="D1943" t="str">
            <v>EMEA</v>
          </cell>
          <cell r="H1943" t="str">
            <v>758A8AA#ABB</v>
          </cell>
          <cell r="M1943" t="str">
            <v>Foxconn CZ</v>
          </cell>
        </row>
        <row r="1944">
          <cell r="D1944" t="str">
            <v>EMEA</v>
          </cell>
          <cell r="H1944" t="str">
            <v>53X26AA#ABB</v>
          </cell>
          <cell r="M1944" t="str">
            <v>Foxconn CZ</v>
          </cell>
        </row>
        <row r="1945">
          <cell r="D1945" t="str">
            <v>EMEA</v>
          </cell>
          <cell r="H1945" t="str">
            <v>1D0K8AA#AC3</v>
          </cell>
          <cell r="M1945" t="str">
            <v>Foxconn CZ</v>
          </cell>
        </row>
        <row r="1946">
          <cell r="D1946" t="str">
            <v>EMEA</v>
          </cell>
          <cell r="H1946" t="str">
            <v>3FV66AA#ABB</v>
          </cell>
          <cell r="M1946" t="str">
            <v>Foxconn CZ</v>
          </cell>
        </row>
        <row r="1947">
          <cell r="D1947" t="str">
            <v>EMEA</v>
          </cell>
          <cell r="H1947" t="str">
            <v>3V0G9AA#ABB</v>
          </cell>
          <cell r="M1947" t="str">
            <v>Foxconn CZ</v>
          </cell>
        </row>
        <row r="1948">
          <cell r="D1948" t="str">
            <v>EMEA</v>
          </cell>
          <cell r="H1948" t="str">
            <v>43N04AA#ABB</v>
          </cell>
          <cell r="M1948" t="str">
            <v>Foxconn CZ</v>
          </cell>
        </row>
        <row r="1949">
          <cell r="D1949" t="str">
            <v>EMEA</v>
          </cell>
          <cell r="H1949" t="str">
            <v>V0L79AA#ABB</v>
          </cell>
          <cell r="M1949" t="str">
            <v>Foxconn CZ</v>
          </cell>
        </row>
        <row r="1950">
          <cell r="D1950" t="str">
            <v>EMEA</v>
          </cell>
          <cell r="H1950" t="str">
            <v>X6W31AA#ABB</v>
          </cell>
          <cell r="M1950" t="str">
            <v>Foxconn CZ</v>
          </cell>
        </row>
        <row r="1951">
          <cell r="D1951" t="str">
            <v>EMEA</v>
          </cell>
          <cell r="H1951" t="str">
            <v>X7Q44AA#ABB</v>
          </cell>
          <cell r="M1951" t="str">
            <v>Foxconn CZ</v>
          </cell>
        </row>
        <row r="1952">
          <cell r="D1952" t="str">
            <v>EMEA</v>
          </cell>
          <cell r="H1952" t="str">
            <v>53X27AA</v>
          </cell>
          <cell r="M1952" t="str">
            <v>Foxconn CZ</v>
          </cell>
        </row>
        <row r="1953">
          <cell r="D1953" t="str">
            <v>EMEA</v>
          </cell>
          <cell r="H1953" t="str">
            <v>6V2J7AA#ABB</v>
          </cell>
          <cell r="M1953" t="str">
            <v>Foxconn CZ</v>
          </cell>
        </row>
        <row r="1954">
          <cell r="D1954" t="str">
            <v>EMEA</v>
          </cell>
          <cell r="H1954" t="str">
            <v>53X26AA#ABB</v>
          </cell>
          <cell r="M1954" t="str">
            <v>Foxconn CZ</v>
          </cell>
        </row>
        <row r="1955">
          <cell r="D1955" t="str">
            <v>EMEA</v>
          </cell>
          <cell r="H1955" t="str">
            <v>1D0K2AA#AC3</v>
          </cell>
          <cell r="M1955" t="str">
            <v>Foxconn CZ</v>
          </cell>
        </row>
        <row r="1956">
          <cell r="D1956" t="str">
            <v>EMEA</v>
          </cell>
          <cell r="H1956" t="str">
            <v>3V0G9AA#ABB</v>
          </cell>
          <cell r="M1956" t="str">
            <v>Foxconn CZ</v>
          </cell>
        </row>
        <row r="1957">
          <cell r="D1957" t="str">
            <v>EMEA</v>
          </cell>
          <cell r="H1957" t="str">
            <v>171D8AA#ABB</v>
          </cell>
          <cell r="M1957" t="str">
            <v>Foxconn CZ</v>
          </cell>
        </row>
        <row r="1958">
          <cell r="D1958" t="str">
            <v>EMEA</v>
          </cell>
          <cell r="H1958" t="str">
            <v>3V0G9AA#ABB</v>
          </cell>
          <cell r="M1958" t="str">
            <v>Foxconn CZ</v>
          </cell>
        </row>
        <row r="1959">
          <cell r="D1959" t="str">
            <v>EMEA</v>
          </cell>
          <cell r="H1959" t="str">
            <v>43N05AA#ABB</v>
          </cell>
          <cell r="M1959" t="str">
            <v>Foxconn CZ</v>
          </cell>
        </row>
        <row r="1960">
          <cell r="D1960" t="str">
            <v>EMEA</v>
          </cell>
          <cell r="H1960" t="str">
            <v>758A8AA#ABB</v>
          </cell>
          <cell r="M1960" t="str">
            <v>Foxconn CZ</v>
          </cell>
        </row>
        <row r="1961">
          <cell r="D1961" t="str">
            <v>EMEA</v>
          </cell>
          <cell r="H1961" t="str">
            <v>758A9AA#ABB</v>
          </cell>
          <cell r="M1961" t="str">
            <v>Foxconn CZ</v>
          </cell>
        </row>
        <row r="1962">
          <cell r="D1962" t="str">
            <v>EMEA</v>
          </cell>
          <cell r="H1962" t="str">
            <v>V0L79AA#ABB</v>
          </cell>
          <cell r="M1962" t="str">
            <v>Foxconn CZ</v>
          </cell>
        </row>
        <row r="1963">
          <cell r="D1963" t="str">
            <v>EMEA</v>
          </cell>
          <cell r="H1963" t="str">
            <v>V0L80AA#ABB</v>
          </cell>
          <cell r="M1963" t="str">
            <v>Foxconn CZ</v>
          </cell>
        </row>
        <row r="1964">
          <cell r="D1964" t="str">
            <v>EMEA</v>
          </cell>
          <cell r="H1964" t="str">
            <v>428K6AA</v>
          </cell>
          <cell r="M1964" t="str">
            <v>Foxconn CZ</v>
          </cell>
        </row>
        <row r="1965">
          <cell r="D1965" t="str">
            <v>EMEA</v>
          </cell>
          <cell r="H1965" t="str">
            <v>53X27AA</v>
          </cell>
          <cell r="M1965" t="str">
            <v>Foxconn CZ</v>
          </cell>
        </row>
        <row r="1966">
          <cell r="D1966" t="str">
            <v>EMEA</v>
          </cell>
          <cell r="H1966" t="str">
            <v>53X27AA</v>
          </cell>
          <cell r="M1966" t="str">
            <v>Foxconn CZ</v>
          </cell>
        </row>
        <row r="1967">
          <cell r="D1967" t="str">
            <v>EMEA</v>
          </cell>
          <cell r="H1967" t="str">
            <v>1D0K9AA#ABB</v>
          </cell>
          <cell r="M1967" t="str">
            <v>Foxconn CZ</v>
          </cell>
        </row>
        <row r="1968">
          <cell r="D1968" t="str">
            <v>EMEA</v>
          </cell>
          <cell r="H1968" t="str">
            <v>428K6AA</v>
          </cell>
          <cell r="M1968" t="str">
            <v>Foxconn CZ</v>
          </cell>
        </row>
        <row r="1969">
          <cell r="D1969" t="str">
            <v>EMEA</v>
          </cell>
          <cell r="H1969" t="str">
            <v>7KX10AA#ABB</v>
          </cell>
          <cell r="M1969" t="str">
            <v>Foxconn CZ</v>
          </cell>
        </row>
        <row r="1970">
          <cell r="D1970" t="str">
            <v>EMEA</v>
          </cell>
          <cell r="H1970" t="str">
            <v>V0L81AA#ABB</v>
          </cell>
          <cell r="M1970" t="str">
            <v>Foxconn CZ</v>
          </cell>
        </row>
        <row r="1971">
          <cell r="D1971" t="str">
            <v>EMEA</v>
          </cell>
          <cell r="H1971" t="str">
            <v>4E407UT#AC3</v>
          </cell>
          <cell r="M1971" t="str">
            <v>Foxconn CZ</v>
          </cell>
        </row>
        <row r="1972">
          <cell r="D1972" t="str">
            <v>EMEA</v>
          </cell>
          <cell r="H1972" t="str">
            <v>822M9UT#ABB</v>
          </cell>
          <cell r="M1972" t="str">
            <v>Foxconn CZ</v>
          </cell>
        </row>
        <row r="1973">
          <cell r="D1973" t="str">
            <v>EMEA</v>
          </cell>
          <cell r="H1973" t="str">
            <v>240J6AA#ABB</v>
          </cell>
          <cell r="M1973" t="str">
            <v>Foxconn CZ</v>
          </cell>
        </row>
        <row r="1974">
          <cell r="D1974" t="str">
            <v>EMEA</v>
          </cell>
          <cell r="H1974" t="str">
            <v>2S9L1AA#ABB</v>
          </cell>
          <cell r="M1974" t="str">
            <v>Foxconn CZ</v>
          </cell>
        </row>
        <row r="1975">
          <cell r="D1975" t="str">
            <v>EMEA</v>
          </cell>
          <cell r="H1975" t="str">
            <v>3V0G9AA#ABB</v>
          </cell>
          <cell r="M1975" t="str">
            <v>Foxconn CZ</v>
          </cell>
        </row>
        <row r="1976">
          <cell r="D1976" t="str">
            <v>EMEA</v>
          </cell>
          <cell r="H1976" t="str">
            <v>43N04AA#ABB</v>
          </cell>
          <cell r="M1976" t="str">
            <v>Foxconn CZ</v>
          </cell>
        </row>
        <row r="1977">
          <cell r="D1977" t="str">
            <v>EMEA</v>
          </cell>
          <cell r="H1977" t="str">
            <v>4E407UT#AC3</v>
          </cell>
          <cell r="M1977" t="str">
            <v>Foxconn CZ</v>
          </cell>
        </row>
        <row r="1978">
          <cell r="D1978" t="str">
            <v>EMEA</v>
          </cell>
          <cell r="H1978" t="str">
            <v>4QM14AA#ABB</v>
          </cell>
          <cell r="M1978" t="str">
            <v>Foxconn CZ</v>
          </cell>
        </row>
        <row r="1979">
          <cell r="D1979" t="str">
            <v>EMEA</v>
          </cell>
          <cell r="H1979" t="str">
            <v>6E6F2AA#ABB</v>
          </cell>
          <cell r="M1979" t="str">
            <v>Foxconn CZ</v>
          </cell>
        </row>
        <row r="1980">
          <cell r="D1980" t="str">
            <v>EMEA</v>
          </cell>
          <cell r="H1980" t="str">
            <v>6V2J7AA#ABB</v>
          </cell>
          <cell r="M1980" t="str">
            <v>Foxconn CZ</v>
          </cell>
        </row>
        <row r="1981">
          <cell r="D1981" t="str">
            <v>EMEA</v>
          </cell>
          <cell r="H1981" t="str">
            <v>6VY96AA#ABB</v>
          </cell>
          <cell r="M1981" t="str">
            <v>Foxconn CZ</v>
          </cell>
        </row>
        <row r="1982">
          <cell r="D1982" t="str">
            <v>EMEA</v>
          </cell>
          <cell r="H1982" t="str">
            <v>81S67AA#ABB</v>
          </cell>
          <cell r="M1982" t="str">
            <v>Foxconn CZ</v>
          </cell>
        </row>
        <row r="1983">
          <cell r="D1983" t="str">
            <v>EMEA</v>
          </cell>
          <cell r="H1983" t="str">
            <v>V0L79AA#ABB</v>
          </cell>
          <cell r="M1983" t="str">
            <v>Foxconn CZ</v>
          </cell>
        </row>
        <row r="1984">
          <cell r="D1984" t="str">
            <v>EMEA</v>
          </cell>
          <cell r="H1984" t="str">
            <v>822M9UT#ABB</v>
          </cell>
          <cell r="M1984" t="str">
            <v>Foxconn CZ</v>
          </cell>
        </row>
        <row r="1985">
          <cell r="D1985" t="str">
            <v>EMEA</v>
          </cell>
          <cell r="H1985" t="str">
            <v>240J6AA#ABB</v>
          </cell>
          <cell r="M1985" t="str">
            <v>Foxconn CZ</v>
          </cell>
        </row>
        <row r="1986">
          <cell r="D1986" t="str">
            <v>EMEA</v>
          </cell>
          <cell r="H1986" t="str">
            <v>3V0G9AA#ABB</v>
          </cell>
          <cell r="M1986" t="str">
            <v>Foxconn CZ</v>
          </cell>
        </row>
        <row r="1987">
          <cell r="D1987" t="str">
            <v>EMEA</v>
          </cell>
          <cell r="H1987" t="str">
            <v>758A8AA#ABB</v>
          </cell>
          <cell r="M1987" t="str">
            <v>Foxconn CZ</v>
          </cell>
        </row>
        <row r="1988">
          <cell r="D1988" t="str">
            <v>EMEA</v>
          </cell>
          <cell r="H1988" t="str">
            <v>758A9AA#ABB</v>
          </cell>
          <cell r="M1988" t="str">
            <v>Foxconn CZ</v>
          </cell>
        </row>
        <row r="1989">
          <cell r="D1989" t="str">
            <v>EMEA</v>
          </cell>
          <cell r="H1989" t="str">
            <v>X7Q44AA#ABB</v>
          </cell>
          <cell r="M1989" t="str">
            <v>Foxconn CZ</v>
          </cell>
        </row>
        <row r="1990">
          <cell r="D1990" t="str">
            <v>EMEA</v>
          </cell>
          <cell r="H1990" t="str">
            <v>53X27AA</v>
          </cell>
          <cell r="M1990" t="str">
            <v>Foxconn CZ</v>
          </cell>
        </row>
        <row r="1991">
          <cell r="D1991" t="str">
            <v>EMEA</v>
          </cell>
          <cell r="H1991" t="str">
            <v>822M9UT#ABB</v>
          </cell>
          <cell r="M1991" t="str">
            <v>Foxconn CZ</v>
          </cell>
        </row>
        <row r="1992">
          <cell r="D1992" t="str">
            <v>EMEA</v>
          </cell>
          <cell r="H1992" t="str">
            <v>9C2F6AA#ABB</v>
          </cell>
          <cell r="M1992" t="str">
            <v>Foxconn CZ</v>
          </cell>
        </row>
        <row r="1993">
          <cell r="D1993" t="str">
            <v>EMEA</v>
          </cell>
          <cell r="H1993" t="str">
            <v>9C2F7AA#ABB</v>
          </cell>
          <cell r="M1993" t="str">
            <v>Foxconn CZ</v>
          </cell>
        </row>
        <row r="1994">
          <cell r="D1994" t="str">
            <v>EMEA</v>
          </cell>
          <cell r="H1994" t="str">
            <v>1D0K8AA#AC3</v>
          </cell>
          <cell r="M1994" t="str">
            <v>Foxconn CZ</v>
          </cell>
        </row>
        <row r="1995">
          <cell r="D1995" t="str">
            <v>EMEA</v>
          </cell>
          <cell r="H1995" t="str">
            <v>7KX12AA#ABB</v>
          </cell>
          <cell r="M1995" t="str">
            <v>Foxconn CZ</v>
          </cell>
        </row>
        <row r="1996">
          <cell r="D1996" t="str">
            <v>EMEA</v>
          </cell>
          <cell r="H1996" t="str">
            <v>428K6AA</v>
          </cell>
          <cell r="M1996" t="str">
            <v>Foxconn CZ</v>
          </cell>
        </row>
        <row r="1997">
          <cell r="D1997" t="str">
            <v>EMEA</v>
          </cell>
          <cell r="H1997" t="str">
            <v>4E407UT#AC3</v>
          </cell>
          <cell r="M1997" t="str">
            <v>Foxconn CZ</v>
          </cell>
        </row>
        <row r="1998">
          <cell r="D1998" t="str">
            <v>EMEA</v>
          </cell>
          <cell r="H1998" t="str">
            <v>1D0K2AA#AC3</v>
          </cell>
          <cell r="M1998" t="str">
            <v>Foxconn CZ</v>
          </cell>
        </row>
        <row r="1999">
          <cell r="D1999" t="str">
            <v>EMEA</v>
          </cell>
          <cell r="H1999" t="str">
            <v>2HU84AA#ABB</v>
          </cell>
          <cell r="M1999" t="str">
            <v>Foxconn CZ</v>
          </cell>
        </row>
        <row r="2000">
          <cell r="D2000" t="str">
            <v>EMEA</v>
          </cell>
          <cell r="H2000" t="str">
            <v>3V0G9AA#ABB</v>
          </cell>
          <cell r="M2000" t="str">
            <v>Foxconn CZ</v>
          </cell>
        </row>
        <row r="2001">
          <cell r="D2001" t="str">
            <v>EMEA</v>
          </cell>
          <cell r="H2001" t="str">
            <v>43N04AA#ABB</v>
          </cell>
          <cell r="M2001" t="str">
            <v>Foxconn CZ</v>
          </cell>
        </row>
        <row r="2002">
          <cell r="D2002" t="str">
            <v>EMEA</v>
          </cell>
          <cell r="H2002" t="str">
            <v>43N05AA#ABB</v>
          </cell>
          <cell r="M2002" t="str">
            <v>Foxconn CZ</v>
          </cell>
        </row>
        <row r="2003">
          <cell r="D2003" t="str">
            <v>EMEA</v>
          </cell>
          <cell r="H2003" t="str">
            <v>4QM14AA#ABB</v>
          </cell>
          <cell r="M2003" t="str">
            <v>Foxconn CZ</v>
          </cell>
        </row>
        <row r="2004">
          <cell r="D2004" t="str">
            <v>EMEA</v>
          </cell>
          <cell r="H2004" t="str">
            <v>7KX12AA#ABB</v>
          </cell>
          <cell r="M2004" t="str">
            <v>Foxconn CZ</v>
          </cell>
        </row>
        <row r="2005">
          <cell r="D2005" t="str">
            <v>EMEA</v>
          </cell>
          <cell r="H2005" t="str">
            <v>81S67AA#ABB</v>
          </cell>
          <cell r="M2005" t="str">
            <v>Foxconn CZ</v>
          </cell>
        </row>
        <row r="2006">
          <cell r="D2006" t="str">
            <v>EMEA</v>
          </cell>
          <cell r="H2006" t="str">
            <v>3V0G9AA#ABB</v>
          </cell>
          <cell r="M2006" t="str">
            <v>Foxconn CZ</v>
          </cell>
        </row>
        <row r="2007">
          <cell r="D2007" t="str">
            <v>EMEA</v>
          </cell>
          <cell r="H2007" t="str">
            <v>4E407UT#AC3</v>
          </cell>
          <cell r="M2007" t="str">
            <v>Foxconn CZ</v>
          </cell>
        </row>
        <row r="2008">
          <cell r="D2008" t="str">
            <v>EMEA</v>
          </cell>
          <cell r="H2008" t="str">
            <v>4VY82AA#ABB</v>
          </cell>
          <cell r="M2008" t="str">
            <v>Foxconn CZ</v>
          </cell>
        </row>
        <row r="2009">
          <cell r="D2009" t="str">
            <v>EMEA</v>
          </cell>
          <cell r="H2009" t="str">
            <v>758A8AA#ABB</v>
          </cell>
          <cell r="M2009" t="str">
            <v>Foxconn CZ</v>
          </cell>
        </row>
        <row r="2010">
          <cell r="D2010" t="str">
            <v>EMEA</v>
          </cell>
          <cell r="H2010" t="str">
            <v>81S67AA#ABB</v>
          </cell>
          <cell r="M2010" t="str">
            <v>Foxconn CZ</v>
          </cell>
        </row>
        <row r="2011">
          <cell r="D2011" t="str">
            <v>EMEA</v>
          </cell>
          <cell r="H2011" t="str">
            <v>6VY96AA#ABB</v>
          </cell>
          <cell r="M2011" t="str">
            <v>Foxconn CZ</v>
          </cell>
        </row>
        <row r="2012">
          <cell r="D2012" t="str">
            <v>EMEA</v>
          </cell>
          <cell r="H2012" t="str">
            <v>V0L79AA#ABB</v>
          </cell>
          <cell r="M2012" t="str">
            <v>Foxconn CZ</v>
          </cell>
        </row>
        <row r="2013">
          <cell r="D2013" t="str">
            <v>EMEA</v>
          </cell>
          <cell r="H2013" t="str">
            <v>9C2F7AA#ABB</v>
          </cell>
          <cell r="M2013" t="str">
            <v>Foxconn CZ</v>
          </cell>
        </row>
        <row r="2014">
          <cell r="D2014" t="str">
            <v>EMEA</v>
          </cell>
          <cell r="H2014" t="str">
            <v>9C2F7AA#ABB</v>
          </cell>
          <cell r="M2014" t="str">
            <v>Foxconn CZ</v>
          </cell>
        </row>
        <row r="2015">
          <cell r="D2015" t="str">
            <v>EMEA</v>
          </cell>
          <cell r="H2015" t="str">
            <v>9C2F7AA#ABB</v>
          </cell>
          <cell r="M2015" t="str">
            <v>Foxconn CZ</v>
          </cell>
        </row>
        <row r="2016">
          <cell r="D2016" t="str">
            <v>EMEA</v>
          </cell>
          <cell r="H2016" t="str">
            <v>9C2F7AA#ABB</v>
          </cell>
          <cell r="M2016" t="str">
            <v>Foxconn CZ</v>
          </cell>
        </row>
        <row r="2017">
          <cell r="D2017" t="str">
            <v>EMEA</v>
          </cell>
          <cell r="H2017" t="str">
            <v>428K6AA</v>
          </cell>
          <cell r="M2017" t="str">
            <v>Foxconn CZ</v>
          </cell>
        </row>
        <row r="2018">
          <cell r="D2018" t="str">
            <v>EMEA</v>
          </cell>
          <cell r="H2018" t="str">
            <v>4QM14AA#ABB</v>
          </cell>
          <cell r="M2018" t="str">
            <v>Foxconn CZ</v>
          </cell>
        </row>
        <row r="2019">
          <cell r="D2019" t="str">
            <v>EMEA</v>
          </cell>
          <cell r="H2019" t="str">
            <v>3FV66AA#ABB</v>
          </cell>
          <cell r="M2019" t="str">
            <v>Foxconn CZ</v>
          </cell>
        </row>
        <row r="2020">
          <cell r="D2020" t="str">
            <v>EMEA</v>
          </cell>
          <cell r="H2020" t="str">
            <v>3V0G9AA#ABB</v>
          </cell>
          <cell r="M2020" t="str">
            <v>Foxconn CZ</v>
          </cell>
        </row>
        <row r="2021">
          <cell r="D2021" t="str">
            <v>EMEA</v>
          </cell>
          <cell r="H2021" t="str">
            <v>6VY96AA#ABB</v>
          </cell>
          <cell r="M2021" t="str">
            <v>Foxconn CZ</v>
          </cell>
        </row>
        <row r="2022">
          <cell r="D2022" t="str">
            <v>EMEA</v>
          </cell>
          <cell r="H2022" t="str">
            <v>V0L80AA#ABB</v>
          </cell>
          <cell r="M2022" t="str">
            <v>Foxconn CZ</v>
          </cell>
        </row>
        <row r="2023">
          <cell r="D2023" t="str">
            <v>EMEA</v>
          </cell>
          <cell r="H2023" t="str">
            <v>2S9L1AA#ABB</v>
          </cell>
          <cell r="M2023" t="str">
            <v>Foxconn CZ</v>
          </cell>
        </row>
        <row r="2024">
          <cell r="D2024" t="str">
            <v>EMEA</v>
          </cell>
          <cell r="H2024" t="str">
            <v>3V0G9AA#ABB</v>
          </cell>
          <cell r="M2024" t="str">
            <v>Foxconn CZ</v>
          </cell>
        </row>
        <row r="2025">
          <cell r="D2025" t="str">
            <v>EMEA</v>
          </cell>
          <cell r="H2025" t="str">
            <v>4QM14AA#ABB</v>
          </cell>
          <cell r="M2025" t="str">
            <v>Foxconn CZ</v>
          </cell>
        </row>
        <row r="2026">
          <cell r="D2026" t="str">
            <v>EMEA</v>
          </cell>
          <cell r="H2026" t="str">
            <v>6V2J7AA#ABB</v>
          </cell>
          <cell r="M2026" t="str">
            <v>Foxconn CZ</v>
          </cell>
        </row>
        <row r="2027">
          <cell r="D2027" t="str">
            <v>EMEA</v>
          </cell>
          <cell r="H2027" t="str">
            <v>6VY96AA#ABB</v>
          </cell>
          <cell r="M2027" t="str">
            <v>Foxconn CZ</v>
          </cell>
        </row>
        <row r="2028">
          <cell r="D2028" t="str">
            <v>EMEA</v>
          </cell>
          <cell r="H2028" t="str">
            <v>758A8AA#ABB</v>
          </cell>
          <cell r="M2028" t="str">
            <v>Foxconn CZ</v>
          </cell>
        </row>
        <row r="2029">
          <cell r="D2029" t="str">
            <v>EMEA</v>
          </cell>
          <cell r="H2029" t="str">
            <v>7KX12AA#ABB</v>
          </cell>
          <cell r="M2029" t="str">
            <v>Foxconn CZ</v>
          </cell>
        </row>
        <row r="2030">
          <cell r="D2030" t="str">
            <v>EMEA</v>
          </cell>
          <cell r="H2030" t="str">
            <v>240J6AA#ABB</v>
          </cell>
          <cell r="M2030" t="str">
            <v>Foxconn CZ</v>
          </cell>
        </row>
        <row r="2031">
          <cell r="D2031" t="str">
            <v>EMEA</v>
          </cell>
          <cell r="H2031" t="str">
            <v>2S9L1AA#ABB</v>
          </cell>
          <cell r="M2031" t="str">
            <v>Foxconn CZ</v>
          </cell>
        </row>
        <row r="2032">
          <cell r="D2032" t="str">
            <v>EMEA</v>
          </cell>
          <cell r="H2032" t="str">
            <v>X6W31AA#ABB</v>
          </cell>
          <cell r="M2032" t="str">
            <v>Foxconn CZ</v>
          </cell>
        </row>
        <row r="2033">
          <cell r="D2033" t="str">
            <v>EMEA</v>
          </cell>
          <cell r="H2033" t="str">
            <v>4E407UT#AC3</v>
          </cell>
          <cell r="M2033" t="str">
            <v>Foxconn CZ</v>
          </cell>
        </row>
        <row r="2034">
          <cell r="D2034" t="str">
            <v>EMEA</v>
          </cell>
          <cell r="H2034" t="str">
            <v>9C2F7AA#ABB</v>
          </cell>
          <cell r="M2034" t="str">
            <v>Foxconn CZ</v>
          </cell>
        </row>
        <row r="2035">
          <cell r="D2035" t="str">
            <v>EMEA</v>
          </cell>
          <cell r="H2035" t="str">
            <v>428K6AA</v>
          </cell>
          <cell r="M2035" t="str">
            <v>Foxconn CZ</v>
          </cell>
        </row>
        <row r="2036">
          <cell r="D2036" t="str">
            <v>EMEA</v>
          </cell>
          <cell r="H2036" t="str">
            <v>9C2F7AA#ABB</v>
          </cell>
          <cell r="M2036" t="str">
            <v>Foxconn CZ</v>
          </cell>
        </row>
        <row r="2037">
          <cell r="D2037" t="str">
            <v>EMEA</v>
          </cell>
          <cell r="H2037" t="str">
            <v>9C2F7AA#ABB</v>
          </cell>
          <cell r="M2037" t="str">
            <v>Foxconn CZ</v>
          </cell>
        </row>
        <row r="2038">
          <cell r="D2038" t="str">
            <v>EMEA</v>
          </cell>
          <cell r="H2038" t="str">
            <v>428K6AA</v>
          </cell>
          <cell r="M2038" t="str">
            <v>Foxconn CZ</v>
          </cell>
        </row>
        <row r="2039">
          <cell r="D2039" t="str">
            <v>EMEA</v>
          </cell>
          <cell r="H2039" t="str">
            <v>428K6AA</v>
          </cell>
          <cell r="M2039" t="str">
            <v>Foxconn CZ</v>
          </cell>
        </row>
        <row r="2040">
          <cell r="D2040" t="str">
            <v>EMEA</v>
          </cell>
          <cell r="H2040" t="str">
            <v>43N04AA#ABB</v>
          </cell>
          <cell r="M2040" t="str">
            <v>Foxconn CZ</v>
          </cell>
        </row>
        <row r="2041">
          <cell r="D2041" t="str">
            <v>EMEA</v>
          </cell>
          <cell r="H2041" t="str">
            <v>4QM14AA#ABB</v>
          </cell>
          <cell r="M2041" t="str">
            <v>Foxconn CZ</v>
          </cell>
        </row>
        <row r="2042">
          <cell r="D2042" t="str">
            <v>EMEA</v>
          </cell>
          <cell r="H2042" t="str">
            <v>53X27AA</v>
          </cell>
          <cell r="M2042" t="str">
            <v>Foxconn CZ</v>
          </cell>
        </row>
        <row r="2043">
          <cell r="D2043" t="str">
            <v>EMEA</v>
          </cell>
          <cell r="H2043" t="str">
            <v>6VY96AA#ABB</v>
          </cell>
          <cell r="M2043" t="str">
            <v>Foxconn CZ</v>
          </cell>
        </row>
        <row r="2044">
          <cell r="D2044" t="str">
            <v>EMEA</v>
          </cell>
          <cell r="H2044" t="str">
            <v>2S9L1AA#ABB</v>
          </cell>
          <cell r="M2044" t="str">
            <v>Foxconn CZ</v>
          </cell>
        </row>
        <row r="2045">
          <cell r="D2045" t="str">
            <v>EMEA</v>
          </cell>
          <cell r="H2045" t="str">
            <v>3FV66AA#ABB</v>
          </cell>
          <cell r="M2045" t="str">
            <v>Foxconn CZ</v>
          </cell>
        </row>
        <row r="2046">
          <cell r="D2046" t="str">
            <v>EMEA</v>
          </cell>
          <cell r="H2046" t="str">
            <v>6V2J7AA#ABB</v>
          </cell>
          <cell r="M2046" t="str">
            <v>Foxconn CZ</v>
          </cell>
        </row>
        <row r="2047">
          <cell r="D2047" t="str">
            <v>EMEA</v>
          </cell>
          <cell r="H2047" t="str">
            <v>6VY96AA#ABB</v>
          </cell>
          <cell r="M2047" t="str">
            <v>Foxconn CZ</v>
          </cell>
        </row>
        <row r="2048">
          <cell r="D2048" t="str">
            <v>EMEA</v>
          </cell>
          <cell r="H2048" t="str">
            <v>758A8AA#ABB</v>
          </cell>
          <cell r="M2048" t="str">
            <v>Foxconn CZ</v>
          </cell>
        </row>
        <row r="2049">
          <cell r="D2049" t="str">
            <v>EMEA</v>
          </cell>
          <cell r="H2049" t="str">
            <v>X7Q43AA#ABB</v>
          </cell>
          <cell r="M2049" t="str">
            <v>Foxconn CZ</v>
          </cell>
        </row>
        <row r="2050">
          <cell r="D2050" t="str">
            <v>EMEA</v>
          </cell>
          <cell r="H2050" t="str">
            <v>X7Q44AA#ABB</v>
          </cell>
          <cell r="M2050" t="str">
            <v>Foxconn CZ</v>
          </cell>
        </row>
        <row r="2051">
          <cell r="D2051" t="str">
            <v>EMEA</v>
          </cell>
          <cell r="H2051" t="str">
            <v>3V0G9AA#ABB</v>
          </cell>
          <cell r="M2051" t="str">
            <v>Foxconn CZ</v>
          </cell>
        </row>
        <row r="2052">
          <cell r="D2052" t="str">
            <v>EMEA</v>
          </cell>
          <cell r="H2052" t="str">
            <v>81S67AA#ABB</v>
          </cell>
          <cell r="M2052" t="str">
            <v>Foxconn CZ</v>
          </cell>
        </row>
        <row r="2053">
          <cell r="D2053" t="str">
            <v>EMEA</v>
          </cell>
          <cell r="H2053" t="str">
            <v>2HU83AA#ABB</v>
          </cell>
          <cell r="M2053" t="str">
            <v>Foxconn CZ</v>
          </cell>
        </row>
        <row r="2054">
          <cell r="D2054" t="str">
            <v>EMEA</v>
          </cell>
          <cell r="H2054" t="str">
            <v>3V0G9AA#ABB</v>
          </cell>
          <cell r="M2054" t="str">
            <v>Foxconn CZ</v>
          </cell>
        </row>
        <row r="2055">
          <cell r="D2055" t="str">
            <v>EMEA</v>
          </cell>
          <cell r="H2055" t="str">
            <v>428H5AA#ABB</v>
          </cell>
          <cell r="M2055" t="str">
            <v>Foxconn CZ</v>
          </cell>
        </row>
        <row r="2056">
          <cell r="D2056" t="str">
            <v>EMEA</v>
          </cell>
          <cell r="H2056" t="str">
            <v>43N04AA#ABB</v>
          </cell>
          <cell r="M2056" t="str">
            <v>Foxconn CZ</v>
          </cell>
        </row>
        <row r="2057">
          <cell r="D2057" t="str">
            <v>EMEA</v>
          </cell>
          <cell r="H2057" t="str">
            <v>758A8AA#ABB</v>
          </cell>
          <cell r="M2057" t="str">
            <v>Foxconn CZ</v>
          </cell>
        </row>
        <row r="2058">
          <cell r="D2058" t="str">
            <v>EMEA</v>
          </cell>
          <cell r="H2058" t="str">
            <v>V0L79AA#ABB</v>
          </cell>
          <cell r="M2058" t="str">
            <v>Foxconn CZ</v>
          </cell>
        </row>
        <row r="2059">
          <cell r="D2059" t="str">
            <v>EMEA</v>
          </cell>
          <cell r="H2059" t="str">
            <v>AJ7C2AA#ABB</v>
          </cell>
          <cell r="M2059" t="str">
            <v>Foxconn CZ</v>
          </cell>
        </row>
        <row r="2060">
          <cell r="D2060" t="str">
            <v>EMEA</v>
          </cell>
          <cell r="H2060" t="str">
            <v>4E407UT#AC3</v>
          </cell>
          <cell r="M2060" t="str">
            <v>Foxconn CZ</v>
          </cell>
        </row>
        <row r="2061">
          <cell r="D2061" t="str">
            <v>EMEA</v>
          </cell>
          <cell r="H2061" t="str">
            <v>8R3U1UT#ABB</v>
          </cell>
          <cell r="M2061" t="str">
            <v>Foxconn CZ</v>
          </cell>
        </row>
        <row r="2062">
          <cell r="D2062" t="str">
            <v>EMEA</v>
          </cell>
          <cell r="H2062" t="str">
            <v>1D0K9AA#ABB</v>
          </cell>
          <cell r="M2062" t="str">
            <v>Foxconn CZ</v>
          </cell>
        </row>
        <row r="2063">
          <cell r="D2063" t="str">
            <v>EMEA</v>
          </cell>
          <cell r="H2063" t="str">
            <v>2S9L1AA#ABB</v>
          </cell>
          <cell r="M2063" t="str">
            <v>Foxconn CZ</v>
          </cell>
        </row>
        <row r="2064">
          <cell r="D2064" t="str">
            <v>EMEA</v>
          </cell>
          <cell r="H2064" t="str">
            <v>43N05AA#ABB</v>
          </cell>
          <cell r="M2064" t="str">
            <v>Foxconn CZ</v>
          </cell>
        </row>
        <row r="2065">
          <cell r="D2065" t="str">
            <v>EMEA</v>
          </cell>
          <cell r="H2065" t="str">
            <v>4E407UT#AC3</v>
          </cell>
          <cell r="M2065" t="str">
            <v>Foxconn CZ</v>
          </cell>
        </row>
        <row r="2066">
          <cell r="D2066" t="str">
            <v>EMEA</v>
          </cell>
          <cell r="H2066" t="str">
            <v>53X27AA</v>
          </cell>
          <cell r="M2066" t="str">
            <v>Foxconn CZ</v>
          </cell>
        </row>
        <row r="2067">
          <cell r="D2067" t="str">
            <v>EMEA</v>
          </cell>
          <cell r="H2067" t="str">
            <v>758A9AA#ABB</v>
          </cell>
          <cell r="M2067" t="str">
            <v>Foxconn CZ</v>
          </cell>
        </row>
        <row r="2068">
          <cell r="D2068" t="str">
            <v>EMEA</v>
          </cell>
          <cell r="H2068" t="str">
            <v>9C2F6AA#ABB</v>
          </cell>
          <cell r="M2068" t="str">
            <v>Foxconn CZ</v>
          </cell>
        </row>
        <row r="2069">
          <cell r="D2069" t="str">
            <v>EMEA</v>
          </cell>
          <cell r="H2069" t="str">
            <v>V0L80AA#ABB</v>
          </cell>
          <cell r="M2069" t="str">
            <v>Foxconn CZ</v>
          </cell>
        </row>
        <row r="2070">
          <cell r="D2070" t="str">
            <v>EMEA</v>
          </cell>
          <cell r="H2070" t="str">
            <v>240J6AA#ABB</v>
          </cell>
          <cell r="M2070" t="str">
            <v>Foxconn CZ</v>
          </cell>
        </row>
        <row r="2071">
          <cell r="D2071" t="str">
            <v>EMEA</v>
          </cell>
          <cell r="H2071" t="str">
            <v>2HU84AA#ABB</v>
          </cell>
          <cell r="M2071" t="str">
            <v>Foxconn CZ</v>
          </cell>
        </row>
        <row r="2072">
          <cell r="D2072" t="str">
            <v>EMEA</v>
          </cell>
          <cell r="H2072" t="str">
            <v>2S9L1AA#ABB</v>
          </cell>
          <cell r="M2072" t="str">
            <v>Foxconn CZ</v>
          </cell>
        </row>
        <row r="2073">
          <cell r="D2073" t="str">
            <v>EMEA</v>
          </cell>
          <cell r="H2073" t="str">
            <v>3FV66AA#ABB</v>
          </cell>
          <cell r="M2073" t="str">
            <v>Foxconn CZ</v>
          </cell>
        </row>
        <row r="2074">
          <cell r="D2074" t="str">
            <v>EMEA</v>
          </cell>
          <cell r="H2074" t="str">
            <v>3V0G9AA#ABB</v>
          </cell>
          <cell r="M2074" t="str">
            <v>Foxconn CZ</v>
          </cell>
        </row>
        <row r="2075">
          <cell r="D2075" t="str">
            <v>EMEA</v>
          </cell>
          <cell r="H2075" t="str">
            <v>4E407UT#AC3</v>
          </cell>
          <cell r="M2075" t="str">
            <v>Foxconn CZ</v>
          </cell>
        </row>
        <row r="2076">
          <cell r="D2076" t="str">
            <v>EMEA</v>
          </cell>
          <cell r="H2076" t="str">
            <v>4QM14AA#ABB</v>
          </cell>
          <cell r="M2076" t="str">
            <v>Foxconn CZ</v>
          </cell>
        </row>
        <row r="2077">
          <cell r="D2077" t="str">
            <v>EMEA</v>
          </cell>
          <cell r="H2077" t="str">
            <v>81S67AA#ABB</v>
          </cell>
          <cell r="M2077" t="str">
            <v>Foxconn CZ</v>
          </cell>
        </row>
        <row r="2078">
          <cell r="D2078" t="str">
            <v>EMEA</v>
          </cell>
          <cell r="H2078" t="str">
            <v>X7Q44AA#ABB</v>
          </cell>
          <cell r="M2078" t="str">
            <v>Foxconn CZ</v>
          </cell>
        </row>
        <row r="2079">
          <cell r="D2079" t="str">
            <v>EMEA</v>
          </cell>
          <cell r="H2079" t="str">
            <v>1D0K8AA#AC3</v>
          </cell>
          <cell r="M2079" t="str">
            <v>Foxconn CZ</v>
          </cell>
        </row>
        <row r="2080">
          <cell r="D2080" t="str">
            <v>EMEA</v>
          </cell>
          <cell r="H2080" t="str">
            <v>43N04AA#ABB</v>
          </cell>
          <cell r="M2080" t="str">
            <v>Foxconn CZ</v>
          </cell>
        </row>
        <row r="2081">
          <cell r="D2081" t="str">
            <v>EMEA</v>
          </cell>
          <cell r="H2081" t="str">
            <v>4E407UT#AC3</v>
          </cell>
          <cell r="M2081" t="str">
            <v>Foxconn CZ</v>
          </cell>
        </row>
        <row r="2082">
          <cell r="D2082" t="str">
            <v>EMEA</v>
          </cell>
          <cell r="H2082" t="str">
            <v>6VY96AA#ABB</v>
          </cell>
          <cell r="M2082" t="str">
            <v>Foxconn CZ</v>
          </cell>
        </row>
        <row r="2083">
          <cell r="D2083" t="str">
            <v>EMEA</v>
          </cell>
          <cell r="H2083" t="str">
            <v>758A8AA#ABB</v>
          </cell>
          <cell r="M2083" t="str">
            <v>Foxconn CZ</v>
          </cell>
        </row>
        <row r="2084">
          <cell r="D2084" t="str">
            <v>EMEA</v>
          </cell>
          <cell r="H2084" t="str">
            <v>7KX11AA#ABB</v>
          </cell>
          <cell r="M2084" t="str">
            <v>Foxconn CZ</v>
          </cell>
        </row>
        <row r="2085">
          <cell r="D2085" t="str">
            <v>EMEA</v>
          </cell>
          <cell r="H2085" t="str">
            <v>AJ7C2AA#ABB</v>
          </cell>
          <cell r="M2085" t="str">
            <v>Foxconn CZ</v>
          </cell>
        </row>
        <row r="2086">
          <cell r="D2086" t="str">
            <v>EMEA</v>
          </cell>
          <cell r="H2086" t="str">
            <v>3V0G9AA#ABB</v>
          </cell>
          <cell r="M2086" t="str">
            <v>Foxconn CZ</v>
          </cell>
        </row>
        <row r="2087">
          <cell r="D2087" t="str">
            <v>EMEA</v>
          </cell>
          <cell r="H2087" t="str">
            <v>4E407UT#AC3</v>
          </cell>
          <cell r="M2087" t="str">
            <v>Foxconn CZ</v>
          </cell>
        </row>
        <row r="2088">
          <cell r="D2088" t="str">
            <v>EMEA</v>
          </cell>
          <cell r="H2088" t="str">
            <v>7KX12AA#ABB</v>
          </cell>
          <cell r="M2088" t="str">
            <v>Foxconn CZ</v>
          </cell>
        </row>
        <row r="2089">
          <cell r="D2089" t="str">
            <v>EMEA</v>
          </cell>
          <cell r="H2089" t="str">
            <v>AJ7C2AA#ABB</v>
          </cell>
          <cell r="M2089" t="str">
            <v>Foxconn CZ</v>
          </cell>
        </row>
        <row r="2090">
          <cell r="D2090" t="str">
            <v>EMEA</v>
          </cell>
          <cell r="H2090" t="str">
            <v>X6W31AA#ABB</v>
          </cell>
          <cell r="M2090" t="str">
            <v>Foxconn CZ</v>
          </cell>
        </row>
        <row r="2091">
          <cell r="D2091" t="str">
            <v>EMEA</v>
          </cell>
          <cell r="H2091" t="str">
            <v>43N04AA#ABB</v>
          </cell>
          <cell r="M2091" t="str">
            <v>Foxconn CZ</v>
          </cell>
        </row>
        <row r="2092">
          <cell r="D2092" t="str">
            <v>EMEA</v>
          </cell>
          <cell r="H2092" t="str">
            <v>6VY96AA#ABB</v>
          </cell>
          <cell r="M2092" t="str">
            <v>Foxconn CZ</v>
          </cell>
        </row>
        <row r="2093">
          <cell r="D2093" t="str">
            <v>EMEA</v>
          </cell>
          <cell r="H2093" t="str">
            <v>428K6AA</v>
          </cell>
          <cell r="M2093" t="str">
            <v>Foxconn CZ</v>
          </cell>
        </row>
        <row r="2094">
          <cell r="D2094" t="str">
            <v>EMEA</v>
          </cell>
          <cell r="H2094" t="str">
            <v>53X27AA</v>
          </cell>
          <cell r="M2094" t="str">
            <v>Foxconn CZ</v>
          </cell>
        </row>
        <row r="2095">
          <cell r="D2095" t="str">
            <v>EMEA</v>
          </cell>
          <cell r="H2095" t="str">
            <v>X6W31AA#ABB</v>
          </cell>
          <cell r="M2095" t="str">
            <v>Foxconn CZ</v>
          </cell>
        </row>
        <row r="2096">
          <cell r="D2096" t="str">
            <v>EMEA</v>
          </cell>
          <cell r="H2096" t="str">
            <v>4X491AA#AC3</v>
          </cell>
          <cell r="M2096" t="str">
            <v>Foxconn CZ</v>
          </cell>
        </row>
        <row r="2097">
          <cell r="D2097" t="str">
            <v>EMEA</v>
          </cell>
          <cell r="H2097" t="str">
            <v>3V0G9AA#ABB</v>
          </cell>
          <cell r="M2097" t="str">
            <v>Foxconn CZ</v>
          </cell>
        </row>
        <row r="2098">
          <cell r="D2098" t="str">
            <v>EMEA</v>
          </cell>
          <cell r="H2098" t="str">
            <v>43N04AA#ABB</v>
          </cell>
          <cell r="M2098" t="str">
            <v>Foxconn CZ</v>
          </cell>
        </row>
        <row r="2099">
          <cell r="D2099" t="str">
            <v>EMEA</v>
          </cell>
          <cell r="H2099" t="str">
            <v>4QM14AA#ABB</v>
          </cell>
          <cell r="M2099" t="str">
            <v>Foxconn CZ</v>
          </cell>
        </row>
        <row r="2100">
          <cell r="D2100" t="str">
            <v>EMEA</v>
          </cell>
          <cell r="H2100" t="str">
            <v>V0L79AA#ABB</v>
          </cell>
          <cell r="M2100" t="str">
            <v>Foxconn CZ</v>
          </cell>
        </row>
        <row r="2101">
          <cell r="D2101" t="str">
            <v>EMEA</v>
          </cell>
          <cell r="H2101" t="str">
            <v>1D0K2AA#AC3</v>
          </cell>
          <cell r="M2101" t="str">
            <v>Foxconn CZ</v>
          </cell>
        </row>
        <row r="2102">
          <cell r="D2102" t="str">
            <v>EMEA</v>
          </cell>
          <cell r="H2102" t="str">
            <v>4E407UT#AC3</v>
          </cell>
          <cell r="M2102" t="str">
            <v>Foxconn CZ</v>
          </cell>
        </row>
        <row r="2103">
          <cell r="D2103" t="str">
            <v>EMEA</v>
          </cell>
          <cell r="H2103" t="str">
            <v>4X491AA#AC3</v>
          </cell>
          <cell r="M2103" t="str">
            <v>Foxconn CZ</v>
          </cell>
        </row>
        <row r="2104">
          <cell r="D2104" t="str">
            <v>EMEA</v>
          </cell>
          <cell r="H2104" t="str">
            <v>53X26AA#ABB</v>
          </cell>
          <cell r="M2104" t="str">
            <v>Foxconn CZ</v>
          </cell>
        </row>
        <row r="2105">
          <cell r="D2105" t="str">
            <v>EMEA</v>
          </cell>
          <cell r="H2105" t="str">
            <v>6E6F0AA#ABB</v>
          </cell>
          <cell r="M2105" t="str">
            <v>Foxconn CZ</v>
          </cell>
        </row>
        <row r="2106">
          <cell r="D2106" t="str">
            <v>EMEA</v>
          </cell>
          <cell r="H2106" t="str">
            <v>6V2J7AA#ABB</v>
          </cell>
          <cell r="M2106" t="str">
            <v>Foxconn CZ</v>
          </cell>
        </row>
        <row r="2107">
          <cell r="D2107" t="str">
            <v>EMEA</v>
          </cell>
          <cell r="H2107" t="str">
            <v>758A9AA#ABB</v>
          </cell>
          <cell r="M2107" t="str">
            <v>Foxconn CZ</v>
          </cell>
        </row>
        <row r="2108">
          <cell r="D2108" t="str">
            <v>EMEA</v>
          </cell>
          <cell r="H2108" t="str">
            <v>7KX12AA#ABB</v>
          </cell>
          <cell r="M2108" t="str">
            <v>Foxconn CZ</v>
          </cell>
        </row>
        <row r="2109">
          <cell r="D2109" t="str">
            <v>EMEA</v>
          </cell>
          <cell r="H2109" t="str">
            <v>2S9L1AA#ABB</v>
          </cell>
          <cell r="M2109" t="str">
            <v>Foxconn CZ</v>
          </cell>
        </row>
        <row r="2110">
          <cell r="D2110" t="str">
            <v>EMEA</v>
          </cell>
          <cell r="H2110" t="str">
            <v>3FV66AA#ABB</v>
          </cell>
          <cell r="M2110" t="str">
            <v>Foxconn CZ</v>
          </cell>
        </row>
        <row r="2111">
          <cell r="D2111" t="str">
            <v>EMEA</v>
          </cell>
          <cell r="H2111" t="str">
            <v>428H5AA#ABB</v>
          </cell>
          <cell r="M2111" t="str">
            <v>Foxconn CZ</v>
          </cell>
        </row>
        <row r="2112">
          <cell r="D2112" t="str">
            <v>EMEA</v>
          </cell>
          <cell r="H2112" t="str">
            <v>4QM14AA#ABB</v>
          </cell>
          <cell r="M2112" t="str">
            <v>Foxconn CZ</v>
          </cell>
        </row>
        <row r="2113">
          <cell r="D2113" t="str">
            <v>EMEA</v>
          </cell>
          <cell r="H2113" t="str">
            <v>6E6F2AA#ABB</v>
          </cell>
          <cell r="M2113" t="str">
            <v>Foxconn CZ</v>
          </cell>
        </row>
        <row r="2114">
          <cell r="D2114" t="str">
            <v>EMEA</v>
          </cell>
          <cell r="H2114" t="str">
            <v>6V2J7AA#ABB</v>
          </cell>
          <cell r="M2114" t="str">
            <v>Foxconn CZ</v>
          </cell>
        </row>
        <row r="2115">
          <cell r="D2115" t="str">
            <v>EMEA</v>
          </cell>
          <cell r="H2115" t="str">
            <v>758A9AA#ABB</v>
          </cell>
          <cell r="M2115" t="str">
            <v>Foxconn CZ</v>
          </cell>
        </row>
        <row r="2116">
          <cell r="D2116" t="str">
            <v>EMEA</v>
          </cell>
          <cell r="H2116" t="str">
            <v>7KX10AA#ABB</v>
          </cell>
          <cell r="M2116" t="str">
            <v>Foxconn CZ</v>
          </cell>
        </row>
        <row r="2117">
          <cell r="D2117" t="str">
            <v>EMEA</v>
          </cell>
          <cell r="H2117" t="str">
            <v>8R3U1UT#ABB</v>
          </cell>
          <cell r="M2117" t="str">
            <v>Foxconn CZ</v>
          </cell>
        </row>
        <row r="2118">
          <cell r="D2118" t="str">
            <v>EMEA</v>
          </cell>
          <cell r="H2118" t="str">
            <v>1D0K8AA#AC3</v>
          </cell>
          <cell r="M2118" t="str">
            <v>Foxconn CZ</v>
          </cell>
        </row>
        <row r="2119">
          <cell r="D2119" t="str">
            <v>EMEA</v>
          </cell>
          <cell r="H2119" t="str">
            <v>7KX10AA#ABB</v>
          </cell>
          <cell r="M2119" t="str">
            <v>Foxconn CZ</v>
          </cell>
        </row>
        <row r="2120">
          <cell r="D2120" t="str">
            <v>EMEA</v>
          </cell>
          <cell r="H2120" t="str">
            <v>53X26AA#ABB</v>
          </cell>
          <cell r="M2120" t="str">
            <v>Foxconn CZ</v>
          </cell>
        </row>
        <row r="2121">
          <cell r="D2121" t="str">
            <v>EMEA</v>
          </cell>
          <cell r="H2121" t="str">
            <v>53X27AA</v>
          </cell>
          <cell r="M2121" t="str">
            <v>Foxconn CZ</v>
          </cell>
        </row>
        <row r="2122">
          <cell r="D2122" t="str">
            <v>EMEA</v>
          </cell>
          <cell r="H2122" t="str">
            <v>2S9L1AA#ABB</v>
          </cell>
          <cell r="M2122" t="str">
            <v>Foxconn CZ</v>
          </cell>
        </row>
        <row r="2123">
          <cell r="D2123" t="str">
            <v>EMEA</v>
          </cell>
          <cell r="H2123" t="str">
            <v>3FV66AA#ABB</v>
          </cell>
          <cell r="M2123" t="str">
            <v>Foxconn CZ</v>
          </cell>
        </row>
        <row r="2124">
          <cell r="D2124" t="str">
            <v>EMEA</v>
          </cell>
          <cell r="H2124" t="str">
            <v>53X26AA#ABB</v>
          </cell>
          <cell r="M2124" t="str">
            <v>Foxconn CZ</v>
          </cell>
        </row>
        <row r="2125">
          <cell r="D2125" t="str">
            <v>EMEA</v>
          </cell>
          <cell r="H2125" t="str">
            <v>6VY96AA#ABB</v>
          </cell>
          <cell r="M2125" t="str">
            <v>Foxconn CZ</v>
          </cell>
        </row>
        <row r="2126">
          <cell r="D2126" t="str">
            <v>EMEA</v>
          </cell>
          <cell r="H2126" t="str">
            <v>7KX12AA#ABB</v>
          </cell>
          <cell r="M2126" t="str">
            <v>Foxconn CZ</v>
          </cell>
        </row>
        <row r="2127">
          <cell r="D2127" t="str">
            <v>EMEA</v>
          </cell>
          <cell r="H2127" t="str">
            <v>V0L80AA#ABB</v>
          </cell>
          <cell r="M2127" t="str">
            <v>Foxconn CZ</v>
          </cell>
        </row>
        <row r="2128">
          <cell r="D2128" t="str">
            <v>EMEA</v>
          </cell>
          <cell r="H2128" t="str">
            <v>240J6AA#ABB</v>
          </cell>
          <cell r="M2128" t="str">
            <v>Foxconn CZ</v>
          </cell>
        </row>
        <row r="2129">
          <cell r="D2129" t="str">
            <v>EMEA</v>
          </cell>
          <cell r="H2129" t="str">
            <v>2HU84AA#ABB</v>
          </cell>
          <cell r="M2129" t="str">
            <v>Foxconn CZ</v>
          </cell>
        </row>
        <row r="2130">
          <cell r="D2130" t="str">
            <v>EMEA</v>
          </cell>
          <cell r="H2130" t="str">
            <v>2S9L1AA#ABB</v>
          </cell>
          <cell r="M2130" t="str">
            <v>Foxconn CZ</v>
          </cell>
        </row>
        <row r="2131">
          <cell r="D2131" t="str">
            <v>EMEA</v>
          </cell>
          <cell r="H2131" t="str">
            <v>3FV66AA#ABB</v>
          </cell>
          <cell r="M2131" t="str">
            <v>Foxconn CZ</v>
          </cell>
        </row>
        <row r="2132">
          <cell r="D2132" t="str">
            <v>EMEA</v>
          </cell>
          <cell r="H2132" t="str">
            <v>3V0G9AA#ABB</v>
          </cell>
          <cell r="M2132" t="str">
            <v>Foxconn CZ</v>
          </cell>
        </row>
        <row r="2133">
          <cell r="D2133" t="str">
            <v>EMEA</v>
          </cell>
          <cell r="H2133" t="str">
            <v>6VY96AA#ABB</v>
          </cell>
          <cell r="M2133" t="str">
            <v>Foxconn CZ</v>
          </cell>
        </row>
        <row r="2134">
          <cell r="D2134" t="str">
            <v>EMEA</v>
          </cell>
          <cell r="H2134" t="str">
            <v>758A9AA#ABB</v>
          </cell>
          <cell r="M2134" t="str">
            <v>Foxconn CZ</v>
          </cell>
        </row>
        <row r="2135">
          <cell r="D2135" t="str">
            <v>EMEA</v>
          </cell>
          <cell r="H2135" t="str">
            <v>V0L79AA#ABB</v>
          </cell>
          <cell r="M2135" t="str">
            <v>Foxconn CZ</v>
          </cell>
        </row>
        <row r="2136">
          <cell r="D2136" t="str">
            <v>EMEA</v>
          </cell>
          <cell r="H2136" t="str">
            <v>X7Q44AA#ABB</v>
          </cell>
          <cell r="M2136" t="str">
            <v>Foxconn CZ</v>
          </cell>
        </row>
        <row r="2137">
          <cell r="D2137" t="str">
            <v>EMEA</v>
          </cell>
          <cell r="H2137" t="str">
            <v>240J6AA#ABB</v>
          </cell>
          <cell r="M2137" t="str">
            <v>Foxconn CZ</v>
          </cell>
        </row>
        <row r="2138">
          <cell r="D2138" t="str">
            <v>EMEA</v>
          </cell>
          <cell r="H2138" t="str">
            <v>3V0G9AA#ABB</v>
          </cell>
          <cell r="M2138" t="str">
            <v>Foxconn CZ</v>
          </cell>
        </row>
        <row r="2139">
          <cell r="D2139" t="str">
            <v>EMEA</v>
          </cell>
          <cell r="H2139" t="str">
            <v>4E407UT#AC3</v>
          </cell>
          <cell r="M2139" t="str">
            <v>Foxconn CZ</v>
          </cell>
        </row>
        <row r="2140">
          <cell r="D2140" t="str">
            <v>EMEA</v>
          </cell>
          <cell r="H2140" t="str">
            <v>6VY96AA#ABB</v>
          </cell>
          <cell r="M2140" t="str">
            <v>Foxconn CZ</v>
          </cell>
        </row>
        <row r="2141">
          <cell r="D2141" t="str">
            <v>EMEA</v>
          </cell>
          <cell r="H2141" t="str">
            <v>793F9AA#ABB</v>
          </cell>
          <cell r="M2141" t="str">
            <v>Foxconn CZ</v>
          </cell>
        </row>
        <row r="2142">
          <cell r="D2142" t="str">
            <v>EMEA</v>
          </cell>
          <cell r="H2142" t="str">
            <v>81S67AA#ABB</v>
          </cell>
          <cell r="M2142" t="str">
            <v>Foxconn CZ</v>
          </cell>
        </row>
        <row r="2143">
          <cell r="D2143" t="str">
            <v>EMEA</v>
          </cell>
          <cell r="H2143" t="str">
            <v>8R3U1UT#ABB</v>
          </cell>
          <cell r="M2143" t="str">
            <v>Foxconn CZ</v>
          </cell>
        </row>
        <row r="2144">
          <cell r="D2144" t="str">
            <v>EMEA</v>
          </cell>
          <cell r="H2144" t="str">
            <v>240J6AA#ABB</v>
          </cell>
          <cell r="M2144" t="str">
            <v>Foxconn CZ</v>
          </cell>
        </row>
        <row r="2145">
          <cell r="D2145" t="str">
            <v>EMEA</v>
          </cell>
          <cell r="H2145" t="str">
            <v>9C2F6AA#ABB</v>
          </cell>
          <cell r="M2145" t="str">
            <v>Foxconn CZ</v>
          </cell>
        </row>
        <row r="2146">
          <cell r="D2146" t="str">
            <v>EMEA</v>
          </cell>
          <cell r="H2146" t="str">
            <v>3V0G9AA#ABB</v>
          </cell>
          <cell r="M2146" t="str">
            <v>Foxconn CZ</v>
          </cell>
        </row>
        <row r="2147">
          <cell r="D2147" t="str">
            <v>EMEA</v>
          </cell>
          <cell r="H2147" t="str">
            <v>43N04AA#ABB</v>
          </cell>
          <cell r="M2147" t="str">
            <v>Foxconn CZ</v>
          </cell>
        </row>
        <row r="2148">
          <cell r="D2148" t="str">
            <v>EMEA</v>
          </cell>
          <cell r="H2148" t="str">
            <v>4QM14AA#ABB</v>
          </cell>
          <cell r="M2148" t="str">
            <v>Foxconn CZ</v>
          </cell>
        </row>
        <row r="2149">
          <cell r="D2149" t="str">
            <v>EMEA</v>
          </cell>
          <cell r="H2149" t="str">
            <v>6VY96AA#ABB</v>
          </cell>
          <cell r="M2149" t="str">
            <v>Foxconn CZ</v>
          </cell>
        </row>
        <row r="2150">
          <cell r="D2150" t="str">
            <v>EMEA</v>
          </cell>
          <cell r="H2150" t="str">
            <v>7KX12AA#ABB</v>
          </cell>
          <cell r="M2150" t="str">
            <v>Foxconn CZ</v>
          </cell>
        </row>
        <row r="2151">
          <cell r="D2151" t="str">
            <v>EMEA</v>
          </cell>
          <cell r="H2151" t="str">
            <v>3FV66AA#ABB</v>
          </cell>
          <cell r="M2151" t="str">
            <v>Foxconn CZ</v>
          </cell>
        </row>
        <row r="2152">
          <cell r="D2152" t="str">
            <v>EMEA</v>
          </cell>
          <cell r="H2152" t="str">
            <v>3V0G9AA#ABB</v>
          </cell>
          <cell r="M2152" t="str">
            <v>Foxconn CZ</v>
          </cell>
        </row>
        <row r="2153">
          <cell r="D2153" t="str">
            <v>EMEA</v>
          </cell>
          <cell r="H2153" t="str">
            <v>428H5AA#ABB</v>
          </cell>
          <cell r="M2153" t="str">
            <v>Foxconn CZ</v>
          </cell>
        </row>
        <row r="2154">
          <cell r="D2154" t="str">
            <v>EMEA</v>
          </cell>
          <cell r="H2154" t="str">
            <v>43N05AA#ABB</v>
          </cell>
          <cell r="M2154" t="str">
            <v>Foxconn CZ</v>
          </cell>
        </row>
        <row r="2155">
          <cell r="D2155" t="str">
            <v>EMEA</v>
          </cell>
          <cell r="H2155" t="str">
            <v>4E407UT#AC3</v>
          </cell>
          <cell r="M2155" t="str">
            <v>Foxconn CZ</v>
          </cell>
        </row>
        <row r="2156">
          <cell r="D2156" t="str">
            <v>EMEA</v>
          </cell>
          <cell r="H2156" t="str">
            <v>6VY96AA#ABB</v>
          </cell>
          <cell r="M2156" t="str">
            <v>Foxconn CZ</v>
          </cell>
        </row>
        <row r="2157">
          <cell r="D2157" t="str">
            <v>EMEA</v>
          </cell>
          <cell r="H2157" t="str">
            <v>758A8AA#ABB</v>
          </cell>
          <cell r="M2157" t="str">
            <v>Foxconn CZ</v>
          </cell>
        </row>
        <row r="2158">
          <cell r="D2158" t="str">
            <v>EMEA</v>
          </cell>
          <cell r="H2158" t="str">
            <v>V0L79AA#ABB</v>
          </cell>
          <cell r="M2158" t="str">
            <v>Foxconn CZ</v>
          </cell>
        </row>
        <row r="2159">
          <cell r="D2159" t="str">
            <v>EMEA</v>
          </cell>
          <cell r="H2159" t="str">
            <v>X7Q44AA#ABB</v>
          </cell>
          <cell r="M2159" t="str">
            <v>Foxconn CZ</v>
          </cell>
        </row>
        <row r="2160">
          <cell r="D2160" t="str">
            <v>EMEA</v>
          </cell>
          <cell r="H2160" t="str">
            <v>7UH88AA#ABB</v>
          </cell>
          <cell r="M2160" t="str">
            <v>Foxconn CZ</v>
          </cell>
        </row>
        <row r="2161">
          <cell r="D2161" t="str">
            <v>EMEA</v>
          </cell>
          <cell r="H2161" t="str">
            <v>6VY96AA#ABB</v>
          </cell>
          <cell r="M2161" t="str">
            <v>Foxconn CZ</v>
          </cell>
        </row>
        <row r="2162">
          <cell r="D2162" t="str">
            <v>EMEA</v>
          </cell>
          <cell r="H2162" t="str">
            <v>758A9AA#ABB</v>
          </cell>
          <cell r="M2162" t="str">
            <v>Foxconn CZ</v>
          </cell>
        </row>
        <row r="2163">
          <cell r="D2163" t="str">
            <v>EMEA</v>
          </cell>
          <cell r="H2163" t="str">
            <v>428H5AA#ABB</v>
          </cell>
          <cell r="M2163" t="str">
            <v>Foxconn CZ</v>
          </cell>
        </row>
        <row r="2164">
          <cell r="D2164" t="str">
            <v>EMEA</v>
          </cell>
          <cell r="H2164" t="str">
            <v>53X26AA#ABB</v>
          </cell>
          <cell r="M2164" t="str">
            <v>Foxconn CZ</v>
          </cell>
        </row>
        <row r="2165">
          <cell r="D2165" t="str">
            <v>EMEA</v>
          </cell>
          <cell r="H2165" t="str">
            <v>53X27AA</v>
          </cell>
          <cell r="M2165" t="str">
            <v>Foxconn CZ</v>
          </cell>
        </row>
        <row r="2166">
          <cell r="D2166" t="str">
            <v>EMEA</v>
          </cell>
          <cell r="H2166" t="str">
            <v>6V2J7AA#ABB</v>
          </cell>
          <cell r="M2166" t="str">
            <v>Foxconn CZ</v>
          </cell>
        </row>
        <row r="2167">
          <cell r="D2167" t="str">
            <v>EMEA</v>
          </cell>
          <cell r="H2167" t="str">
            <v>77B10AA#ABB</v>
          </cell>
          <cell r="M2167" t="str">
            <v>Foxconn CZ</v>
          </cell>
        </row>
        <row r="2168">
          <cell r="D2168" t="str">
            <v>EMEA</v>
          </cell>
          <cell r="H2168" t="str">
            <v>1D0K2AA#AC3</v>
          </cell>
          <cell r="M2168" t="str">
            <v>Foxconn CZ</v>
          </cell>
        </row>
        <row r="2169">
          <cell r="D2169" t="str">
            <v>EMEA</v>
          </cell>
          <cell r="H2169" t="str">
            <v>240J6AA#ABB</v>
          </cell>
          <cell r="M2169" t="str">
            <v>Foxconn CZ</v>
          </cell>
        </row>
        <row r="2170">
          <cell r="D2170" t="str">
            <v>EMEA</v>
          </cell>
          <cell r="H2170" t="str">
            <v>2S9L1AA#ABB</v>
          </cell>
          <cell r="M2170" t="str">
            <v>Foxconn CZ</v>
          </cell>
        </row>
        <row r="2171">
          <cell r="D2171" t="str">
            <v>EMEA</v>
          </cell>
          <cell r="H2171" t="str">
            <v>3FV66AA#ABB</v>
          </cell>
          <cell r="M2171" t="str">
            <v>Foxconn CZ</v>
          </cell>
        </row>
        <row r="2172">
          <cell r="D2172" t="str">
            <v>EMEA</v>
          </cell>
          <cell r="H2172" t="str">
            <v>4E407UT#AC3</v>
          </cell>
          <cell r="M2172" t="str">
            <v>Foxconn CZ</v>
          </cell>
        </row>
        <row r="2173">
          <cell r="D2173" t="str">
            <v>EMEA</v>
          </cell>
          <cell r="H2173" t="str">
            <v>4QM14AA#ABB</v>
          </cell>
          <cell r="M2173" t="str">
            <v>Foxconn CZ</v>
          </cell>
        </row>
        <row r="2174">
          <cell r="D2174" t="str">
            <v>EMEA</v>
          </cell>
          <cell r="H2174" t="str">
            <v>53X27AA</v>
          </cell>
          <cell r="M2174" t="str">
            <v>Foxconn CZ</v>
          </cell>
        </row>
        <row r="2175">
          <cell r="D2175" t="str">
            <v>EMEA</v>
          </cell>
          <cell r="H2175" t="str">
            <v>6V2J7AA#ABB</v>
          </cell>
          <cell r="M2175" t="str">
            <v>Foxconn CZ</v>
          </cell>
        </row>
        <row r="2176">
          <cell r="D2176" t="str">
            <v>EMEA</v>
          </cell>
          <cell r="H2176" t="str">
            <v>6VY96AA#ABB</v>
          </cell>
          <cell r="M2176" t="str">
            <v>Foxconn CZ</v>
          </cell>
        </row>
        <row r="2177">
          <cell r="D2177" t="str">
            <v>EMEA</v>
          </cell>
          <cell r="H2177" t="str">
            <v>758A8AA#ABB</v>
          </cell>
          <cell r="M2177" t="str">
            <v>Foxconn CZ</v>
          </cell>
        </row>
        <row r="2178">
          <cell r="D2178" t="str">
            <v>EMEA</v>
          </cell>
          <cell r="H2178" t="str">
            <v>758A9AA#ABB</v>
          </cell>
          <cell r="M2178" t="str">
            <v>Foxconn CZ</v>
          </cell>
        </row>
        <row r="2179">
          <cell r="D2179" t="str">
            <v>EMEA</v>
          </cell>
          <cell r="H2179" t="str">
            <v>7KX11AA#ABB</v>
          </cell>
          <cell r="M2179" t="str">
            <v>Foxconn CZ</v>
          </cell>
        </row>
        <row r="2180">
          <cell r="D2180" t="str">
            <v>EMEA</v>
          </cell>
          <cell r="H2180" t="str">
            <v>2S9L1AA#ABB</v>
          </cell>
          <cell r="M2180" t="str">
            <v>Foxconn CZ</v>
          </cell>
        </row>
        <row r="2181">
          <cell r="D2181" t="str">
            <v>EMEA</v>
          </cell>
          <cell r="H2181" t="str">
            <v>3V0G9AA#ABB</v>
          </cell>
          <cell r="M2181" t="str">
            <v>Foxconn CZ</v>
          </cell>
        </row>
        <row r="2182">
          <cell r="D2182" t="str">
            <v>EMEA</v>
          </cell>
          <cell r="H2182" t="str">
            <v>53X26AA#ABB</v>
          </cell>
          <cell r="M2182" t="str">
            <v>Foxconn CZ</v>
          </cell>
        </row>
        <row r="2183">
          <cell r="D2183" t="str">
            <v>EMEA</v>
          </cell>
          <cell r="H2183" t="str">
            <v>53X27AA</v>
          </cell>
          <cell r="M2183" t="str">
            <v>Foxconn CZ</v>
          </cell>
        </row>
        <row r="2184">
          <cell r="D2184" t="str">
            <v>EMEA</v>
          </cell>
          <cell r="H2184" t="str">
            <v>758A8AA#ABB</v>
          </cell>
          <cell r="M2184" t="str">
            <v>Foxconn CZ</v>
          </cell>
        </row>
        <row r="2185">
          <cell r="D2185" t="str">
            <v>EMEA</v>
          </cell>
          <cell r="H2185" t="str">
            <v>7KX12AA#ABB</v>
          </cell>
          <cell r="M2185" t="str">
            <v>Foxconn CZ</v>
          </cell>
        </row>
        <row r="2186">
          <cell r="D2186" t="str">
            <v>EMEA</v>
          </cell>
          <cell r="H2186" t="str">
            <v>81S67AA#ABB</v>
          </cell>
          <cell r="M2186" t="str">
            <v>Foxconn CZ</v>
          </cell>
        </row>
        <row r="2187">
          <cell r="D2187" t="str">
            <v>EMEA</v>
          </cell>
          <cell r="H2187" t="str">
            <v>822M9UT#ABB</v>
          </cell>
          <cell r="M2187" t="str">
            <v>Foxconn CZ</v>
          </cell>
        </row>
        <row r="2188">
          <cell r="D2188" t="str">
            <v>EMEA</v>
          </cell>
          <cell r="H2188" t="str">
            <v>AJ7C2AA#ABB</v>
          </cell>
          <cell r="M2188" t="str">
            <v>Foxconn CZ</v>
          </cell>
        </row>
        <row r="2189">
          <cell r="D2189" t="str">
            <v>EMEA</v>
          </cell>
          <cell r="H2189" t="str">
            <v>822M9UT#ABB</v>
          </cell>
          <cell r="M2189" t="str">
            <v>Foxconn CZ</v>
          </cell>
        </row>
        <row r="2190">
          <cell r="D2190" t="str">
            <v>EMEA</v>
          </cell>
          <cell r="H2190" t="str">
            <v>AJ7C2AA#ABB</v>
          </cell>
          <cell r="M2190" t="str">
            <v>Foxconn CZ</v>
          </cell>
        </row>
        <row r="2191">
          <cell r="D2191" t="str">
            <v>EMEA</v>
          </cell>
          <cell r="H2191" t="str">
            <v>X6W31AA#ABB</v>
          </cell>
          <cell r="M2191" t="str">
            <v>Foxconn CZ</v>
          </cell>
        </row>
        <row r="2192">
          <cell r="D2192" t="str">
            <v>EMEA</v>
          </cell>
          <cell r="H2192" t="str">
            <v>53X26AA#ABB</v>
          </cell>
          <cell r="M2192" t="str">
            <v>Foxconn CZ</v>
          </cell>
        </row>
        <row r="2193">
          <cell r="D2193" t="str">
            <v>EMEA</v>
          </cell>
          <cell r="H2193" t="str">
            <v>53X27AA</v>
          </cell>
          <cell r="M2193" t="str">
            <v>Foxconn CZ</v>
          </cell>
        </row>
        <row r="2194">
          <cell r="D2194" t="str">
            <v>EMEA</v>
          </cell>
          <cell r="H2194" t="str">
            <v>9C2F6AA#ABB</v>
          </cell>
          <cell r="M2194" t="str">
            <v>Foxconn CZ</v>
          </cell>
        </row>
        <row r="2195">
          <cell r="D2195" t="str">
            <v>EMEA</v>
          </cell>
          <cell r="H2195" t="str">
            <v>9C2F6AA#ABB</v>
          </cell>
          <cell r="M2195" t="str">
            <v>Foxconn CZ</v>
          </cell>
        </row>
        <row r="2196">
          <cell r="D2196" t="str">
            <v>EMEA</v>
          </cell>
          <cell r="H2196" t="str">
            <v>V0L79AA#ABB</v>
          </cell>
          <cell r="M2196" t="str">
            <v>Foxconn CZ</v>
          </cell>
        </row>
        <row r="2197">
          <cell r="D2197" t="str">
            <v>EMEA</v>
          </cell>
          <cell r="H2197" t="str">
            <v>171D8AA#ABB</v>
          </cell>
          <cell r="M2197" t="str">
            <v>Foxconn CZ</v>
          </cell>
        </row>
        <row r="2198">
          <cell r="D2198" t="str">
            <v>EMEA</v>
          </cell>
          <cell r="H2198" t="str">
            <v>3V0G9AA#ABB</v>
          </cell>
          <cell r="M2198" t="str">
            <v>Foxconn CZ</v>
          </cell>
        </row>
        <row r="2199">
          <cell r="D2199" t="str">
            <v>EMEA</v>
          </cell>
          <cell r="H2199" t="str">
            <v>428K6AA</v>
          </cell>
          <cell r="M2199" t="str">
            <v>Foxconn CZ</v>
          </cell>
        </row>
        <row r="2200">
          <cell r="D2200" t="str">
            <v>EMEA</v>
          </cell>
          <cell r="H2200" t="str">
            <v>43N04AA#ABB</v>
          </cell>
          <cell r="M2200" t="str">
            <v>Foxconn CZ</v>
          </cell>
        </row>
        <row r="2201">
          <cell r="D2201" t="str">
            <v>EMEA</v>
          </cell>
          <cell r="H2201" t="str">
            <v>240J6AA#ABB</v>
          </cell>
          <cell r="M2201" t="str">
            <v>Foxconn CZ</v>
          </cell>
        </row>
        <row r="2202">
          <cell r="D2202" t="str">
            <v>EMEA</v>
          </cell>
          <cell r="H2202" t="str">
            <v>2S9L1AA#ABB</v>
          </cell>
          <cell r="M2202" t="str">
            <v>Foxconn CZ</v>
          </cell>
        </row>
        <row r="2203">
          <cell r="D2203" t="str">
            <v>EMEA</v>
          </cell>
          <cell r="H2203" t="str">
            <v>43N04AA#ABB</v>
          </cell>
          <cell r="M2203" t="str">
            <v>Foxconn CZ</v>
          </cell>
        </row>
        <row r="2204">
          <cell r="D2204" t="str">
            <v>EMEA</v>
          </cell>
          <cell r="H2204" t="str">
            <v>6VY96AA#ABB</v>
          </cell>
          <cell r="M2204" t="str">
            <v>Foxconn CZ</v>
          </cell>
        </row>
        <row r="2205">
          <cell r="D2205" t="str">
            <v>EMEA</v>
          </cell>
          <cell r="H2205" t="str">
            <v>758A8AA#ABB</v>
          </cell>
          <cell r="M2205" t="str">
            <v>Foxconn CZ</v>
          </cell>
        </row>
        <row r="2206">
          <cell r="D2206" t="str">
            <v>EMEA</v>
          </cell>
          <cell r="H2206" t="str">
            <v>AJ7C2AA#ABB</v>
          </cell>
          <cell r="M2206" t="str">
            <v>Foxconn CZ</v>
          </cell>
        </row>
        <row r="2207">
          <cell r="D2207" t="str">
            <v>EMEA</v>
          </cell>
          <cell r="H2207" t="str">
            <v>X6W31AA#ABB</v>
          </cell>
          <cell r="M2207" t="str">
            <v>Foxconn CZ</v>
          </cell>
        </row>
        <row r="2208">
          <cell r="D2208" t="str">
            <v>EMEA</v>
          </cell>
          <cell r="H2208" t="str">
            <v>240J6AA#ABB</v>
          </cell>
          <cell r="M2208" t="str">
            <v>Foxconn CZ</v>
          </cell>
        </row>
        <row r="2209">
          <cell r="D2209" t="str">
            <v>EMEA</v>
          </cell>
          <cell r="H2209" t="str">
            <v>2S9L1AA#ABB</v>
          </cell>
          <cell r="M2209" t="str">
            <v>Foxconn CZ</v>
          </cell>
        </row>
        <row r="2210">
          <cell r="D2210" t="str">
            <v>EMEA</v>
          </cell>
          <cell r="H2210" t="str">
            <v>43N04AA#ABB</v>
          </cell>
          <cell r="M2210" t="str">
            <v>Foxconn CZ</v>
          </cell>
        </row>
        <row r="2211">
          <cell r="D2211" t="str">
            <v>EMEA</v>
          </cell>
          <cell r="H2211" t="str">
            <v>6V2J7AA#ABB</v>
          </cell>
          <cell r="M2211" t="str">
            <v>Foxconn CZ</v>
          </cell>
        </row>
        <row r="2212">
          <cell r="D2212" t="str">
            <v>EMEA</v>
          </cell>
          <cell r="H2212" t="str">
            <v>6VY96AA#ABB</v>
          </cell>
          <cell r="M2212" t="str">
            <v>Foxconn CZ</v>
          </cell>
        </row>
        <row r="2213">
          <cell r="D2213" t="str">
            <v>EMEA</v>
          </cell>
          <cell r="H2213" t="str">
            <v>758A8AA#ABB</v>
          </cell>
          <cell r="M2213" t="str">
            <v>Foxconn CZ</v>
          </cell>
        </row>
        <row r="2214">
          <cell r="D2214" t="str">
            <v>EMEA</v>
          </cell>
          <cell r="H2214" t="str">
            <v>793F9AA#ABB</v>
          </cell>
          <cell r="M2214" t="str">
            <v>Foxconn CZ</v>
          </cell>
        </row>
        <row r="2215">
          <cell r="D2215" t="str">
            <v>EMEA</v>
          </cell>
          <cell r="H2215" t="str">
            <v>AJ7C2AA#ABB</v>
          </cell>
          <cell r="M2215" t="str">
            <v>Foxconn CZ</v>
          </cell>
        </row>
        <row r="2216">
          <cell r="D2216" t="str">
            <v>EMEA</v>
          </cell>
          <cell r="H2216" t="str">
            <v>V0L79AA#ABB</v>
          </cell>
          <cell r="M2216" t="str">
            <v>Foxconn CZ</v>
          </cell>
        </row>
        <row r="2217">
          <cell r="D2217" t="str">
            <v>EMEA</v>
          </cell>
          <cell r="H2217" t="str">
            <v>V0L80AA#ABB</v>
          </cell>
          <cell r="M2217" t="str">
            <v>Foxconn CZ</v>
          </cell>
        </row>
        <row r="2218">
          <cell r="D2218" t="str">
            <v>EMEA</v>
          </cell>
          <cell r="H2218" t="str">
            <v>428K6AA</v>
          </cell>
          <cell r="M2218" t="str">
            <v>Foxconn CZ</v>
          </cell>
        </row>
        <row r="2219">
          <cell r="D2219" t="str">
            <v>NA</v>
          </cell>
          <cell r="H2219" t="str">
            <v>1Y4D0AA#ABA</v>
          </cell>
          <cell r="M2219" t="str">
            <v>Foxconn Indy</v>
          </cell>
        </row>
        <row r="2220">
          <cell r="D2220" t="str">
            <v>NA</v>
          </cell>
          <cell r="H2220" t="str">
            <v>1Y4D0AA#ABA</v>
          </cell>
          <cell r="M2220" t="str">
            <v>Foxconn Indy</v>
          </cell>
        </row>
        <row r="2221">
          <cell r="D2221" t="str">
            <v>NA</v>
          </cell>
          <cell r="H2221" t="str">
            <v>1Y4D0AA#ABA</v>
          </cell>
          <cell r="M2221" t="str">
            <v>Foxconn Indy</v>
          </cell>
        </row>
        <row r="2222">
          <cell r="D2222" t="str">
            <v>NA</v>
          </cell>
          <cell r="H2222" t="str">
            <v>1Y4D0AA#ABA</v>
          </cell>
          <cell r="M2222" t="str">
            <v>Foxconn Indy</v>
          </cell>
        </row>
        <row r="2223">
          <cell r="D2223" t="str">
            <v>NA</v>
          </cell>
          <cell r="H2223" t="str">
            <v>1Y4D0AA#ABC</v>
          </cell>
          <cell r="M2223" t="str">
            <v>Foxconn Indy</v>
          </cell>
        </row>
        <row r="2224">
          <cell r="D2224" t="str">
            <v>NA</v>
          </cell>
          <cell r="H2224" t="str">
            <v>1Y4D0AA#ABA</v>
          </cell>
          <cell r="M2224" t="str">
            <v>Foxconn Indy</v>
          </cell>
        </row>
        <row r="2225">
          <cell r="D2225" t="str">
            <v>NA</v>
          </cell>
          <cell r="H2225" t="str">
            <v>1Y4D0AA#ABA</v>
          </cell>
          <cell r="M2225" t="str">
            <v>Foxconn Indy</v>
          </cell>
        </row>
        <row r="2226">
          <cell r="D2226" t="str">
            <v>NA</v>
          </cell>
          <cell r="H2226" t="str">
            <v>1Y4D0AA#ABA</v>
          </cell>
          <cell r="M2226" t="str">
            <v>Foxconn Indy</v>
          </cell>
        </row>
        <row r="2227">
          <cell r="D2227" t="str">
            <v>NA</v>
          </cell>
          <cell r="H2227" t="str">
            <v>1Y4D0AA#ABA</v>
          </cell>
          <cell r="M2227" t="str">
            <v>Foxconn Indy</v>
          </cell>
        </row>
        <row r="2228">
          <cell r="D2228" t="str">
            <v>NA</v>
          </cell>
          <cell r="H2228" t="str">
            <v>1Y4D0AA#ABA</v>
          </cell>
          <cell r="M2228" t="str">
            <v>Foxconn Indy</v>
          </cell>
        </row>
        <row r="2229">
          <cell r="D2229" t="str">
            <v>NA</v>
          </cell>
          <cell r="H2229" t="str">
            <v>1Y4D0AA#ABA</v>
          </cell>
          <cell r="M2229" t="str">
            <v>Foxconn Indy</v>
          </cell>
        </row>
        <row r="2230">
          <cell r="D2230" t="str">
            <v>NA</v>
          </cell>
          <cell r="H2230" t="str">
            <v>1Y4D0UT#ABA</v>
          </cell>
          <cell r="M2230" t="str">
            <v>Foxconn Indy</v>
          </cell>
        </row>
        <row r="2231">
          <cell r="D2231" t="str">
            <v>NA</v>
          </cell>
          <cell r="H2231" t="str">
            <v>1Y4D0UT#ABA</v>
          </cell>
          <cell r="M2231" t="str">
            <v>Foxconn Indy</v>
          </cell>
        </row>
        <row r="2232">
          <cell r="D2232" t="str">
            <v>NA</v>
          </cell>
          <cell r="H2232" t="str">
            <v>1Y4D0UT#ABC</v>
          </cell>
          <cell r="M2232" t="str">
            <v>Foxconn Indy</v>
          </cell>
        </row>
        <row r="2233">
          <cell r="D2233" t="str">
            <v>NA</v>
          </cell>
          <cell r="H2233" t="str">
            <v>1Y4D0UT#ABA</v>
          </cell>
          <cell r="M2233" t="str">
            <v>Foxconn Indy</v>
          </cell>
        </row>
        <row r="2234">
          <cell r="D2234" t="str">
            <v>NA</v>
          </cell>
          <cell r="H2234" t="str">
            <v>1Y4D0UT#ABC</v>
          </cell>
          <cell r="M2234" t="str">
            <v>Foxconn Indy</v>
          </cell>
        </row>
        <row r="2235">
          <cell r="D2235" t="str">
            <v>NA</v>
          </cell>
          <cell r="H2235" t="str">
            <v>1Y4D0UT#ABA</v>
          </cell>
          <cell r="M2235" t="str">
            <v>Foxconn Indy</v>
          </cell>
        </row>
        <row r="2236">
          <cell r="D2236" t="str">
            <v>NA</v>
          </cell>
          <cell r="H2236" t="str">
            <v>1Y4D0UT#ABA</v>
          </cell>
          <cell r="M2236" t="str">
            <v>Foxconn Indy</v>
          </cell>
        </row>
        <row r="2237">
          <cell r="D2237" t="str">
            <v>NA</v>
          </cell>
          <cell r="H2237" t="str">
            <v>1Y4D0UT#ABA</v>
          </cell>
          <cell r="M2237" t="str">
            <v>Foxconn Indy</v>
          </cell>
        </row>
        <row r="2238">
          <cell r="D2238" t="str">
            <v>NA/LA</v>
          </cell>
          <cell r="H2238" t="str">
            <v>1D0K2AA#ABA</v>
          </cell>
          <cell r="M2238" t="str">
            <v>Foxconn Indy</v>
          </cell>
        </row>
        <row r="2239">
          <cell r="D2239" t="str">
            <v>NA</v>
          </cell>
          <cell r="H2239" t="str">
            <v>1Y4D0UT#ABA</v>
          </cell>
          <cell r="M2239" t="str">
            <v>Foxconn Indy</v>
          </cell>
        </row>
        <row r="2240">
          <cell r="D2240" t="str">
            <v>NA</v>
          </cell>
          <cell r="H2240" t="str">
            <v>1Y4D0UT#ABA</v>
          </cell>
          <cell r="M2240" t="str">
            <v>Foxconn Indy</v>
          </cell>
        </row>
        <row r="2241">
          <cell r="D2241" t="str">
            <v>NA</v>
          </cell>
          <cell r="H2241" t="str">
            <v>1Y4D0UT#ABA</v>
          </cell>
          <cell r="M2241" t="str">
            <v>Foxconn Indy</v>
          </cell>
        </row>
        <row r="2242">
          <cell r="D2242" t="str">
            <v>NA</v>
          </cell>
          <cell r="H2242" t="str">
            <v>1Y4D0UT#ABA</v>
          </cell>
          <cell r="M2242" t="str">
            <v>Foxconn Indy</v>
          </cell>
        </row>
        <row r="2243">
          <cell r="D2243" t="str">
            <v>NA</v>
          </cell>
          <cell r="H2243" t="str">
            <v>1Y4D0UT#ABA</v>
          </cell>
          <cell r="M2243" t="str">
            <v>Foxconn Indy</v>
          </cell>
        </row>
        <row r="2244">
          <cell r="D2244" t="str">
            <v>NA</v>
          </cell>
          <cell r="H2244" t="str">
            <v>1Y4D0UT#ABA</v>
          </cell>
          <cell r="M2244" t="str">
            <v>Foxconn Indy</v>
          </cell>
        </row>
        <row r="2245">
          <cell r="D2245" t="str">
            <v>NA/LA</v>
          </cell>
          <cell r="H2245" t="str">
            <v>1D0K8AA#ABA</v>
          </cell>
          <cell r="M2245" t="str">
            <v>Foxconn Indy</v>
          </cell>
        </row>
        <row r="2246">
          <cell r="D2246" t="str">
            <v>NA</v>
          </cell>
          <cell r="H2246" t="str">
            <v>1Y4D0UT#ABC</v>
          </cell>
          <cell r="M2246" t="str">
            <v>Foxconn Indy</v>
          </cell>
        </row>
        <row r="2247">
          <cell r="D2247" t="str">
            <v>NA</v>
          </cell>
          <cell r="H2247" t="str">
            <v>1Y4D0UT#ABA</v>
          </cell>
          <cell r="M2247" t="str">
            <v>Foxconn Indy</v>
          </cell>
        </row>
        <row r="2248">
          <cell r="D2248" t="str">
            <v>APJ</v>
          </cell>
          <cell r="H2248" t="str">
            <v>428K6PT#ACJ</v>
          </cell>
          <cell r="M2248" t="str">
            <v>HP India</v>
          </cell>
        </row>
        <row r="2249">
          <cell r="D2249" t="str">
            <v>APJ</v>
          </cell>
          <cell r="H2249" t="str">
            <v>428K7PT#ACJ</v>
          </cell>
          <cell r="M2249" t="str">
            <v>HP India</v>
          </cell>
        </row>
        <row r="2250">
          <cell r="D2250" t="str">
            <v>APJ</v>
          </cell>
          <cell r="H2250" t="str">
            <v>6VY95AA#ACJ</v>
          </cell>
          <cell r="M2250" t="str">
            <v>HP India</v>
          </cell>
        </row>
        <row r="2251">
          <cell r="D2251" t="str">
            <v>APJ</v>
          </cell>
          <cell r="H2251" t="str">
            <v>240J6AA#ACJ</v>
          </cell>
          <cell r="M2251" t="str">
            <v>HP India</v>
          </cell>
        </row>
        <row r="2252">
          <cell r="D2252" t="str">
            <v>APJ</v>
          </cell>
          <cell r="H2252" t="str">
            <v>6VY96AA#ACJ</v>
          </cell>
          <cell r="M2252" t="str">
            <v>HP India</v>
          </cell>
        </row>
        <row r="2253">
          <cell r="D2253" t="str">
            <v>APJ</v>
          </cell>
          <cell r="H2253" t="str">
            <v>428K6PT#ACJ</v>
          </cell>
          <cell r="M2253" t="str">
            <v>HP India</v>
          </cell>
        </row>
        <row r="2254">
          <cell r="D2254" t="str">
            <v>APJ</v>
          </cell>
          <cell r="H2254" t="str">
            <v>428K7PT#ACJ</v>
          </cell>
          <cell r="M2254" t="str">
            <v>HP India</v>
          </cell>
        </row>
        <row r="2255">
          <cell r="D2255" t="str">
            <v>APJ</v>
          </cell>
          <cell r="H2255" t="str">
            <v>240J7AA#ACJ</v>
          </cell>
          <cell r="M2255" t="str">
            <v>HP India</v>
          </cell>
        </row>
        <row r="2256">
          <cell r="D2256" t="str">
            <v>APJ</v>
          </cell>
          <cell r="H2256" t="str">
            <v>2V9E6AA#ACJ</v>
          </cell>
          <cell r="M2256" t="str">
            <v>HP India</v>
          </cell>
        </row>
        <row r="2257">
          <cell r="D2257" t="str">
            <v>APJ</v>
          </cell>
          <cell r="H2257" t="str">
            <v>2S9L1AA#ACJ</v>
          </cell>
          <cell r="M2257" t="str">
            <v>HP India</v>
          </cell>
        </row>
        <row r="2258">
          <cell r="D2258" t="str">
            <v>APJ</v>
          </cell>
          <cell r="H2258" t="str">
            <v>664R5AA#ACJ</v>
          </cell>
          <cell r="M2258" t="str">
            <v>HP India</v>
          </cell>
        </row>
        <row r="2259">
          <cell r="D2259" t="str">
            <v>APJ</v>
          </cell>
          <cell r="H2259" t="str">
            <v>6VY95AA#ACJ</v>
          </cell>
          <cell r="M2259" t="str">
            <v>HP India</v>
          </cell>
        </row>
        <row r="2260">
          <cell r="D2260" t="str">
            <v>APJ</v>
          </cell>
          <cell r="H2260" t="str">
            <v>2V9E6AA#ACJ</v>
          </cell>
          <cell r="M2260" t="str">
            <v>HP India</v>
          </cell>
        </row>
        <row r="2261">
          <cell r="D2261" t="str">
            <v>APJ</v>
          </cell>
          <cell r="H2261" t="str">
            <v>6VY96AA#ACJ</v>
          </cell>
          <cell r="M2261" t="str">
            <v>HP India</v>
          </cell>
        </row>
        <row r="2262">
          <cell r="D2262" t="str">
            <v>APJ</v>
          </cell>
          <cell r="H2262" t="str">
            <v>6VY95AA#ACJ</v>
          </cell>
          <cell r="M2262" t="str">
            <v>HP India</v>
          </cell>
        </row>
        <row r="2263">
          <cell r="D2263" t="str">
            <v>APJ</v>
          </cell>
          <cell r="H2263" t="str">
            <v>240J6AA#ACJ</v>
          </cell>
          <cell r="M2263" t="str">
            <v>HP India</v>
          </cell>
        </row>
        <row r="2264">
          <cell r="D2264" t="str">
            <v>APJ</v>
          </cell>
          <cell r="H2264" t="str">
            <v>240J7AA#ACJ</v>
          </cell>
          <cell r="M2264" t="str">
            <v>HP India</v>
          </cell>
        </row>
        <row r="2265">
          <cell r="D2265" t="str">
            <v>APJ</v>
          </cell>
          <cell r="H2265" t="str">
            <v>6VY96AA#ACJ</v>
          </cell>
          <cell r="M2265" t="str">
            <v>HP India</v>
          </cell>
        </row>
        <row r="2266">
          <cell r="D2266" t="str">
            <v>APJ</v>
          </cell>
          <cell r="H2266" t="str">
            <v>2S9L1AA#ACJ</v>
          </cell>
          <cell r="M2266" t="str">
            <v>HP India</v>
          </cell>
        </row>
        <row r="2267">
          <cell r="D2267" t="str">
            <v>APJ</v>
          </cell>
          <cell r="H2267" t="str">
            <v>6VY95AA#ACJ</v>
          </cell>
          <cell r="M2267" t="str">
            <v>HP India</v>
          </cell>
        </row>
        <row r="2268">
          <cell r="D2268" t="str">
            <v>APJ</v>
          </cell>
          <cell r="H2268" t="str">
            <v>2V9E6AA#ACJ</v>
          </cell>
          <cell r="M2268" t="str">
            <v>HP India</v>
          </cell>
        </row>
        <row r="2269">
          <cell r="D2269" t="str">
            <v>APJ</v>
          </cell>
          <cell r="H2269" t="str">
            <v>240J7AA#ACJ</v>
          </cell>
          <cell r="M2269" t="str">
            <v>HP India</v>
          </cell>
        </row>
        <row r="2270">
          <cell r="D2270" t="str">
            <v>APJ</v>
          </cell>
          <cell r="H2270" t="str">
            <v>240J7AA#ACJ</v>
          </cell>
          <cell r="M2270" t="str">
            <v>HP India</v>
          </cell>
        </row>
        <row r="2271">
          <cell r="D2271" t="str">
            <v>APJ</v>
          </cell>
          <cell r="H2271" t="str">
            <v>6VY96AA#ACJ</v>
          </cell>
          <cell r="M2271" t="str">
            <v>HP India</v>
          </cell>
        </row>
        <row r="2272">
          <cell r="D2272" t="str">
            <v>APJ</v>
          </cell>
          <cell r="H2272" t="str">
            <v>428K6PT#ACJ</v>
          </cell>
          <cell r="M2272" t="str">
            <v>HP India</v>
          </cell>
        </row>
        <row r="2273">
          <cell r="D2273" t="str">
            <v>APJ</v>
          </cell>
          <cell r="H2273" t="str">
            <v>240J6AA#ACJ</v>
          </cell>
          <cell r="M2273" t="str">
            <v>HP India</v>
          </cell>
        </row>
        <row r="2274">
          <cell r="D2274" t="str">
            <v>APJ</v>
          </cell>
          <cell r="H2274" t="str">
            <v>2V9E6AA#ACJ</v>
          </cell>
          <cell r="M2274" t="str">
            <v>HP India</v>
          </cell>
        </row>
        <row r="2275">
          <cell r="D2275" t="str">
            <v>APJ</v>
          </cell>
          <cell r="H2275" t="str">
            <v>240J7AA#ACJ</v>
          </cell>
          <cell r="M2275" t="str">
            <v>HP India</v>
          </cell>
        </row>
        <row r="2276">
          <cell r="D2276" t="str">
            <v>APJ</v>
          </cell>
          <cell r="H2276" t="str">
            <v>240J7AA#ACJ</v>
          </cell>
          <cell r="M2276" t="str">
            <v>HP India</v>
          </cell>
        </row>
        <row r="2277">
          <cell r="D2277" t="str">
            <v>APJ</v>
          </cell>
          <cell r="H2277" t="str">
            <v>2V9E6AA#ACJ</v>
          </cell>
          <cell r="M2277" t="str">
            <v>HP India</v>
          </cell>
        </row>
        <row r="2278">
          <cell r="D2278" t="str">
            <v>APJ</v>
          </cell>
          <cell r="H2278" t="str">
            <v>2S9L1AA#ACJ</v>
          </cell>
          <cell r="M2278" t="str">
            <v>HP India</v>
          </cell>
        </row>
        <row r="2279">
          <cell r="D2279" t="str">
            <v>APJ</v>
          </cell>
          <cell r="H2279" t="str">
            <v>6VY95AA#ACJ</v>
          </cell>
          <cell r="M2279" t="str">
            <v>HP India</v>
          </cell>
        </row>
        <row r="2280">
          <cell r="D2280" t="str">
            <v>APJ</v>
          </cell>
          <cell r="H2280" t="str">
            <v>6VY95AA#ACJ</v>
          </cell>
          <cell r="M2280" t="str">
            <v>HP India</v>
          </cell>
        </row>
        <row r="2281">
          <cell r="D2281" t="str">
            <v>APJ</v>
          </cell>
          <cell r="H2281" t="str">
            <v>6VY95AA#ACJ</v>
          </cell>
          <cell r="M2281" t="str">
            <v>HP India</v>
          </cell>
        </row>
        <row r="2282">
          <cell r="D2282" t="str">
            <v>APJ</v>
          </cell>
          <cell r="H2282" t="str">
            <v>2V9E6AA#ACJ</v>
          </cell>
          <cell r="M2282" t="str">
            <v>HP India</v>
          </cell>
        </row>
        <row r="2283">
          <cell r="D2283" t="str">
            <v>APJ</v>
          </cell>
          <cell r="H2283" t="str">
            <v>2V9E6AA#ACJ</v>
          </cell>
          <cell r="M2283" t="str">
            <v>HP India</v>
          </cell>
        </row>
        <row r="2284">
          <cell r="D2284" t="str">
            <v>APJ</v>
          </cell>
          <cell r="H2284" t="str">
            <v>2V9E6AA#ACJ</v>
          </cell>
          <cell r="M2284" t="str">
            <v>HP India</v>
          </cell>
        </row>
        <row r="2285">
          <cell r="D2285" t="str">
            <v>APJ</v>
          </cell>
          <cell r="H2285" t="str">
            <v>240J6AA#ACJ</v>
          </cell>
          <cell r="M2285" t="str">
            <v>HP India</v>
          </cell>
        </row>
        <row r="2286">
          <cell r="D2286" t="str">
            <v>APJ</v>
          </cell>
          <cell r="H2286" t="str">
            <v>6VY95AA#ACJ</v>
          </cell>
          <cell r="M2286" t="str">
            <v>HP India</v>
          </cell>
        </row>
        <row r="2287">
          <cell r="D2287" t="str">
            <v>APJ</v>
          </cell>
          <cell r="H2287" t="str">
            <v>2S9L1AA#ACJ</v>
          </cell>
          <cell r="M2287" t="str">
            <v>HP India</v>
          </cell>
        </row>
        <row r="2288">
          <cell r="D2288" t="str">
            <v>APJ</v>
          </cell>
          <cell r="H2288" t="str">
            <v>2V9E6AA#ACJ</v>
          </cell>
          <cell r="M2288" t="str">
            <v>HP India</v>
          </cell>
        </row>
        <row r="2289">
          <cell r="D2289" t="str">
            <v>APJ</v>
          </cell>
          <cell r="H2289" t="str">
            <v>2V9E6AA#ACJ</v>
          </cell>
          <cell r="M2289" t="str">
            <v>HP India</v>
          </cell>
        </row>
        <row r="2290">
          <cell r="D2290" t="str">
            <v>APJ</v>
          </cell>
          <cell r="H2290" t="str">
            <v>2V9E6AA#ACJ</v>
          </cell>
          <cell r="M2290" t="str">
            <v>HP India</v>
          </cell>
        </row>
        <row r="2291">
          <cell r="D2291" t="str">
            <v>APJ</v>
          </cell>
          <cell r="H2291" t="str">
            <v>2V9E6AA#ACJ</v>
          </cell>
          <cell r="M2291" t="str">
            <v>HP India</v>
          </cell>
        </row>
        <row r="2292">
          <cell r="D2292" t="str">
            <v>DIB</v>
          </cell>
          <cell r="H2292" t="str">
            <v>N37102-001</v>
          </cell>
          <cell r="M2292" t="str">
            <v>HP Japan</v>
          </cell>
        </row>
        <row r="2293">
          <cell r="D2293" t="str">
            <v>DIB</v>
          </cell>
          <cell r="H2293" t="str">
            <v>N43864-001</v>
          </cell>
          <cell r="M2293" t="str">
            <v>Inventec</v>
          </cell>
        </row>
        <row r="2294">
          <cell r="D2294" t="str">
            <v>DIB</v>
          </cell>
          <cell r="H2294" t="str">
            <v>N43866-001</v>
          </cell>
          <cell r="M2294" t="str">
            <v>Inventec</v>
          </cell>
        </row>
        <row r="2295">
          <cell r="D2295" t="str">
            <v>DIB</v>
          </cell>
          <cell r="H2295" t="str">
            <v>N38404-001</v>
          </cell>
          <cell r="M2295" t="str">
            <v>Inventec</v>
          </cell>
        </row>
        <row r="2296">
          <cell r="D2296" t="str">
            <v>DIB</v>
          </cell>
          <cell r="H2296" t="str">
            <v>N37102-001</v>
          </cell>
          <cell r="M2296" t="str">
            <v>Inventec</v>
          </cell>
        </row>
        <row r="2297">
          <cell r="D2297" t="str">
            <v>DIB</v>
          </cell>
          <cell r="H2297" t="str">
            <v>N72845-001</v>
          </cell>
          <cell r="M2297" t="str">
            <v>Inventec</v>
          </cell>
        </row>
        <row r="2298">
          <cell r="D2298" t="str">
            <v>DIB</v>
          </cell>
          <cell r="H2298" t="str">
            <v>N43864-001</v>
          </cell>
          <cell r="M2298" t="str">
            <v>Inventec</v>
          </cell>
        </row>
        <row r="2299">
          <cell r="D2299" t="str">
            <v>DIB</v>
          </cell>
          <cell r="H2299" t="str">
            <v>N38404-001</v>
          </cell>
          <cell r="M2299" t="str">
            <v>Inventec</v>
          </cell>
        </row>
        <row r="2300">
          <cell r="D2300" t="str">
            <v>DIB</v>
          </cell>
          <cell r="H2300" t="str">
            <v>N37102-001</v>
          </cell>
          <cell r="M2300" t="str">
            <v>Inventec</v>
          </cell>
        </row>
        <row r="2301">
          <cell r="D2301" t="str">
            <v>DIB</v>
          </cell>
          <cell r="H2301" t="str">
            <v>N37102-001</v>
          </cell>
          <cell r="M2301" t="str">
            <v>Inventec</v>
          </cell>
        </row>
        <row r="2302">
          <cell r="D2302" t="str">
            <v>DIB</v>
          </cell>
          <cell r="H2302" t="str">
            <v>M82159-001</v>
          </cell>
          <cell r="M2302" t="str">
            <v>Inventec</v>
          </cell>
        </row>
        <row r="2303">
          <cell r="D2303" t="str">
            <v>DIB</v>
          </cell>
          <cell r="H2303" t="str">
            <v>N37102-001</v>
          </cell>
          <cell r="M2303" t="str">
            <v>Inventec</v>
          </cell>
        </row>
        <row r="2304">
          <cell r="D2304" t="str">
            <v>DIB</v>
          </cell>
          <cell r="H2304" t="str">
            <v>N43864-001</v>
          </cell>
          <cell r="M2304" t="str">
            <v>Inventec</v>
          </cell>
        </row>
        <row r="2305">
          <cell r="D2305" t="str">
            <v>DIB</v>
          </cell>
          <cell r="H2305" t="str">
            <v>N37102-001</v>
          </cell>
          <cell r="M2305" t="str">
            <v>Inventec</v>
          </cell>
        </row>
        <row r="2306">
          <cell r="D2306" t="str">
            <v>DIB</v>
          </cell>
          <cell r="H2306" t="str">
            <v>N43866-001</v>
          </cell>
          <cell r="M2306" t="str">
            <v>Inventec</v>
          </cell>
        </row>
        <row r="2307">
          <cell r="D2307" t="str">
            <v>DIB</v>
          </cell>
          <cell r="H2307" t="str">
            <v>N37102-001</v>
          </cell>
          <cell r="M2307" t="str">
            <v>Inventec</v>
          </cell>
        </row>
        <row r="2308">
          <cell r="D2308" t="str">
            <v>DIB</v>
          </cell>
          <cell r="H2308" t="str">
            <v>N38404-001</v>
          </cell>
          <cell r="M2308" t="str">
            <v>Inventec</v>
          </cell>
        </row>
        <row r="2309">
          <cell r="D2309" t="str">
            <v>DIB</v>
          </cell>
          <cell r="H2309" t="str">
            <v>N87316-001</v>
          </cell>
          <cell r="M2309" t="str">
            <v>Inventec</v>
          </cell>
        </row>
        <row r="2310">
          <cell r="D2310" t="str">
            <v>DIB</v>
          </cell>
          <cell r="H2310" t="str">
            <v>N87314-001</v>
          </cell>
          <cell r="M2310" t="str">
            <v>Inventec</v>
          </cell>
        </row>
        <row r="2311">
          <cell r="D2311" t="str">
            <v>DIB</v>
          </cell>
          <cell r="H2311" t="str">
            <v>N87318-001</v>
          </cell>
          <cell r="M2311" t="str">
            <v>Inventec</v>
          </cell>
        </row>
        <row r="2312">
          <cell r="D2312" t="str">
            <v>DIB</v>
          </cell>
          <cell r="H2312" t="str">
            <v>N87312-001</v>
          </cell>
          <cell r="M2312" t="str">
            <v>Inventec</v>
          </cell>
        </row>
        <row r="2313">
          <cell r="D2313" t="str">
            <v>DIB</v>
          </cell>
          <cell r="H2313" t="str">
            <v>N61962-A21</v>
          </cell>
          <cell r="M2313" t="str">
            <v>Inventec</v>
          </cell>
        </row>
        <row r="2314">
          <cell r="D2314" t="str">
            <v>DIB</v>
          </cell>
          <cell r="H2314" t="str">
            <v>N37102-001</v>
          </cell>
          <cell r="M2314" t="str">
            <v>Inventec</v>
          </cell>
        </row>
        <row r="2315">
          <cell r="D2315" t="str">
            <v>DIB</v>
          </cell>
          <cell r="H2315" t="str">
            <v>M82159-001</v>
          </cell>
          <cell r="M2315" t="str">
            <v>Inventec</v>
          </cell>
        </row>
        <row r="2316">
          <cell r="D2316" t="str">
            <v>DIB</v>
          </cell>
          <cell r="H2316" t="str">
            <v>M82158-001</v>
          </cell>
          <cell r="M2316" t="str">
            <v>Inventec</v>
          </cell>
        </row>
        <row r="2317">
          <cell r="D2317" t="str">
            <v>DIB</v>
          </cell>
          <cell r="H2317" t="str">
            <v>N37102-001</v>
          </cell>
          <cell r="M2317" t="str">
            <v>Inventec</v>
          </cell>
        </row>
        <row r="2318">
          <cell r="D2318" t="str">
            <v>DIB</v>
          </cell>
          <cell r="H2318" t="str">
            <v>N87318-001</v>
          </cell>
          <cell r="M2318" t="str">
            <v>Inventec</v>
          </cell>
        </row>
        <row r="2319">
          <cell r="D2319" t="str">
            <v>DIB</v>
          </cell>
          <cell r="H2319" t="str">
            <v>N37102-001</v>
          </cell>
          <cell r="M2319" t="str">
            <v>Inventec</v>
          </cell>
        </row>
        <row r="2320">
          <cell r="D2320" t="str">
            <v>DIB</v>
          </cell>
          <cell r="H2320" t="str">
            <v>N87318-001</v>
          </cell>
          <cell r="M2320" t="str">
            <v>Inventec</v>
          </cell>
        </row>
        <row r="2321">
          <cell r="D2321" t="str">
            <v>DIB</v>
          </cell>
          <cell r="H2321" t="str">
            <v>N38404-001</v>
          </cell>
          <cell r="M2321" t="str">
            <v>Inventec</v>
          </cell>
        </row>
        <row r="2322">
          <cell r="D2322" t="str">
            <v>DIB</v>
          </cell>
          <cell r="H2322" t="str">
            <v>N37102-001</v>
          </cell>
          <cell r="M2322" t="str">
            <v>Inventec</v>
          </cell>
        </row>
        <row r="2323">
          <cell r="D2323" t="str">
            <v>DIB</v>
          </cell>
          <cell r="H2323" t="str">
            <v>N87316-001</v>
          </cell>
          <cell r="M2323" t="str">
            <v>Inventec</v>
          </cell>
        </row>
        <row r="2324">
          <cell r="D2324" t="str">
            <v>DIB</v>
          </cell>
          <cell r="H2324" t="str">
            <v>N87318-001</v>
          </cell>
          <cell r="M2324" t="str">
            <v>Inventec</v>
          </cell>
        </row>
        <row r="2325">
          <cell r="D2325" t="str">
            <v>DIB</v>
          </cell>
          <cell r="H2325" t="str">
            <v>N87314-001</v>
          </cell>
          <cell r="M2325" t="str">
            <v>Inventec</v>
          </cell>
        </row>
        <row r="2326">
          <cell r="D2326" t="str">
            <v>DIB</v>
          </cell>
          <cell r="H2326" t="str">
            <v>N38404-001</v>
          </cell>
          <cell r="M2326" t="str">
            <v>Inventec</v>
          </cell>
        </row>
        <row r="2327">
          <cell r="D2327" t="str">
            <v>DIB</v>
          </cell>
          <cell r="H2327" t="str">
            <v>M82158-001</v>
          </cell>
          <cell r="M2327" t="str">
            <v>Inventec</v>
          </cell>
        </row>
        <row r="2328">
          <cell r="D2328" t="str">
            <v>DIB</v>
          </cell>
          <cell r="H2328" t="str">
            <v>M82159-001</v>
          </cell>
          <cell r="M2328" t="str">
            <v>Inventec</v>
          </cell>
        </row>
        <row r="2329">
          <cell r="D2329" t="str">
            <v>DIB</v>
          </cell>
          <cell r="H2329" t="str">
            <v>N87318-001</v>
          </cell>
          <cell r="M2329" t="str">
            <v>Inventec</v>
          </cell>
        </row>
        <row r="2330">
          <cell r="D2330" t="str">
            <v>DIB</v>
          </cell>
          <cell r="H2330" t="str">
            <v>N37102-001</v>
          </cell>
          <cell r="M2330" t="str">
            <v>Inventec</v>
          </cell>
        </row>
        <row r="2331">
          <cell r="D2331" t="str">
            <v>DIB</v>
          </cell>
          <cell r="H2331" t="str">
            <v>N38404-001</v>
          </cell>
          <cell r="M2331" t="str">
            <v>Inventec</v>
          </cell>
        </row>
        <row r="2332">
          <cell r="D2332" t="str">
            <v>DIB</v>
          </cell>
          <cell r="H2332" t="str">
            <v>N87316-001</v>
          </cell>
          <cell r="M2332" t="str">
            <v>Inventec</v>
          </cell>
        </row>
        <row r="2333">
          <cell r="D2333" t="str">
            <v>DIB</v>
          </cell>
          <cell r="H2333" t="str">
            <v>N87318-001</v>
          </cell>
          <cell r="M2333" t="str">
            <v>Inventec</v>
          </cell>
        </row>
        <row r="2334">
          <cell r="D2334" t="str">
            <v>DIB</v>
          </cell>
          <cell r="H2334" t="str">
            <v>N38404-001</v>
          </cell>
          <cell r="M2334" t="str">
            <v>Inventec</v>
          </cell>
        </row>
        <row r="2335">
          <cell r="D2335" t="str">
            <v>DIB</v>
          </cell>
          <cell r="H2335" t="str">
            <v>N37102-001</v>
          </cell>
          <cell r="M2335" t="str">
            <v>Inventec</v>
          </cell>
        </row>
        <row r="2336">
          <cell r="D2336" t="str">
            <v>DIB</v>
          </cell>
          <cell r="H2336" t="str">
            <v>N87314-001</v>
          </cell>
          <cell r="M2336" t="str">
            <v>Inventec</v>
          </cell>
        </row>
        <row r="2337">
          <cell r="D2337" t="str">
            <v>DIB</v>
          </cell>
          <cell r="H2337" t="str">
            <v>N38404-001</v>
          </cell>
          <cell r="M2337" t="str">
            <v>Inventec</v>
          </cell>
        </row>
        <row r="2338">
          <cell r="D2338" t="str">
            <v>DIB</v>
          </cell>
          <cell r="H2338" t="str">
            <v>N87316-001</v>
          </cell>
          <cell r="M2338" t="str">
            <v>Inventec</v>
          </cell>
        </row>
        <row r="2339">
          <cell r="D2339" t="str">
            <v>DIB</v>
          </cell>
          <cell r="H2339" t="str">
            <v>N87314-001</v>
          </cell>
          <cell r="M2339" t="str">
            <v>Inventec</v>
          </cell>
        </row>
        <row r="2340">
          <cell r="D2340" t="str">
            <v>DIB</v>
          </cell>
          <cell r="H2340" t="str">
            <v>N37102-001</v>
          </cell>
          <cell r="M2340" t="str">
            <v>Inventec</v>
          </cell>
        </row>
        <row r="2341">
          <cell r="D2341" t="str">
            <v>DIB</v>
          </cell>
          <cell r="H2341" t="str">
            <v>N87316-001</v>
          </cell>
          <cell r="M2341" t="str">
            <v>Inventec</v>
          </cell>
        </row>
        <row r="2342">
          <cell r="D2342" t="str">
            <v>DIB</v>
          </cell>
          <cell r="H2342" t="str">
            <v>N87318-001</v>
          </cell>
          <cell r="M2342" t="str">
            <v>Inventec</v>
          </cell>
        </row>
        <row r="2343">
          <cell r="D2343" t="str">
            <v>DIB</v>
          </cell>
          <cell r="H2343" t="str">
            <v>N38404-001</v>
          </cell>
          <cell r="M2343" t="str">
            <v>Inventec</v>
          </cell>
        </row>
        <row r="2344">
          <cell r="D2344" t="str">
            <v>DIB</v>
          </cell>
          <cell r="H2344" t="str">
            <v>N87312-001</v>
          </cell>
          <cell r="M2344" t="str">
            <v>Inventec</v>
          </cell>
        </row>
        <row r="2345">
          <cell r="D2345" t="str">
            <v>DIB</v>
          </cell>
          <cell r="H2345" t="str">
            <v>N87318-001</v>
          </cell>
          <cell r="M2345" t="str">
            <v>Inventec</v>
          </cell>
        </row>
        <row r="2346">
          <cell r="D2346" t="str">
            <v>DIB</v>
          </cell>
          <cell r="H2346" t="str">
            <v>N87312-001</v>
          </cell>
          <cell r="M2346" t="str">
            <v>Inventec</v>
          </cell>
        </row>
        <row r="2347">
          <cell r="D2347" t="str">
            <v>DIB</v>
          </cell>
          <cell r="H2347" t="str">
            <v>N38404-001</v>
          </cell>
          <cell r="M2347" t="str">
            <v>Inventec</v>
          </cell>
        </row>
        <row r="2348">
          <cell r="D2348" t="str">
            <v>DIB</v>
          </cell>
          <cell r="H2348" t="str">
            <v>M82159-001</v>
          </cell>
          <cell r="M2348" t="str">
            <v>Inventec</v>
          </cell>
        </row>
        <row r="2349">
          <cell r="D2349" t="str">
            <v>DIB</v>
          </cell>
          <cell r="H2349" t="str">
            <v>N37102-001</v>
          </cell>
          <cell r="M2349" t="str">
            <v>Inventec</v>
          </cell>
        </row>
        <row r="2350">
          <cell r="D2350" t="str">
            <v>DIB</v>
          </cell>
          <cell r="H2350" t="str">
            <v>N37102-001</v>
          </cell>
          <cell r="M2350" t="str">
            <v>Inventec</v>
          </cell>
        </row>
        <row r="2351">
          <cell r="D2351" t="str">
            <v>DIB</v>
          </cell>
          <cell r="H2351" t="str">
            <v>P29388-001</v>
          </cell>
          <cell r="M2351" t="str">
            <v>Inventec</v>
          </cell>
        </row>
        <row r="2352">
          <cell r="D2352" t="str">
            <v>DIB</v>
          </cell>
          <cell r="H2352" t="str">
            <v>N43864-001</v>
          </cell>
          <cell r="M2352" t="str">
            <v>QUANTA</v>
          </cell>
        </row>
        <row r="2353">
          <cell r="D2353" t="str">
            <v>DIB</v>
          </cell>
          <cell r="H2353" t="str">
            <v>N38404-001</v>
          </cell>
          <cell r="M2353" t="str">
            <v>QUANTA</v>
          </cell>
        </row>
        <row r="2354">
          <cell r="D2354" t="str">
            <v>DIB</v>
          </cell>
          <cell r="H2354" t="str">
            <v>N43866-001</v>
          </cell>
          <cell r="M2354" t="str">
            <v>QUANTA</v>
          </cell>
        </row>
        <row r="2355">
          <cell r="D2355" t="str">
            <v>DIB</v>
          </cell>
          <cell r="H2355" t="str">
            <v>L13998-002</v>
          </cell>
          <cell r="M2355" t="str">
            <v>QUANTA</v>
          </cell>
        </row>
        <row r="2356">
          <cell r="D2356" t="str">
            <v>DIB</v>
          </cell>
          <cell r="H2356" t="str">
            <v>M40045-161</v>
          </cell>
          <cell r="M2356" t="str">
            <v>QUANTA</v>
          </cell>
        </row>
        <row r="2357">
          <cell r="D2357" t="str">
            <v>DIB</v>
          </cell>
          <cell r="H2357" t="str">
            <v>M53402-001</v>
          </cell>
          <cell r="M2357" t="str">
            <v>QUANTA</v>
          </cell>
        </row>
        <row r="2358">
          <cell r="D2358" t="str">
            <v>DIB</v>
          </cell>
          <cell r="H2358" t="str">
            <v>L13998-002</v>
          </cell>
          <cell r="M2358" t="str">
            <v>QUANTA</v>
          </cell>
        </row>
        <row r="2359">
          <cell r="D2359" t="str">
            <v>DIB</v>
          </cell>
          <cell r="H2359" t="str">
            <v>M40043-161</v>
          </cell>
          <cell r="M2359" t="str">
            <v>QUANTA</v>
          </cell>
        </row>
        <row r="2360">
          <cell r="D2360" t="str">
            <v>DIB</v>
          </cell>
          <cell r="H2360" t="str">
            <v>N37102-001</v>
          </cell>
          <cell r="M2360" t="str">
            <v>QUANTA</v>
          </cell>
        </row>
        <row r="2361">
          <cell r="D2361" t="str">
            <v>DIB</v>
          </cell>
          <cell r="H2361" t="str">
            <v>N37102-001</v>
          </cell>
          <cell r="M2361" t="str">
            <v>QUANTA</v>
          </cell>
        </row>
        <row r="2362">
          <cell r="D2362" t="str">
            <v>DIB</v>
          </cell>
          <cell r="H2362" t="str">
            <v>N61962-A21</v>
          </cell>
          <cell r="M2362" t="str">
            <v>QUANTA</v>
          </cell>
        </row>
        <row r="2363">
          <cell r="D2363" t="str">
            <v>DIB</v>
          </cell>
          <cell r="H2363" t="str">
            <v>N37102-001</v>
          </cell>
          <cell r="M2363" t="str">
            <v>QUANTA</v>
          </cell>
        </row>
        <row r="2364">
          <cell r="D2364" t="str">
            <v>DIB</v>
          </cell>
          <cell r="H2364" t="str">
            <v>N38404-001</v>
          </cell>
          <cell r="M2364" t="str">
            <v>QUANTA</v>
          </cell>
        </row>
        <row r="2365">
          <cell r="D2365" t="str">
            <v>DIB</v>
          </cell>
          <cell r="H2365" t="str">
            <v>M40045-161</v>
          </cell>
          <cell r="M2365" t="str">
            <v>QUANTA</v>
          </cell>
        </row>
        <row r="2366">
          <cell r="D2366" t="str">
            <v>DIB</v>
          </cell>
          <cell r="H2366" t="str">
            <v>N61962-371</v>
          </cell>
          <cell r="M2366" t="str">
            <v>QUANTA</v>
          </cell>
        </row>
        <row r="2367">
          <cell r="D2367" t="str">
            <v>DIB</v>
          </cell>
          <cell r="H2367" t="str">
            <v>M40045-161</v>
          </cell>
          <cell r="M2367" t="str">
            <v>QUANTA</v>
          </cell>
        </row>
        <row r="2368">
          <cell r="D2368" t="str">
            <v>DIB</v>
          </cell>
          <cell r="H2368" t="str">
            <v>M40043-161</v>
          </cell>
          <cell r="M2368" t="str">
            <v>QUANTA</v>
          </cell>
        </row>
        <row r="2369">
          <cell r="D2369" t="str">
            <v>DIB</v>
          </cell>
          <cell r="H2369" t="str">
            <v>N37102-001</v>
          </cell>
          <cell r="M2369" t="str">
            <v>QUANTA</v>
          </cell>
        </row>
        <row r="2370">
          <cell r="D2370" t="str">
            <v>DIB</v>
          </cell>
          <cell r="H2370" t="str">
            <v>N55705-001</v>
          </cell>
          <cell r="M2370" t="str">
            <v>QUANTA</v>
          </cell>
        </row>
        <row r="2371">
          <cell r="D2371" t="str">
            <v>DIB</v>
          </cell>
          <cell r="H2371" t="str">
            <v>N20172-001</v>
          </cell>
          <cell r="M2371" t="str">
            <v>QUANTA</v>
          </cell>
        </row>
        <row r="2372">
          <cell r="D2372" t="str">
            <v>DIB</v>
          </cell>
          <cell r="H2372" t="str">
            <v>N43864-001</v>
          </cell>
          <cell r="M2372" t="str">
            <v>QUANTA</v>
          </cell>
        </row>
        <row r="2373">
          <cell r="D2373" t="str">
            <v>DIB</v>
          </cell>
          <cell r="H2373" t="str">
            <v>M40043-161</v>
          </cell>
          <cell r="M2373" t="str">
            <v>QUANTA</v>
          </cell>
        </row>
        <row r="2374">
          <cell r="D2374" t="str">
            <v>DIB</v>
          </cell>
          <cell r="H2374" t="str">
            <v>N37102-001</v>
          </cell>
          <cell r="M2374" t="str">
            <v>QUANTA</v>
          </cell>
        </row>
        <row r="2375">
          <cell r="D2375" t="str">
            <v>DIB</v>
          </cell>
          <cell r="H2375" t="str">
            <v>M40045-161</v>
          </cell>
          <cell r="M2375" t="str">
            <v>QUANTA</v>
          </cell>
        </row>
        <row r="2376">
          <cell r="D2376" t="str">
            <v>DIB</v>
          </cell>
          <cell r="H2376" t="str">
            <v>M40043-161</v>
          </cell>
          <cell r="M2376" t="str">
            <v>QUANTA</v>
          </cell>
        </row>
        <row r="2377">
          <cell r="D2377" t="str">
            <v>DIB</v>
          </cell>
          <cell r="H2377" t="str">
            <v>N20172-001</v>
          </cell>
          <cell r="M2377" t="str">
            <v>QUANTA</v>
          </cell>
        </row>
        <row r="2378">
          <cell r="D2378" t="str">
            <v>DIB</v>
          </cell>
          <cell r="H2378" t="str">
            <v>M40045-161</v>
          </cell>
          <cell r="M2378" t="str">
            <v>QUANTA</v>
          </cell>
        </row>
        <row r="2379">
          <cell r="D2379" t="str">
            <v>DIB</v>
          </cell>
          <cell r="H2379" t="str">
            <v>N37102-001</v>
          </cell>
          <cell r="M2379" t="str">
            <v>QUANTA</v>
          </cell>
        </row>
        <row r="2380">
          <cell r="D2380" t="str">
            <v>DIB</v>
          </cell>
          <cell r="H2380" t="str">
            <v>M40043-161</v>
          </cell>
          <cell r="M2380" t="str">
            <v>QUANTA</v>
          </cell>
        </row>
        <row r="2381">
          <cell r="D2381" t="str">
            <v>DIB</v>
          </cell>
          <cell r="H2381" t="str">
            <v>N37102-001</v>
          </cell>
          <cell r="M2381" t="str">
            <v>QUANTA</v>
          </cell>
        </row>
        <row r="2382">
          <cell r="D2382" t="str">
            <v>DIB</v>
          </cell>
          <cell r="H2382" t="str">
            <v>N72845-001</v>
          </cell>
          <cell r="M2382" t="str">
            <v>QUANTA</v>
          </cell>
        </row>
        <row r="2383">
          <cell r="D2383" t="str">
            <v>DIB</v>
          </cell>
          <cell r="H2383" t="str">
            <v>N20172-001</v>
          </cell>
          <cell r="M2383" t="str">
            <v>QUANTA</v>
          </cell>
        </row>
        <row r="2384">
          <cell r="D2384" t="str">
            <v>DIB</v>
          </cell>
          <cell r="H2384" t="str">
            <v>M40045-161</v>
          </cell>
          <cell r="M2384" t="str">
            <v>QUANTA</v>
          </cell>
        </row>
        <row r="2385">
          <cell r="D2385" t="str">
            <v>DIB</v>
          </cell>
          <cell r="H2385" t="str">
            <v>N37102-001</v>
          </cell>
          <cell r="M2385" t="str">
            <v>QUANTA</v>
          </cell>
        </row>
        <row r="2386">
          <cell r="D2386" t="str">
            <v>DIB</v>
          </cell>
          <cell r="H2386" t="str">
            <v>M40045-161</v>
          </cell>
          <cell r="M2386" t="str">
            <v>QUANTA</v>
          </cell>
        </row>
        <row r="2387">
          <cell r="D2387" t="str">
            <v>DIB</v>
          </cell>
          <cell r="H2387" t="str">
            <v>L13998-002</v>
          </cell>
          <cell r="M2387" t="str">
            <v>QUANTA</v>
          </cell>
        </row>
        <row r="2388">
          <cell r="D2388" t="str">
            <v>DIB</v>
          </cell>
          <cell r="H2388" t="str">
            <v>L13998-002</v>
          </cell>
          <cell r="M2388" t="str">
            <v>QUANTA</v>
          </cell>
        </row>
        <row r="2389">
          <cell r="D2389" t="str">
            <v>DIB</v>
          </cell>
          <cell r="H2389" t="str">
            <v>M40043-161</v>
          </cell>
          <cell r="M2389" t="str">
            <v>QUANTA</v>
          </cell>
        </row>
        <row r="2390">
          <cell r="D2390" t="str">
            <v>DIB</v>
          </cell>
          <cell r="H2390" t="str">
            <v>M40045-161</v>
          </cell>
          <cell r="M2390" t="str">
            <v>QUANTA</v>
          </cell>
        </row>
        <row r="2391">
          <cell r="D2391" t="str">
            <v>DIB</v>
          </cell>
          <cell r="H2391" t="str">
            <v>M40045-161</v>
          </cell>
          <cell r="M2391" t="str">
            <v>QUANTA</v>
          </cell>
        </row>
        <row r="2392">
          <cell r="D2392" t="str">
            <v>DIB</v>
          </cell>
          <cell r="H2392" t="str">
            <v>M40045-161</v>
          </cell>
          <cell r="M2392" t="str">
            <v>QUANTA</v>
          </cell>
        </row>
        <row r="2393">
          <cell r="D2393" t="str">
            <v>DIB</v>
          </cell>
          <cell r="H2393" t="str">
            <v>M40043-161</v>
          </cell>
          <cell r="M2393" t="str">
            <v>QUANTA</v>
          </cell>
        </row>
        <row r="2394">
          <cell r="D2394" t="str">
            <v>DIB</v>
          </cell>
          <cell r="H2394" t="str">
            <v>L13998-002</v>
          </cell>
          <cell r="M2394" t="str">
            <v>QUANTA</v>
          </cell>
        </row>
        <row r="2395">
          <cell r="D2395" t="str">
            <v>DIB</v>
          </cell>
          <cell r="H2395" t="str">
            <v>N37102-001</v>
          </cell>
          <cell r="M2395" t="str">
            <v>QUANTA</v>
          </cell>
        </row>
        <row r="2396">
          <cell r="D2396" t="str">
            <v>DIB</v>
          </cell>
          <cell r="H2396" t="str">
            <v>M40045-161</v>
          </cell>
          <cell r="M2396" t="str">
            <v>QUANTA</v>
          </cell>
        </row>
        <row r="2397">
          <cell r="D2397" t="str">
            <v>DIB</v>
          </cell>
          <cell r="H2397" t="str">
            <v>M40045-161</v>
          </cell>
          <cell r="M2397" t="str">
            <v>QUANTA</v>
          </cell>
        </row>
        <row r="2398">
          <cell r="D2398" t="str">
            <v>DIB</v>
          </cell>
          <cell r="H2398" t="str">
            <v>N38404-001</v>
          </cell>
          <cell r="M2398" t="str">
            <v>QUANTA</v>
          </cell>
        </row>
        <row r="2399">
          <cell r="D2399" t="str">
            <v>DIB</v>
          </cell>
          <cell r="H2399" t="str">
            <v>N87318-001</v>
          </cell>
          <cell r="M2399" t="str">
            <v>QUANTA</v>
          </cell>
        </row>
        <row r="2400">
          <cell r="D2400" t="str">
            <v>DIB</v>
          </cell>
          <cell r="H2400" t="str">
            <v>N87314-001</v>
          </cell>
          <cell r="M2400" t="str">
            <v>QUANTA</v>
          </cell>
        </row>
        <row r="2401">
          <cell r="D2401" t="str">
            <v>DIB</v>
          </cell>
          <cell r="H2401" t="str">
            <v>N87312-001</v>
          </cell>
          <cell r="M2401" t="str">
            <v>QUANTA</v>
          </cell>
        </row>
        <row r="2402">
          <cell r="D2402" t="str">
            <v>DIB</v>
          </cell>
          <cell r="H2402" t="str">
            <v>N87318-001</v>
          </cell>
          <cell r="M2402" t="str">
            <v>QUANTA</v>
          </cell>
        </row>
        <row r="2403">
          <cell r="D2403" t="str">
            <v>DIB</v>
          </cell>
          <cell r="H2403" t="str">
            <v>N87318-001</v>
          </cell>
          <cell r="M2403" t="str">
            <v>QUANTA</v>
          </cell>
        </row>
        <row r="2404">
          <cell r="D2404" t="str">
            <v>DIB</v>
          </cell>
          <cell r="H2404" t="str">
            <v>M40045-161</v>
          </cell>
          <cell r="M2404" t="str">
            <v>QUANTA</v>
          </cell>
        </row>
        <row r="2405">
          <cell r="D2405" t="str">
            <v>DIB</v>
          </cell>
          <cell r="H2405" t="str">
            <v>N37102-001</v>
          </cell>
          <cell r="M2405" t="str">
            <v>QUANTA</v>
          </cell>
        </row>
        <row r="2406">
          <cell r="D2406" t="str">
            <v>DIB</v>
          </cell>
          <cell r="H2406" t="str">
            <v>N37102-001</v>
          </cell>
          <cell r="M2406" t="str">
            <v>QUANTA</v>
          </cell>
        </row>
        <row r="2407">
          <cell r="D2407" t="str">
            <v>DIB</v>
          </cell>
          <cell r="H2407" t="str">
            <v>N20172-001</v>
          </cell>
          <cell r="M2407" t="str">
            <v>QUANTA</v>
          </cell>
        </row>
        <row r="2408">
          <cell r="D2408" t="str">
            <v>DIB</v>
          </cell>
          <cell r="H2408" t="str">
            <v>N37102-001</v>
          </cell>
          <cell r="M2408" t="str">
            <v>QUANTA</v>
          </cell>
        </row>
        <row r="2409">
          <cell r="D2409" t="str">
            <v>DIB</v>
          </cell>
          <cell r="H2409" t="str">
            <v>M40043-161</v>
          </cell>
          <cell r="M2409" t="str">
            <v>QUANTA</v>
          </cell>
        </row>
        <row r="2410">
          <cell r="D2410" t="str">
            <v>DIB</v>
          </cell>
          <cell r="H2410" t="str">
            <v>N87316-001</v>
          </cell>
          <cell r="M2410" t="str">
            <v>QUANTA</v>
          </cell>
        </row>
        <row r="2411">
          <cell r="D2411" t="str">
            <v>DIB</v>
          </cell>
          <cell r="H2411" t="str">
            <v>M40045-161</v>
          </cell>
          <cell r="M2411" t="str">
            <v>QUANTA</v>
          </cell>
        </row>
        <row r="2412">
          <cell r="D2412" t="str">
            <v>DIB</v>
          </cell>
          <cell r="H2412" t="str">
            <v>M40045-161</v>
          </cell>
          <cell r="M2412" t="str">
            <v>QUANTA</v>
          </cell>
        </row>
        <row r="2413">
          <cell r="D2413" t="str">
            <v>DIB</v>
          </cell>
          <cell r="H2413" t="str">
            <v>N37102-001</v>
          </cell>
          <cell r="M2413" t="str">
            <v>QUANTA</v>
          </cell>
        </row>
        <row r="2414">
          <cell r="D2414" t="str">
            <v>DIB</v>
          </cell>
          <cell r="H2414" t="str">
            <v>N87318-001</v>
          </cell>
          <cell r="M2414" t="str">
            <v>QUANTA</v>
          </cell>
        </row>
        <row r="2415">
          <cell r="D2415" t="str">
            <v>DIB</v>
          </cell>
          <cell r="H2415" t="str">
            <v>N87318-001</v>
          </cell>
          <cell r="M2415" t="str">
            <v>QUANTA</v>
          </cell>
        </row>
        <row r="2416">
          <cell r="D2416" t="str">
            <v>DIB</v>
          </cell>
          <cell r="H2416" t="str">
            <v>M40045-161</v>
          </cell>
          <cell r="M2416" t="str">
            <v>QUANTA</v>
          </cell>
        </row>
        <row r="2417">
          <cell r="D2417" t="str">
            <v>DIB</v>
          </cell>
          <cell r="H2417" t="str">
            <v>N20172-001</v>
          </cell>
          <cell r="M2417" t="str">
            <v>QUANTA</v>
          </cell>
        </row>
        <row r="2418">
          <cell r="D2418" t="str">
            <v>DIB</v>
          </cell>
          <cell r="H2418" t="str">
            <v>N37102-001</v>
          </cell>
          <cell r="M2418" t="str">
            <v>QUANTA</v>
          </cell>
        </row>
        <row r="2419">
          <cell r="D2419" t="str">
            <v>DIB</v>
          </cell>
          <cell r="H2419" t="str">
            <v>N37102-001</v>
          </cell>
          <cell r="M2419" t="str">
            <v>QUANTA</v>
          </cell>
        </row>
        <row r="2420">
          <cell r="D2420" t="str">
            <v>DIB</v>
          </cell>
          <cell r="H2420" t="str">
            <v>N37102-001</v>
          </cell>
          <cell r="M2420" t="str">
            <v>QUANTA</v>
          </cell>
        </row>
        <row r="2421">
          <cell r="D2421" t="str">
            <v>DIB</v>
          </cell>
          <cell r="H2421" t="str">
            <v>N37102-001</v>
          </cell>
          <cell r="M2421" t="str">
            <v>QUANTA</v>
          </cell>
        </row>
        <row r="2422">
          <cell r="D2422" t="str">
            <v>DIB</v>
          </cell>
          <cell r="H2422" t="str">
            <v>N37102-001</v>
          </cell>
          <cell r="M2422" t="str">
            <v>QUANTA</v>
          </cell>
        </row>
        <row r="2423">
          <cell r="D2423" t="str">
            <v>DIB</v>
          </cell>
          <cell r="H2423" t="str">
            <v>M40043-161</v>
          </cell>
          <cell r="M2423" t="str">
            <v>QUANTA</v>
          </cell>
        </row>
        <row r="2424">
          <cell r="D2424" t="str">
            <v>DIB</v>
          </cell>
          <cell r="H2424" t="str">
            <v>M40045-161</v>
          </cell>
          <cell r="M2424" t="str">
            <v>QUANTA</v>
          </cell>
        </row>
        <row r="2425">
          <cell r="D2425" t="str">
            <v>DIB</v>
          </cell>
          <cell r="H2425" t="str">
            <v>M40045-161</v>
          </cell>
          <cell r="M2425" t="str">
            <v>QUANTA</v>
          </cell>
        </row>
        <row r="2426">
          <cell r="D2426" t="str">
            <v>DIB</v>
          </cell>
          <cell r="H2426" t="str">
            <v>N37102-001</v>
          </cell>
          <cell r="M2426" t="str">
            <v>QUANTA</v>
          </cell>
        </row>
        <row r="2427">
          <cell r="D2427" t="str">
            <v>DIB</v>
          </cell>
          <cell r="H2427" t="str">
            <v>N61962-A21</v>
          </cell>
          <cell r="M2427" t="str">
            <v>QUANTA</v>
          </cell>
        </row>
        <row r="2428">
          <cell r="D2428" t="str">
            <v>DIB</v>
          </cell>
          <cell r="H2428" t="str">
            <v>M40045-161</v>
          </cell>
          <cell r="M2428" t="str">
            <v>QUANTA</v>
          </cell>
        </row>
        <row r="2429">
          <cell r="D2429" t="str">
            <v>DIB</v>
          </cell>
          <cell r="H2429" t="str">
            <v>N38404-001</v>
          </cell>
          <cell r="M2429" t="str">
            <v>QUANTA</v>
          </cell>
        </row>
        <row r="2430">
          <cell r="D2430" t="str">
            <v>DIB</v>
          </cell>
          <cell r="H2430" t="str">
            <v>M40045-161</v>
          </cell>
          <cell r="M2430" t="str">
            <v>QUANTA</v>
          </cell>
        </row>
        <row r="2431">
          <cell r="D2431" t="str">
            <v>DIB</v>
          </cell>
          <cell r="H2431" t="str">
            <v>M40043-161</v>
          </cell>
          <cell r="M2431" t="str">
            <v>QUANTA</v>
          </cell>
        </row>
        <row r="2432">
          <cell r="D2432" t="str">
            <v>DIB</v>
          </cell>
          <cell r="H2432" t="str">
            <v>N37102-001</v>
          </cell>
          <cell r="M2432" t="str">
            <v>QUANTA</v>
          </cell>
        </row>
        <row r="2433">
          <cell r="D2433" t="str">
            <v>DIB</v>
          </cell>
          <cell r="H2433" t="str">
            <v>L13998-002</v>
          </cell>
          <cell r="M2433" t="str">
            <v>QUANTA</v>
          </cell>
        </row>
        <row r="2434">
          <cell r="D2434" t="str">
            <v>DIB</v>
          </cell>
          <cell r="H2434" t="str">
            <v>N87314-001</v>
          </cell>
          <cell r="M2434" t="str">
            <v>QUANTA</v>
          </cell>
        </row>
        <row r="2435">
          <cell r="D2435" t="str">
            <v>DIB</v>
          </cell>
          <cell r="H2435" t="str">
            <v>N87318-001</v>
          </cell>
          <cell r="M2435" t="str">
            <v>QUANTA</v>
          </cell>
        </row>
        <row r="2436">
          <cell r="D2436" t="str">
            <v>DIB</v>
          </cell>
          <cell r="H2436" t="str">
            <v>N87314-001</v>
          </cell>
          <cell r="M2436" t="str">
            <v>QUANTA</v>
          </cell>
        </row>
        <row r="2437">
          <cell r="D2437" t="str">
            <v>DIB</v>
          </cell>
          <cell r="H2437" t="str">
            <v>N38404-001</v>
          </cell>
          <cell r="M2437" t="str">
            <v>QUANTA</v>
          </cell>
        </row>
        <row r="2438">
          <cell r="D2438" t="str">
            <v>DIB</v>
          </cell>
          <cell r="H2438" t="str">
            <v>N38404-001</v>
          </cell>
          <cell r="M2438" t="str">
            <v>QUANTA</v>
          </cell>
        </row>
        <row r="2439">
          <cell r="D2439" t="str">
            <v>DIB</v>
          </cell>
          <cell r="H2439" t="str">
            <v>N87314-001</v>
          </cell>
          <cell r="M2439" t="str">
            <v>QUANTA</v>
          </cell>
        </row>
        <row r="2440">
          <cell r="D2440" t="str">
            <v>DIB</v>
          </cell>
          <cell r="H2440" t="str">
            <v>N38404-001</v>
          </cell>
          <cell r="M2440" t="str">
            <v>QUANTA</v>
          </cell>
        </row>
        <row r="2441">
          <cell r="D2441" t="str">
            <v>DIB</v>
          </cell>
          <cell r="H2441" t="str">
            <v>N38404-001</v>
          </cell>
          <cell r="M2441" t="str">
            <v>QUANTA</v>
          </cell>
        </row>
        <row r="2442">
          <cell r="D2442" t="str">
            <v>DIB</v>
          </cell>
          <cell r="H2442" t="str">
            <v>N38404-001</v>
          </cell>
          <cell r="M2442" t="str">
            <v>QUANTA</v>
          </cell>
        </row>
        <row r="2443">
          <cell r="D2443" t="str">
            <v>DIB</v>
          </cell>
          <cell r="H2443" t="str">
            <v>N38404-001</v>
          </cell>
          <cell r="M2443" t="str">
            <v>QUANTA</v>
          </cell>
        </row>
        <row r="2444">
          <cell r="D2444" t="str">
            <v>DIB</v>
          </cell>
          <cell r="H2444" t="str">
            <v>N87318-001</v>
          </cell>
          <cell r="M2444" t="str">
            <v>QUANTA</v>
          </cell>
        </row>
        <row r="2445">
          <cell r="D2445" t="str">
            <v>DIB</v>
          </cell>
          <cell r="H2445" t="str">
            <v>N38404-001</v>
          </cell>
          <cell r="M2445" t="str">
            <v>QUANTA</v>
          </cell>
        </row>
        <row r="2446">
          <cell r="D2446" t="str">
            <v>DIB</v>
          </cell>
          <cell r="H2446" t="str">
            <v>N37102-001</v>
          </cell>
          <cell r="M2446" t="str">
            <v>QUANTA</v>
          </cell>
        </row>
        <row r="2447">
          <cell r="D2447" t="str">
            <v>DIB</v>
          </cell>
          <cell r="H2447" t="str">
            <v>N87312-001</v>
          </cell>
          <cell r="M2447" t="str">
            <v>QUANTA</v>
          </cell>
        </row>
        <row r="2448">
          <cell r="D2448" t="str">
            <v>DIB</v>
          </cell>
          <cell r="H2448" t="str">
            <v>N87312-001</v>
          </cell>
          <cell r="M2448" t="str">
            <v>QUANTA</v>
          </cell>
        </row>
        <row r="2449">
          <cell r="D2449" t="str">
            <v>DIB</v>
          </cell>
          <cell r="H2449" t="str">
            <v>N87314-001</v>
          </cell>
          <cell r="M2449" t="str">
            <v>QUANTA</v>
          </cell>
        </row>
        <row r="2450">
          <cell r="D2450" t="str">
            <v>DIB</v>
          </cell>
          <cell r="H2450" t="str">
            <v>N87316-001</v>
          </cell>
          <cell r="M2450" t="str">
            <v>QUANTA</v>
          </cell>
        </row>
        <row r="2451">
          <cell r="D2451" t="str">
            <v>DIB</v>
          </cell>
          <cell r="H2451" t="str">
            <v>N37102-001</v>
          </cell>
          <cell r="M2451" t="str">
            <v>QUANTA</v>
          </cell>
        </row>
        <row r="2452">
          <cell r="D2452" t="str">
            <v>DIB</v>
          </cell>
          <cell r="H2452" t="str">
            <v>N38404-001</v>
          </cell>
          <cell r="M2452" t="str">
            <v>QUANTA</v>
          </cell>
        </row>
        <row r="2453">
          <cell r="D2453" t="str">
            <v>DIB</v>
          </cell>
          <cell r="H2453" t="str">
            <v>N38404-001</v>
          </cell>
          <cell r="M2453" t="str">
            <v>QUANTA</v>
          </cell>
        </row>
        <row r="2454">
          <cell r="D2454" t="str">
            <v>DIB</v>
          </cell>
          <cell r="H2454" t="str">
            <v>M40045-161</v>
          </cell>
          <cell r="M2454" t="str">
            <v>QUANTA</v>
          </cell>
        </row>
        <row r="2455">
          <cell r="D2455" t="str">
            <v>DIB</v>
          </cell>
          <cell r="H2455" t="str">
            <v>N87318-001</v>
          </cell>
          <cell r="M2455" t="str">
            <v>QUANTA</v>
          </cell>
        </row>
        <row r="2456">
          <cell r="D2456" t="str">
            <v>DIB</v>
          </cell>
          <cell r="H2456" t="str">
            <v>N37102-001</v>
          </cell>
          <cell r="M2456" t="str">
            <v>QUANTA</v>
          </cell>
        </row>
        <row r="2457">
          <cell r="D2457" t="str">
            <v>DIB</v>
          </cell>
          <cell r="H2457" t="str">
            <v>M40045-161</v>
          </cell>
          <cell r="M2457" t="str">
            <v>QUANTA</v>
          </cell>
        </row>
        <row r="2458">
          <cell r="D2458" t="str">
            <v>DIB</v>
          </cell>
          <cell r="H2458" t="str">
            <v>N87318-001</v>
          </cell>
          <cell r="M2458" t="str">
            <v>QUANTA</v>
          </cell>
        </row>
        <row r="2459">
          <cell r="D2459" t="str">
            <v>DIB</v>
          </cell>
          <cell r="H2459" t="str">
            <v>M40045-161</v>
          </cell>
          <cell r="M2459" t="str">
            <v>QUANTA</v>
          </cell>
        </row>
        <row r="2460">
          <cell r="D2460" t="str">
            <v>DIB</v>
          </cell>
          <cell r="H2460" t="str">
            <v>N61962-A21</v>
          </cell>
          <cell r="M2460" t="str">
            <v>QUANTA</v>
          </cell>
        </row>
        <row r="2461">
          <cell r="D2461" t="str">
            <v>DIB</v>
          </cell>
          <cell r="H2461" t="str">
            <v>L13998-002</v>
          </cell>
          <cell r="M2461" t="str">
            <v>QUANTA</v>
          </cell>
        </row>
        <row r="2462">
          <cell r="D2462" t="str">
            <v>DIB</v>
          </cell>
          <cell r="H2462" t="str">
            <v>N61962-371</v>
          </cell>
          <cell r="M2462" t="str">
            <v>QUANTA</v>
          </cell>
        </row>
        <row r="2463">
          <cell r="D2463" t="str">
            <v>DIB</v>
          </cell>
          <cell r="H2463" t="str">
            <v>N38404-001</v>
          </cell>
          <cell r="M2463" t="str">
            <v>QUANTA</v>
          </cell>
        </row>
        <row r="2464">
          <cell r="D2464" t="str">
            <v>DIB</v>
          </cell>
          <cell r="H2464" t="str">
            <v>M40045-161</v>
          </cell>
          <cell r="M2464" t="str">
            <v>QUANTA</v>
          </cell>
        </row>
        <row r="2465">
          <cell r="D2465" t="str">
            <v>DIB</v>
          </cell>
          <cell r="H2465" t="str">
            <v>N38404-001</v>
          </cell>
          <cell r="M2465" t="str">
            <v>QUANTA</v>
          </cell>
        </row>
        <row r="2466">
          <cell r="D2466" t="str">
            <v>DIB</v>
          </cell>
          <cell r="H2466" t="str">
            <v>N38404-001</v>
          </cell>
          <cell r="M2466" t="str">
            <v>QUANTA</v>
          </cell>
        </row>
        <row r="2467">
          <cell r="D2467" t="str">
            <v>DIB</v>
          </cell>
          <cell r="H2467" t="str">
            <v>N37102-001</v>
          </cell>
          <cell r="M2467" t="str">
            <v>QUANTA</v>
          </cell>
        </row>
        <row r="2468">
          <cell r="D2468" t="str">
            <v>DIB</v>
          </cell>
          <cell r="H2468" t="str">
            <v>M53402-001</v>
          </cell>
          <cell r="M2468" t="str">
            <v>QUANTA</v>
          </cell>
        </row>
        <row r="2469">
          <cell r="D2469" t="str">
            <v>DIB</v>
          </cell>
          <cell r="H2469" t="str">
            <v>N37102-001</v>
          </cell>
          <cell r="M2469" t="str">
            <v>QUANTA</v>
          </cell>
        </row>
        <row r="2470">
          <cell r="D2470" t="str">
            <v>DIB</v>
          </cell>
          <cell r="H2470" t="str">
            <v>M40043-161</v>
          </cell>
          <cell r="M2470" t="str">
            <v>QUANTA</v>
          </cell>
        </row>
        <row r="2471">
          <cell r="D2471" t="str">
            <v>DIB</v>
          </cell>
          <cell r="H2471" t="str">
            <v>L13998-002</v>
          </cell>
          <cell r="M2471" t="str">
            <v>QUANTA</v>
          </cell>
        </row>
        <row r="2472">
          <cell r="D2472" t="str">
            <v>DIB</v>
          </cell>
          <cell r="H2472" t="str">
            <v>L13998-002</v>
          </cell>
          <cell r="M2472" t="str">
            <v>QUANTA</v>
          </cell>
        </row>
        <row r="2473">
          <cell r="D2473" t="str">
            <v>DIB</v>
          </cell>
          <cell r="H2473" t="str">
            <v>M53402-001</v>
          </cell>
          <cell r="M2473" t="str">
            <v>QUANTA</v>
          </cell>
        </row>
        <row r="2474">
          <cell r="D2474" t="str">
            <v>DIB</v>
          </cell>
          <cell r="H2474" t="str">
            <v>N37102-001</v>
          </cell>
          <cell r="M2474" t="str">
            <v>QUANTA</v>
          </cell>
        </row>
        <row r="2475">
          <cell r="D2475" t="str">
            <v>DIB</v>
          </cell>
          <cell r="H2475" t="str">
            <v>N37102-001</v>
          </cell>
          <cell r="M2475" t="str">
            <v>QUANTA</v>
          </cell>
        </row>
        <row r="2476">
          <cell r="D2476" t="str">
            <v>DIB</v>
          </cell>
          <cell r="H2476" t="str">
            <v>M53402-001</v>
          </cell>
          <cell r="M2476" t="str">
            <v>QUANTA</v>
          </cell>
        </row>
        <row r="2477">
          <cell r="D2477" t="str">
            <v>DIB</v>
          </cell>
          <cell r="H2477" t="str">
            <v>N87314-001</v>
          </cell>
          <cell r="M2477" t="str">
            <v>QUANTA</v>
          </cell>
        </row>
        <row r="2478">
          <cell r="D2478" t="str">
            <v>DIB</v>
          </cell>
          <cell r="H2478" t="str">
            <v>N87318-001</v>
          </cell>
          <cell r="M2478" t="str">
            <v>QUANTA</v>
          </cell>
        </row>
        <row r="2479">
          <cell r="D2479" t="str">
            <v>DIB</v>
          </cell>
          <cell r="H2479" t="str">
            <v>N38404-001</v>
          </cell>
          <cell r="M2479" t="str">
            <v>QUANTA</v>
          </cell>
        </row>
        <row r="2480">
          <cell r="D2480" t="str">
            <v>DIB</v>
          </cell>
          <cell r="H2480" t="str">
            <v>N37102-001</v>
          </cell>
          <cell r="M2480" t="str">
            <v>QUANTA</v>
          </cell>
        </row>
        <row r="2481">
          <cell r="D2481" t="str">
            <v>NA/LA</v>
          </cell>
          <cell r="H2481" t="str">
            <v>683N8AA#ABL</v>
          </cell>
          <cell r="M2481" t="str">
            <v>Ryder Indy</v>
          </cell>
        </row>
        <row r="2482">
          <cell r="D2482" t="str">
            <v>NA/LA</v>
          </cell>
          <cell r="H2482" t="str">
            <v>683N7AA#ABL</v>
          </cell>
          <cell r="M2482" t="str">
            <v>Ryder Indy</v>
          </cell>
        </row>
        <row r="2483">
          <cell r="D2483" t="str">
            <v>NA</v>
          </cell>
          <cell r="H2483" t="str">
            <v>6VY96AA#ABA</v>
          </cell>
          <cell r="M2483" t="str">
            <v>Ryder Indy</v>
          </cell>
        </row>
        <row r="2484">
          <cell r="D2484" t="str">
            <v>NA</v>
          </cell>
          <cell r="H2484" t="str">
            <v>6VY96AA#ABA</v>
          </cell>
          <cell r="M2484" t="str">
            <v>Ryder Indy</v>
          </cell>
        </row>
        <row r="2485">
          <cell r="D2485" t="str">
            <v>NA</v>
          </cell>
          <cell r="H2485" t="str">
            <v>3ML04AA#ABL</v>
          </cell>
          <cell r="M2485" t="str">
            <v>Ryder Indy</v>
          </cell>
        </row>
        <row r="2486">
          <cell r="D2486" t="str">
            <v>NA</v>
          </cell>
          <cell r="H2486" t="str">
            <v>3ML04AA#ABL</v>
          </cell>
          <cell r="M2486" t="str">
            <v>Ryder Indy</v>
          </cell>
        </row>
        <row r="2487">
          <cell r="D2487" t="str">
            <v>NA</v>
          </cell>
          <cell r="H2487" t="str">
            <v>3ML04AA#ABL</v>
          </cell>
          <cell r="M2487" t="str">
            <v>Ryder Indy</v>
          </cell>
        </row>
        <row r="2488">
          <cell r="D2488" t="str">
            <v>NA</v>
          </cell>
          <cell r="H2488" t="str">
            <v>3ML04AA#ABL</v>
          </cell>
          <cell r="M2488" t="str">
            <v>Ryder Indy</v>
          </cell>
        </row>
        <row r="2489">
          <cell r="D2489" t="str">
            <v>NA</v>
          </cell>
          <cell r="H2489" t="str">
            <v>3ML04AA#ABL</v>
          </cell>
          <cell r="M2489" t="str">
            <v>Ryder Indy</v>
          </cell>
        </row>
        <row r="2490">
          <cell r="D2490" t="str">
            <v>NA</v>
          </cell>
          <cell r="H2490" t="str">
            <v>3ML04AA#ABL</v>
          </cell>
          <cell r="M2490" t="str">
            <v>Ryder Indy</v>
          </cell>
        </row>
        <row r="2491">
          <cell r="D2491" t="str">
            <v>NA</v>
          </cell>
          <cell r="H2491" t="str">
            <v>6VY96AA#ABA</v>
          </cell>
          <cell r="M2491" t="str">
            <v>Ryder Indy</v>
          </cell>
        </row>
        <row r="2492">
          <cell r="D2492" t="str">
            <v>NA</v>
          </cell>
          <cell r="H2492" t="str">
            <v>6VY96AA#ABA</v>
          </cell>
          <cell r="M2492" t="str">
            <v>Ryder Indy</v>
          </cell>
        </row>
        <row r="2493">
          <cell r="D2493" t="str">
            <v>NA</v>
          </cell>
          <cell r="H2493" t="str">
            <v>6VY96AA#ABA</v>
          </cell>
          <cell r="M2493" t="str">
            <v>Ryder Indy</v>
          </cell>
        </row>
        <row r="2494">
          <cell r="D2494" t="str">
            <v>NA</v>
          </cell>
          <cell r="H2494" t="str">
            <v>6VY96AA#ABA</v>
          </cell>
          <cell r="M2494" t="str">
            <v>Ryder Indy</v>
          </cell>
        </row>
        <row r="2495">
          <cell r="D2495" t="str">
            <v>NA</v>
          </cell>
          <cell r="H2495" t="str">
            <v>6VY96AA#ABA</v>
          </cell>
          <cell r="M2495" t="str">
            <v>Ryder Indy</v>
          </cell>
        </row>
        <row r="2496">
          <cell r="D2496" t="str">
            <v>NA</v>
          </cell>
          <cell r="H2496" t="str">
            <v>6VY96AA#ABA</v>
          </cell>
          <cell r="M2496" t="str">
            <v>Ryder Indy</v>
          </cell>
        </row>
        <row r="2497">
          <cell r="D2497" t="str">
            <v>NA</v>
          </cell>
          <cell r="H2497" t="str">
            <v>6VY96AA#ABA</v>
          </cell>
          <cell r="M2497" t="str">
            <v>Ryder Indy</v>
          </cell>
        </row>
        <row r="2498">
          <cell r="D2498" t="str">
            <v>NA</v>
          </cell>
          <cell r="H2498" t="str">
            <v>3ML04AA#ABL</v>
          </cell>
          <cell r="M2498" t="str">
            <v>Ryder Indy</v>
          </cell>
        </row>
        <row r="2499">
          <cell r="D2499" t="str">
            <v>NA</v>
          </cell>
          <cell r="H2499" t="str">
            <v>3ML04AA#ABL</v>
          </cell>
          <cell r="M2499" t="str">
            <v>Ryder Indy</v>
          </cell>
        </row>
        <row r="2500">
          <cell r="D2500" t="str">
            <v>NA</v>
          </cell>
          <cell r="H2500" t="str">
            <v>3ML04AA#ABL</v>
          </cell>
          <cell r="M2500" t="str">
            <v>Ryder Indy</v>
          </cell>
        </row>
        <row r="2501">
          <cell r="D2501" t="str">
            <v>NA</v>
          </cell>
          <cell r="H2501" t="str">
            <v>3ML04AA#ABL</v>
          </cell>
          <cell r="M2501" t="str">
            <v>Ryder Indy</v>
          </cell>
        </row>
        <row r="2502">
          <cell r="D2502" t="str">
            <v>NA</v>
          </cell>
          <cell r="H2502" t="str">
            <v>3ML04AA#ABL</v>
          </cell>
          <cell r="M2502" t="str">
            <v>Ryder Indy</v>
          </cell>
        </row>
        <row r="2503">
          <cell r="D2503" t="str">
            <v>NA</v>
          </cell>
          <cell r="H2503" t="str">
            <v>3ML04AA#ABL</v>
          </cell>
          <cell r="M2503" t="str">
            <v>Ryder Indy</v>
          </cell>
        </row>
        <row r="2504">
          <cell r="D2504" t="str">
            <v>NA</v>
          </cell>
          <cell r="H2504" t="str">
            <v>6VY96AA#ABA</v>
          </cell>
          <cell r="M2504" t="str">
            <v>Ryder Indy</v>
          </cell>
        </row>
        <row r="2505">
          <cell r="D2505" t="str">
            <v>NA</v>
          </cell>
          <cell r="H2505" t="str">
            <v>6VY96AA#ABA</v>
          </cell>
          <cell r="M2505" t="str">
            <v>Ryder Indy</v>
          </cell>
        </row>
        <row r="2506">
          <cell r="D2506" t="str">
            <v>NA</v>
          </cell>
          <cell r="H2506" t="str">
            <v>6VY96AA#ABA</v>
          </cell>
          <cell r="M2506" t="str">
            <v>Ryder Indy</v>
          </cell>
        </row>
        <row r="2507">
          <cell r="D2507" t="str">
            <v>NA</v>
          </cell>
          <cell r="H2507" t="str">
            <v>6VY96AA#ABA</v>
          </cell>
          <cell r="M2507" t="str">
            <v>Ryder Indy</v>
          </cell>
        </row>
        <row r="2508">
          <cell r="D2508" t="str">
            <v>NA/LA</v>
          </cell>
          <cell r="H2508" t="str">
            <v>683N8AA#ABL</v>
          </cell>
          <cell r="M2508" t="str">
            <v>Ryder Indy</v>
          </cell>
        </row>
        <row r="2509">
          <cell r="D2509" t="str">
            <v>NA/LA</v>
          </cell>
          <cell r="H2509" t="str">
            <v>683N8AA#ABL</v>
          </cell>
          <cell r="M2509" t="str">
            <v>Ryder Indy</v>
          </cell>
        </row>
        <row r="2510">
          <cell r="D2510" t="str">
            <v>NA/LA</v>
          </cell>
          <cell r="H2510" t="str">
            <v>683N7AA#ABL</v>
          </cell>
          <cell r="M2510" t="str">
            <v>Ryder Indy</v>
          </cell>
        </row>
        <row r="2511">
          <cell r="D2511" t="str">
            <v>NA/LA</v>
          </cell>
          <cell r="H2511" t="str">
            <v>683N7AA#ABL</v>
          </cell>
          <cell r="M2511" t="str">
            <v>Ryder Indy</v>
          </cell>
        </row>
        <row r="2512">
          <cell r="D2512" t="str">
            <v>NA</v>
          </cell>
          <cell r="H2512" t="str">
            <v>3ML04AA#ABL</v>
          </cell>
          <cell r="M2512" t="str">
            <v>Ryder Indy</v>
          </cell>
        </row>
        <row r="2513">
          <cell r="D2513" t="str">
            <v>NA</v>
          </cell>
          <cell r="H2513" t="str">
            <v>3ML04AA#ABL</v>
          </cell>
          <cell r="M2513" t="str">
            <v>Ryder Indy</v>
          </cell>
        </row>
        <row r="2514">
          <cell r="D2514" t="str">
            <v>NA</v>
          </cell>
          <cell r="H2514" t="str">
            <v>3ML04AA#ABL</v>
          </cell>
          <cell r="M2514" t="str">
            <v>Ryder Indy</v>
          </cell>
        </row>
        <row r="2515">
          <cell r="D2515" t="str">
            <v>NA</v>
          </cell>
          <cell r="H2515" t="str">
            <v>3ML04AA#ABL</v>
          </cell>
          <cell r="M2515" t="str">
            <v>Ryder Indy</v>
          </cell>
        </row>
        <row r="2516">
          <cell r="D2516" t="str">
            <v>NA</v>
          </cell>
          <cell r="H2516" t="str">
            <v>3ML04AA#ABL</v>
          </cell>
          <cell r="M2516" t="str">
            <v>Ryder Indy</v>
          </cell>
        </row>
        <row r="2517">
          <cell r="D2517" t="str">
            <v>NA</v>
          </cell>
          <cell r="H2517" t="str">
            <v>3ML04AA#ABL</v>
          </cell>
          <cell r="M2517" t="str">
            <v>Ryder Indy</v>
          </cell>
        </row>
        <row r="2518">
          <cell r="D2518" t="str">
            <v>NA</v>
          </cell>
          <cell r="H2518" t="str">
            <v>3ML04AA#ABL</v>
          </cell>
          <cell r="M2518" t="str">
            <v>Ryder Indy</v>
          </cell>
        </row>
        <row r="2519">
          <cell r="D2519" t="str">
            <v>NA</v>
          </cell>
          <cell r="H2519" t="str">
            <v>3ML04AA#ABL</v>
          </cell>
          <cell r="M2519" t="str">
            <v>Ryder Indy</v>
          </cell>
        </row>
        <row r="2520">
          <cell r="D2520" t="str">
            <v>NA</v>
          </cell>
          <cell r="H2520" t="str">
            <v>3ML04AA#ABL</v>
          </cell>
          <cell r="M2520" t="str">
            <v>Ryder Indy</v>
          </cell>
        </row>
        <row r="2521">
          <cell r="D2521" t="str">
            <v>NA</v>
          </cell>
          <cell r="H2521" t="str">
            <v>3ML04AA#ABL</v>
          </cell>
          <cell r="M2521" t="str">
            <v>Ryder Indy</v>
          </cell>
        </row>
        <row r="2522">
          <cell r="D2522" t="str">
            <v>NA</v>
          </cell>
          <cell r="H2522" t="str">
            <v>3ML04AA#ABL</v>
          </cell>
          <cell r="M2522" t="str">
            <v>Ryder Indy</v>
          </cell>
        </row>
        <row r="2523">
          <cell r="D2523" t="str">
            <v>NA</v>
          </cell>
          <cell r="H2523" t="str">
            <v>3ML04AA#ABL</v>
          </cell>
          <cell r="M2523" t="str">
            <v>Ryder Indy</v>
          </cell>
        </row>
        <row r="2524">
          <cell r="D2524" t="str">
            <v>NA</v>
          </cell>
          <cell r="H2524" t="str">
            <v>3ML04AA#ABL</v>
          </cell>
          <cell r="M2524" t="str">
            <v>Ryder Indy</v>
          </cell>
        </row>
        <row r="2525">
          <cell r="D2525" t="str">
            <v>NA</v>
          </cell>
          <cell r="H2525" t="str">
            <v>6VY96AA#ABA</v>
          </cell>
          <cell r="M2525" t="str">
            <v>Ryder Indy</v>
          </cell>
        </row>
        <row r="2526">
          <cell r="D2526" t="str">
            <v>NA</v>
          </cell>
          <cell r="H2526" t="str">
            <v>6VY96AA#ABA</v>
          </cell>
          <cell r="M2526" t="str">
            <v>Ryder Indy</v>
          </cell>
        </row>
        <row r="2527">
          <cell r="D2527" t="str">
            <v>NA</v>
          </cell>
          <cell r="H2527" t="str">
            <v>6VY96AA#ABA</v>
          </cell>
          <cell r="M2527" t="str">
            <v>Ryder Indy</v>
          </cell>
        </row>
        <row r="2528">
          <cell r="D2528" t="str">
            <v>NA</v>
          </cell>
          <cell r="H2528" t="str">
            <v>6VY96AA#ABA</v>
          </cell>
          <cell r="M2528" t="str">
            <v>Ryder Indy</v>
          </cell>
        </row>
        <row r="2529">
          <cell r="D2529" t="str">
            <v>NA</v>
          </cell>
          <cell r="H2529" t="str">
            <v>6VY96AA#ABA</v>
          </cell>
          <cell r="M2529" t="str">
            <v>Ryder Indy</v>
          </cell>
        </row>
        <row r="2530">
          <cell r="D2530" t="str">
            <v>NA</v>
          </cell>
          <cell r="H2530" t="str">
            <v>6VY96AA#ABA</v>
          </cell>
          <cell r="M2530" t="str">
            <v>Ryder Indy</v>
          </cell>
        </row>
        <row r="2531">
          <cell r="D2531" t="str">
            <v>NA</v>
          </cell>
          <cell r="H2531" t="str">
            <v>6VY96AA#ABA</v>
          </cell>
          <cell r="M2531" t="str">
            <v>Ryder Indy</v>
          </cell>
        </row>
        <row r="2532">
          <cell r="D2532" t="str">
            <v>NA</v>
          </cell>
          <cell r="H2532" t="str">
            <v>6VY96AA#ABA</v>
          </cell>
          <cell r="M2532" t="str">
            <v>Ryder Indy</v>
          </cell>
        </row>
        <row r="2533">
          <cell r="D2533" t="str">
            <v>NA</v>
          </cell>
          <cell r="H2533" t="str">
            <v>6VY96AA#ABA</v>
          </cell>
          <cell r="M2533" t="str">
            <v>Ryder Indy</v>
          </cell>
        </row>
        <row r="2534">
          <cell r="D2534" t="str">
            <v>NA</v>
          </cell>
          <cell r="H2534" t="str">
            <v>6VY96AA#ABA</v>
          </cell>
          <cell r="M2534" t="str">
            <v>Ryder Indy</v>
          </cell>
        </row>
        <row r="2535">
          <cell r="D2535" t="str">
            <v>NA</v>
          </cell>
          <cell r="H2535" t="str">
            <v>6VY96AA#ABA</v>
          </cell>
          <cell r="M2535" t="str">
            <v>Ryder Indy</v>
          </cell>
        </row>
        <row r="2536">
          <cell r="D2536" t="str">
            <v>NA</v>
          </cell>
          <cell r="H2536" t="str">
            <v>6VY96AA#ABA</v>
          </cell>
          <cell r="M2536" t="str">
            <v>Ryder Indy</v>
          </cell>
        </row>
        <row r="2537">
          <cell r="D2537" t="str">
            <v>NA</v>
          </cell>
          <cell r="H2537" t="str">
            <v>6VY96AA#ABA</v>
          </cell>
          <cell r="M2537" t="str">
            <v>Ryder Indy</v>
          </cell>
        </row>
        <row r="2538">
          <cell r="D2538" t="str">
            <v>NA</v>
          </cell>
          <cell r="H2538" t="str">
            <v>6VY96AA#ABA</v>
          </cell>
          <cell r="M2538" t="str">
            <v>Ryder Indy</v>
          </cell>
        </row>
        <row r="2539">
          <cell r="D2539" t="str">
            <v>NA</v>
          </cell>
          <cell r="H2539" t="str">
            <v>6VY96AA#ABA</v>
          </cell>
          <cell r="M2539" t="str">
            <v>Ryder Indy</v>
          </cell>
        </row>
        <row r="2540">
          <cell r="D2540" t="str">
            <v>NA</v>
          </cell>
          <cell r="H2540" t="str">
            <v>6VY96AA#ABA</v>
          </cell>
          <cell r="M2540" t="str">
            <v>Ryder Indy</v>
          </cell>
        </row>
        <row r="2541">
          <cell r="D2541" t="str">
            <v>NA</v>
          </cell>
          <cell r="H2541" t="str">
            <v>6VY96AA#ABA</v>
          </cell>
          <cell r="M2541" t="str">
            <v>Ryder Indy</v>
          </cell>
        </row>
        <row r="2542">
          <cell r="D2542" t="str">
            <v>NA/LA</v>
          </cell>
          <cell r="H2542" t="str">
            <v>683N8AA#ABL</v>
          </cell>
          <cell r="M2542" t="str">
            <v>Ryder Indy</v>
          </cell>
        </row>
        <row r="2543">
          <cell r="D2543" t="str">
            <v>NA/LA</v>
          </cell>
          <cell r="H2543" t="str">
            <v>683N7AA#ABL</v>
          </cell>
          <cell r="M2543" t="str">
            <v>Ryder Indy</v>
          </cell>
        </row>
        <row r="2544">
          <cell r="D2544" t="str">
            <v>NA/LA</v>
          </cell>
          <cell r="H2544" t="str">
            <v>683N7AA#ABL</v>
          </cell>
          <cell r="M2544" t="str">
            <v>Ryder Indy</v>
          </cell>
        </row>
        <row r="2545">
          <cell r="D2545" t="str">
            <v>NA</v>
          </cell>
          <cell r="H2545" t="str">
            <v>4E407UT#ABL</v>
          </cell>
          <cell r="M2545" t="str">
            <v>Ryder Indy</v>
          </cell>
        </row>
        <row r="2546">
          <cell r="D2546" t="str">
            <v>NA</v>
          </cell>
          <cell r="H2546" t="str">
            <v>4E407UT#ABL</v>
          </cell>
          <cell r="M2546" t="str">
            <v>Ryder Indy</v>
          </cell>
        </row>
        <row r="2547">
          <cell r="D2547" t="str">
            <v>NA</v>
          </cell>
          <cell r="H2547" t="str">
            <v>4E407UT#ABL</v>
          </cell>
          <cell r="M2547" t="str">
            <v>Ryder Indy</v>
          </cell>
        </row>
        <row r="2548">
          <cell r="D2548" t="str">
            <v>NA/LA</v>
          </cell>
          <cell r="H2548" t="str">
            <v>683N7AA#ABL</v>
          </cell>
          <cell r="M2548" t="str">
            <v>Ryder Indy</v>
          </cell>
        </row>
        <row r="2549">
          <cell r="D2549" t="str">
            <v>NA/LA</v>
          </cell>
          <cell r="H2549" t="str">
            <v>683N8AA#ABL</v>
          </cell>
          <cell r="M2549" t="str">
            <v>Ryder Indy</v>
          </cell>
        </row>
        <row r="2550">
          <cell r="D2550" t="str">
            <v>NA/LA</v>
          </cell>
          <cell r="H2550" t="str">
            <v>683N7AA#ABL</v>
          </cell>
          <cell r="M2550" t="str">
            <v>Ryder Indy</v>
          </cell>
        </row>
        <row r="2551">
          <cell r="D2551" t="str">
            <v>NA</v>
          </cell>
          <cell r="H2551" t="str">
            <v>6VY96AA#ABA</v>
          </cell>
          <cell r="M2551" t="str">
            <v>Ryder Indy</v>
          </cell>
        </row>
        <row r="2552">
          <cell r="D2552" t="str">
            <v>NA</v>
          </cell>
          <cell r="H2552" t="str">
            <v>6VY96AA#ABA</v>
          </cell>
          <cell r="M2552" t="str">
            <v>Ryder Indy</v>
          </cell>
        </row>
        <row r="2553">
          <cell r="D2553" t="str">
            <v>NA</v>
          </cell>
          <cell r="H2553" t="str">
            <v>6VY96AA#ABA</v>
          </cell>
          <cell r="M2553" t="str">
            <v>Ryder Indy</v>
          </cell>
        </row>
        <row r="2554">
          <cell r="D2554" t="str">
            <v>NA</v>
          </cell>
          <cell r="H2554" t="str">
            <v>6VY96AA#ABA</v>
          </cell>
          <cell r="M2554" t="str">
            <v>Ryder Indy</v>
          </cell>
        </row>
        <row r="2555">
          <cell r="D2555" t="str">
            <v>NA</v>
          </cell>
          <cell r="H2555" t="str">
            <v>6VY96AA#ABA</v>
          </cell>
          <cell r="M2555" t="str">
            <v>Ryder Indy</v>
          </cell>
        </row>
        <row r="2556">
          <cell r="D2556" t="str">
            <v>NA</v>
          </cell>
          <cell r="H2556" t="str">
            <v>6VY96AA#ABA</v>
          </cell>
          <cell r="M2556" t="str">
            <v>Ryder Indy</v>
          </cell>
        </row>
        <row r="2557">
          <cell r="D2557" t="str">
            <v>NA</v>
          </cell>
          <cell r="H2557" t="str">
            <v>6VY96AA#ABA</v>
          </cell>
          <cell r="M2557" t="str">
            <v>Ryder Indy</v>
          </cell>
        </row>
        <row r="2558">
          <cell r="D2558" t="str">
            <v>NA</v>
          </cell>
          <cell r="H2558" t="str">
            <v>6VY96AA#ABA</v>
          </cell>
          <cell r="M2558" t="str">
            <v>Ryder Indy</v>
          </cell>
        </row>
        <row r="2559">
          <cell r="D2559" t="str">
            <v>NA</v>
          </cell>
          <cell r="H2559" t="str">
            <v>6VY96AA#ABA</v>
          </cell>
          <cell r="M2559" t="str">
            <v>Ryder Indy</v>
          </cell>
        </row>
        <row r="2560">
          <cell r="D2560" t="str">
            <v>NA</v>
          </cell>
          <cell r="H2560" t="str">
            <v>6VY96AA#ABA</v>
          </cell>
          <cell r="M2560" t="str">
            <v>Ryder Indy</v>
          </cell>
        </row>
        <row r="2561">
          <cell r="D2561" t="str">
            <v>NA</v>
          </cell>
          <cell r="H2561" t="str">
            <v>6VY96AA#ABA</v>
          </cell>
          <cell r="M2561" t="str">
            <v>Ryder Indy</v>
          </cell>
        </row>
        <row r="2562">
          <cell r="D2562" t="str">
            <v>NA</v>
          </cell>
          <cell r="H2562" t="str">
            <v>6VY96AA#ABA</v>
          </cell>
          <cell r="M2562" t="str">
            <v>Ryder Indy</v>
          </cell>
        </row>
        <row r="2563">
          <cell r="D2563" t="str">
            <v>NA</v>
          </cell>
          <cell r="H2563" t="str">
            <v>6VY96AA#ABA</v>
          </cell>
          <cell r="M2563" t="str">
            <v>Ryder Indy</v>
          </cell>
        </row>
        <row r="2564">
          <cell r="D2564" t="str">
            <v>NA</v>
          </cell>
          <cell r="H2564" t="str">
            <v>6VY96AA#ABA</v>
          </cell>
          <cell r="M2564" t="str">
            <v>Ryder Indy</v>
          </cell>
        </row>
        <row r="2565">
          <cell r="D2565" t="str">
            <v>NA</v>
          </cell>
          <cell r="H2565" t="str">
            <v>2S9L1AA#ABL</v>
          </cell>
          <cell r="M2565" t="str">
            <v>Ryder Indy</v>
          </cell>
        </row>
        <row r="2566">
          <cell r="D2566" t="str">
            <v>NA</v>
          </cell>
          <cell r="H2566" t="str">
            <v>2S9L1AA#ABL</v>
          </cell>
          <cell r="M2566" t="str">
            <v>Ryder Indy</v>
          </cell>
        </row>
        <row r="2567">
          <cell r="D2567" t="str">
            <v>NA</v>
          </cell>
          <cell r="H2567" t="str">
            <v>2S9L1AA#ABL</v>
          </cell>
          <cell r="M2567" t="str">
            <v>Ryder Indy</v>
          </cell>
        </row>
        <row r="2568">
          <cell r="D2568" t="str">
            <v>NA</v>
          </cell>
          <cell r="H2568" t="str">
            <v>2S9L1AA#ABL</v>
          </cell>
          <cell r="M2568" t="str">
            <v>Ryder Indy</v>
          </cell>
        </row>
        <row r="2569">
          <cell r="D2569" t="str">
            <v>NA</v>
          </cell>
          <cell r="H2569" t="str">
            <v>2S9L1AA#ABL</v>
          </cell>
          <cell r="M2569" t="str">
            <v>Ryder Indy</v>
          </cell>
        </row>
        <row r="2570">
          <cell r="D2570" t="str">
            <v>NA</v>
          </cell>
          <cell r="H2570" t="str">
            <v>2S9L1AA#ABL</v>
          </cell>
          <cell r="M2570" t="str">
            <v>Ryder Indy</v>
          </cell>
        </row>
        <row r="2571">
          <cell r="D2571" t="str">
            <v>NA</v>
          </cell>
          <cell r="H2571" t="str">
            <v>2S9L1AA#ABL</v>
          </cell>
          <cell r="M2571" t="str">
            <v>Ryder Indy</v>
          </cell>
        </row>
        <row r="2572">
          <cell r="D2572" t="str">
            <v>NA</v>
          </cell>
          <cell r="H2572" t="str">
            <v>2S9L1AA#ABL</v>
          </cell>
          <cell r="M2572" t="str">
            <v>Ryder Indy</v>
          </cell>
        </row>
        <row r="2573">
          <cell r="D2573" t="str">
            <v>NA/LA</v>
          </cell>
          <cell r="H2573" t="str">
            <v>683N9AA#ABL</v>
          </cell>
          <cell r="M2573" t="str">
            <v>Ryder Indy</v>
          </cell>
        </row>
        <row r="2574">
          <cell r="D2574" t="str">
            <v>APJ</v>
          </cell>
          <cell r="H2574" t="str">
            <v>2UN30AA#AB2</v>
          </cell>
          <cell r="M2574" t="str">
            <v>Shanghai</v>
          </cell>
        </row>
        <row r="2575">
          <cell r="D2575" t="str">
            <v>APJ</v>
          </cell>
          <cell r="H2575" t="str">
            <v>2UN30AA#AB2</v>
          </cell>
          <cell r="M2575" t="str">
            <v>Shanghai</v>
          </cell>
        </row>
        <row r="2576">
          <cell r="D2576" t="str">
            <v>APJ</v>
          </cell>
          <cell r="H2576" t="str">
            <v>2UN30AA#AB2</v>
          </cell>
          <cell r="M2576" t="str">
            <v>Shanghai</v>
          </cell>
        </row>
        <row r="2577">
          <cell r="D2577" t="str">
            <v>APJ</v>
          </cell>
          <cell r="H2577" t="str">
            <v>2UN30AA#AB2</v>
          </cell>
          <cell r="M2577" t="str">
            <v>Shanghai</v>
          </cell>
        </row>
        <row r="2578">
          <cell r="D2578" t="str">
            <v>APJ</v>
          </cell>
          <cell r="H2578" t="str">
            <v>2UN30AA#AB2</v>
          </cell>
          <cell r="M2578" t="str">
            <v>Shanghai</v>
          </cell>
        </row>
        <row r="2579">
          <cell r="D2579" t="str">
            <v>APJ</v>
          </cell>
          <cell r="H2579" t="str">
            <v>2UN30AA#AB2</v>
          </cell>
          <cell r="M2579" t="str">
            <v>Shanghai</v>
          </cell>
        </row>
        <row r="2580">
          <cell r="D2580" t="str">
            <v>APJ</v>
          </cell>
          <cell r="H2580" t="str">
            <v>2UN30AA#AB2</v>
          </cell>
          <cell r="M2580" t="str">
            <v>Shanghai</v>
          </cell>
        </row>
        <row r="2581">
          <cell r="D2581" t="str">
            <v>APJ</v>
          </cell>
          <cell r="H2581" t="str">
            <v>2UN30AA#AB2</v>
          </cell>
          <cell r="M2581" t="str">
            <v>Shanghai</v>
          </cell>
        </row>
        <row r="2582">
          <cell r="D2582" t="str">
            <v>APJ</v>
          </cell>
          <cell r="H2582" t="str">
            <v>2UN30AA#AB2</v>
          </cell>
          <cell r="M2582" t="str">
            <v>Shanghai</v>
          </cell>
        </row>
        <row r="2583">
          <cell r="D2583" t="str">
            <v>APJ</v>
          </cell>
          <cell r="H2583" t="str">
            <v>2UN30AA#AB2</v>
          </cell>
          <cell r="M2583" t="str">
            <v>Shanghai</v>
          </cell>
        </row>
        <row r="2584">
          <cell r="D2584" t="str">
            <v>DIB</v>
          </cell>
          <cell r="H2584" t="str">
            <v>N72845-001</v>
          </cell>
          <cell r="M2584" t="str">
            <v>Wistron</v>
          </cell>
        </row>
        <row r="2585">
          <cell r="D2585" t="str">
            <v>DIB</v>
          </cell>
          <cell r="H2585" t="str">
            <v>N37102-001</v>
          </cell>
          <cell r="M2585" t="str">
            <v>Wistron</v>
          </cell>
        </row>
        <row r="2586">
          <cell r="D2586" t="str">
            <v>DIB</v>
          </cell>
          <cell r="H2586" t="str">
            <v>L13996-001</v>
          </cell>
          <cell r="M2586" t="str">
            <v>Wistron</v>
          </cell>
        </row>
        <row r="2587">
          <cell r="D2587" t="str">
            <v>DIB</v>
          </cell>
          <cell r="H2587" t="str">
            <v>L13996-001</v>
          </cell>
          <cell r="M2587" t="str">
            <v>Wistron</v>
          </cell>
        </row>
        <row r="2588">
          <cell r="D2588" t="str">
            <v>APJ</v>
          </cell>
          <cell r="H2588" t="str">
            <v>428H5AA#UUF</v>
          </cell>
          <cell r="M2588" t="str">
            <v>Foxconn LH</v>
          </cell>
        </row>
        <row r="2589">
          <cell r="D2589" t="str">
            <v>APJ</v>
          </cell>
          <cell r="H2589" t="str">
            <v>428K7AA</v>
          </cell>
          <cell r="M2589" t="str">
            <v>Foxconn LH</v>
          </cell>
        </row>
        <row r="2590">
          <cell r="D2590" t="str">
            <v>APJ</v>
          </cell>
          <cell r="H2590" t="str">
            <v>240J6AA#UUF</v>
          </cell>
          <cell r="M2590" t="str">
            <v>Foxconn LH</v>
          </cell>
        </row>
        <row r="2591">
          <cell r="D2591" t="str">
            <v>NA</v>
          </cell>
          <cell r="H2591" t="str">
            <v>3L1E7AA#ABA</v>
          </cell>
          <cell r="M2591" t="str">
            <v>Foxconn LH</v>
          </cell>
        </row>
        <row r="2592">
          <cell r="D2592" t="str">
            <v>NA</v>
          </cell>
          <cell r="H2592" t="str">
            <v>2V9E6AA#ABL</v>
          </cell>
          <cell r="M2592" t="str">
            <v>Foxconn LH</v>
          </cell>
        </row>
        <row r="2593">
          <cell r="D2593" t="str">
            <v>LA</v>
          </cell>
          <cell r="H2593" t="str">
            <v>6VY96AA#ABM</v>
          </cell>
          <cell r="M2593" t="str">
            <v>Foxconn LH</v>
          </cell>
        </row>
        <row r="2594">
          <cell r="D2594" t="str">
            <v>LA</v>
          </cell>
          <cell r="H2594" t="str">
            <v>18H24AA#ABM</v>
          </cell>
          <cell r="M2594" t="str">
            <v>Foxconn LH</v>
          </cell>
        </row>
        <row r="2595">
          <cell r="D2595" t="str">
            <v>APJ</v>
          </cell>
          <cell r="H2595" t="str">
            <v>6E6F0AA#UUF</v>
          </cell>
          <cell r="M2595" t="str">
            <v>Foxconn LH</v>
          </cell>
        </row>
        <row r="2596">
          <cell r="D2596" t="str">
            <v>LA</v>
          </cell>
          <cell r="H2596" t="str">
            <v>18H24AA#ABM</v>
          </cell>
          <cell r="M2596" t="str">
            <v>Foxconn LH</v>
          </cell>
        </row>
        <row r="2597">
          <cell r="D2597" t="str">
            <v>APJ</v>
          </cell>
          <cell r="H2597" t="str">
            <v>6VY96AA#UUF</v>
          </cell>
          <cell r="M2597" t="str">
            <v>Foxconn LH</v>
          </cell>
        </row>
        <row r="2598">
          <cell r="D2598" t="str">
            <v>NA/LA</v>
          </cell>
          <cell r="H2598" t="str">
            <v>4QM14AA#ABL</v>
          </cell>
          <cell r="M2598" t="str">
            <v>Foxconn LH</v>
          </cell>
        </row>
        <row r="2599">
          <cell r="D2599" t="str">
            <v>APJ</v>
          </cell>
          <cell r="H2599" t="str">
            <v>43N05AA#UUF</v>
          </cell>
          <cell r="M2599" t="str">
            <v>Foxconn LH</v>
          </cell>
        </row>
        <row r="2600">
          <cell r="D2600" t="str">
            <v>APJ</v>
          </cell>
          <cell r="H2600" t="str">
            <v>3V0G9AA#UUF</v>
          </cell>
          <cell r="M2600" t="str">
            <v>Foxconn LH</v>
          </cell>
        </row>
        <row r="2601">
          <cell r="D2601" t="str">
            <v>LA</v>
          </cell>
          <cell r="H2601" t="str">
            <v>1Y4D0AA#ABM</v>
          </cell>
          <cell r="M2601" t="str">
            <v>Foxconn LH</v>
          </cell>
        </row>
        <row r="2602">
          <cell r="D2602" t="str">
            <v>APJ</v>
          </cell>
          <cell r="H2602" t="str">
            <v>18H24AA#UUF</v>
          </cell>
          <cell r="M2602" t="str">
            <v>Foxconn LH</v>
          </cell>
        </row>
        <row r="2603">
          <cell r="D2603" t="str">
            <v>APJ</v>
          </cell>
          <cell r="H2603" t="str">
            <v>1Y4D0AA#UUF</v>
          </cell>
          <cell r="M2603" t="str">
            <v>Foxconn LH</v>
          </cell>
        </row>
        <row r="2604">
          <cell r="D2604" t="str">
            <v>LA</v>
          </cell>
          <cell r="H2604" t="str">
            <v>1Y4D0AA#AC4</v>
          </cell>
          <cell r="M2604" t="str">
            <v>Foxconn LH</v>
          </cell>
        </row>
        <row r="2605">
          <cell r="D2605" t="str">
            <v>NA</v>
          </cell>
          <cell r="H2605" t="str">
            <v>18H24AA#ABA</v>
          </cell>
          <cell r="M2605" t="str">
            <v>Foxconn LH</v>
          </cell>
        </row>
        <row r="2606">
          <cell r="D2606" t="str">
            <v>APJ</v>
          </cell>
          <cell r="H2606" t="str">
            <v>4E407AA#UUF</v>
          </cell>
          <cell r="M2606" t="str">
            <v>Foxconn LH</v>
          </cell>
        </row>
        <row r="2607">
          <cell r="D2607" t="str">
            <v>APJ</v>
          </cell>
          <cell r="H2607" t="str">
            <v>1Y4D0AA#AB1</v>
          </cell>
          <cell r="M2607" t="str">
            <v>Foxconn LH</v>
          </cell>
        </row>
        <row r="2608">
          <cell r="D2608" t="str">
            <v>APJ</v>
          </cell>
          <cell r="H2608" t="str">
            <v>18H24AA#UUF</v>
          </cell>
          <cell r="M2608" t="str">
            <v>Foxconn LH</v>
          </cell>
        </row>
        <row r="2609">
          <cell r="D2609" t="str">
            <v>NA</v>
          </cell>
          <cell r="H2609" t="str">
            <v>18H24AA#ABA</v>
          </cell>
          <cell r="M2609" t="str">
            <v>Foxconn LH</v>
          </cell>
        </row>
        <row r="2610">
          <cell r="D2610" t="str">
            <v>APJ</v>
          </cell>
          <cell r="H2610" t="str">
            <v>2V9E6AA#UUF</v>
          </cell>
          <cell r="M2610" t="str">
            <v>Foxconn LH</v>
          </cell>
        </row>
        <row r="2611">
          <cell r="D2611" t="str">
            <v>APJ</v>
          </cell>
          <cell r="H2611" t="str">
            <v>81S67AA#UUF</v>
          </cell>
          <cell r="M2611" t="str">
            <v>Foxconn LH</v>
          </cell>
        </row>
        <row r="2612">
          <cell r="D2612" t="str">
            <v>LA</v>
          </cell>
          <cell r="H2612" t="str">
            <v>2S9L1AA#ABM</v>
          </cell>
          <cell r="M2612" t="str">
            <v>Foxconn LH</v>
          </cell>
        </row>
        <row r="2613">
          <cell r="D2613" t="str">
            <v>APJ</v>
          </cell>
          <cell r="H2613" t="str">
            <v>81S67AA#UUF</v>
          </cell>
          <cell r="M2613" t="str">
            <v>Foxconn LH</v>
          </cell>
        </row>
        <row r="2614">
          <cell r="D2614" t="str">
            <v>APJ</v>
          </cell>
          <cell r="H2614" t="str">
            <v>53X26AA#UUF</v>
          </cell>
          <cell r="M2614" t="str">
            <v>Foxconn LH</v>
          </cell>
        </row>
        <row r="2615">
          <cell r="D2615" t="str">
            <v>APJ</v>
          </cell>
          <cell r="H2615" t="str">
            <v>X6W31AA#UUF</v>
          </cell>
          <cell r="M2615" t="str">
            <v>Foxconn LH</v>
          </cell>
        </row>
        <row r="2616">
          <cell r="D2616" t="str">
            <v>APJ</v>
          </cell>
          <cell r="H2616" t="str">
            <v>X6W31AA#UUF</v>
          </cell>
          <cell r="M2616" t="str">
            <v>Foxconn LH</v>
          </cell>
        </row>
        <row r="2617">
          <cell r="D2617" t="str">
            <v>APJ</v>
          </cell>
          <cell r="H2617" t="str">
            <v>428K6AA</v>
          </cell>
          <cell r="M2617" t="str">
            <v>Foxconn LH</v>
          </cell>
        </row>
        <row r="2618">
          <cell r="D2618" t="str">
            <v>APJ</v>
          </cell>
          <cell r="H2618" t="str">
            <v>3V0G9AA#UUF</v>
          </cell>
          <cell r="M2618" t="str">
            <v>Foxconn LH</v>
          </cell>
        </row>
        <row r="2619">
          <cell r="D2619" t="str">
            <v>APJ</v>
          </cell>
          <cell r="H2619" t="str">
            <v>4E407AA#UUF</v>
          </cell>
          <cell r="M2619" t="str">
            <v>Foxconn LH</v>
          </cell>
        </row>
        <row r="2620">
          <cell r="D2620" t="str">
            <v>APJ</v>
          </cell>
          <cell r="H2620" t="str">
            <v>428H5AA#UUF</v>
          </cell>
          <cell r="M2620" t="str">
            <v>Foxconn LH</v>
          </cell>
        </row>
        <row r="2621">
          <cell r="D2621" t="str">
            <v>APJ</v>
          </cell>
          <cell r="H2621" t="str">
            <v>X6W31AA#UUF</v>
          </cell>
          <cell r="M2621" t="str">
            <v>Foxconn LH</v>
          </cell>
        </row>
        <row r="2622">
          <cell r="D2622" t="str">
            <v>APJ</v>
          </cell>
          <cell r="H2622" t="str">
            <v>81S67AA#UUF</v>
          </cell>
          <cell r="M2622" t="str">
            <v>Foxconn LH</v>
          </cell>
        </row>
        <row r="2623">
          <cell r="D2623" t="str">
            <v>APJ</v>
          </cell>
          <cell r="H2623" t="str">
            <v>428K7AA</v>
          </cell>
          <cell r="M2623" t="str">
            <v>Foxconn LH</v>
          </cell>
        </row>
        <row r="2624">
          <cell r="D2624" t="str">
            <v>APJ</v>
          </cell>
          <cell r="H2624" t="str">
            <v>18H24AA#UUF</v>
          </cell>
          <cell r="M2624" t="str">
            <v>Foxconn LH</v>
          </cell>
        </row>
        <row r="2625">
          <cell r="D2625" t="str">
            <v>NA</v>
          </cell>
          <cell r="H2625" t="str">
            <v>18H24AA#ABA</v>
          </cell>
          <cell r="M2625" t="str">
            <v>Foxconn LH</v>
          </cell>
        </row>
        <row r="2626">
          <cell r="D2626" t="str">
            <v>APJ</v>
          </cell>
          <cell r="H2626" t="str">
            <v>81S67AA#UUF</v>
          </cell>
          <cell r="M2626" t="str">
            <v>Foxconn LH</v>
          </cell>
        </row>
        <row r="2627">
          <cell r="D2627" t="str">
            <v>NA/LA</v>
          </cell>
          <cell r="H2627" t="str">
            <v>2HU82AA#ABL</v>
          </cell>
          <cell r="M2627" t="str">
            <v>Foxconn LH</v>
          </cell>
        </row>
        <row r="2628">
          <cell r="D2628" t="str">
            <v>APJ</v>
          </cell>
          <cell r="H2628" t="str">
            <v>428K7AA</v>
          </cell>
          <cell r="M2628" t="str">
            <v>Foxconn LH</v>
          </cell>
        </row>
        <row r="2629">
          <cell r="D2629" t="str">
            <v>APJ</v>
          </cell>
          <cell r="H2629" t="str">
            <v>428K7AA</v>
          </cell>
          <cell r="M2629" t="str">
            <v>Foxconn LH</v>
          </cell>
        </row>
        <row r="2630">
          <cell r="D2630" t="str">
            <v>APJ</v>
          </cell>
          <cell r="H2630" t="str">
            <v>1Y4D0AA#AB1</v>
          </cell>
          <cell r="M2630" t="str">
            <v>Foxconn LH</v>
          </cell>
        </row>
        <row r="2631">
          <cell r="D2631" t="str">
            <v>APJ</v>
          </cell>
          <cell r="H2631" t="str">
            <v>18H24AA#UUF</v>
          </cell>
          <cell r="M2631" t="str">
            <v>Foxconn LH</v>
          </cell>
        </row>
        <row r="2632">
          <cell r="D2632" t="str">
            <v>LA</v>
          </cell>
          <cell r="H2632" t="str">
            <v>1Y4D0AA#ABM</v>
          </cell>
          <cell r="M2632" t="str">
            <v>Foxconn LH</v>
          </cell>
        </row>
        <row r="2633">
          <cell r="D2633" t="str">
            <v>LA</v>
          </cell>
          <cell r="H2633" t="str">
            <v>664R5AA#ABM</v>
          </cell>
          <cell r="M2633" t="str">
            <v>Foxconn LH</v>
          </cell>
        </row>
        <row r="2634">
          <cell r="D2634" t="str">
            <v>LA</v>
          </cell>
          <cell r="H2634" t="str">
            <v>43N05AA#ABM</v>
          </cell>
          <cell r="M2634" t="str">
            <v>Foxconn LH</v>
          </cell>
        </row>
        <row r="2635">
          <cell r="D2635" t="str">
            <v>NA/LA</v>
          </cell>
          <cell r="H2635" t="str">
            <v>2HU83AA#ABL</v>
          </cell>
          <cell r="M2635" t="str">
            <v>Foxconn LH</v>
          </cell>
        </row>
        <row r="2636">
          <cell r="D2636" t="str">
            <v>APJ</v>
          </cell>
          <cell r="H2636" t="str">
            <v>1D0K2AA#UUF</v>
          </cell>
          <cell r="M2636" t="str">
            <v>Foxconn LH</v>
          </cell>
        </row>
        <row r="2637">
          <cell r="D2637" t="str">
            <v>APJ</v>
          </cell>
          <cell r="H2637" t="str">
            <v>428K7AA</v>
          </cell>
          <cell r="M2637" t="str">
            <v>Foxconn LH</v>
          </cell>
        </row>
        <row r="2638">
          <cell r="D2638" t="str">
            <v>NA/LA</v>
          </cell>
          <cell r="H2638" t="str">
            <v>53X26AA#ABL</v>
          </cell>
          <cell r="M2638" t="str">
            <v>Foxconn LH</v>
          </cell>
        </row>
        <row r="2639">
          <cell r="D2639" t="str">
            <v>APJ</v>
          </cell>
          <cell r="H2639" t="str">
            <v>6VY96AA#UUF</v>
          </cell>
          <cell r="M2639" t="str">
            <v>Foxconn LH</v>
          </cell>
        </row>
        <row r="2640">
          <cell r="D2640" t="str">
            <v>APJ</v>
          </cell>
          <cell r="H2640" t="str">
            <v>1Y4D0AA#UUF</v>
          </cell>
          <cell r="M2640" t="str">
            <v>Foxconn LH</v>
          </cell>
        </row>
        <row r="2641">
          <cell r="D2641" t="str">
            <v>LA</v>
          </cell>
          <cell r="H2641" t="str">
            <v>1Y4D0AA#ABM</v>
          </cell>
          <cell r="M2641" t="str">
            <v>Foxconn LH</v>
          </cell>
        </row>
        <row r="2642">
          <cell r="D2642" t="str">
            <v>APJ</v>
          </cell>
          <cell r="H2642" t="str">
            <v>1Y4D0AA#UUF</v>
          </cell>
          <cell r="M2642" t="str">
            <v>Foxconn LH</v>
          </cell>
        </row>
        <row r="2643">
          <cell r="D2643" t="str">
            <v>APJ</v>
          </cell>
          <cell r="H2643" t="str">
            <v>1Y4D0AA#UUF</v>
          </cell>
          <cell r="M2643" t="str">
            <v>Foxconn LH</v>
          </cell>
        </row>
        <row r="2644">
          <cell r="D2644" t="str">
            <v>LA</v>
          </cell>
          <cell r="H2644" t="str">
            <v>2V9E6AA#ABM</v>
          </cell>
          <cell r="M2644" t="str">
            <v>Foxconn LH</v>
          </cell>
        </row>
        <row r="2645">
          <cell r="D2645" t="str">
            <v>APJ</v>
          </cell>
          <cell r="H2645" t="str">
            <v>2HU82AA#UUF</v>
          </cell>
          <cell r="M2645" t="str">
            <v>Foxconn LH</v>
          </cell>
        </row>
        <row r="2646">
          <cell r="D2646" t="str">
            <v>NA/LA</v>
          </cell>
          <cell r="H2646" t="str">
            <v>2HU84AA#ABL</v>
          </cell>
          <cell r="M2646" t="str">
            <v>Foxconn LH</v>
          </cell>
        </row>
        <row r="2647">
          <cell r="D2647" t="str">
            <v>APJ</v>
          </cell>
          <cell r="H2647" t="str">
            <v>2HU85AA#UUF</v>
          </cell>
          <cell r="M2647" t="str">
            <v>Foxconn LH</v>
          </cell>
        </row>
        <row r="2648">
          <cell r="D2648" t="str">
            <v>APJ</v>
          </cell>
          <cell r="H2648" t="str">
            <v>2S9L1AA#UUF</v>
          </cell>
          <cell r="M2648" t="str">
            <v>Foxconn LH</v>
          </cell>
        </row>
        <row r="2649">
          <cell r="D2649" t="str">
            <v>NA</v>
          </cell>
          <cell r="H2649" t="str">
            <v>77B11AA#ABA</v>
          </cell>
          <cell r="M2649" t="str">
            <v>Foxconn LH</v>
          </cell>
        </row>
        <row r="2650">
          <cell r="D2650" t="str">
            <v>NA/LA</v>
          </cell>
          <cell r="H2650" t="str">
            <v>2HU82AA#ABL</v>
          </cell>
          <cell r="M2650" t="str">
            <v>Foxconn LH</v>
          </cell>
        </row>
        <row r="2651">
          <cell r="D2651" t="str">
            <v>LA</v>
          </cell>
          <cell r="H2651" t="str">
            <v>6VY96AA#ABM</v>
          </cell>
          <cell r="M2651" t="str">
            <v>Foxconn LH</v>
          </cell>
        </row>
        <row r="2652">
          <cell r="D2652" t="str">
            <v>APJ</v>
          </cell>
          <cell r="H2652" t="str">
            <v>428K7AA</v>
          </cell>
          <cell r="M2652" t="str">
            <v>Foxconn LH</v>
          </cell>
        </row>
        <row r="2653">
          <cell r="D2653" t="str">
            <v>APJ</v>
          </cell>
          <cell r="H2653" t="str">
            <v>428K6AA</v>
          </cell>
          <cell r="M2653" t="str">
            <v>Foxconn LH</v>
          </cell>
        </row>
        <row r="2654">
          <cell r="D2654" t="str">
            <v>APJ</v>
          </cell>
          <cell r="H2654" t="str">
            <v>428K7AA</v>
          </cell>
          <cell r="M2654" t="str">
            <v>Foxconn LH</v>
          </cell>
        </row>
        <row r="2655">
          <cell r="D2655" t="str">
            <v>LA</v>
          </cell>
          <cell r="H2655" t="str">
            <v>6VY96AA#ABM</v>
          </cell>
          <cell r="M2655" t="str">
            <v>Foxconn LH</v>
          </cell>
        </row>
        <row r="2656">
          <cell r="D2656" t="str">
            <v>LA</v>
          </cell>
          <cell r="H2656" t="str">
            <v>4E407AA#ABM</v>
          </cell>
          <cell r="M2656" t="str">
            <v>Foxconn LH</v>
          </cell>
        </row>
        <row r="2657">
          <cell r="D2657" t="str">
            <v>APJ</v>
          </cell>
          <cell r="H2657" t="str">
            <v>428H5AA#UUF</v>
          </cell>
          <cell r="M2657" t="str">
            <v>Foxconn LH</v>
          </cell>
        </row>
        <row r="2658">
          <cell r="D2658" t="str">
            <v>LA</v>
          </cell>
          <cell r="H2658" t="str">
            <v>240J7AA#ABM</v>
          </cell>
          <cell r="M2658" t="str">
            <v>Foxconn LH</v>
          </cell>
        </row>
        <row r="2659">
          <cell r="D2659" t="str">
            <v>APJ</v>
          </cell>
          <cell r="H2659" t="str">
            <v>X6W31AA#UUF</v>
          </cell>
          <cell r="M2659" t="str">
            <v>Foxconn LH</v>
          </cell>
        </row>
        <row r="2660">
          <cell r="D2660" t="str">
            <v>APJ</v>
          </cell>
          <cell r="H2660" t="str">
            <v>6E6F1AA#UUF</v>
          </cell>
          <cell r="M2660" t="str">
            <v>Foxconn LH</v>
          </cell>
        </row>
        <row r="2661">
          <cell r="D2661" t="str">
            <v>APJ</v>
          </cell>
          <cell r="H2661" t="str">
            <v>53X26AA#UUF</v>
          </cell>
          <cell r="M2661" t="str">
            <v>Foxconn LH</v>
          </cell>
        </row>
        <row r="2662">
          <cell r="D2662" t="str">
            <v>LA</v>
          </cell>
          <cell r="H2662" t="str">
            <v>43N04AA#ABM</v>
          </cell>
          <cell r="M2662" t="str">
            <v>Foxconn LH</v>
          </cell>
        </row>
        <row r="2663">
          <cell r="D2663" t="str">
            <v>APJ</v>
          </cell>
          <cell r="H2663" t="str">
            <v>81S67AA#UUF</v>
          </cell>
          <cell r="M2663" t="str">
            <v>Foxconn LH</v>
          </cell>
        </row>
        <row r="2664">
          <cell r="D2664" t="str">
            <v>NA/LA</v>
          </cell>
          <cell r="H2664" t="str">
            <v>2HU83AA#ABL</v>
          </cell>
          <cell r="M2664" t="str">
            <v>Foxconn LH</v>
          </cell>
        </row>
        <row r="2665">
          <cell r="D2665" t="str">
            <v>NA/LA</v>
          </cell>
          <cell r="H2665" t="str">
            <v>X6W31AA#ABL</v>
          </cell>
          <cell r="M2665" t="str">
            <v>Foxconn LH</v>
          </cell>
        </row>
        <row r="2666">
          <cell r="D2666" t="str">
            <v>APJ</v>
          </cell>
          <cell r="H2666" t="str">
            <v>428K7AA</v>
          </cell>
          <cell r="M2666" t="str">
            <v>Foxconn LH</v>
          </cell>
        </row>
        <row r="2667">
          <cell r="D2667" t="str">
            <v>NA/LA</v>
          </cell>
          <cell r="H2667" t="str">
            <v>2HU84AA#ABL</v>
          </cell>
          <cell r="M2667" t="str">
            <v>Foxconn LH</v>
          </cell>
        </row>
        <row r="2668">
          <cell r="D2668" t="str">
            <v>APJ</v>
          </cell>
          <cell r="H2668" t="str">
            <v>822M9AA#UUF</v>
          </cell>
          <cell r="M2668" t="str">
            <v>Foxconn LH</v>
          </cell>
        </row>
        <row r="2669">
          <cell r="D2669" t="str">
            <v>NA/LA</v>
          </cell>
          <cell r="H2669" t="str">
            <v>4QM14AA#ABL</v>
          </cell>
          <cell r="M2669" t="str">
            <v>Foxconn LH</v>
          </cell>
        </row>
        <row r="2670">
          <cell r="D2670" t="str">
            <v>APJ</v>
          </cell>
          <cell r="H2670" t="str">
            <v>18H24AA#UUF</v>
          </cell>
          <cell r="M2670" t="str">
            <v>Foxconn LH</v>
          </cell>
        </row>
        <row r="2671">
          <cell r="D2671" t="str">
            <v>APJ</v>
          </cell>
          <cell r="H2671" t="str">
            <v>81S67AA#UUF</v>
          </cell>
          <cell r="M2671" t="str">
            <v>Foxconn LH</v>
          </cell>
        </row>
        <row r="2672">
          <cell r="D2672" t="str">
            <v>LA</v>
          </cell>
          <cell r="H2672" t="str">
            <v>3L1E7AA#ABM</v>
          </cell>
          <cell r="M2672" t="str">
            <v>Foxconn LH</v>
          </cell>
        </row>
        <row r="2673">
          <cell r="D2673" t="str">
            <v>APJ</v>
          </cell>
          <cell r="H2673" t="str">
            <v>9DF28AA#UUF</v>
          </cell>
          <cell r="M2673" t="str">
            <v>Foxconn LH</v>
          </cell>
        </row>
        <row r="2674">
          <cell r="D2674" t="str">
            <v>APJ</v>
          </cell>
          <cell r="H2674" t="str">
            <v>9DF28AA#UUF</v>
          </cell>
          <cell r="M2674" t="str">
            <v>Foxconn LH</v>
          </cell>
        </row>
        <row r="2675">
          <cell r="D2675" t="str">
            <v>APJ</v>
          </cell>
          <cell r="H2675" t="str">
            <v>2S9L1AA#UUF</v>
          </cell>
          <cell r="M2675" t="str">
            <v>Foxconn LH</v>
          </cell>
        </row>
        <row r="2676">
          <cell r="D2676" t="str">
            <v>LA</v>
          </cell>
          <cell r="H2676" t="str">
            <v>18H24AA#ABM</v>
          </cell>
          <cell r="M2676" t="str">
            <v>Foxconn LH</v>
          </cell>
        </row>
        <row r="2677">
          <cell r="D2677" t="str">
            <v>LA</v>
          </cell>
          <cell r="H2677" t="str">
            <v>2S9L1AA#ABM</v>
          </cell>
          <cell r="M2677" t="str">
            <v>Foxconn LH</v>
          </cell>
        </row>
        <row r="2678">
          <cell r="D2678" t="str">
            <v>NA/LA</v>
          </cell>
          <cell r="H2678" t="str">
            <v>2HU82AA#ABL</v>
          </cell>
          <cell r="M2678" t="str">
            <v>Foxconn LH</v>
          </cell>
        </row>
        <row r="2679">
          <cell r="D2679" t="str">
            <v>APJ</v>
          </cell>
          <cell r="H2679" t="str">
            <v>18H24AA#UUF</v>
          </cell>
          <cell r="M2679" t="str">
            <v>Foxconn LH</v>
          </cell>
        </row>
        <row r="2680">
          <cell r="D2680" t="str">
            <v>LA</v>
          </cell>
          <cell r="H2680" t="str">
            <v>4E407AA#ABM</v>
          </cell>
          <cell r="M2680" t="str">
            <v>Foxconn LH</v>
          </cell>
        </row>
        <row r="2681">
          <cell r="D2681" t="str">
            <v>LA</v>
          </cell>
          <cell r="H2681" t="str">
            <v>18H24AA#ABM</v>
          </cell>
          <cell r="M2681" t="str">
            <v>Foxconn LH</v>
          </cell>
        </row>
        <row r="2682">
          <cell r="D2682" t="str">
            <v>LA</v>
          </cell>
          <cell r="H2682" t="str">
            <v>2S9L1AA#ABM</v>
          </cell>
          <cell r="M2682" t="str">
            <v>Foxconn LH</v>
          </cell>
        </row>
        <row r="2683">
          <cell r="D2683" t="str">
            <v>APJ</v>
          </cell>
          <cell r="H2683" t="str">
            <v>X6W31AA#UUF</v>
          </cell>
          <cell r="M2683" t="str">
            <v>Foxconn LH</v>
          </cell>
        </row>
        <row r="2684">
          <cell r="D2684" t="str">
            <v>LA</v>
          </cell>
          <cell r="H2684" t="str">
            <v>4E407AA#ABM</v>
          </cell>
          <cell r="M2684" t="str">
            <v>Foxconn LH</v>
          </cell>
        </row>
        <row r="2685">
          <cell r="D2685" t="str">
            <v>APJ</v>
          </cell>
          <cell r="H2685" t="str">
            <v>3L1E7AA#UUF</v>
          </cell>
          <cell r="M2685" t="str">
            <v>Foxconn LH</v>
          </cell>
        </row>
        <row r="2686">
          <cell r="D2686" t="str">
            <v>NA</v>
          </cell>
          <cell r="H2686" t="str">
            <v>3L1E7AA#ABA</v>
          </cell>
          <cell r="M2686" t="str">
            <v>Foxconn LH</v>
          </cell>
        </row>
        <row r="2687">
          <cell r="D2687" t="str">
            <v>NA</v>
          </cell>
          <cell r="H2687" t="str">
            <v>18H24AA#ABA</v>
          </cell>
          <cell r="M2687" t="str">
            <v>Foxconn LH</v>
          </cell>
        </row>
        <row r="2688">
          <cell r="D2688" t="str">
            <v>NA/LA</v>
          </cell>
          <cell r="H2688" t="str">
            <v>2HU83AA#ABL</v>
          </cell>
          <cell r="M2688" t="str">
            <v>Foxconn LH</v>
          </cell>
        </row>
        <row r="2689">
          <cell r="D2689" t="str">
            <v>LA</v>
          </cell>
          <cell r="H2689" t="str">
            <v>1Y4D0AA#ABM</v>
          </cell>
          <cell r="M2689" t="str">
            <v>Foxconn LH</v>
          </cell>
        </row>
        <row r="2690">
          <cell r="D2690" t="str">
            <v>APJ</v>
          </cell>
          <cell r="H2690" t="str">
            <v>428K7AA</v>
          </cell>
          <cell r="M2690" t="str">
            <v>Foxconn LH</v>
          </cell>
        </row>
        <row r="2691">
          <cell r="D2691" t="str">
            <v>APJ</v>
          </cell>
          <cell r="H2691" t="str">
            <v>6VY96AA#UUF</v>
          </cell>
          <cell r="M2691" t="str">
            <v>Foxconn LH</v>
          </cell>
        </row>
        <row r="2692">
          <cell r="D2692" t="str">
            <v>APJ</v>
          </cell>
          <cell r="H2692" t="str">
            <v>1Y4D0AA#UUF</v>
          </cell>
          <cell r="M2692" t="str">
            <v>Foxconn LH</v>
          </cell>
        </row>
        <row r="2693">
          <cell r="D2693" t="str">
            <v>LA</v>
          </cell>
          <cell r="H2693" t="str">
            <v>240J6AA#ABM</v>
          </cell>
          <cell r="M2693" t="str">
            <v>Foxconn LH</v>
          </cell>
        </row>
        <row r="2694">
          <cell r="D2694" t="str">
            <v>LA</v>
          </cell>
          <cell r="H2694" t="str">
            <v>3L1F0AA#ABM</v>
          </cell>
          <cell r="M2694" t="str">
            <v>Foxconn LH</v>
          </cell>
        </row>
        <row r="2695">
          <cell r="D2695" t="str">
            <v>LA</v>
          </cell>
          <cell r="H2695" t="str">
            <v>3V0G9AA#ABM</v>
          </cell>
          <cell r="M2695" t="str">
            <v>Foxconn LH</v>
          </cell>
        </row>
        <row r="2696">
          <cell r="D2696" t="str">
            <v>NA/LA</v>
          </cell>
          <cell r="H2696" t="str">
            <v>2HU84AA#ABL</v>
          </cell>
          <cell r="M2696" t="str">
            <v>Foxconn LH</v>
          </cell>
        </row>
        <row r="2697">
          <cell r="D2697" t="str">
            <v>NA/LA</v>
          </cell>
          <cell r="H2697" t="str">
            <v>2HU84AA#ABL</v>
          </cell>
          <cell r="M2697" t="str">
            <v>Foxconn LH</v>
          </cell>
        </row>
        <row r="2698">
          <cell r="D2698" t="str">
            <v>NA</v>
          </cell>
          <cell r="H2698" t="str">
            <v>18H24AA#ABA</v>
          </cell>
          <cell r="M2698" t="str">
            <v>Foxconn LH</v>
          </cell>
        </row>
        <row r="2699">
          <cell r="D2699" t="str">
            <v>APJ</v>
          </cell>
          <cell r="H2699" t="str">
            <v>V0L79AA#UUF</v>
          </cell>
          <cell r="M2699" t="str">
            <v>Foxconn LH</v>
          </cell>
        </row>
        <row r="2700">
          <cell r="D2700" t="str">
            <v>APJ</v>
          </cell>
          <cell r="H2700" t="str">
            <v>240J6AA#UUF</v>
          </cell>
          <cell r="M2700" t="str">
            <v>Foxconn LH</v>
          </cell>
        </row>
        <row r="2701">
          <cell r="D2701" t="str">
            <v>NA</v>
          </cell>
          <cell r="H2701" t="str">
            <v>3L1E7AA#ABA</v>
          </cell>
          <cell r="M2701" t="str">
            <v>Foxconn LH</v>
          </cell>
        </row>
        <row r="2702">
          <cell r="D2702" t="str">
            <v>NA/LA</v>
          </cell>
          <cell r="H2702" t="str">
            <v>428H6AA#ABL</v>
          </cell>
          <cell r="M2702" t="str">
            <v>Foxconn LH</v>
          </cell>
        </row>
        <row r="2703">
          <cell r="D2703" t="str">
            <v>NA</v>
          </cell>
          <cell r="H2703" t="str">
            <v>18H24AA#ABA</v>
          </cell>
          <cell r="M2703" t="str">
            <v>Foxconn LH</v>
          </cell>
        </row>
        <row r="2704">
          <cell r="D2704" t="str">
            <v>APJ</v>
          </cell>
          <cell r="H2704" t="str">
            <v>6E6F2AA#UUF</v>
          </cell>
          <cell r="M2704" t="str">
            <v>Foxconn LH</v>
          </cell>
        </row>
        <row r="2705">
          <cell r="D2705" t="str">
            <v>NA</v>
          </cell>
          <cell r="H2705" t="str">
            <v>18H24AA#ABA</v>
          </cell>
          <cell r="M2705" t="str">
            <v>Foxconn LH</v>
          </cell>
        </row>
        <row r="2706">
          <cell r="D2706" t="str">
            <v>NA/LA</v>
          </cell>
          <cell r="H2706" t="str">
            <v>6V2J7AA#ABL</v>
          </cell>
          <cell r="M2706" t="str">
            <v>Foxconn LH</v>
          </cell>
        </row>
        <row r="2707">
          <cell r="D2707" t="str">
            <v>APJ</v>
          </cell>
          <cell r="H2707" t="str">
            <v>4E407AA#UUF</v>
          </cell>
          <cell r="M2707" t="str">
            <v>Foxconn LH</v>
          </cell>
        </row>
        <row r="2708">
          <cell r="D2708" t="str">
            <v>APJ</v>
          </cell>
          <cell r="H2708" t="str">
            <v>81S67AA#UUF</v>
          </cell>
          <cell r="M2708" t="str">
            <v>Foxconn LH</v>
          </cell>
        </row>
        <row r="2709">
          <cell r="D2709" t="str">
            <v>APJ</v>
          </cell>
          <cell r="H2709" t="str">
            <v>2V9E6AA#UUF</v>
          </cell>
          <cell r="M2709" t="str">
            <v>Foxconn LH</v>
          </cell>
        </row>
        <row r="2710">
          <cell r="D2710" t="str">
            <v>LA</v>
          </cell>
          <cell r="H2710" t="str">
            <v>1Y4D0AA#ABM</v>
          </cell>
          <cell r="M2710" t="str">
            <v>Foxconn LH</v>
          </cell>
        </row>
        <row r="2711">
          <cell r="D2711" t="str">
            <v>APJ</v>
          </cell>
          <cell r="H2711" t="str">
            <v>3L1E7AA#UUF</v>
          </cell>
          <cell r="M2711" t="str">
            <v>Foxconn LH</v>
          </cell>
        </row>
        <row r="2712">
          <cell r="D2712" t="str">
            <v>APJ</v>
          </cell>
          <cell r="H2712" t="str">
            <v>X7Q43AA#UUF</v>
          </cell>
          <cell r="M2712" t="str">
            <v>Foxconn LH</v>
          </cell>
        </row>
        <row r="2713">
          <cell r="D2713" t="str">
            <v>APJ</v>
          </cell>
          <cell r="H2713" t="str">
            <v>X7Q43AA#UUF</v>
          </cell>
          <cell r="M2713" t="str">
            <v>Foxconn LH</v>
          </cell>
        </row>
        <row r="2714">
          <cell r="D2714" t="str">
            <v>LA</v>
          </cell>
          <cell r="H2714" t="str">
            <v>3ML04AA#ABM</v>
          </cell>
          <cell r="M2714" t="str">
            <v>Foxconn LH</v>
          </cell>
        </row>
        <row r="2715">
          <cell r="D2715" t="str">
            <v>APJ</v>
          </cell>
          <cell r="H2715" t="str">
            <v>3L1E7AA#ABJ</v>
          </cell>
          <cell r="M2715" t="str">
            <v>Foxconn LH</v>
          </cell>
        </row>
        <row r="2716">
          <cell r="D2716" t="str">
            <v>APJ</v>
          </cell>
          <cell r="H2716" t="str">
            <v>53X26AA#UUF</v>
          </cell>
          <cell r="M2716" t="str">
            <v>Foxconn LH</v>
          </cell>
        </row>
        <row r="2717">
          <cell r="D2717" t="str">
            <v>NA</v>
          </cell>
          <cell r="H2717" t="str">
            <v>3L1E7AA#ABA</v>
          </cell>
          <cell r="M2717" t="str">
            <v>Foxconn LH</v>
          </cell>
        </row>
        <row r="2718">
          <cell r="D2718" t="str">
            <v>APJ</v>
          </cell>
          <cell r="H2718" t="str">
            <v>758A8AA#UUF</v>
          </cell>
          <cell r="M2718" t="str">
            <v>Foxconn LH</v>
          </cell>
        </row>
        <row r="2719">
          <cell r="D2719" t="str">
            <v>APJ</v>
          </cell>
          <cell r="H2719" t="str">
            <v>3V0G9AA#UUF</v>
          </cell>
          <cell r="M2719" t="str">
            <v>Foxconn LH</v>
          </cell>
        </row>
        <row r="2720">
          <cell r="D2720" t="str">
            <v>APJ</v>
          </cell>
          <cell r="H2720" t="str">
            <v>428K7AA</v>
          </cell>
          <cell r="M2720" t="str">
            <v>Foxconn LH</v>
          </cell>
        </row>
        <row r="2721">
          <cell r="D2721" t="str">
            <v>APJ</v>
          </cell>
          <cell r="H2721" t="str">
            <v>81S67AA#UUF</v>
          </cell>
          <cell r="M2721" t="str">
            <v>Foxconn LH</v>
          </cell>
        </row>
        <row r="2722">
          <cell r="D2722" t="str">
            <v>LA</v>
          </cell>
          <cell r="H2722" t="str">
            <v>3L1E7AA#ABM</v>
          </cell>
          <cell r="M2722" t="str">
            <v>Foxconn LH</v>
          </cell>
        </row>
        <row r="2723">
          <cell r="D2723" t="str">
            <v>APJ</v>
          </cell>
          <cell r="H2723" t="str">
            <v>81S67AA#UUF</v>
          </cell>
          <cell r="M2723" t="str">
            <v>Foxconn LH</v>
          </cell>
        </row>
        <row r="2724">
          <cell r="D2724" t="str">
            <v>APJ</v>
          </cell>
          <cell r="H2724" t="str">
            <v>81S67AA#UUF</v>
          </cell>
          <cell r="M2724" t="str">
            <v>Foxconn LH</v>
          </cell>
        </row>
        <row r="2725">
          <cell r="D2725" t="str">
            <v>APJ</v>
          </cell>
          <cell r="H2725" t="str">
            <v>428K7AA</v>
          </cell>
          <cell r="M2725" t="str">
            <v>Foxconn LH</v>
          </cell>
        </row>
        <row r="2726">
          <cell r="D2726" t="str">
            <v>APJ</v>
          </cell>
          <cell r="H2726" t="str">
            <v>428K7AA</v>
          </cell>
          <cell r="M2726" t="str">
            <v>Foxconn LH</v>
          </cell>
        </row>
        <row r="2727">
          <cell r="D2727" t="str">
            <v>APJ</v>
          </cell>
          <cell r="H2727" t="str">
            <v>9DF28AA#UUF</v>
          </cell>
          <cell r="M2727" t="str">
            <v>Foxconn LH</v>
          </cell>
        </row>
        <row r="2728">
          <cell r="D2728" t="str">
            <v>APJ</v>
          </cell>
          <cell r="H2728" t="str">
            <v>3V0G9AA#UUF</v>
          </cell>
          <cell r="M2728" t="str">
            <v>Foxconn LH</v>
          </cell>
        </row>
        <row r="2729">
          <cell r="D2729" t="str">
            <v>LA</v>
          </cell>
          <cell r="H2729" t="str">
            <v>43N04AA#ABM</v>
          </cell>
          <cell r="M2729" t="str">
            <v>Foxconn LH</v>
          </cell>
        </row>
        <row r="2730">
          <cell r="D2730" t="str">
            <v>NA</v>
          </cell>
          <cell r="H2730" t="str">
            <v>3L1E7AA#ABA</v>
          </cell>
          <cell r="M2730" t="str">
            <v>Foxconn LH</v>
          </cell>
        </row>
        <row r="2731">
          <cell r="D2731" t="str">
            <v>APJ</v>
          </cell>
          <cell r="H2731" t="str">
            <v>4E407AA#UUF</v>
          </cell>
          <cell r="M2731" t="str">
            <v>Foxconn LH</v>
          </cell>
        </row>
        <row r="2732">
          <cell r="D2732" t="str">
            <v>APJ</v>
          </cell>
          <cell r="H2732" t="str">
            <v>81S67AA#UUF</v>
          </cell>
          <cell r="M2732" t="str">
            <v>Foxconn LH</v>
          </cell>
        </row>
        <row r="2733">
          <cell r="D2733" t="str">
            <v>APJ</v>
          </cell>
          <cell r="H2733" t="str">
            <v>6E6F2AA#UUF</v>
          </cell>
          <cell r="M2733" t="str">
            <v>Foxconn LH</v>
          </cell>
        </row>
        <row r="2734">
          <cell r="D2734" t="str">
            <v>APJ</v>
          </cell>
          <cell r="H2734" t="str">
            <v>53X27AA</v>
          </cell>
          <cell r="M2734" t="str">
            <v>Foxconn LH</v>
          </cell>
        </row>
        <row r="2735">
          <cell r="D2735" t="str">
            <v>APJ</v>
          </cell>
          <cell r="H2735" t="str">
            <v>2D799AA#UUF</v>
          </cell>
          <cell r="M2735" t="str">
            <v>Foxconn LH</v>
          </cell>
        </row>
        <row r="2736">
          <cell r="D2736" t="str">
            <v>APJ</v>
          </cell>
          <cell r="H2736" t="str">
            <v>2V9E6AA#UUF</v>
          </cell>
          <cell r="M2736" t="str">
            <v>Foxconn LH</v>
          </cell>
        </row>
        <row r="2737">
          <cell r="D2737" t="str">
            <v>APJ</v>
          </cell>
          <cell r="H2737" t="str">
            <v>6VY96AA#UUF</v>
          </cell>
          <cell r="M2737" t="str">
            <v>Foxconn LH</v>
          </cell>
        </row>
        <row r="2738">
          <cell r="D2738" t="str">
            <v>APJ</v>
          </cell>
          <cell r="H2738" t="str">
            <v>18H24AA#UUF</v>
          </cell>
          <cell r="M2738" t="str">
            <v>Foxconn LH</v>
          </cell>
        </row>
        <row r="2739">
          <cell r="D2739" t="str">
            <v>APJ</v>
          </cell>
          <cell r="H2739" t="str">
            <v>3ML04AA#UUF</v>
          </cell>
          <cell r="M2739" t="str">
            <v>Foxconn LH</v>
          </cell>
        </row>
        <row r="2740">
          <cell r="D2740" t="str">
            <v>NA</v>
          </cell>
          <cell r="H2740" t="str">
            <v>3L1E7AA#ABA</v>
          </cell>
          <cell r="M2740" t="str">
            <v>Foxconn LH</v>
          </cell>
        </row>
        <row r="2741">
          <cell r="D2741" t="str">
            <v>NA</v>
          </cell>
          <cell r="H2741" t="str">
            <v>18H24AA#ABA</v>
          </cell>
          <cell r="M2741" t="str">
            <v>Foxconn LH</v>
          </cell>
        </row>
        <row r="2742">
          <cell r="D2742" t="str">
            <v>APJ</v>
          </cell>
          <cell r="H2742" t="str">
            <v>53X27AA</v>
          </cell>
          <cell r="M2742" t="str">
            <v>Foxconn LH</v>
          </cell>
        </row>
        <row r="2743">
          <cell r="D2743" t="str">
            <v>NA/LA</v>
          </cell>
          <cell r="H2743" t="str">
            <v>2HU85AA#ABL</v>
          </cell>
          <cell r="M2743" t="str">
            <v>Foxconn LH</v>
          </cell>
        </row>
        <row r="2744">
          <cell r="D2744" t="str">
            <v>APJ</v>
          </cell>
          <cell r="H2744" t="str">
            <v>3ML04AA#UUF</v>
          </cell>
          <cell r="M2744" t="str">
            <v>Foxconn LH</v>
          </cell>
        </row>
        <row r="2745">
          <cell r="D2745" t="str">
            <v>APJ</v>
          </cell>
          <cell r="H2745" t="str">
            <v>3ML04AA#UUF</v>
          </cell>
          <cell r="M2745" t="str">
            <v>Foxconn LH</v>
          </cell>
        </row>
        <row r="2746">
          <cell r="D2746" t="str">
            <v>APJ</v>
          </cell>
          <cell r="H2746" t="str">
            <v>81S67AA#UUF</v>
          </cell>
          <cell r="M2746" t="str">
            <v>Foxconn LH</v>
          </cell>
        </row>
        <row r="2747">
          <cell r="D2747" t="str">
            <v>APJ</v>
          </cell>
          <cell r="H2747" t="str">
            <v>758A8AA#UUF</v>
          </cell>
          <cell r="M2747" t="str">
            <v>Foxconn LH</v>
          </cell>
        </row>
        <row r="2748">
          <cell r="D2748" t="str">
            <v>APJ</v>
          </cell>
          <cell r="H2748" t="str">
            <v>9DF28AA#UUF</v>
          </cell>
          <cell r="M2748" t="str">
            <v>Foxconn LH</v>
          </cell>
        </row>
        <row r="2749">
          <cell r="D2749" t="str">
            <v>LA</v>
          </cell>
          <cell r="H2749" t="str">
            <v>4E407AA#ABM</v>
          </cell>
          <cell r="M2749" t="str">
            <v>Foxconn LH</v>
          </cell>
        </row>
        <row r="2750">
          <cell r="D2750" t="str">
            <v>NA</v>
          </cell>
          <cell r="H2750" t="str">
            <v>18H24AA#ABA</v>
          </cell>
          <cell r="M2750" t="str">
            <v>Foxconn LH</v>
          </cell>
        </row>
        <row r="2751">
          <cell r="D2751" t="str">
            <v>APJ</v>
          </cell>
          <cell r="H2751" t="str">
            <v>758A8AA#UUF</v>
          </cell>
          <cell r="M2751" t="str">
            <v>Foxconn LH</v>
          </cell>
        </row>
        <row r="2752">
          <cell r="D2752" t="str">
            <v>LA</v>
          </cell>
          <cell r="H2752" t="str">
            <v>4E407AA#ABM</v>
          </cell>
          <cell r="M2752" t="str">
            <v>Foxconn LH</v>
          </cell>
        </row>
        <row r="2753">
          <cell r="D2753" t="str">
            <v>NA</v>
          </cell>
          <cell r="H2753" t="str">
            <v>3L1E7AA#ABA</v>
          </cell>
          <cell r="M2753" t="str">
            <v>Foxconn LH</v>
          </cell>
        </row>
        <row r="2754">
          <cell r="D2754" t="str">
            <v>APJ</v>
          </cell>
          <cell r="H2754" t="str">
            <v>664R5AA#UUF</v>
          </cell>
          <cell r="M2754" t="str">
            <v>Foxconn LH</v>
          </cell>
        </row>
        <row r="2755">
          <cell r="D2755" t="str">
            <v>NA</v>
          </cell>
          <cell r="H2755" t="str">
            <v>18H24AA#ABA</v>
          </cell>
          <cell r="M2755" t="str">
            <v>Foxconn LH</v>
          </cell>
        </row>
        <row r="2756">
          <cell r="D2756" t="str">
            <v>APJ</v>
          </cell>
          <cell r="H2756" t="str">
            <v>V0L79AA#UUF</v>
          </cell>
          <cell r="M2756" t="str">
            <v>Foxconn LH</v>
          </cell>
        </row>
        <row r="2757">
          <cell r="D2757" t="str">
            <v>NA/LA</v>
          </cell>
          <cell r="H2757" t="str">
            <v>2HU83AA#ABL</v>
          </cell>
          <cell r="M2757" t="str">
            <v>Foxconn LH</v>
          </cell>
        </row>
        <row r="2758">
          <cell r="D2758" t="str">
            <v>APJ</v>
          </cell>
          <cell r="H2758" t="str">
            <v>3ML04AA#UUF</v>
          </cell>
          <cell r="M2758" t="str">
            <v>Foxconn LH</v>
          </cell>
        </row>
        <row r="2759">
          <cell r="D2759" t="str">
            <v>NA/LA</v>
          </cell>
          <cell r="H2759" t="str">
            <v>2HU84AA#ABL</v>
          </cell>
          <cell r="M2759" t="str">
            <v>Foxconn LH</v>
          </cell>
        </row>
        <row r="2760">
          <cell r="D2760" t="str">
            <v>APJ</v>
          </cell>
          <cell r="H2760" t="str">
            <v>1Y4D0AA#UUF</v>
          </cell>
          <cell r="M2760" t="str">
            <v>Foxconn LH</v>
          </cell>
        </row>
        <row r="2761">
          <cell r="D2761" t="str">
            <v>APJ</v>
          </cell>
          <cell r="H2761" t="str">
            <v>53X26AA#UUF</v>
          </cell>
          <cell r="M2761" t="str">
            <v>Foxconn LH</v>
          </cell>
        </row>
        <row r="2762">
          <cell r="D2762" t="str">
            <v>APJ</v>
          </cell>
          <cell r="H2762" t="str">
            <v>428H6AA#UUF</v>
          </cell>
          <cell r="M2762" t="str">
            <v>Foxconn LH</v>
          </cell>
        </row>
        <row r="2763">
          <cell r="D2763" t="str">
            <v>APJ</v>
          </cell>
          <cell r="H2763" t="str">
            <v>M82158-001</v>
          </cell>
          <cell r="M2763" t="str">
            <v>Foxconn LH</v>
          </cell>
        </row>
        <row r="2764">
          <cell r="D2764" t="str">
            <v>APJ</v>
          </cell>
          <cell r="H2764" t="str">
            <v>M82158-001</v>
          </cell>
          <cell r="M2764" t="str">
            <v>Foxconn LH</v>
          </cell>
        </row>
        <row r="2765">
          <cell r="D2765" t="str">
            <v>NA/LA</v>
          </cell>
          <cell r="H2765" t="str">
            <v>6V2J7AA#ABL</v>
          </cell>
          <cell r="M2765" t="str">
            <v>Foxconn LH</v>
          </cell>
        </row>
        <row r="2766">
          <cell r="D2766" t="str">
            <v>LA</v>
          </cell>
          <cell r="H2766" t="str">
            <v>1Y4D0AA#ABM</v>
          </cell>
          <cell r="M2766" t="str">
            <v>Foxconn LH</v>
          </cell>
        </row>
        <row r="2767">
          <cell r="D2767" t="str">
            <v>LA</v>
          </cell>
          <cell r="H2767" t="str">
            <v>1Y4D0AA#ABM</v>
          </cell>
          <cell r="M2767" t="str">
            <v>Foxconn LH</v>
          </cell>
        </row>
        <row r="2768">
          <cell r="D2768" t="str">
            <v>NA</v>
          </cell>
          <cell r="H2768" t="str">
            <v>18H24AA#ABA</v>
          </cell>
          <cell r="M2768" t="str">
            <v>Foxconn LH</v>
          </cell>
        </row>
        <row r="2769">
          <cell r="D2769" t="str">
            <v>APJ</v>
          </cell>
          <cell r="H2769" t="str">
            <v>4E407AA#UUF</v>
          </cell>
          <cell r="M2769" t="str">
            <v>Foxconn LH</v>
          </cell>
        </row>
        <row r="2770">
          <cell r="D2770" t="str">
            <v>NA/LA</v>
          </cell>
          <cell r="H2770" t="str">
            <v>2HU84AA#ABL</v>
          </cell>
          <cell r="M2770" t="str">
            <v>Foxconn LH</v>
          </cell>
        </row>
        <row r="2771">
          <cell r="D2771" t="str">
            <v>NA</v>
          </cell>
          <cell r="H2771" t="str">
            <v>240J7AA#ABL</v>
          </cell>
          <cell r="M2771" t="str">
            <v>Foxconn LH</v>
          </cell>
        </row>
        <row r="2772">
          <cell r="D2772" t="str">
            <v>APJ</v>
          </cell>
          <cell r="H2772" t="str">
            <v>53X27AA</v>
          </cell>
          <cell r="M2772" t="str">
            <v>Foxconn LH</v>
          </cell>
        </row>
        <row r="2773">
          <cell r="D2773" t="str">
            <v>APJ</v>
          </cell>
          <cell r="H2773" t="str">
            <v>3L1F0AA#UUF</v>
          </cell>
          <cell r="M2773" t="str">
            <v>Foxconn LH</v>
          </cell>
        </row>
        <row r="2774">
          <cell r="D2774" t="str">
            <v>NA/LA</v>
          </cell>
          <cell r="H2774" t="str">
            <v>758A9AA#ABA</v>
          </cell>
          <cell r="M2774" t="str">
            <v>Foxconn LH</v>
          </cell>
        </row>
        <row r="2775">
          <cell r="D2775" t="str">
            <v>NA/LA</v>
          </cell>
          <cell r="H2775" t="str">
            <v>2HU85AA#ABL</v>
          </cell>
          <cell r="M2775" t="str">
            <v>Foxconn LH</v>
          </cell>
        </row>
        <row r="2776">
          <cell r="D2776" t="str">
            <v>LA</v>
          </cell>
          <cell r="H2776" t="str">
            <v>1Y4D0AA#ABM</v>
          </cell>
          <cell r="M2776" t="str">
            <v>Foxconn LH</v>
          </cell>
        </row>
        <row r="2777">
          <cell r="D2777" t="str">
            <v>APJ</v>
          </cell>
          <cell r="H2777" t="str">
            <v>X7Q44AA#UUF</v>
          </cell>
          <cell r="M2777" t="str">
            <v>Foxconn LH</v>
          </cell>
        </row>
        <row r="2778">
          <cell r="D2778" t="str">
            <v>NA</v>
          </cell>
          <cell r="H2778" t="str">
            <v>3L1E7AA#ABA</v>
          </cell>
          <cell r="M2778" t="str">
            <v>Foxconn LH</v>
          </cell>
        </row>
        <row r="2779">
          <cell r="D2779" t="str">
            <v>APJ</v>
          </cell>
          <cell r="H2779" t="str">
            <v>758A8AA#UUF</v>
          </cell>
          <cell r="M2779" t="str">
            <v>Foxconn LH</v>
          </cell>
        </row>
        <row r="2780">
          <cell r="D2780" t="str">
            <v>NA</v>
          </cell>
          <cell r="H2780" t="str">
            <v>2V9E6AA#ABL</v>
          </cell>
          <cell r="M2780" t="str">
            <v>Foxconn LH</v>
          </cell>
        </row>
        <row r="2781">
          <cell r="D2781" t="str">
            <v>APJ</v>
          </cell>
          <cell r="H2781" t="str">
            <v>3L1E7AA#UUF</v>
          </cell>
          <cell r="M2781" t="str">
            <v>Foxconn LH</v>
          </cell>
        </row>
        <row r="2782">
          <cell r="D2782" t="str">
            <v>APJ</v>
          </cell>
          <cell r="H2782" t="str">
            <v>3L1F0AA#UUF</v>
          </cell>
          <cell r="M2782" t="str">
            <v>Foxconn LH</v>
          </cell>
        </row>
        <row r="2783">
          <cell r="D2783" t="str">
            <v>APJ</v>
          </cell>
          <cell r="H2783" t="str">
            <v>1Y4D0AA#UUF</v>
          </cell>
          <cell r="M2783" t="str">
            <v>Foxconn LH</v>
          </cell>
        </row>
        <row r="2784">
          <cell r="D2784" t="str">
            <v>NA</v>
          </cell>
          <cell r="H2784" t="str">
            <v>3L1E7AA#ABA</v>
          </cell>
          <cell r="M2784" t="str">
            <v>Foxconn LH</v>
          </cell>
        </row>
        <row r="2785">
          <cell r="D2785" t="str">
            <v>LA</v>
          </cell>
          <cell r="H2785" t="str">
            <v>6VY96AA#ABM</v>
          </cell>
          <cell r="M2785" t="str">
            <v>Foxconn LH</v>
          </cell>
        </row>
        <row r="2786">
          <cell r="D2786" t="str">
            <v>LA</v>
          </cell>
          <cell r="H2786" t="str">
            <v>2V9E6AA#ABM</v>
          </cell>
          <cell r="M2786" t="str">
            <v>Foxconn LH</v>
          </cell>
        </row>
        <row r="2787">
          <cell r="D2787" t="str">
            <v>APJ</v>
          </cell>
          <cell r="H2787" t="str">
            <v>53X26AA#UUF</v>
          </cell>
          <cell r="M2787" t="str">
            <v>Foxconn LH</v>
          </cell>
        </row>
        <row r="2788">
          <cell r="D2788" t="str">
            <v>APJ</v>
          </cell>
          <cell r="H2788" t="str">
            <v>2S9L1AA#UUF</v>
          </cell>
          <cell r="M2788" t="str">
            <v>Foxconn LH</v>
          </cell>
        </row>
        <row r="2789">
          <cell r="D2789" t="str">
            <v>APJ</v>
          </cell>
          <cell r="H2789" t="str">
            <v>2S9L1AA#UUF</v>
          </cell>
          <cell r="M2789" t="str">
            <v>Foxconn LH</v>
          </cell>
        </row>
        <row r="2790">
          <cell r="D2790" t="str">
            <v>APJ</v>
          </cell>
          <cell r="H2790" t="str">
            <v>822M9AA#UUF</v>
          </cell>
          <cell r="M2790" t="str">
            <v>Foxconn LH</v>
          </cell>
        </row>
        <row r="2791">
          <cell r="D2791" t="str">
            <v>NA</v>
          </cell>
          <cell r="H2791" t="str">
            <v>664R5AA#ABL</v>
          </cell>
          <cell r="M2791" t="str">
            <v>Foxconn LH</v>
          </cell>
        </row>
        <row r="2792">
          <cell r="D2792" t="str">
            <v>NA/LA</v>
          </cell>
          <cell r="H2792" t="str">
            <v>2HU82AA#ABL</v>
          </cell>
          <cell r="M2792" t="str">
            <v>Foxconn LH</v>
          </cell>
        </row>
        <row r="2793">
          <cell r="D2793" t="str">
            <v>NA/LA</v>
          </cell>
          <cell r="H2793" t="str">
            <v>X6W31AA#ABL</v>
          </cell>
          <cell r="M2793" t="str">
            <v>Foxconn LH</v>
          </cell>
        </row>
        <row r="2794">
          <cell r="D2794" t="str">
            <v>APJ</v>
          </cell>
          <cell r="H2794" t="str">
            <v>240J7AA#UUF</v>
          </cell>
          <cell r="M2794" t="str">
            <v>Foxconn LH</v>
          </cell>
        </row>
        <row r="2795">
          <cell r="D2795" t="str">
            <v>NA/LA</v>
          </cell>
          <cell r="H2795" t="str">
            <v>2HU84AA#ABL</v>
          </cell>
          <cell r="M2795" t="str">
            <v>Foxconn LH</v>
          </cell>
        </row>
        <row r="2796">
          <cell r="D2796" t="str">
            <v>LA</v>
          </cell>
          <cell r="H2796" t="str">
            <v>664R5AA#ABM</v>
          </cell>
          <cell r="M2796" t="str">
            <v>Foxconn LH</v>
          </cell>
        </row>
        <row r="2797">
          <cell r="D2797" t="str">
            <v>LA</v>
          </cell>
          <cell r="H2797" t="str">
            <v>240J6AA#ABM</v>
          </cell>
          <cell r="M2797" t="str">
            <v>Foxconn LH</v>
          </cell>
        </row>
        <row r="2798">
          <cell r="D2798" t="str">
            <v>APJ</v>
          </cell>
          <cell r="H2798" t="str">
            <v>53X26AA#UUF</v>
          </cell>
          <cell r="M2798" t="str">
            <v>Foxconn LH</v>
          </cell>
        </row>
        <row r="2799">
          <cell r="D2799" t="str">
            <v>NA</v>
          </cell>
          <cell r="H2799" t="str">
            <v>3L1E7AA#ABA</v>
          </cell>
          <cell r="M2799" t="str">
            <v>Foxconn LH</v>
          </cell>
        </row>
        <row r="2800">
          <cell r="D2800" t="str">
            <v>APJ</v>
          </cell>
          <cell r="H2800" t="str">
            <v>6E6F2AA#UUF</v>
          </cell>
          <cell r="M2800" t="str">
            <v>Foxconn LH</v>
          </cell>
        </row>
        <row r="2801">
          <cell r="D2801" t="str">
            <v>NA/LA</v>
          </cell>
          <cell r="H2801" t="str">
            <v>2HU83AA#ABL</v>
          </cell>
          <cell r="M2801" t="str">
            <v>Foxconn LH</v>
          </cell>
        </row>
        <row r="2802">
          <cell r="D2802" t="str">
            <v>APJ</v>
          </cell>
          <cell r="H2802" t="str">
            <v>428H5AA#UUF</v>
          </cell>
          <cell r="M2802" t="str">
            <v>Foxconn LH</v>
          </cell>
        </row>
        <row r="2803">
          <cell r="D2803" t="str">
            <v>NA/LA</v>
          </cell>
          <cell r="H2803" t="str">
            <v>758A9AA#ABA</v>
          </cell>
          <cell r="M2803" t="str">
            <v>Foxconn LH</v>
          </cell>
        </row>
        <row r="2804">
          <cell r="D2804" t="str">
            <v>NA</v>
          </cell>
          <cell r="H2804" t="str">
            <v>3L1E7AA#ABA</v>
          </cell>
          <cell r="M2804" t="str">
            <v>Foxconn LH</v>
          </cell>
        </row>
        <row r="2805">
          <cell r="D2805" t="str">
            <v>APJ</v>
          </cell>
          <cell r="H2805" t="str">
            <v>53X27AA</v>
          </cell>
          <cell r="M2805" t="str">
            <v>Foxconn LH</v>
          </cell>
        </row>
        <row r="2806">
          <cell r="D2806" t="str">
            <v>APJ</v>
          </cell>
          <cell r="H2806" t="str">
            <v>3ML04AA#UUF</v>
          </cell>
          <cell r="M2806" t="str">
            <v>Foxconn LH</v>
          </cell>
        </row>
        <row r="2807">
          <cell r="D2807" t="str">
            <v>APJ</v>
          </cell>
          <cell r="H2807" t="str">
            <v>3V0G9AA#UUF</v>
          </cell>
          <cell r="M2807" t="str">
            <v>Foxconn LH</v>
          </cell>
        </row>
        <row r="2808">
          <cell r="D2808" t="str">
            <v>APJ</v>
          </cell>
          <cell r="H2808" t="str">
            <v>53X26AA#UUF</v>
          </cell>
          <cell r="M2808" t="str">
            <v>Foxconn LH</v>
          </cell>
        </row>
        <row r="2809">
          <cell r="D2809" t="str">
            <v>LA</v>
          </cell>
          <cell r="H2809" t="str">
            <v>2S9L1AA#ABM</v>
          </cell>
          <cell r="M2809" t="str">
            <v>Foxconn LH</v>
          </cell>
        </row>
        <row r="2810">
          <cell r="D2810" t="str">
            <v>NA</v>
          </cell>
          <cell r="H2810" t="str">
            <v>3L1E7AA#ABA</v>
          </cell>
          <cell r="M2810" t="str">
            <v>Foxconn LH</v>
          </cell>
        </row>
        <row r="2811">
          <cell r="D2811" t="str">
            <v>NA</v>
          </cell>
          <cell r="H2811" t="str">
            <v>18H24AA#ABA</v>
          </cell>
          <cell r="M2811" t="str">
            <v>Foxconn LH</v>
          </cell>
        </row>
        <row r="2812">
          <cell r="D2812" t="str">
            <v>NA/LA</v>
          </cell>
          <cell r="H2812" t="str">
            <v>2HU84AA#ABL</v>
          </cell>
          <cell r="M2812" t="str">
            <v>Foxconn LH</v>
          </cell>
        </row>
        <row r="2813">
          <cell r="D2813" t="str">
            <v>APJ</v>
          </cell>
          <cell r="H2813" t="str">
            <v>3V0G9AA#UUF</v>
          </cell>
          <cell r="M2813" t="str">
            <v>Foxconn LH</v>
          </cell>
        </row>
        <row r="2814">
          <cell r="D2814" t="str">
            <v>LA</v>
          </cell>
          <cell r="H2814" t="str">
            <v>6VY96AA#ABM</v>
          </cell>
          <cell r="M2814" t="str">
            <v>Foxconn LH</v>
          </cell>
        </row>
        <row r="2815">
          <cell r="D2815" t="str">
            <v>NA/LA</v>
          </cell>
          <cell r="H2815" t="str">
            <v>2HU85AA#ABL</v>
          </cell>
          <cell r="M2815" t="str">
            <v>Foxconn LH</v>
          </cell>
        </row>
        <row r="2816">
          <cell r="D2816" t="str">
            <v>NA/LA</v>
          </cell>
          <cell r="H2816" t="str">
            <v>X6W31AA#ABL</v>
          </cell>
          <cell r="M2816" t="str">
            <v>Foxconn LH</v>
          </cell>
        </row>
        <row r="2817">
          <cell r="D2817" t="str">
            <v>APJ</v>
          </cell>
          <cell r="H2817" t="str">
            <v>4E407AA#UUF</v>
          </cell>
          <cell r="M2817" t="str">
            <v>Foxconn LH</v>
          </cell>
        </row>
        <row r="2818">
          <cell r="D2818" t="str">
            <v>LA</v>
          </cell>
          <cell r="H2818" t="str">
            <v>18H24AA#AC4</v>
          </cell>
          <cell r="M2818" t="str">
            <v>Foxconn LH</v>
          </cell>
        </row>
        <row r="2819">
          <cell r="D2819" t="str">
            <v>LA</v>
          </cell>
          <cell r="H2819" t="str">
            <v>2V9E6AA#AC4</v>
          </cell>
          <cell r="M2819" t="str">
            <v>Foxconn LH</v>
          </cell>
        </row>
        <row r="2820">
          <cell r="D2820" t="str">
            <v>LA</v>
          </cell>
          <cell r="H2820" t="str">
            <v>18H24AA#ABM</v>
          </cell>
          <cell r="M2820" t="str">
            <v>Foxconn LH</v>
          </cell>
        </row>
        <row r="2821">
          <cell r="D2821" t="str">
            <v>LA</v>
          </cell>
          <cell r="H2821" t="str">
            <v>3L1F0AA#ABM</v>
          </cell>
          <cell r="M2821" t="str">
            <v>Foxconn LH</v>
          </cell>
        </row>
        <row r="2822">
          <cell r="D2822" t="str">
            <v>LA</v>
          </cell>
          <cell r="H2822" t="str">
            <v>18H24AA#AC4</v>
          </cell>
          <cell r="M2822" t="str">
            <v>Foxconn LH</v>
          </cell>
        </row>
        <row r="2823">
          <cell r="D2823" t="str">
            <v>APJ</v>
          </cell>
          <cell r="H2823" t="str">
            <v>53X27AA</v>
          </cell>
          <cell r="M2823" t="str">
            <v>Foxconn LH</v>
          </cell>
        </row>
        <row r="2824">
          <cell r="D2824" t="str">
            <v>APJ</v>
          </cell>
          <cell r="H2824" t="str">
            <v>6E6F0AA#UUF</v>
          </cell>
          <cell r="M2824" t="str">
            <v>Foxconn LH</v>
          </cell>
        </row>
        <row r="2825">
          <cell r="D2825" t="str">
            <v>APJ</v>
          </cell>
          <cell r="H2825" t="str">
            <v>3ML04AA#UUF</v>
          </cell>
          <cell r="M2825" t="str">
            <v>Foxconn LH</v>
          </cell>
        </row>
        <row r="2826">
          <cell r="D2826" t="str">
            <v>APJ</v>
          </cell>
          <cell r="H2826" t="str">
            <v>2V9E6AA#UUF</v>
          </cell>
          <cell r="M2826" t="str">
            <v>Foxconn LH</v>
          </cell>
        </row>
        <row r="2827">
          <cell r="D2827" t="str">
            <v>APJ</v>
          </cell>
          <cell r="H2827" t="str">
            <v>1Y4D0AA#AB1</v>
          </cell>
          <cell r="M2827" t="str">
            <v>Foxconn LH</v>
          </cell>
        </row>
        <row r="2828">
          <cell r="D2828" t="str">
            <v>NA</v>
          </cell>
          <cell r="H2828" t="str">
            <v>2V9E6AA#ABL</v>
          </cell>
          <cell r="M2828" t="str">
            <v>Foxconn LH</v>
          </cell>
        </row>
        <row r="2829">
          <cell r="D2829" t="str">
            <v>APJ</v>
          </cell>
          <cell r="H2829" t="str">
            <v>6VY96AA#UUF</v>
          </cell>
          <cell r="M2829" t="str">
            <v>Foxconn LH</v>
          </cell>
        </row>
        <row r="2830">
          <cell r="D2830" t="str">
            <v>APJ</v>
          </cell>
          <cell r="H2830" t="str">
            <v>2S9L1AA#UUF</v>
          </cell>
          <cell r="M2830" t="str">
            <v>Foxconn LH</v>
          </cell>
        </row>
        <row r="2831">
          <cell r="D2831" t="str">
            <v>NA/LA</v>
          </cell>
          <cell r="H2831" t="str">
            <v>2HU82AA#ABL</v>
          </cell>
          <cell r="M2831" t="str">
            <v>Foxconn LH</v>
          </cell>
        </row>
        <row r="2832">
          <cell r="D2832" t="str">
            <v>APJ</v>
          </cell>
          <cell r="H2832" t="str">
            <v>53X26AA#UUF</v>
          </cell>
          <cell r="M2832" t="str">
            <v>Foxconn LH</v>
          </cell>
        </row>
        <row r="2833">
          <cell r="D2833" t="str">
            <v>APJ</v>
          </cell>
          <cell r="H2833" t="str">
            <v>758A8AA#UUF</v>
          </cell>
          <cell r="M2833" t="str">
            <v>Foxconn LH</v>
          </cell>
        </row>
        <row r="2834">
          <cell r="D2834" t="str">
            <v>NA/LA</v>
          </cell>
          <cell r="H2834" t="str">
            <v>758A9AA#ABA</v>
          </cell>
          <cell r="M2834" t="str">
            <v>Foxconn LH</v>
          </cell>
        </row>
        <row r="2835">
          <cell r="D2835" t="str">
            <v>APJ</v>
          </cell>
          <cell r="H2835" t="str">
            <v>M82158-001</v>
          </cell>
          <cell r="M2835" t="str">
            <v>Foxconn LH</v>
          </cell>
        </row>
        <row r="2836">
          <cell r="D2836" t="str">
            <v>APJ</v>
          </cell>
          <cell r="H2836" t="str">
            <v>822M9AA#UUF</v>
          </cell>
          <cell r="M2836" t="str">
            <v>Foxconn LH</v>
          </cell>
        </row>
        <row r="2837">
          <cell r="D2837" t="str">
            <v>NA/LA</v>
          </cell>
          <cell r="H2837" t="str">
            <v>758A8AA#ABA</v>
          </cell>
          <cell r="M2837" t="str">
            <v>Foxconn LH</v>
          </cell>
        </row>
        <row r="2838">
          <cell r="D2838" t="str">
            <v>NA/LA</v>
          </cell>
          <cell r="H2838" t="str">
            <v>1D0K8AA#ABA</v>
          </cell>
          <cell r="M2838" t="str">
            <v>Foxconn LH</v>
          </cell>
        </row>
        <row r="2839">
          <cell r="D2839" t="str">
            <v>NA</v>
          </cell>
          <cell r="H2839" t="str">
            <v>3L1E7AA#ABA</v>
          </cell>
          <cell r="M2839" t="str">
            <v>Foxconn LH</v>
          </cell>
        </row>
        <row r="2840">
          <cell r="D2840" t="str">
            <v>LA</v>
          </cell>
          <cell r="H2840" t="str">
            <v>240J7AA#ABM</v>
          </cell>
          <cell r="M2840" t="str">
            <v>Foxconn LH</v>
          </cell>
        </row>
        <row r="2841">
          <cell r="D2841" t="str">
            <v>NA</v>
          </cell>
          <cell r="H2841" t="str">
            <v>43N04AA#ABA</v>
          </cell>
          <cell r="M2841" t="str">
            <v>Foxconn LH</v>
          </cell>
        </row>
        <row r="2842">
          <cell r="D2842" t="str">
            <v>APJ</v>
          </cell>
          <cell r="H2842" t="str">
            <v>1Y4D0AA#UUF</v>
          </cell>
          <cell r="M2842" t="str">
            <v>Foxconn LH</v>
          </cell>
        </row>
        <row r="2843">
          <cell r="D2843" t="str">
            <v>LA</v>
          </cell>
          <cell r="H2843" t="str">
            <v>240J6AA#ABM</v>
          </cell>
          <cell r="M2843" t="str">
            <v>Foxconn LH</v>
          </cell>
        </row>
        <row r="2844">
          <cell r="D2844" t="str">
            <v>APJ</v>
          </cell>
          <cell r="H2844" t="str">
            <v>V0L79AA#UUF</v>
          </cell>
          <cell r="M2844" t="str">
            <v>Foxconn LH</v>
          </cell>
        </row>
        <row r="2845">
          <cell r="D2845" t="str">
            <v>NA/LA</v>
          </cell>
          <cell r="H2845" t="str">
            <v>2HU85AA#ABL</v>
          </cell>
          <cell r="M2845" t="str">
            <v>Foxconn LH</v>
          </cell>
        </row>
        <row r="2846">
          <cell r="D2846" t="str">
            <v>NA/LA</v>
          </cell>
          <cell r="H2846" t="str">
            <v>2HU83AA#ABL</v>
          </cell>
          <cell r="M2846" t="str">
            <v>Foxconn LH</v>
          </cell>
        </row>
        <row r="2847">
          <cell r="D2847" t="str">
            <v>NA/LA</v>
          </cell>
          <cell r="H2847" t="str">
            <v>2HU83AA#ABL</v>
          </cell>
          <cell r="M2847" t="str">
            <v>Foxconn LH</v>
          </cell>
        </row>
        <row r="2848">
          <cell r="D2848" t="str">
            <v>APJ</v>
          </cell>
          <cell r="H2848" t="str">
            <v>4E407AA#UUF</v>
          </cell>
          <cell r="M2848" t="str">
            <v>Foxconn LH</v>
          </cell>
        </row>
        <row r="2849">
          <cell r="D2849" t="str">
            <v>APJ</v>
          </cell>
          <cell r="H2849" t="str">
            <v>43N04AA#UUF</v>
          </cell>
          <cell r="M2849" t="str">
            <v>Foxconn LH</v>
          </cell>
        </row>
        <row r="2850">
          <cell r="D2850" t="str">
            <v>NA</v>
          </cell>
          <cell r="H2850" t="str">
            <v>18H24AA#ABA</v>
          </cell>
          <cell r="M2850" t="str">
            <v>Foxconn LH</v>
          </cell>
        </row>
        <row r="2851">
          <cell r="D2851" t="str">
            <v>NA/LA</v>
          </cell>
          <cell r="H2851" t="str">
            <v>758A9AA#ABA</v>
          </cell>
          <cell r="M2851" t="str">
            <v>Foxconn LH</v>
          </cell>
        </row>
        <row r="2852">
          <cell r="D2852" t="str">
            <v>NA/LA</v>
          </cell>
          <cell r="H2852" t="str">
            <v>2HU85AA#ABL</v>
          </cell>
          <cell r="M2852" t="str">
            <v>Foxconn LH</v>
          </cell>
        </row>
        <row r="2853">
          <cell r="D2853" t="str">
            <v>NA/LA</v>
          </cell>
          <cell r="H2853" t="str">
            <v>2HU82AA#ABL</v>
          </cell>
          <cell r="M2853" t="str">
            <v>Foxconn LH</v>
          </cell>
        </row>
        <row r="2854">
          <cell r="D2854" t="str">
            <v>APJ</v>
          </cell>
          <cell r="H2854" t="str">
            <v>53X27AA</v>
          </cell>
          <cell r="M2854" t="str">
            <v>Foxconn LH</v>
          </cell>
        </row>
        <row r="2855">
          <cell r="D2855" t="str">
            <v>APJ</v>
          </cell>
          <cell r="H2855" t="str">
            <v>4QM14AA#UUF</v>
          </cell>
          <cell r="M2855" t="str">
            <v>Foxconn LH</v>
          </cell>
        </row>
        <row r="2856">
          <cell r="D2856" t="str">
            <v>APJ</v>
          </cell>
          <cell r="H2856" t="str">
            <v>2HU85AA#UUF</v>
          </cell>
          <cell r="M2856" t="str">
            <v>Foxconn LH</v>
          </cell>
        </row>
        <row r="2857">
          <cell r="D2857" t="str">
            <v>APJ</v>
          </cell>
          <cell r="H2857" t="str">
            <v>3ML04AA#UUF</v>
          </cell>
          <cell r="M2857" t="str">
            <v>Foxconn LH</v>
          </cell>
        </row>
        <row r="2858">
          <cell r="D2858" t="str">
            <v>NA</v>
          </cell>
          <cell r="H2858" t="str">
            <v>2V9E6AA#ABL</v>
          </cell>
          <cell r="M2858" t="str">
            <v>Foxconn LH</v>
          </cell>
        </row>
        <row r="2859">
          <cell r="D2859" t="str">
            <v>NA/LA</v>
          </cell>
          <cell r="H2859" t="str">
            <v>2HU84AA#ABL</v>
          </cell>
          <cell r="M2859" t="str">
            <v>Foxconn LH</v>
          </cell>
        </row>
        <row r="2860">
          <cell r="D2860" t="str">
            <v>NA/LA</v>
          </cell>
          <cell r="H2860" t="str">
            <v>53X26AA#ABL</v>
          </cell>
          <cell r="M2860" t="str">
            <v>Foxconn LH</v>
          </cell>
        </row>
        <row r="2861">
          <cell r="D2861" t="str">
            <v>APJ</v>
          </cell>
          <cell r="H2861" t="str">
            <v>53X26AA#UUF</v>
          </cell>
          <cell r="M2861" t="str">
            <v>Foxconn LH</v>
          </cell>
        </row>
        <row r="2862">
          <cell r="D2862" t="str">
            <v>APJ</v>
          </cell>
          <cell r="H2862" t="str">
            <v>758A8AA#UUF</v>
          </cell>
          <cell r="M2862" t="str">
            <v>Foxconn LH</v>
          </cell>
        </row>
        <row r="2863">
          <cell r="D2863" t="str">
            <v>NA</v>
          </cell>
          <cell r="H2863" t="str">
            <v>18H24AA#ABA</v>
          </cell>
          <cell r="M2863" t="str">
            <v>Foxconn LH</v>
          </cell>
        </row>
        <row r="2864">
          <cell r="D2864" t="str">
            <v>APJ</v>
          </cell>
          <cell r="H2864" t="str">
            <v>X7Q43AA#UUF</v>
          </cell>
          <cell r="M2864" t="str">
            <v>Foxconn LH</v>
          </cell>
        </row>
        <row r="2865">
          <cell r="D2865" t="str">
            <v>APJ</v>
          </cell>
          <cell r="H2865" t="str">
            <v>793F9AA#UUF</v>
          </cell>
          <cell r="M2865" t="str">
            <v>Foxconn LH</v>
          </cell>
        </row>
        <row r="2866">
          <cell r="D2866" t="str">
            <v>APJ</v>
          </cell>
          <cell r="H2866" t="str">
            <v>3ML04AA#UUF</v>
          </cell>
          <cell r="M2866" t="str">
            <v>Foxconn LH</v>
          </cell>
        </row>
        <row r="2867">
          <cell r="D2867" t="str">
            <v>NA/LA</v>
          </cell>
          <cell r="H2867" t="str">
            <v>2HU84AA#ABL</v>
          </cell>
          <cell r="M2867" t="str">
            <v>Foxconn LH</v>
          </cell>
        </row>
        <row r="2868">
          <cell r="D2868" t="str">
            <v>NA/LA</v>
          </cell>
          <cell r="H2868" t="str">
            <v>758A8AA#ABA</v>
          </cell>
          <cell r="M2868" t="str">
            <v>Foxconn LH</v>
          </cell>
        </row>
        <row r="2869">
          <cell r="D2869" t="str">
            <v>NA</v>
          </cell>
          <cell r="H2869" t="str">
            <v>664R5AA#ABL</v>
          </cell>
          <cell r="M2869" t="str">
            <v>Foxconn LH</v>
          </cell>
        </row>
        <row r="2870">
          <cell r="D2870" t="str">
            <v>LA</v>
          </cell>
          <cell r="H2870" t="str">
            <v>6VY96AA#ABM</v>
          </cell>
          <cell r="M2870" t="str">
            <v>Foxconn LH</v>
          </cell>
        </row>
        <row r="2871">
          <cell r="D2871" t="str">
            <v>APJ</v>
          </cell>
          <cell r="H2871" t="str">
            <v>M82158-001</v>
          </cell>
          <cell r="M2871" t="str">
            <v>Foxconn LH</v>
          </cell>
        </row>
        <row r="2872">
          <cell r="D2872" t="str">
            <v>NA</v>
          </cell>
          <cell r="H2872" t="str">
            <v>3L1E7AA#ABA</v>
          </cell>
          <cell r="M2872" t="str">
            <v>Foxconn LH</v>
          </cell>
        </row>
        <row r="2873">
          <cell r="D2873" t="str">
            <v>APJ</v>
          </cell>
          <cell r="H2873" t="str">
            <v>X7Q44AA#UUF</v>
          </cell>
          <cell r="M2873" t="str">
            <v>Foxconn LH</v>
          </cell>
        </row>
        <row r="2874">
          <cell r="D2874" t="str">
            <v>APJ</v>
          </cell>
          <cell r="H2874" t="str">
            <v>6VY96AA#UUF</v>
          </cell>
          <cell r="M2874" t="str">
            <v>Foxconn LH</v>
          </cell>
        </row>
        <row r="2875">
          <cell r="D2875" t="str">
            <v>APJ</v>
          </cell>
          <cell r="H2875" t="str">
            <v>3V0G9AA#UUF</v>
          </cell>
          <cell r="M2875" t="str">
            <v>Foxconn LH</v>
          </cell>
        </row>
        <row r="2876">
          <cell r="D2876" t="str">
            <v>APJ</v>
          </cell>
          <cell r="H2876" t="str">
            <v>81S67AA#UUF</v>
          </cell>
          <cell r="M2876" t="str">
            <v>Foxconn LH</v>
          </cell>
        </row>
        <row r="2877">
          <cell r="D2877" t="str">
            <v>APJ</v>
          </cell>
          <cell r="H2877" t="str">
            <v>V0L80AA#UUF</v>
          </cell>
          <cell r="M2877" t="str">
            <v>Foxconn LH</v>
          </cell>
        </row>
        <row r="2878">
          <cell r="D2878" t="str">
            <v>APJ</v>
          </cell>
          <cell r="H2878" t="str">
            <v>18H24AA#UUF</v>
          </cell>
          <cell r="M2878" t="str">
            <v>Foxconn LH</v>
          </cell>
        </row>
        <row r="2879">
          <cell r="D2879" t="str">
            <v>APJ</v>
          </cell>
          <cell r="H2879" t="str">
            <v>240J7AA#UUF</v>
          </cell>
          <cell r="M2879" t="str">
            <v>Foxconn LH</v>
          </cell>
        </row>
        <row r="2880">
          <cell r="D2880" t="str">
            <v>LA</v>
          </cell>
          <cell r="H2880" t="str">
            <v>43N04AA#ABM</v>
          </cell>
          <cell r="M2880" t="str">
            <v>Foxconn LH</v>
          </cell>
        </row>
        <row r="2881">
          <cell r="D2881" t="str">
            <v>APJ</v>
          </cell>
          <cell r="H2881" t="str">
            <v>1D0K9AA#UUF</v>
          </cell>
          <cell r="M2881" t="str">
            <v>Foxconn LH</v>
          </cell>
        </row>
        <row r="2882">
          <cell r="D2882" t="str">
            <v>APJ</v>
          </cell>
          <cell r="H2882" t="str">
            <v>2S9L1AA#UUF</v>
          </cell>
          <cell r="M2882" t="str">
            <v>Foxconn LH</v>
          </cell>
        </row>
        <row r="2883">
          <cell r="D2883" t="str">
            <v>APJ</v>
          </cell>
          <cell r="H2883" t="str">
            <v>81S67AA#UUF</v>
          </cell>
          <cell r="M2883" t="str">
            <v>Foxconn LH</v>
          </cell>
        </row>
        <row r="2884">
          <cell r="D2884" t="str">
            <v>APJ</v>
          </cell>
          <cell r="H2884" t="str">
            <v>81S67UT#UUF</v>
          </cell>
          <cell r="M2884" t="str">
            <v>Foxconn LH</v>
          </cell>
        </row>
        <row r="2885">
          <cell r="D2885" t="str">
            <v>APJ</v>
          </cell>
          <cell r="H2885" t="str">
            <v>6VY96AA#UUF</v>
          </cell>
          <cell r="M2885" t="str">
            <v>Foxconn LH</v>
          </cell>
        </row>
        <row r="2886">
          <cell r="D2886" t="str">
            <v>APJ</v>
          </cell>
          <cell r="H2886" t="str">
            <v>V0L79AA#UUF</v>
          </cell>
          <cell r="M2886" t="str">
            <v>Foxconn LH</v>
          </cell>
        </row>
        <row r="2887">
          <cell r="D2887" t="str">
            <v>APJ</v>
          </cell>
          <cell r="H2887" t="str">
            <v>V0L79AA#UUF</v>
          </cell>
          <cell r="M2887" t="str">
            <v>Foxconn LH</v>
          </cell>
        </row>
        <row r="2888">
          <cell r="D2888" t="str">
            <v>APJ</v>
          </cell>
          <cell r="H2888" t="str">
            <v>428K7AA</v>
          </cell>
          <cell r="M2888" t="str">
            <v>Foxconn LH</v>
          </cell>
        </row>
        <row r="2889">
          <cell r="D2889" t="str">
            <v>APJ</v>
          </cell>
          <cell r="H2889" t="str">
            <v>53X27AA</v>
          </cell>
          <cell r="M2889" t="str">
            <v>Foxconn LH</v>
          </cell>
        </row>
        <row r="2890">
          <cell r="D2890" t="str">
            <v>APJ</v>
          </cell>
          <cell r="H2890" t="str">
            <v>428K6AA</v>
          </cell>
          <cell r="M2890" t="str">
            <v>Foxconn LH</v>
          </cell>
        </row>
        <row r="2891">
          <cell r="D2891" t="str">
            <v>LA</v>
          </cell>
          <cell r="H2891" t="str">
            <v>2S9L1AA#ABM</v>
          </cell>
          <cell r="M2891" t="str">
            <v>Foxconn LH</v>
          </cell>
        </row>
        <row r="2892">
          <cell r="D2892" t="str">
            <v>APJ</v>
          </cell>
          <cell r="H2892" t="str">
            <v>3ML04AA#UUF</v>
          </cell>
          <cell r="M2892" t="str">
            <v>Foxconn LH</v>
          </cell>
        </row>
        <row r="2893">
          <cell r="D2893" t="str">
            <v>APJ</v>
          </cell>
          <cell r="H2893" t="str">
            <v>3ML04AA#UUF</v>
          </cell>
          <cell r="M2893" t="str">
            <v>Foxconn LH</v>
          </cell>
        </row>
        <row r="2894">
          <cell r="D2894" t="str">
            <v>NA</v>
          </cell>
          <cell r="H2894" t="str">
            <v>2V9E6AA#ABL</v>
          </cell>
          <cell r="M2894" t="str">
            <v>Foxconn LH</v>
          </cell>
        </row>
        <row r="2895">
          <cell r="D2895" t="str">
            <v>APJ</v>
          </cell>
          <cell r="H2895" t="str">
            <v>2S9L1AA#UUF</v>
          </cell>
          <cell r="M2895" t="str">
            <v>Foxconn LH</v>
          </cell>
        </row>
        <row r="2896">
          <cell r="D2896" t="str">
            <v>APJ</v>
          </cell>
          <cell r="H2896" t="str">
            <v>53X26AA#UUF</v>
          </cell>
          <cell r="M2896" t="str">
            <v>Foxconn LH</v>
          </cell>
        </row>
        <row r="2897">
          <cell r="D2897" t="str">
            <v>NA/LA</v>
          </cell>
          <cell r="H2897" t="str">
            <v>2HU83AA#ABL</v>
          </cell>
          <cell r="M2897" t="str">
            <v>Foxconn LH</v>
          </cell>
        </row>
        <row r="2898">
          <cell r="D2898" t="str">
            <v>NA/LA</v>
          </cell>
          <cell r="H2898" t="str">
            <v>2HU82AA#ABL</v>
          </cell>
          <cell r="M2898" t="str">
            <v>Foxconn LH</v>
          </cell>
        </row>
        <row r="2899">
          <cell r="D2899" t="str">
            <v>APJ</v>
          </cell>
          <cell r="H2899" t="str">
            <v>X7Q43AA#UUF</v>
          </cell>
          <cell r="M2899" t="str">
            <v>Foxconn LH</v>
          </cell>
        </row>
        <row r="2900">
          <cell r="D2900" t="str">
            <v>NA/LA</v>
          </cell>
          <cell r="H2900" t="str">
            <v>2HU84AA#ABL</v>
          </cell>
          <cell r="M2900" t="str">
            <v>Foxconn LH</v>
          </cell>
        </row>
        <row r="2901">
          <cell r="D2901" t="str">
            <v>APJ</v>
          </cell>
          <cell r="H2901" t="str">
            <v>X7Q44AA#UUF</v>
          </cell>
          <cell r="M2901" t="str">
            <v>Foxconn LH</v>
          </cell>
        </row>
        <row r="2902">
          <cell r="D2902" t="str">
            <v>APJ</v>
          </cell>
          <cell r="H2902" t="str">
            <v>9DF28AA#UUF</v>
          </cell>
          <cell r="M2902" t="str">
            <v>Foxconn LH</v>
          </cell>
        </row>
        <row r="2903">
          <cell r="D2903" t="str">
            <v>APJ</v>
          </cell>
          <cell r="H2903" t="str">
            <v>758A8AA#UUF</v>
          </cell>
          <cell r="M2903" t="str">
            <v>Foxconn LH</v>
          </cell>
        </row>
        <row r="2904">
          <cell r="D2904" t="str">
            <v>NA/LA</v>
          </cell>
          <cell r="H2904" t="str">
            <v>758A8AA#ABA</v>
          </cell>
          <cell r="M2904" t="str">
            <v>Foxconn LH</v>
          </cell>
        </row>
        <row r="2905">
          <cell r="D2905" t="str">
            <v>APJ</v>
          </cell>
          <cell r="H2905" t="str">
            <v>43N04AA#UUF</v>
          </cell>
          <cell r="M2905" t="str">
            <v>Foxconn LH</v>
          </cell>
        </row>
        <row r="2906">
          <cell r="D2906" t="str">
            <v>APJ</v>
          </cell>
          <cell r="H2906" t="str">
            <v>9DF28AA#UUF</v>
          </cell>
          <cell r="M2906" t="str">
            <v>Foxconn LH</v>
          </cell>
        </row>
        <row r="2907">
          <cell r="D2907" t="str">
            <v>NA/LA</v>
          </cell>
          <cell r="H2907" t="str">
            <v>2HU82AA#ABL</v>
          </cell>
          <cell r="M2907" t="str">
            <v>Foxconn LH</v>
          </cell>
        </row>
        <row r="2908">
          <cell r="D2908" t="str">
            <v>NA/LA</v>
          </cell>
          <cell r="H2908" t="str">
            <v>X6W31AA#ABL</v>
          </cell>
          <cell r="M2908" t="str">
            <v>Foxconn LH</v>
          </cell>
        </row>
        <row r="2909">
          <cell r="D2909" t="str">
            <v>APJ</v>
          </cell>
          <cell r="H2909" t="str">
            <v>2V9E6AA#UUF</v>
          </cell>
          <cell r="M2909" t="str">
            <v>Foxconn LH</v>
          </cell>
        </row>
        <row r="2910">
          <cell r="D2910" t="str">
            <v>LA</v>
          </cell>
          <cell r="H2910" t="str">
            <v>18H24AA#ABM</v>
          </cell>
          <cell r="M2910" t="str">
            <v>Foxconn LH</v>
          </cell>
        </row>
        <row r="2911">
          <cell r="D2911" t="str">
            <v>LA</v>
          </cell>
          <cell r="H2911" t="str">
            <v>1Y4D0UT#ABM</v>
          </cell>
          <cell r="M2911" t="str">
            <v>Foxconn LH</v>
          </cell>
        </row>
        <row r="2912">
          <cell r="D2912" t="str">
            <v>LA</v>
          </cell>
          <cell r="H2912" t="str">
            <v>1Y4D0UT#AC4</v>
          </cell>
          <cell r="M2912" t="str">
            <v>Foxconn LH</v>
          </cell>
        </row>
        <row r="2913">
          <cell r="D2913" t="str">
            <v>LA</v>
          </cell>
          <cell r="H2913" t="str">
            <v>6VY96AA#ABM</v>
          </cell>
          <cell r="M2913" t="str">
            <v>Foxconn LH</v>
          </cell>
        </row>
        <row r="2914">
          <cell r="D2914" t="str">
            <v>NA</v>
          </cell>
          <cell r="H2914" t="str">
            <v>3L1E7AA#ABA</v>
          </cell>
          <cell r="M2914" t="str">
            <v>Foxconn LH</v>
          </cell>
        </row>
        <row r="2915">
          <cell r="D2915" t="str">
            <v>APJ</v>
          </cell>
          <cell r="H2915" t="str">
            <v>3V0G9AA#UUF</v>
          </cell>
          <cell r="M2915" t="str">
            <v>Foxconn LH</v>
          </cell>
        </row>
        <row r="2916">
          <cell r="D2916" t="str">
            <v>APJ</v>
          </cell>
          <cell r="H2916" t="str">
            <v>4E407UT#UUF</v>
          </cell>
          <cell r="M2916" t="str">
            <v>Foxconn LH</v>
          </cell>
        </row>
        <row r="2917">
          <cell r="D2917" t="str">
            <v>LA</v>
          </cell>
          <cell r="H2917" t="str">
            <v>2V9E6AA#ABM</v>
          </cell>
          <cell r="M2917" t="str">
            <v>Foxconn LH</v>
          </cell>
        </row>
        <row r="2918">
          <cell r="D2918" t="str">
            <v>APJ</v>
          </cell>
          <cell r="H2918" t="str">
            <v>2S9L1AA#UUF</v>
          </cell>
          <cell r="M2918" t="str">
            <v>Foxconn LH</v>
          </cell>
        </row>
        <row r="2919">
          <cell r="D2919" t="str">
            <v>APJ</v>
          </cell>
          <cell r="H2919" t="str">
            <v>M82158-001</v>
          </cell>
          <cell r="M2919" t="str">
            <v>Foxconn LH</v>
          </cell>
        </row>
        <row r="2920">
          <cell r="D2920" t="str">
            <v>NA/LA</v>
          </cell>
          <cell r="H2920" t="str">
            <v>2HU83AA#ABL</v>
          </cell>
          <cell r="M2920" t="str">
            <v>Foxconn LH</v>
          </cell>
        </row>
        <row r="2921">
          <cell r="D2921" t="str">
            <v>LA</v>
          </cell>
          <cell r="H2921" t="str">
            <v>240J6AA#ABM</v>
          </cell>
          <cell r="M2921" t="str">
            <v>Foxconn LH</v>
          </cell>
        </row>
        <row r="2922">
          <cell r="D2922" t="str">
            <v>APJ</v>
          </cell>
          <cell r="H2922" t="str">
            <v>M82158-001</v>
          </cell>
          <cell r="M2922" t="str">
            <v>Foxconn LH</v>
          </cell>
        </row>
        <row r="2923">
          <cell r="D2923" t="str">
            <v>LA</v>
          </cell>
          <cell r="H2923" t="str">
            <v>18H24AA#AC4</v>
          </cell>
          <cell r="M2923" t="str">
            <v>Foxconn LH</v>
          </cell>
        </row>
        <row r="2924">
          <cell r="D2924" t="str">
            <v>LA</v>
          </cell>
          <cell r="H2924" t="str">
            <v>3V0G9AA#ABM</v>
          </cell>
          <cell r="M2924" t="str">
            <v>Foxconn LH</v>
          </cell>
        </row>
        <row r="2925">
          <cell r="D2925" t="str">
            <v>APJ</v>
          </cell>
          <cell r="H2925" t="str">
            <v>758A8AA#UUF</v>
          </cell>
          <cell r="M2925" t="str">
            <v>Foxconn LH</v>
          </cell>
        </row>
        <row r="2926">
          <cell r="D2926" t="str">
            <v>APJ</v>
          </cell>
          <cell r="H2926" t="str">
            <v>664R5AA#UUF</v>
          </cell>
          <cell r="M2926" t="str">
            <v>Foxconn LH</v>
          </cell>
        </row>
        <row r="2927">
          <cell r="D2927" t="str">
            <v>NA/LA</v>
          </cell>
          <cell r="H2927" t="str">
            <v>758A9AA#ABA</v>
          </cell>
          <cell r="M2927" t="str">
            <v>Foxconn LH</v>
          </cell>
        </row>
        <row r="2928">
          <cell r="D2928" t="str">
            <v>LA</v>
          </cell>
          <cell r="H2928" t="str">
            <v>4E407UT#ABM</v>
          </cell>
          <cell r="M2928" t="str">
            <v>Foxconn LH</v>
          </cell>
        </row>
        <row r="2929">
          <cell r="D2929" t="str">
            <v>APJ</v>
          </cell>
          <cell r="H2929" t="str">
            <v>4E407UT#UUF</v>
          </cell>
          <cell r="M2929" t="str">
            <v>Foxconn LH</v>
          </cell>
        </row>
        <row r="2930">
          <cell r="D2930" t="str">
            <v>APJ</v>
          </cell>
          <cell r="H2930" t="str">
            <v>18H24AA#UUF</v>
          </cell>
          <cell r="M2930" t="str">
            <v>Foxconn LH</v>
          </cell>
        </row>
        <row r="2931">
          <cell r="D2931" t="str">
            <v>APJ</v>
          </cell>
          <cell r="H2931" t="str">
            <v>1Y4D0AA#UUF</v>
          </cell>
          <cell r="M2931" t="str">
            <v>Foxconn LH</v>
          </cell>
        </row>
        <row r="2932">
          <cell r="D2932" t="str">
            <v>APJ</v>
          </cell>
          <cell r="H2932" t="str">
            <v>1Y4D0UT#UUF</v>
          </cell>
          <cell r="M2932" t="str">
            <v>Foxconn LH</v>
          </cell>
        </row>
        <row r="2933">
          <cell r="D2933" t="str">
            <v>LA</v>
          </cell>
          <cell r="H2933" t="str">
            <v>1Y4D0UT#ABM</v>
          </cell>
          <cell r="M2933" t="str">
            <v>Foxconn LH</v>
          </cell>
        </row>
        <row r="2934">
          <cell r="D2934" t="str">
            <v>APJ</v>
          </cell>
          <cell r="H2934" t="str">
            <v>6E6F2AA#UUF</v>
          </cell>
          <cell r="M2934" t="str">
            <v>Foxconn LH</v>
          </cell>
        </row>
        <row r="2935">
          <cell r="D2935" t="str">
            <v>APJ</v>
          </cell>
          <cell r="H2935" t="str">
            <v>1Y4D0UT#UUF</v>
          </cell>
          <cell r="M2935" t="str">
            <v>Foxconn LH</v>
          </cell>
        </row>
        <row r="2936">
          <cell r="D2936" t="str">
            <v>APJ</v>
          </cell>
          <cell r="H2936" t="str">
            <v>53X26AA#UUF</v>
          </cell>
          <cell r="M2936" t="str">
            <v>Foxconn LH</v>
          </cell>
        </row>
        <row r="2937">
          <cell r="D2937" t="str">
            <v>NA/LA</v>
          </cell>
          <cell r="H2937" t="str">
            <v>53X26AA#ABL</v>
          </cell>
          <cell r="M2937" t="str">
            <v>Foxconn LH</v>
          </cell>
        </row>
        <row r="2938">
          <cell r="D2938" t="str">
            <v>APJ</v>
          </cell>
          <cell r="H2938" t="str">
            <v>6VY96AA#UUF</v>
          </cell>
          <cell r="M2938" t="str">
            <v>Foxconn LH</v>
          </cell>
        </row>
        <row r="2939">
          <cell r="D2939" t="str">
            <v>LA</v>
          </cell>
          <cell r="H2939" t="str">
            <v>3V0G9AA#ABM</v>
          </cell>
          <cell r="M2939" t="str">
            <v>Foxconn LH</v>
          </cell>
        </row>
        <row r="2940">
          <cell r="D2940" t="str">
            <v>NA/LA</v>
          </cell>
          <cell r="H2940" t="str">
            <v>758A8AA#ABA</v>
          </cell>
          <cell r="M2940" t="str">
            <v>Foxconn LH</v>
          </cell>
        </row>
        <row r="2941">
          <cell r="D2941" t="str">
            <v>APJ</v>
          </cell>
          <cell r="H2941" t="str">
            <v>758A8AA#UUF</v>
          </cell>
          <cell r="M2941" t="str">
            <v>Foxconn LH</v>
          </cell>
        </row>
        <row r="2942">
          <cell r="D2942" t="str">
            <v>APJ</v>
          </cell>
          <cell r="H2942" t="str">
            <v>4E407UT#UUF</v>
          </cell>
          <cell r="M2942" t="str">
            <v>Foxconn LH</v>
          </cell>
        </row>
        <row r="2943">
          <cell r="D2943" t="str">
            <v>NA/LA</v>
          </cell>
          <cell r="H2943" t="str">
            <v>2HU85AA#ABL</v>
          </cell>
          <cell r="M2943" t="str">
            <v>Foxconn LH</v>
          </cell>
        </row>
        <row r="2944">
          <cell r="D2944" t="str">
            <v>APJ</v>
          </cell>
          <cell r="H2944" t="str">
            <v>X6W31AA#UUF</v>
          </cell>
          <cell r="M2944" t="str">
            <v>Foxconn LH</v>
          </cell>
        </row>
        <row r="2945">
          <cell r="D2945" t="str">
            <v>APJ</v>
          </cell>
          <cell r="H2945" t="str">
            <v>758A9AA#UUF</v>
          </cell>
          <cell r="M2945" t="str">
            <v>Foxconn LH</v>
          </cell>
        </row>
        <row r="2946">
          <cell r="D2946" t="str">
            <v>APJ</v>
          </cell>
          <cell r="H2946" t="str">
            <v>822M9UT#UUF</v>
          </cell>
          <cell r="M2946" t="str">
            <v>Foxconn LH</v>
          </cell>
        </row>
        <row r="2947">
          <cell r="D2947" t="str">
            <v>NA/LA</v>
          </cell>
          <cell r="H2947" t="str">
            <v>793F9AA#ABA</v>
          </cell>
          <cell r="M2947" t="str">
            <v>Foxconn LH</v>
          </cell>
        </row>
        <row r="2948">
          <cell r="D2948" t="str">
            <v>LA</v>
          </cell>
          <cell r="H2948" t="str">
            <v>18H24AA#AC4</v>
          </cell>
          <cell r="M2948" t="str">
            <v>Foxconn LH</v>
          </cell>
        </row>
        <row r="2949">
          <cell r="D2949" t="str">
            <v>LA</v>
          </cell>
          <cell r="H2949" t="str">
            <v>2V9E6AA#AC4</v>
          </cell>
          <cell r="M2949" t="str">
            <v>Foxconn LH</v>
          </cell>
        </row>
        <row r="2950">
          <cell r="D2950" t="str">
            <v>APJ</v>
          </cell>
          <cell r="H2950" t="str">
            <v>1Y4D0UT#UUF</v>
          </cell>
          <cell r="M2950" t="str">
            <v>Foxconn LH</v>
          </cell>
        </row>
        <row r="2951">
          <cell r="D2951" t="str">
            <v>LA</v>
          </cell>
          <cell r="H2951" t="str">
            <v>240J6AA#ABM</v>
          </cell>
          <cell r="M2951" t="str">
            <v>Foxconn LH</v>
          </cell>
        </row>
        <row r="2952">
          <cell r="D2952" t="str">
            <v>NA</v>
          </cell>
          <cell r="H2952" t="str">
            <v>3L1E7AA#ABA</v>
          </cell>
          <cell r="M2952" t="str">
            <v>Foxconn LH</v>
          </cell>
        </row>
        <row r="2953">
          <cell r="D2953" t="str">
            <v>APJ</v>
          </cell>
          <cell r="H2953" t="str">
            <v>53X26AA#UUF</v>
          </cell>
          <cell r="M2953" t="str">
            <v>Foxconn LH</v>
          </cell>
        </row>
        <row r="2954">
          <cell r="D2954" t="str">
            <v>NA/LA</v>
          </cell>
          <cell r="H2954" t="str">
            <v>53X26AA#ABL</v>
          </cell>
          <cell r="M2954" t="str">
            <v>Foxconn LH</v>
          </cell>
        </row>
        <row r="2955">
          <cell r="D2955" t="str">
            <v>APJ</v>
          </cell>
          <cell r="H2955" t="str">
            <v>2HU85AA#UUF</v>
          </cell>
          <cell r="M2955" t="str">
            <v>Foxconn LH</v>
          </cell>
        </row>
        <row r="2956">
          <cell r="D2956" t="str">
            <v>LA</v>
          </cell>
          <cell r="H2956" t="str">
            <v>6VY96AA#ABM</v>
          </cell>
          <cell r="M2956" t="str">
            <v>Foxconn LH</v>
          </cell>
        </row>
        <row r="2957">
          <cell r="D2957" t="str">
            <v>NA</v>
          </cell>
          <cell r="H2957" t="str">
            <v>18H24AA#ABA</v>
          </cell>
          <cell r="M2957" t="str">
            <v>Foxconn LH</v>
          </cell>
        </row>
        <row r="2958">
          <cell r="D2958" t="str">
            <v>APJ</v>
          </cell>
          <cell r="H2958" t="str">
            <v>6VY96AA#UUF</v>
          </cell>
          <cell r="M2958" t="str">
            <v>Foxconn LH</v>
          </cell>
        </row>
        <row r="2959">
          <cell r="D2959" t="str">
            <v>APJ</v>
          </cell>
          <cell r="H2959" t="str">
            <v>9DF28AA#UUF</v>
          </cell>
          <cell r="M2959" t="str">
            <v>Foxconn LH</v>
          </cell>
        </row>
        <row r="2960">
          <cell r="D2960" t="str">
            <v>APJ</v>
          </cell>
          <cell r="H2960" t="str">
            <v>3V0G9AA#UUF</v>
          </cell>
          <cell r="M2960" t="str">
            <v>Foxconn LH</v>
          </cell>
        </row>
        <row r="2961">
          <cell r="D2961" t="str">
            <v>NA/LA</v>
          </cell>
          <cell r="H2961" t="str">
            <v>758A9AA#ABA</v>
          </cell>
          <cell r="M2961" t="str">
            <v>Foxconn LH</v>
          </cell>
        </row>
        <row r="2962">
          <cell r="D2962" t="str">
            <v>APJ</v>
          </cell>
          <cell r="H2962" t="str">
            <v>4E407UT#UUF</v>
          </cell>
          <cell r="M2962" t="str">
            <v>Foxconn LH</v>
          </cell>
        </row>
        <row r="2963">
          <cell r="D2963" t="str">
            <v>APJ</v>
          </cell>
          <cell r="H2963" t="str">
            <v>758A8AA#UUF</v>
          </cell>
          <cell r="M2963" t="str">
            <v>Foxconn LH</v>
          </cell>
        </row>
        <row r="2964">
          <cell r="D2964" t="str">
            <v>APJ</v>
          </cell>
          <cell r="H2964" t="str">
            <v>V0L79AA#UUF</v>
          </cell>
          <cell r="M2964" t="str">
            <v>Foxconn LH</v>
          </cell>
        </row>
        <row r="2965">
          <cell r="D2965" t="str">
            <v>APJ</v>
          </cell>
          <cell r="H2965" t="str">
            <v>3L1E7AA#UUF</v>
          </cell>
          <cell r="M2965" t="str">
            <v>Foxconn LH</v>
          </cell>
        </row>
        <row r="2966">
          <cell r="D2966" t="str">
            <v>APJ</v>
          </cell>
          <cell r="H2966" t="str">
            <v>2HU82AA#UUF</v>
          </cell>
          <cell r="M2966" t="str">
            <v>Foxconn LH</v>
          </cell>
        </row>
        <row r="2967">
          <cell r="D2967" t="str">
            <v>NA/LA</v>
          </cell>
          <cell r="H2967" t="str">
            <v>4QM14AA#ABL</v>
          </cell>
          <cell r="M2967" t="str">
            <v>Foxconn LH</v>
          </cell>
        </row>
        <row r="2968">
          <cell r="D2968" t="str">
            <v>NA/LA</v>
          </cell>
          <cell r="H2968" t="str">
            <v>2HU84AA#ABL</v>
          </cell>
          <cell r="M2968" t="str">
            <v>Foxconn LH</v>
          </cell>
        </row>
        <row r="2969">
          <cell r="D2969" t="str">
            <v>NA/LA</v>
          </cell>
          <cell r="H2969" t="str">
            <v>2HU84AA#ABL</v>
          </cell>
          <cell r="M2969" t="str">
            <v>Foxconn LH</v>
          </cell>
        </row>
        <row r="2970">
          <cell r="D2970" t="str">
            <v>NA/LA</v>
          </cell>
          <cell r="H2970" t="str">
            <v>X6W31AA#ABL</v>
          </cell>
          <cell r="M2970" t="str">
            <v>Foxconn LH</v>
          </cell>
        </row>
        <row r="2971">
          <cell r="D2971" t="str">
            <v>LA</v>
          </cell>
          <cell r="H2971" t="str">
            <v>1Y4D0UT#ABM</v>
          </cell>
          <cell r="M2971" t="str">
            <v>Foxconn LH</v>
          </cell>
        </row>
        <row r="2972">
          <cell r="D2972" t="str">
            <v>NA/LA</v>
          </cell>
          <cell r="H2972" t="str">
            <v>428H5AA#ABL</v>
          </cell>
          <cell r="M2972" t="str">
            <v>Foxconn LH</v>
          </cell>
        </row>
        <row r="2973">
          <cell r="D2973" t="str">
            <v>APJ</v>
          </cell>
          <cell r="H2973" t="str">
            <v>3ML04AA#UUF</v>
          </cell>
          <cell r="M2973" t="str">
            <v>Foxconn LH</v>
          </cell>
        </row>
        <row r="2974">
          <cell r="D2974" t="str">
            <v>NA/LA</v>
          </cell>
          <cell r="H2974" t="str">
            <v>2HU85AA#ABL</v>
          </cell>
          <cell r="M2974" t="str">
            <v>Foxconn LH</v>
          </cell>
        </row>
        <row r="2975">
          <cell r="D2975" t="str">
            <v>APJ</v>
          </cell>
          <cell r="H2975" t="str">
            <v>18H24AA#UUF</v>
          </cell>
          <cell r="M2975" t="str">
            <v>Foxconn LH</v>
          </cell>
        </row>
        <row r="2976">
          <cell r="D2976" t="str">
            <v>APJ</v>
          </cell>
          <cell r="H2976" t="str">
            <v>2V9E6AA#UUF</v>
          </cell>
          <cell r="M2976" t="str">
            <v>Foxconn LH</v>
          </cell>
        </row>
        <row r="2977">
          <cell r="D2977" t="str">
            <v>LA</v>
          </cell>
          <cell r="H2977" t="str">
            <v>240J6AA#ABM</v>
          </cell>
          <cell r="M2977" t="str">
            <v>Foxconn LH</v>
          </cell>
        </row>
        <row r="2978">
          <cell r="D2978" t="str">
            <v>APJ</v>
          </cell>
          <cell r="H2978" t="str">
            <v>3ML04AA#UUF</v>
          </cell>
          <cell r="M2978" t="str">
            <v>Foxconn LH</v>
          </cell>
        </row>
        <row r="2979">
          <cell r="D2979" t="str">
            <v>APJ</v>
          </cell>
          <cell r="H2979" t="str">
            <v>428K7AA</v>
          </cell>
          <cell r="M2979" t="str">
            <v>Foxconn LH</v>
          </cell>
        </row>
        <row r="2980">
          <cell r="D2980" t="str">
            <v>APJ</v>
          </cell>
          <cell r="H2980" t="str">
            <v>3V0G9AA#UUF</v>
          </cell>
          <cell r="M2980" t="str">
            <v>Foxconn LH</v>
          </cell>
        </row>
        <row r="2981">
          <cell r="D2981" t="str">
            <v>APJ</v>
          </cell>
          <cell r="H2981" t="str">
            <v>43N04AA#UUF</v>
          </cell>
          <cell r="M2981" t="str">
            <v>Foxconn LH</v>
          </cell>
        </row>
        <row r="2982">
          <cell r="D2982" t="str">
            <v>APJ</v>
          </cell>
          <cell r="H2982" t="str">
            <v>53X27AA</v>
          </cell>
          <cell r="M2982" t="str">
            <v>Foxconn LH</v>
          </cell>
        </row>
        <row r="2983">
          <cell r="D2983" t="str">
            <v>APJ</v>
          </cell>
          <cell r="H2983" t="str">
            <v>53X27AA</v>
          </cell>
          <cell r="M2983" t="str">
            <v>Foxconn LH</v>
          </cell>
        </row>
        <row r="2984">
          <cell r="D2984" t="str">
            <v>NA/LA</v>
          </cell>
          <cell r="H2984" t="str">
            <v>2HU85AA#ABL</v>
          </cell>
          <cell r="M2984" t="str">
            <v>Foxconn LH</v>
          </cell>
        </row>
        <row r="2985">
          <cell r="D2985" t="str">
            <v>NA/LA</v>
          </cell>
          <cell r="H2985" t="str">
            <v>2HU83AA#ABL</v>
          </cell>
          <cell r="M2985" t="str">
            <v>Foxconn LH</v>
          </cell>
        </row>
        <row r="2986">
          <cell r="D2986" t="str">
            <v>APJ</v>
          </cell>
          <cell r="H2986" t="str">
            <v>428K7AA</v>
          </cell>
          <cell r="M2986" t="str">
            <v>Foxconn LH</v>
          </cell>
        </row>
        <row r="2987">
          <cell r="D2987" t="str">
            <v>APJ</v>
          </cell>
          <cell r="H2987" t="str">
            <v>M82158-001</v>
          </cell>
          <cell r="M2987" t="str">
            <v>Foxconn LH</v>
          </cell>
        </row>
        <row r="2988">
          <cell r="D2988" t="str">
            <v>LA</v>
          </cell>
          <cell r="H2988" t="str">
            <v>3V0G9AA#ABM</v>
          </cell>
          <cell r="M2988" t="str">
            <v>Foxconn LH</v>
          </cell>
        </row>
        <row r="2989">
          <cell r="D2989" t="str">
            <v>APJ</v>
          </cell>
          <cell r="H2989" t="str">
            <v>6VY96AA#UUF</v>
          </cell>
          <cell r="M2989" t="str">
            <v>Foxconn LH</v>
          </cell>
        </row>
        <row r="2990">
          <cell r="D2990" t="str">
            <v>APJ</v>
          </cell>
          <cell r="H2990" t="str">
            <v>18H24AA#UUF</v>
          </cell>
          <cell r="M2990" t="str">
            <v>Foxconn LH</v>
          </cell>
        </row>
        <row r="2991">
          <cell r="D2991" t="str">
            <v>APJ</v>
          </cell>
          <cell r="H2991" t="str">
            <v>1Y4D0UT#UUF</v>
          </cell>
          <cell r="M2991" t="str">
            <v>Foxconn LH</v>
          </cell>
        </row>
        <row r="2992">
          <cell r="D2992" t="str">
            <v>NA/LA</v>
          </cell>
          <cell r="H2992" t="str">
            <v>758A9AA#ABA</v>
          </cell>
          <cell r="M2992" t="str">
            <v>Foxconn LH</v>
          </cell>
        </row>
        <row r="2993">
          <cell r="D2993" t="str">
            <v>NA/LA</v>
          </cell>
          <cell r="H2993" t="str">
            <v>758A8AA#ABA</v>
          </cell>
          <cell r="M2993" t="str">
            <v>Foxconn LH</v>
          </cell>
        </row>
        <row r="2994">
          <cell r="D2994" t="str">
            <v>APJ</v>
          </cell>
          <cell r="H2994" t="str">
            <v>758A8AA#UUF</v>
          </cell>
          <cell r="M2994" t="str">
            <v>Foxconn LH</v>
          </cell>
        </row>
        <row r="2995">
          <cell r="D2995" t="str">
            <v>APJ</v>
          </cell>
          <cell r="H2995" t="str">
            <v>758A9AA#UUF</v>
          </cell>
          <cell r="M2995" t="str">
            <v>Foxconn LH</v>
          </cell>
        </row>
        <row r="2996">
          <cell r="D2996" t="str">
            <v>APJ</v>
          </cell>
          <cell r="H2996" t="str">
            <v>3ML04AA#UUF</v>
          </cell>
          <cell r="M2996" t="str">
            <v>Foxconn LH</v>
          </cell>
        </row>
        <row r="2997">
          <cell r="D2997" t="str">
            <v>LA</v>
          </cell>
          <cell r="H2997" t="str">
            <v>6VY96AA#ABM</v>
          </cell>
          <cell r="M2997" t="str">
            <v>Foxconn LH</v>
          </cell>
        </row>
        <row r="2998">
          <cell r="D2998" t="str">
            <v>APJ</v>
          </cell>
          <cell r="H2998" t="str">
            <v>X6W31AA#UUF</v>
          </cell>
          <cell r="M2998" t="str">
            <v>Foxconn LH</v>
          </cell>
        </row>
        <row r="2999">
          <cell r="D2999" t="str">
            <v>APJ</v>
          </cell>
          <cell r="H2999" t="str">
            <v>18H24AA#UUF</v>
          </cell>
          <cell r="M2999" t="str">
            <v>Foxconn LH</v>
          </cell>
        </row>
        <row r="3000">
          <cell r="D3000" t="str">
            <v>APJ</v>
          </cell>
          <cell r="H3000" t="str">
            <v>M82159-001</v>
          </cell>
          <cell r="M3000" t="str">
            <v>Foxconn LH</v>
          </cell>
        </row>
        <row r="3001">
          <cell r="D3001" t="str">
            <v>APJ</v>
          </cell>
          <cell r="H3001" t="str">
            <v>1Y4D0UT#UUF</v>
          </cell>
          <cell r="M3001" t="str">
            <v>Foxconn LH</v>
          </cell>
        </row>
        <row r="3002">
          <cell r="D3002" t="str">
            <v>APJ</v>
          </cell>
          <cell r="H3002" t="str">
            <v>1Y4D0UT#AB1</v>
          </cell>
          <cell r="M3002" t="str">
            <v>Foxconn LH</v>
          </cell>
        </row>
        <row r="3003">
          <cell r="D3003" t="str">
            <v>NA/LA</v>
          </cell>
          <cell r="H3003" t="str">
            <v>X6W31AA#ABL</v>
          </cell>
          <cell r="M3003" t="str">
            <v>Foxconn LH</v>
          </cell>
        </row>
        <row r="3004">
          <cell r="D3004" t="str">
            <v>APJ</v>
          </cell>
          <cell r="H3004" t="str">
            <v>X7Q44AA#UUF</v>
          </cell>
          <cell r="M3004" t="str">
            <v>Foxconn LH</v>
          </cell>
        </row>
        <row r="3005">
          <cell r="D3005" t="str">
            <v>LA</v>
          </cell>
          <cell r="H3005" t="str">
            <v>4E407UT#ABM</v>
          </cell>
          <cell r="M3005" t="str">
            <v>Foxconn LH</v>
          </cell>
        </row>
        <row r="3006">
          <cell r="D3006" t="str">
            <v>APJ</v>
          </cell>
          <cell r="H3006" t="str">
            <v>6V2J7AA#UUF</v>
          </cell>
          <cell r="M3006" t="str">
            <v>Foxconn LH</v>
          </cell>
        </row>
        <row r="3007">
          <cell r="D3007" t="str">
            <v>APJ</v>
          </cell>
          <cell r="H3007" t="str">
            <v>758A9AA#UUF</v>
          </cell>
          <cell r="M3007" t="str">
            <v>Foxconn LH</v>
          </cell>
        </row>
        <row r="3008">
          <cell r="D3008" t="str">
            <v>APJ</v>
          </cell>
          <cell r="H3008" t="str">
            <v>53X27AA</v>
          </cell>
          <cell r="M3008" t="str">
            <v>Foxconn LH</v>
          </cell>
        </row>
        <row r="3009">
          <cell r="D3009" t="str">
            <v>NA/LA</v>
          </cell>
          <cell r="H3009" t="str">
            <v>9C2F6AA#ABA</v>
          </cell>
          <cell r="M3009" t="str">
            <v>Foxconn LH</v>
          </cell>
        </row>
        <row r="3010">
          <cell r="D3010" t="str">
            <v>NA/LA</v>
          </cell>
          <cell r="H3010" t="str">
            <v>9C2F6AA#ABA</v>
          </cell>
          <cell r="M3010" t="str">
            <v>Foxconn LH</v>
          </cell>
        </row>
        <row r="3011">
          <cell r="D3011" t="str">
            <v>APJ</v>
          </cell>
          <cell r="H3011" t="str">
            <v>428K6AA</v>
          </cell>
          <cell r="M3011" t="str">
            <v>Foxconn LH</v>
          </cell>
        </row>
        <row r="3012">
          <cell r="D3012" t="str">
            <v>APJ</v>
          </cell>
          <cell r="H3012" t="str">
            <v>9DF28AA#UUF</v>
          </cell>
          <cell r="M3012" t="str">
            <v>Foxconn LH</v>
          </cell>
        </row>
        <row r="3013">
          <cell r="D3013" t="str">
            <v>APJ</v>
          </cell>
          <cell r="H3013" t="str">
            <v>758A8AA#UUF</v>
          </cell>
          <cell r="M3013" t="str">
            <v>Foxconn LH</v>
          </cell>
        </row>
        <row r="3014">
          <cell r="D3014" t="str">
            <v>APJ</v>
          </cell>
          <cell r="H3014" t="str">
            <v>4E407UT#UUF</v>
          </cell>
          <cell r="M3014" t="str">
            <v>Foxconn LH</v>
          </cell>
        </row>
        <row r="3015">
          <cell r="D3015" t="str">
            <v>LA</v>
          </cell>
          <cell r="H3015" t="str">
            <v>18H24AA#AC4</v>
          </cell>
          <cell r="M3015" t="str">
            <v>Foxconn LH</v>
          </cell>
        </row>
        <row r="3016">
          <cell r="D3016" t="str">
            <v>NA/LA</v>
          </cell>
          <cell r="H3016" t="str">
            <v>6E6F0AA#ABL</v>
          </cell>
          <cell r="M3016" t="str">
            <v>Foxconn LH</v>
          </cell>
        </row>
        <row r="3017">
          <cell r="D3017" t="str">
            <v>APJ</v>
          </cell>
          <cell r="H3017" t="str">
            <v>9C2F6AA#UUF</v>
          </cell>
          <cell r="M3017" t="str">
            <v>Foxconn LH</v>
          </cell>
        </row>
        <row r="3018">
          <cell r="D3018" t="str">
            <v>APJ</v>
          </cell>
          <cell r="H3018" t="str">
            <v>53X26AA#UUF</v>
          </cell>
          <cell r="M3018" t="str">
            <v>Foxconn LH</v>
          </cell>
        </row>
        <row r="3019">
          <cell r="D3019" t="str">
            <v>APJ</v>
          </cell>
          <cell r="H3019" t="str">
            <v>18H24AA#UUF</v>
          </cell>
          <cell r="M3019" t="str">
            <v>Foxconn LH</v>
          </cell>
        </row>
        <row r="3020">
          <cell r="D3020" t="str">
            <v>APJ</v>
          </cell>
          <cell r="H3020" t="str">
            <v>18H24AA#UUF</v>
          </cell>
          <cell r="M3020" t="str">
            <v>Foxconn LH</v>
          </cell>
        </row>
        <row r="3021">
          <cell r="D3021" t="str">
            <v>NA/LA</v>
          </cell>
          <cell r="H3021" t="str">
            <v>9C2F6AA#ABA</v>
          </cell>
          <cell r="M3021" t="str">
            <v>Foxconn LH</v>
          </cell>
        </row>
        <row r="3022">
          <cell r="D3022" t="str">
            <v>LA</v>
          </cell>
          <cell r="H3022" t="str">
            <v>2V9E6AA#AC4</v>
          </cell>
          <cell r="M3022" t="str">
            <v>Foxconn LH</v>
          </cell>
        </row>
        <row r="3023">
          <cell r="D3023" t="str">
            <v>APJ</v>
          </cell>
          <cell r="H3023" t="str">
            <v>822M9UT#UUF</v>
          </cell>
          <cell r="M3023" t="str">
            <v>Foxconn LH</v>
          </cell>
        </row>
        <row r="3024">
          <cell r="D3024" t="str">
            <v>LA</v>
          </cell>
          <cell r="H3024" t="str">
            <v>1Y4D0UT#ABM</v>
          </cell>
          <cell r="M3024" t="str">
            <v>Foxconn LH</v>
          </cell>
        </row>
        <row r="3025">
          <cell r="D3025" t="str">
            <v>NA/LA</v>
          </cell>
          <cell r="H3025" t="str">
            <v>822M9UT#ABA</v>
          </cell>
          <cell r="M3025" t="str">
            <v>Foxconn LH</v>
          </cell>
        </row>
        <row r="3026">
          <cell r="D3026" t="str">
            <v>APJ</v>
          </cell>
          <cell r="H3026" t="str">
            <v>3V0G9AA#UUF</v>
          </cell>
          <cell r="M3026" t="str">
            <v>Foxconn LH</v>
          </cell>
        </row>
        <row r="3027">
          <cell r="D3027" t="str">
            <v>LA</v>
          </cell>
          <cell r="H3027" t="str">
            <v>43N05AA#ABM</v>
          </cell>
          <cell r="M3027" t="str">
            <v>Foxconn LH</v>
          </cell>
        </row>
        <row r="3028">
          <cell r="D3028" t="str">
            <v>APJ</v>
          </cell>
          <cell r="H3028" t="str">
            <v>758A9AA#UUF</v>
          </cell>
          <cell r="M3028" t="str">
            <v>Foxconn LH</v>
          </cell>
        </row>
        <row r="3029">
          <cell r="D3029" t="str">
            <v>NA</v>
          </cell>
          <cell r="H3029" t="str">
            <v>18H24AA#ABA</v>
          </cell>
          <cell r="M3029" t="str">
            <v>Foxconn LH</v>
          </cell>
        </row>
        <row r="3030">
          <cell r="D3030" t="str">
            <v>LA</v>
          </cell>
          <cell r="H3030" t="str">
            <v>3V0G9AA#ABM</v>
          </cell>
          <cell r="M3030" t="str">
            <v>Foxconn LH</v>
          </cell>
        </row>
        <row r="3031">
          <cell r="D3031" t="str">
            <v>NA/LA</v>
          </cell>
          <cell r="H3031" t="str">
            <v>9C2F7AA#ABA</v>
          </cell>
          <cell r="M3031" t="str">
            <v>Foxconn LH</v>
          </cell>
        </row>
        <row r="3032">
          <cell r="D3032" t="str">
            <v>LA</v>
          </cell>
          <cell r="H3032" t="str">
            <v>18H24AA#ABM</v>
          </cell>
          <cell r="M3032" t="str">
            <v>Foxconn LH</v>
          </cell>
        </row>
        <row r="3033">
          <cell r="D3033" t="str">
            <v>LA</v>
          </cell>
          <cell r="H3033" t="str">
            <v>6VY96AA#ABM</v>
          </cell>
          <cell r="M3033" t="str">
            <v>Foxconn LH</v>
          </cell>
        </row>
        <row r="3034">
          <cell r="D3034" t="str">
            <v>LA</v>
          </cell>
          <cell r="H3034" t="str">
            <v>240J6AA#ABM</v>
          </cell>
          <cell r="M3034" t="str">
            <v>Foxconn LH</v>
          </cell>
        </row>
        <row r="3035">
          <cell r="D3035" t="str">
            <v>APJ</v>
          </cell>
          <cell r="H3035" t="str">
            <v>428K6AA</v>
          </cell>
          <cell r="M3035" t="str">
            <v>Foxconn LH</v>
          </cell>
        </row>
        <row r="3036">
          <cell r="D3036" t="str">
            <v>NA</v>
          </cell>
          <cell r="H3036" t="str">
            <v>3L1E7AA#ABA</v>
          </cell>
          <cell r="M3036" t="str">
            <v>Foxconn LH</v>
          </cell>
        </row>
        <row r="3037">
          <cell r="D3037" t="str">
            <v>NA</v>
          </cell>
          <cell r="H3037" t="str">
            <v>240J7AA#ABL</v>
          </cell>
          <cell r="M3037" t="str">
            <v>Foxconn LH</v>
          </cell>
        </row>
        <row r="3038">
          <cell r="D3038" t="str">
            <v>NA/LA</v>
          </cell>
          <cell r="H3038" t="str">
            <v>2HU83AA#ABL</v>
          </cell>
          <cell r="M3038" t="str">
            <v>Foxconn LH</v>
          </cell>
        </row>
        <row r="3039">
          <cell r="D3039" t="str">
            <v>NA/LA</v>
          </cell>
          <cell r="H3039" t="str">
            <v>2HU84AA#ABL</v>
          </cell>
          <cell r="M3039" t="str">
            <v>Foxconn LH</v>
          </cell>
        </row>
        <row r="3040">
          <cell r="D3040" t="str">
            <v>APJ</v>
          </cell>
          <cell r="H3040" t="str">
            <v>9C2F7AA#UUF</v>
          </cell>
          <cell r="M3040" t="str">
            <v>Foxconn LH</v>
          </cell>
        </row>
        <row r="3041">
          <cell r="D3041" t="str">
            <v>NA/LA</v>
          </cell>
          <cell r="H3041" t="str">
            <v>2HU82AA#ABL</v>
          </cell>
          <cell r="M3041" t="str">
            <v>Foxconn LH</v>
          </cell>
        </row>
        <row r="3042">
          <cell r="D3042" t="str">
            <v>LA</v>
          </cell>
          <cell r="H3042" t="str">
            <v>2V9E6AA#ABM</v>
          </cell>
          <cell r="M3042" t="str">
            <v>Foxconn LH</v>
          </cell>
        </row>
        <row r="3043">
          <cell r="D3043" t="str">
            <v>APJ</v>
          </cell>
          <cell r="H3043" t="str">
            <v>3ML04AA#UUF</v>
          </cell>
          <cell r="M3043" t="str">
            <v>Foxconn LH</v>
          </cell>
        </row>
        <row r="3044">
          <cell r="D3044" t="str">
            <v>LA</v>
          </cell>
          <cell r="H3044" t="str">
            <v>240J7AA#AC4</v>
          </cell>
          <cell r="M3044" t="str">
            <v>Foxconn LH</v>
          </cell>
        </row>
        <row r="3045">
          <cell r="D3045" t="str">
            <v>NA/LA</v>
          </cell>
          <cell r="H3045" t="str">
            <v>X6W31AA#ABL</v>
          </cell>
          <cell r="M3045" t="str">
            <v>Foxconn LH</v>
          </cell>
        </row>
        <row r="3046">
          <cell r="D3046" t="str">
            <v>LA</v>
          </cell>
          <cell r="H3046" t="str">
            <v>6VY96AA#ABM</v>
          </cell>
          <cell r="M3046" t="str">
            <v>Foxconn LH</v>
          </cell>
        </row>
        <row r="3047">
          <cell r="D3047" t="str">
            <v>NA/LA</v>
          </cell>
          <cell r="H3047" t="str">
            <v>2HU84AA#ABL</v>
          </cell>
          <cell r="M3047" t="str">
            <v>Foxconn LH</v>
          </cell>
        </row>
        <row r="3048">
          <cell r="D3048" t="str">
            <v>APJ</v>
          </cell>
          <cell r="H3048" t="str">
            <v>6VY96AA#UUF</v>
          </cell>
          <cell r="M3048" t="str">
            <v>Foxconn LH</v>
          </cell>
        </row>
        <row r="3049">
          <cell r="D3049" t="str">
            <v>LA</v>
          </cell>
          <cell r="H3049" t="str">
            <v>240J6AA#ABM</v>
          </cell>
          <cell r="M3049" t="str">
            <v>Foxconn LH</v>
          </cell>
        </row>
        <row r="3050">
          <cell r="D3050" t="str">
            <v>APJ</v>
          </cell>
          <cell r="H3050" t="str">
            <v>758A9AA#UUF</v>
          </cell>
          <cell r="M3050" t="str">
            <v>Foxconn LH</v>
          </cell>
        </row>
        <row r="3051">
          <cell r="D3051" t="str">
            <v>NA/LA</v>
          </cell>
          <cell r="H3051" t="str">
            <v>758A8AA#ABA</v>
          </cell>
          <cell r="M3051" t="str">
            <v>Foxconn LH</v>
          </cell>
        </row>
        <row r="3052">
          <cell r="D3052" t="str">
            <v>NA/LA</v>
          </cell>
          <cell r="H3052" t="str">
            <v>2HU85AA#ABL</v>
          </cell>
          <cell r="M3052" t="str">
            <v>Foxconn LH</v>
          </cell>
        </row>
        <row r="3053">
          <cell r="D3053" t="str">
            <v>APJ</v>
          </cell>
          <cell r="H3053" t="str">
            <v>43N04AA#UUF</v>
          </cell>
          <cell r="M3053" t="str">
            <v>Foxconn LH</v>
          </cell>
        </row>
        <row r="3054">
          <cell r="D3054" t="str">
            <v>LA</v>
          </cell>
          <cell r="H3054" t="str">
            <v>4E407UT#ABM</v>
          </cell>
          <cell r="M3054" t="str">
            <v>Foxconn LH</v>
          </cell>
        </row>
        <row r="3055">
          <cell r="D3055" t="str">
            <v>NA/LA</v>
          </cell>
          <cell r="H3055" t="str">
            <v>53X26AA#ABL</v>
          </cell>
          <cell r="M3055" t="str">
            <v>Foxconn LH</v>
          </cell>
        </row>
        <row r="3056">
          <cell r="D3056" t="str">
            <v>APJ</v>
          </cell>
          <cell r="H3056" t="str">
            <v>V0L79AA#UUF</v>
          </cell>
          <cell r="M3056" t="str">
            <v>Foxconn LH</v>
          </cell>
        </row>
        <row r="3057">
          <cell r="D3057" t="str">
            <v>LA</v>
          </cell>
          <cell r="H3057" t="str">
            <v>18H24AA#AC4</v>
          </cell>
          <cell r="M3057" t="str">
            <v>Foxconn LH</v>
          </cell>
        </row>
        <row r="3058">
          <cell r="D3058" t="str">
            <v>LA</v>
          </cell>
          <cell r="H3058" t="str">
            <v>43N04AA#ABM</v>
          </cell>
          <cell r="M3058" t="str">
            <v>Foxconn LH</v>
          </cell>
        </row>
        <row r="3059">
          <cell r="D3059" t="str">
            <v>APJ</v>
          </cell>
          <cell r="H3059" t="str">
            <v>53X26AA#UUF</v>
          </cell>
          <cell r="M3059" t="str">
            <v>Foxconn LH</v>
          </cell>
        </row>
        <row r="3060">
          <cell r="D3060" t="str">
            <v>NA/LA</v>
          </cell>
          <cell r="H3060" t="str">
            <v>793F9AA#ABA</v>
          </cell>
          <cell r="M3060" t="str">
            <v>Foxconn LH</v>
          </cell>
        </row>
        <row r="3061">
          <cell r="D3061" t="str">
            <v>NA/LA</v>
          </cell>
          <cell r="H3061" t="str">
            <v>8R3U1UT#ABA</v>
          </cell>
          <cell r="M3061" t="str">
            <v>Foxconn LH</v>
          </cell>
        </row>
        <row r="3062">
          <cell r="D3062" t="str">
            <v>LA</v>
          </cell>
          <cell r="H3062" t="str">
            <v>18H24AA#ABM</v>
          </cell>
          <cell r="M3062" t="str">
            <v>Foxconn LH</v>
          </cell>
        </row>
        <row r="3063">
          <cell r="D3063" t="str">
            <v>APJ</v>
          </cell>
          <cell r="H3063" t="str">
            <v>X6W31AA#UUF</v>
          </cell>
          <cell r="M3063" t="str">
            <v>Foxconn LH</v>
          </cell>
        </row>
        <row r="3064">
          <cell r="D3064" t="str">
            <v>NA/LA</v>
          </cell>
          <cell r="H3064" t="str">
            <v>2HU84AA#ABL</v>
          </cell>
          <cell r="M3064" t="str">
            <v>Foxconn LH</v>
          </cell>
        </row>
        <row r="3065">
          <cell r="D3065" t="str">
            <v>NA</v>
          </cell>
          <cell r="H3065" t="str">
            <v>18H24AA#ABA</v>
          </cell>
          <cell r="M3065" t="str">
            <v>Foxconn LH</v>
          </cell>
        </row>
        <row r="3066">
          <cell r="D3066" t="str">
            <v>NA</v>
          </cell>
          <cell r="H3066" t="str">
            <v>3L1E7AA#ABA</v>
          </cell>
          <cell r="M3066" t="str">
            <v>Foxconn LH</v>
          </cell>
        </row>
        <row r="3067">
          <cell r="D3067" t="str">
            <v>APJ</v>
          </cell>
          <cell r="H3067" t="str">
            <v>1Y4D0UT#UUF</v>
          </cell>
          <cell r="M3067" t="str">
            <v>Foxconn LH</v>
          </cell>
        </row>
        <row r="3068">
          <cell r="D3068" t="str">
            <v>APJ</v>
          </cell>
          <cell r="H3068" t="str">
            <v>428K6AA</v>
          </cell>
          <cell r="M3068" t="str">
            <v>Foxconn LH</v>
          </cell>
        </row>
        <row r="3069">
          <cell r="D3069" t="str">
            <v>LA</v>
          </cell>
          <cell r="H3069" t="str">
            <v>1Y4D0UT#ABM</v>
          </cell>
          <cell r="M3069" t="str">
            <v>Foxconn LH</v>
          </cell>
        </row>
        <row r="3070">
          <cell r="D3070" t="str">
            <v>APJ</v>
          </cell>
          <cell r="H3070" t="str">
            <v>1Y4D0UT#UUF</v>
          </cell>
          <cell r="M3070" t="str">
            <v>Foxconn LH</v>
          </cell>
        </row>
        <row r="3071">
          <cell r="D3071" t="str">
            <v>APJ</v>
          </cell>
          <cell r="H3071" t="str">
            <v>758A8AA#UUF</v>
          </cell>
          <cell r="M3071" t="str">
            <v>Foxconn LH</v>
          </cell>
        </row>
        <row r="3072">
          <cell r="D3072" t="str">
            <v>APJ</v>
          </cell>
          <cell r="H3072" t="str">
            <v>4E407UT#UUF</v>
          </cell>
          <cell r="M3072" t="str">
            <v>Foxconn LH</v>
          </cell>
        </row>
        <row r="3073">
          <cell r="D3073" t="str">
            <v>APJ</v>
          </cell>
          <cell r="H3073" t="str">
            <v>18H24AA#UUF</v>
          </cell>
          <cell r="M3073" t="str">
            <v>Foxconn LH</v>
          </cell>
        </row>
        <row r="3074">
          <cell r="D3074" t="str">
            <v>NA</v>
          </cell>
          <cell r="H3074" t="str">
            <v>664R5AA#ABL</v>
          </cell>
          <cell r="M3074" t="str">
            <v>Foxconn LH</v>
          </cell>
        </row>
        <row r="3075">
          <cell r="D3075" t="str">
            <v>APJ</v>
          </cell>
          <cell r="H3075" t="str">
            <v>240J7AA#UUF</v>
          </cell>
          <cell r="M3075" t="str">
            <v>Foxconn LH</v>
          </cell>
        </row>
        <row r="3076">
          <cell r="D3076" t="str">
            <v>APJ</v>
          </cell>
          <cell r="H3076" t="str">
            <v>X7Q43AA#UUF</v>
          </cell>
          <cell r="M3076" t="str">
            <v>Foxconn LH</v>
          </cell>
        </row>
        <row r="3077">
          <cell r="D3077" t="str">
            <v>APJ</v>
          </cell>
          <cell r="H3077" t="str">
            <v>X7Q44AA#UUF</v>
          </cell>
          <cell r="M3077" t="str">
            <v>Foxconn LH</v>
          </cell>
        </row>
        <row r="3078">
          <cell r="D3078" t="str">
            <v>APJ</v>
          </cell>
          <cell r="H3078" t="str">
            <v>2V9E6AA#UUF</v>
          </cell>
          <cell r="M3078" t="str">
            <v>Foxconn LH</v>
          </cell>
        </row>
        <row r="3079">
          <cell r="D3079" t="str">
            <v>NA/LA</v>
          </cell>
          <cell r="H3079" t="str">
            <v>758A8AA#ABA</v>
          </cell>
          <cell r="M3079" t="str">
            <v>Foxconn LH</v>
          </cell>
        </row>
        <row r="3080">
          <cell r="D3080" t="str">
            <v>NA/LA</v>
          </cell>
          <cell r="H3080" t="str">
            <v>2HU85AA#ABL</v>
          </cell>
          <cell r="M3080" t="str">
            <v>Foxconn LH</v>
          </cell>
        </row>
        <row r="3081">
          <cell r="D3081" t="str">
            <v>NA/LA</v>
          </cell>
          <cell r="H3081" t="str">
            <v>2HU84AA#ABL</v>
          </cell>
          <cell r="M3081" t="str">
            <v>Foxconn LH</v>
          </cell>
        </row>
        <row r="3082">
          <cell r="D3082" t="str">
            <v>APJ</v>
          </cell>
          <cell r="H3082" t="str">
            <v>3V0G9AA#UUF</v>
          </cell>
          <cell r="M3082" t="str">
            <v>Foxconn LH</v>
          </cell>
        </row>
        <row r="3083">
          <cell r="D3083" t="str">
            <v>LA</v>
          </cell>
          <cell r="H3083" t="str">
            <v>3V0G9AA#ABM</v>
          </cell>
          <cell r="M3083" t="str">
            <v>Foxconn LH</v>
          </cell>
        </row>
        <row r="3084">
          <cell r="D3084" t="str">
            <v>APJ</v>
          </cell>
          <cell r="H3084" t="str">
            <v>3V0G9AA#UUF</v>
          </cell>
          <cell r="M3084" t="str">
            <v>Foxconn LH</v>
          </cell>
        </row>
        <row r="3085">
          <cell r="D3085" t="str">
            <v>APJ</v>
          </cell>
          <cell r="H3085" t="str">
            <v>822M9UT#UUF</v>
          </cell>
          <cell r="M3085" t="str">
            <v>Foxconn LH</v>
          </cell>
        </row>
        <row r="3086">
          <cell r="D3086" t="str">
            <v>NA/LA</v>
          </cell>
          <cell r="H3086" t="str">
            <v>428H5AA#ABL</v>
          </cell>
          <cell r="M3086" t="str">
            <v>Foxconn LH</v>
          </cell>
        </row>
        <row r="3087">
          <cell r="D3087" t="str">
            <v>NA/LA</v>
          </cell>
          <cell r="H3087" t="str">
            <v>2HU83AA#ABL</v>
          </cell>
          <cell r="M3087" t="str">
            <v>Foxconn LH</v>
          </cell>
        </row>
        <row r="3088">
          <cell r="D3088" t="str">
            <v>NA/LA</v>
          </cell>
          <cell r="H3088" t="str">
            <v>2HU82AA#ABL</v>
          </cell>
          <cell r="M3088" t="str">
            <v>Foxconn LH</v>
          </cell>
        </row>
        <row r="3089">
          <cell r="D3089" t="str">
            <v>NA</v>
          </cell>
          <cell r="H3089" t="str">
            <v>3L1E7AA#ABA</v>
          </cell>
          <cell r="M3089" t="str">
            <v>Foxconn LH</v>
          </cell>
        </row>
        <row r="3090">
          <cell r="D3090" t="str">
            <v>NA</v>
          </cell>
          <cell r="H3090" t="str">
            <v>9T5B0UT#ABA</v>
          </cell>
          <cell r="M3090" t="str">
            <v>Foxconn LH</v>
          </cell>
        </row>
        <row r="3091">
          <cell r="D3091" t="str">
            <v>NA/LA</v>
          </cell>
          <cell r="H3091" t="str">
            <v>9C2F6AA#ABA</v>
          </cell>
          <cell r="M3091" t="str">
            <v>Foxconn LH</v>
          </cell>
        </row>
        <row r="3092">
          <cell r="D3092" t="str">
            <v>APJ</v>
          </cell>
          <cell r="H3092" t="str">
            <v>6V2J7AA#UUF</v>
          </cell>
          <cell r="M3092" t="str">
            <v>Foxconn LH</v>
          </cell>
        </row>
        <row r="3093">
          <cell r="D3093" t="str">
            <v>APJ</v>
          </cell>
          <cell r="H3093" t="str">
            <v>758A8AA#UUF</v>
          </cell>
          <cell r="M3093" t="str">
            <v>Foxconn LH</v>
          </cell>
        </row>
        <row r="3094">
          <cell r="D3094" t="str">
            <v>APJ</v>
          </cell>
          <cell r="H3094" t="str">
            <v>4E407UT#UUF</v>
          </cell>
          <cell r="M3094" t="str">
            <v>Foxconn LH</v>
          </cell>
        </row>
        <row r="3095">
          <cell r="D3095" t="str">
            <v>APJ</v>
          </cell>
          <cell r="H3095" t="str">
            <v>758A9AA#UUF</v>
          </cell>
          <cell r="M3095" t="str">
            <v>Foxconn LH</v>
          </cell>
        </row>
        <row r="3096">
          <cell r="D3096" t="str">
            <v>LA</v>
          </cell>
          <cell r="H3096" t="str">
            <v>4E407UT#ABM</v>
          </cell>
          <cell r="M3096" t="str">
            <v>Foxconn LH</v>
          </cell>
        </row>
        <row r="3097">
          <cell r="D3097" t="str">
            <v>LA</v>
          </cell>
          <cell r="H3097" t="str">
            <v>1Y4D0UT#AC4</v>
          </cell>
          <cell r="M3097" t="str">
            <v>Foxconn LH</v>
          </cell>
        </row>
        <row r="3098">
          <cell r="D3098" t="str">
            <v>LA</v>
          </cell>
          <cell r="H3098" t="str">
            <v>18H24AA#ABM</v>
          </cell>
          <cell r="M3098" t="str">
            <v>Foxconn LH</v>
          </cell>
        </row>
        <row r="3099">
          <cell r="D3099" t="str">
            <v>LA</v>
          </cell>
          <cell r="H3099" t="str">
            <v>43N04AA#ABM</v>
          </cell>
          <cell r="M3099" t="str">
            <v>Foxconn LH</v>
          </cell>
        </row>
        <row r="3100">
          <cell r="D3100" t="str">
            <v>APJ</v>
          </cell>
          <cell r="H3100" t="str">
            <v>V0L79AA#UUF</v>
          </cell>
          <cell r="M3100" t="str">
            <v>Foxconn LH</v>
          </cell>
        </row>
        <row r="3101">
          <cell r="D3101" t="str">
            <v>APJ</v>
          </cell>
          <cell r="H3101" t="str">
            <v>X7Q43AA#UUF</v>
          </cell>
          <cell r="M3101" t="str">
            <v>Foxconn LH</v>
          </cell>
        </row>
        <row r="3102">
          <cell r="D3102" t="str">
            <v>APJ</v>
          </cell>
          <cell r="H3102" t="str">
            <v>X7Q44AA#UUF</v>
          </cell>
          <cell r="M3102" t="str">
            <v>Foxconn LH</v>
          </cell>
        </row>
        <row r="3103">
          <cell r="D3103" t="str">
            <v>APJ</v>
          </cell>
          <cell r="H3103" t="str">
            <v>3L1F0AA#UUF</v>
          </cell>
          <cell r="M3103" t="str">
            <v>Foxconn LH</v>
          </cell>
        </row>
        <row r="3104">
          <cell r="D3104" t="str">
            <v>APJ</v>
          </cell>
          <cell r="H3104" t="str">
            <v>53X26AA#UUF</v>
          </cell>
          <cell r="M3104" t="str">
            <v>Foxconn LH</v>
          </cell>
        </row>
        <row r="3105">
          <cell r="D3105" t="str">
            <v>APJ</v>
          </cell>
          <cell r="H3105" t="str">
            <v>18H24AA#UUF</v>
          </cell>
          <cell r="M3105" t="str">
            <v>Foxconn LH</v>
          </cell>
        </row>
        <row r="3106">
          <cell r="D3106" t="str">
            <v>APJ</v>
          </cell>
          <cell r="H3106" t="str">
            <v>6VY96AA#UUF</v>
          </cell>
          <cell r="M3106" t="str">
            <v>Foxconn LH</v>
          </cell>
        </row>
        <row r="3107">
          <cell r="D3107" t="str">
            <v>APJ</v>
          </cell>
          <cell r="H3107" t="str">
            <v>1Y4D0UT#UUF</v>
          </cell>
          <cell r="M3107" t="str">
            <v>Foxconn LH</v>
          </cell>
        </row>
        <row r="3108">
          <cell r="D3108" t="str">
            <v>LA</v>
          </cell>
          <cell r="H3108" t="str">
            <v>1Y4D0UT#ABM</v>
          </cell>
          <cell r="M3108" t="str">
            <v>Foxconn LH</v>
          </cell>
        </row>
        <row r="3109">
          <cell r="D3109" t="str">
            <v>APJ</v>
          </cell>
          <cell r="H3109" t="str">
            <v>V0L80AA#UUF</v>
          </cell>
          <cell r="M3109" t="str">
            <v>Foxconn LH</v>
          </cell>
        </row>
        <row r="3110">
          <cell r="D3110" t="str">
            <v>NA/LA</v>
          </cell>
          <cell r="H3110" t="str">
            <v>2HU83AA#ABL</v>
          </cell>
          <cell r="M3110" t="str">
            <v>Foxconn LH</v>
          </cell>
        </row>
        <row r="3111">
          <cell r="D3111" t="str">
            <v>NA</v>
          </cell>
          <cell r="H3111" t="str">
            <v>18H24AA#ABA</v>
          </cell>
          <cell r="M3111" t="str">
            <v>Foxconn LH</v>
          </cell>
        </row>
        <row r="3112">
          <cell r="D3112" t="str">
            <v>APJ</v>
          </cell>
          <cell r="H3112" t="str">
            <v>6E6F0AA#UUF</v>
          </cell>
          <cell r="M3112" t="str">
            <v>Foxconn LH</v>
          </cell>
        </row>
        <row r="3113">
          <cell r="D3113" t="str">
            <v>APJ</v>
          </cell>
          <cell r="H3113" t="str">
            <v>4X491AA#AC3</v>
          </cell>
          <cell r="M3113" t="str">
            <v>Foxconn LH</v>
          </cell>
        </row>
        <row r="3114">
          <cell r="D3114" t="str">
            <v>NA</v>
          </cell>
          <cell r="H3114" t="str">
            <v>9T5A9AA#ABA</v>
          </cell>
          <cell r="M3114" t="str">
            <v>Foxconn LH</v>
          </cell>
        </row>
        <row r="3115">
          <cell r="D3115" t="str">
            <v>LA</v>
          </cell>
          <cell r="H3115" t="str">
            <v>3ML04AA#ABM</v>
          </cell>
          <cell r="M3115" t="str">
            <v>Foxconn LH</v>
          </cell>
        </row>
        <row r="3116">
          <cell r="D3116" t="str">
            <v>APJ</v>
          </cell>
          <cell r="H3116" t="str">
            <v>240J6AA#UUF</v>
          </cell>
          <cell r="M3116" t="str">
            <v>Foxconn LH</v>
          </cell>
        </row>
        <row r="3117">
          <cell r="D3117" t="str">
            <v>NA</v>
          </cell>
          <cell r="H3117" t="str">
            <v>77B11AA#ABA</v>
          </cell>
          <cell r="M3117" t="str">
            <v>Foxconn LH</v>
          </cell>
        </row>
        <row r="3118">
          <cell r="D3118" t="str">
            <v>NA/LA</v>
          </cell>
          <cell r="H3118" t="str">
            <v>4QM14AA#ABL</v>
          </cell>
          <cell r="M3118" t="str">
            <v>Foxconn LH</v>
          </cell>
        </row>
        <row r="3119">
          <cell r="D3119" t="str">
            <v>NA/LA</v>
          </cell>
          <cell r="H3119" t="str">
            <v>X6W31AA#ABL</v>
          </cell>
          <cell r="M3119" t="str">
            <v>Foxconn LH</v>
          </cell>
        </row>
        <row r="3120">
          <cell r="D3120" t="str">
            <v>NA/LA</v>
          </cell>
          <cell r="H3120" t="str">
            <v>53X26AA#ABL</v>
          </cell>
          <cell r="M3120" t="str">
            <v>Foxconn LH</v>
          </cell>
        </row>
        <row r="3121">
          <cell r="D3121" t="str">
            <v>APJ</v>
          </cell>
          <cell r="H3121" t="str">
            <v>53X26AA#UUF</v>
          </cell>
          <cell r="M3121" t="str">
            <v>Foxconn LH</v>
          </cell>
        </row>
        <row r="3122">
          <cell r="D3122" t="str">
            <v>APJ</v>
          </cell>
          <cell r="H3122" t="str">
            <v>3ML04AA#UUF</v>
          </cell>
          <cell r="M3122" t="str">
            <v>Foxconn LH</v>
          </cell>
        </row>
        <row r="3123">
          <cell r="D3123" t="str">
            <v>LA</v>
          </cell>
          <cell r="H3123" t="str">
            <v>3ML04AA#ABM</v>
          </cell>
          <cell r="M3123" t="str">
            <v>Foxconn LH</v>
          </cell>
        </row>
        <row r="3124">
          <cell r="D3124" t="str">
            <v>APJ</v>
          </cell>
          <cell r="H3124" t="str">
            <v>9DF28AA#UUF</v>
          </cell>
          <cell r="M3124" t="str">
            <v>Foxconn LH</v>
          </cell>
        </row>
        <row r="3125">
          <cell r="D3125" t="str">
            <v>APJ</v>
          </cell>
          <cell r="H3125" t="str">
            <v>18H24AA#UUF</v>
          </cell>
          <cell r="M3125" t="str">
            <v>Foxconn LH</v>
          </cell>
        </row>
        <row r="3126">
          <cell r="D3126" t="str">
            <v>APJ</v>
          </cell>
          <cell r="H3126" t="str">
            <v>3V0G9AA#UUF</v>
          </cell>
          <cell r="M3126" t="str">
            <v>Foxconn LH</v>
          </cell>
        </row>
        <row r="3127">
          <cell r="D3127" t="str">
            <v>NA</v>
          </cell>
          <cell r="H3127" t="str">
            <v>18H24AA#ABA</v>
          </cell>
          <cell r="M3127" t="str">
            <v>Foxconn LH</v>
          </cell>
        </row>
        <row r="3128">
          <cell r="D3128" t="str">
            <v>APJ</v>
          </cell>
          <cell r="H3128" t="str">
            <v>3ML04AA#UUF</v>
          </cell>
          <cell r="M3128" t="str">
            <v>Foxconn LH</v>
          </cell>
        </row>
        <row r="3129">
          <cell r="D3129" t="str">
            <v>LA</v>
          </cell>
          <cell r="H3129" t="str">
            <v>6VY96AA#ABM</v>
          </cell>
          <cell r="M3129" t="str">
            <v>Foxconn LH</v>
          </cell>
        </row>
        <row r="3130">
          <cell r="D3130" t="str">
            <v>NA</v>
          </cell>
          <cell r="H3130" t="str">
            <v>664R5AA#ABL</v>
          </cell>
          <cell r="M3130" t="str">
            <v>Foxconn LH</v>
          </cell>
        </row>
        <row r="3131">
          <cell r="D3131" t="str">
            <v>APJ</v>
          </cell>
          <cell r="H3131" t="str">
            <v>6VY96AA#UUF</v>
          </cell>
          <cell r="M3131" t="str">
            <v>Foxconn LH</v>
          </cell>
        </row>
        <row r="3132">
          <cell r="D3132" t="str">
            <v>APJ</v>
          </cell>
          <cell r="H3132" t="str">
            <v>X6W31AA#UUF</v>
          </cell>
          <cell r="M3132" t="str">
            <v>Foxconn LH</v>
          </cell>
        </row>
        <row r="3133">
          <cell r="D3133" t="str">
            <v>NA/LA</v>
          </cell>
          <cell r="H3133" t="str">
            <v>2HU82AA#ABL</v>
          </cell>
          <cell r="M3133" t="str">
            <v>Foxconn LH</v>
          </cell>
        </row>
        <row r="3134">
          <cell r="D3134" t="str">
            <v>NA/LA</v>
          </cell>
          <cell r="H3134" t="str">
            <v>2HU85AA#ABL</v>
          </cell>
          <cell r="M3134" t="str">
            <v>Foxconn LH</v>
          </cell>
        </row>
        <row r="3135">
          <cell r="D3135" t="str">
            <v>NA/LA</v>
          </cell>
          <cell r="H3135" t="str">
            <v>793F9AA#ABA</v>
          </cell>
          <cell r="M3135" t="str">
            <v>Foxconn LH</v>
          </cell>
        </row>
        <row r="3136">
          <cell r="D3136" t="str">
            <v>APJ</v>
          </cell>
          <cell r="H3136" t="str">
            <v>9DF28AA#UUF</v>
          </cell>
          <cell r="M3136" t="str">
            <v>Foxconn LH</v>
          </cell>
        </row>
        <row r="3137">
          <cell r="D3137" t="str">
            <v>APJ</v>
          </cell>
          <cell r="H3137" t="str">
            <v>793F9AA#UUF</v>
          </cell>
          <cell r="M3137" t="str">
            <v>Foxconn LH</v>
          </cell>
        </row>
        <row r="3138">
          <cell r="D3138" t="str">
            <v>APJ</v>
          </cell>
          <cell r="H3138" t="str">
            <v>53X27AA</v>
          </cell>
          <cell r="M3138" t="str">
            <v>Foxconn LH</v>
          </cell>
        </row>
        <row r="3139">
          <cell r="D3139" t="str">
            <v>NA</v>
          </cell>
          <cell r="H3139" t="str">
            <v>18H24AA#ABA</v>
          </cell>
          <cell r="M3139" t="str">
            <v>Foxconn LH</v>
          </cell>
        </row>
        <row r="3140">
          <cell r="D3140" t="str">
            <v>NA/LA</v>
          </cell>
          <cell r="H3140" t="str">
            <v>53X26AA#ABL</v>
          </cell>
          <cell r="M3140" t="str">
            <v>Foxconn LH</v>
          </cell>
        </row>
        <row r="3141">
          <cell r="D3141" t="str">
            <v>APJ</v>
          </cell>
          <cell r="H3141" t="str">
            <v>18H24AA#UUF</v>
          </cell>
          <cell r="M3141" t="str">
            <v>Foxconn LH</v>
          </cell>
        </row>
        <row r="3142">
          <cell r="D3142" t="str">
            <v>APJ</v>
          </cell>
          <cell r="H3142" t="str">
            <v>2HU85AA#UUF</v>
          </cell>
          <cell r="M3142" t="str">
            <v>Foxconn LH</v>
          </cell>
        </row>
        <row r="3143">
          <cell r="D3143" t="str">
            <v>APJ</v>
          </cell>
          <cell r="H3143" t="str">
            <v>664R5AA#UUF</v>
          </cell>
          <cell r="M3143" t="str">
            <v>Foxconn LH</v>
          </cell>
        </row>
        <row r="3144">
          <cell r="D3144" t="str">
            <v>NA/LA</v>
          </cell>
          <cell r="H3144" t="str">
            <v>2HU83AA#ABL</v>
          </cell>
          <cell r="M3144" t="str">
            <v>Foxconn LH</v>
          </cell>
        </row>
        <row r="3145">
          <cell r="D3145" t="str">
            <v>NA</v>
          </cell>
          <cell r="H3145" t="str">
            <v>240J7AA#ABL</v>
          </cell>
          <cell r="M3145" t="str">
            <v>Foxconn LH</v>
          </cell>
        </row>
        <row r="3146">
          <cell r="D3146" t="str">
            <v>NA</v>
          </cell>
          <cell r="H3146" t="str">
            <v>18H24AA#ABA</v>
          </cell>
          <cell r="M3146" t="str">
            <v>Foxconn LH</v>
          </cell>
        </row>
        <row r="3147">
          <cell r="D3147" t="str">
            <v>APJ</v>
          </cell>
          <cell r="H3147" t="str">
            <v>9DF28AA#UUF</v>
          </cell>
          <cell r="M3147" t="str">
            <v>Foxconn LH</v>
          </cell>
        </row>
        <row r="3148">
          <cell r="D3148" t="str">
            <v>APJ</v>
          </cell>
          <cell r="H3148" t="str">
            <v>18H24AA#UUF</v>
          </cell>
          <cell r="M3148" t="str">
            <v>Foxconn LH</v>
          </cell>
        </row>
        <row r="3149">
          <cell r="D3149" t="str">
            <v>APJ</v>
          </cell>
          <cell r="H3149" t="str">
            <v>3V0G9AA#UUF</v>
          </cell>
          <cell r="M3149" t="str">
            <v>Foxconn LH</v>
          </cell>
        </row>
        <row r="3150">
          <cell r="D3150" t="str">
            <v>LA</v>
          </cell>
          <cell r="H3150" t="str">
            <v>3L1E7AA#ABM</v>
          </cell>
          <cell r="M3150" t="str">
            <v>Foxconn LH</v>
          </cell>
        </row>
        <row r="3151">
          <cell r="D3151" t="str">
            <v>LA</v>
          </cell>
          <cell r="H3151" t="str">
            <v>3L1E7AA#ABM</v>
          </cell>
          <cell r="M3151" t="str">
            <v>Foxconn LH</v>
          </cell>
        </row>
        <row r="3152">
          <cell r="D3152" t="str">
            <v>NA</v>
          </cell>
          <cell r="H3152" t="str">
            <v>9T5B2AA#ABA</v>
          </cell>
          <cell r="M3152" t="str">
            <v>Foxconn LH</v>
          </cell>
        </row>
        <row r="3153">
          <cell r="D3153" t="str">
            <v>APJ</v>
          </cell>
          <cell r="H3153" t="str">
            <v>758A8AA#UUF</v>
          </cell>
          <cell r="M3153" t="str">
            <v>Foxconn LH</v>
          </cell>
        </row>
        <row r="3154">
          <cell r="D3154" t="str">
            <v>NA</v>
          </cell>
          <cell r="H3154" t="str">
            <v>3L1E7AA#ABA</v>
          </cell>
          <cell r="M3154" t="str">
            <v>Foxconn LH</v>
          </cell>
        </row>
        <row r="3155">
          <cell r="D3155" t="str">
            <v>LA</v>
          </cell>
          <cell r="H3155" t="str">
            <v>240J7AA#AC4</v>
          </cell>
          <cell r="M3155" t="str">
            <v>Foxconn LH</v>
          </cell>
        </row>
        <row r="3156">
          <cell r="D3156" t="str">
            <v>LA</v>
          </cell>
          <cell r="H3156" t="str">
            <v>3L1F0AA#ABM</v>
          </cell>
          <cell r="M3156" t="str">
            <v>Foxconn LH</v>
          </cell>
        </row>
        <row r="3157">
          <cell r="D3157" t="str">
            <v>NA</v>
          </cell>
          <cell r="H3157" t="str">
            <v>9T5B1AA#ABA</v>
          </cell>
          <cell r="M3157" t="str">
            <v>Foxconn LH</v>
          </cell>
        </row>
        <row r="3158">
          <cell r="D3158" t="str">
            <v>APJ</v>
          </cell>
          <cell r="H3158" t="str">
            <v>43N04AA#UUF</v>
          </cell>
          <cell r="M3158" t="str">
            <v>Foxconn LH</v>
          </cell>
        </row>
        <row r="3159">
          <cell r="D3159" t="str">
            <v>APJ</v>
          </cell>
          <cell r="H3159" t="str">
            <v>822M9UT#UUF</v>
          </cell>
          <cell r="M3159" t="str">
            <v>Foxconn LH</v>
          </cell>
        </row>
        <row r="3160">
          <cell r="D3160" t="str">
            <v>NA/LA</v>
          </cell>
          <cell r="H3160" t="str">
            <v>53X26AA#ABL</v>
          </cell>
          <cell r="M3160" t="str">
            <v>Foxconn LH</v>
          </cell>
        </row>
        <row r="3161">
          <cell r="D3161" t="str">
            <v>APJ</v>
          </cell>
          <cell r="H3161" t="str">
            <v>53X26AA#UUF</v>
          </cell>
          <cell r="M3161" t="str">
            <v>Foxconn LH</v>
          </cell>
        </row>
        <row r="3162">
          <cell r="D3162" t="str">
            <v>LA</v>
          </cell>
          <cell r="H3162" t="str">
            <v>1Y4D0UT#AC4</v>
          </cell>
          <cell r="M3162" t="str">
            <v>Foxconn LH</v>
          </cell>
        </row>
        <row r="3163">
          <cell r="D3163" t="str">
            <v>APJ</v>
          </cell>
          <cell r="H3163" t="str">
            <v>240J7AA#UUF</v>
          </cell>
          <cell r="M3163" t="str">
            <v>Foxconn LH</v>
          </cell>
        </row>
        <row r="3164">
          <cell r="D3164" t="str">
            <v>APJ</v>
          </cell>
          <cell r="H3164" t="str">
            <v>9T5B0UT#UUF</v>
          </cell>
          <cell r="M3164" t="str">
            <v>Foxconn LH</v>
          </cell>
        </row>
        <row r="3165">
          <cell r="D3165" t="str">
            <v>APJ</v>
          </cell>
          <cell r="H3165" t="str">
            <v>3L1E7AA#ABJ</v>
          </cell>
          <cell r="M3165" t="str">
            <v>Foxconn LH</v>
          </cell>
        </row>
        <row r="3166">
          <cell r="D3166" t="str">
            <v>APJ</v>
          </cell>
          <cell r="H3166" t="str">
            <v>18H24AA#UUF</v>
          </cell>
          <cell r="M3166" t="str">
            <v>Foxconn LH</v>
          </cell>
        </row>
        <row r="3167">
          <cell r="D3167" t="str">
            <v>APJ</v>
          </cell>
          <cell r="H3167" t="str">
            <v>3V0G9AA#UUF</v>
          </cell>
          <cell r="M3167" t="str">
            <v>Foxconn LH</v>
          </cell>
        </row>
        <row r="3168">
          <cell r="D3168" t="str">
            <v>APJ</v>
          </cell>
          <cell r="H3168" t="str">
            <v>2V9E6AA#UUF</v>
          </cell>
          <cell r="M3168" t="str">
            <v>Foxconn LH</v>
          </cell>
        </row>
        <row r="3169">
          <cell r="D3169" t="str">
            <v>APJ</v>
          </cell>
          <cell r="H3169" t="str">
            <v>6V2J7AA#UUF</v>
          </cell>
          <cell r="M3169" t="str">
            <v>Foxconn LH</v>
          </cell>
        </row>
        <row r="3170">
          <cell r="D3170" t="str">
            <v>NA/LA</v>
          </cell>
          <cell r="H3170" t="str">
            <v>758A8AA#ABA</v>
          </cell>
          <cell r="M3170" t="str">
            <v>Foxconn LH</v>
          </cell>
        </row>
        <row r="3171">
          <cell r="D3171" t="str">
            <v>NA/LA</v>
          </cell>
          <cell r="H3171" t="str">
            <v>53X26AA#ABL</v>
          </cell>
          <cell r="M3171" t="str">
            <v>Foxconn LH</v>
          </cell>
        </row>
        <row r="3172">
          <cell r="D3172" t="str">
            <v>LA</v>
          </cell>
          <cell r="H3172" t="str">
            <v>2S9L1AA#ABM</v>
          </cell>
          <cell r="M3172" t="str">
            <v>Foxconn LH</v>
          </cell>
        </row>
        <row r="3173">
          <cell r="D3173" t="str">
            <v>APJ</v>
          </cell>
          <cell r="H3173" t="str">
            <v>9T5A9AA#UUF</v>
          </cell>
          <cell r="M3173" t="str">
            <v>Foxconn LH</v>
          </cell>
        </row>
        <row r="3174">
          <cell r="D3174" t="str">
            <v>NA/LA</v>
          </cell>
          <cell r="H3174" t="str">
            <v>2HU84AA#ABL</v>
          </cell>
          <cell r="M3174" t="str">
            <v>Foxconn LH</v>
          </cell>
        </row>
        <row r="3175">
          <cell r="D3175" t="str">
            <v>APJ</v>
          </cell>
          <cell r="H3175" t="str">
            <v>758A8AA#UUF</v>
          </cell>
          <cell r="M3175" t="str">
            <v>Foxconn LH</v>
          </cell>
        </row>
        <row r="3176">
          <cell r="D3176" t="str">
            <v>APJ</v>
          </cell>
          <cell r="H3176" t="str">
            <v>AJ7C2AA#UUF</v>
          </cell>
          <cell r="M3176" t="str">
            <v>Foxconn LH</v>
          </cell>
        </row>
        <row r="3177">
          <cell r="D3177" t="str">
            <v>APJ</v>
          </cell>
          <cell r="H3177" t="str">
            <v>2HU82AA#UUF</v>
          </cell>
          <cell r="M3177" t="str">
            <v>Foxconn LH</v>
          </cell>
        </row>
        <row r="3178">
          <cell r="D3178" t="str">
            <v>APJ</v>
          </cell>
          <cell r="H3178" t="str">
            <v>M82159-001</v>
          </cell>
          <cell r="M3178" t="str">
            <v>Foxconn LH</v>
          </cell>
        </row>
        <row r="3179">
          <cell r="D3179" t="str">
            <v>NA/LA</v>
          </cell>
          <cell r="H3179" t="str">
            <v>AJ7C2AA#ABA</v>
          </cell>
          <cell r="M3179" t="str">
            <v>Foxconn LH</v>
          </cell>
        </row>
        <row r="3180">
          <cell r="D3180" t="str">
            <v>APJ</v>
          </cell>
          <cell r="H3180" t="str">
            <v>6VY96AA#UUF</v>
          </cell>
          <cell r="M3180" t="str">
            <v>Foxconn LH</v>
          </cell>
        </row>
        <row r="3181">
          <cell r="D3181" t="str">
            <v>APJ</v>
          </cell>
          <cell r="H3181" t="str">
            <v>X6W31AA#UUF</v>
          </cell>
          <cell r="M3181" t="str">
            <v>Foxconn LH</v>
          </cell>
        </row>
        <row r="3182">
          <cell r="D3182" t="str">
            <v>APJ</v>
          </cell>
          <cell r="H3182" t="str">
            <v>3ML04AA#UUF</v>
          </cell>
          <cell r="M3182" t="str">
            <v>Foxconn LH</v>
          </cell>
        </row>
        <row r="3183">
          <cell r="D3183" t="str">
            <v>APJ</v>
          </cell>
          <cell r="H3183" t="str">
            <v>1Y4D0UT#UUF</v>
          </cell>
          <cell r="M3183" t="str">
            <v>Foxconn LH</v>
          </cell>
        </row>
        <row r="3184">
          <cell r="D3184" t="str">
            <v>APJ</v>
          </cell>
          <cell r="H3184" t="str">
            <v>3ML04AA#UUF</v>
          </cell>
          <cell r="M3184" t="str">
            <v>Foxconn LH</v>
          </cell>
        </row>
        <row r="3185">
          <cell r="D3185" t="str">
            <v>LA</v>
          </cell>
          <cell r="H3185" t="str">
            <v>2S9L1AA#ABM</v>
          </cell>
          <cell r="M3185" t="str">
            <v>Foxconn LH</v>
          </cell>
        </row>
        <row r="3186">
          <cell r="D3186" t="str">
            <v>APJ</v>
          </cell>
          <cell r="H3186" t="str">
            <v>18H24AA#UUF</v>
          </cell>
          <cell r="M3186" t="str">
            <v>Foxconn LH</v>
          </cell>
        </row>
        <row r="3187">
          <cell r="D3187" t="str">
            <v>NA</v>
          </cell>
          <cell r="H3187" t="str">
            <v>3L1E7AA#ABA</v>
          </cell>
          <cell r="M3187" t="str">
            <v>Foxconn LH</v>
          </cell>
        </row>
        <row r="3188">
          <cell r="D3188" t="str">
            <v>NA</v>
          </cell>
          <cell r="H3188" t="str">
            <v>3L1E7AA#ABA</v>
          </cell>
          <cell r="M3188" t="str">
            <v>Foxconn LH</v>
          </cell>
        </row>
        <row r="3189">
          <cell r="D3189" t="str">
            <v>APJ</v>
          </cell>
          <cell r="H3189" t="str">
            <v>3L1F0AA#UUF</v>
          </cell>
          <cell r="M3189" t="str">
            <v>Foxconn LH</v>
          </cell>
        </row>
        <row r="3190">
          <cell r="D3190" t="str">
            <v>APJ</v>
          </cell>
          <cell r="H3190" t="str">
            <v>3V0G9AA#UUF</v>
          </cell>
          <cell r="M3190" t="str">
            <v>Foxconn LH</v>
          </cell>
        </row>
        <row r="3191">
          <cell r="D3191" t="str">
            <v>APJ</v>
          </cell>
          <cell r="H3191" t="str">
            <v>4E407UT#UUF</v>
          </cell>
          <cell r="M3191" t="str">
            <v>Foxconn LH</v>
          </cell>
        </row>
        <row r="3192">
          <cell r="D3192" t="str">
            <v>APJ</v>
          </cell>
          <cell r="H3192" t="str">
            <v>4E407UT#UUF</v>
          </cell>
          <cell r="M3192" t="str">
            <v>Foxconn LH</v>
          </cell>
        </row>
        <row r="3193">
          <cell r="D3193" t="str">
            <v>APJ</v>
          </cell>
          <cell r="H3193" t="str">
            <v>758A9AA#UUF</v>
          </cell>
          <cell r="M3193" t="str">
            <v>Foxconn LH</v>
          </cell>
        </row>
        <row r="3194">
          <cell r="D3194" t="str">
            <v>LA</v>
          </cell>
          <cell r="H3194" t="str">
            <v>1Y4D0UT#AC4</v>
          </cell>
          <cell r="M3194" t="str">
            <v>Foxconn LH</v>
          </cell>
        </row>
        <row r="3195">
          <cell r="D3195" t="str">
            <v>APJ</v>
          </cell>
          <cell r="H3195" t="str">
            <v>6VY96AA#UUF</v>
          </cell>
          <cell r="M3195" t="str">
            <v>Foxconn LH</v>
          </cell>
        </row>
        <row r="3196">
          <cell r="D3196" t="str">
            <v>LA</v>
          </cell>
          <cell r="H3196" t="str">
            <v>3L1E7AA#ABM</v>
          </cell>
          <cell r="M3196" t="str">
            <v>Foxconn LH</v>
          </cell>
        </row>
        <row r="3197">
          <cell r="D3197" t="str">
            <v>APJ</v>
          </cell>
          <cell r="H3197" t="str">
            <v>9T5B1AA#UUF</v>
          </cell>
          <cell r="M3197" t="str">
            <v>Foxconn LH</v>
          </cell>
        </row>
        <row r="3198">
          <cell r="D3198" t="str">
            <v>NA/LA</v>
          </cell>
          <cell r="H3198" t="str">
            <v>2HU84AA#ABL</v>
          </cell>
          <cell r="M3198" t="str">
            <v>Foxconn LH</v>
          </cell>
        </row>
        <row r="3199">
          <cell r="D3199" t="str">
            <v>NA/LA</v>
          </cell>
          <cell r="H3199" t="str">
            <v>X6W31AA#ABL</v>
          </cell>
          <cell r="M3199" t="str">
            <v>Foxconn LH</v>
          </cell>
        </row>
        <row r="3200">
          <cell r="D3200" t="str">
            <v>LA</v>
          </cell>
          <cell r="H3200" t="str">
            <v>664R5AA#ABM</v>
          </cell>
          <cell r="M3200" t="str">
            <v>Foxconn LH</v>
          </cell>
        </row>
        <row r="3201">
          <cell r="D3201" t="str">
            <v>APJ</v>
          </cell>
          <cell r="H3201" t="str">
            <v>53X27AA</v>
          </cell>
          <cell r="M3201" t="str">
            <v>Foxconn LH</v>
          </cell>
        </row>
        <row r="3202">
          <cell r="D3202" t="str">
            <v>NA/LA</v>
          </cell>
          <cell r="H3202" t="str">
            <v>2HU83AA#ABL</v>
          </cell>
          <cell r="M3202" t="str">
            <v>Foxconn LH</v>
          </cell>
        </row>
        <row r="3203">
          <cell r="D3203" t="str">
            <v>NA</v>
          </cell>
          <cell r="H3203" t="str">
            <v>77B10AA#ABA</v>
          </cell>
          <cell r="M3203" t="str">
            <v>Foxconn LH</v>
          </cell>
        </row>
        <row r="3204">
          <cell r="D3204" t="str">
            <v>APJ</v>
          </cell>
          <cell r="H3204" t="str">
            <v>53X26AA#UUF</v>
          </cell>
          <cell r="M3204" t="str">
            <v>Foxconn LH</v>
          </cell>
        </row>
        <row r="3205">
          <cell r="D3205" t="str">
            <v>NA/LA</v>
          </cell>
          <cell r="H3205" t="str">
            <v>53X26AA#ABL</v>
          </cell>
          <cell r="M3205" t="str">
            <v>Foxconn LH</v>
          </cell>
        </row>
        <row r="3206">
          <cell r="D3206" t="str">
            <v>APJ</v>
          </cell>
          <cell r="H3206" t="str">
            <v>81S67UT#UUF</v>
          </cell>
          <cell r="M3206" t="str">
            <v>Foxconn LH</v>
          </cell>
        </row>
        <row r="3207">
          <cell r="D3207" t="str">
            <v>APJ</v>
          </cell>
          <cell r="H3207" t="str">
            <v>18H24AA#UUF</v>
          </cell>
          <cell r="M3207" t="str">
            <v>Foxconn LH</v>
          </cell>
        </row>
        <row r="3208">
          <cell r="D3208" t="str">
            <v>APJ</v>
          </cell>
          <cell r="H3208" t="str">
            <v>3V0G9AA#UUF</v>
          </cell>
          <cell r="M3208" t="str">
            <v>Foxconn LH</v>
          </cell>
        </row>
        <row r="3209">
          <cell r="D3209" t="str">
            <v>APJ</v>
          </cell>
          <cell r="H3209" t="str">
            <v>9DF28AA#UUF</v>
          </cell>
          <cell r="M3209" t="str">
            <v>Foxconn LH</v>
          </cell>
        </row>
        <row r="3210">
          <cell r="D3210" t="str">
            <v>LA</v>
          </cell>
          <cell r="H3210" t="str">
            <v>43N04AA#ABM</v>
          </cell>
          <cell r="M3210" t="str">
            <v>Foxconn LH</v>
          </cell>
        </row>
        <row r="3211">
          <cell r="D3211" t="str">
            <v>APJ</v>
          </cell>
          <cell r="H3211" t="str">
            <v>9T5B2AA#UUF</v>
          </cell>
          <cell r="M3211" t="str">
            <v>Foxconn LH</v>
          </cell>
        </row>
        <row r="3212">
          <cell r="D3212" t="str">
            <v>NA/LA</v>
          </cell>
          <cell r="H3212" t="str">
            <v>2HU82AA#ABL</v>
          </cell>
          <cell r="M3212" t="str">
            <v>Foxconn LH</v>
          </cell>
        </row>
        <row r="3213">
          <cell r="D3213" t="str">
            <v>LA</v>
          </cell>
          <cell r="H3213" t="str">
            <v>4E407UT#ABM</v>
          </cell>
          <cell r="M3213" t="str">
            <v>Foxconn LH</v>
          </cell>
        </row>
        <row r="3214">
          <cell r="D3214" t="str">
            <v>APJ</v>
          </cell>
          <cell r="H3214" t="str">
            <v>X6W31AA#UUF</v>
          </cell>
          <cell r="M3214" t="str">
            <v>Foxconn LH</v>
          </cell>
        </row>
        <row r="3215">
          <cell r="D3215" t="str">
            <v>APJ</v>
          </cell>
          <cell r="H3215" t="str">
            <v>4E407UT#UUF</v>
          </cell>
          <cell r="M3215" t="str">
            <v>Foxconn LH</v>
          </cell>
        </row>
        <row r="3216">
          <cell r="D3216" t="str">
            <v>APJ</v>
          </cell>
          <cell r="H3216" t="str">
            <v>6VY96AA#UUF</v>
          </cell>
          <cell r="M3216" t="str">
            <v>Foxconn LH</v>
          </cell>
        </row>
        <row r="3217">
          <cell r="D3217" t="str">
            <v>APJ</v>
          </cell>
          <cell r="H3217" t="str">
            <v>1D0K8AA#UUF</v>
          </cell>
          <cell r="M3217" t="str">
            <v>Foxconn LH</v>
          </cell>
        </row>
        <row r="3218">
          <cell r="D3218" t="str">
            <v>NA</v>
          </cell>
          <cell r="H3218" t="str">
            <v>18H24AA#ABA</v>
          </cell>
          <cell r="M3218" t="str">
            <v>Foxconn LH</v>
          </cell>
        </row>
        <row r="3219">
          <cell r="D3219" t="str">
            <v>APJ</v>
          </cell>
          <cell r="H3219" t="str">
            <v>240J7AA#UUF</v>
          </cell>
          <cell r="M3219" t="str">
            <v>Foxconn LH</v>
          </cell>
        </row>
        <row r="3220">
          <cell r="D3220" t="str">
            <v>NA</v>
          </cell>
          <cell r="H3220" t="str">
            <v>664R5AA#ABL</v>
          </cell>
          <cell r="M3220" t="str">
            <v>Foxconn LH</v>
          </cell>
        </row>
        <row r="3221">
          <cell r="D3221" t="str">
            <v>APJ</v>
          </cell>
          <cell r="H3221" t="str">
            <v>758A9AA#UUF</v>
          </cell>
          <cell r="M3221" t="str">
            <v>Foxconn LH</v>
          </cell>
        </row>
        <row r="3222">
          <cell r="D3222" t="str">
            <v>APJ</v>
          </cell>
          <cell r="H3222" t="str">
            <v>664R5AA#UUF</v>
          </cell>
          <cell r="M3222" t="str">
            <v>Foxconn LH</v>
          </cell>
        </row>
        <row r="3223">
          <cell r="D3223" t="str">
            <v>APJ</v>
          </cell>
          <cell r="H3223" t="str">
            <v>240J6AA#UUF</v>
          </cell>
          <cell r="M3223" t="str">
            <v>Foxconn LH</v>
          </cell>
        </row>
        <row r="3224">
          <cell r="D3224" t="str">
            <v>LA</v>
          </cell>
          <cell r="H3224" t="str">
            <v>2V9E6AA#ABM</v>
          </cell>
          <cell r="M3224" t="str">
            <v>Foxconn LH</v>
          </cell>
        </row>
        <row r="3225">
          <cell r="D3225" t="str">
            <v>NA/LA</v>
          </cell>
          <cell r="H3225" t="str">
            <v>758A9AA#ABA</v>
          </cell>
          <cell r="M3225" t="str">
            <v>Foxconn LH</v>
          </cell>
        </row>
        <row r="3226">
          <cell r="D3226" t="str">
            <v>APJ</v>
          </cell>
          <cell r="H3226" t="str">
            <v>81S67UT#UUF</v>
          </cell>
          <cell r="M3226" t="str">
            <v>Foxconn LH</v>
          </cell>
        </row>
        <row r="3227">
          <cell r="D3227" t="str">
            <v>NA/LA</v>
          </cell>
          <cell r="H3227" t="str">
            <v>2HU84AA#ABL</v>
          </cell>
          <cell r="M3227" t="str">
            <v>Foxconn LH</v>
          </cell>
        </row>
        <row r="3228">
          <cell r="D3228" t="str">
            <v>NA/LA</v>
          </cell>
          <cell r="H3228" t="str">
            <v>2HU83AA#ABL</v>
          </cell>
          <cell r="M3228" t="str">
            <v>Foxconn LH</v>
          </cell>
        </row>
        <row r="3229">
          <cell r="D3229" t="str">
            <v>NA/LA</v>
          </cell>
          <cell r="H3229" t="str">
            <v>X6W31AA#ABL</v>
          </cell>
          <cell r="M3229" t="str">
            <v>Foxconn LH</v>
          </cell>
        </row>
        <row r="3230">
          <cell r="D3230" t="str">
            <v>LA</v>
          </cell>
          <cell r="H3230" t="str">
            <v>2S9L1AA#ABM</v>
          </cell>
          <cell r="M3230" t="str">
            <v>Foxconn LH</v>
          </cell>
        </row>
        <row r="3231">
          <cell r="D3231" t="str">
            <v>NA/LA</v>
          </cell>
          <cell r="H3231" t="str">
            <v>758A9AA#ABA</v>
          </cell>
          <cell r="M3231" t="str">
            <v>Foxconn LH</v>
          </cell>
        </row>
        <row r="3232">
          <cell r="D3232" t="str">
            <v>APJ</v>
          </cell>
          <cell r="H3232" t="str">
            <v>9T5B1AA#ABJ</v>
          </cell>
          <cell r="M3232" t="str">
            <v>Foxconn LH</v>
          </cell>
        </row>
        <row r="3233">
          <cell r="D3233" t="str">
            <v>APJ</v>
          </cell>
          <cell r="H3233" t="str">
            <v>9T5B2AA#ABJ</v>
          </cell>
          <cell r="M3233" t="str">
            <v>Foxconn LH</v>
          </cell>
        </row>
        <row r="3234">
          <cell r="D3234" t="str">
            <v>LA</v>
          </cell>
          <cell r="H3234" t="str">
            <v>9T5B1AA#ABM</v>
          </cell>
          <cell r="M3234" t="str">
            <v>Foxconn LH</v>
          </cell>
        </row>
        <row r="3235">
          <cell r="D3235" t="str">
            <v>LA</v>
          </cell>
          <cell r="H3235" t="str">
            <v>9T5B2AA#ABM</v>
          </cell>
          <cell r="M3235" t="str">
            <v>Foxconn LH</v>
          </cell>
        </row>
        <row r="3236">
          <cell r="D3236" t="str">
            <v>APJ</v>
          </cell>
          <cell r="H3236" t="str">
            <v>V0L79AA#UUF</v>
          </cell>
          <cell r="M3236" t="str">
            <v>Foxconn LH</v>
          </cell>
        </row>
        <row r="3237">
          <cell r="D3237" t="str">
            <v>APJ</v>
          </cell>
          <cell r="H3237" t="str">
            <v>53X26AA#UUF</v>
          </cell>
          <cell r="M3237" t="str">
            <v>Foxconn LH</v>
          </cell>
        </row>
        <row r="3238">
          <cell r="D3238" t="str">
            <v>NA/LA</v>
          </cell>
          <cell r="H3238" t="str">
            <v>53X26AA#ABL</v>
          </cell>
          <cell r="M3238" t="str">
            <v>Foxconn LH</v>
          </cell>
        </row>
        <row r="3239">
          <cell r="D3239" t="str">
            <v>APJ</v>
          </cell>
          <cell r="H3239" t="str">
            <v>53X27AA</v>
          </cell>
          <cell r="M3239" t="str">
            <v>Foxconn LH</v>
          </cell>
        </row>
        <row r="3240">
          <cell r="D3240" t="str">
            <v>APJ</v>
          </cell>
          <cell r="H3240" t="str">
            <v>18H24AA#UUF</v>
          </cell>
          <cell r="M3240" t="str">
            <v>Foxconn LH</v>
          </cell>
        </row>
        <row r="3241">
          <cell r="D3241" t="str">
            <v>APJ</v>
          </cell>
          <cell r="H3241" t="str">
            <v>1Y4D0UT#UUF</v>
          </cell>
          <cell r="M3241" t="str">
            <v>Foxconn LH</v>
          </cell>
        </row>
        <row r="3242">
          <cell r="D3242" t="str">
            <v>APJ</v>
          </cell>
          <cell r="H3242" t="str">
            <v>3L1F0AA#UUF</v>
          </cell>
          <cell r="M3242" t="str">
            <v>Foxconn LH</v>
          </cell>
        </row>
        <row r="3243">
          <cell r="D3243" t="str">
            <v>APJ</v>
          </cell>
          <cell r="H3243" t="str">
            <v>9DF28AA#UUF</v>
          </cell>
          <cell r="M3243" t="str">
            <v>Foxconn LH</v>
          </cell>
        </row>
        <row r="3244">
          <cell r="D3244" t="str">
            <v>NA</v>
          </cell>
          <cell r="H3244" t="str">
            <v>3L1E7AA#ABA</v>
          </cell>
          <cell r="M3244" t="str">
            <v>Foxconn LH</v>
          </cell>
        </row>
        <row r="3245">
          <cell r="D3245" t="str">
            <v>APJ</v>
          </cell>
          <cell r="H3245" t="str">
            <v>3FV66AA#UUF</v>
          </cell>
          <cell r="M3245" t="str">
            <v>Foxconn LH</v>
          </cell>
        </row>
        <row r="3246">
          <cell r="D3246" t="str">
            <v>LA</v>
          </cell>
          <cell r="H3246" t="str">
            <v>240J7AA#ABM</v>
          </cell>
          <cell r="M3246" t="str">
            <v>Foxconn LH</v>
          </cell>
        </row>
        <row r="3247">
          <cell r="D3247" t="str">
            <v>APJ</v>
          </cell>
          <cell r="H3247" t="str">
            <v>3L1E7AA#UUF</v>
          </cell>
          <cell r="M3247" t="str">
            <v>Foxconn LH</v>
          </cell>
        </row>
        <row r="3248">
          <cell r="D3248" t="str">
            <v>NA</v>
          </cell>
          <cell r="H3248" t="str">
            <v>18H24AA#ABA</v>
          </cell>
          <cell r="M3248" t="str">
            <v>Foxconn LH</v>
          </cell>
        </row>
        <row r="3249">
          <cell r="D3249" t="str">
            <v>NA</v>
          </cell>
          <cell r="H3249" t="str">
            <v>3L1E7AA#ABA</v>
          </cell>
          <cell r="M3249" t="str">
            <v>Foxconn LH</v>
          </cell>
        </row>
        <row r="3250">
          <cell r="D3250" t="str">
            <v>APJ</v>
          </cell>
          <cell r="H3250" t="str">
            <v>43N04AA#UUF</v>
          </cell>
          <cell r="M3250" t="str">
            <v>Foxconn LH</v>
          </cell>
        </row>
        <row r="3251">
          <cell r="D3251" t="str">
            <v>LA</v>
          </cell>
          <cell r="H3251" t="str">
            <v>2V9E6AA#AC4</v>
          </cell>
          <cell r="M3251" t="str">
            <v>Foxconn LH</v>
          </cell>
        </row>
        <row r="3252">
          <cell r="D3252" t="str">
            <v>LA</v>
          </cell>
          <cell r="H3252" t="str">
            <v>6VY96AA#ABM</v>
          </cell>
          <cell r="M3252" t="str">
            <v>Foxconn LH</v>
          </cell>
        </row>
        <row r="3253">
          <cell r="D3253" t="str">
            <v>APJ</v>
          </cell>
          <cell r="H3253" t="str">
            <v>53X27AA</v>
          </cell>
          <cell r="M3253" t="str">
            <v>Foxconn LH</v>
          </cell>
        </row>
        <row r="3254">
          <cell r="D3254" t="str">
            <v>APJ</v>
          </cell>
          <cell r="H3254" t="str">
            <v>822M9UT#UUF</v>
          </cell>
          <cell r="M3254" t="str">
            <v>Foxconn LH</v>
          </cell>
        </row>
        <row r="3255">
          <cell r="D3255" t="str">
            <v>LA</v>
          </cell>
          <cell r="H3255" t="str">
            <v>3L1E7AA#ABM</v>
          </cell>
          <cell r="M3255" t="str">
            <v>Foxconn LH</v>
          </cell>
        </row>
        <row r="3256">
          <cell r="D3256" t="str">
            <v>LA</v>
          </cell>
          <cell r="H3256" t="str">
            <v>3L1E7AA#ABM</v>
          </cell>
          <cell r="M3256" t="str">
            <v>Foxconn LH</v>
          </cell>
        </row>
        <row r="3257">
          <cell r="D3257" t="str">
            <v>APJ</v>
          </cell>
          <cell r="H3257" t="str">
            <v>6VY96AA#UUF</v>
          </cell>
          <cell r="M3257" t="str">
            <v>Foxconn LH</v>
          </cell>
        </row>
        <row r="3258">
          <cell r="D3258" t="str">
            <v>APJ</v>
          </cell>
          <cell r="H3258" t="str">
            <v>18H24AA#UUF</v>
          </cell>
          <cell r="M3258" t="str">
            <v>Foxconn LH</v>
          </cell>
        </row>
        <row r="3259">
          <cell r="D3259" t="str">
            <v>APJ</v>
          </cell>
          <cell r="H3259" t="str">
            <v>1Y4D0UT#UUF</v>
          </cell>
          <cell r="M3259" t="str">
            <v>Foxconn LH</v>
          </cell>
        </row>
        <row r="3260">
          <cell r="D3260" t="str">
            <v>APJ</v>
          </cell>
          <cell r="H3260" t="str">
            <v>3V0G9AA#UUF</v>
          </cell>
          <cell r="M3260" t="str">
            <v>Foxconn LH</v>
          </cell>
        </row>
        <row r="3261">
          <cell r="D3261" t="str">
            <v>APJ</v>
          </cell>
          <cell r="H3261" t="str">
            <v>53X27AA</v>
          </cell>
          <cell r="M3261" t="str">
            <v>Foxconn LH</v>
          </cell>
        </row>
        <row r="3262">
          <cell r="D3262" t="str">
            <v>APJ</v>
          </cell>
          <cell r="H3262" t="str">
            <v>4E407UT#UUF</v>
          </cell>
          <cell r="M3262" t="str">
            <v>Foxconn LH</v>
          </cell>
        </row>
        <row r="3263">
          <cell r="D3263" t="str">
            <v>NA/LA</v>
          </cell>
          <cell r="H3263" t="str">
            <v>2HU84AA#ABL</v>
          </cell>
          <cell r="M3263" t="str">
            <v>Foxconn LH</v>
          </cell>
        </row>
        <row r="3264">
          <cell r="D3264" t="str">
            <v>NA/LA</v>
          </cell>
          <cell r="H3264" t="str">
            <v>2HU82AA#ABL</v>
          </cell>
          <cell r="M3264" t="str">
            <v>Foxconn LH</v>
          </cell>
        </row>
        <row r="3265">
          <cell r="D3265" t="str">
            <v>NA/LA</v>
          </cell>
          <cell r="H3265" t="str">
            <v>X6W31AA#ABL</v>
          </cell>
          <cell r="M3265" t="str">
            <v>Foxconn LH</v>
          </cell>
        </row>
        <row r="3266">
          <cell r="D3266" t="str">
            <v>APJ</v>
          </cell>
          <cell r="H3266" t="str">
            <v>9DF28AA#UUF</v>
          </cell>
          <cell r="M3266" t="str">
            <v>Foxconn LH</v>
          </cell>
        </row>
        <row r="3267">
          <cell r="D3267" t="str">
            <v>LA</v>
          </cell>
          <cell r="H3267" t="str">
            <v>1Y4D0UT#AC4</v>
          </cell>
          <cell r="M3267" t="str">
            <v>Foxconn LH</v>
          </cell>
        </row>
        <row r="3268">
          <cell r="D3268" t="str">
            <v>LA</v>
          </cell>
          <cell r="H3268" t="str">
            <v>18H24AA#AC4</v>
          </cell>
          <cell r="M3268" t="str">
            <v>Foxconn LH</v>
          </cell>
        </row>
        <row r="3269">
          <cell r="D3269" t="str">
            <v>LA</v>
          </cell>
          <cell r="H3269" t="str">
            <v>664R5AA#ABM</v>
          </cell>
          <cell r="M3269" t="str">
            <v>Foxconn LH</v>
          </cell>
        </row>
        <row r="3270">
          <cell r="D3270" t="str">
            <v>APJ</v>
          </cell>
          <cell r="H3270" t="str">
            <v>428K7AA</v>
          </cell>
          <cell r="M3270" t="str">
            <v>Foxconn LH</v>
          </cell>
        </row>
        <row r="3271">
          <cell r="D3271" t="str">
            <v>NA/LA</v>
          </cell>
          <cell r="H3271" t="str">
            <v>758A9AA#ABA</v>
          </cell>
          <cell r="M3271" t="str">
            <v>Foxconn LH</v>
          </cell>
        </row>
        <row r="3272">
          <cell r="D3272" t="str">
            <v>APJ</v>
          </cell>
          <cell r="H3272" t="str">
            <v>18H24AA#UUF</v>
          </cell>
          <cell r="M3272" t="str">
            <v>Foxconn LH</v>
          </cell>
        </row>
        <row r="3273">
          <cell r="D3273" t="str">
            <v>NA</v>
          </cell>
          <cell r="H3273" t="str">
            <v>3L1E7AA#ABA</v>
          </cell>
          <cell r="M3273" t="str">
            <v>Foxconn LH</v>
          </cell>
        </row>
        <row r="3274">
          <cell r="D3274" t="str">
            <v>APJ</v>
          </cell>
          <cell r="H3274" t="str">
            <v>X6W31AA#UUF</v>
          </cell>
          <cell r="M3274" t="str">
            <v>Foxconn LH</v>
          </cell>
        </row>
        <row r="3275">
          <cell r="D3275" t="str">
            <v>LA</v>
          </cell>
          <cell r="H3275" t="str">
            <v>2S9L1AA#ABM</v>
          </cell>
          <cell r="M3275" t="str">
            <v>Foxconn LH</v>
          </cell>
        </row>
        <row r="3276">
          <cell r="D3276" t="str">
            <v>LA</v>
          </cell>
          <cell r="H3276" t="str">
            <v>18H24AA#ABM</v>
          </cell>
          <cell r="M3276" t="str">
            <v>Foxconn LH</v>
          </cell>
        </row>
        <row r="3277">
          <cell r="D3277" t="str">
            <v>APJ</v>
          </cell>
          <cell r="H3277" t="str">
            <v>428K7AA</v>
          </cell>
          <cell r="M3277" t="str">
            <v>Foxconn LH</v>
          </cell>
        </row>
        <row r="3278">
          <cell r="D3278" t="str">
            <v>NA</v>
          </cell>
          <cell r="H3278" t="str">
            <v>18H24AA#ABA</v>
          </cell>
          <cell r="M3278" t="str">
            <v>Foxconn LH</v>
          </cell>
        </row>
        <row r="3279">
          <cell r="D3279" t="str">
            <v>APJ</v>
          </cell>
          <cell r="H3279" t="str">
            <v>1Y4D0UT#AB1</v>
          </cell>
          <cell r="M3279" t="str">
            <v>Foxconn LH</v>
          </cell>
        </row>
        <row r="3280">
          <cell r="D3280" t="str">
            <v>APJ</v>
          </cell>
          <cell r="H3280" t="str">
            <v>1Y4D0UT#UUF</v>
          </cell>
          <cell r="M3280" t="str">
            <v>Foxconn LH</v>
          </cell>
        </row>
        <row r="3281">
          <cell r="D3281" t="str">
            <v>NA</v>
          </cell>
          <cell r="H3281" t="str">
            <v>3L1E7AA#ABA</v>
          </cell>
          <cell r="M3281" t="str">
            <v>Foxconn LH</v>
          </cell>
        </row>
        <row r="3282">
          <cell r="D3282" t="str">
            <v>APJ</v>
          </cell>
          <cell r="H3282" t="str">
            <v>53X27AA</v>
          </cell>
          <cell r="M3282" t="str">
            <v>Foxconn LH</v>
          </cell>
        </row>
        <row r="3283">
          <cell r="D3283" t="str">
            <v>APJ</v>
          </cell>
          <cell r="H3283" t="str">
            <v>1Y4D0UT#AB1</v>
          </cell>
          <cell r="M3283" t="str">
            <v>Foxconn LH</v>
          </cell>
        </row>
        <row r="3284">
          <cell r="D3284" t="str">
            <v>LA</v>
          </cell>
          <cell r="H3284" t="str">
            <v>3L1E7AA#AC4</v>
          </cell>
          <cell r="M3284" t="str">
            <v>Foxconn LH</v>
          </cell>
        </row>
        <row r="3285">
          <cell r="D3285" t="str">
            <v>NA</v>
          </cell>
          <cell r="H3285" t="str">
            <v>2V9E6AA#ABL</v>
          </cell>
          <cell r="M3285" t="str">
            <v>Foxconn LH</v>
          </cell>
        </row>
        <row r="3286">
          <cell r="D3286" t="str">
            <v>APJ</v>
          </cell>
          <cell r="H3286" t="str">
            <v>3ML04AA#UUF</v>
          </cell>
          <cell r="M3286" t="str">
            <v>Foxconn LH</v>
          </cell>
        </row>
        <row r="3287">
          <cell r="D3287" t="str">
            <v>APJ</v>
          </cell>
          <cell r="H3287" t="str">
            <v>793F9AA#UUF</v>
          </cell>
          <cell r="M3287" t="str">
            <v>Foxconn LH</v>
          </cell>
        </row>
        <row r="3288">
          <cell r="D3288" t="str">
            <v>NA/LA</v>
          </cell>
          <cell r="H3288" t="str">
            <v>2HU82AA#ABL</v>
          </cell>
          <cell r="M3288" t="str">
            <v>Foxconn LH</v>
          </cell>
        </row>
        <row r="3289">
          <cell r="D3289" t="str">
            <v>NA</v>
          </cell>
          <cell r="H3289" t="str">
            <v>664R5AA#ABL</v>
          </cell>
          <cell r="M3289" t="str">
            <v>Foxconn LH</v>
          </cell>
        </row>
        <row r="3290">
          <cell r="D3290" t="str">
            <v>APJ</v>
          </cell>
          <cell r="H3290" t="str">
            <v>4E407UT#UUF</v>
          </cell>
          <cell r="M3290" t="str">
            <v>Foxconn LH</v>
          </cell>
        </row>
        <row r="3291">
          <cell r="D3291" t="str">
            <v>NA</v>
          </cell>
          <cell r="H3291" t="str">
            <v>3L1F0AA#ABA</v>
          </cell>
          <cell r="M3291" t="str">
            <v>Foxconn LH</v>
          </cell>
        </row>
        <row r="3292">
          <cell r="D3292" t="str">
            <v>APJ</v>
          </cell>
          <cell r="H3292" t="str">
            <v>822M9UT#UUF</v>
          </cell>
          <cell r="M3292" t="str">
            <v>Foxconn LH</v>
          </cell>
        </row>
        <row r="3293">
          <cell r="D3293" t="str">
            <v>APJ</v>
          </cell>
          <cell r="H3293" t="str">
            <v>2V9E6AA#UUF</v>
          </cell>
          <cell r="M3293" t="str">
            <v>Foxconn LH</v>
          </cell>
        </row>
        <row r="3294">
          <cell r="D3294" t="str">
            <v>APJ</v>
          </cell>
          <cell r="H3294" t="str">
            <v>4E407UT#UUF</v>
          </cell>
          <cell r="M3294" t="str">
            <v>Foxconn LH</v>
          </cell>
        </row>
        <row r="3295">
          <cell r="D3295" t="str">
            <v>NA/LA</v>
          </cell>
          <cell r="H3295" t="str">
            <v>6E6F0AA#ABL</v>
          </cell>
          <cell r="M3295" t="str">
            <v>Foxconn LH</v>
          </cell>
        </row>
        <row r="3296">
          <cell r="D3296" t="str">
            <v>NA/LA</v>
          </cell>
          <cell r="H3296" t="str">
            <v>2HU84AA#ABL</v>
          </cell>
          <cell r="M3296" t="str">
            <v>Foxconn LH</v>
          </cell>
        </row>
        <row r="3297">
          <cell r="D3297" t="str">
            <v>NA/LA</v>
          </cell>
          <cell r="H3297" t="str">
            <v>2HU83AA#ABL</v>
          </cell>
          <cell r="M3297" t="str">
            <v>Foxconn LH</v>
          </cell>
        </row>
        <row r="3298">
          <cell r="D3298" t="str">
            <v>APJ</v>
          </cell>
          <cell r="H3298" t="str">
            <v>53X26AA#UUF</v>
          </cell>
          <cell r="M3298" t="str">
            <v>Foxconn LH</v>
          </cell>
        </row>
        <row r="3299">
          <cell r="D3299" t="str">
            <v>NA</v>
          </cell>
          <cell r="H3299" t="str">
            <v>18H24AA#ABA</v>
          </cell>
          <cell r="M3299" t="str">
            <v>Foxconn LH</v>
          </cell>
        </row>
        <row r="3300">
          <cell r="D3300" t="str">
            <v>LA</v>
          </cell>
          <cell r="H3300" t="str">
            <v>240J7AA#ABM</v>
          </cell>
          <cell r="M3300" t="str">
            <v>Foxconn LH</v>
          </cell>
        </row>
        <row r="3301">
          <cell r="D3301" t="str">
            <v>LA</v>
          </cell>
          <cell r="H3301" t="str">
            <v>43N05AA#ABM</v>
          </cell>
          <cell r="M3301" t="str">
            <v>Foxconn LH</v>
          </cell>
        </row>
        <row r="3302">
          <cell r="D3302" t="str">
            <v>APJ</v>
          </cell>
          <cell r="H3302" t="str">
            <v>6VY96AA#UUF</v>
          </cell>
          <cell r="M3302" t="str">
            <v>Foxconn LH</v>
          </cell>
        </row>
        <row r="3303">
          <cell r="D3303" t="str">
            <v>APJ</v>
          </cell>
          <cell r="H3303" t="str">
            <v>822M9UT#UUF</v>
          </cell>
          <cell r="M3303" t="str">
            <v>Foxconn LH</v>
          </cell>
        </row>
        <row r="3304">
          <cell r="D3304" t="str">
            <v>APJ</v>
          </cell>
          <cell r="H3304" t="str">
            <v>4E407UT#UUF</v>
          </cell>
          <cell r="M3304" t="str">
            <v>Foxconn LH</v>
          </cell>
        </row>
        <row r="3305">
          <cell r="D3305" t="str">
            <v>APJ</v>
          </cell>
          <cell r="H3305" t="str">
            <v>822M9UT#UUF</v>
          </cell>
          <cell r="M3305" t="str">
            <v>Foxconn LH</v>
          </cell>
        </row>
        <row r="3306">
          <cell r="D3306" t="str">
            <v>NA/LA</v>
          </cell>
          <cell r="H3306" t="str">
            <v>2HU85AA#ABL</v>
          </cell>
          <cell r="M3306" t="str">
            <v>Foxconn LH</v>
          </cell>
        </row>
        <row r="3307">
          <cell r="D3307" t="str">
            <v>APJ</v>
          </cell>
          <cell r="H3307" t="str">
            <v>18H24AA#UUF</v>
          </cell>
          <cell r="M3307" t="str">
            <v>Foxconn LH</v>
          </cell>
        </row>
        <row r="3308">
          <cell r="D3308" t="str">
            <v>NA/LA</v>
          </cell>
          <cell r="H3308" t="str">
            <v>X6W31AA#ABL</v>
          </cell>
          <cell r="M3308" t="str">
            <v>Foxconn LH</v>
          </cell>
        </row>
        <row r="3309">
          <cell r="D3309" t="str">
            <v>NA/LA</v>
          </cell>
          <cell r="H3309" t="str">
            <v>2HU82AA#ABL</v>
          </cell>
          <cell r="M3309" t="str">
            <v>Foxconn LH</v>
          </cell>
        </row>
        <row r="3310">
          <cell r="D3310" t="str">
            <v>APJ</v>
          </cell>
          <cell r="H3310" t="str">
            <v>3L1E7AA#ABJ</v>
          </cell>
          <cell r="M3310" t="str">
            <v>Foxconn LH</v>
          </cell>
        </row>
        <row r="3311">
          <cell r="D3311" t="str">
            <v>NA/LA</v>
          </cell>
          <cell r="H3311" t="str">
            <v>AJ7C2AA#ABA</v>
          </cell>
          <cell r="M3311" t="str">
            <v>Foxconn LH</v>
          </cell>
        </row>
        <row r="3312">
          <cell r="D3312" t="str">
            <v>APJ</v>
          </cell>
          <cell r="H3312" t="str">
            <v>18H24AA#UUF</v>
          </cell>
          <cell r="M3312" t="str">
            <v>Foxconn LH</v>
          </cell>
        </row>
        <row r="3313">
          <cell r="D3313" t="str">
            <v>APJ</v>
          </cell>
          <cell r="H3313" t="str">
            <v>X7Q43AA#UUF</v>
          </cell>
          <cell r="M3313" t="str">
            <v>Foxconn LH</v>
          </cell>
        </row>
        <row r="3314">
          <cell r="D3314" t="str">
            <v>APJ</v>
          </cell>
          <cell r="H3314" t="str">
            <v>X7Q44AA#UUF</v>
          </cell>
          <cell r="M3314" t="str">
            <v>Foxconn LH</v>
          </cell>
        </row>
        <row r="3315">
          <cell r="D3315" t="str">
            <v>APJ</v>
          </cell>
          <cell r="H3315" t="str">
            <v>664R5AA#UUF</v>
          </cell>
          <cell r="M3315" t="str">
            <v>Foxconn LH</v>
          </cell>
        </row>
        <row r="3316">
          <cell r="D3316" t="str">
            <v>NA/LA</v>
          </cell>
          <cell r="H3316" t="str">
            <v>758A9AA#ABA</v>
          </cell>
          <cell r="M3316" t="str">
            <v>Foxconn LH</v>
          </cell>
        </row>
        <row r="3317">
          <cell r="D3317" t="str">
            <v>LA</v>
          </cell>
          <cell r="H3317" t="str">
            <v>6VY96AA#ABM</v>
          </cell>
          <cell r="M3317" t="str">
            <v>Foxconn LH</v>
          </cell>
        </row>
        <row r="3318">
          <cell r="D3318" t="str">
            <v>LA</v>
          </cell>
          <cell r="H3318" t="str">
            <v>3L1F0AA#ABM</v>
          </cell>
          <cell r="M3318" t="str">
            <v>Foxconn LH</v>
          </cell>
        </row>
        <row r="3319">
          <cell r="D3319" t="str">
            <v>APJ</v>
          </cell>
          <cell r="H3319" t="str">
            <v>6E6F0AA#UUF</v>
          </cell>
          <cell r="M3319" t="str">
            <v>Foxconn LH</v>
          </cell>
        </row>
        <row r="3320">
          <cell r="D3320" t="str">
            <v>APJ</v>
          </cell>
          <cell r="H3320" t="str">
            <v>53X27AA</v>
          </cell>
          <cell r="M3320" t="str">
            <v>Foxconn LH</v>
          </cell>
        </row>
        <row r="3321">
          <cell r="D3321" t="str">
            <v>NA/LA</v>
          </cell>
          <cell r="H3321" t="str">
            <v>53X26AA#ABL</v>
          </cell>
          <cell r="M3321" t="str">
            <v>Foxconn LH</v>
          </cell>
        </row>
        <row r="3322">
          <cell r="D3322" t="str">
            <v>LA</v>
          </cell>
          <cell r="H3322" t="str">
            <v>18H24AA#AC4</v>
          </cell>
          <cell r="M3322" t="str">
            <v>Foxconn LH</v>
          </cell>
        </row>
        <row r="3323">
          <cell r="D3323" t="str">
            <v>NA</v>
          </cell>
          <cell r="H3323" t="str">
            <v>3L1E7AA#ABA</v>
          </cell>
          <cell r="M3323" t="str">
            <v>Foxconn LH</v>
          </cell>
        </row>
        <row r="3324">
          <cell r="D3324" t="str">
            <v>NA/LA</v>
          </cell>
          <cell r="H3324" t="str">
            <v>2HU84AA#ABL</v>
          </cell>
          <cell r="M3324" t="str">
            <v>Foxconn LH</v>
          </cell>
        </row>
        <row r="3325">
          <cell r="D3325" t="str">
            <v>LA</v>
          </cell>
          <cell r="H3325" t="str">
            <v>2V9E6AA#AC4</v>
          </cell>
          <cell r="M3325" t="str">
            <v>Foxconn LH</v>
          </cell>
        </row>
        <row r="3326">
          <cell r="D3326" t="str">
            <v>APJ</v>
          </cell>
          <cell r="H3326" t="str">
            <v>18H24AA#UUF</v>
          </cell>
          <cell r="M3326" t="str">
            <v>Foxconn LH</v>
          </cell>
        </row>
        <row r="3327">
          <cell r="D3327" t="str">
            <v>APJ</v>
          </cell>
          <cell r="H3327" t="str">
            <v>1Y4D0UT#UUF</v>
          </cell>
          <cell r="M3327" t="str">
            <v>Foxconn LH</v>
          </cell>
        </row>
        <row r="3328">
          <cell r="D3328" t="str">
            <v>LA</v>
          </cell>
          <cell r="H3328" t="str">
            <v>18H24AA#ABM</v>
          </cell>
          <cell r="M3328" t="str">
            <v>Foxconn LH</v>
          </cell>
        </row>
        <row r="3329">
          <cell r="D3329" t="str">
            <v>NA/LA</v>
          </cell>
          <cell r="H3329" t="str">
            <v>2HU85AA#ABL</v>
          </cell>
          <cell r="M3329" t="str">
            <v>Foxconn LH</v>
          </cell>
        </row>
        <row r="3330">
          <cell r="D3330" t="str">
            <v>APJ</v>
          </cell>
          <cell r="H3330" t="str">
            <v>V0L79AA#UUF</v>
          </cell>
          <cell r="M3330" t="str">
            <v>Foxconn LH</v>
          </cell>
        </row>
        <row r="3331">
          <cell r="D3331" t="str">
            <v>NA/LA</v>
          </cell>
          <cell r="H3331" t="str">
            <v>X6W31AA#ABL</v>
          </cell>
          <cell r="M3331" t="str">
            <v>Foxconn LH</v>
          </cell>
        </row>
        <row r="3332">
          <cell r="D3332" t="str">
            <v>APJ</v>
          </cell>
          <cell r="H3332" t="str">
            <v>1Y4D0UT#UUF</v>
          </cell>
          <cell r="M3332" t="str">
            <v>Foxconn LH</v>
          </cell>
        </row>
        <row r="3333">
          <cell r="D3333" t="str">
            <v>APJ</v>
          </cell>
          <cell r="H3333" t="str">
            <v>1Y4D0UT#UUF</v>
          </cell>
          <cell r="M3333" t="str">
            <v>Foxconn LH</v>
          </cell>
        </row>
        <row r="3334">
          <cell r="D3334" t="str">
            <v>LA</v>
          </cell>
          <cell r="H3334" t="str">
            <v>240J6AA#ABM</v>
          </cell>
          <cell r="M3334" t="str">
            <v>Foxconn LH</v>
          </cell>
        </row>
        <row r="3335">
          <cell r="D3335" t="str">
            <v>LA</v>
          </cell>
          <cell r="H3335" t="str">
            <v>2S9L1AA#ABM</v>
          </cell>
          <cell r="M3335" t="str">
            <v>Foxconn LH</v>
          </cell>
        </row>
        <row r="3336">
          <cell r="D3336" t="str">
            <v>LA</v>
          </cell>
          <cell r="H3336" t="str">
            <v>664R5AA#ABM</v>
          </cell>
          <cell r="M3336" t="str">
            <v>Foxconn LH</v>
          </cell>
        </row>
        <row r="3337">
          <cell r="D3337" t="str">
            <v>LA</v>
          </cell>
          <cell r="H3337" t="str">
            <v>2V9E6AA#ABM</v>
          </cell>
          <cell r="M3337" t="str">
            <v>Foxconn LH</v>
          </cell>
        </row>
        <row r="3338">
          <cell r="D3338" t="str">
            <v>APJ</v>
          </cell>
          <cell r="H3338" t="str">
            <v>53X26AA#UUF</v>
          </cell>
          <cell r="M3338" t="str">
            <v>Foxconn LH</v>
          </cell>
        </row>
        <row r="3339">
          <cell r="D3339" t="str">
            <v>APJ</v>
          </cell>
          <cell r="H3339" t="str">
            <v>4E407UT#UUF</v>
          </cell>
          <cell r="M3339" t="str">
            <v>Foxconn LH</v>
          </cell>
        </row>
        <row r="3340">
          <cell r="D3340" t="str">
            <v>NA</v>
          </cell>
          <cell r="H3340" t="str">
            <v>664R5AA#ABL</v>
          </cell>
          <cell r="M3340" t="str">
            <v>Foxconn LH</v>
          </cell>
        </row>
        <row r="3341">
          <cell r="D3341" t="str">
            <v>NA/LA</v>
          </cell>
          <cell r="H3341" t="str">
            <v>2HU83AA#ABL</v>
          </cell>
          <cell r="M3341" t="str">
            <v>Foxconn LH</v>
          </cell>
        </row>
        <row r="3342">
          <cell r="D3342" t="str">
            <v>LA</v>
          </cell>
          <cell r="H3342" t="str">
            <v>3ML04AA#ABM</v>
          </cell>
          <cell r="M3342" t="str">
            <v>Foxconn LH</v>
          </cell>
        </row>
        <row r="3343">
          <cell r="D3343" t="str">
            <v>APJ</v>
          </cell>
          <cell r="H3343" t="str">
            <v>81S67UT#UUF</v>
          </cell>
          <cell r="M3343" t="str">
            <v>Foxconn LH</v>
          </cell>
        </row>
        <row r="3344">
          <cell r="D3344" t="str">
            <v>APJ</v>
          </cell>
          <cell r="H3344" t="str">
            <v>43N04AA#UUF</v>
          </cell>
          <cell r="M3344" t="str">
            <v>Foxconn LH</v>
          </cell>
        </row>
        <row r="3345">
          <cell r="D3345" t="str">
            <v>NA</v>
          </cell>
          <cell r="H3345" t="str">
            <v>240J7AA#ABL</v>
          </cell>
          <cell r="M3345" t="str">
            <v>Foxconn LH</v>
          </cell>
        </row>
        <row r="3346">
          <cell r="D3346" t="str">
            <v>APJ</v>
          </cell>
          <cell r="H3346" t="str">
            <v>9DF28AA#UUF</v>
          </cell>
          <cell r="M3346" t="str">
            <v>Foxconn LH</v>
          </cell>
        </row>
        <row r="3347">
          <cell r="D3347" t="str">
            <v>LA</v>
          </cell>
          <cell r="H3347" t="str">
            <v>6VY96AA#ABM</v>
          </cell>
          <cell r="M3347" t="str">
            <v>Foxconn LH</v>
          </cell>
        </row>
        <row r="3348">
          <cell r="D3348" t="str">
            <v>APJ</v>
          </cell>
          <cell r="H3348" t="str">
            <v>3L1E7AA#UUF</v>
          </cell>
          <cell r="M3348" t="str">
            <v>Foxconn LH</v>
          </cell>
        </row>
        <row r="3349">
          <cell r="D3349" t="str">
            <v>LA</v>
          </cell>
          <cell r="H3349" t="str">
            <v>3L1E7AA#AC4</v>
          </cell>
          <cell r="M3349" t="str">
            <v>Foxconn LH</v>
          </cell>
        </row>
        <row r="3350">
          <cell r="D3350" t="str">
            <v>NA/LA</v>
          </cell>
          <cell r="H3350" t="str">
            <v>4QM14AA#ABL</v>
          </cell>
          <cell r="M3350" t="str">
            <v>Foxconn LH</v>
          </cell>
        </row>
        <row r="3351">
          <cell r="D3351" t="str">
            <v>APJ</v>
          </cell>
          <cell r="H3351" t="str">
            <v>3ML04AA#UUF</v>
          </cell>
          <cell r="M3351" t="str">
            <v>Foxconn LH</v>
          </cell>
        </row>
        <row r="3352">
          <cell r="D3352" t="str">
            <v>LA</v>
          </cell>
          <cell r="H3352" t="str">
            <v>2S9L1AA#ABM</v>
          </cell>
          <cell r="M3352" t="str">
            <v>Foxconn LH</v>
          </cell>
        </row>
        <row r="3353">
          <cell r="D3353" t="str">
            <v>APJ</v>
          </cell>
          <cell r="H3353" t="str">
            <v>2HU85AA#UUF</v>
          </cell>
          <cell r="M3353" t="str">
            <v>Foxconn LH</v>
          </cell>
        </row>
        <row r="3354">
          <cell r="D3354" t="str">
            <v>NA/LA</v>
          </cell>
          <cell r="H3354" t="str">
            <v>2HU84AA#ABL</v>
          </cell>
          <cell r="M3354" t="str">
            <v>Foxconn LH</v>
          </cell>
        </row>
        <row r="3355">
          <cell r="D3355" t="str">
            <v>NA/LA</v>
          </cell>
          <cell r="H3355" t="str">
            <v>X6W31AA#ABL</v>
          </cell>
          <cell r="M3355" t="str">
            <v>Foxconn LH</v>
          </cell>
        </row>
        <row r="3356">
          <cell r="D3356" t="str">
            <v>NA/LA</v>
          </cell>
          <cell r="H3356" t="str">
            <v>2HU83AA#ABL</v>
          </cell>
          <cell r="M3356" t="str">
            <v>Foxconn LH</v>
          </cell>
        </row>
        <row r="3357">
          <cell r="D3357" t="str">
            <v>NA/LA</v>
          </cell>
          <cell r="H3357" t="str">
            <v>2HU82AA#ABL</v>
          </cell>
          <cell r="M3357" t="str">
            <v>Foxconn LH</v>
          </cell>
        </row>
        <row r="3358">
          <cell r="D3358" t="str">
            <v>LA</v>
          </cell>
          <cell r="H3358" t="str">
            <v>2V9E6AA#AC4</v>
          </cell>
          <cell r="M3358" t="str">
            <v>Foxconn LH</v>
          </cell>
        </row>
        <row r="3359">
          <cell r="D3359" t="str">
            <v>APJ</v>
          </cell>
          <cell r="H3359" t="str">
            <v>18H24AA#UUF</v>
          </cell>
          <cell r="M3359" t="str">
            <v>Foxconn LH</v>
          </cell>
        </row>
        <row r="3360">
          <cell r="D3360" t="str">
            <v>APJ</v>
          </cell>
          <cell r="H3360" t="str">
            <v>1Y4D0UT#UUF</v>
          </cell>
          <cell r="M3360" t="str">
            <v>Foxconn LH</v>
          </cell>
        </row>
        <row r="3361">
          <cell r="D3361" t="str">
            <v>NA/LA</v>
          </cell>
          <cell r="H3361" t="str">
            <v>758A8AA#ABA</v>
          </cell>
          <cell r="M3361" t="str">
            <v>Foxconn LH</v>
          </cell>
        </row>
        <row r="3362">
          <cell r="D3362" t="str">
            <v>DIB</v>
          </cell>
          <cell r="H3362" t="str">
            <v>M89938-001</v>
          </cell>
          <cell r="M3362" t="str">
            <v>FOX CQ</v>
          </cell>
        </row>
        <row r="3363">
          <cell r="D3363" t="str">
            <v>DIB</v>
          </cell>
          <cell r="H3363" t="str">
            <v>M89938-001</v>
          </cell>
          <cell r="M3363" t="str">
            <v>FOX CQ</v>
          </cell>
        </row>
        <row r="3364">
          <cell r="D3364" t="str">
            <v>DIB</v>
          </cell>
          <cell r="H3364" t="str">
            <v>M89938-001</v>
          </cell>
          <cell r="M3364" t="str">
            <v>FOX CQ</v>
          </cell>
        </row>
        <row r="3365">
          <cell r="D3365" t="str">
            <v>DIB</v>
          </cell>
          <cell r="H3365" t="str">
            <v>M89938-001</v>
          </cell>
          <cell r="M3365" t="str">
            <v>FOX CQ</v>
          </cell>
        </row>
        <row r="3366">
          <cell r="D3366" t="str">
            <v>DIB</v>
          </cell>
          <cell r="H3366" t="str">
            <v>M89938-001</v>
          </cell>
          <cell r="M3366" t="str">
            <v>FOX CQ</v>
          </cell>
        </row>
        <row r="3367">
          <cell r="D3367" t="str">
            <v>DIB</v>
          </cell>
          <cell r="H3367" t="str">
            <v>M89938-001</v>
          </cell>
          <cell r="M3367" t="str">
            <v>FOX CQ</v>
          </cell>
        </row>
        <row r="3368">
          <cell r="D3368" t="str">
            <v>DIB</v>
          </cell>
          <cell r="H3368" t="str">
            <v>M49894-001</v>
          </cell>
          <cell r="M3368" t="str">
            <v>FOX CQ</v>
          </cell>
        </row>
        <row r="3369">
          <cell r="D3369" t="str">
            <v>DIB</v>
          </cell>
          <cell r="H3369" t="str">
            <v>M49894-001</v>
          </cell>
          <cell r="M3369" t="str">
            <v>FOX CQ</v>
          </cell>
        </row>
        <row r="3370">
          <cell r="D3370" t="str">
            <v>DIB</v>
          </cell>
          <cell r="H3370" t="str">
            <v>M89938-001</v>
          </cell>
          <cell r="M3370" t="str">
            <v>FOX CQ</v>
          </cell>
        </row>
        <row r="3371">
          <cell r="D3371" t="str">
            <v>EMEA</v>
          </cell>
          <cell r="H3371" t="str">
            <v>1D0K8AA#AC3</v>
          </cell>
          <cell r="M3371" t="str">
            <v>Foxconn CZ</v>
          </cell>
        </row>
        <row r="3372">
          <cell r="D3372" t="str">
            <v>EMEA</v>
          </cell>
          <cell r="H3372" t="str">
            <v>53X26AA#ABB</v>
          </cell>
          <cell r="M3372" t="str">
            <v>Foxconn CZ</v>
          </cell>
        </row>
        <row r="3373">
          <cell r="D3373" t="str">
            <v>EMEA</v>
          </cell>
          <cell r="H3373" t="str">
            <v>53X27AA</v>
          </cell>
          <cell r="M3373" t="str">
            <v>Foxconn CZ</v>
          </cell>
        </row>
        <row r="3374">
          <cell r="D3374" t="str">
            <v>EMEA</v>
          </cell>
          <cell r="H3374" t="str">
            <v>53X27AA</v>
          </cell>
          <cell r="M3374" t="str">
            <v>Foxconn CZ</v>
          </cell>
        </row>
        <row r="3375">
          <cell r="D3375" t="str">
            <v>EMEA</v>
          </cell>
          <cell r="H3375" t="str">
            <v>53X26AA#ABB</v>
          </cell>
          <cell r="M3375" t="str">
            <v>Foxconn CZ</v>
          </cell>
        </row>
        <row r="3376">
          <cell r="D3376" t="str">
            <v>EMEA</v>
          </cell>
          <cell r="H3376" t="str">
            <v>53X27AA</v>
          </cell>
          <cell r="M3376" t="str">
            <v>Foxconn CZ</v>
          </cell>
        </row>
        <row r="3377">
          <cell r="D3377" t="str">
            <v>EMEA</v>
          </cell>
          <cell r="H3377" t="str">
            <v>6V2J7AA#ABB</v>
          </cell>
          <cell r="M3377" t="str">
            <v>Foxconn CZ</v>
          </cell>
        </row>
        <row r="3378">
          <cell r="D3378" t="str">
            <v>EMEA</v>
          </cell>
          <cell r="H3378" t="str">
            <v>6VY96AA#ABB</v>
          </cell>
          <cell r="M3378" t="str">
            <v>Foxconn CZ</v>
          </cell>
        </row>
        <row r="3379">
          <cell r="D3379" t="str">
            <v>EMEA</v>
          </cell>
          <cell r="H3379" t="str">
            <v>758A9AA#ABB</v>
          </cell>
          <cell r="M3379" t="str">
            <v>Foxconn CZ</v>
          </cell>
        </row>
        <row r="3380">
          <cell r="D3380" t="str">
            <v>EMEA</v>
          </cell>
          <cell r="H3380" t="str">
            <v>7KX11AA#ABB</v>
          </cell>
          <cell r="M3380" t="str">
            <v>Foxconn CZ</v>
          </cell>
        </row>
        <row r="3381">
          <cell r="D3381" t="str">
            <v>EMEA</v>
          </cell>
          <cell r="H3381" t="str">
            <v>7KX12AA#ABB</v>
          </cell>
          <cell r="M3381" t="str">
            <v>Foxconn CZ</v>
          </cell>
        </row>
        <row r="3382">
          <cell r="D3382" t="str">
            <v>EMEA</v>
          </cell>
          <cell r="H3382" t="str">
            <v>V0L79AA#ABB</v>
          </cell>
          <cell r="M3382" t="str">
            <v>Foxconn CZ</v>
          </cell>
        </row>
        <row r="3383">
          <cell r="D3383" t="str">
            <v>EMEA</v>
          </cell>
          <cell r="H3383" t="str">
            <v>X7Q44AA#ABB</v>
          </cell>
          <cell r="M3383" t="str">
            <v>Foxconn CZ</v>
          </cell>
        </row>
        <row r="3384">
          <cell r="D3384" t="str">
            <v>EMEA</v>
          </cell>
          <cell r="H3384" t="str">
            <v>9C2F6AA#ABB</v>
          </cell>
          <cell r="M3384" t="str">
            <v>Foxconn CZ</v>
          </cell>
        </row>
        <row r="3385">
          <cell r="D3385" t="str">
            <v>EMEA</v>
          </cell>
          <cell r="H3385" t="str">
            <v>6V2J7AA#ABB</v>
          </cell>
          <cell r="M3385" t="str">
            <v>Foxconn CZ</v>
          </cell>
        </row>
        <row r="3386">
          <cell r="D3386" t="str">
            <v>EMEA</v>
          </cell>
          <cell r="H3386" t="str">
            <v>77B10AA#ABB</v>
          </cell>
          <cell r="M3386" t="str">
            <v>Foxconn CZ</v>
          </cell>
        </row>
        <row r="3387">
          <cell r="D3387" t="str">
            <v>EMEA</v>
          </cell>
          <cell r="H3387" t="str">
            <v>240J6AA#ABB</v>
          </cell>
          <cell r="M3387" t="str">
            <v>Foxconn CZ</v>
          </cell>
        </row>
        <row r="3388">
          <cell r="D3388" t="str">
            <v>EMEA</v>
          </cell>
          <cell r="H3388" t="str">
            <v>2S9L1AA#ABB</v>
          </cell>
          <cell r="M3388" t="str">
            <v>Foxconn CZ</v>
          </cell>
        </row>
        <row r="3389">
          <cell r="D3389" t="str">
            <v>EMEA</v>
          </cell>
          <cell r="H3389" t="str">
            <v>3FV66AA#ABB</v>
          </cell>
          <cell r="M3389" t="str">
            <v>Foxconn CZ</v>
          </cell>
        </row>
        <row r="3390">
          <cell r="D3390" t="str">
            <v>EMEA</v>
          </cell>
          <cell r="H3390" t="str">
            <v>3V0G9AA#ABB</v>
          </cell>
          <cell r="M3390" t="str">
            <v>Foxconn CZ</v>
          </cell>
        </row>
        <row r="3391">
          <cell r="D3391" t="str">
            <v>EMEA</v>
          </cell>
          <cell r="H3391" t="str">
            <v>4QM14AA#ABB</v>
          </cell>
          <cell r="M3391" t="str">
            <v>Foxconn CZ</v>
          </cell>
        </row>
        <row r="3392">
          <cell r="D3392" t="str">
            <v>EMEA</v>
          </cell>
          <cell r="H3392" t="str">
            <v>4X491AA#AC3</v>
          </cell>
          <cell r="M3392" t="str">
            <v>Foxconn CZ</v>
          </cell>
        </row>
        <row r="3393">
          <cell r="D3393" t="str">
            <v>EMEA</v>
          </cell>
          <cell r="H3393" t="str">
            <v>6E6F0AA#ABB</v>
          </cell>
          <cell r="M3393" t="str">
            <v>Foxconn CZ</v>
          </cell>
        </row>
        <row r="3394">
          <cell r="D3394" t="str">
            <v>EMEA</v>
          </cell>
          <cell r="H3394" t="str">
            <v>6VY96AA#ABB</v>
          </cell>
          <cell r="M3394" t="str">
            <v>Foxconn CZ</v>
          </cell>
        </row>
        <row r="3395">
          <cell r="D3395" t="str">
            <v>EMEA</v>
          </cell>
          <cell r="H3395" t="str">
            <v>7KX12AA#ABB</v>
          </cell>
          <cell r="M3395" t="str">
            <v>Foxconn CZ</v>
          </cell>
        </row>
        <row r="3396">
          <cell r="D3396" t="str">
            <v>EMEA</v>
          </cell>
          <cell r="H3396" t="str">
            <v>9C2F6AA#ABB</v>
          </cell>
          <cell r="M3396" t="str">
            <v>Foxconn CZ</v>
          </cell>
        </row>
        <row r="3397">
          <cell r="D3397" t="str">
            <v>EMEA</v>
          </cell>
          <cell r="H3397" t="str">
            <v>X6W31AA#ABB</v>
          </cell>
          <cell r="M3397" t="str">
            <v>Foxconn CZ</v>
          </cell>
        </row>
        <row r="3398">
          <cell r="D3398" t="str">
            <v>EMEA</v>
          </cell>
          <cell r="H3398" t="str">
            <v>1D0K8AA#AC3</v>
          </cell>
          <cell r="M3398" t="str">
            <v>Foxconn CZ</v>
          </cell>
        </row>
        <row r="3399">
          <cell r="D3399" t="str">
            <v>EMEA</v>
          </cell>
          <cell r="H3399" t="str">
            <v>53X26AA#ABB</v>
          </cell>
          <cell r="M3399" t="str">
            <v>Foxconn CZ</v>
          </cell>
        </row>
        <row r="3400">
          <cell r="D3400" t="str">
            <v>EMEA</v>
          </cell>
          <cell r="H3400" t="str">
            <v>53X26AA#ABB</v>
          </cell>
          <cell r="M3400" t="str">
            <v>Foxconn CZ</v>
          </cell>
        </row>
        <row r="3401">
          <cell r="D3401" t="str">
            <v>EMEA</v>
          </cell>
          <cell r="H3401" t="str">
            <v>53X27AA</v>
          </cell>
          <cell r="M3401" t="str">
            <v>Foxconn CZ</v>
          </cell>
        </row>
        <row r="3402">
          <cell r="D3402" t="str">
            <v>EMEA</v>
          </cell>
          <cell r="H3402" t="str">
            <v>240J6AA#ABB</v>
          </cell>
          <cell r="M3402" t="str">
            <v>Foxconn CZ</v>
          </cell>
        </row>
        <row r="3403">
          <cell r="D3403" t="str">
            <v>EMEA</v>
          </cell>
          <cell r="H3403" t="str">
            <v>2S9L1AA#ABB</v>
          </cell>
          <cell r="M3403" t="str">
            <v>Foxconn CZ</v>
          </cell>
        </row>
        <row r="3404">
          <cell r="D3404" t="str">
            <v>EMEA</v>
          </cell>
          <cell r="H3404" t="str">
            <v>3FV66AA#ABB</v>
          </cell>
          <cell r="M3404" t="str">
            <v>Foxconn CZ</v>
          </cell>
        </row>
        <row r="3405">
          <cell r="D3405" t="str">
            <v>EMEA</v>
          </cell>
          <cell r="H3405" t="str">
            <v>3V0G9AA#ABB</v>
          </cell>
          <cell r="M3405" t="str">
            <v>Foxconn CZ</v>
          </cell>
        </row>
        <row r="3406">
          <cell r="D3406" t="str">
            <v>EMEA</v>
          </cell>
          <cell r="H3406" t="str">
            <v>43N04AA#ABB</v>
          </cell>
          <cell r="M3406" t="str">
            <v>Foxconn CZ</v>
          </cell>
        </row>
        <row r="3407">
          <cell r="D3407" t="str">
            <v>EMEA</v>
          </cell>
          <cell r="H3407" t="str">
            <v>4QM14AA#ABB</v>
          </cell>
          <cell r="M3407" t="str">
            <v>Foxconn CZ</v>
          </cell>
        </row>
        <row r="3408">
          <cell r="D3408" t="str">
            <v>EMEA</v>
          </cell>
          <cell r="H3408" t="str">
            <v>6E6F0AA#ABB</v>
          </cell>
          <cell r="M3408" t="str">
            <v>Foxconn CZ</v>
          </cell>
        </row>
        <row r="3409">
          <cell r="D3409" t="str">
            <v>EMEA</v>
          </cell>
          <cell r="H3409" t="str">
            <v>6V2J7AA#ABB</v>
          </cell>
          <cell r="M3409" t="str">
            <v>Foxconn CZ</v>
          </cell>
        </row>
        <row r="3410">
          <cell r="D3410" t="str">
            <v>EMEA</v>
          </cell>
          <cell r="H3410" t="str">
            <v>6VY96AA#ABB</v>
          </cell>
          <cell r="M3410" t="str">
            <v>Foxconn CZ</v>
          </cell>
        </row>
        <row r="3411">
          <cell r="D3411" t="str">
            <v>EMEA</v>
          </cell>
          <cell r="H3411" t="str">
            <v>758A8AA#ABB</v>
          </cell>
          <cell r="M3411" t="str">
            <v>Foxconn CZ</v>
          </cell>
        </row>
        <row r="3412">
          <cell r="D3412" t="str">
            <v>EMEA</v>
          </cell>
          <cell r="H3412" t="str">
            <v>758A9AA#ABB</v>
          </cell>
          <cell r="M3412" t="str">
            <v>Foxconn CZ</v>
          </cell>
        </row>
        <row r="3413">
          <cell r="D3413" t="str">
            <v>EMEA</v>
          </cell>
          <cell r="H3413" t="str">
            <v>7KX10AA#ABB</v>
          </cell>
          <cell r="M3413" t="str">
            <v>Foxconn CZ</v>
          </cell>
        </row>
        <row r="3414">
          <cell r="D3414" t="str">
            <v>EMEA</v>
          </cell>
          <cell r="H3414" t="str">
            <v>7KX12AA#ABB</v>
          </cell>
          <cell r="M3414" t="str">
            <v>Foxconn CZ</v>
          </cell>
        </row>
        <row r="3415">
          <cell r="D3415" t="str">
            <v>EMEA</v>
          </cell>
          <cell r="H3415" t="str">
            <v>81S67AA#ABB</v>
          </cell>
          <cell r="M3415" t="str">
            <v>Foxconn CZ</v>
          </cell>
        </row>
        <row r="3416">
          <cell r="D3416" t="str">
            <v>EMEA</v>
          </cell>
          <cell r="H3416" t="str">
            <v>822M9UT#ABB</v>
          </cell>
          <cell r="M3416" t="str">
            <v>Foxconn CZ</v>
          </cell>
        </row>
        <row r="3417">
          <cell r="D3417" t="str">
            <v>EMEA</v>
          </cell>
          <cell r="H3417" t="str">
            <v>9C2F7AA#ABB</v>
          </cell>
          <cell r="M3417" t="str">
            <v>Foxconn CZ</v>
          </cell>
        </row>
        <row r="3418">
          <cell r="D3418" t="str">
            <v>EMEA</v>
          </cell>
          <cell r="H3418" t="str">
            <v>V0L79AA#ABB</v>
          </cell>
          <cell r="M3418" t="str">
            <v>Foxconn CZ</v>
          </cell>
        </row>
        <row r="3419">
          <cell r="D3419" t="str">
            <v>EMEA</v>
          </cell>
          <cell r="H3419" t="str">
            <v>X6W31AA#ABB</v>
          </cell>
          <cell r="M3419" t="str">
            <v>Foxconn CZ</v>
          </cell>
        </row>
        <row r="3420">
          <cell r="D3420" t="str">
            <v>EMEA</v>
          </cell>
          <cell r="H3420" t="str">
            <v>X7Q44AA#ABB</v>
          </cell>
          <cell r="M3420" t="str">
            <v>Foxconn CZ</v>
          </cell>
        </row>
        <row r="3421">
          <cell r="D3421" t="str">
            <v>EMEA</v>
          </cell>
          <cell r="H3421" t="str">
            <v>428K6AA</v>
          </cell>
          <cell r="M3421" t="str">
            <v>Foxconn CZ</v>
          </cell>
        </row>
        <row r="3422">
          <cell r="D3422" t="str">
            <v>EMEA</v>
          </cell>
          <cell r="H3422" t="str">
            <v>53X26AA#ABB</v>
          </cell>
          <cell r="M3422" t="str">
            <v>Foxconn CZ</v>
          </cell>
        </row>
        <row r="3423">
          <cell r="D3423" t="str">
            <v>EMEA</v>
          </cell>
          <cell r="H3423" t="str">
            <v>53X27AA</v>
          </cell>
          <cell r="M3423" t="str">
            <v>Foxconn CZ</v>
          </cell>
        </row>
        <row r="3424">
          <cell r="D3424" t="str">
            <v>EMEA</v>
          </cell>
          <cell r="H3424" t="str">
            <v>2S9L1AA#ABB</v>
          </cell>
          <cell r="M3424" t="str">
            <v>Foxconn CZ</v>
          </cell>
        </row>
        <row r="3425">
          <cell r="D3425" t="str">
            <v>EMEA</v>
          </cell>
          <cell r="H3425" t="str">
            <v>9C2F6AA#ABB</v>
          </cell>
          <cell r="M3425" t="str">
            <v>Foxconn CZ</v>
          </cell>
        </row>
        <row r="3426">
          <cell r="D3426" t="str">
            <v>EMEA</v>
          </cell>
          <cell r="H3426" t="str">
            <v>9C2F7AA#ABB</v>
          </cell>
          <cell r="M3426" t="str">
            <v>Foxconn CZ</v>
          </cell>
        </row>
        <row r="3427">
          <cell r="D3427" t="str">
            <v>EMEA</v>
          </cell>
          <cell r="H3427" t="str">
            <v>428H5AA#ABB</v>
          </cell>
          <cell r="M3427" t="str">
            <v>Foxconn CZ</v>
          </cell>
        </row>
        <row r="3428">
          <cell r="D3428" t="str">
            <v>EMEA</v>
          </cell>
          <cell r="H3428" t="str">
            <v>4QM14AA#ABB</v>
          </cell>
          <cell r="M3428" t="str">
            <v>Foxconn CZ</v>
          </cell>
        </row>
        <row r="3429">
          <cell r="D3429" t="str">
            <v>EMEA</v>
          </cell>
          <cell r="H3429" t="str">
            <v>7KX11AA#ABB</v>
          </cell>
          <cell r="M3429" t="str">
            <v>Foxconn CZ</v>
          </cell>
        </row>
        <row r="3430">
          <cell r="D3430" t="str">
            <v>EMEA</v>
          </cell>
          <cell r="H3430" t="str">
            <v>9C2F7AA#ABB</v>
          </cell>
          <cell r="M3430" t="str">
            <v>Foxconn CZ</v>
          </cell>
        </row>
        <row r="3431">
          <cell r="D3431" t="str">
            <v>EMEA</v>
          </cell>
          <cell r="H3431" t="str">
            <v>171D8AA#ABB</v>
          </cell>
          <cell r="M3431" t="str">
            <v>Foxconn CZ</v>
          </cell>
        </row>
        <row r="3432">
          <cell r="D3432" t="str">
            <v>EMEA</v>
          </cell>
          <cell r="H3432" t="str">
            <v>4E407UT#AC3</v>
          </cell>
          <cell r="M3432" t="str">
            <v>Foxconn CZ</v>
          </cell>
        </row>
        <row r="3433">
          <cell r="D3433" t="str">
            <v>EMEA</v>
          </cell>
          <cell r="H3433" t="str">
            <v>53X26AA#ABB</v>
          </cell>
          <cell r="M3433" t="str">
            <v>Foxconn CZ</v>
          </cell>
        </row>
        <row r="3434">
          <cell r="D3434" t="str">
            <v>EMEA</v>
          </cell>
          <cell r="H3434" t="str">
            <v>53X27AA</v>
          </cell>
          <cell r="M3434" t="str">
            <v>Foxconn CZ</v>
          </cell>
        </row>
        <row r="3435">
          <cell r="D3435" t="str">
            <v>EMEA</v>
          </cell>
          <cell r="H3435" t="str">
            <v>81S67AA#ABB</v>
          </cell>
          <cell r="M3435" t="str">
            <v>Foxconn CZ</v>
          </cell>
        </row>
        <row r="3436">
          <cell r="D3436" t="str">
            <v>EMEA</v>
          </cell>
          <cell r="H3436" t="str">
            <v>M82158-001</v>
          </cell>
          <cell r="M3436" t="str">
            <v>Foxconn CZ</v>
          </cell>
        </row>
        <row r="3437">
          <cell r="D3437" t="str">
            <v>EMEA</v>
          </cell>
          <cell r="H3437" t="str">
            <v>9C2F6AA#ABB</v>
          </cell>
          <cell r="M3437" t="str">
            <v>Foxconn CZ</v>
          </cell>
        </row>
        <row r="3438">
          <cell r="D3438" t="str">
            <v>EMEA</v>
          </cell>
          <cell r="H3438" t="str">
            <v>9C2F6AA#ABB</v>
          </cell>
          <cell r="M3438" t="str">
            <v>Foxconn CZ</v>
          </cell>
        </row>
        <row r="3439">
          <cell r="D3439" t="str">
            <v>EMEA</v>
          </cell>
          <cell r="H3439" t="str">
            <v>9C2F7AA#ABB</v>
          </cell>
          <cell r="M3439" t="str">
            <v>Foxconn CZ</v>
          </cell>
        </row>
        <row r="3440">
          <cell r="D3440" t="str">
            <v>EMEA</v>
          </cell>
          <cell r="H3440" t="str">
            <v>240J6AA#ABB</v>
          </cell>
          <cell r="M3440" t="str">
            <v>Foxconn CZ</v>
          </cell>
        </row>
        <row r="3441">
          <cell r="D3441" t="str">
            <v>EMEA</v>
          </cell>
          <cell r="H3441" t="str">
            <v>4E407UT#AC3</v>
          </cell>
          <cell r="M3441" t="str">
            <v>Foxconn CZ</v>
          </cell>
        </row>
        <row r="3442">
          <cell r="D3442" t="str">
            <v>EMEA</v>
          </cell>
          <cell r="H3442" t="str">
            <v>4QM14AA#ABB</v>
          </cell>
          <cell r="M3442" t="str">
            <v>Foxconn CZ</v>
          </cell>
        </row>
        <row r="3443">
          <cell r="D3443" t="str">
            <v>EMEA</v>
          </cell>
          <cell r="H3443" t="str">
            <v>53X26AA#ABB</v>
          </cell>
          <cell r="M3443" t="str">
            <v>Foxconn CZ</v>
          </cell>
        </row>
        <row r="3444">
          <cell r="D3444" t="str">
            <v>EMEA</v>
          </cell>
          <cell r="H3444" t="str">
            <v>53X27AA</v>
          </cell>
          <cell r="M3444" t="str">
            <v>Foxconn CZ</v>
          </cell>
        </row>
        <row r="3445">
          <cell r="D3445" t="str">
            <v>EMEA</v>
          </cell>
          <cell r="H3445" t="str">
            <v>7KX11AA#ABB</v>
          </cell>
          <cell r="M3445" t="str">
            <v>Foxconn CZ</v>
          </cell>
        </row>
        <row r="3446">
          <cell r="D3446" t="str">
            <v>EMEA</v>
          </cell>
          <cell r="H3446" t="str">
            <v>9C2F6AA#ABB</v>
          </cell>
          <cell r="M3446" t="str">
            <v>Foxconn CZ</v>
          </cell>
        </row>
        <row r="3447">
          <cell r="D3447" t="str">
            <v>EMEA</v>
          </cell>
          <cell r="H3447" t="str">
            <v>77B10AA#ABB</v>
          </cell>
          <cell r="M3447" t="str">
            <v>Foxconn CZ</v>
          </cell>
        </row>
        <row r="3448">
          <cell r="D3448" t="str">
            <v>EMEA</v>
          </cell>
          <cell r="H3448" t="str">
            <v>2S9L1AA#ABB</v>
          </cell>
          <cell r="M3448" t="str">
            <v>Foxconn CZ</v>
          </cell>
        </row>
        <row r="3449">
          <cell r="D3449" t="str">
            <v>EMEA</v>
          </cell>
          <cell r="H3449" t="str">
            <v>428K6AA</v>
          </cell>
          <cell r="M3449" t="str">
            <v>Foxconn CZ</v>
          </cell>
        </row>
        <row r="3450">
          <cell r="D3450" t="str">
            <v>EMEA</v>
          </cell>
          <cell r="H3450" t="str">
            <v>4E407UT#AC3</v>
          </cell>
          <cell r="M3450" t="str">
            <v>Foxconn CZ</v>
          </cell>
        </row>
        <row r="3451">
          <cell r="D3451" t="str">
            <v>EMEA</v>
          </cell>
          <cell r="H3451" t="str">
            <v>4QM14AA#ABB</v>
          </cell>
          <cell r="M3451" t="str">
            <v>Foxconn CZ</v>
          </cell>
        </row>
        <row r="3452">
          <cell r="D3452" t="str">
            <v>EMEA</v>
          </cell>
          <cell r="H3452" t="str">
            <v>53X27AA</v>
          </cell>
          <cell r="M3452" t="str">
            <v>Foxconn CZ</v>
          </cell>
        </row>
        <row r="3453">
          <cell r="D3453" t="str">
            <v>EMEA</v>
          </cell>
          <cell r="H3453" t="str">
            <v>758A9AA#ABB</v>
          </cell>
          <cell r="M3453" t="str">
            <v>Foxconn CZ</v>
          </cell>
        </row>
        <row r="3454">
          <cell r="D3454" t="str">
            <v>EMEA</v>
          </cell>
          <cell r="H3454" t="str">
            <v>7KX10AA#ABB</v>
          </cell>
          <cell r="M3454" t="str">
            <v>Foxconn CZ</v>
          </cell>
        </row>
        <row r="3455">
          <cell r="D3455" t="str">
            <v>EMEA</v>
          </cell>
          <cell r="H3455" t="str">
            <v>53X26AA#ABB</v>
          </cell>
          <cell r="M3455" t="str">
            <v>Foxconn CZ</v>
          </cell>
        </row>
        <row r="3456">
          <cell r="D3456" t="str">
            <v>EMEA</v>
          </cell>
          <cell r="H3456" t="str">
            <v>9C2F6AA#ABB</v>
          </cell>
          <cell r="M3456" t="str">
            <v>Foxconn CZ</v>
          </cell>
        </row>
        <row r="3457">
          <cell r="D3457" t="str">
            <v>EMEA</v>
          </cell>
          <cell r="H3457" t="str">
            <v>9C2F7AA#ABB</v>
          </cell>
          <cell r="M3457" t="str">
            <v>Foxconn CZ</v>
          </cell>
        </row>
        <row r="3458">
          <cell r="D3458" t="str">
            <v>EMEA</v>
          </cell>
          <cell r="H3458" t="str">
            <v>240J6AA#ABB</v>
          </cell>
          <cell r="M3458" t="str">
            <v>Foxconn CZ</v>
          </cell>
        </row>
        <row r="3459">
          <cell r="D3459" t="str">
            <v>EMEA</v>
          </cell>
          <cell r="H3459" t="str">
            <v>2S9L1AA#ABB</v>
          </cell>
          <cell r="M3459" t="str">
            <v>Foxconn CZ</v>
          </cell>
        </row>
        <row r="3460">
          <cell r="D3460" t="str">
            <v>EMEA</v>
          </cell>
          <cell r="H3460" t="str">
            <v>3FV66AA#ABB</v>
          </cell>
          <cell r="M3460" t="str">
            <v>Foxconn CZ</v>
          </cell>
        </row>
        <row r="3461">
          <cell r="D3461" t="str">
            <v>EMEA</v>
          </cell>
          <cell r="H3461" t="str">
            <v>3V0G9AA#ABB</v>
          </cell>
          <cell r="M3461" t="str">
            <v>Foxconn CZ</v>
          </cell>
        </row>
        <row r="3462">
          <cell r="D3462" t="str">
            <v>EMEA</v>
          </cell>
          <cell r="H3462" t="str">
            <v>428K6AA</v>
          </cell>
          <cell r="M3462" t="str">
            <v>Foxconn CZ</v>
          </cell>
        </row>
        <row r="3463">
          <cell r="D3463" t="str">
            <v>EMEA</v>
          </cell>
          <cell r="H3463" t="str">
            <v>4E407UT#AC3</v>
          </cell>
          <cell r="M3463" t="str">
            <v>Foxconn CZ</v>
          </cell>
        </row>
        <row r="3464">
          <cell r="D3464" t="str">
            <v>EMEA</v>
          </cell>
          <cell r="H3464" t="str">
            <v>4QM14AA#ABB</v>
          </cell>
          <cell r="M3464" t="str">
            <v>Foxconn CZ</v>
          </cell>
        </row>
        <row r="3465">
          <cell r="D3465" t="str">
            <v>EMEA</v>
          </cell>
          <cell r="H3465" t="str">
            <v>4VY82AA#ABB</v>
          </cell>
          <cell r="M3465" t="str">
            <v>Foxconn CZ</v>
          </cell>
        </row>
        <row r="3466">
          <cell r="D3466" t="str">
            <v>EMEA</v>
          </cell>
          <cell r="H3466" t="str">
            <v>6E6F0AA#ABB</v>
          </cell>
          <cell r="M3466" t="str">
            <v>Foxconn CZ</v>
          </cell>
        </row>
        <row r="3467">
          <cell r="D3467" t="str">
            <v>EMEA</v>
          </cell>
          <cell r="H3467" t="str">
            <v>6V2J7AA#ABB</v>
          </cell>
          <cell r="M3467" t="str">
            <v>Foxconn CZ</v>
          </cell>
        </row>
        <row r="3468">
          <cell r="D3468" t="str">
            <v>EMEA</v>
          </cell>
          <cell r="H3468" t="str">
            <v>6VY96AA#ABB</v>
          </cell>
          <cell r="M3468" t="str">
            <v>Foxconn CZ</v>
          </cell>
        </row>
        <row r="3469">
          <cell r="D3469" t="str">
            <v>EMEA</v>
          </cell>
          <cell r="H3469" t="str">
            <v>758A8AA#ABB</v>
          </cell>
          <cell r="M3469" t="str">
            <v>Foxconn CZ</v>
          </cell>
        </row>
        <row r="3470">
          <cell r="D3470" t="str">
            <v>EMEA</v>
          </cell>
          <cell r="H3470" t="str">
            <v>758A9AA#ABB</v>
          </cell>
          <cell r="M3470" t="str">
            <v>Foxconn CZ</v>
          </cell>
        </row>
        <row r="3471">
          <cell r="D3471" t="str">
            <v>EMEA</v>
          </cell>
          <cell r="H3471" t="str">
            <v>7KX11AA#ABB</v>
          </cell>
          <cell r="M3471" t="str">
            <v>Foxconn CZ</v>
          </cell>
        </row>
        <row r="3472">
          <cell r="D3472" t="str">
            <v>EMEA</v>
          </cell>
          <cell r="H3472" t="str">
            <v>V0L80AA#ABB</v>
          </cell>
          <cell r="M3472" t="str">
            <v>Foxconn CZ</v>
          </cell>
        </row>
        <row r="3473">
          <cell r="D3473" t="str">
            <v>EMEA</v>
          </cell>
          <cell r="H3473" t="str">
            <v>3FV66AA#ABB</v>
          </cell>
          <cell r="M3473" t="str">
            <v>Foxconn CZ</v>
          </cell>
        </row>
        <row r="3474">
          <cell r="D3474" t="str">
            <v>EMEA</v>
          </cell>
          <cell r="H3474" t="str">
            <v>3V0G9AA#ABB</v>
          </cell>
          <cell r="M3474" t="str">
            <v>Foxconn CZ</v>
          </cell>
        </row>
        <row r="3475">
          <cell r="D3475" t="str">
            <v>EMEA</v>
          </cell>
          <cell r="H3475" t="str">
            <v>4E407UT#AC3</v>
          </cell>
          <cell r="M3475" t="str">
            <v>Foxconn CZ</v>
          </cell>
        </row>
        <row r="3476">
          <cell r="D3476" t="str">
            <v>EMEA</v>
          </cell>
          <cell r="H3476" t="str">
            <v>4QM14AA#ABB</v>
          </cell>
          <cell r="M3476" t="str">
            <v>Foxconn CZ</v>
          </cell>
        </row>
        <row r="3477">
          <cell r="D3477" t="str">
            <v>EMEA</v>
          </cell>
          <cell r="H3477" t="str">
            <v>6VY96AA#ABB</v>
          </cell>
          <cell r="M3477" t="str">
            <v>Foxconn CZ</v>
          </cell>
        </row>
        <row r="3478">
          <cell r="D3478" t="str">
            <v>EMEA</v>
          </cell>
          <cell r="H3478" t="str">
            <v>758A8AA#ABB</v>
          </cell>
          <cell r="M3478" t="str">
            <v>Foxconn CZ</v>
          </cell>
        </row>
        <row r="3479">
          <cell r="D3479" t="str">
            <v>EMEA</v>
          </cell>
          <cell r="H3479" t="str">
            <v>77B10AA#ABB</v>
          </cell>
          <cell r="M3479" t="str">
            <v>Foxconn CZ</v>
          </cell>
        </row>
        <row r="3480">
          <cell r="D3480" t="str">
            <v>EMEA</v>
          </cell>
          <cell r="H3480" t="str">
            <v>758A8AA#ABB</v>
          </cell>
          <cell r="M3480" t="str">
            <v>Foxconn CZ</v>
          </cell>
        </row>
        <row r="3481">
          <cell r="D3481" t="str">
            <v>EMEA</v>
          </cell>
          <cell r="H3481" t="str">
            <v>53X27AA</v>
          </cell>
          <cell r="M3481" t="str">
            <v>Foxconn CZ</v>
          </cell>
        </row>
        <row r="3482">
          <cell r="D3482" t="str">
            <v>EMEA</v>
          </cell>
          <cell r="H3482" t="str">
            <v>758A8AA#ABB</v>
          </cell>
          <cell r="M3482" t="str">
            <v>Foxconn CZ</v>
          </cell>
        </row>
        <row r="3483">
          <cell r="D3483" t="str">
            <v>EMEA</v>
          </cell>
          <cell r="H3483" t="str">
            <v>8R3U1UT#ABB</v>
          </cell>
          <cell r="M3483" t="str">
            <v>Foxconn CZ</v>
          </cell>
        </row>
        <row r="3484">
          <cell r="D3484" t="str">
            <v>EMEA</v>
          </cell>
          <cell r="H3484" t="str">
            <v>V0L79AA#ABB</v>
          </cell>
          <cell r="M3484" t="str">
            <v>Foxconn CZ</v>
          </cell>
        </row>
        <row r="3485">
          <cell r="D3485" t="str">
            <v>EMEA</v>
          </cell>
          <cell r="H3485" t="str">
            <v>2S9L1AA#ABB</v>
          </cell>
          <cell r="M3485" t="str">
            <v>Foxconn CZ</v>
          </cell>
        </row>
        <row r="3486">
          <cell r="D3486" t="str">
            <v>EMEA</v>
          </cell>
          <cell r="H3486" t="str">
            <v>53X27AA</v>
          </cell>
          <cell r="M3486" t="str">
            <v>Foxconn CZ</v>
          </cell>
        </row>
        <row r="3487">
          <cell r="D3487" t="str">
            <v>EMEA</v>
          </cell>
          <cell r="H3487" t="str">
            <v>240J6AA#ABB</v>
          </cell>
          <cell r="M3487" t="str">
            <v>Foxconn CZ</v>
          </cell>
        </row>
        <row r="3488">
          <cell r="D3488" t="str">
            <v>EMEA</v>
          </cell>
          <cell r="H3488" t="str">
            <v>2S9L1AA#ABB</v>
          </cell>
          <cell r="M3488" t="str">
            <v>Foxconn CZ</v>
          </cell>
        </row>
        <row r="3489">
          <cell r="D3489" t="str">
            <v>EMEA</v>
          </cell>
          <cell r="H3489" t="str">
            <v>428K6AA</v>
          </cell>
          <cell r="M3489" t="str">
            <v>Foxconn CZ</v>
          </cell>
        </row>
        <row r="3490">
          <cell r="D3490" t="str">
            <v>EMEA</v>
          </cell>
          <cell r="H3490" t="str">
            <v>43N04AA#ABB</v>
          </cell>
          <cell r="M3490" t="str">
            <v>Foxconn CZ</v>
          </cell>
        </row>
        <row r="3491">
          <cell r="D3491" t="str">
            <v>EMEA</v>
          </cell>
          <cell r="H3491" t="str">
            <v>6V2J7AA#ABB</v>
          </cell>
          <cell r="M3491" t="str">
            <v>Foxconn CZ</v>
          </cell>
        </row>
        <row r="3492">
          <cell r="D3492" t="str">
            <v>EMEA</v>
          </cell>
          <cell r="H3492" t="str">
            <v>758A9AA#ABB</v>
          </cell>
          <cell r="M3492" t="str">
            <v>Foxconn CZ</v>
          </cell>
        </row>
        <row r="3493">
          <cell r="D3493" t="str">
            <v>EMEA</v>
          </cell>
          <cell r="H3493" t="str">
            <v>V0L82AA#ABB</v>
          </cell>
          <cell r="M3493" t="str">
            <v>Foxconn CZ</v>
          </cell>
        </row>
        <row r="3494">
          <cell r="D3494" t="str">
            <v>EMEA</v>
          </cell>
          <cell r="H3494" t="str">
            <v>X6W31AA#ABB</v>
          </cell>
          <cell r="M3494" t="str">
            <v>Foxconn CZ</v>
          </cell>
        </row>
        <row r="3495">
          <cell r="D3495" t="str">
            <v>EMEA</v>
          </cell>
          <cell r="H3495" t="str">
            <v>1D0K8AA#AC3</v>
          </cell>
          <cell r="M3495" t="str">
            <v>Foxconn CZ</v>
          </cell>
        </row>
        <row r="3496">
          <cell r="D3496" t="str">
            <v>EMEA</v>
          </cell>
          <cell r="H3496" t="str">
            <v>240J6AA#ABB</v>
          </cell>
          <cell r="M3496" t="str">
            <v>Foxconn CZ</v>
          </cell>
        </row>
        <row r="3497">
          <cell r="D3497" t="str">
            <v>EMEA</v>
          </cell>
          <cell r="H3497" t="str">
            <v>2S9L1AA#ABB</v>
          </cell>
          <cell r="M3497" t="str">
            <v>Foxconn CZ</v>
          </cell>
        </row>
        <row r="3498">
          <cell r="D3498" t="str">
            <v>EMEA</v>
          </cell>
          <cell r="H3498" t="str">
            <v>3V0G9AA#ABB</v>
          </cell>
          <cell r="M3498" t="str">
            <v>Foxconn CZ</v>
          </cell>
        </row>
        <row r="3499">
          <cell r="D3499" t="str">
            <v>EMEA</v>
          </cell>
          <cell r="H3499" t="str">
            <v>6E6F0AA#ABB</v>
          </cell>
          <cell r="M3499" t="str">
            <v>Foxconn CZ</v>
          </cell>
        </row>
        <row r="3500">
          <cell r="D3500" t="str">
            <v>EMEA</v>
          </cell>
          <cell r="H3500" t="str">
            <v>6VY96AA#ABB</v>
          </cell>
          <cell r="M3500" t="str">
            <v>Foxconn CZ</v>
          </cell>
        </row>
        <row r="3501">
          <cell r="D3501" t="str">
            <v>EMEA</v>
          </cell>
          <cell r="H3501" t="str">
            <v>758A8AA#ABB</v>
          </cell>
          <cell r="M3501" t="str">
            <v>Foxconn CZ</v>
          </cell>
        </row>
        <row r="3502">
          <cell r="D3502" t="str">
            <v>EMEA</v>
          </cell>
          <cell r="H3502" t="str">
            <v>758A9AA#ABB</v>
          </cell>
          <cell r="M3502" t="str">
            <v>Foxconn CZ</v>
          </cell>
        </row>
        <row r="3503">
          <cell r="D3503" t="str">
            <v>EMEA</v>
          </cell>
          <cell r="H3503" t="str">
            <v>793F9AA#ABB</v>
          </cell>
          <cell r="M3503" t="str">
            <v>Foxconn CZ</v>
          </cell>
        </row>
        <row r="3504">
          <cell r="D3504" t="str">
            <v>EMEA</v>
          </cell>
          <cell r="H3504" t="str">
            <v>81S67AA#ABB</v>
          </cell>
          <cell r="M3504" t="str">
            <v>Foxconn CZ</v>
          </cell>
        </row>
        <row r="3505">
          <cell r="D3505" t="str">
            <v>EMEA</v>
          </cell>
          <cell r="H3505" t="str">
            <v>2HU82AA#ABB</v>
          </cell>
          <cell r="M3505" t="str">
            <v>Foxconn CZ</v>
          </cell>
        </row>
        <row r="3506">
          <cell r="D3506" t="str">
            <v>EMEA</v>
          </cell>
          <cell r="H3506" t="str">
            <v>2S9L1AA#ABB</v>
          </cell>
          <cell r="M3506" t="str">
            <v>Foxconn CZ</v>
          </cell>
        </row>
        <row r="3507">
          <cell r="D3507" t="str">
            <v>EMEA</v>
          </cell>
          <cell r="H3507" t="str">
            <v>3V0G9AA#ABB</v>
          </cell>
          <cell r="M3507" t="str">
            <v>Foxconn CZ</v>
          </cell>
        </row>
        <row r="3508">
          <cell r="D3508" t="str">
            <v>EMEA</v>
          </cell>
          <cell r="H3508" t="str">
            <v>428K6AA</v>
          </cell>
          <cell r="M3508" t="str">
            <v>Foxconn CZ</v>
          </cell>
        </row>
        <row r="3509">
          <cell r="D3509" t="str">
            <v>EMEA</v>
          </cell>
          <cell r="H3509" t="str">
            <v>4E407UT#AC3</v>
          </cell>
          <cell r="M3509" t="str">
            <v>Foxconn CZ</v>
          </cell>
        </row>
        <row r="3510">
          <cell r="D3510" t="str">
            <v>EMEA</v>
          </cell>
          <cell r="H3510" t="str">
            <v>6V2J7AA#ABB</v>
          </cell>
          <cell r="M3510" t="str">
            <v>Foxconn CZ</v>
          </cell>
        </row>
        <row r="3511">
          <cell r="D3511" t="str">
            <v>EMEA</v>
          </cell>
          <cell r="H3511" t="str">
            <v>6VY96AA#ABB</v>
          </cell>
          <cell r="M3511" t="str">
            <v>Foxconn CZ</v>
          </cell>
        </row>
        <row r="3512">
          <cell r="D3512" t="str">
            <v>EMEA</v>
          </cell>
          <cell r="H3512" t="str">
            <v>758A8AA#ABB</v>
          </cell>
          <cell r="M3512" t="str">
            <v>Foxconn CZ</v>
          </cell>
        </row>
        <row r="3513">
          <cell r="D3513" t="str">
            <v>EMEA</v>
          </cell>
          <cell r="H3513" t="str">
            <v>7KX12AA#ABB</v>
          </cell>
          <cell r="M3513" t="str">
            <v>Foxconn CZ</v>
          </cell>
        </row>
        <row r="3514">
          <cell r="D3514" t="str">
            <v>EMEA</v>
          </cell>
          <cell r="H3514" t="str">
            <v>AJ7C2AA#ABB</v>
          </cell>
          <cell r="M3514" t="str">
            <v>Foxconn CZ</v>
          </cell>
        </row>
        <row r="3515">
          <cell r="D3515" t="str">
            <v>EMEA</v>
          </cell>
          <cell r="H3515" t="str">
            <v>V0L79AA#ABB</v>
          </cell>
          <cell r="M3515" t="str">
            <v>Foxconn CZ</v>
          </cell>
        </row>
        <row r="3516">
          <cell r="D3516" t="str">
            <v>EMEA</v>
          </cell>
          <cell r="H3516" t="str">
            <v>X6W31AA#ABB</v>
          </cell>
          <cell r="M3516" t="str">
            <v>Foxconn CZ</v>
          </cell>
        </row>
        <row r="3517">
          <cell r="D3517" t="str">
            <v>EMEA</v>
          </cell>
          <cell r="H3517" t="str">
            <v>6VY96AA#ABB</v>
          </cell>
          <cell r="M3517" t="str">
            <v>Foxconn CZ</v>
          </cell>
        </row>
        <row r="3518">
          <cell r="D3518" t="str">
            <v>EMEA</v>
          </cell>
          <cell r="H3518" t="str">
            <v>81S67AA#ABB</v>
          </cell>
          <cell r="M3518" t="str">
            <v>Foxconn CZ</v>
          </cell>
        </row>
        <row r="3519">
          <cell r="D3519" t="str">
            <v>EMEA</v>
          </cell>
          <cell r="H3519" t="str">
            <v>6V2J7AA#ABB</v>
          </cell>
          <cell r="M3519" t="str">
            <v>Foxconn CZ</v>
          </cell>
        </row>
        <row r="3520">
          <cell r="D3520" t="str">
            <v>EMEA</v>
          </cell>
          <cell r="H3520" t="str">
            <v>2S9L1AA#ABB</v>
          </cell>
          <cell r="M3520" t="str">
            <v>Foxconn CZ</v>
          </cell>
        </row>
        <row r="3521">
          <cell r="D3521" t="str">
            <v>EMEA</v>
          </cell>
          <cell r="H3521" t="str">
            <v>3V0G9AA#ABB</v>
          </cell>
          <cell r="M3521" t="str">
            <v>Foxconn CZ</v>
          </cell>
        </row>
        <row r="3522">
          <cell r="D3522" t="str">
            <v>EMEA</v>
          </cell>
          <cell r="H3522" t="str">
            <v>428K6AA</v>
          </cell>
          <cell r="M3522" t="str">
            <v>Foxconn CZ</v>
          </cell>
        </row>
        <row r="3523">
          <cell r="D3523" t="str">
            <v>EMEA</v>
          </cell>
          <cell r="H3523" t="str">
            <v>4E407UT#AC3</v>
          </cell>
          <cell r="M3523" t="str">
            <v>Foxconn CZ</v>
          </cell>
        </row>
        <row r="3524">
          <cell r="D3524" t="str">
            <v>EMEA</v>
          </cell>
          <cell r="H3524" t="str">
            <v>4QM14AA#ABB</v>
          </cell>
          <cell r="M3524" t="str">
            <v>Foxconn CZ</v>
          </cell>
        </row>
        <row r="3525">
          <cell r="D3525" t="str">
            <v>EMEA</v>
          </cell>
          <cell r="H3525" t="str">
            <v>53X27AA</v>
          </cell>
          <cell r="M3525" t="str">
            <v>Foxconn CZ</v>
          </cell>
        </row>
        <row r="3526">
          <cell r="D3526" t="str">
            <v>EMEA</v>
          </cell>
          <cell r="H3526" t="str">
            <v>6E6F0AA#ABB</v>
          </cell>
          <cell r="M3526" t="str">
            <v>Foxconn CZ</v>
          </cell>
        </row>
        <row r="3527">
          <cell r="D3527" t="str">
            <v>EMEA</v>
          </cell>
          <cell r="H3527" t="str">
            <v>6VY96AA#ABB</v>
          </cell>
          <cell r="M3527" t="str">
            <v>Foxconn CZ</v>
          </cell>
        </row>
        <row r="3528">
          <cell r="D3528" t="str">
            <v>EMEA</v>
          </cell>
          <cell r="H3528" t="str">
            <v>77B10AA#ABB</v>
          </cell>
          <cell r="M3528" t="str">
            <v>Foxconn CZ</v>
          </cell>
        </row>
        <row r="3529">
          <cell r="D3529" t="str">
            <v>EMEA</v>
          </cell>
          <cell r="H3529" t="str">
            <v>81S67AA#ABB</v>
          </cell>
          <cell r="M3529" t="str">
            <v>Foxconn CZ</v>
          </cell>
        </row>
        <row r="3530">
          <cell r="D3530" t="str">
            <v>EMEA</v>
          </cell>
          <cell r="H3530" t="str">
            <v>8R3U1UT#ABB</v>
          </cell>
          <cell r="M3530" t="str">
            <v>Foxconn CZ</v>
          </cell>
        </row>
        <row r="3531">
          <cell r="D3531" t="str">
            <v>EMEA</v>
          </cell>
          <cell r="H3531" t="str">
            <v>7KX10AA#ABB</v>
          </cell>
          <cell r="M3531" t="str">
            <v>Foxconn CZ</v>
          </cell>
        </row>
        <row r="3532">
          <cell r="D3532" t="str">
            <v>EMEA</v>
          </cell>
          <cell r="H3532" t="str">
            <v>7KX11AA#ABB</v>
          </cell>
          <cell r="M3532" t="str">
            <v>Foxconn CZ</v>
          </cell>
        </row>
        <row r="3533">
          <cell r="D3533" t="str">
            <v>EMEA</v>
          </cell>
          <cell r="H3533" t="str">
            <v>171D8AA#ABB</v>
          </cell>
          <cell r="M3533" t="str">
            <v>Foxconn CZ</v>
          </cell>
        </row>
        <row r="3534">
          <cell r="D3534" t="str">
            <v>EMEA</v>
          </cell>
          <cell r="H3534" t="str">
            <v>2S9L1AA#ABB</v>
          </cell>
          <cell r="M3534" t="str">
            <v>Foxconn CZ</v>
          </cell>
        </row>
        <row r="3535">
          <cell r="D3535" t="str">
            <v>EMEA</v>
          </cell>
          <cell r="H3535" t="str">
            <v>3V0G9AA#ABB</v>
          </cell>
          <cell r="M3535" t="str">
            <v>Foxconn CZ</v>
          </cell>
        </row>
        <row r="3536">
          <cell r="D3536" t="str">
            <v>EMEA</v>
          </cell>
          <cell r="H3536" t="str">
            <v>4E407UT#AC3</v>
          </cell>
          <cell r="M3536" t="str">
            <v>Foxconn CZ</v>
          </cell>
        </row>
        <row r="3537">
          <cell r="D3537" t="str">
            <v>EMEA</v>
          </cell>
          <cell r="H3537" t="str">
            <v>4QM14AA#ABB</v>
          </cell>
          <cell r="M3537" t="str">
            <v>Foxconn CZ</v>
          </cell>
        </row>
        <row r="3538">
          <cell r="D3538" t="str">
            <v>EMEA</v>
          </cell>
          <cell r="H3538" t="str">
            <v>6V2J7AA#ABB</v>
          </cell>
          <cell r="M3538" t="str">
            <v>Foxconn CZ</v>
          </cell>
        </row>
        <row r="3539">
          <cell r="D3539" t="str">
            <v>EMEA</v>
          </cell>
          <cell r="H3539" t="str">
            <v>6VY96AA#ABB</v>
          </cell>
          <cell r="M3539" t="str">
            <v>Foxconn CZ</v>
          </cell>
        </row>
        <row r="3540">
          <cell r="D3540" t="str">
            <v>EMEA</v>
          </cell>
          <cell r="H3540" t="str">
            <v>V0L79AA#ABB</v>
          </cell>
          <cell r="M3540" t="str">
            <v>Foxconn CZ</v>
          </cell>
        </row>
        <row r="3541">
          <cell r="D3541" t="str">
            <v>EMEA</v>
          </cell>
          <cell r="H3541" t="str">
            <v>X6W31AA#ABB</v>
          </cell>
          <cell r="M3541" t="str">
            <v>Foxconn CZ</v>
          </cell>
        </row>
        <row r="3542">
          <cell r="D3542" t="str">
            <v>EMEA</v>
          </cell>
          <cell r="H3542" t="str">
            <v>X7Q44AA#ABB</v>
          </cell>
          <cell r="M3542" t="str">
            <v>Foxconn CZ</v>
          </cell>
        </row>
        <row r="3543">
          <cell r="D3543" t="str">
            <v>EMEA</v>
          </cell>
          <cell r="H3543" t="str">
            <v>3FV66AA#ABB</v>
          </cell>
          <cell r="M3543" t="str">
            <v>Foxconn CZ</v>
          </cell>
        </row>
        <row r="3544">
          <cell r="D3544" t="str">
            <v>EMEA</v>
          </cell>
          <cell r="H3544" t="str">
            <v>9DF28AA#AC3</v>
          </cell>
          <cell r="M3544" t="str">
            <v>Flextronics CZ</v>
          </cell>
        </row>
        <row r="3545">
          <cell r="D3545" t="str">
            <v>EMEA</v>
          </cell>
          <cell r="H3545" t="str">
            <v>3L1E7AA#AC3</v>
          </cell>
          <cell r="M3545" t="str">
            <v>Flextronics CZ</v>
          </cell>
        </row>
        <row r="3546">
          <cell r="D3546" t="str">
            <v>EMEA</v>
          </cell>
          <cell r="H3546" t="str">
            <v>3L1F0AA#AC3</v>
          </cell>
          <cell r="M3546" t="str">
            <v>Flextronics CZ</v>
          </cell>
        </row>
        <row r="3547">
          <cell r="D3547" t="str">
            <v>EMEA</v>
          </cell>
          <cell r="H3547" t="str">
            <v>1Y4D0UT#AC3</v>
          </cell>
          <cell r="M3547" t="str">
            <v>Flextronics CZ</v>
          </cell>
        </row>
        <row r="3548">
          <cell r="D3548" t="str">
            <v>EMEA</v>
          </cell>
          <cell r="H3548" t="str">
            <v>1Y4D0UT#AC3</v>
          </cell>
          <cell r="M3548" t="str">
            <v>Flextronics CZ</v>
          </cell>
        </row>
        <row r="3549">
          <cell r="D3549" t="str">
            <v>EMEA</v>
          </cell>
          <cell r="H3549" t="str">
            <v>9T5A9AA#AC3</v>
          </cell>
          <cell r="M3549" t="str">
            <v>Flextronics CZ</v>
          </cell>
        </row>
        <row r="3550">
          <cell r="D3550" t="str">
            <v>EMEA</v>
          </cell>
          <cell r="H3550" t="str">
            <v>9T5B1AA#AC3</v>
          </cell>
          <cell r="M3550" t="str">
            <v>Flextronics CZ</v>
          </cell>
        </row>
        <row r="3551">
          <cell r="D3551" t="str">
            <v>EMEA</v>
          </cell>
          <cell r="H3551" t="str">
            <v>9T5B0UT#AC3</v>
          </cell>
          <cell r="M3551" t="str">
            <v>Flextronics CZ</v>
          </cell>
        </row>
        <row r="3552">
          <cell r="D3552" t="str">
            <v>EMEA</v>
          </cell>
          <cell r="H3552" t="str">
            <v>664R5AA#AC3</v>
          </cell>
          <cell r="M3552" t="str">
            <v>Flextronics CZ</v>
          </cell>
        </row>
        <row r="3553">
          <cell r="D3553" t="str">
            <v>EMEA</v>
          </cell>
          <cell r="H3553" t="str">
            <v>240J7AA#AC3</v>
          </cell>
          <cell r="M3553" t="str">
            <v>Flextronics CZ</v>
          </cell>
        </row>
        <row r="3554">
          <cell r="D3554" t="str">
            <v>EMEA</v>
          </cell>
          <cell r="H3554" t="str">
            <v>18H24AA#AC3</v>
          </cell>
          <cell r="M3554" t="str">
            <v>Flextronics CZ</v>
          </cell>
        </row>
        <row r="3555">
          <cell r="D3555" t="str">
            <v>EMEA</v>
          </cell>
          <cell r="H3555" t="str">
            <v>1Y4D0UT#AC3</v>
          </cell>
          <cell r="M3555" t="str">
            <v>Flextronics CZ</v>
          </cell>
        </row>
        <row r="3556">
          <cell r="D3556" t="str">
            <v>EMEA</v>
          </cell>
          <cell r="H3556" t="str">
            <v>18H24AA#AC3</v>
          </cell>
          <cell r="M3556" t="str">
            <v>Flextronics CZ</v>
          </cell>
        </row>
        <row r="3557">
          <cell r="D3557" t="str">
            <v>EMEA</v>
          </cell>
          <cell r="H3557" t="str">
            <v>9DF28AA#AC3</v>
          </cell>
          <cell r="M3557" t="str">
            <v>Flextronics CZ</v>
          </cell>
        </row>
        <row r="3558">
          <cell r="D3558" t="str">
            <v>EMEA</v>
          </cell>
          <cell r="H3558" t="str">
            <v>3L1E7AA#AC3</v>
          </cell>
          <cell r="M3558" t="str">
            <v>Flextronics CZ</v>
          </cell>
        </row>
        <row r="3559">
          <cell r="D3559" t="str">
            <v>EMEA</v>
          </cell>
          <cell r="H3559" t="str">
            <v>9T5A9AA#AC3</v>
          </cell>
          <cell r="M3559" t="str">
            <v>Flextronics CZ</v>
          </cell>
        </row>
        <row r="3560">
          <cell r="D3560" t="str">
            <v>EMEA</v>
          </cell>
          <cell r="H3560" t="str">
            <v>9T5B2AA#AC3</v>
          </cell>
          <cell r="M3560" t="str">
            <v>Flextronics CZ</v>
          </cell>
        </row>
        <row r="3561">
          <cell r="D3561" t="str">
            <v>EMEA</v>
          </cell>
          <cell r="H3561" t="str">
            <v>9T5B0UT#AC3</v>
          </cell>
          <cell r="M3561" t="str">
            <v>Flextronics CZ</v>
          </cell>
        </row>
        <row r="3562">
          <cell r="D3562" t="str">
            <v>EMEA</v>
          </cell>
          <cell r="H3562" t="str">
            <v>18H24AA#AC3</v>
          </cell>
          <cell r="M3562" t="str">
            <v>Flextronics CZ</v>
          </cell>
        </row>
        <row r="3563">
          <cell r="D3563" t="str">
            <v>EMEA</v>
          </cell>
          <cell r="H3563" t="str">
            <v>3L1E7AA#AC3</v>
          </cell>
          <cell r="M3563" t="str">
            <v>Flextronics CZ</v>
          </cell>
        </row>
        <row r="3564">
          <cell r="D3564" t="str">
            <v>EMEA</v>
          </cell>
          <cell r="H3564" t="str">
            <v>3L1F0AA#AC3</v>
          </cell>
          <cell r="M3564" t="str">
            <v>Flextronics CZ</v>
          </cell>
        </row>
        <row r="3565">
          <cell r="D3565" t="str">
            <v>EMEA</v>
          </cell>
          <cell r="H3565" t="str">
            <v>3L1F0AA#AC3</v>
          </cell>
          <cell r="M3565" t="str">
            <v>Flextronics CZ</v>
          </cell>
        </row>
        <row r="3566">
          <cell r="D3566" t="str">
            <v>EMEA</v>
          </cell>
          <cell r="H3566" t="str">
            <v>664R5AA#AC3</v>
          </cell>
          <cell r="M3566" t="str">
            <v>Flextronics CZ</v>
          </cell>
        </row>
        <row r="3567">
          <cell r="D3567" t="str">
            <v>EMEA</v>
          </cell>
          <cell r="H3567" t="str">
            <v>240J7AA#AC3</v>
          </cell>
          <cell r="M3567" t="str">
            <v>Flextronics CZ</v>
          </cell>
        </row>
        <row r="3568">
          <cell r="D3568" t="str">
            <v>EMEA</v>
          </cell>
          <cell r="H3568" t="str">
            <v>2V9E6AA#AC3</v>
          </cell>
          <cell r="M3568" t="str">
            <v>Flextronics CZ</v>
          </cell>
        </row>
        <row r="3569">
          <cell r="D3569" t="str">
            <v>EMEA</v>
          </cell>
          <cell r="H3569" t="str">
            <v>805T2AA#AC3</v>
          </cell>
          <cell r="M3569" t="str">
            <v>Flextronics CZ</v>
          </cell>
        </row>
        <row r="3570">
          <cell r="D3570" t="str">
            <v>EMEA</v>
          </cell>
          <cell r="H3570" t="str">
            <v>1Y4D0UT#AC3</v>
          </cell>
          <cell r="M3570" t="str">
            <v>Flextronics CZ</v>
          </cell>
        </row>
        <row r="3571">
          <cell r="D3571" t="str">
            <v>EMEA</v>
          </cell>
          <cell r="H3571" t="str">
            <v>1Y4D0UT#AC3</v>
          </cell>
          <cell r="M3571" t="str">
            <v>Flextronics CZ</v>
          </cell>
        </row>
        <row r="3572">
          <cell r="D3572" t="str">
            <v>EMEA</v>
          </cell>
          <cell r="H3572" t="str">
            <v>9T5A9AA#AC3</v>
          </cell>
          <cell r="M3572" t="str">
            <v>Flextronics CZ</v>
          </cell>
        </row>
        <row r="3573">
          <cell r="D3573" t="str">
            <v>EMEA</v>
          </cell>
          <cell r="H3573" t="str">
            <v>9T5B1AA#AC3</v>
          </cell>
          <cell r="M3573" t="str">
            <v>Flextronics CZ</v>
          </cell>
        </row>
        <row r="3574">
          <cell r="D3574" t="str">
            <v>EMEA</v>
          </cell>
          <cell r="H3574" t="str">
            <v>9T5B0UT#AC3</v>
          </cell>
          <cell r="M3574" t="str">
            <v>Flextronics CZ</v>
          </cell>
        </row>
        <row r="3575">
          <cell r="D3575" t="str">
            <v>EMEA</v>
          </cell>
          <cell r="H3575" t="str">
            <v>240J7AA#AC3</v>
          </cell>
          <cell r="M3575" t="str">
            <v>Flextronics CZ</v>
          </cell>
        </row>
        <row r="3576">
          <cell r="D3576" t="str">
            <v>EMEA</v>
          </cell>
          <cell r="H3576" t="str">
            <v>18H24AA#AC3</v>
          </cell>
          <cell r="M3576" t="str">
            <v>Flextronics CZ</v>
          </cell>
        </row>
        <row r="3577">
          <cell r="D3577" t="str">
            <v>EMEA</v>
          </cell>
          <cell r="H3577" t="str">
            <v>3L1E7AA#AC3</v>
          </cell>
          <cell r="M3577" t="str">
            <v>Flextronics CZ</v>
          </cell>
        </row>
        <row r="3578">
          <cell r="D3578" t="str">
            <v>EMEA</v>
          </cell>
          <cell r="H3578" t="str">
            <v>3L1F0AA#AC3</v>
          </cell>
          <cell r="M3578" t="str">
            <v>Flextronics CZ</v>
          </cell>
        </row>
        <row r="3579">
          <cell r="D3579" t="str">
            <v>EMEA</v>
          </cell>
          <cell r="H3579" t="str">
            <v>664R5AA#AC3</v>
          </cell>
          <cell r="M3579" t="str">
            <v>Flextronics CZ</v>
          </cell>
        </row>
        <row r="3580">
          <cell r="D3580" t="str">
            <v>EMEA</v>
          </cell>
          <cell r="H3580" t="str">
            <v>240J7AA#AC3</v>
          </cell>
          <cell r="M3580" t="str">
            <v>Flextronics CZ</v>
          </cell>
        </row>
        <row r="3581">
          <cell r="D3581" t="str">
            <v>EMEA</v>
          </cell>
          <cell r="H3581" t="str">
            <v>1Y4D0UT#AC3</v>
          </cell>
          <cell r="M3581" t="str">
            <v>Flextronics CZ</v>
          </cell>
        </row>
        <row r="3582">
          <cell r="D3582" t="str">
            <v>EMEA</v>
          </cell>
          <cell r="H3582" t="str">
            <v>1Y4D0UT#AC3</v>
          </cell>
          <cell r="M3582" t="str">
            <v>Flextronics CZ</v>
          </cell>
        </row>
        <row r="3583">
          <cell r="D3583" t="str">
            <v>EMEA</v>
          </cell>
          <cell r="H3583" t="str">
            <v>9T5B0UT#AC3</v>
          </cell>
          <cell r="M3583" t="str">
            <v>Flextronics CZ</v>
          </cell>
        </row>
        <row r="3584">
          <cell r="D3584" t="str">
            <v>EMEA</v>
          </cell>
          <cell r="H3584" t="str">
            <v>3L1F0AA#AC3</v>
          </cell>
          <cell r="M3584" t="str">
            <v>Flextronics CZ</v>
          </cell>
        </row>
        <row r="3585">
          <cell r="D3585" t="str">
            <v>EMEA</v>
          </cell>
          <cell r="H3585" t="str">
            <v>18H24AA#AC3</v>
          </cell>
          <cell r="M3585" t="str">
            <v>Flextronics CZ</v>
          </cell>
        </row>
        <row r="3586">
          <cell r="D3586" t="str">
            <v>EMEA</v>
          </cell>
          <cell r="H3586" t="str">
            <v>3L1E7AA#AC3</v>
          </cell>
          <cell r="M3586" t="str">
            <v>Flextronics CZ</v>
          </cell>
        </row>
        <row r="3587">
          <cell r="D3587" t="str">
            <v>EMEA</v>
          </cell>
          <cell r="H3587" t="str">
            <v>3L1F0AA#AC3</v>
          </cell>
          <cell r="M3587" t="str">
            <v>Flextronics CZ</v>
          </cell>
        </row>
        <row r="3588">
          <cell r="D3588" t="str">
            <v>EMEA</v>
          </cell>
          <cell r="H3588" t="str">
            <v>1Y4D0UT#AC3</v>
          </cell>
          <cell r="M3588" t="str">
            <v>Flextronics CZ</v>
          </cell>
        </row>
        <row r="3589">
          <cell r="D3589" t="str">
            <v>EMEA</v>
          </cell>
          <cell r="H3589" t="str">
            <v>9T5A9AA#AC3</v>
          </cell>
          <cell r="M3589" t="str">
            <v>Flextronics CZ</v>
          </cell>
        </row>
        <row r="3590">
          <cell r="D3590" t="str">
            <v>EMEA</v>
          </cell>
          <cell r="H3590" t="str">
            <v>9T5B0UT#AC3</v>
          </cell>
          <cell r="M3590" t="str">
            <v>Flextronics CZ</v>
          </cell>
        </row>
        <row r="3591">
          <cell r="D3591" t="str">
            <v>EMEA</v>
          </cell>
          <cell r="H3591" t="str">
            <v>18H24AA#AC3</v>
          </cell>
          <cell r="M3591" t="str">
            <v>Flextronics CZ</v>
          </cell>
        </row>
        <row r="3592">
          <cell r="D3592" t="str">
            <v>EMEA</v>
          </cell>
          <cell r="H3592" t="str">
            <v>18H24AA#AC3</v>
          </cell>
          <cell r="M3592" t="str">
            <v>Flextronics CZ</v>
          </cell>
        </row>
        <row r="3593">
          <cell r="D3593" t="str">
            <v>EMEA</v>
          </cell>
          <cell r="H3593" t="str">
            <v>3L1E7AA#AC3</v>
          </cell>
          <cell r="M3593" t="str">
            <v>Flextronics CZ</v>
          </cell>
        </row>
        <row r="3594">
          <cell r="D3594" t="str">
            <v>EMEA</v>
          </cell>
          <cell r="H3594" t="str">
            <v>3L1F0AA#AC3</v>
          </cell>
          <cell r="M3594" t="str">
            <v>Flextronics CZ</v>
          </cell>
        </row>
        <row r="3595">
          <cell r="D3595" t="str">
            <v>EMEA</v>
          </cell>
          <cell r="H3595" t="str">
            <v>3L1F0AA#AC3</v>
          </cell>
          <cell r="M3595" t="str">
            <v>Flextronics CZ</v>
          </cell>
        </row>
        <row r="3596">
          <cell r="D3596" t="str">
            <v>EMEA</v>
          </cell>
          <cell r="H3596" t="str">
            <v>1Y4D0UT#AC3</v>
          </cell>
          <cell r="M3596" t="str">
            <v>Flextronics CZ</v>
          </cell>
        </row>
        <row r="3597">
          <cell r="D3597" t="str">
            <v>EMEA</v>
          </cell>
          <cell r="H3597" t="str">
            <v>664R5AA#AC3</v>
          </cell>
          <cell r="M3597" t="str">
            <v>Flextronics CZ</v>
          </cell>
        </row>
        <row r="3598">
          <cell r="D3598" t="str">
            <v>EMEA</v>
          </cell>
          <cell r="H3598" t="str">
            <v>240J7AA#AC3</v>
          </cell>
          <cell r="M3598" t="str">
            <v>Flextronics CZ</v>
          </cell>
        </row>
        <row r="3599">
          <cell r="D3599" t="str">
            <v>EMEA</v>
          </cell>
          <cell r="H3599" t="str">
            <v>240J7AA#AC3</v>
          </cell>
          <cell r="M3599" t="str">
            <v>Flextronics CZ</v>
          </cell>
        </row>
        <row r="3600">
          <cell r="D3600" t="str">
            <v>EMEA</v>
          </cell>
          <cell r="H3600" t="str">
            <v>2V9E6AA#AC3</v>
          </cell>
          <cell r="M3600" t="str">
            <v>Flextronics CZ</v>
          </cell>
        </row>
        <row r="3601">
          <cell r="D3601" t="str">
            <v>EMEA</v>
          </cell>
          <cell r="H3601" t="str">
            <v>9T5B2AA#AC3</v>
          </cell>
          <cell r="M3601" t="str">
            <v>Flextronics CZ</v>
          </cell>
        </row>
        <row r="3602">
          <cell r="D3602" t="str">
            <v>EMEA</v>
          </cell>
          <cell r="H3602" t="str">
            <v>9T5B0UT#AC3</v>
          </cell>
          <cell r="M3602" t="str">
            <v>Flextronics CZ</v>
          </cell>
        </row>
        <row r="3603">
          <cell r="D3603" t="str">
            <v>EMEA</v>
          </cell>
          <cell r="H3603" t="str">
            <v>805T2AA#AC3</v>
          </cell>
          <cell r="M3603" t="str">
            <v>Flextronics CZ</v>
          </cell>
        </row>
        <row r="3604">
          <cell r="D3604" t="str">
            <v>EMEA</v>
          </cell>
          <cell r="H3604" t="str">
            <v>18H24AA#AC3</v>
          </cell>
          <cell r="M3604" t="str">
            <v>Flextronics CZ</v>
          </cell>
        </row>
        <row r="3605">
          <cell r="D3605" t="str">
            <v>EMEA</v>
          </cell>
          <cell r="H3605" t="str">
            <v>9T5A9AA#AC3</v>
          </cell>
          <cell r="M3605" t="str">
            <v>Flextronics CZ</v>
          </cell>
        </row>
        <row r="3606">
          <cell r="D3606" t="str">
            <v>EMEA</v>
          </cell>
          <cell r="H3606" t="str">
            <v>18H24AA#AC3</v>
          </cell>
          <cell r="M3606" t="str">
            <v>Flextronics CZ</v>
          </cell>
        </row>
        <row r="3607">
          <cell r="D3607" t="str">
            <v>EMEA</v>
          </cell>
          <cell r="H3607" t="str">
            <v>3L1F0AA#AC3</v>
          </cell>
          <cell r="M3607" t="str">
            <v>Flextronics CZ</v>
          </cell>
        </row>
        <row r="3608">
          <cell r="D3608" t="str">
            <v>EMEA</v>
          </cell>
          <cell r="H3608" t="str">
            <v>664R5AA#AC3</v>
          </cell>
          <cell r="M3608" t="str">
            <v>Flextronics CZ</v>
          </cell>
        </row>
        <row r="3609">
          <cell r="D3609" t="str">
            <v>EMEA</v>
          </cell>
          <cell r="H3609" t="str">
            <v>240J7AA#AC3</v>
          </cell>
          <cell r="M3609" t="str">
            <v>Flextronics CZ</v>
          </cell>
        </row>
        <row r="3610">
          <cell r="D3610" t="str">
            <v>EMEA</v>
          </cell>
          <cell r="H3610" t="str">
            <v>1Y4D0UT#AC3</v>
          </cell>
          <cell r="M3610" t="str">
            <v>Flextronics CZ</v>
          </cell>
        </row>
        <row r="3611">
          <cell r="D3611" t="str">
            <v>EMEA</v>
          </cell>
          <cell r="H3611" t="str">
            <v>9T5B0UT#AC3</v>
          </cell>
          <cell r="M3611" t="str">
            <v>Flextronics CZ</v>
          </cell>
        </row>
        <row r="3612">
          <cell r="D3612" t="str">
            <v>EMEA</v>
          </cell>
          <cell r="H3612" t="str">
            <v>18H24AA#AC3</v>
          </cell>
          <cell r="M3612" t="str">
            <v>Flextronics CZ</v>
          </cell>
        </row>
        <row r="3613">
          <cell r="D3613" t="str">
            <v>EMEA</v>
          </cell>
          <cell r="H3613" t="str">
            <v>1Y4D0UT#AC3</v>
          </cell>
          <cell r="M3613" t="str">
            <v>Flextronics CZ</v>
          </cell>
        </row>
        <row r="3614">
          <cell r="D3614" t="str">
            <v>EMEA</v>
          </cell>
          <cell r="H3614" t="str">
            <v>18H24AA#AC3</v>
          </cell>
          <cell r="M3614" t="str">
            <v>Flextronics CZ</v>
          </cell>
        </row>
        <row r="3615">
          <cell r="D3615" t="str">
            <v>EMEA</v>
          </cell>
          <cell r="H3615" t="str">
            <v>18H24AA#AC3</v>
          </cell>
          <cell r="M3615" t="str">
            <v>Flextronics CZ</v>
          </cell>
        </row>
        <row r="3616">
          <cell r="D3616" t="str">
            <v>EMEA</v>
          </cell>
          <cell r="H3616" t="str">
            <v>9DF28AA#AC3</v>
          </cell>
          <cell r="M3616" t="str">
            <v>Flextronics CZ</v>
          </cell>
        </row>
        <row r="3617">
          <cell r="D3617" t="str">
            <v>EMEA</v>
          </cell>
          <cell r="H3617" t="str">
            <v>3L1E7AA#AC3</v>
          </cell>
          <cell r="M3617" t="str">
            <v>Flextronics CZ</v>
          </cell>
        </row>
        <row r="3618">
          <cell r="D3618" t="str">
            <v>EMEA</v>
          </cell>
          <cell r="H3618" t="str">
            <v>240J7AA#AC3</v>
          </cell>
          <cell r="M3618" t="str">
            <v>Flextronics CZ</v>
          </cell>
        </row>
        <row r="3619">
          <cell r="D3619" t="str">
            <v>EMEA</v>
          </cell>
          <cell r="H3619" t="str">
            <v>2V9E6AA#AC3</v>
          </cell>
          <cell r="M3619" t="str">
            <v>Flextronics CZ</v>
          </cell>
        </row>
        <row r="3620">
          <cell r="D3620" t="str">
            <v>EMEA</v>
          </cell>
          <cell r="H3620" t="str">
            <v>1Y4D0UT#AC3</v>
          </cell>
          <cell r="M3620" t="str">
            <v>Flextronics CZ</v>
          </cell>
        </row>
        <row r="3621">
          <cell r="D3621" t="str">
            <v>EMEA</v>
          </cell>
          <cell r="H3621" t="str">
            <v>9T5A9AA#AC3</v>
          </cell>
          <cell r="M3621" t="str">
            <v>Flextronics CZ</v>
          </cell>
        </row>
        <row r="3622">
          <cell r="D3622" t="str">
            <v>EMEA</v>
          </cell>
          <cell r="H3622" t="str">
            <v>18H24AA#AC3</v>
          </cell>
          <cell r="M3622" t="str">
            <v>Flextronics CZ</v>
          </cell>
        </row>
        <row r="3623">
          <cell r="D3623" t="str">
            <v>EMEA</v>
          </cell>
          <cell r="H3623" t="str">
            <v>3L1E7AA#AC3</v>
          </cell>
          <cell r="M3623" t="str">
            <v>Flextronics CZ</v>
          </cell>
        </row>
        <row r="3624">
          <cell r="D3624" t="str">
            <v>EMEA</v>
          </cell>
          <cell r="H3624" t="str">
            <v>240J7AA#AC3</v>
          </cell>
          <cell r="M3624" t="str">
            <v>Flextronics CZ</v>
          </cell>
        </row>
        <row r="3625">
          <cell r="D3625" t="str">
            <v>EMEA</v>
          </cell>
          <cell r="H3625" t="str">
            <v>1Y4D0UT#AC3</v>
          </cell>
          <cell r="M3625" t="str">
            <v>Flextronics CZ</v>
          </cell>
        </row>
        <row r="3626">
          <cell r="D3626" t="str">
            <v>EMEA</v>
          </cell>
          <cell r="H3626" t="str">
            <v>18H24AA#AC3</v>
          </cell>
          <cell r="M3626" t="str">
            <v>Flextronics CZ</v>
          </cell>
        </row>
        <row r="3627">
          <cell r="D3627" t="str">
            <v>EMEA</v>
          </cell>
          <cell r="H3627" t="str">
            <v>3L1E7AA#AC3</v>
          </cell>
          <cell r="M3627" t="str">
            <v>Flextronics CZ</v>
          </cell>
        </row>
        <row r="3628">
          <cell r="D3628" t="str">
            <v>EMEA</v>
          </cell>
          <cell r="H3628" t="str">
            <v>2V9E6AA#AC3</v>
          </cell>
          <cell r="M3628" t="str">
            <v>Flextronics CZ</v>
          </cell>
        </row>
        <row r="3629">
          <cell r="D3629" t="str">
            <v>EMEA</v>
          </cell>
          <cell r="H3629" t="str">
            <v>805T2AA#AC3</v>
          </cell>
          <cell r="M3629" t="str">
            <v>Flextronics CZ</v>
          </cell>
        </row>
        <row r="3630">
          <cell r="D3630" t="str">
            <v>EMEA</v>
          </cell>
          <cell r="H3630" t="str">
            <v>1Y4D0UT#AC3</v>
          </cell>
          <cell r="M3630" t="str">
            <v>Flextronics CZ</v>
          </cell>
        </row>
        <row r="3631">
          <cell r="D3631" t="str">
            <v>EMEA</v>
          </cell>
          <cell r="H3631" t="str">
            <v>1Y4D0UT#AC3</v>
          </cell>
          <cell r="M3631" t="str">
            <v>Flextronics CZ</v>
          </cell>
        </row>
        <row r="3632">
          <cell r="D3632" t="str">
            <v>EMEA</v>
          </cell>
          <cell r="H3632" t="str">
            <v>9T5A9AA#AC3</v>
          </cell>
          <cell r="M3632" t="str">
            <v>Flextronics CZ</v>
          </cell>
        </row>
        <row r="3633">
          <cell r="D3633" t="str">
            <v>EMEA</v>
          </cell>
          <cell r="H3633" t="str">
            <v>9T5B0UT#AC3</v>
          </cell>
          <cell r="M3633" t="str">
            <v>Flextronics CZ</v>
          </cell>
        </row>
        <row r="3634">
          <cell r="D3634" t="str">
            <v>EMEA</v>
          </cell>
          <cell r="H3634" t="str">
            <v>664R5AA#AC3</v>
          </cell>
          <cell r="M3634" t="str">
            <v>Flextronics CZ</v>
          </cell>
        </row>
        <row r="3635">
          <cell r="D3635" t="str">
            <v>EMEA</v>
          </cell>
          <cell r="H3635" t="str">
            <v>2V9E6AA#AC3</v>
          </cell>
          <cell r="M3635" t="str">
            <v>Flextronics CZ</v>
          </cell>
        </row>
        <row r="3636">
          <cell r="D3636" t="str">
            <v>EMEA</v>
          </cell>
          <cell r="H3636" t="str">
            <v>1Y4D0UT#AC3</v>
          </cell>
          <cell r="M3636" t="str">
            <v>Flextronics CZ</v>
          </cell>
        </row>
        <row r="3637">
          <cell r="D3637" t="str">
            <v>EMEA</v>
          </cell>
          <cell r="H3637" t="str">
            <v>1Y4D0UT#AC3</v>
          </cell>
          <cell r="M3637" t="str">
            <v>Flextronics CZ</v>
          </cell>
        </row>
        <row r="3638">
          <cell r="D3638" t="str">
            <v>EMEA</v>
          </cell>
          <cell r="H3638" t="str">
            <v>1Y4D0UT#AC3</v>
          </cell>
          <cell r="M3638" t="str">
            <v>Flextronics CZ</v>
          </cell>
        </row>
        <row r="3639">
          <cell r="D3639" t="str">
            <v>EMEA</v>
          </cell>
          <cell r="H3639" t="str">
            <v>9T5B0UT#AC3</v>
          </cell>
          <cell r="M3639" t="str">
            <v>Flextronics CZ</v>
          </cell>
        </row>
        <row r="3640">
          <cell r="D3640" t="str">
            <v>DTO</v>
          </cell>
          <cell r="H3640" t="str">
            <v>P33437-BL1</v>
          </cell>
          <cell r="M3640" t="str">
            <v>Flextronics CZ</v>
          </cell>
        </row>
        <row r="3641">
          <cell r="D3641" t="str">
            <v>DTO</v>
          </cell>
          <cell r="H3641" t="str">
            <v>P33437-BL1</v>
          </cell>
          <cell r="M3641" t="str">
            <v>Flextronics CZ</v>
          </cell>
        </row>
        <row r="3642">
          <cell r="D3642" t="str">
            <v>EMEA</v>
          </cell>
          <cell r="H3642" t="str">
            <v>9DF28AA#AC3</v>
          </cell>
          <cell r="M3642" t="str">
            <v>Flextronics CZ</v>
          </cell>
        </row>
        <row r="3643">
          <cell r="D3643" t="str">
            <v>EMEA</v>
          </cell>
          <cell r="H3643" t="str">
            <v>9T5B0UT#AC3</v>
          </cell>
          <cell r="M3643" t="str">
            <v>Flextronics CZ</v>
          </cell>
        </row>
        <row r="3644">
          <cell r="D3644" t="str">
            <v>EMEA</v>
          </cell>
          <cell r="H3644" t="str">
            <v>18H24AA#AC3</v>
          </cell>
          <cell r="M3644" t="str">
            <v>Flextronics CZ</v>
          </cell>
        </row>
        <row r="3645">
          <cell r="D3645" t="str">
            <v>EMEA</v>
          </cell>
          <cell r="H3645" t="str">
            <v>664R5AA#AC3</v>
          </cell>
          <cell r="M3645" t="str">
            <v>Flextronics CZ</v>
          </cell>
        </row>
        <row r="3646">
          <cell r="D3646" t="str">
            <v>EMEA</v>
          </cell>
          <cell r="H3646" t="str">
            <v>240J7AA#AC3</v>
          </cell>
          <cell r="M3646" t="str">
            <v>Flextronics CZ</v>
          </cell>
        </row>
        <row r="3647">
          <cell r="D3647" t="str">
            <v>EMEA</v>
          </cell>
          <cell r="H3647" t="str">
            <v>2V9E6AA#AC3</v>
          </cell>
          <cell r="M3647" t="str">
            <v>Flextronics CZ</v>
          </cell>
        </row>
        <row r="3648">
          <cell r="D3648" t="str">
            <v>EMEA</v>
          </cell>
          <cell r="H3648" t="str">
            <v>1Y4D0UT#AC3</v>
          </cell>
          <cell r="M3648" t="str">
            <v>Flextronics CZ</v>
          </cell>
        </row>
        <row r="3649">
          <cell r="D3649" t="str">
            <v>EMEA</v>
          </cell>
          <cell r="H3649" t="str">
            <v>9T5A9AA#AC3</v>
          </cell>
          <cell r="M3649" t="str">
            <v>Flextronics CZ</v>
          </cell>
        </row>
        <row r="3650">
          <cell r="D3650" t="str">
            <v>DTO</v>
          </cell>
          <cell r="H3650" t="str">
            <v>P33437-BL1</v>
          </cell>
          <cell r="M3650" t="str">
            <v>Flextronics CZ</v>
          </cell>
        </row>
        <row r="3651">
          <cell r="D3651" t="str">
            <v>DTO</v>
          </cell>
          <cell r="H3651" t="str">
            <v>P33437-BL1</v>
          </cell>
          <cell r="M3651" t="str">
            <v>Flextronics CZ</v>
          </cell>
        </row>
        <row r="3652">
          <cell r="D3652" t="str">
            <v>DTO</v>
          </cell>
          <cell r="H3652" t="str">
            <v>P33437-BL1</v>
          </cell>
          <cell r="M3652" t="str">
            <v>Flextronics CZ</v>
          </cell>
        </row>
        <row r="3653">
          <cell r="D3653" t="str">
            <v>EMEA</v>
          </cell>
          <cell r="H3653" t="str">
            <v>18H24AA#AC3</v>
          </cell>
          <cell r="M3653" t="str">
            <v>Flextronics CZ</v>
          </cell>
        </row>
        <row r="3654">
          <cell r="D3654" t="str">
            <v>EMEA</v>
          </cell>
          <cell r="H3654" t="str">
            <v>3L1E7AA#AC3</v>
          </cell>
          <cell r="M3654" t="str">
            <v>Flextronics CZ</v>
          </cell>
        </row>
        <row r="3655">
          <cell r="D3655" t="str">
            <v>EMEA</v>
          </cell>
          <cell r="H3655" t="str">
            <v>664R5AA#AC3</v>
          </cell>
          <cell r="M3655" t="str">
            <v>Flextronics CZ</v>
          </cell>
        </row>
        <row r="3656">
          <cell r="D3656" t="str">
            <v>EMEA</v>
          </cell>
          <cell r="H3656" t="str">
            <v>240J7AA#AC3</v>
          </cell>
          <cell r="M3656" t="str">
            <v>Flextronics CZ</v>
          </cell>
        </row>
        <row r="3657">
          <cell r="D3657" t="str">
            <v>EMEA</v>
          </cell>
          <cell r="H3657" t="str">
            <v>2V9E6AA#AC3</v>
          </cell>
          <cell r="M3657" t="str">
            <v>Flextronics CZ</v>
          </cell>
        </row>
        <row r="3658">
          <cell r="D3658" t="str">
            <v>EMEA</v>
          </cell>
          <cell r="H3658" t="str">
            <v>1Y4D0UT#AC3</v>
          </cell>
          <cell r="M3658" t="str">
            <v>Flextronics CZ</v>
          </cell>
        </row>
        <row r="3659">
          <cell r="D3659" t="str">
            <v>EMEA</v>
          </cell>
          <cell r="H3659" t="str">
            <v>1Y4D0UT#AC3</v>
          </cell>
          <cell r="M3659" t="str">
            <v>Flextronics CZ</v>
          </cell>
        </row>
        <row r="3660">
          <cell r="D3660" t="str">
            <v>EMEA</v>
          </cell>
          <cell r="H3660" t="str">
            <v>18H24AA#AC3</v>
          </cell>
          <cell r="M3660" t="str">
            <v>Flextronics CZ</v>
          </cell>
        </row>
        <row r="3661">
          <cell r="D3661" t="str">
            <v>EMEA</v>
          </cell>
          <cell r="H3661" t="str">
            <v>18H24AA#AC3</v>
          </cell>
          <cell r="M3661" t="str">
            <v>Flextronics CZ</v>
          </cell>
        </row>
        <row r="3662">
          <cell r="D3662" t="str">
            <v>EMEA</v>
          </cell>
          <cell r="H3662" t="str">
            <v>3L1E7AA#AC3</v>
          </cell>
          <cell r="M3662" t="str">
            <v>Flextronics CZ</v>
          </cell>
        </row>
        <row r="3663">
          <cell r="D3663" t="str">
            <v>EMEA</v>
          </cell>
          <cell r="H3663" t="str">
            <v>664R5AA#AC3</v>
          </cell>
          <cell r="M3663" t="str">
            <v>Flextronics CZ</v>
          </cell>
        </row>
        <row r="3664">
          <cell r="D3664" t="str">
            <v>EMEA</v>
          </cell>
          <cell r="H3664" t="str">
            <v>240J7AA#AC3</v>
          </cell>
          <cell r="M3664" t="str">
            <v>Flextronics CZ</v>
          </cell>
        </row>
        <row r="3665">
          <cell r="D3665" t="str">
            <v>EMEA</v>
          </cell>
          <cell r="H3665" t="str">
            <v>2V9E6AA#AC3</v>
          </cell>
          <cell r="M3665" t="str">
            <v>Flextronics CZ</v>
          </cell>
        </row>
        <row r="3666">
          <cell r="D3666" t="str">
            <v>EMEA</v>
          </cell>
          <cell r="H3666" t="str">
            <v>1Y4D0UT#AC3</v>
          </cell>
          <cell r="M3666" t="str">
            <v>Flextronics CZ</v>
          </cell>
        </row>
        <row r="3667">
          <cell r="D3667" t="str">
            <v>EMEA</v>
          </cell>
          <cell r="H3667" t="str">
            <v>1Y4D0UT#AC3</v>
          </cell>
          <cell r="M3667" t="str">
            <v>Flextronics CZ</v>
          </cell>
        </row>
        <row r="3668">
          <cell r="D3668" t="str">
            <v>EMEA</v>
          </cell>
          <cell r="H3668" t="str">
            <v>9T5A9AA#AC3</v>
          </cell>
          <cell r="M3668" t="str">
            <v>Flextronics CZ</v>
          </cell>
        </row>
        <row r="3669">
          <cell r="D3669" t="str">
            <v>EMEA</v>
          </cell>
          <cell r="H3669" t="str">
            <v>9DF28AA#AC3</v>
          </cell>
          <cell r="M3669" t="str">
            <v>Flextronics CZ</v>
          </cell>
        </row>
        <row r="3670">
          <cell r="D3670" t="str">
            <v>EMEA</v>
          </cell>
          <cell r="H3670" t="str">
            <v>3L1F0AA#AC3</v>
          </cell>
          <cell r="M3670" t="str">
            <v>Flextronics CZ</v>
          </cell>
        </row>
        <row r="3671">
          <cell r="D3671" t="str">
            <v>EMEA</v>
          </cell>
          <cell r="H3671" t="str">
            <v>240J7AA#AC3</v>
          </cell>
          <cell r="M3671" t="str">
            <v>Flextronics CZ</v>
          </cell>
        </row>
        <row r="3672">
          <cell r="D3672" t="str">
            <v>EMEA</v>
          </cell>
          <cell r="H3672" t="str">
            <v>2V9E6AA#AC3</v>
          </cell>
          <cell r="M3672" t="str">
            <v>Flextronics CZ</v>
          </cell>
        </row>
        <row r="3673">
          <cell r="D3673" t="str">
            <v>EMEA</v>
          </cell>
          <cell r="H3673" t="str">
            <v>1Y4D0UT#AC3</v>
          </cell>
          <cell r="M3673" t="str">
            <v>Flextronics CZ</v>
          </cell>
        </row>
        <row r="3674">
          <cell r="D3674" t="str">
            <v>EMEA</v>
          </cell>
          <cell r="H3674" t="str">
            <v>1Y4D0UT#AC3</v>
          </cell>
          <cell r="M3674" t="str">
            <v>Flextronics CZ</v>
          </cell>
        </row>
        <row r="3675">
          <cell r="D3675" t="str">
            <v>EMEA</v>
          </cell>
          <cell r="H3675" t="str">
            <v>9T5B0UT#AC3</v>
          </cell>
          <cell r="M3675" t="str">
            <v>Flextronics CZ</v>
          </cell>
        </row>
        <row r="3676">
          <cell r="D3676" t="str">
            <v>DTO</v>
          </cell>
          <cell r="H3676" t="str">
            <v>P33437-BL1</v>
          </cell>
          <cell r="M3676" t="str">
            <v>Flextronics CZ</v>
          </cell>
        </row>
        <row r="3677">
          <cell r="D3677" t="str">
            <v>EMEA</v>
          </cell>
          <cell r="H3677" t="str">
            <v>18H24AA#AC3</v>
          </cell>
          <cell r="M3677" t="str">
            <v>Flextronics CZ</v>
          </cell>
        </row>
        <row r="3678">
          <cell r="D3678" t="str">
            <v>EMEA</v>
          </cell>
          <cell r="H3678" t="str">
            <v>3L1E7AA#AC3</v>
          </cell>
          <cell r="M3678" t="str">
            <v>Flextronics CZ</v>
          </cell>
        </row>
        <row r="3679">
          <cell r="D3679" t="str">
            <v>EMEA</v>
          </cell>
          <cell r="H3679" t="str">
            <v>664R5AA#AC3</v>
          </cell>
          <cell r="M3679" t="str">
            <v>Flextronics CZ</v>
          </cell>
        </row>
        <row r="3680">
          <cell r="D3680" t="str">
            <v>EMEA</v>
          </cell>
          <cell r="H3680" t="str">
            <v>1Y4D0UT#AC3</v>
          </cell>
          <cell r="M3680" t="str">
            <v>Flextronics CZ</v>
          </cell>
        </row>
        <row r="3681">
          <cell r="D3681" t="str">
            <v>EMEA</v>
          </cell>
          <cell r="H3681" t="str">
            <v>9T5A9AA#AC3</v>
          </cell>
          <cell r="M3681" t="str">
            <v>Flextronics CZ</v>
          </cell>
        </row>
        <row r="3682">
          <cell r="D3682" t="str">
            <v>EMEA</v>
          </cell>
          <cell r="H3682" t="str">
            <v>9T5B0UT#AC3</v>
          </cell>
          <cell r="M3682" t="str">
            <v>Flextronics CZ</v>
          </cell>
        </row>
        <row r="3683">
          <cell r="D3683" t="str">
            <v>EMEA</v>
          </cell>
          <cell r="H3683" t="str">
            <v>9T5B0UT#AC3</v>
          </cell>
          <cell r="M3683" t="str">
            <v>Flextronics CZ</v>
          </cell>
        </row>
        <row r="3684">
          <cell r="D3684" t="str">
            <v>DTO</v>
          </cell>
          <cell r="H3684" t="str">
            <v>P33437-BL1</v>
          </cell>
          <cell r="M3684" t="str">
            <v>Flextronics CZ</v>
          </cell>
        </row>
        <row r="3685">
          <cell r="D3685" t="str">
            <v>EMEA</v>
          </cell>
          <cell r="H3685" t="str">
            <v>18H24AA#AC3</v>
          </cell>
          <cell r="M3685" t="str">
            <v>Flextronics CZ</v>
          </cell>
        </row>
        <row r="3686">
          <cell r="D3686" t="str">
            <v>EMEA</v>
          </cell>
          <cell r="H3686" t="str">
            <v>1Y4D0UT#AC3</v>
          </cell>
          <cell r="M3686" t="str">
            <v>Flextronics CZ</v>
          </cell>
        </row>
        <row r="3687">
          <cell r="D3687" t="str">
            <v>EMEA</v>
          </cell>
          <cell r="H3687" t="str">
            <v>9T5B0UT#AC3</v>
          </cell>
          <cell r="M3687" t="str">
            <v>Flextronics CZ</v>
          </cell>
        </row>
        <row r="3688">
          <cell r="D3688" t="str">
            <v>DTO</v>
          </cell>
          <cell r="H3688" t="str">
            <v>P33437-BL1</v>
          </cell>
          <cell r="M3688" t="str">
            <v>Flextronics CZ</v>
          </cell>
        </row>
        <row r="3689">
          <cell r="D3689" t="str">
            <v>EMEA</v>
          </cell>
          <cell r="H3689" t="str">
            <v>18H24AA#AC3</v>
          </cell>
          <cell r="M3689" t="str">
            <v>Flextronics CZ</v>
          </cell>
        </row>
        <row r="3690">
          <cell r="D3690" t="str">
            <v>EMEA</v>
          </cell>
          <cell r="H3690" t="str">
            <v>3L1E7AA#AC3</v>
          </cell>
          <cell r="M3690" t="str">
            <v>Flextronics CZ</v>
          </cell>
        </row>
        <row r="3691">
          <cell r="D3691" t="str">
            <v>EMEA</v>
          </cell>
          <cell r="H3691" t="str">
            <v>3L1F0AA#AC3</v>
          </cell>
          <cell r="M3691" t="str">
            <v>Flextronics CZ</v>
          </cell>
        </row>
        <row r="3692">
          <cell r="D3692" t="str">
            <v>EMEA</v>
          </cell>
          <cell r="H3692" t="str">
            <v>664R5AA#AC3</v>
          </cell>
          <cell r="M3692" t="str">
            <v>Flextronics CZ</v>
          </cell>
        </row>
        <row r="3693">
          <cell r="D3693" t="str">
            <v>EMEA</v>
          </cell>
          <cell r="H3693" t="str">
            <v>240J7AA#AC3</v>
          </cell>
          <cell r="M3693" t="str">
            <v>Flextronics CZ</v>
          </cell>
        </row>
        <row r="3694">
          <cell r="D3694" t="str">
            <v>EMEA</v>
          </cell>
          <cell r="H3694" t="str">
            <v>2V9E6AA#AC3</v>
          </cell>
          <cell r="M3694" t="str">
            <v>Flextronics CZ</v>
          </cell>
        </row>
        <row r="3695">
          <cell r="D3695" t="str">
            <v>EMEA</v>
          </cell>
          <cell r="H3695" t="str">
            <v>805T2AA#AC3</v>
          </cell>
          <cell r="M3695" t="str">
            <v>Flextronics CZ</v>
          </cell>
        </row>
        <row r="3696">
          <cell r="D3696" t="str">
            <v>EMEA</v>
          </cell>
          <cell r="H3696" t="str">
            <v>1Y4D0UT#AC3</v>
          </cell>
          <cell r="M3696" t="str">
            <v>Flextronics CZ</v>
          </cell>
        </row>
        <row r="3697">
          <cell r="D3697" t="str">
            <v>EMEA</v>
          </cell>
          <cell r="H3697" t="str">
            <v>1Y4D0UT#AC3</v>
          </cell>
          <cell r="M3697" t="str">
            <v>Flextronics CZ</v>
          </cell>
        </row>
        <row r="3698">
          <cell r="D3698" t="str">
            <v>EMEA</v>
          </cell>
          <cell r="H3698" t="str">
            <v>1Y4D0UT#AC3</v>
          </cell>
          <cell r="M3698" t="str">
            <v>Flextronics CZ</v>
          </cell>
        </row>
        <row r="3699">
          <cell r="D3699" t="str">
            <v>EMEA</v>
          </cell>
          <cell r="H3699" t="str">
            <v>9T5B0UT#AC3</v>
          </cell>
          <cell r="M3699" t="str">
            <v>Flextronics CZ</v>
          </cell>
        </row>
        <row r="3700">
          <cell r="D3700" t="str">
            <v>DTO</v>
          </cell>
          <cell r="H3700" t="str">
            <v>P33437-BL1</v>
          </cell>
          <cell r="M3700" t="str">
            <v>Flextronics CZ</v>
          </cell>
        </row>
        <row r="3701">
          <cell r="D3701" t="str">
            <v>EMEA</v>
          </cell>
          <cell r="H3701" t="str">
            <v>18H24AA#AC3</v>
          </cell>
          <cell r="M3701" t="str">
            <v>Flextronics CZ</v>
          </cell>
        </row>
        <row r="3702">
          <cell r="D3702" t="str">
            <v>EMEA</v>
          </cell>
          <cell r="H3702" t="str">
            <v>3L1E7AA#AC3</v>
          </cell>
          <cell r="M3702" t="str">
            <v>Flextronics CZ</v>
          </cell>
        </row>
        <row r="3703">
          <cell r="D3703" t="str">
            <v>EMEA</v>
          </cell>
          <cell r="H3703" t="str">
            <v>3L1F0AA#AC3</v>
          </cell>
          <cell r="M3703" t="str">
            <v>Flextronics CZ</v>
          </cell>
        </row>
        <row r="3704">
          <cell r="D3704" t="str">
            <v>EMEA</v>
          </cell>
          <cell r="H3704" t="str">
            <v>2V9E6AA#AC3</v>
          </cell>
          <cell r="M3704" t="str">
            <v>Flextronics CZ</v>
          </cell>
        </row>
        <row r="3705">
          <cell r="D3705" t="str">
            <v>EMEA</v>
          </cell>
          <cell r="H3705" t="str">
            <v>1Y4D0UT#AC3</v>
          </cell>
          <cell r="M3705" t="str">
            <v>Flextronics CZ</v>
          </cell>
        </row>
        <row r="3706">
          <cell r="D3706" t="str">
            <v>EMEA</v>
          </cell>
          <cell r="H3706" t="str">
            <v>805T1UT#AC3</v>
          </cell>
          <cell r="M3706" t="str">
            <v>Flextronics CZ</v>
          </cell>
        </row>
        <row r="3707">
          <cell r="D3707" t="str">
            <v>EMEA</v>
          </cell>
          <cell r="H3707" t="str">
            <v>9T5A9AA#AC3</v>
          </cell>
          <cell r="M3707" t="str">
            <v>Flextronics CZ</v>
          </cell>
        </row>
        <row r="3708">
          <cell r="D3708" t="str">
            <v>EMEA</v>
          </cell>
          <cell r="H3708" t="str">
            <v>9T5B1AA#AC3</v>
          </cell>
          <cell r="M3708" t="str">
            <v>Flextronics CZ</v>
          </cell>
        </row>
        <row r="3709">
          <cell r="D3709" t="str">
            <v>EMEA</v>
          </cell>
          <cell r="H3709" t="str">
            <v>9T5B0UT#AC3</v>
          </cell>
          <cell r="M3709" t="str">
            <v>Flextronics CZ</v>
          </cell>
        </row>
        <row r="3710">
          <cell r="D3710" t="str">
            <v>DTO</v>
          </cell>
          <cell r="H3710" t="str">
            <v>P33437-BL1</v>
          </cell>
          <cell r="M3710" t="str">
            <v>Flextronics CZ</v>
          </cell>
        </row>
        <row r="3711">
          <cell r="D3711" t="str">
            <v>EMEA</v>
          </cell>
          <cell r="H3711" t="str">
            <v>18H24AA#AC3</v>
          </cell>
          <cell r="M3711" t="str">
            <v>Flextronics CZ</v>
          </cell>
        </row>
        <row r="3712">
          <cell r="D3712" t="str">
            <v>EMEA</v>
          </cell>
          <cell r="H3712" t="str">
            <v>9DF28AA#AC3</v>
          </cell>
          <cell r="M3712" t="str">
            <v>Flextronics CZ</v>
          </cell>
        </row>
        <row r="3713">
          <cell r="D3713" t="str">
            <v>EMEA</v>
          </cell>
          <cell r="H3713" t="str">
            <v>3L1F0AA#AC3</v>
          </cell>
          <cell r="M3713" t="str">
            <v>Flextronics CZ</v>
          </cell>
        </row>
        <row r="3714">
          <cell r="D3714" t="str">
            <v>EMEA</v>
          </cell>
          <cell r="H3714" t="str">
            <v>664R5AA#AC3</v>
          </cell>
          <cell r="M3714" t="str">
            <v>Flextronics CZ</v>
          </cell>
        </row>
        <row r="3715">
          <cell r="D3715" t="str">
            <v>EMEA</v>
          </cell>
          <cell r="H3715" t="str">
            <v>240J7AA#AC3</v>
          </cell>
          <cell r="M3715" t="str">
            <v>Flextronics CZ</v>
          </cell>
        </row>
        <row r="3716">
          <cell r="D3716" t="str">
            <v>EMEA</v>
          </cell>
          <cell r="H3716" t="str">
            <v>2V9E6AA#AC3</v>
          </cell>
          <cell r="M3716" t="str">
            <v>Flextronics CZ</v>
          </cell>
        </row>
        <row r="3717">
          <cell r="D3717" t="str">
            <v>EMEA</v>
          </cell>
          <cell r="H3717" t="str">
            <v>9T5A9AA#AC3</v>
          </cell>
          <cell r="M3717" t="str">
            <v>Flextronics CZ</v>
          </cell>
        </row>
        <row r="3718">
          <cell r="D3718" t="str">
            <v>EMEA</v>
          </cell>
          <cell r="H3718" t="str">
            <v>9T5B0UT#AC3</v>
          </cell>
          <cell r="M3718" t="str">
            <v>Flextronics CZ</v>
          </cell>
        </row>
        <row r="3719">
          <cell r="D3719" t="str">
            <v>DTO</v>
          </cell>
          <cell r="H3719" t="str">
            <v>P33437-BL1</v>
          </cell>
          <cell r="M3719" t="str">
            <v>Flextronics CZ</v>
          </cell>
        </row>
        <row r="3720">
          <cell r="D3720" t="str">
            <v>DIB</v>
          </cell>
          <cell r="H3720" t="str">
            <v>L77352-001</v>
          </cell>
          <cell r="M3720" t="str">
            <v>QUANTA</v>
          </cell>
        </row>
        <row r="3721">
          <cell r="D3721" t="str">
            <v>DIB</v>
          </cell>
          <cell r="H3721" t="str">
            <v>L77352-001</v>
          </cell>
          <cell r="M3721" t="str">
            <v>QUANTA</v>
          </cell>
        </row>
        <row r="3722">
          <cell r="D3722" t="str">
            <v>DIB</v>
          </cell>
          <cell r="H3722" t="str">
            <v>N19082-001</v>
          </cell>
          <cell r="M3722" t="str">
            <v>QUANTA</v>
          </cell>
        </row>
        <row r="3723">
          <cell r="D3723" t="str">
            <v>DIB</v>
          </cell>
          <cell r="H3723" t="str">
            <v>N19082-001</v>
          </cell>
          <cell r="M3723" t="str">
            <v>QUANTA</v>
          </cell>
        </row>
        <row r="3724">
          <cell r="D3724" t="str">
            <v>DIB</v>
          </cell>
          <cell r="H3724" t="str">
            <v>N19080-001</v>
          </cell>
          <cell r="M3724" t="str">
            <v>QUANTA</v>
          </cell>
        </row>
        <row r="3725">
          <cell r="D3725" t="str">
            <v>DIB</v>
          </cell>
          <cell r="H3725" t="str">
            <v>N19080-001</v>
          </cell>
          <cell r="M3725" t="str">
            <v>QUANTA</v>
          </cell>
        </row>
        <row r="3726">
          <cell r="D3726" t="str">
            <v>DIB</v>
          </cell>
          <cell r="H3726" t="str">
            <v>N19080-001</v>
          </cell>
          <cell r="M3726" t="str">
            <v>QUANTA</v>
          </cell>
        </row>
        <row r="3727">
          <cell r="D3727" t="str">
            <v>DIB</v>
          </cell>
          <cell r="H3727" t="str">
            <v>N19080-001</v>
          </cell>
          <cell r="M3727" t="str">
            <v>QUANTA</v>
          </cell>
        </row>
        <row r="3728">
          <cell r="D3728" t="str">
            <v>DIB</v>
          </cell>
          <cell r="H3728" t="str">
            <v>N43866-001</v>
          </cell>
          <cell r="M3728" t="str">
            <v>QUANTA</v>
          </cell>
        </row>
        <row r="3729">
          <cell r="D3729" t="str">
            <v>DIB</v>
          </cell>
          <cell r="H3729" t="str">
            <v>N43866-001</v>
          </cell>
          <cell r="M3729" t="str">
            <v>QUANTA</v>
          </cell>
        </row>
        <row r="3730">
          <cell r="D3730" t="str">
            <v>DIB</v>
          </cell>
          <cell r="H3730" t="str">
            <v>N87312-001</v>
          </cell>
          <cell r="M3730" t="str">
            <v>QUANTA</v>
          </cell>
        </row>
        <row r="3731">
          <cell r="D3731" t="str">
            <v>DIB</v>
          </cell>
          <cell r="H3731" t="str">
            <v>N20172-001</v>
          </cell>
          <cell r="M3731" t="str">
            <v>QUANTA</v>
          </cell>
        </row>
        <row r="3732">
          <cell r="D3732" t="str">
            <v>DIB</v>
          </cell>
          <cell r="H3732" t="str">
            <v>L13998-002</v>
          </cell>
          <cell r="M3732" t="str">
            <v>QUANTA</v>
          </cell>
        </row>
        <row r="3733">
          <cell r="D3733" t="str">
            <v>DIB</v>
          </cell>
          <cell r="H3733" t="str">
            <v>L13998-002</v>
          </cell>
          <cell r="M3733" t="str">
            <v>QUANTA</v>
          </cell>
        </row>
        <row r="3734">
          <cell r="D3734" t="str">
            <v>DIB</v>
          </cell>
          <cell r="H3734" t="str">
            <v>M40043-161</v>
          </cell>
          <cell r="M3734" t="str">
            <v>QUANTA</v>
          </cell>
        </row>
        <row r="3735">
          <cell r="D3735" t="str">
            <v>DIB</v>
          </cell>
          <cell r="H3735" t="str">
            <v>L13998-002</v>
          </cell>
          <cell r="M3735" t="str">
            <v>QUANTA</v>
          </cell>
        </row>
        <row r="3736">
          <cell r="D3736" t="str">
            <v>DIB</v>
          </cell>
          <cell r="H3736" t="str">
            <v>L13998-002</v>
          </cell>
          <cell r="M3736" t="str">
            <v>QUANTA</v>
          </cell>
        </row>
        <row r="3737">
          <cell r="D3737" t="str">
            <v>DIB</v>
          </cell>
          <cell r="H3737" t="str">
            <v>M40045-161</v>
          </cell>
          <cell r="M3737" t="str">
            <v>QUANTA</v>
          </cell>
        </row>
        <row r="3738">
          <cell r="D3738" t="str">
            <v>DIB</v>
          </cell>
          <cell r="H3738" t="str">
            <v>M40045-161</v>
          </cell>
          <cell r="M3738" t="str">
            <v>QUANTA</v>
          </cell>
        </row>
        <row r="3739">
          <cell r="D3739" t="str">
            <v>DIB</v>
          </cell>
          <cell r="H3739" t="str">
            <v>M40045-161</v>
          </cell>
          <cell r="M3739" t="str">
            <v>QUANTA</v>
          </cell>
        </row>
        <row r="3740">
          <cell r="D3740" t="str">
            <v>DIB</v>
          </cell>
          <cell r="H3740" t="str">
            <v>M40045-161</v>
          </cell>
          <cell r="M3740" t="str">
            <v>QUANTA</v>
          </cell>
        </row>
        <row r="3741">
          <cell r="D3741" t="str">
            <v>DIB</v>
          </cell>
          <cell r="H3741" t="str">
            <v>M40045-161</v>
          </cell>
          <cell r="M3741" t="str">
            <v>QUANTA</v>
          </cell>
        </row>
        <row r="3742">
          <cell r="D3742" t="str">
            <v>DIB</v>
          </cell>
          <cell r="H3742" t="str">
            <v>M40045-161</v>
          </cell>
          <cell r="M3742" t="str">
            <v>QUANTA</v>
          </cell>
        </row>
        <row r="3743">
          <cell r="D3743" t="str">
            <v>DIB</v>
          </cell>
          <cell r="H3743" t="str">
            <v>M40043-161</v>
          </cell>
          <cell r="M3743" t="str">
            <v>QUANTA</v>
          </cell>
        </row>
        <row r="3744">
          <cell r="D3744" t="str">
            <v>DIB</v>
          </cell>
          <cell r="H3744" t="str">
            <v>N72845-001</v>
          </cell>
          <cell r="M3744" t="str">
            <v>QUANTA</v>
          </cell>
        </row>
        <row r="3745">
          <cell r="D3745" t="str">
            <v>DIB</v>
          </cell>
          <cell r="H3745" t="str">
            <v>N38404-001</v>
          </cell>
          <cell r="M3745" t="str">
            <v>QUANTA</v>
          </cell>
        </row>
        <row r="3746">
          <cell r="D3746" t="str">
            <v>DIB</v>
          </cell>
          <cell r="H3746" t="str">
            <v>N61962-A21</v>
          </cell>
          <cell r="M3746" t="str">
            <v>QUANTA</v>
          </cell>
        </row>
        <row r="3747">
          <cell r="D3747" t="str">
            <v>DIB</v>
          </cell>
          <cell r="H3747" t="str">
            <v>N87312-001</v>
          </cell>
          <cell r="M3747" t="str">
            <v>QUANTA</v>
          </cell>
        </row>
        <row r="3748">
          <cell r="D3748" t="str">
            <v>DIB</v>
          </cell>
          <cell r="H3748" t="str">
            <v>N38404-001</v>
          </cell>
          <cell r="M3748" t="str">
            <v>QUANTA</v>
          </cell>
        </row>
        <row r="3749">
          <cell r="D3749" t="str">
            <v>DIB</v>
          </cell>
          <cell r="H3749" t="str">
            <v>N87316-001</v>
          </cell>
          <cell r="M3749" t="str">
            <v>QUANTA</v>
          </cell>
        </row>
        <row r="3750">
          <cell r="D3750" t="str">
            <v>DIB</v>
          </cell>
          <cell r="H3750" t="str">
            <v>N37102-001</v>
          </cell>
          <cell r="M3750" t="str">
            <v>QUANTA</v>
          </cell>
        </row>
        <row r="3751">
          <cell r="D3751" t="str">
            <v>DIB</v>
          </cell>
          <cell r="H3751" t="str">
            <v>N37102-001</v>
          </cell>
          <cell r="M3751" t="str">
            <v>QUANTA</v>
          </cell>
        </row>
        <row r="3752">
          <cell r="D3752" t="str">
            <v>DIB</v>
          </cell>
          <cell r="H3752" t="str">
            <v>N37102-001</v>
          </cell>
          <cell r="M3752" t="str">
            <v>QUANTA</v>
          </cell>
        </row>
        <row r="3753">
          <cell r="D3753" t="str">
            <v>DIB</v>
          </cell>
          <cell r="H3753" t="str">
            <v>N87316-001</v>
          </cell>
          <cell r="M3753" t="str">
            <v>QUANTA</v>
          </cell>
        </row>
        <row r="3754">
          <cell r="D3754" t="str">
            <v>DIB</v>
          </cell>
          <cell r="H3754" t="str">
            <v>N87314-001</v>
          </cell>
          <cell r="M3754" t="str">
            <v>QUANTA</v>
          </cell>
        </row>
        <row r="3755">
          <cell r="D3755" t="str">
            <v>DIB</v>
          </cell>
          <cell r="H3755" t="str">
            <v>N37102-001</v>
          </cell>
          <cell r="M3755" t="str">
            <v>QUANTA</v>
          </cell>
        </row>
        <row r="3756">
          <cell r="D3756" t="str">
            <v>DIB</v>
          </cell>
          <cell r="H3756" t="str">
            <v>N87318-001</v>
          </cell>
          <cell r="M3756" t="str">
            <v>QUANTA</v>
          </cell>
        </row>
        <row r="3757">
          <cell r="D3757" t="str">
            <v>DIB</v>
          </cell>
          <cell r="H3757" t="str">
            <v>M53402-001</v>
          </cell>
          <cell r="M3757" t="str">
            <v>QUANTA</v>
          </cell>
        </row>
        <row r="3758">
          <cell r="D3758" t="str">
            <v>DIB</v>
          </cell>
          <cell r="H3758" t="str">
            <v>N37102-001</v>
          </cell>
          <cell r="M3758" t="str">
            <v>QUANTA</v>
          </cell>
        </row>
        <row r="3759">
          <cell r="D3759" t="str">
            <v>DIB</v>
          </cell>
          <cell r="H3759" t="str">
            <v>N37102-001</v>
          </cell>
          <cell r="M3759" t="str">
            <v>QUANTA</v>
          </cell>
        </row>
        <row r="3760">
          <cell r="D3760" t="str">
            <v>DIB</v>
          </cell>
          <cell r="H3760" t="str">
            <v>N87318-001</v>
          </cell>
          <cell r="M3760" t="str">
            <v>QUANTA</v>
          </cell>
        </row>
        <row r="3761">
          <cell r="D3761" t="str">
            <v>DIB</v>
          </cell>
          <cell r="H3761" t="str">
            <v>N61962-371</v>
          </cell>
          <cell r="M3761" t="str">
            <v>QUANTA</v>
          </cell>
        </row>
        <row r="3762">
          <cell r="D3762" t="str">
            <v>DIB</v>
          </cell>
          <cell r="H3762" t="str">
            <v>N61962-A21</v>
          </cell>
          <cell r="M3762" t="str">
            <v>QUANTA</v>
          </cell>
        </row>
        <row r="3763">
          <cell r="D3763" t="str">
            <v>DIB</v>
          </cell>
          <cell r="H3763" t="str">
            <v>M53402-001</v>
          </cell>
          <cell r="M3763" t="str">
            <v>QUANTA</v>
          </cell>
        </row>
        <row r="3764">
          <cell r="D3764" t="str">
            <v>DIB</v>
          </cell>
          <cell r="H3764" t="str">
            <v>L13998-002</v>
          </cell>
          <cell r="M3764" t="str">
            <v>QUANTA</v>
          </cell>
        </row>
        <row r="3765">
          <cell r="D3765" t="str">
            <v>DIB</v>
          </cell>
          <cell r="H3765" t="str">
            <v>L13998-002</v>
          </cell>
          <cell r="M3765" t="str">
            <v>QUANTA</v>
          </cell>
        </row>
        <row r="3766">
          <cell r="D3766" t="str">
            <v>DIB</v>
          </cell>
          <cell r="H3766" t="str">
            <v>L13998-002</v>
          </cell>
          <cell r="M3766" t="str">
            <v>QUANTA</v>
          </cell>
        </row>
        <row r="3767">
          <cell r="D3767" t="str">
            <v>DIB</v>
          </cell>
          <cell r="H3767" t="str">
            <v>N61962-371</v>
          </cell>
          <cell r="M3767" t="str">
            <v>QUANTA</v>
          </cell>
        </row>
        <row r="3768">
          <cell r="D3768" t="str">
            <v>DIB</v>
          </cell>
          <cell r="H3768" t="str">
            <v>M53402-001</v>
          </cell>
          <cell r="M3768" t="str">
            <v>QUANTA</v>
          </cell>
        </row>
        <row r="3769">
          <cell r="D3769" t="str">
            <v>DIB</v>
          </cell>
          <cell r="H3769" t="str">
            <v>N37102-001</v>
          </cell>
          <cell r="M3769" t="str">
            <v>QUANTA</v>
          </cell>
        </row>
        <row r="3770">
          <cell r="D3770" t="str">
            <v>DIB</v>
          </cell>
          <cell r="H3770" t="str">
            <v>M40045-161</v>
          </cell>
          <cell r="M3770" t="str">
            <v>QUANTA</v>
          </cell>
        </row>
        <row r="3771">
          <cell r="D3771" t="str">
            <v>DIB</v>
          </cell>
          <cell r="H3771" t="str">
            <v>M53402-001</v>
          </cell>
          <cell r="M3771" t="str">
            <v>QUANTA</v>
          </cell>
        </row>
        <row r="3772">
          <cell r="D3772" t="str">
            <v>DIB</v>
          </cell>
          <cell r="H3772" t="str">
            <v>N38404-001</v>
          </cell>
          <cell r="M3772" t="str">
            <v>QUANTA</v>
          </cell>
        </row>
        <row r="3773">
          <cell r="D3773" t="str">
            <v>DTO</v>
          </cell>
          <cell r="H3773" t="str">
            <v>P33437-031</v>
          </cell>
          <cell r="M3773" t="str">
            <v>QUANTA</v>
          </cell>
        </row>
        <row r="3774">
          <cell r="D3774" t="str">
            <v>DTO</v>
          </cell>
          <cell r="H3774" t="str">
            <v>P33437-111</v>
          </cell>
          <cell r="M3774" t="str">
            <v>QUANTA</v>
          </cell>
        </row>
        <row r="3775">
          <cell r="D3775" t="str">
            <v>DTO</v>
          </cell>
          <cell r="H3775" t="str">
            <v>P33437-111</v>
          </cell>
          <cell r="M3775" t="str">
            <v>QUANTA</v>
          </cell>
        </row>
        <row r="3776">
          <cell r="D3776" t="str">
            <v>DTO</v>
          </cell>
          <cell r="H3776" t="str">
            <v>P33437-161</v>
          </cell>
          <cell r="M3776" t="str">
            <v>QUANTA</v>
          </cell>
        </row>
        <row r="3777">
          <cell r="D3777" t="str">
            <v>DTO</v>
          </cell>
          <cell r="H3777" t="str">
            <v>P33437-261</v>
          </cell>
          <cell r="M3777" t="str">
            <v>QUANTA</v>
          </cell>
        </row>
        <row r="3778">
          <cell r="D3778" t="str">
            <v>DTO</v>
          </cell>
          <cell r="H3778" t="str">
            <v>P33437-AA1</v>
          </cell>
          <cell r="M3778" t="str">
            <v>QUANTA</v>
          </cell>
        </row>
        <row r="3779">
          <cell r="D3779" t="str">
            <v>DTO</v>
          </cell>
          <cell r="H3779" t="str">
            <v>P33437-AB1</v>
          </cell>
          <cell r="M3779" t="str">
            <v>QUANTA</v>
          </cell>
        </row>
        <row r="3780">
          <cell r="D3780" t="str">
            <v>DTO</v>
          </cell>
          <cell r="H3780" t="str">
            <v>P33437-KD1</v>
          </cell>
          <cell r="M3780" t="str">
            <v>QUANTA</v>
          </cell>
        </row>
        <row r="3781">
          <cell r="D3781" t="str">
            <v>DTO</v>
          </cell>
          <cell r="H3781" t="str">
            <v>P33437-CG1</v>
          </cell>
          <cell r="M3781" t="str">
            <v>QUANTA</v>
          </cell>
        </row>
        <row r="3782">
          <cell r="D3782" t="str">
            <v>DTO</v>
          </cell>
          <cell r="H3782" t="str">
            <v>P33437-001</v>
          </cell>
          <cell r="M3782" t="str">
            <v>QUANTA</v>
          </cell>
        </row>
        <row r="3783">
          <cell r="D3783" t="str">
            <v>DIB</v>
          </cell>
          <cell r="H3783" t="str">
            <v>M53402-001</v>
          </cell>
          <cell r="M3783" t="str">
            <v>QUANTA</v>
          </cell>
        </row>
        <row r="3784">
          <cell r="D3784" t="str">
            <v>DIB</v>
          </cell>
          <cell r="H3784" t="str">
            <v>N37102-001</v>
          </cell>
          <cell r="M3784" t="str">
            <v>Compal</v>
          </cell>
        </row>
        <row r="3785">
          <cell r="D3785" t="str">
            <v>DIB</v>
          </cell>
          <cell r="H3785" t="str">
            <v>N37102-001</v>
          </cell>
          <cell r="M3785" t="str">
            <v>Compal</v>
          </cell>
        </row>
        <row r="3786">
          <cell r="D3786" t="str">
            <v>DIB</v>
          </cell>
          <cell r="H3786" t="str">
            <v>N37102-001</v>
          </cell>
          <cell r="M3786" t="str">
            <v>Compal</v>
          </cell>
        </row>
        <row r="3787">
          <cell r="D3787" t="str">
            <v>DIB</v>
          </cell>
          <cell r="H3787" t="str">
            <v>N37102-001</v>
          </cell>
          <cell r="M3787" t="str">
            <v>Compal</v>
          </cell>
        </row>
        <row r="3788">
          <cell r="D3788" t="str">
            <v>DIB</v>
          </cell>
          <cell r="H3788" t="str">
            <v>N37102-001</v>
          </cell>
          <cell r="M3788" t="str">
            <v>Compal</v>
          </cell>
        </row>
        <row r="3789">
          <cell r="D3789" t="str">
            <v>DIB</v>
          </cell>
          <cell r="H3789" t="str">
            <v>N37102-001</v>
          </cell>
          <cell r="M3789" t="str">
            <v>Compal</v>
          </cell>
        </row>
        <row r="3790">
          <cell r="D3790" t="str">
            <v>DIB</v>
          </cell>
          <cell r="H3790" t="str">
            <v>N37102-001</v>
          </cell>
          <cell r="M3790" t="str">
            <v>Compal</v>
          </cell>
        </row>
        <row r="3791">
          <cell r="D3791" t="str">
            <v>APJ</v>
          </cell>
          <cell r="H3791" t="str">
            <v>2V9E6AA#ACJ</v>
          </cell>
          <cell r="M3791" t="str">
            <v>HP India</v>
          </cell>
        </row>
        <row r="3792">
          <cell r="D3792" t="str">
            <v>APJ</v>
          </cell>
          <cell r="H3792" t="str">
            <v>240J6AA#ACJ</v>
          </cell>
          <cell r="M3792" t="str">
            <v>HP India</v>
          </cell>
        </row>
        <row r="3793">
          <cell r="D3793" t="str">
            <v>APJ</v>
          </cell>
          <cell r="H3793" t="str">
            <v>2S9L1AA#ACJ</v>
          </cell>
          <cell r="M3793" t="str">
            <v>HP India</v>
          </cell>
        </row>
        <row r="3794">
          <cell r="D3794" t="str">
            <v>APJ</v>
          </cell>
          <cell r="H3794" t="str">
            <v>2V9E6AA#ACJ</v>
          </cell>
          <cell r="M3794" t="str">
            <v>HP India</v>
          </cell>
        </row>
        <row r="3795">
          <cell r="D3795" t="str">
            <v>APJ</v>
          </cell>
          <cell r="H3795" t="str">
            <v>240J6AA#ACJ</v>
          </cell>
          <cell r="M3795" t="str">
            <v>HP India</v>
          </cell>
        </row>
        <row r="3796">
          <cell r="D3796" t="str">
            <v>APJ</v>
          </cell>
          <cell r="H3796" t="str">
            <v>2V9E6AA#ACJ</v>
          </cell>
          <cell r="M3796" t="str">
            <v>HP India</v>
          </cell>
        </row>
        <row r="3797">
          <cell r="D3797" t="str">
            <v>APJ</v>
          </cell>
          <cell r="H3797" t="str">
            <v>2S9L1AA#ACJ</v>
          </cell>
          <cell r="M3797" t="str">
            <v>HP India</v>
          </cell>
        </row>
        <row r="3798">
          <cell r="D3798" t="str">
            <v>APJ</v>
          </cell>
          <cell r="H3798" t="str">
            <v>2V9E6AA#ACJ</v>
          </cell>
          <cell r="M3798" t="str">
            <v>HP India</v>
          </cell>
        </row>
        <row r="3799">
          <cell r="D3799" t="str">
            <v>DIB</v>
          </cell>
          <cell r="H3799" t="str">
            <v>N37102-001</v>
          </cell>
          <cell r="M3799" t="str">
            <v>HP Japan</v>
          </cell>
        </row>
        <row r="3800">
          <cell r="D3800" t="str">
            <v>DIB</v>
          </cell>
          <cell r="H3800" t="str">
            <v>N37102-001</v>
          </cell>
          <cell r="M3800" t="str">
            <v>HP Japan</v>
          </cell>
        </row>
        <row r="3801">
          <cell r="D3801" t="str">
            <v>NA</v>
          </cell>
          <cell r="H3801" t="str">
            <v>1Y4D0UT#ABA</v>
          </cell>
          <cell r="M3801" t="str">
            <v>Foxconn Indy</v>
          </cell>
        </row>
        <row r="3802">
          <cell r="D3802" t="str">
            <v>NA</v>
          </cell>
          <cell r="H3802" t="str">
            <v>1Y4D0UT#ABA</v>
          </cell>
          <cell r="M3802" t="str">
            <v>Foxconn Indy</v>
          </cell>
        </row>
        <row r="3803">
          <cell r="D3803" t="str">
            <v>NA</v>
          </cell>
          <cell r="H3803" t="str">
            <v>1D0K2AA#ABA</v>
          </cell>
          <cell r="M3803" t="str">
            <v>Foxconn Indy</v>
          </cell>
        </row>
        <row r="3804">
          <cell r="D3804" t="str">
            <v>NA</v>
          </cell>
          <cell r="H3804" t="str">
            <v>1D0K2AA#ABA</v>
          </cell>
          <cell r="M3804" t="str">
            <v>Foxconn Indy</v>
          </cell>
        </row>
        <row r="3805">
          <cell r="D3805" t="str">
            <v>NA</v>
          </cell>
          <cell r="H3805" t="str">
            <v>1Y4D0UT#ABA</v>
          </cell>
          <cell r="M3805" t="str">
            <v>Foxconn Indy</v>
          </cell>
        </row>
        <row r="3806">
          <cell r="D3806" t="str">
            <v>NA</v>
          </cell>
          <cell r="H3806" t="str">
            <v>1D0K2AA#ABA</v>
          </cell>
          <cell r="M3806" t="str">
            <v>Foxconn Indy</v>
          </cell>
        </row>
        <row r="3807">
          <cell r="D3807" t="str">
            <v>DIB</v>
          </cell>
          <cell r="H3807" t="str">
            <v>M82158-001</v>
          </cell>
          <cell r="M3807" t="str">
            <v>Inventec</v>
          </cell>
        </row>
        <row r="3808">
          <cell r="D3808" t="str">
            <v>DIB</v>
          </cell>
          <cell r="H3808" t="str">
            <v>N87316-001</v>
          </cell>
          <cell r="M3808" t="str">
            <v>Inventec</v>
          </cell>
        </row>
        <row r="3809">
          <cell r="D3809" t="str">
            <v>DIB</v>
          </cell>
          <cell r="H3809" t="str">
            <v>N87314-001</v>
          </cell>
          <cell r="M3809" t="str">
            <v>Inventec</v>
          </cell>
        </row>
        <row r="3810">
          <cell r="D3810" t="str">
            <v>DIB</v>
          </cell>
          <cell r="H3810" t="str">
            <v>N87318-001</v>
          </cell>
          <cell r="M3810" t="str">
            <v>Inventec</v>
          </cell>
        </row>
        <row r="3811">
          <cell r="D3811" t="str">
            <v>DIB</v>
          </cell>
          <cell r="H3811" t="str">
            <v>N37102-001</v>
          </cell>
          <cell r="M3811" t="str">
            <v>Inventec</v>
          </cell>
        </row>
        <row r="3812">
          <cell r="D3812" t="str">
            <v>DIB</v>
          </cell>
          <cell r="H3812" t="str">
            <v>N37102-001</v>
          </cell>
          <cell r="M3812" t="str">
            <v>Inventec</v>
          </cell>
        </row>
        <row r="3813">
          <cell r="D3813" t="str">
            <v>DIB</v>
          </cell>
          <cell r="H3813" t="str">
            <v>N37102-001</v>
          </cell>
          <cell r="M3813" t="str">
            <v>Inventec</v>
          </cell>
        </row>
        <row r="3814">
          <cell r="D3814" t="str">
            <v>DIB</v>
          </cell>
          <cell r="H3814" t="str">
            <v>M82159-001</v>
          </cell>
          <cell r="M3814" t="str">
            <v>Inventec</v>
          </cell>
        </row>
        <row r="3815">
          <cell r="D3815" t="str">
            <v>DTO</v>
          </cell>
          <cell r="H3815" t="str">
            <v>P33437-001</v>
          </cell>
          <cell r="M3815" t="str">
            <v>Inventec</v>
          </cell>
        </row>
        <row r="3816">
          <cell r="D3816" t="str">
            <v>DTO</v>
          </cell>
          <cell r="H3816" t="str">
            <v>P33437-291</v>
          </cell>
          <cell r="M3816" t="str">
            <v>Inventec</v>
          </cell>
        </row>
        <row r="3817">
          <cell r="D3817" t="str">
            <v>DTO</v>
          </cell>
          <cell r="H3817" t="str">
            <v>P33437-L31</v>
          </cell>
          <cell r="M3817" t="str">
            <v>Inventec</v>
          </cell>
        </row>
        <row r="3818">
          <cell r="D3818" t="str">
            <v>DTO</v>
          </cell>
          <cell r="H3818" t="str">
            <v>P33437-KD1</v>
          </cell>
          <cell r="M3818" t="str">
            <v>Inventec</v>
          </cell>
        </row>
        <row r="3819">
          <cell r="D3819" t="str">
            <v>DTO</v>
          </cell>
          <cell r="H3819" t="str">
            <v>P33437-281</v>
          </cell>
          <cell r="M3819" t="str">
            <v>Inventec</v>
          </cell>
        </row>
        <row r="3820">
          <cell r="D3820" t="str">
            <v>DTO</v>
          </cell>
          <cell r="H3820" t="str">
            <v>P33437-D61</v>
          </cell>
          <cell r="M3820" t="str">
            <v>Inventec</v>
          </cell>
        </row>
        <row r="3821">
          <cell r="D3821" t="str">
            <v>DTO</v>
          </cell>
          <cell r="H3821" t="str">
            <v>P33437-041</v>
          </cell>
          <cell r="M3821" t="str">
            <v>Inventec</v>
          </cell>
        </row>
        <row r="3822">
          <cell r="D3822" t="str">
            <v>DTO</v>
          </cell>
          <cell r="H3822" t="str">
            <v>P33437-BB1</v>
          </cell>
          <cell r="M3822" t="str">
            <v>Inventec</v>
          </cell>
        </row>
        <row r="3823">
          <cell r="D3823" t="str">
            <v>DTO</v>
          </cell>
          <cell r="H3823" t="str">
            <v>P33437-AA1</v>
          </cell>
          <cell r="M3823" t="str">
            <v>Inventec</v>
          </cell>
        </row>
        <row r="3824">
          <cell r="D3824" t="str">
            <v>DTO</v>
          </cell>
          <cell r="H3824" t="str">
            <v>P33437-171</v>
          </cell>
          <cell r="M3824" t="str">
            <v>Inventec</v>
          </cell>
        </row>
        <row r="3825">
          <cell r="D3825" t="str">
            <v>DIB</v>
          </cell>
          <cell r="H3825" t="str">
            <v>N37102-001</v>
          </cell>
          <cell r="M3825" t="str">
            <v>Inventec</v>
          </cell>
        </row>
        <row r="3826">
          <cell r="D3826" t="str">
            <v>DTO</v>
          </cell>
          <cell r="H3826" t="str">
            <v>P33437-171</v>
          </cell>
          <cell r="M3826" t="str">
            <v>Inventec</v>
          </cell>
        </row>
        <row r="3827">
          <cell r="D3827" t="str">
            <v>DIB</v>
          </cell>
          <cell r="H3827" t="str">
            <v>P29388-371</v>
          </cell>
          <cell r="M3827" t="str">
            <v>Inventec</v>
          </cell>
        </row>
        <row r="3828">
          <cell r="D3828" t="str">
            <v>DTO</v>
          </cell>
          <cell r="H3828" t="str">
            <v>P33437-001</v>
          </cell>
          <cell r="M3828" t="str">
            <v>Inventec</v>
          </cell>
        </row>
        <row r="3829">
          <cell r="D3829" t="str">
            <v>DTO</v>
          </cell>
          <cell r="H3829" t="str">
            <v>P33437-171</v>
          </cell>
          <cell r="M3829" t="str">
            <v>Inventec</v>
          </cell>
        </row>
        <row r="3830">
          <cell r="D3830" t="str">
            <v>NA</v>
          </cell>
          <cell r="H3830" t="str">
            <v>683N9AA#ABL</v>
          </cell>
          <cell r="M3830" t="str">
            <v>Ryder Indy</v>
          </cell>
        </row>
        <row r="3831">
          <cell r="D3831" t="str">
            <v>NA</v>
          </cell>
          <cell r="H3831" t="str">
            <v>6VY96AA#ABA</v>
          </cell>
          <cell r="M3831" t="str">
            <v>Ryder Indy</v>
          </cell>
        </row>
        <row r="3832">
          <cell r="D3832" t="str">
            <v>NA</v>
          </cell>
          <cell r="H3832" t="str">
            <v>6VY96AA#ABA</v>
          </cell>
          <cell r="M3832" t="str">
            <v>Ryder Indy</v>
          </cell>
        </row>
        <row r="3833">
          <cell r="D3833" t="str">
            <v>NA</v>
          </cell>
          <cell r="H3833" t="str">
            <v>6VY96AA#ABA</v>
          </cell>
          <cell r="M3833" t="str">
            <v>Ryder Indy</v>
          </cell>
        </row>
        <row r="3834">
          <cell r="D3834" t="str">
            <v>NA</v>
          </cell>
          <cell r="H3834" t="str">
            <v>6VY96AA#ABA</v>
          </cell>
          <cell r="M3834" t="str">
            <v>Ryder Indy</v>
          </cell>
        </row>
        <row r="3835">
          <cell r="D3835" t="str">
            <v>NA</v>
          </cell>
          <cell r="H3835" t="str">
            <v>6VY96AA#ABA</v>
          </cell>
          <cell r="M3835" t="str">
            <v>Ryder Indy</v>
          </cell>
        </row>
        <row r="3836">
          <cell r="D3836" t="str">
            <v>NA</v>
          </cell>
          <cell r="H3836" t="str">
            <v>6VY96AA#ABA</v>
          </cell>
          <cell r="M3836" t="str">
            <v>Ryder Indy</v>
          </cell>
        </row>
        <row r="3837">
          <cell r="D3837" t="str">
            <v>NA</v>
          </cell>
          <cell r="H3837" t="str">
            <v>683N8AA#ABL</v>
          </cell>
          <cell r="M3837" t="str">
            <v>Ryder Indy</v>
          </cell>
        </row>
        <row r="3838">
          <cell r="D3838" t="str">
            <v>NA</v>
          </cell>
          <cell r="H3838" t="str">
            <v>683N9AA#ABL</v>
          </cell>
          <cell r="M3838" t="str">
            <v>Ryder Indy</v>
          </cell>
        </row>
        <row r="3839">
          <cell r="D3839" t="str">
            <v>NA</v>
          </cell>
          <cell r="H3839" t="str">
            <v>681S1AA#ABL</v>
          </cell>
          <cell r="M3839" t="str">
            <v>Ryder Indy</v>
          </cell>
        </row>
        <row r="3840">
          <cell r="D3840" t="str">
            <v>NA</v>
          </cell>
          <cell r="H3840" t="str">
            <v>681S1AA#ABL</v>
          </cell>
          <cell r="M3840" t="str">
            <v>Ryder Indy</v>
          </cell>
        </row>
        <row r="3841">
          <cell r="D3841" t="str">
            <v>NA</v>
          </cell>
          <cell r="H3841" t="str">
            <v>681S1AA#ABL</v>
          </cell>
          <cell r="M3841" t="str">
            <v>Ryder Indy</v>
          </cell>
        </row>
        <row r="3842">
          <cell r="D3842" t="str">
            <v>NA</v>
          </cell>
          <cell r="H3842" t="str">
            <v>681S1AA#ABL</v>
          </cell>
          <cell r="M3842" t="str">
            <v>Ryder Indy</v>
          </cell>
        </row>
        <row r="3843">
          <cell r="D3843" t="str">
            <v>NA</v>
          </cell>
          <cell r="H3843" t="str">
            <v>681S1AA#ABL</v>
          </cell>
          <cell r="M3843" t="str">
            <v>Ryder Indy</v>
          </cell>
        </row>
        <row r="3844">
          <cell r="D3844" t="str">
            <v>NA</v>
          </cell>
          <cell r="H3844" t="str">
            <v>6VY96AA#ABA</v>
          </cell>
          <cell r="M3844" t="str">
            <v>Ryder Indy</v>
          </cell>
        </row>
        <row r="3845">
          <cell r="D3845" t="str">
            <v>NA</v>
          </cell>
          <cell r="H3845" t="str">
            <v>6VY96AA#ABA</v>
          </cell>
          <cell r="M3845" t="str">
            <v>Ryder Indy</v>
          </cell>
        </row>
        <row r="3846">
          <cell r="D3846" t="str">
            <v>NA</v>
          </cell>
          <cell r="H3846" t="str">
            <v>6VY96AA#ABA</v>
          </cell>
          <cell r="M3846" t="str">
            <v>Ryder Indy</v>
          </cell>
        </row>
        <row r="3847">
          <cell r="D3847" t="str">
            <v>NA</v>
          </cell>
          <cell r="H3847" t="str">
            <v>6VY96AA#ABA</v>
          </cell>
          <cell r="M3847" t="str">
            <v>Ryder Indy</v>
          </cell>
        </row>
        <row r="3848">
          <cell r="D3848" t="str">
            <v>NA</v>
          </cell>
          <cell r="H3848" t="str">
            <v>6VY96AA#ABA</v>
          </cell>
          <cell r="M3848" t="str">
            <v>Ryder Indy</v>
          </cell>
        </row>
        <row r="3849">
          <cell r="D3849" t="str">
            <v>NA</v>
          </cell>
          <cell r="H3849" t="str">
            <v>6VY96AA#ABA</v>
          </cell>
          <cell r="M3849" t="str">
            <v>Ryder Indy</v>
          </cell>
        </row>
        <row r="3850">
          <cell r="D3850" t="str">
            <v>NA</v>
          </cell>
          <cell r="H3850" t="str">
            <v>6VY96AA#ABA</v>
          </cell>
          <cell r="M3850" t="str">
            <v>Ryder Indy</v>
          </cell>
        </row>
        <row r="3851">
          <cell r="D3851" t="str">
            <v>NA</v>
          </cell>
          <cell r="H3851" t="str">
            <v>6VY96AA#ABA</v>
          </cell>
          <cell r="M3851" t="str">
            <v>Ryder Indy</v>
          </cell>
        </row>
        <row r="3852">
          <cell r="D3852" t="str">
            <v>NA</v>
          </cell>
          <cell r="H3852" t="str">
            <v>6VY96AA#ABA</v>
          </cell>
          <cell r="M3852" t="str">
            <v>Ryder Indy</v>
          </cell>
        </row>
        <row r="3853">
          <cell r="D3853" t="str">
            <v>NA</v>
          </cell>
          <cell r="H3853" t="str">
            <v>6VY96AA#ABA</v>
          </cell>
          <cell r="M3853" t="str">
            <v>Ryder Indy</v>
          </cell>
        </row>
        <row r="3854">
          <cell r="D3854" t="str">
            <v>NA</v>
          </cell>
          <cell r="H3854" t="str">
            <v>6VY96AA#ABA</v>
          </cell>
          <cell r="M3854" t="str">
            <v>Ryder Indy</v>
          </cell>
        </row>
        <row r="3855">
          <cell r="D3855" t="str">
            <v>NA</v>
          </cell>
          <cell r="H3855" t="str">
            <v>6VY96AA#ABA</v>
          </cell>
          <cell r="M3855" t="str">
            <v>Ryder Indy</v>
          </cell>
        </row>
        <row r="3856">
          <cell r="D3856" t="str">
            <v>NA</v>
          </cell>
          <cell r="H3856" t="str">
            <v>683N9AA#ABL</v>
          </cell>
          <cell r="M3856" t="str">
            <v>Ryder Indy</v>
          </cell>
        </row>
        <row r="3857">
          <cell r="D3857" t="str">
            <v>NA</v>
          </cell>
          <cell r="H3857" t="str">
            <v>683N7AA#ABL</v>
          </cell>
          <cell r="M3857" t="str">
            <v>Ryder Indy</v>
          </cell>
        </row>
        <row r="3858">
          <cell r="D3858" t="str">
            <v>NA</v>
          </cell>
          <cell r="H3858" t="str">
            <v>683N8AA#ABL</v>
          </cell>
          <cell r="M3858" t="str">
            <v>Ryder Indy</v>
          </cell>
        </row>
        <row r="3859">
          <cell r="D3859" t="str">
            <v>NA</v>
          </cell>
          <cell r="H3859" t="str">
            <v>683N9AA#ABL</v>
          </cell>
          <cell r="M3859" t="str">
            <v>Ryder Indy</v>
          </cell>
        </row>
        <row r="3860">
          <cell r="D3860" t="str">
            <v>NA</v>
          </cell>
          <cell r="H3860" t="str">
            <v>683N7AA#ABL</v>
          </cell>
          <cell r="M3860" t="str">
            <v>Ryder Indy</v>
          </cell>
        </row>
        <row r="3861">
          <cell r="D3861" t="str">
            <v>NA</v>
          </cell>
          <cell r="H3861" t="str">
            <v>9DF28AA#ABL</v>
          </cell>
          <cell r="M3861" t="str">
            <v>Ryder Indy</v>
          </cell>
        </row>
        <row r="3862">
          <cell r="D3862" t="str">
            <v>APJ</v>
          </cell>
          <cell r="H3862" t="str">
            <v>1D0K8AA#UUF</v>
          </cell>
          <cell r="M3862" t="str">
            <v>Foxconn LH</v>
          </cell>
        </row>
        <row r="3863">
          <cell r="D3863" t="str">
            <v>APJ</v>
          </cell>
          <cell r="H3863" t="str">
            <v>3L1E7AA#UUF</v>
          </cell>
          <cell r="M3863" t="str">
            <v>Foxconn LH</v>
          </cell>
        </row>
        <row r="3864">
          <cell r="D3864" t="str">
            <v>APJ</v>
          </cell>
          <cell r="H3864" t="str">
            <v>3L1E7AA#UUF</v>
          </cell>
          <cell r="M3864" t="str">
            <v>Foxconn LH</v>
          </cell>
        </row>
        <row r="3865">
          <cell r="D3865" t="str">
            <v>NA/LA</v>
          </cell>
          <cell r="H3865" t="str">
            <v>6E6F2AA#ABL</v>
          </cell>
          <cell r="M3865" t="str">
            <v>Foxconn LH</v>
          </cell>
        </row>
        <row r="3866">
          <cell r="D3866" t="str">
            <v>APJ</v>
          </cell>
          <cell r="H3866" t="str">
            <v>8R3U1AA#UUF</v>
          </cell>
          <cell r="M3866" t="str">
            <v>Foxconn LH</v>
          </cell>
        </row>
        <row r="3867">
          <cell r="D3867" t="str">
            <v>APJ</v>
          </cell>
          <cell r="H3867" t="str">
            <v>6E6F1AA#UUF</v>
          </cell>
          <cell r="M3867" t="str">
            <v>Foxconn LH</v>
          </cell>
        </row>
        <row r="3868">
          <cell r="D3868" t="str">
            <v>APJ</v>
          </cell>
          <cell r="H3868" t="str">
            <v>6E6F2AA#UUF</v>
          </cell>
          <cell r="M3868" t="str">
            <v>Foxconn LH</v>
          </cell>
        </row>
        <row r="3869">
          <cell r="D3869" t="str">
            <v>APJ</v>
          </cell>
          <cell r="H3869" t="str">
            <v>9T5A9AA#ABJ</v>
          </cell>
          <cell r="M3869" t="str">
            <v>Foxconn LH</v>
          </cell>
        </row>
        <row r="3870">
          <cell r="D3870" t="str">
            <v>APJ</v>
          </cell>
          <cell r="H3870" t="str">
            <v>9T5B0UT#ABJ</v>
          </cell>
          <cell r="M3870" t="str">
            <v>Foxconn LH</v>
          </cell>
        </row>
        <row r="3871">
          <cell r="D3871" t="str">
            <v>APJ</v>
          </cell>
          <cell r="H3871" t="str">
            <v>758A8AA#UUF</v>
          </cell>
          <cell r="M3871" t="str">
            <v>Foxconn LH</v>
          </cell>
        </row>
        <row r="3872">
          <cell r="D3872" t="str">
            <v>APJ</v>
          </cell>
          <cell r="H3872" t="str">
            <v>43N04AA#UUF</v>
          </cell>
          <cell r="M3872" t="str">
            <v>Foxconn LH</v>
          </cell>
        </row>
        <row r="3873">
          <cell r="D3873" t="str">
            <v>LA</v>
          </cell>
          <cell r="H3873" t="str">
            <v>240J6AA#ABM</v>
          </cell>
          <cell r="M3873" t="str">
            <v>Foxconn LH</v>
          </cell>
        </row>
        <row r="3874">
          <cell r="D3874" t="str">
            <v>LA</v>
          </cell>
          <cell r="H3874" t="str">
            <v>240J7AA#AC4</v>
          </cell>
          <cell r="M3874" t="str">
            <v>Foxconn LH</v>
          </cell>
        </row>
        <row r="3875">
          <cell r="D3875" t="str">
            <v>LA</v>
          </cell>
          <cell r="H3875" t="str">
            <v>240J7AA#AC4</v>
          </cell>
          <cell r="M3875" t="str">
            <v>Foxconn LH</v>
          </cell>
        </row>
        <row r="3876">
          <cell r="D3876" t="str">
            <v>LA</v>
          </cell>
          <cell r="H3876" t="str">
            <v>1Y4D0UT#ABM</v>
          </cell>
          <cell r="M3876" t="str">
            <v>Foxconn LH</v>
          </cell>
        </row>
        <row r="3877">
          <cell r="D3877" t="str">
            <v>APJ</v>
          </cell>
          <cell r="H3877" t="str">
            <v>428K6AA</v>
          </cell>
          <cell r="M3877" t="str">
            <v>Foxconn LH</v>
          </cell>
        </row>
        <row r="3878">
          <cell r="D3878" t="str">
            <v>APJ</v>
          </cell>
          <cell r="H3878" t="str">
            <v>3V0G9AA#UUF</v>
          </cell>
          <cell r="M3878" t="str">
            <v>Foxconn LH</v>
          </cell>
        </row>
        <row r="3879">
          <cell r="D3879" t="str">
            <v>LA</v>
          </cell>
          <cell r="H3879" t="str">
            <v>1Y4D0UT#AC4</v>
          </cell>
          <cell r="M3879" t="str">
            <v>Foxconn LH</v>
          </cell>
        </row>
        <row r="3880">
          <cell r="D3880" t="str">
            <v>NA/LA</v>
          </cell>
          <cell r="H3880" t="str">
            <v>6E6F1AA#ABL</v>
          </cell>
          <cell r="M3880" t="str">
            <v>Foxconn LH</v>
          </cell>
        </row>
        <row r="3881">
          <cell r="D3881" t="str">
            <v>APJ</v>
          </cell>
          <cell r="H3881" t="str">
            <v>X6W31AA#UUF</v>
          </cell>
          <cell r="M3881" t="str">
            <v>Foxconn LH</v>
          </cell>
        </row>
        <row r="3882">
          <cell r="D3882" t="str">
            <v>APJ</v>
          </cell>
          <cell r="H3882" t="str">
            <v>3V0G9AA#UUF</v>
          </cell>
          <cell r="M3882" t="str">
            <v>Foxconn LH</v>
          </cell>
        </row>
        <row r="3883">
          <cell r="D3883" t="str">
            <v>APJ</v>
          </cell>
          <cell r="H3883" t="str">
            <v>3ML04AA#UUF</v>
          </cell>
          <cell r="M3883" t="str">
            <v>Foxconn LH</v>
          </cell>
        </row>
        <row r="3884">
          <cell r="D3884" t="str">
            <v>APJ</v>
          </cell>
          <cell r="H3884" t="str">
            <v>3ML04AA#UUF</v>
          </cell>
          <cell r="M3884" t="str">
            <v>Foxconn LH</v>
          </cell>
        </row>
        <row r="3885">
          <cell r="D3885" t="str">
            <v>NA</v>
          </cell>
          <cell r="H3885" t="str">
            <v>2V9E6AA#ABL</v>
          </cell>
          <cell r="M3885" t="str">
            <v>Foxconn LH</v>
          </cell>
        </row>
        <row r="3886">
          <cell r="D3886" t="str">
            <v>APJ</v>
          </cell>
          <cell r="H3886" t="str">
            <v>6V2J7AA#UUF</v>
          </cell>
          <cell r="M3886" t="str">
            <v>Foxconn LH</v>
          </cell>
        </row>
        <row r="3887">
          <cell r="D3887" t="str">
            <v>APJ</v>
          </cell>
          <cell r="H3887" t="str">
            <v>2V9E6AA#UUF</v>
          </cell>
          <cell r="M3887" t="str">
            <v>Foxconn LH</v>
          </cell>
        </row>
        <row r="3888">
          <cell r="D3888" t="str">
            <v>APJ</v>
          </cell>
          <cell r="H3888" t="str">
            <v>758A9AA#UUF</v>
          </cell>
          <cell r="M3888" t="str">
            <v>Foxconn LH</v>
          </cell>
        </row>
        <row r="3889">
          <cell r="D3889" t="str">
            <v>NA</v>
          </cell>
          <cell r="H3889" t="str">
            <v>18H24AA#ABA</v>
          </cell>
          <cell r="M3889" t="str">
            <v>Foxconn LH</v>
          </cell>
        </row>
        <row r="3890">
          <cell r="D3890" t="str">
            <v>NA</v>
          </cell>
          <cell r="H3890" t="str">
            <v>3L1E7AA#ABA</v>
          </cell>
          <cell r="M3890" t="str">
            <v>Foxconn LH</v>
          </cell>
        </row>
        <row r="3891">
          <cell r="D3891" t="str">
            <v>LA</v>
          </cell>
          <cell r="H3891" t="str">
            <v>6VY96AA#ABM</v>
          </cell>
          <cell r="M3891" t="str">
            <v>Foxconn LH</v>
          </cell>
        </row>
        <row r="3892">
          <cell r="D3892" t="str">
            <v>NA/LA</v>
          </cell>
          <cell r="H3892" t="str">
            <v>2HU83AA#ABL</v>
          </cell>
          <cell r="M3892" t="str">
            <v>Foxconn LH</v>
          </cell>
        </row>
        <row r="3893">
          <cell r="D3893" t="str">
            <v>NA/LA</v>
          </cell>
          <cell r="H3893" t="str">
            <v>2HU82AA#ABL</v>
          </cell>
          <cell r="M3893" t="str">
            <v>Foxconn LH</v>
          </cell>
        </row>
        <row r="3894">
          <cell r="D3894" t="str">
            <v>NA/LA</v>
          </cell>
          <cell r="H3894" t="str">
            <v>2HU84AA#ABL</v>
          </cell>
          <cell r="M3894" t="str">
            <v>Foxconn LH</v>
          </cell>
        </row>
        <row r="3895">
          <cell r="D3895" t="str">
            <v>NA/LA</v>
          </cell>
          <cell r="H3895" t="str">
            <v>2HU84AA#ABL</v>
          </cell>
          <cell r="M3895" t="str">
            <v>Foxconn LH</v>
          </cell>
        </row>
        <row r="3896">
          <cell r="D3896" t="str">
            <v>NA/LA</v>
          </cell>
          <cell r="H3896" t="str">
            <v>2HU83AA#ABL</v>
          </cell>
          <cell r="M3896" t="str">
            <v>Foxconn LH</v>
          </cell>
        </row>
        <row r="3897">
          <cell r="D3897" t="str">
            <v>LA</v>
          </cell>
          <cell r="H3897" t="str">
            <v>43N04AA#ABM</v>
          </cell>
          <cell r="M3897" t="str">
            <v>Foxconn LH</v>
          </cell>
        </row>
        <row r="3898">
          <cell r="D3898" t="str">
            <v>LA</v>
          </cell>
          <cell r="H3898" t="str">
            <v>18H24AA#AC4</v>
          </cell>
          <cell r="M3898" t="str">
            <v>Foxconn LH</v>
          </cell>
        </row>
        <row r="3899">
          <cell r="D3899" t="str">
            <v>LA</v>
          </cell>
          <cell r="H3899" t="str">
            <v>18H24AA#ABM</v>
          </cell>
          <cell r="M3899" t="str">
            <v>Foxconn LH</v>
          </cell>
        </row>
        <row r="3900">
          <cell r="D3900" t="str">
            <v>APJ</v>
          </cell>
          <cell r="H3900" t="str">
            <v>81S67UT#UUF</v>
          </cell>
          <cell r="M3900" t="str">
            <v>Foxconn LH</v>
          </cell>
        </row>
        <row r="3901">
          <cell r="D3901" t="str">
            <v>APJ</v>
          </cell>
          <cell r="H3901" t="str">
            <v>664R5AA#UUF</v>
          </cell>
          <cell r="M3901" t="str">
            <v>Foxconn LH</v>
          </cell>
        </row>
        <row r="3902">
          <cell r="D3902" t="str">
            <v>APJ</v>
          </cell>
          <cell r="H3902" t="str">
            <v>6VY96AA#UUF</v>
          </cell>
          <cell r="M3902" t="str">
            <v>Foxconn LH</v>
          </cell>
        </row>
        <row r="3903">
          <cell r="D3903" t="str">
            <v>APJ</v>
          </cell>
          <cell r="H3903" t="str">
            <v>53X27AA</v>
          </cell>
          <cell r="M3903" t="str">
            <v>Foxconn LH</v>
          </cell>
        </row>
        <row r="3904">
          <cell r="D3904" t="str">
            <v>NA/LA</v>
          </cell>
          <cell r="H3904" t="str">
            <v>X6W31AA#ABL</v>
          </cell>
          <cell r="M3904" t="str">
            <v>Foxconn LH</v>
          </cell>
        </row>
        <row r="3905">
          <cell r="D3905" t="str">
            <v>APJ</v>
          </cell>
          <cell r="H3905" t="str">
            <v>53X26AA#UUF</v>
          </cell>
          <cell r="M3905" t="str">
            <v>Foxconn LH</v>
          </cell>
        </row>
        <row r="3906">
          <cell r="D3906" t="str">
            <v>LA</v>
          </cell>
          <cell r="H3906" t="str">
            <v>805T2AA#ABM</v>
          </cell>
          <cell r="M3906" t="str">
            <v>Foxconn LH</v>
          </cell>
        </row>
        <row r="3907">
          <cell r="D3907" t="str">
            <v>NA/LA</v>
          </cell>
          <cell r="H3907" t="str">
            <v>758A9AA#ABA</v>
          </cell>
          <cell r="M3907" t="str">
            <v>Foxconn LH</v>
          </cell>
        </row>
        <row r="3908">
          <cell r="D3908" t="str">
            <v>APJ</v>
          </cell>
          <cell r="H3908" t="str">
            <v>822M9UT#UUF</v>
          </cell>
          <cell r="M3908" t="str">
            <v>Foxconn LH</v>
          </cell>
        </row>
        <row r="3909">
          <cell r="D3909" t="str">
            <v>APJ</v>
          </cell>
          <cell r="H3909" t="str">
            <v>4E407UT#UUF</v>
          </cell>
          <cell r="M3909" t="str">
            <v>Foxconn LH</v>
          </cell>
        </row>
        <row r="3910">
          <cell r="D3910" t="str">
            <v>LA</v>
          </cell>
          <cell r="H3910" t="str">
            <v>4E407UT#ABM</v>
          </cell>
          <cell r="M3910" t="str">
            <v>Foxconn LH</v>
          </cell>
        </row>
        <row r="3911">
          <cell r="D3911" t="str">
            <v>APJ</v>
          </cell>
          <cell r="H3911" t="str">
            <v>822M9UT#UUF</v>
          </cell>
          <cell r="M3911" t="str">
            <v>Foxconn LH</v>
          </cell>
        </row>
        <row r="3912">
          <cell r="D3912" t="str">
            <v>NA/LA</v>
          </cell>
          <cell r="H3912" t="str">
            <v>758A8AA#ABA</v>
          </cell>
          <cell r="M3912" t="str">
            <v>Foxconn LH</v>
          </cell>
        </row>
        <row r="3913">
          <cell r="D3913" t="str">
            <v>APJ</v>
          </cell>
          <cell r="H3913" t="str">
            <v>1Y4D0UT#UUF</v>
          </cell>
          <cell r="M3913" t="str">
            <v>Foxconn LH</v>
          </cell>
        </row>
        <row r="3914">
          <cell r="D3914" t="str">
            <v>APJ</v>
          </cell>
          <cell r="H3914" t="str">
            <v>18H24AA#UUF</v>
          </cell>
          <cell r="M3914" t="str">
            <v>Foxconn LH</v>
          </cell>
        </row>
        <row r="3915">
          <cell r="D3915" t="str">
            <v>LA</v>
          </cell>
          <cell r="H3915" t="str">
            <v>18H24AA#ABM</v>
          </cell>
          <cell r="M3915" t="str">
            <v>Foxconn LH</v>
          </cell>
        </row>
        <row r="3916">
          <cell r="D3916" t="str">
            <v>APJ</v>
          </cell>
          <cell r="H3916" t="str">
            <v>1D0K2AA#UUF</v>
          </cell>
          <cell r="M3916" t="str">
            <v>Foxconn LH</v>
          </cell>
        </row>
        <row r="3917">
          <cell r="D3917" t="str">
            <v>LA</v>
          </cell>
          <cell r="H3917" t="str">
            <v>2S9L1AA#ABM</v>
          </cell>
          <cell r="M3917" t="str">
            <v>Foxconn LH</v>
          </cell>
        </row>
        <row r="3918">
          <cell r="D3918" t="str">
            <v>LA</v>
          </cell>
          <cell r="H3918" t="str">
            <v>3L1E7AA#ABM</v>
          </cell>
          <cell r="M3918" t="str">
            <v>Foxconn LH</v>
          </cell>
        </row>
        <row r="3919">
          <cell r="D3919" t="str">
            <v>LA</v>
          </cell>
          <cell r="H3919" t="str">
            <v>3V0G9AA#ABM</v>
          </cell>
          <cell r="M3919" t="str">
            <v>Foxconn LH</v>
          </cell>
        </row>
        <row r="3920">
          <cell r="D3920" t="str">
            <v>LA</v>
          </cell>
          <cell r="H3920" t="str">
            <v>3L1E7AA#AC4</v>
          </cell>
          <cell r="M3920" t="str">
            <v>Foxconn LH</v>
          </cell>
        </row>
        <row r="3921">
          <cell r="D3921" t="str">
            <v>NA/LA</v>
          </cell>
          <cell r="H3921" t="str">
            <v>53X26AA#ABL</v>
          </cell>
          <cell r="M3921" t="str">
            <v>Foxconn LH</v>
          </cell>
        </row>
        <row r="3922">
          <cell r="D3922" t="str">
            <v>LA</v>
          </cell>
          <cell r="H3922" t="str">
            <v>6VY96AA#ABM</v>
          </cell>
          <cell r="M3922" t="str">
            <v>Foxconn LH</v>
          </cell>
        </row>
        <row r="3923">
          <cell r="D3923" t="str">
            <v>APJ</v>
          </cell>
          <cell r="H3923" t="str">
            <v>M82159-001</v>
          </cell>
          <cell r="M3923" t="str">
            <v>Foxconn LH</v>
          </cell>
        </row>
        <row r="3924">
          <cell r="D3924" t="str">
            <v>APJ</v>
          </cell>
          <cell r="H3924" t="str">
            <v>53X27AA</v>
          </cell>
          <cell r="M3924" t="str">
            <v>Foxconn LH</v>
          </cell>
        </row>
        <row r="3925">
          <cell r="D3925" t="str">
            <v>APJ</v>
          </cell>
          <cell r="H3925" t="str">
            <v>53X26AA#UUF</v>
          </cell>
          <cell r="M3925" t="str">
            <v>Foxconn LH</v>
          </cell>
        </row>
        <row r="3926">
          <cell r="D3926" t="str">
            <v>APJ</v>
          </cell>
          <cell r="H3926" t="str">
            <v>X6W31AA#UUF</v>
          </cell>
          <cell r="M3926" t="str">
            <v>Foxconn LH</v>
          </cell>
        </row>
        <row r="3927">
          <cell r="D3927" t="str">
            <v>APJ</v>
          </cell>
          <cell r="H3927" t="str">
            <v>9C2F7AA#UUF</v>
          </cell>
          <cell r="M3927" t="str">
            <v>Foxconn LH</v>
          </cell>
        </row>
        <row r="3928">
          <cell r="D3928" t="str">
            <v>APJ</v>
          </cell>
          <cell r="H3928" t="str">
            <v>4E407UT#UUF</v>
          </cell>
          <cell r="M3928" t="str">
            <v>Foxconn LH</v>
          </cell>
        </row>
        <row r="3929">
          <cell r="D3929" t="str">
            <v>APJ</v>
          </cell>
          <cell r="H3929" t="str">
            <v>77B10AA#UUF</v>
          </cell>
          <cell r="M3929" t="str">
            <v>Foxconn LH</v>
          </cell>
        </row>
        <row r="3930">
          <cell r="D3930" t="str">
            <v>APJ</v>
          </cell>
          <cell r="H3930" t="str">
            <v>77B10AA#UUF</v>
          </cell>
          <cell r="M3930" t="str">
            <v>Foxconn LH</v>
          </cell>
        </row>
        <row r="3931">
          <cell r="D3931" t="str">
            <v>NA</v>
          </cell>
          <cell r="H3931" t="str">
            <v>664R5AA#ABL</v>
          </cell>
          <cell r="M3931" t="str">
            <v>Foxconn LH</v>
          </cell>
        </row>
        <row r="3932">
          <cell r="D3932" t="str">
            <v>NA</v>
          </cell>
          <cell r="H3932" t="str">
            <v>3L1E7AA#ABA</v>
          </cell>
          <cell r="M3932" t="str">
            <v>Foxconn LH</v>
          </cell>
        </row>
        <row r="3933">
          <cell r="D3933" t="str">
            <v>LA</v>
          </cell>
          <cell r="H3933" t="str">
            <v>3V0G9AA#ABM</v>
          </cell>
          <cell r="M3933" t="str">
            <v>Foxconn LH</v>
          </cell>
        </row>
        <row r="3934">
          <cell r="D3934" t="str">
            <v>NA/LA</v>
          </cell>
          <cell r="H3934" t="str">
            <v>X6W31AA#ABL</v>
          </cell>
          <cell r="M3934" t="str">
            <v>Foxconn LH</v>
          </cell>
        </row>
        <row r="3935">
          <cell r="D3935" t="str">
            <v>APJ</v>
          </cell>
          <cell r="H3935" t="str">
            <v>18H24AA#UUF</v>
          </cell>
          <cell r="M3935" t="str">
            <v>Foxconn LH</v>
          </cell>
        </row>
        <row r="3936">
          <cell r="D3936" t="str">
            <v>LA</v>
          </cell>
          <cell r="H3936" t="str">
            <v>18H24AA#ABM</v>
          </cell>
          <cell r="M3936" t="str">
            <v>Foxconn LH</v>
          </cell>
        </row>
        <row r="3937">
          <cell r="D3937" t="str">
            <v>LA</v>
          </cell>
          <cell r="H3937" t="str">
            <v>2V9E6AA#ABM</v>
          </cell>
          <cell r="M3937" t="str">
            <v>Foxconn LH</v>
          </cell>
        </row>
        <row r="3938">
          <cell r="D3938" t="str">
            <v>APJ</v>
          </cell>
          <cell r="H3938" t="str">
            <v>1Y4D0UT#AB1</v>
          </cell>
          <cell r="M3938" t="str">
            <v>Foxconn LH</v>
          </cell>
        </row>
        <row r="3939">
          <cell r="D3939" t="str">
            <v>LA</v>
          </cell>
          <cell r="H3939" t="str">
            <v>2S9L1AA#ABM</v>
          </cell>
          <cell r="M3939" t="str">
            <v>Foxconn LH</v>
          </cell>
        </row>
        <row r="3940">
          <cell r="D3940" t="str">
            <v>APJ</v>
          </cell>
          <cell r="H3940" t="str">
            <v>X7Q44AA#UUF</v>
          </cell>
          <cell r="M3940" t="str">
            <v>Foxconn LH</v>
          </cell>
        </row>
        <row r="3941">
          <cell r="D3941" t="str">
            <v>APJ</v>
          </cell>
          <cell r="H3941" t="str">
            <v>2S9L1AA#UUF</v>
          </cell>
          <cell r="M3941" t="str">
            <v>Foxconn LH</v>
          </cell>
        </row>
        <row r="3942">
          <cell r="D3942" t="str">
            <v>NA/LA</v>
          </cell>
          <cell r="H3942" t="str">
            <v>53X26AA#ABL</v>
          </cell>
          <cell r="M3942" t="str">
            <v>Foxconn LH</v>
          </cell>
        </row>
        <row r="3943">
          <cell r="D3943" t="str">
            <v>NA/LA</v>
          </cell>
          <cell r="H3943" t="str">
            <v>53X26AA#ABL</v>
          </cell>
          <cell r="M3943" t="str">
            <v>Foxconn LH</v>
          </cell>
        </row>
        <row r="3944">
          <cell r="D3944" t="str">
            <v>APJ</v>
          </cell>
          <cell r="H3944" t="str">
            <v>6VY96AA#UUF</v>
          </cell>
          <cell r="M3944" t="str">
            <v>Foxconn LH</v>
          </cell>
        </row>
        <row r="3945">
          <cell r="D3945" t="str">
            <v>APJ</v>
          </cell>
          <cell r="H3945" t="str">
            <v>1Y4D0UT#UUF</v>
          </cell>
          <cell r="M3945" t="str">
            <v>Foxconn LH</v>
          </cell>
        </row>
        <row r="3946">
          <cell r="D3946" t="str">
            <v>LA</v>
          </cell>
          <cell r="H3946" t="str">
            <v>1Y4D0UT#ABM</v>
          </cell>
          <cell r="M3946" t="str">
            <v>Foxconn LH</v>
          </cell>
        </row>
        <row r="3947">
          <cell r="D3947" t="str">
            <v>APJ</v>
          </cell>
          <cell r="H3947" t="str">
            <v>18H24AA#UUF</v>
          </cell>
          <cell r="M3947" t="str">
            <v>Foxconn LH</v>
          </cell>
        </row>
        <row r="3948">
          <cell r="D3948" t="str">
            <v>LA</v>
          </cell>
          <cell r="H3948" t="str">
            <v>18H24AA#ABM</v>
          </cell>
          <cell r="M3948" t="str">
            <v>Foxconn LH</v>
          </cell>
        </row>
        <row r="3949">
          <cell r="D3949" t="str">
            <v>APJ</v>
          </cell>
          <cell r="H3949" t="str">
            <v>77B10AA#UUF</v>
          </cell>
          <cell r="M3949" t="str">
            <v>Foxconn LH</v>
          </cell>
        </row>
        <row r="3950">
          <cell r="D3950" t="str">
            <v>APJ</v>
          </cell>
          <cell r="H3950" t="str">
            <v>9DF28AA#UUF</v>
          </cell>
          <cell r="M3950" t="str">
            <v>Foxconn LH</v>
          </cell>
        </row>
        <row r="3951">
          <cell r="D3951" t="str">
            <v>LA</v>
          </cell>
          <cell r="H3951" t="str">
            <v>3L1E7AA#ABM</v>
          </cell>
          <cell r="M3951" t="str">
            <v>Foxconn LH</v>
          </cell>
        </row>
        <row r="3952">
          <cell r="D3952" t="str">
            <v>NA/LA</v>
          </cell>
          <cell r="H3952" t="str">
            <v>758A8AA#ABA</v>
          </cell>
          <cell r="M3952" t="str">
            <v>Foxconn LH</v>
          </cell>
        </row>
        <row r="3953">
          <cell r="D3953" t="str">
            <v>NA/LA</v>
          </cell>
          <cell r="H3953" t="str">
            <v>758A8AA#ABA</v>
          </cell>
          <cell r="M3953" t="str">
            <v>Foxconn LH</v>
          </cell>
        </row>
        <row r="3954">
          <cell r="D3954" t="str">
            <v>APJ</v>
          </cell>
          <cell r="H3954" t="str">
            <v>4E407UT#UUF</v>
          </cell>
          <cell r="M3954" t="str">
            <v>Foxconn LH</v>
          </cell>
        </row>
        <row r="3955">
          <cell r="D3955" t="str">
            <v>APJ</v>
          </cell>
          <cell r="H3955" t="str">
            <v>822M9UT#UUF</v>
          </cell>
          <cell r="M3955" t="str">
            <v>Foxconn LH</v>
          </cell>
        </row>
        <row r="3956">
          <cell r="D3956" t="str">
            <v>NA/LA</v>
          </cell>
          <cell r="H3956" t="str">
            <v>2HU84AA#ABL</v>
          </cell>
          <cell r="M3956" t="str">
            <v>Foxconn LH</v>
          </cell>
        </row>
        <row r="3957">
          <cell r="D3957" t="str">
            <v>NA/LA</v>
          </cell>
          <cell r="H3957" t="str">
            <v>X6W31AA#ABL</v>
          </cell>
          <cell r="M3957" t="str">
            <v>Foxconn LH</v>
          </cell>
        </row>
        <row r="3958">
          <cell r="D3958" t="str">
            <v>NA/LA</v>
          </cell>
          <cell r="H3958" t="str">
            <v>2HU85AA#ABL</v>
          </cell>
          <cell r="M3958" t="str">
            <v>Foxconn LH</v>
          </cell>
        </row>
        <row r="3959">
          <cell r="D3959" t="str">
            <v>NA/LA</v>
          </cell>
          <cell r="H3959" t="str">
            <v>2HU85AA#ABL</v>
          </cell>
          <cell r="M3959" t="str">
            <v>Foxconn LH</v>
          </cell>
        </row>
        <row r="3960">
          <cell r="D3960" t="str">
            <v>NA/LA</v>
          </cell>
          <cell r="H3960" t="str">
            <v>2HU85AA#ABL</v>
          </cell>
          <cell r="M3960" t="str">
            <v>Foxconn LH</v>
          </cell>
        </row>
        <row r="3961">
          <cell r="D3961" t="str">
            <v>NA/LA</v>
          </cell>
          <cell r="H3961" t="str">
            <v>2HU83AA#ABL</v>
          </cell>
          <cell r="M3961" t="str">
            <v>Foxconn LH</v>
          </cell>
        </row>
        <row r="3962">
          <cell r="D3962" t="str">
            <v>NA/LA</v>
          </cell>
          <cell r="H3962" t="str">
            <v>2HU82AA#ABL</v>
          </cell>
          <cell r="M3962" t="str">
            <v>Foxconn LH</v>
          </cell>
        </row>
        <row r="3963">
          <cell r="D3963" t="str">
            <v>LA</v>
          </cell>
          <cell r="H3963" t="str">
            <v>3ML04AA#ABM</v>
          </cell>
          <cell r="M3963" t="str">
            <v>Foxconn LH</v>
          </cell>
        </row>
        <row r="3964">
          <cell r="D3964" t="str">
            <v>APJ</v>
          </cell>
          <cell r="H3964" t="str">
            <v>53X27AA</v>
          </cell>
          <cell r="M3964" t="str">
            <v>Foxconn LH</v>
          </cell>
        </row>
        <row r="3965">
          <cell r="D3965" t="str">
            <v>APJ</v>
          </cell>
          <cell r="H3965" t="str">
            <v>3V0G9AA#UUF</v>
          </cell>
          <cell r="M3965" t="str">
            <v>Foxconn LH</v>
          </cell>
        </row>
        <row r="3966">
          <cell r="D3966" t="str">
            <v>APJ</v>
          </cell>
          <cell r="H3966" t="str">
            <v>18H24AA#UUF</v>
          </cell>
          <cell r="M3966" t="str">
            <v>Foxconn LH</v>
          </cell>
        </row>
        <row r="3967">
          <cell r="D3967" t="str">
            <v>APJ</v>
          </cell>
          <cell r="H3967" t="str">
            <v>6VY96AA#UUF</v>
          </cell>
          <cell r="M3967" t="str">
            <v>Foxconn LH</v>
          </cell>
        </row>
        <row r="3968">
          <cell r="D3968" t="str">
            <v>APJ</v>
          </cell>
          <cell r="H3968" t="str">
            <v>240J7AA#UUF</v>
          </cell>
          <cell r="M3968" t="str">
            <v>Foxconn LH</v>
          </cell>
        </row>
        <row r="3969">
          <cell r="D3969" t="str">
            <v>APJ</v>
          </cell>
          <cell r="H3969" t="str">
            <v>43N04AA#UUF</v>
          </cell>
          <cell r="M3969" t="str">
            <v>Foxconn LH</v>
          </cell>
        </row>
        <row r="3970">
          <cell r="D3970" t="str">
            <v>APJ</v>
          </cell>
          <cell r="H3970" t="str">
            <v>1Y4D0UT#AB1</v>
          </cell>
          <cell r="M3970" t="str">
            <v>Foxconn LH</v>
          </cell>
        </row>
        <row r="3971">
          <cell r="D3971" t="str">
            <v>APJ</v>
          </cell>
          <cell r="H3971" t="str">
            <v>9DF28AA#UUF</v>
          </cell>
          <cell r="M3971" t="str">
            <v>Foxconn LH</v>
          </cell>
        </row>
        <row r="3972">
          <cell r="D3972" t="str">
            <v>LA</v>
          </cell>
          <cell r="H3972" t="str">
            <v>1Y4D0UT#ABM</v>
          </cell>
          <cell r="M3972" t="str">
            <v>Foxconn LH</v>
          </cell>
        </row>
        <row r="3973">
          <cell r="D3973" t="str">
            <v>LA</v>
          </cell>
          <cell r="H3973" t="str">
            <v>3L1F0AA#ABM</v>
          </cell>
          <cell r="M3973" t="str">
            <v>Foxconn LH</v>
          </cell>
        </row>
        <row r="3974">
          <cell r="D3974" t="str">
            <v>LA</v>
          </cell>
          <cell r="H3974" t="str">
            <v>3L1E7AA#ABM</v>
          </cell>
          <cell r="M3974" t="str">
            <v>Foxconn LH</v>
          </cell>
        </row>
        <row r="3975">
          <cell r="D3975" t="str">
            <v>LA</v>
          </cell>
          <cell r="H3975" t="str">
            <v>3V0G9AA#ABM</v>
          </cell>
          <cell r="M3975" t="str">
            <v>Foxconn LH</v>
          </cell>
        </row>
        <row r="3976">
          <cell r="D3976" t="str">
            <v>LA</v>
          </cell>
          <cell r="H3976" t="str">
            <v>18H24AA#ABM</v>
          </cell>
          <cell r="M3976" t="str">
            <v>Foxconn LH</v>
          </cell>
        </row>
        <row r="3977">
          <cell r="D3977" t="str">
            <v>NA/LA</v>
          </cell>
          <cell r="H3977" t="str">
            <v>758A9AA#ABA</v>
          </cell>
          <cell r="M3977" t="str">
            <v>Foxconn LH</v>
          </cell>
        </row>
        <row r="3978">
          <cell r="D3978" t="str">
            <v>APJ</v>
          </cell>
          <cell r="H3978" t="str">
            <v>4E407UT#UUF</v>
          </cell>
          <cell r="M3978" t="str">
            <v>Foxconn LH</v>
          </cell>
        </row>
        <row r="3979">
          <cell r="D3979" t="str">
            <v>APJ</v>
          </cell>
          <cell r="H3979" t="str">
            <v>758A9AA#UUF</v>
          </cell>
          <cell r="M3979" t="str">
            <v>Foxconn LH</v>
          </cell>
        </row>
        <row r="3980">
          <cell r="D3980" t="str">
            <v>APJ</v>
          </cell>
          <cell r="H3980" t="str">
            <v>53X26AA#UUF</v>
          </cell>
          <cell r="M3980" t="str">
            <v>Foxconn LH</v>
          </cell>
        </row>
        <row r="3981">
          <cell r="D3981" t="str">
            <v>APJ</v>
          </cell>
          <cell r="H3981" t="str">
            <v>X7Q43AA#UUF</v>
          </cell>
          <cell r="M3981" t="str">
            <v>Foxconn LH</v>
          </cell>
        </row>
        <row r="3982">
          <cell r="D3982" t="str">
            <v>LA</v>
          </cell>
          <cell r="H3982" t="str">
            <v>2V9E6AA#AC4</v>
          </cell>
          <cell r="M3982" t="str">
            <v>Foxconn LH</v>
          </cell>
        </row>
        <row r="3983">
          <cell r="D3983" t="str">
            <v>LA</v>
          </cell>
          <cell r="H3983" t="str">
            <v>4E407UT#ABM</v>
          </cell>
          <cell r="M3983" t="str">
            <v>Foxconn LH</v>
          </cell>
        </row>
        <row r="3984">
          <cell r="D3984" t="str">
            <v>NA</v>
          </cell>
          <cell r="H3984" t="str">
            <v>9T5B0UT#ABA</v>
          </cell>
          <cell r="M3984" t="str">
            <v>Foxconn LH</v>
          </cell>
        </row>
        <row r="3985">
          <cell r="D3985" t="str">
            <v>LA</v>
          </cell>
          <cell r="H3985" t="str">
            <v>2V9E6AA#AC4</v>
          </cell>
          <cell r="M3985" t="str">
            <v>Foxconn LH</v>
          </cell>
        </row>
        <row r="3986">
          <cell r="D3986" t="str">
            <v>APJ</v>
          </cell>
          <cell r="H3986" t="str">
            <v>V0L79AA#UUF</v>
          </cell>
          <cell r="M3986" t="str">
            <v>Foxconn LH</v>
          </cell>
        </row>
        <row r="3987">
          <cell r="D3987" t="str">
            <v>APJ</v>
          </cell>
          <cell r="H3987" t="str">
            <v>X7Q44AA#UUF</v>
          </cell>
          <cell r="M3987" t="str">
            <v>Foxconn LH</v>
          </cell>
        </row>
        <row r="3988">
          <cell r="D3988" t="str">
            <v>LA</v>
          </cell>
          <cell r="H3988" t="str">
            <v>2S9L1AA#ABM</v>
          </cell>
          <cell r="M3988" t="str">
            <v>Foxconn LH</v>
          </cell>
        </row>
        <row r="3989">
          <cell r="D3989" t="str">
            <v>APJ</v>
          </cell>
          <cell r="H3989" t="str">
            <v>758A8AA#UUF</v>
          </cell>
          <cell r="M3989" t="str">
            <v>Foxconn LH</v>
          </cell>
        </row>
        <row r="3990">
          <cell r="D3990" t="str">
            <v>APJ</v>
          </cell>
          <cell r="H3990" t="str">
            <v>822M9UT#UUF</v>
          </cell>
          <cell r="M3990" t="str">
            <v>Foxconn LH</v>
          </cell>
        </row>
        <row r="3991">
          <cell r="D3991" t="str">
            <v>APJ</v>
          </cell>
          <cell r="H3991" t="str">
            <v>240J6AA#UUF</v>
          </cell>
          <cell r="M3991" t="str">
            <v>Foxconn LH</v>
          </cell>
        </row>
        <row r="3992">
          <cell r="D3992" t="str">
            <v>APJ</v>
          </cell>
          <cell r="H3992" t="str">
            <v>77B10AA#UUF</v>
          </cell>
          <cell r="M3992" t="str">
            <v>Foxconn LH</v>
          </cell>
        </row>
        <row r="3993">
          <cell r="D3993" t="str">
            <v>APJ</v>
          </cell>
          <cell r="H3993" t="str">
            <v>3L1F0AA#UUF</v>
          </cell>
          <cell r="M3993" t="str">
            <v>Foxconn LH</v>
          </cell>
        </row>
        <row r="3994">
          <cell r="D3994" t="str">
            <v>APJ</v>
          </cell>
          <cell r="H3994" t="str">
            <v>9DF28AA#UUF</v>
          </cell>
          <cell r="M3994" t="str">
            <v>Foxconn LH</v>
          </cell>
        </row>
        <row r="3995">
          <cell r="D3995" t="str">
            <v>APJ</v>
          </cell>
          <cell r="H3995" t="str">
            <v>758A8AA#UUF</v>
          </cell>
          <cell r="M3995" t="str">
            <v>Foxconn LH</v>
          </cell>
        </row>
        <row r="3996">
          <cell r="D3996" t="str">
            <v>APJ</v>
          </cell>
          <cell r="H3996" t="str">
            <v>758A9AA#UUF</v>
          </cell>
          <cell r="M3996" t="str">
            <v>Foxconn LH</v>
          </cell>
        </row>
        <row r="3997">
          <cell r="D3997" t="str">
            <v>APJ</v>
          </cell>
          <cell r="H3997" t="str">
            <v>822M9UT#UUF</v>
          </cell>
          <cell r="M3997" t="str">
            <v>Foxconn LH</v>
          </cell>
        </row>
        <row r="3998">
          <cell r="D3998" t="str">
            <v>APJ</v>
          </cell>
          <cell r="H3998" t="str">
            <v>M82159-001</v>
          </cell>
          <cell r="M3998" t="str">
            <v>Foxconn LH</v>
          </cell>
        </row>
        <row r="3999">
          <cell r="D3999" t="str">
            <v>APJ</v>
          </cell>
          <cell r="H3999" t="str">
            <v>3ML04AA#UUF</v>
          </cell>
          <cell r="M3999" t="str">
            <v>Foxconn LH</v>
          </cell>
        </row>
        <row r="4000">
          <cell r="D4000" t="str">
            <v>APJ</v>
          </cell>
          <cell r="H4000" t="str">
            <v>6E6F0AA#UUF</v>
          </cell>
          <cell r="M4000" t="str">
            <v>Foxconn LH</v>
          </cell>
        </row>
        <row r="4001">
          <cell r="D4001" t="str">
            <v>APJ</v>
          </cell>
          <cell r="H4001" t="str">
            <v>6VY96AA#UUF</v>
          </cell>
          <cell r="M4001" t="str">
            <v>Foxconn LH</v>
          </cell>
        </row>
        <row r="4002">
          <cell r="D4002" t="str">
            <v>APJ</v>
          </cell>
          <cell r="H4002" t="str">
            <v>9DF28AA#UUF</v>
          </cell>
          <cell r="M4002" t="str">
            <v>Foxconn LH</v>
          </cell>
        </row>
        <row r="4003">
          <cell r="D4003" t="str">
            <v>APJ</v>
          </cell>
          <cell r="H4003" t="str">
            <v>18H24AA#UUF</v>
          </cell>
          <cell r="M4003" t="str">
            <v>Foxconn LH</v>
          </cell>
        </row>
        <row r="4004">
          <cell r="D4004" t="str">
            <v>LA</v>
          </cell>
          <cell r="H4004" t="str">
            <v>1Y4D0UT#AC4</v>
          </cell>
          <cell r="M4004" t="str">
            <v>Foxconn LH</v>
          </cell>
        </row>
        <row r="4005">
          <cell r="D4005" t="str">
            <v>LA</v>
          </cell>
          <cell r="H4005" t="str">
            <v>1Y4D0UT#ABM</v>
          </cell>
          <cell r="M4005" t="str">
            <v>Foxconn LH</v>
          </cell>
        </row>
        <row r="4006">
          <cell r="D4006" t="str">
            <v>APJ</v>
          </cell>
          <cell r="H4006" t="str">
            <v>664R5AA#UUF</v>
          </cell>
          <cell r="M4006" t="str">
            <v>Foxconn LH</v>
          </cell>
        </row>
        <row r="4007">
          <cell r="D4007" t="str">
            <v>APJ</v>
          </cell>
          <cell r="H4007" t="str">
            <v>3ML04AA#UUF</v>
          </cell>
          <cell r="M4007" t="str">
            <v>Foxconn LH</v>
          </cell>
        </row>
        <row r="4008">
          <cell r="D4008" t="str">
            <v>APJ</v>
          </cell>
          <cell r="H4008" t="str">
            <v>4E407UT#UUF</v>
          </cell>
          <cell r="M4008" t="str">
            <v>Foxconn LH</v>
          </cell>
        </row>
        <row r="4009">
          <cell r="D4009" t="str">
            <v>APJ</v>
          </cell>
          <cell r="H4009" t="str">
            <v>77B11AA#UUF</v>
          </cell>
          <cell r="M4009" t="str">
            <v>Foxconn LH</v>
          </cell>
        </row>
        <row r="4010">
          <cell r="D4010" t="str">
            <v>NA/LA</v>
          </cell>
          <cell r="H4010" t="str">
            <v>2HU84AA#ABL</v>
          </cell>
          <cell r="M4010" t="str">
            <v>Foxconn LH</v>
          </cell>
        </row>
        <row r="4011">
          <cell r="D4011" t="str">
            <v>LA</v>
          </cell>
          <cell r="H4011" t="str">
            <v>1Y4D0UT#AC4</v>
          </cell>
          <cell r="M4011" t="str">
            <v>Foxconn LH</v>
          </cell>
        </row>
        <row r="4012">
          <cell r="D4012" t="str">
            <v>APJ</v>
          </cell>
          <cell r="H4012" t="str">
            <v>9DF28AA#UUF</v>
          </cell>
          <cell r="M4012" t="str">
            <v>Foxconn LH</v>
          </cell>
        </row>
        <row r="4013">
          <cell r="D4013" t="str">
            <v>LA</v>
          </cell>
          <cell r="H4013" t="str">
            <v>1Y4D0UT#ABM</v>
          </cell>
          <cell r="M4013" t="str">
            <v>Foxconn LH</v>
          </cell>
        </row>
        <row r="4014">
          <cell r="D4014" t="str">
            <v>LA</v>
          </cell>
          <cell r="H4014" t="str">
            <v>240J7AA#ABM</v>
          </cell>
          <cell r="M4014" t="str">
            <v>Foxconn LH</v>
          </cell>
        </row>
        <row r="4015">
          <cell r="D4015" t="str">
            <v>APJ</v>
          </cell>
          <cell r="H4015" t="str">
            <v>3ML04AA#UUF</v>
          </cell>
          <cell r="M4015" t="str">
            <v>Foxconn LH</v>
          </cell>
        </row>
        <row r="4016">
          <cell r="D4016" t="str">
            <v>NA/LA</v>
          </cell>
          <cell r="H4016" t="str">
            <v>4QM14AA#ABL</v>
          </cell>
          <cell r="M4016" t="str">
            <v>Foxconn LH</v>
          </cell>
        </row>
        <row r="4017">
          <cell r="D4017" t="str">
            <v>APJ</v>
          </cell>
          <cell r="H4017" t="str">
            <v>758A8AA#UUF</v>
          </cell>
          <cell r="M4017" t="str">
            <v>Foxconn LH</v>
          </cell>
        </row>
        <row r="4018">
          <cell r="D4018" t="str">
            <v>APJ</v>
          </cell>
          <cell r="H4018" t="str">
            <v>822M9UT#UUF</v>
          </cell>
          <cell r="M4018" t="str">
            <v>Foxconn LH</v>
          </cell>
        </row>
        <row r="4019">
          <cell r="D4019" t="str">
            <v>APJ</v>
          </cell>
          <cell r="H4019" t="str">
            <v>822M9UT#UUF</v>
          </cell>
          <cell r="M4019" t="str">
            <v>Foxconn LH</v>
          </cell>
        </row>
        <row r="4020">
          <cell r="D4020" t="str">
            <v>LA</v>
          </cell>
          <cell r="H4020" t="str">
            <v>4E407UT#ABM</v>
          </cell>
          <cell r="M4020" t="str">
            <v>Foxconn LH</v>
          </cell>
        </row>
        <row r="4021">
          <cell r="D4021" t="str">
            <v>NA</v>
          </cell>
          <cell r="H4021" t="str">
            <v>240J7AA#ABL</v>
          </cell>
          <cell r="M4021" t="str">
            <v>Foxconn LH</v>
          </cell>
        </row>
        <row r="4022">
          <cell r="D4022" t="str">
            <v>APJ</v>
          </cell>
          <cell r="H4022" t="str">
            <v>793F9AA#UUF</v>
          </cell>
          <cell r="M4022" t="str">
            <v>Foxconn LH</v>
          </cell>
        </row>
        <row r="4023">
          <cell r="D4023" t="str">
            <v>NA</v>
          </cell>
          <cell r="H4023" t="str">
            <v>664R5AA#ABL</v>
          </cell>
          <cell r="M4023" t="str">
            <v>Foxconn LH</v>
          </cell>
        </row>
        <row r="4024">
          <cell r="D4024" t="str">
            <v>APJ</v>
          </cell>
          <cell r="H4024" t="str">
            <v>4E407UT#UUF</v>
          </cell>
          <cell r="M4024" t="str">
            <v>Foxconn LH</v>
          </cell>
        </row>
        <row r="4025">
          <cell r="D4025" t="str">
            <v>APJ</v>
          </cell>
          <cell r="H4025" t="str">
            <v>3L1F0AA#UUF</v>
          </cell>
          <cell r="M4025" t="str">
            <v>Foxconn LH</v>
          </cell>
        </row>
        <row r="4026">
          <cell r="D4026" t="str">
            <v>APJ</v>
          </cell>
          <cell r="H4026" t="str">
            <v>1D0K9AA#UUF</v>
          </cell>
          <cell r="M4026" t="str">
            <v>Foxconn LH</v>
          </cell>
        </row>
        <row r="4027">
          <cell r="D4027" t="str">
            <v>APJ</v>
          </cell>
          <cell r="H4027" t="str">
            <v>18H24AA#UUF</v>
          </cell>
          <cell r="M4027" t="str">
            <v>Foxconn LH</v>
          </cell>
        </row>
        <row r="4028">
          <cell r="D4028" t="str">
            <v>APJ</v>
          </cell>
          <cell r="H4028" t="str">
            <v>1Y4D0UT#UUF</v>
          </cell>
          <cell r="M4028" t="str">
            <v>Foxconn LH</v>
          </cell>
        </row>
        <row r="4029">
          <cell r="D4029" t="str">
            <v>LA</v>
          </cell>
          <cell r="H4029" t="str">
            <v>1Y4D0UT#AC4</v>
          </cell>
          <cell r="M4029" t="str">
            <v>Foxconn LH</v>
          </cell>
        </row>
        <row r="4030">
          <cell r="D4030" t="str">
            <v>APJ</v>
          </cell>
          <cell r="H4030" t="str">
            <v>2V9E6AA#UUF</v>
          </cell>
          <cell r="M4030" t="str">
            <v>Foxconn LH</v>
          </cell>
        </row>
        <row r="4031">
          <cell r="D4031" t="str">
            <v>APJ</v>
          </cell>
          <cell r="H4031" t="str">
            <v>240J6AA#UUF</v>
          </cell>
          <cell r="M4031" t="str">
            <v>Foxconn LH</v>
          </cell>
        </row>
        <row r="4032">
          <cell r="D4032" t="str">
            <v>LA</v>
          </cell>
          <cell r="H4032" t="str">
            <v>1Y4D0UT#ABM</v>
          </cell>
          <cell r="M4032" t="str">
            <v>Foxconn LH</v>
          </cell>
        </row>
        <row r="4033">
          <cell r="D4033" t="str">
            <v>APJ</v>
          </cell>
          <cell r="H4033" t="str">
            <v>2S9L1AA#UUF</v>
          </cell>
          <cell r="M4033" t="str">
            <v>Foxconn LH</v>
          </cell>
        </row>
        <row r="4034">
          <cell r="D4034" t="str">
            <v>APJ</v>
          </cell>
          <cell r="H4034" t="str">
            <v>4E407UT#UUF</v>
          </cell>
          <cell r="M4034" t="str">
            <v>Foxconn LH</v>
          </cell>
        </row>
        <row r="4035">
          <cell r="D4035" t="str">
            <v>NA</v>
          </cell>
          <cell r="H4035" t="str">
            <v>77B10AA#ABA</v>
          </cell>
          <cell r="M4035" t="str">
            <v>Foxconn LH</v>
          </cell>
        </row>
        <row r="4036">
          <cell r="D4036" t="str">
            <v>APJ</v>
          </cell>
          <cell r="H4036" t="str">
            <v>3ML04AA#UUF</v>
          </cell>
          <cell r="M4036" t="str">
            <v>Foxconn LH</v>
          </cell>
        </row>
        <row r="4037">
          <cell r="D4037" t="str">
            <v>LA</v>
          </cell>
          <cell r="H4037" t="str">
            <v>4E407UT#ABM</v>
          </cell>
          <cell r="M4037" t="str">
            <v>Foxconn LH</v>
          </cell>
        </row>
        <row r="4038">
          <cell r="D4038" t="str">
            <v>APJ</v>
          </cell>
          <cell r="H4038" t="str">
            <v>822M9UT#UUF</v>
          </cell>
          <cell r="M4038" t="str">
            <v>Foxconn LH</v>
          </cell>
        </row>
        <row r="4039">
          <cell r="D4039" t="str">
            <v>APJ</v>
          </cell>
          <cell r="H4039" t="str">
            <v>758A8AA#UUF</v>
          </cell>
          <cell r="M4039" t="str">
            <v>Foxconn LH</v>
          </cell>
        </row>
        <row r="4040">
          <cell r="D4040" t="str">
            <v>APJ</v>
          </cell>
          <cell r="H4040" t="str">
            <v>758A9AA#UUF</v>
          </cell>
          <cell r="M4040" t="str">
            <v>Foxconn LH</v>
          </cell>
        </row>
        <row r="4041">
          <cell r="D4041" t="str">
            <v>APJ</v>
          </cell>
          <cell r="H4041" t="str">
            <v>2S9L1AA#UUF</v>
          </cell>
          <cell r="M4041" t="str">
            <v>Foxconn LH</v>
          </cell>
        </row>
        <row r="4042">
          <cell r="D4042" t="str">
            <v>APJ</v>
          </cell>
          <cell r="H4042" t="str">
            <v>18H24AA#UUF</v>
          </cell>
          <cell r="M4042" t="str">
            <v>Foxconn LH</v>
          </cell>
        </row>
        <row r="4043">
          <cell r="D4043" t="str">
            <v>APJ</v>
          </cell>
          <cell r="H4043" t="str">
            <v>6VY96AA#UUF</v>
          </cell>
          <cell r="M4043" t="str">
            <v>Foxconn LH</v>
          </cell>
        </row>
        <row r="4044">
          <cell r="D4044" t="str">
            <v>APJ</v>
          </cell>
          <cell r="H4044" t="str">
            <v>428K6AA</v>
          </cell>
          <cell r="M4044" t="str">
            <v>Foxconn LH</v>
          </cell>
        </row>
        <row r="4045">
          <cell r="D4045" t="str">
            <v>LA</v>
          </cell>
          <cell r="H4045" t="str">
            <v>1Y4D0UT#ABM</v>
          </cell>
          <cell r="M4045" t="str">
            <v>Foxconn LH</v>
          </cell>
        </row>
        <row r="4046">
          <cell r="D4046" t="str">
            <v>LA</v>
          </cell>
          <cell r="H4046" t="str">
            <v>2V9E6AA#ABM</v>
          </cell>
          <cell r="M4046" t="str">
            <v>Foxconn LH</v>
          </cell>
        </row>
        <row r="4047">
          <cell r="D4047" t="str">
            <v>APJ</v>
          </cell>
          <cell r="H4047" t="str">
            <v>6E6F2AA#UUF</v>
          </cell>
          <cell r="M4047" t="str">
            <v>Foxconn LH</v>
          </cell>
        </row>
        <row r="4048">
          <cell r="D4048" t="str">
            <v>APJ</v>
          </cell>
          <cell r="H4048" t="str">
            <v>X7Q44AA#UUF</v>
          </cell>
          <cell r="M4048" t="str">
            <v>Foxconn LH</v>
          </cell>
        </row>
        <row r="4049">
          <cell r="D4049" t="str">
            <v>NA/LA</v>
          </cell>
          <cell r="H4049" t="str">
            <v>X6W31AA#ABL</v>
          </cell>
          <cell r="M4049" t="str">
            <v>Foxconn LH</v>
          </cell>
        </row>
        <row r="4050">
          <cell r="D4050" t="str">
            <v>APJ</v>
          </cell>
          <cell r="H4050" t="str">
            <v>18H24AA#UUF</v>
          </cell>
          <cell r="M4050" t="str">
            <v>Foxconn LH</v>
          </cell>
        </row>
        <row r="4051">
          <cell r="D4051" t="str">
            <v>APJ</v>
          </cell>
          <cell r="H4051" t="str">
            <v>240J7AA#UUF</v>
          </cell>
          <cell r="M4051" t="str">
            <v>Foxconn LH</v>
          </cell>
        </row>
        <row r="4052">
          <cell r="D4052" t="str">
            <v>APJ</v>
          </cell>
          <cell r="H4052" t="str">
            <v>428K6AA</v>
          </cell>
          <cell r="M4052" t="str">
            <v>Foxconn LH</v>
          </cell>
        </row>
        <row r="4053">
          <cell r="D4053" t="str">
            <v>LA</v>
          </cell>
          <cell r="H4053" t="str">
            <v>2V9E6AA#AC4</v>
          </cell>
          <cell r="M4053" t="str">
            <v>Foxconn LH</v>
          </cell>
        </row>
        <row r="4054">
          <cell r="D4054" t="str">
            <v>LA</v>
          </cell>
          <cell r="H4054" t="str">
            <v>3L1E7AA#AC4</v>
          </cell>
          <cell r="M4054" t="str">
            <v>Foxconn LH</v>
          </cell>
        </row>
        <row r="4055">
          <cell r="D4055" t="str">
            <v>LA</v>
          </cell>
          <cell r="H4055" t="str">
            <v>3L1E7AA#AC4</v>
          </cell>
          <cell r="M4055" t="str">
            <v>Foxconn LH</v>
          </cell>
        </row>
        <row r="4056">
          <cell r="D4056" t="str">
            <v>LA</v>
          </cell>
          <cell r="H4056" t="str">
            <v>2S9L1AA#ABM</v>
          </cell>
          <cell r="M4056" t="str">
            <v>Foxconn LH</v>
          </cell>
        </row>
        <row r="4057">
          <cell r="D4057" t="str">
            <v>NA/LA</v>
          </cell>
          <cell r="H4057" t="str">
            <v>53X26AA#ABL</v>
          </cell>
          <cell r="M4057" t="str">
            <v>Foxconn LH</v>
          </cell>
        </row>
        <row r="4058">
          <cell r="D4058" t="str">
            <v>APJ</v>
          </cell>
          <cell r="H4058" t="str">
            <v>81S67UT#UUF</v>
          </cell>
          <cell r="M4058" t="str">
            <v>Foxconn LH</v>
          </cell>
        </row>
        <row r="4059">
          <cell r="D4059" t="str">
            <v>APJ</v>
          </cell>
          <cell r="H4059" t="str">
            <v>6E6F0AA#UUF</v>
          </cell>
          <cell r="M4059" t="str">
            <v>Foxconn LH</v>
          </cell>
        </row>
        <row r="4060">
          <cell r="D4060" t="str">
            <v>APJ</v>
          </cell>
          <cell r="H4060" t="str">
            <v>4QM14AA#UUF</v>
          </cell>
          <cell r="M4060" t="str">
            <v>Foxconn LH</v>
          </cell>
        </row>
        <row r="4061">
          <cell r="D4061" t="str">
            <v>APJ</v>
          </cell>
          <cell r="H4061" t="str">
            <v>9T5B0UT#UUF</v>
          </cell>
          <cell r="M4061" t="str">
            <v>Foxconn LH</v>
          </cell>
        </row>
        <row r="4062">
          <cell r="D4062" t="str">
            <v>APJ</v>
          </cell>
          <cell r="H4062" t="str">
            <v>822M9UT#UUF</v>
          </cell>
          <cell r="M4062" t="str">
            <v>Foxconn LH</v>
          </cell>
        </row>
        <row r="4063">
          <cell r="D4063" t="str">
            <v>APJ</v>
          </cell>
          <cell r="H4063" t="str">
            <v>4E407UT#UUF</v>
          </cell>
          <cell r="M4063" t="str">
            <v>Foxconn LH</v>
          </cell>
        </row>
        <row r="4064">
          <cell r="D4064" t="str">
            <v>APJ</v>
          </cell>
          <cell r="H4064" t="str">
            <v>758A9AA#UUF</v>
          </cell>
          <cell r="M4064" t="str">
            <v>Foxconn LH</v>
          </cell>
        </row>
        <row r="4065">
          <cell r="D4065" t="str">
            <v>APJ</v>
          </cell>
          <cell r="H4065" t="str">
            <v>664R5AA#UUF</v>
          </cell>
          <cell r="M4065" t="str">
            <v>Foxconn LH</v>
          </cell>
        </row>
        <row r="4066">
          <cell r="D4066" t="str">
            <v>APJ</v>
          </cell>
          <cell r="H4066" t="str">
            <v>V0L79AA#UUF</v>
          </cell>
          <cell r="M4066" t="str">
            <v>Foxconn LH</v>
          </cell>
        </row>
        <row r="4067">
          <cell r="D4067" t="str">
            <v>NA/LA</v>
          </cell>
          <cell r="H4067" t="str">
            <v>2HU85AA#ABL</v>
          </cell>
          <cell r="M4067" t="str">
            <v>Foxconn LH</v>
          </cell>
        </row>
        <row r="4068">
          <cell r="D4068" t="str">
            <v>APJ</v>
          </cell>
          <cell r="H4068" t="str">
            <v>18H24AA#UUF</v>
          </cell>
          <cell r="M4068" t="str">
            <v>Foxconn LH</v>
          </cell>
        </row>
        <row r="4069">
          <cell r="D4069" t="str">
            <v>APJ</v>
          </cell>
          <cell r="H4069" t="str">
            <v>6VY96AA#UUF</v>
          </cell>
          <cell r="M4069" t="str">
            <v>Foxconn LH</v>
          </cell>
        </row>
        <row r="4070">
          <cell r="D4070" t="str">
            <v>LA</v>
          </cell>
          <cell r="H4070" t="str">
            <v>18H24AA#AC4</v>
          </cell>
          <cell r="M4070" t="str">
            <v>Foxconn LH</v>
          </cell>
        </row>
        <row r="4071">
          <cell r="D4071" t="str">
            <v>NA</v>
          </cell>
          <cell r="H4071" t="str">
            <v>9T5B0UT#ABA</v>
          </cell>
          <cell r="M4071" t="str">
            <v>Foxconn LH</v>
          </cell>
        </row>
        <row r="4072">
          <cell r="D4072" t="str">
            <v>APJ</v>
          </cell>
          <cell r="H4072" t="str">
            <v>V0L79AA#UUF</v>
          </cell>
          <cell r="M4072" t="str">
            <v>Foxconn LH</v>
          </cell>
        </row>
        <row r="4073">
          <cell r="D4073" t="str">
            <v>APJ</v>
          </cell>
          <cell r="H4073" t="str">
            <v>X7Q44AA#UUF</v>
          </cell>
          <cell r="M4073" t="str">
            <v>Foxconn LH</v>
          </cell>
        </row>
        <row r="4074">
          <cell r="D4074" t="str">
            <v>APJ</v>
          </cell>
          <cell r="H4074" t="str">
            <v>758A9AA#UUF</v>
          </cell>
          <cell r="M4074" t="str">
            <v>Foxconn LH</v>
          </cell>
        </row>
        <row r="4075">
          <cell r="D4075" t="str">
            <v>APJ</v>
          </cell>
          <cell r="H4075" t="str">
            <v>822M9UT#UUF</v>
          </cell>
          <cell r="M4075" t="str">
            <v>Foxconn LH</v>
          </cell>
        </row>
        <row r="4076">
          <cell r="D4076" t="str">
            <v>NA</v>
          </cell>
          <cell r="H4076" t="str">
            <v>664R5AA#ABL</v>
          </cell>
          <cell r="M4076" t="str">
            <v>Foxconn LH</v>
          </cell>
        </row>
        <row r="4077">
          <cell r="D4077" t="str">
            <v>APJ</v>
          </cell>
          <cell r="H4077" t="str">
            <v>81S67UT#UUF</v>
          </cell>
          <cell r="M4077" t="str">
            <v>Foxconn LH</v>
          </cell>
        </row>
        <row r="4078">
          <cell r="D4078" t="str">
            <v>APJ</v>
          </cell>
          <cell r="H4078" t="str">
            <v>9DF28AA#UUF</v>
          </cell>
          <cell r="M4078" t="str">
            <v>Foxconn LH</v>
          </cell>
        </row>
        <row r="4079">
          <cell r="D4079" t="str">
            <v>APJ</v>
          </cell>
          <cell r="H4079" t="str">
            <v>3L1F0AA#UUF</v>
          </cell>
          <cell r="M4079" t="str">
            <v>Foxconn LH</v>
          </cell>
        </row>
        <row r="4080">
          <cell r="D4080" t="str">
            <v>APJ</v>
          </cell>
          <cell r="H4080" t="str">
            <v>4E407UT#UUF</v>
          </cell>
          <cell r="M4080" t="str">
            <v>Foxconn LH</v>
          </cell>
        </row>
        <row r="4081">
          <cell r="D4081" t="str">
            <v>NA</v>
          </cell>
          <cell r="H4081" t="str">
            <v>77B10AA#ABA</v>
          </cell>
          <cell r="M4081" t="str">
            <v>Foxconn LH</v>
          </cell>
        </row>
        <row r="4082">
          <cell r="D4082" t="str">
            <v>APJ</v>
          </cell>
          <cell r="H4082" t="str">
            <v>4E407UT#UUF</v>
          </cell>
          <cell r="M4082" t="str">
            <v>Foxconn LH</v>
          </cell>
        </row>
        <row r="4083">
          <cell r="D4083" t="str">
            <v>APJ</v>
          </cell>
          <cell r="H4083" t="str">
            <v>758A8AA#UUF</v>
          </cell>
          <cell r="M4083" t="str">
            <v>Foxconn LH</v>
          </cell>
        </row>
        <row r="4084">
          <cell r="D4084" t="str">
            <v>APJ</v>
          </cell>
          <cell r="H4084" t="str">
            <v>6VY96AA#UUF</v>
          </cell>
          <cell r="M4084" t="str">
            <v>Foxconn LH</v>
          </cell>
        </row>
        <row r="4085">
          <cell r="D4085" t="str">
            <v>APJ</v>
          </cell>
          <cell r="H4085" t="str">
            <v>18H24AA#UUF</v>
          </cell>
          <cell r="M4085" t="str">
            <v>Foxconn LH</v>
          </cell>
        </row>
        <row r="4086">
          <cell r="D4086" t="str">
            <v>APJ</v>
          </cell>
          <cell r="H4086" t="str">
            <v>1Y4D0UT#UUF</v>
          </cell>
          <cell r="M4086" t="str">
            <v>Foxconn LH</v>
          </cell>
        </row>
        <row r="4087">
          <cell r="D4087" t="str">
            <v>APJ</v>
          </cell>
          <cell r="H4087" t="str">
            <v>2V9E6AA#UUF</v>
          </cell>
          <cell r="M4087" t="str">
            <v>Foxconn LH</v>
          </cell>
        </row>
        <row r="4088">
          <cell r="D4088" t="str">
            <v>APJ</v>
          </cell>
          <cell r="H4088" t="str">
            <v>428K6AA</v>
          </cell>
          <cell r="M4088" t="str">
            <v>Foxconn LH</v>
          </cell>
        </row>
        <row r="4089">
          <cell r="D4089" t="str">
            <v>LA</v>
          </cell>
          <cell r="H4089" t="str">
            <v>2V9E6AA#ABM</v>
          </cell>
          <cell r="M4089" t="str">
            <v>Foxconn LH</v>
          </cell>
        </row>
        <row r="4090">
          <cell r="D4090" t="str">
            <v>LA</v>
          </cell>
          <cell r="H4090" t="str">
            <v>240J6AA#ABM</v>
          </cell>
          <cell r="M4090" t="str">
            <v>Foxconn LH</v>
          </cell>
        </row>
        <row r="4091">
          <cell r="D4091" t="str">
            <v>LA</v>
          </cell>
          <cell r="H4091" t="str">
            <v>2S9L1AA#ABM</v>
          </cell>
          <cell r="M4091" t="str">
            <v>Foxconn LH</v>
          </cell>
        </row>
        <row r="4092">
          <cell r="D4092" t="str">
            <v>LA</v>
          </cell>
          <cell r="H4092" t="str">
            <v>3V0G9AA#ABM</v>
          </cell>
          <cell r="M4092" t="str">
            <v>Foxconn LH</v>
          </cell>
        </row>
        <row r="4093">
          <cell r="D4093" t="str">
            <v>APJ</v>
          </cell>
          <cell r="H4093" t="str">
            <v>X7Q43AA#UUF</v>
          </cell>
          <cell r="M4093" t="str">
            <v>Foxconn LH</v>
          </cell>
        </row>
        <row r="4094">
          <cell r="D4094" t="str">
            <v>APJ</v>
          </cell>
          <cell r="H4094" t="str">
            <v>4E407UT#UUF</v>
          </cell>
          <cell r="M4094" t="str">
            <v>Foxconn LH</v>
          </cell>
        </row>
        <row r="4095">
          <cell r="D4095" t="str">
            <v>APJ</v>
          </cell>
          <cell r="H4095" t="str">
            <v>53X26AA#UUF</v>
          </cell>
          <cell r="M4095" t="str">
            <v>Foxconn LH</v>
          </cell>
        </row>
        <row r="4096">
          <cell r="D4096" t="str">
            <v>NA</v>
          </cell>
          <cell r="H4096" t="str">
            <v>240J7AA#ABL</v>
          </cell>
          <cell r="M4096" t="str">
            <v>Foxconn LH</v>
          </cell>
        </row>
        <row r="4097">
          <cell r="D4097" t="str">
            <v>NA/LA</v>
          </cell>
          <cell r="H4097" t="str">
            <v>9C2F7AA#ABA</v>
          </cell>
          <cell r="M4097" t="str">
            <v>Foxconn LH</v>
          </cell>
        </row>
        <row r="4098">
          <cell r="D4098" t="str">
            <v>APJ</v>
          </cell>
          <cell r="H4098" t="str">
            <v>758A9AA#UUF</v>
          </cell>
          <cell r="M4098" t="str">
            <v>Foxconn LH</v>
          </cell>
        </row>
        <row r="4099">
          <cell r="D4099" t="str">
            <v>APJ</v>
          </cell>
          <cell r="H4099" t="str">
            <v>822M9UT#UUF</v>
          </cell>
          <cell r="M4099" t="str">
            <v>Foxconn LH</v>
          </cell>
        </row>
        <row r="4100">
          <cell r="D4100" t="str">
            <v>APJ</v>
          </cell>
          <cell r="H4100" t="str">
            <v>X7Q44AA#UUF</v>
          </cell>
          <cell r="M4100" t="str">
            <v>Foxconn LH</v>
          </cell>
        </row>
        <row r="4101">
          <cell r="D4101" t="str">
            <v>APJ</v>
          </cell>
          <cell r="H4101" t="str">
            <v>1Y4D0UT#UUF</v>
          </cell>
          <cell r="M4101" t="str">
            <v>Foxconn LH</v>
          </cell>
        </row>
        <row r="4102">
          <cell r="D4102" t="str">
            <v>APJ</v>
          </cell>
          <cell r="H4102" t="str">
            <v>2S9L1AA#UUF</v>
          </cell>
          <cell r="M4102" t="str">
            <v>Foxconn LH</v>
          </cell>
        </row>
        <row r="4103">
          <cell r="D4103" t="str">
            <v>APJ</v>
          </cell>
          <cell r="H4103" t="str">
            <v>X7Q43AA#UUF</v>
          </cell>
          <cell r="M4103" t="str">
            <v>Foxconn LH</v>
          </cell>
        </row>
        <row r="4104">
          <cell r="D4104" t="str">
            <v>APJ</v>
          </cell>
          <cell r="H4104" t="str">
            <v>822M9UT#UUF</v>
          </cell>
          <cell r="M4104" t="str">
            <v>Foxconn LH</v>
          </cell>
        </row>
        <row r="4105">
          <cell r="D4105" t="str">
            <v>APJ</v>
          </cell>
          <cell r="H4105" t="str">
            <v>758A9AA#UUF</v>
          </cell>
          <cell r="M4105" t="str">
            <v>Foxconn LH</v>
          </cell>
        </row>
        <row r="4106">
          <cell r="D4106" t="str">
            <v>APJ</v>
          </cell>
          <cell r="H4106" t="str">
            <v>793F9AA#UUF</v>
          </cell>
          <cell r="M4106" t="str">
            <v>Foxconn LH</v>
          </cell>
        </row>
        <row r="4107">
          <cell r="D4107" t="str">
            <v>APJ</v>
          </cell>
          <cell r="H4107" t="str">
            <v>822M9UT#UUF</v>
          </cell>
          <cell r="M4107" t="str">
            <v>Foxconn LH</v>
          </cell>
        </row>
        <row r="4108">
          <cell r="D4108" t="str">
            <v>APJ</v>
          </cell>
          <cell r="H4108" t="str">
            <v>758A9AA#UUF</v>
          </cell>
          <cell r="M4108" t="str">
            <v>Foxconn LH</v>
          </cell>
        </row>
        <row r="4109">
          <cell r="D4109" t="str">
            <v>APJ</v>
          </cell>
          <cell r="H4109" t="str">
            <v>822M9UT#UUF</v>
          </cell>
          <cell r="M4109" t="str">
            <v>Foxconn LH</v>
          </cell>
        </row>
        <row r="4110">
          <cell r="D4110" t="str">
            <v>APJ</v>
          </cell>
          <cell r="H4110" t="str">
            <v>758A8AA#UUF</v>
          </cell>
          <cell r="M4110" t="str">
            <v>Foxconn LH</v>
          </cell>
        </row>
        <row r="4111">
          <cell r="D4111" t="str">
            <v>APJ</v>
          </cell>
          <cell r="H4111" t="str">
            <v>81S67UT#UUF</v>
          </cell>
          <cell r="M4111" t="str">
            <v>Foxconn LH</v>
          </cell>
        </row>
        <row r="4112">
          <cell r="D4112" t="str">
            <v>APJ</v>
          </cell>
          <cell r="H4112" t="str">
            <v>6V2J7AA#UUF</v>
          </cell>
          <cell r="M4112" t="str">
            <v>Foxconn LH</v>
          </cell>
        </row>
        <row r="4113">
          <cell r="D4113" t="str">
            <v>APJ</v>
          </cell>
          <cell r="H4113" t="str">
            <v>4E407UT#UUF</v>
          </cell>
          <cell r="M4113" t="str">
            <v>Foxconn LH</v>
          </cell>
        </row>
        <row r="4114">
          <cell r="D4114" t="str">
            <v>APJ</v>
          </cell>
          <cell r="H4114" t="str">
            <v>1Y4D0UT#UUF</v>
          </cell>
          <cell r="M4114" t="str">
            <v>Foxconn LH</v>
          </cell>
        </row>
        <row r="4115">
          <cell r="D4115" t="str">
            <v>APJ</v>
          </cell>
          <cell r="H4115" t="str">
            <v>6VY96AA#UUF</v>
          </cell>
          <cell r="M4115" t="str">
            <v>Foxconn LH</v>
          </cell>
        </row>
        <row r="4116">
          <cell r="D4116" t="str">
            <v>APJ</v>
          </cell>
          <cell r="H4116" t="str">
            <v>18H24AA#UUF</v>
          </cell>
          <cell r="M4116" t="str">
            <v>Foxconn LH</v>
          </cell>
        </row>
        <row r="4117">
          <cell r="D4117" t="str">
            <v>APJ</v>
          </cell>
          <cell r="H4117" t="str">
            <v>2V9E6AA#UUF</v>
          </cell>
          <cell r="M4117" t="str">
            <v>Foxconn LH</v>
          </cell>
        </row>
        <row r="4118">
          <cell r="D4118" t="str">
            <v>APJ</v>
          </cell>
          <cell r="H4118" t="str">
            <v>43N04AA#UUF</v>
          </cell>
          <cell r="M4118" t="str">
            <v>Foxconn LH</v>
          </cell>
        </row>
        <row r="4119">
          <cell r="D4119" t="str">
            <v>APJ</v>
          </cell>
          <cell r="H4119" t="str">
            <v>9DF28AA#UUF</v>
          </cell>
          <cell r="M4119" t="str">
            <v>Foxconn LH</v>
          </cell>
        </row>
        <row r="4120">
          <cell r="D4120" t="str">
            <v>APJ</v>
          </cell>
          <cell r="H4120" t="str">
            <v>240J6AA#UUF</v>
          </cell>
          <cell r="M4120" t="str">
            <v>Foxconn LH</v>
          </cell>
        </row>
        <row r="4121">
          <cell r="D4121" t="str">
            <v>LA</v>
          </cell>
          <cell r="H4121" t="str">
            <v>18H24AA#AC4</v>
          </cell>
          <cell r="M4121" t="str">
            <v>Foxconn LH</v>
          </cell>
        </row>
        <row r="4122">
          <cell r="D4122" t="str">
            <v>APJ</v>
          </cell>
          <cell r="H4122" t="str">
            <v>428K6AA</v>
          </cell>
          <cell r="M4122" t="str">
            <v>Foxconn LH</v>
          </cell>
        </row>
        <row r="4123">
          <cell r="D4123" t="str">
            <v>DIB</v>
          </cell>
          <cell r="H4123" t="str">
            <v>6E+P8C01.001</v>
          </cell>
          <cell r="M4123" t="str">
            <v>Darfon</v>
          </cell>
        </row>
        <row r="4124">
          <cell r="D4124" t="str">
            <v>DIB</v>
          </cell>
          <cell r="H4124" t="str">
            <v>6E+P8C01.001</v>
          </cell>
          <cell r="M4124" t="str">
            <v>Darfon</v>
          </cell>
        </row>
        <row r="4125">
          <cell r="D4125" t="str">
            <v>DIB</v>
          </cell>
          <cell r="H4125" t="str">
            <v>6E+P8C01.011</v>
          </cell>
          <cell r="M4125" t="str">
            <v>Darfon</v>
          </cell>
        </row>
        <row r="4126">
          <cell r="D4126" t="str">
            <v>DIB</v>
          </cell>
          <cell r="H4126" t="str">
            <v>6E+P8C01.001</v>
          </cell>
          <cell r="M4126" t="str">
            <v>Darfon</v>
          </cell>
        </row>
        <row r="4127">
          <cell r="D4127" t="str">
            <v>DIB</v>
          </cell>
          <cell r="H4127" t="str">
            <v>6E+P8C01.001</v>
          </cell>
          <cell r="M4127" t="str">
            <v>Darfon</v>
          </cell>
        </row>
        <row r="4128">
          <cell r="D4128" t="str">
            <v>DIB</v>
          </cell>
          <cell r="H4128" t="str">
            <v>6E+P8C01.011</v>
          </cell>
          <cell r="M4128" t="str">
            <v>Darfon</v>
          </cell>
        </row>
        <row r="4129">
          <cell r="D4129" t="str">
            <v>APJ</v>
          </cell>
          <cell r="H4129" t="str">
            <v>2UN30AA#AB2</v>
          </cell>
          <cell r="M4129" t="str">
            <v>Shanghai</v>
          </cell>
        </row>
        <row r="4130">
          <cell r="D4130" t="str">
            <v>APJ</v>
          </cell>
          <cell r="H4130" t="str">
            <v>2UN30AA#AB2</v>
          </cell>
          <cell r="M4130" t="str">
            <v>Shanghai</v>
          </cell>
        </row>
        <row r="4131">
          <cell r="D4131" t="str">
            <v>DIB</v>
          </cell>
          <cell r="H4131" t="str">
            <v>N37102-001</v>
          </cell>
          <cell r="M4131" t="str">
            <v>Wistron</v>
          </cell>
        </row>
        <row r="4132">
          <cell r="D4132" t="str">
            <v>DIB</v>
          </cell>
          <cell r="H4132" t="str">
            <v>L13996-001</v>
          </cell>
          <cell r="M4132" t="str">
            <v>Wistron</v>
          </cell>
        </row>
        <row r="4133">
          <cell r="D4133" t="str">
            <v>DIB</v>
          </cell>
          <cell r="H4133" t="str">
            <v>M49894-001</v>
          </cell>
          <cell r="M4133" t="str">
            <v>Mentor Media</v>
          </cell>
        </row>
        <row r="4134">
          <cell r="D4134" t="str">
            <v>DIB</v>
          </cell>
          <cell r="H4134" t="str">
            <v>P28745-001</v>
          </cell>
          <cell r="M4134" t="str">
            <v>Mentor Media</v>
          </cell>
        </row>
        <row r="4135">
          <cell r="D4135" t="str">
            <v>DIB</v>
          </cell>
          <cell r="H4135" t="str">
            <v>P28745-401</v>
          </cell>
          <cell r="M4135" t="str">
            <v>Mentor Media</v>
          </cell>
        </row>
        <row r="4136">
          <cell r="D4136" t="str">
            <v>DIB</v>
          </cell>
          <cell r="H4136" t="str">
            <v>P28745-501</v>
          </cell>
          <cell r="M4136" t="str">
            <v>Mentor Media</v>
          </cell>
        </row>
        <row r="4137">
          <cell r="D4137" t="str">
            <v>DIB</v>
          </cell>
          <cell r="H4137" t="str">
            <v>P28747-101</v>
          </cell>
          <cell r="M4137" t="str">
            <v>Mentor Media</v>
          </cell>
        </row>
        <row r="4138">
          <cell r="D4138" t="str">
            <v>DIB</v>
          </cell>
          <cell r="H4138" t="str">
            <v>P28749-201</v>
          </cell>
          <cell r="M4138" t="str">
            <v>Mentor Media</v>
          </cell>
        </row>
        <row r="4139">
          <cell r="D4139" t="str">
            <v>DIB</v>
          </cell>
          <cell r="H4139" t="str">
            <v>P29386-301</v>
          </cell>
          <cell r="M4139" t="str">
            <v>Mentor Media</v>
          </cell>
        </row>
        <row r="4140">
          <cell r="D4140" t="str">
            <v>DIB</v>
          </cell>
          <cell r="H4140" t="str">
            <v>P28745-001</v>
          </cell>
          <cell r="M4140" t="str">
            <v>Mentor Media</v>
          </cell>
        </row>
        <row r="4141">
          <cell r="D4141" t="str">
            <v>DIB</v>
          </cell>
          <cell r="H4141" t="str">
            <v>P28749-201</v>
          </cell>
          <cell r="M4141" t="str">
            <v>Mentor Media</v>
          </cell>
        </row>
        <row r="4142">
          <cell r="D4142" t="str">
            <v>DIB</v>
          </cell>
          <cell r="H4142" t="str">
            <v>P28745-001</v>
          </cell>
          <cell r="M4142" t="str">
            <v>Mentor Media</v>
          </cell>
        </row>
        <row r="4143">
          <cell r="D4143" t="str">
            <v>DIB</v>
          </cell>
          <cell r="H4143" t="str">
            <v>P28749-201</v>
          </cell>
          <cell r="M4143" t="str">
            <v>Mentor Media</v>
          </cell>
        </row>
        <row r="4144">
          <cell r="D4144" t="str">
            <v>DIB</v>
          </cell>
          <cell r="H4144" t="str">
            <v>P28745-001</v>
          </cell>
          <cell r="M4144" t="str">
            <v>Mentor Media</v>
          </cell>
        </row>
        <row r="4145">
          <cell r="D4145" t="str">
            <v>DIB</v>
          </cell>
          <cell r="H4145" t="str">
            <v>P28745-501</v>
          </cell>
          <cell r="M4145" t="str">
            <v>Mentor Media</v>
          </cell>
        </row>
        <row r="4146">
          <cell r="D4146" t="str">
            <v>DIB</v>
          </cell>
          <cell r="H4146" t="str">
            <v>P28745-501</v>
          </cell>
          <cell r="M4146" t="str">
            <v>Mentor Media</v>
          </cell>
        </row>
        <row r="4147">
          <cell r="D4147" t="str">
            <v>DIB</v>
          </cell>
          <cell r="H4147" t="str">
            <v>P28745-401</v>
          </cell>
          <cell r="M4147" t="str">
            <v>Mentor Media</v>
          </cell>
        </row>
        <row r="4148">
          <cell r="D4148" t="str">
            <v>DIB</v>
          </cell>
          <cell r="H4148" t="str">
            <v>P28745-501</v>
          </cell>
          <cell r="M4148" t="str">
            <v>Mentor Media</v>
          </cell>
        </row>
        <row r="4149">
          <cell r="D4149" t="str">
            <v>DIB</v>
          </cell>
          <cell r="H4149" t="str">
            <v>P28745-401</v>
          </cell>
          <cell r="M4149" t="str">
            <v>Mentor Media</v>
          </cell>
        </row>
        <row r="4150">
          <cell r="D4150" t="str">
            <v>DTO</v>
          </cell>
          <cell r="H4150" t="str">
            <v>P33437-AB1</v>
          </cell>
          <cell r="M4150" t="str">
            <v>FOX WH</v>
          </cell>
        </row>
        <row r="4151">
          <cell r="D4151" t="str">
            <v>DTO</v>
          </cell>
          <cell r="H4151" t="str">
            <v>P33437-001</v>
          </cell>
          <cell r="M4151" t="str">
            <v>FOX WH</v>
          </cell>
        </row>
        <row r="4152">
          <cell r="D4152" t="str">
            <v>DTO</v>
          </cell>
          <cell r="H4152" t="str">
            <v>P33437-001</v>
          </cell>
          <cell r="M4152" t="str">
            <v>FOX WH</v>
          </cell>
        </row>
        <row r="4153">
          <cell r="D4153" t="str">
            <v>DTO</v>
          </cell>
          <cell r="H4153" t="str">
            <v>P33437-AA1</v>
          </cell>
          <cell r="M4153" t="str">
            <v>FOX WH</v>
          </cell>
        </row>
        <row r="4154">
          <cell r="D4154" t="str">
            <v>DTO</v>
          </cell>
          <cell r="H4154" t="str">
            <v>P33437-D61</v>
          </cell>
          <cell r="M4154" t="str">
            <v>FOX WH</v>
          </cell>
        </row>
        <row r="4155">
          <cell r="D4155" t="str">
            <v>DTO</v>
          </cell>
          <cell r="H4155" t="str">
            <v>P33437-KD1</v>
          </cell>
          <cell r="M4155" t="str">
            <v>FOX WH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ckage breakdown0503"/>
      <sheetName val="Credit record"/>
    </sheetNames>
    <sheetDataSet>
      <sheetData sheetId="0">
        <row r="1">
          <cell r="B1" t="str">
            <v>Project Name</v>
          </cell>
          <cell r="F1" t="str">
            <v>HPPN</v>
          </cell>
        </row>
        <row r="2">
          <cell r="B2" t="str">
            <v>Bangalore (White)</v>
          </cell>
          <cell r="F2" t="str">
            <v>E5J19AA#ABB</v>
          </cell>
        </row>
        <row r="3">
          <cell r="B3" t="str">
            <v>Bangalore (White)</v>
          </cell>
          <cell r="F3" t="str">
            <v>E5J19AA#UUF</v>
          </cell>
        </row>
        <row r="4">
          <cell r="B4" t="str">
            <v>Bangalore (White)</v>
          </cell>
          <cell r="F4" t="str">
            <v>E5J19AA#ACJ</v>
          </cell>
        </row>
        <row r="5">
          <cell r="B5" t="str">
            <v>Bangalore (White)</v>
          </cell>
          <cell r="F5" t="str">
            <v>E5J19AA#AB2</v>
          </cell>
        </row>
        <row r="6">
          <cell r="B6" t="str">
            <v>Bangalore (White)</v>
          </cell>
          <cell r="F6" t="str">
            <v>E5J19AA#ABL</v>
          </cell>
        </row>
        <row r="7">
          <cell r="B7" t="str">
            <v>Bangalore (White)</v>
          </cell>
          <cell r="F7" t="str">
            <v>E5J19AA#ABA</v>
          </cell>
        </row>
        <row r="8">
          <cell r="B8" t="str">
            <v>Bangalore (Silver)</v>
          </cell>
          <cell r="F8" t="str">
            <v>E5J20AA#UUF</v>
          </cell>
        </row>
        <row r="9">
          <cell r="B9" t="str">
            <v>Bangalore (Silver)</v>
          </cell>
          <cell r="F9" t="str">
            <v>E5J20AA#ACJ</v>
          </cell>
        </row>
        <row r="10">
          <cell r="B10" t="str">
            <v>Bangalore (Silver)</v>
          </cell>
          <cell r="F10" t="str">
            <v>E5J20AA#AB2</v>
          </cell>
        </row>
        <row r="11">
          <cell r="B11" t="str">
            <v>Bangalore (Silver)</v>
          </cell>
          <cell r="F11" t="str">
            <v>E5J20AA#ABL</v>
          </cell>
        </row>
        <row r="12">
          <cell r="B12" t="str">
            <v>Bangalore (Silver)</v>
          </cell>
          <cell r="F12" t="str">
            <v>E5J20AA#ABA</v>
          </cell>
        </row>
        <row r="13">
          <cell r="B13" t="str">
            <v>Bangalore (Silver)</v>
          </cell>
          <cell r="F13" t="str">
            <v>E5J20AA#ABA</v>
          </cell>
        </row>
        <row r="14">
          <cell r="B14" t="str">
            <v>Bangalore (Black)</v>
          </cell>
          <cell r="F14" t="str">
            <v>G9X05AA#ABA</v>
          </cell>
        </row>
        <row r="15">
          <cell r="B15" t="str">
            <v>Bangalore</v>
          </cell>
          <cell r="F15" t="str">
            <v>G9X06AA#ABA</v>
          </cell>
        </row>
        <row r="16">
          <cell r="B16" t="str">
            <v>Bangalore</v>
          </cell>
          <cell r="F16" t="str">
            <v>G9X07AA#ABA</v>
          </cell>
        </row>
        <row r="17">
          <cell r="B17" t="str">
            <v>Bangalore</v>
          </cell>
          <cell r="F17" t="str">
            <v>G9X08AA#ABA</v>
          </cell>
        </row>
        <row r="18">
          <cell r="B18" t="str">
            <v>Bangalore</v>
          </cell>
          <cell r="F18" t="str">
            <v>G9X09AA#ABA</v>
          </cell>
        </row>
        <row r="19">
          <cell r="B19" t="str">
            <v>Bangalore</v>
          </cell>
          <cell r="F19" t="str">
            <v>G9X10AA#ABA</v>
          </cell>
        </row>
        <row r="20">
          <cell r="B20" t="str">
            <v>Bangalore</v>
          </cell>
          <cell r="F20" t="str">
            <v>G9X11AA#ABA</v>
          </cell>
        </row>
        <row r="21">
          <cell r="B21" t="str">
            <v>Bangalore</v>
          </cell>
          <cell r="F21" t="str">
            <v>J2W46AA#ABA</v>
          </cell>
        </row>
        <row r="22">
          <cell r="B22" t="str">
            <v>Bangalore</v>
          </cell>
          <cell r="F22" t="str">
            <v>J2W47AA#ABA</v>
          </cell>
        </row>
        <row r="23">
          <cell r="B23" t="str">
            <v>Bangalore</v>
          </cell>
          <cell r="F23" t="str">
            <v>J4B90AA#ABA</v>
          </cell>
        </row>
        <row r="24">
          <cell r="B24" t="str">
            <v>Bangalore (Black)</v>
          </cell>
          <cell r="F24" t="str">
            <v>J0E44AA#ABB</v>
          </cell>
        </row>
        <row r="25">
          <cell r="B25" t="str">
            <v>Bangalore (Black)</v>
          </cell>
          <cell r="F25" t="str">
            <v>J0E44AA#ABA</v>
          </cell>
        </row>
        <row r="26">
          <cell r="B26" t="str">
            <v>Bangalore (Black)</v>
          </cell>
          <cell r="F26" t="str">
            <v>J0E44AA#ABL</v>
          </cell>
        </row>
        <row r="27">
          <cell r="B27" t="str">
            <v>Bangalore (White)-MQ6</v>
          </cell>
          <cell r="F27" t="str">
            <v>E5J19AA#ABB</v>
          </cell>
        </row>
        <row r="28">
          <cell r="B28" t="str">
            <v>Bangalore (White)-MQ6</v>
          </cell>
          <cell r="F28" t="str">
            <v>E5J19AA#ABB</v>
          </cell>
        </row>
        <row r="29">
          <cell r="B29" t="str">
            <v>Bangalore (White)-MQ6</v>
          </cell>
          <cell r="F29" t="str">
            <v>E5J19AA#UUF</v>
          </cell>
        </row>
        <row r="30">
          <cell r="B30" t="str">
            <v>Bangalore (White)-MQ6</v>
          </cell>
          <cell r="F30" t="str">
            <v>E5J19AA#ACJ</v>
          </cell>
        </row>
        <row r="31">
          <cell r="B31" t="str">
            <v>Bangalore (White)-MQ6</v>
          </cell>
          <cell r="F31" t="str">
            <v>E5J19AA#AB2</v>
          </cell>
        </row>
        <row r="32">
          <cell r="B32" t="str">
            <v>Bangalore (White)-MQ6</v>
          </cell>
          <cell r="F32" t="str">
            <v>E5J19AA#ABL</v>
          </cell>
        </row>
        <row r="33">
          <cell r="B33" t="str">
            <v>Bangalore (White)-MQ6</v>
          </cell>
          <cell r="F33" t="str">
            <v>E5J19AA#ABL</v>
          </cell>
        </row>
        <row r="34">
          <cell r="B34" t="str">
            <v>Bangalore (White)-MQ6</v>
          </cell>
          <cell r="F34" t="str">
            <v>E5J19AA#ABL</v>
          </cell>
        </row>
        <row r="35">
          <cell r="B35" t="str">
            <v>Bangalore (White)-MQ6</v>
          </cell>
          <cell r="F35" t="str">
            <v>E5J19AA#ABL</v>
          </cell>
        </row>
        <row r="36">
          <cell r="B36" t="str">
            <v>Bangalore (White)-MQ6</v>
          </cell>
          <cell r="F36" t="str">
            <v>E5J19AA#ABA</v>
          </cell>
        </row>
        <row r="37">
          <cell r="B37" t="str">
            <v>Bangalore (Silver)-MQ6</v>
          </cell>
          <cell r="F37" t="str">
            <v>E5J20AA#UUF</v>
          </cell>
        </row>
        <row r="38">
          <cell r="B38" t="str">
            <v>Bangalore (Silver)-MQ6</v>
          </cell>
          <cell r="F38" t="str">
            <v>E5J20AA#ACJ</v>
          </cell>
        </row>
        <row r="39">
          <cell r="B39" t="str">
            <v>Bangalore (Silver)-MQ6</v>
          </cell>
          <cell r="F39" t="str">
            <v>E5J20AA#AB2</v>
          </cell>
        </row>
        <row r="40">
          <cell r="B40" t="str">
            <v>Bangalore (Silver)-MQ6</v>
          </cell>
          <cell r="F40" t="str">
            <v>E5J20AA#ABL</v>
          </cell>
        </row>
        <row r="41">
          <cell r="B41" t="str">
            <v>Bangalore (Silver)-MQ6</v>
          </cell>
          <cell r="F41" t="str">
            <v>E5J20AA#ABL</v>
          </cell>
        </row>
        <row r="42">
          <cell r="B42" t="str">
            <v>Bangalore (Silver)-MQ6</v>
          </cell>
          <cell r="F42" t="str">
            <v>E5J20AA#ABL</v>
          </cell>
        </row>
        <row r="43">
          <cell r="B43" t="str">
            <v>Bangalore (Silver)-MQ6</v>
          </cell>
          <cell r="F43" t="str">
            <v>E5J20AA#ABL</v>
          </cell>
        </row>
        <row r="44">
          <cell r="B44" t="str">
            <v>Bangalore (Silver)-MQ6</v>
          </cell>
          <cell r="F44" t="str">
            <v>E5J20AA#ABA</v>
          </cell>
        </row>
        <row r="45">
          <cell r="B45" t="str">
            <v>Bangalore (Silver)-MQ6</v>
          </cell>
          <cell r="F45" t="str">
            <v>E5J20AA#ABA</v>
          </cell>
        </row>
        <row r="46">
          <cell r="B46" t="str">
            <v>Bangalore (Black)-MQ6</v>
          </cell>
          <cell r="F46" t="str">
            <v>G9X05AA#ABA</v>
          </cell>
        </row>
        <row r="47">
          <cell r="B47" t="str">
            <v>Bangalore (Black)-MQ6</v>
          </cell>
          <cell r="F47" t="str">
            <v>J0E44AA#ABB</v>
          </cell>
        </row>
        <row r="48">
          <cell r="B48" t="str">
            <v>Bangalore (Black)-MQ6</v>
          </cell>
          <cell r="F48" t="str">
            <v>J0E44AA#ABB</v>
          </cell>
        </row>
        <row r="49">
          <cell r="B49" t="str">
            <v>Bangalore (Black)-MQ6</v>
          </cell>
          <cell r="F49" t="str">
            <v>J0E44AA#ABA</v>
          </cell>
        </row>
        <row r="50">
          <cell r="B50" t="str">
            <v>Bangalore (Black)-MQ6</v>
          </cell>
          <cell r="F50" t="str">
            <v>J0E44AA#ABL</v>
          </cell>
        </row>
        <row r="51">
          <cell r="B51" t="str">
            <v>Bangalore (Black)-MQ6</v>
          </cell>
          <cell r="F51" t="str">
            <v>J0E44AA#ABL</v>
          </cell>
        </row>
        <row r="52">
          <cell r="B52" t="str">
            <v>Bangalore (Black)-MQ6</v>
          </cell>
          <cell r="F52" t="str">
            <v>J0E44AA#ABL</v>
          </cell>
        </row>
        <row r="53">
          <cell r="B53" t="str">
            <v>Bangalore (Black)-MQ6</v>
          </cell>
          <cell r="F53" t="str">
            <v>J0E44AA#ABL</v>
          </cell>
        </row>
        <row r="54">
          <cell r="B54" t="str">
            <v>Bangalore (NSilver)-MQ6</v>
          </cell>
          <cell r="F54" t="str">
            <v>N4G84AA#ABB</v>
          </cell>
        </row>
        <row r="55">
          <cell r="B55" t="str">
            <v>Bangalore (NSilver)-MQ6</v>
          </cell>
          <cell r="F55" t="str">
            <v>N4G84AA#ABB</v>
          </cell>
        </row>
        <row r="56">
          <cell r="B56" t="str">
            <v>Bangalore</v>
          </cell>
        </row>
        <row r="57">
          <cell r="B57" t="str">
            <v>Gadget</v>
          </cell>
          <cell r="F57" t="str">
            <v>V0L79AA#ABL</v>
          </cell>
        </row>
        <row r="58">
          <cell r="B58" t="str">
            <v>Gadget</v>
          </cell>
          <cell r="F58" t="str">
            <v>V0L79AA#ABL</v>
          </cell>
        </row>
        <row r="59">
          <cell r="B59" t="str">
            <v>Gadget</v>
          </cell>
          <cell r="F59" t="str">
            <v>V0L79AA#ABL</v>
          </cell>
        </row>
        <row r="60">
          <cell r="B60" t="str">
            <v>Gadget</v>
          </cell>
          <cell r="F60" t="str">
            <v>V0L79AA#ABL</v>
          </cell>
        </row>
        <row r="61">
          <cell r="B61" t="str">
            <v>Gadget</v>
          </cell>
          <cell r="F61" t="str">
            <v>V0L79AA#ABL</v>
          </cell>
        </row>
        <row r="62">
          <cell r="B62" t="str">
            <v>Gadget</v>
          </cell>
          <cell r="F62" t="str">
            <v>V0L79AA#ABB</v>
          </cell>
        </row>
        <row r="63">
          <cell r="B63" t="str">
            <v>Gadget</v>
          </cell>
          <cell r="F63" t="str">
            <v>V0L79AA#ABB</v>
          </cell>
        </row>
        <row r="64">
          <cell r="B64" t="str">
            <v>Gadget</v>
          </cell>
          <cell r="F64" t="str">
            <v>V0L79AA#UUF</v>
          </cell>
        </row>
        <row r="65">
          <cell r="B65" t="str">
            <v>Gadget</v>
          </cell>
          <cell r="F65" t="str">
            <v>V0L79AA#UUF</v>
          </cell>
        </row>
        <row r="66">
          <cell r="B66" t="str">
            <v>Gadget(Compal Bulk Pack)</v>
          </cell>
          <cell r="F66" t="str">
            <v>Z3Q88AV</v>
          </cell>
        </row>
        <row r="67">
          <cell r="B67" t="str">
            <v>Gadget</v>
          </cell>
          <cell r="F67" t="str">
            <v>V0L80AA#ABB</v>
          </cell>
        </row>
        <row r="68">
          <cell r="B68" t="str">
            <v>Gadget</v>
          </cell>
          <cell r="F68" t="str">
            <v>V0L80AA#UUF</v>
          </cell>
        </row>
        <row r="69">
          <cell r="B69" t="str">
            <v>Gadget</v>
          </cell>
          <cell r="F69" t="str">
            <v>V0L80AA#UUF</v>
          </cell>
        </row>
        <row r="70">
          <cell r="B70" t="str">
            <v>Gadget</v>
          </cell>
          <cell r="F70" t="str">
            <v>V0L81AA#ABL</v>
          </cell>
        </row>
        <row r="71">
          <cell r="B71" t="str">
            <v>Gadget</v>
          </cell>
          <cell r="F71" t="str">
            <v>V0L81AA#ABL</v>
          </cell>
        </row>
        <row r="72">
          <cell r="B72" t="str">
            <v>Gadget</v>
          </cell>
          <cell r="F72" t="str">
            <v>V0L81AA#ABL</v>
          </cell>
        </row>
        <row r="73">
          <cell r="B73" t="str">
            <v>Gadget</v>
          </cell>
          <cell r="F73" t="str">
            <v>V0L81AA#ABB</v>
          </cell>
        </row>
        <row r="74">
          <cell r="B74" t="str">
            <v>Gadget</v>
          </cell>
          <cell r="F74" t="str">
            <v>V0L81AA#ABB</v>
          </cell>
        </row>
        <row r="75">
          <cell r="B75" t="str">
            <v>Gadget</v>
          </cell>
          <cell r="F75" t="str">
            <v>V0L81AA#UUF</v>
          </cell>
        </row>
        <row r="76">
          <cell r="B76" t="str">
            <v>Gadget</v>
          </cell>
          <cell r="F76" t="str">
            <v>V0L81AA#UUF</v>
          </cell>
        </row>
        <row r="77">
          <cell r="B77" t="str">
            <v>Gadget</v>
          </cell>
          <cell r="F77" t="str">
            <v>V0L82AA#ABL</v>
          </cell>
        </row>
        <row r="78">
          <cell r="B78" t="str">
            <v>Gadget</v>
          </cell>
          <cell r="F78" t="str">
            <v>V0L82AA#ABL</v>
          </cell>
        </row>
        <row r="79">
          <cell r="B79" t="str">
            <v>Gadget</v>
          </cell>
          <cell r="F79" t="str">
            <v>V0L82AA#ABL</v>
          </cell>
        </row>
        <row r="80">
          <cell r="B80" t="str">
            <v>Gadget</v>
          </cell>
          <cell r="F80" t="str">
            <v>V0L82AA#ABB</v>
          </cell>
        </row>
        <row r="81">
          <cell r="B81" t="str">
            <v>Gadget</v>
          </cell>
          <cell r="F81" t="str">
            <v>V0L82AA#ABB</v>
          </cell>
        </row>
        <row r="82">
          <cell r="B82" t="str">
            <v>Gadget</v>
          </cell>
          <cell r="F82" t="str">
            <v>V0L82AA#UUF</v>
          </cell>
        </row>
        <row r="83">
          <cell r="B83" t="str">
            <v>Gadget</v>
          </cell>
          <cell r="F83" t="str">
            <v>V0L82AA#UUF</v>
          </cell>
        </row>
        <row r="84">
          <cell r="B84" t="str">
            <v>Gadget</v>
          </cell>
          <cell r="F84" t="str">
            <v>W7C43AA#ABA</v>
          </cell>
        </row>
        <row r="85">
          <cell r="B85" t="str">
            <v>Gadget</v>
          </cell>
          <cell r="F85" t="str">
            <v>X7Q43AA#ABB</v>
          </cell>
        </row>
        <row r="86">
          <cell r="B86" t="str">
            <v>Gadget</v>
          </cell>
          <cell r="F86" t="str">
            <v>X7Q43AA#ABB</v>
          </cell>
        </row>
        <row r="87">
          <cell r="B87" t="str">
            <v>Gadget</v>
          </cell>
          <cell r="F87" t="str">
            <v>X7Q43AA#ABL</v>
          </cell>
        </row>
        <row r="88">
          <cell r="B88" t="str">
            <v>Gadget</v>
          </cell>
          <cell r="F88" t="str">
            <v>X7Q43AA#ABL</v>
          </cell>
        </row>
        <row r="89">
          <cell r="B89" t="str">
            <v>Gadget</v>
          </cell>
          <cell r="F89" t="str">
            <v>X7Q43AA#ABL</v>
          </cell>
        </row>
        <row r="90">
          <cell r="B90" t="str">
            <v>Gadget</v>
          </cell>
          <cell r="F90" t="str">
            <v>X7Q43AA#UUF</v>
          </cell>
        </row>
        <row r="91">
          <cell r="B91" t="str">
            <v>Gadget</v>
          </cell>
          <cell r="F91" t="str">
            <v>X7Q43AA#UUF</v>
          </cell>
        </row>
        <row r="92">
          <cell r="B92" t="str">
            <v>Gadget</v>
          </cell>
          <cell r="F92" t="str">
            <v>X7Q44AA#ABB</v>
          </cell>
        </row>
        <row r="93">
          <cell r="B93" t="str">
            <v>Gadget</v>
          </cell>
          <cell r="F93" t="str">
            <v>X7Q44AA#ABB</v>
          </cell>
        </row>
        <row r="94">
          <cell r="B94" t="str">
            <v>Gadget</v>
          </cell>
          <cell r="F94" t="str">
            <v>X7Q44AA#ABL</v>
          </cell>
        </row>
        <row r="95">
          <cell r="B95" t="str">
            <v>Gadget</v>
          </cell>
          <cell r="F95" t="str">
            <v>X7Q44AA#ABL</v>
          </cell>
        </row>
        <row r="96">
          <cell r="B96" t="str">
            <v>Gadget</v>
          </cell>
          <cell r="F96" t="str">
            <v>X7Q44AA#ABL</v>
          </cell>
        </row>
        <row r="97">
          <cell r="B97" t="str">
            <v>Gadget</v>
          </cell>
          <cell r="F97" t="str">
            <v>X7Q44AA#UUF</v>
          </cell>
        </row>
        <row r="98">
          <cell r="B98" t="str">
            <v>Gadget</v>
          </cell>
          <cell r="F98" t="str">
            <v>X7Q44AA#UUF</v>
          </cell>
        </row>
        <row r="99">
          <cell r="B99" t="str">
            <v>Gadget</v>
          </cell>
          <cell r="F99" t="str">
            <v>X7Q45AA#ABB</v>
          </cell>
        </row>
        <row r="100">
          <cell r="B100" t="str">
            <v>Gadget</v>
          </cell>
          <cell r="F100" t="str">
            <v>X7Q45AA#ABB</v>
          </cell>
        </row>
        <row r="101">
          <cell r="B101" t="str">
            <v>Gadget</v>
          </cell>
          <cell r="F101" t="str">
            <v>X7Q45AA#ABL</v>
          </cell>
        </row>
        <row r="102">
          <cell r="B102" t="str">
            <v>Gadget</v>
          </cell>
          <cell r="F102" t="str">
            <v>X7Q45AA#ABL</v>
          </cell>
        </row>
        <row r="103">
          <cell r="B103" t="str">
            <v>Gadget</v>
          </cell>
          <cell r="F103" t="str">
            <v>1CA96AA#ABB</v>
          </cell>
        </row>
        <row r="104">
          <cell r="B104" t="str">
            <v>Gadget</v>
          </cell>
          <cell r="F104" t="str">
            <v>1CA96AA#ABB</v>
          </cell>
        </row>
        <row r="105">
          <cell r="B105" t="str">
            <v>Gadget</v>
          </cell>
          <cell r="F105" t="str">
            <v>1CA96AA#UUF</v>
          </cell>
        </row>
        <row r="106">
          <cell r="B106" t="str">
            <v>Gadget</v>
          </cell>
          <cell r="F106" t="str">
            <v>4QF62AA#AB2</v>
          </cell>
        </row>
        <row r="107">
          <cell r="B107" t="str">
            <v>Gadget</v>
          </cell>
          <cell r="F107" t="str">
            <v>4MB86AA#ABL</v>
          </cell>
        </row>
        <row r="108">
          <cell r="B108" t="str">
            <v>Gadget</v>
          </cell>
          <cell r="F108" t="str">
            <v>4MB86AA#ABL</v>
          </cell>
        </row>
        <row r="109">
          <cell r="B109" t="str">
            <v>Gadget</v>
          </cell>
          <cell r="F109" t="str">
            <v>4VY81AA#ABL</v>
          </cell>
        </row>
        <row r="110">
          <cell r="B110" t="str">
            <v>Gadget</v>
          </cell>
          <cell r="F110" t="str">
            <v>4VY81AA#ABL</v>
          </cell>
        </row>
        <row r="111">
          <cell r="B111" t="str">
            <v>Gadget</v>
          </cell>
          <cell r="F111" t="str">
            <v>4VY81AA#ABL</v>
          </cell>
        </row>
        <row r="112">
          <cell r="B112" t="str">
            <v>Gadget</v>
          </cell>
          <cell r="F112" t="str">
            <v>4VY81AA#UUF</v>
          </cell>
        </row>
        <row r="113">
          <cell r="B113" t="str">
            <v>Gadget</v>
          </cell>
          <cell r="F113" t="str">
            <v>4VY81AA#UUF</v>
          </cell>
        </row>
        <row r="114">
          <cell r="B114" t="str">
            <v>Gadget</v>
          </cell>
          <cell r="F114" t="str">
            <v>4VY82AA#ABL</v>
          </cell>
        </row>
        <row r="115">
          <cell r="B115" t="str">
            <v>Gadget</v>
          </cell>
          <cell r="F115" t="str">
            <v>4VY82AA#ABL</v>
          </cell>
        </row>
        <row r="116">
          <cell r="B116" t="str">
            <v>Gadget</v>
          </cell>
          <cell r="F116" t="str">
            <v>4VY82AA#ABL</v>
          </cell>
        </row>
        <row r="117">
          <cell r="B117" t="str">
            <v>Gadget</v>
          </cell>
          <cell r="F117" t="str">
            <v>4VY82AA#UUF</v>
          </cell>
        </row>
        <row r="118">
          <cell r="B118" t="str">
            <v>Gadget</v>
          </cell>
          <cell r="F118" t="str">
            <v>4VY82AA#UUF</v>
          </cell>
        </row>
        <row r="119">
          <cell r="B119" t="str">
            <v>Gadget</v>
          </cell>
          <cell r="F119" t="str">
            <v>4VY82AA#ABB</v>
          </cell>
        </row>
        <row r="120">
          <cell r="B120" t="str">
            <v>Gadget</v>
          </cell>
          <cell r="F120" t="str">
            <v>4VY82AA#ABB</v>
          </cell>
        </row>
        <row r="121">
          <cell r="B121" t="str">
            <v>Gadget</v>
          </cell>
          <cell r="F121" t="str">
            <v>4QM38AA#ABL</v>
          </cell>
        </row>
        <row r="122">
          <cell r="B122" t="str">
            <v>Gadget</v>
          </cell>
          <cell r="F122" t="str">
            <v>4QM38AA#ABL</v>
          </cell>
        </row>
        <row r="123">
          <cell r="B123" t="str">
            <v>Gadget</v>
          </cell>
          <cell r="F123" t="str">
            <v>6SD49AA#ABL</v>
          </cell>
        </row>
        <row r="124">
          <cell r="B124" t="str">
            <v>Gadget</v>
          </cell>
          <cell r="F124" t="str">
            <v>6SD49AA#ABL</v>
          </cell>
        </row>
        <row r="125">
          <cell r="B125" t="str">
            <v>Gadget</v>
          </cell>
          <cell r="F125" t="str">
            <v>7UH85AA#ABL</v>
          </cell>
        </row>
        <row r="126">
          <cell r="B126" t="str">
            <v>Gadget</v>
          </cell>
          <cell r="F126" t="str">
            <v>7UH85AA#ABL</v>
          </cell>
        </row>
        <row r="127">
          <cell r="B127" t="str">
            <v>Gadget</v>
          </cell>
          <cell r="F127" t="str">
            <v>7UH85AA#ABL</v>
          </cell>
        </row>
        <row r="128">
          <cell r="B128" t="str">
            <v>Gadget</v>
          </cell>
          <cell r="F128" t="str">
            <v>7UH85AA#ABB</v>
          </cell>
        </row>
        <row r="129">
          <cell r="B129" t="str">
            <v>Gadget</v>
          </cell>
          <cell r="F129" t="str">
            <v>7UH85AA#ABB</v>
          </cell>
        </row>
        <row r="130">
          <cell r="B130" t="str">
            <v>Gadget</v>
          </cell>
          <cell r="F130" t="str">
            <v>7UH86AA#ABL</v>
          </cell>
        </row>
        <row r="131">
          <cell r="B131" t="str">
            <v>Gadget</v>
          </cell>
          <cell r="F131" t="str">
            <v>7UH86AA#ABL</v>
          </cell>
        </row>
        <row r="132">
          <cell r="B132" t="str">
            <v>Gadget</v>
          </cell>
          <cell r="F132" t="str">
            <v>7UH86AA#ABB</v>
          </cell>
        </row>
        <row r="133">
          <cell r="B133" t="str">
            <v>Gadget</v>
          </cell>
          <cell r="F133" t="str">
            <v>7UH86AA#ABB</v>
          </cell>
        </row>
        <row r="134">
          <cell r="B134" t="str">
            <v>Gadget</v>
          </cell>
          <cell r="F134" t="str">
            <v>7UH87AA#ABL</v>
          </cell>
        </row>
        <row r="135">
          <cell r="B135" t="str">
            <v>Gadget</v>
          </cell>
          <cell r="F135" t="str">
            <v>7UH87AA#ABL</v>
          </cell>
        </row>
        <row r="136">
          <cell r="B136" t="str">
            <v>Gadget</v>
          </cell>
          <cell r="F136" t="str">
            <v>7UH88AA#ABL</v>
          </cell>
        </row>
        <row r="137">
          <cell r="B137" t="str">
            <v>Gadget</v>
          </cell>
          <cell r="F137" t="str">
            <v>7UH88AA#ABL</v>
          </cell>
        </row>
        <row r="138">
          <cell r="B138" t="str">
            <v>Gadget</v>
          </cell>
          <cell r="F138" t="str">
            <v>7UH88AA#ABL</v>
          </cell>
        </row>
        <row r="139">
          <cell r="B139" t="str">
            <v>Gadget</v>
          </cell>
          <cell r="F139" t="str">
            <v>7UH88AA#ABB</v>
          </cell>
        </row>
        <row r="140">
          <cell r="B140" t="str">
            <v>Gadget</v>
          </cell>
          <cell r="F140" t="str">
            <v>7UH88AA#ABB</v>
          </cell>
        </row>
        <row r="141">
          <cell r="B141" t="str">
            <v>Gadget</v>
          </cell>
          <cell r="F141" t="str">
            <v>7UH89AA#ABL</v>
          </cell>
        </row>
        <row r="142">
          <cell r="B142" t="str">
            <v>Gadget</v>
          </cell>
          <cell r="F142" t="str">
            <v>7UH89AA#ABL</v>
          </cell>
        </row>
        <row r="143">
          <cell r="B143" t="str">
            <v>Gadget</v>
          </cell>
          <cell r="F143" t="str">
            <v>7UH89AA#ABB</v>
          </cell>
        </row>
        <row r="144">
          <cell r="B144" t="str">
            <v>Gadget</v>
          </cell>
          <cell r="F144" t="str">
            <v>7UH89AA#ABB</v>
          </cell>
        </row>
        <row r="145">
          <cell r="B145" t="str">
            <v>Gadget</v>
          </cell>
          <cell r="F145" t="str">
            <v>8DQ31AA#ABL</v>
          </cell>
        </row>
        <row r="146">
          <cell r="B146" t="str">
            <v>Gadget</v>
          </cell>
          <cell r="F146" t="str">
            <v>8DQ31AA#ABL</v>
          </cell>
        </row>
        <row r="147">
          <cell r="B147" t="str">
            <v>Gadget</v>
          </cell>
          <cell r="F147" t="str">
            <v>171D7AA#ABL</v>
          </cell>
        </row>
        <row r="148">
          <cell r="B148" t="str">
            <v>Gadget</v>
          </cell>
          <cell r="F148" t="str">
            <v>171D7AA#ABL</v>
          </cell>
        </row>
        <row r="149">
          <cell r="B149" t="str">
            <v>Gadget</v>
          </cell>
          <cell r="F149" t="str">
            <v>171D8AA#ABB</v>
          </cell>
        </row>
        <row r="150">
          <cell r="B150" t="str">
            <v>Gadget</v>
          </cell>
          <cell r="F150" t="str">
            <v>171D8AA#ABB</v>
          </cell>
        </row>
        <row r="151">
          <cell r="B151" t="str">
            <v>Gadget</v>
          </cell>
          <cell r="F151" t="str">
            <v>171D9AA#ABB</v>
          </cell>
        </row>
        <row r="152">
          <cell r="B152" t="str">
            <v>Gadget</v>
          </cell>
          <cell r="F152" t="str">
            <v>171D9AA#ABB</v>
          </cell>
        </row>
        <row r="153">
          <cell r="B153" t="str">
            <v>Gadget</v>
          </cell>
          <cell r="F153" t="str">
            <v>26V63AA#ABB</v>
          </cell>
        </row>
        <row r="154">
          <cell r="B154" t="str">
            <v>Gadget</v>
          </cell>
          <cell r="F154" t="str">
            <v>26V63AA#ABL</v>
          </cell>
        </row>
        <row r="155">
          <cell r="B155" t="str">
            <v>Gadget</v>
          </cell>
          <cell r="F155" t="str">
            <v>26V63AA#UUF</v>
          </cell>
        </row>
        <row r="156">
          <cell r="B156" t="str">
            <v>Gadget</v>
          </cell>
          <cell r="F156" t="str">
            <v>681R7AA#ABL</v>
          </cell>
        </row>
        <row r="157">
          <cell r="B157" t="str">
            <v>Gadget</v>
          </cell>
          <cell r="F157" t="str">
            <v>681R8AA#ABL</v>
          </cell>
        </row>
        <row r="158">
          <cell r="B158" t="str">
            <v>Gadget</v>
          </cell>
          <cell r="F158" t="str">
            <v>681R9AA#ABL</v>
          </cell>
        </row>
        <row r="159">
          <cell r="B159" t="str">
            <v>Gadget</v>
          </cell>
          <cell r="F159" t="str">
            <v>681S0AA#ABL</v>
          </cell>
        </row>
        <row r="160">
          <cell r="B160" t="str">
            <v>Gadget</v>
          </cell>
          <cell r="F160" t="str">
            <v>681S1AA#ABL</v>
          </cell>
        </row>
        <row r="161">
          <cell r="B161" t="str">
            <v>Gadget</v>
          </cell>
          <cell r="F161" t="str">
            <v>66Z09AA#ABL</v>
          </cell>
        </row>
        <row r="162">
          <cell r="B162" t="str">
            <v>Gadget</v>
          </cell>
          <cell r="F162" t="str">
            <v>L60901-001</v>
          </cell>
        </row>
        <row r="163">
          <cell r="B163" t="str">
            <v>Gadget</v>
          </cell>
          <cell r="F163" t="str">
            <v>M49894-001</v>
          </cell>
        </row>
        <row r="164">
          <cell r="B164" t="str">
            <v>Gadget</v>
          </cell>
          <cell r="F164" t="str">
            <v>M49894-001</v>
          </cell>
        </row>
        <row r="165">
          <cell r="B165" t="str">
            <v>Gadget</v>
          </cell>
          <cell r="F165" t="str">
            <v>L77931-001</v>
          </cell>
        </row>
        <row r="166">
          <cell r="B166" t="str">
            <v>Gadget</v>
          </cell>
          <cell r="F166" t="str">
            <v>L77931-001</v>
          </cell>
        </row>
        <row r="167">
          <cell r="B167" t="str">
            <v>Gadget</v>
          </cell>
          <cell r="F167" t="str">
            <v>848201-052</v>
          </cell>
        </row>
        <row r="168">
          <cell r="B168" t="str">
            <v>Gadget</v>
          </cell>
          <cell r="F168" t="str">
            <v>848201-052</v>
          </cell>
        </row>
        <row r="169">
          <cell r="B169" t="str">
            <v>Gadget</v>
          </cell>
          <cell r="F169" t="str">
            <v>M52552-001</v>
          </cell>
        </row>
        <row r="170">
          <cell r="B170" t="str">
            <v>Gadget</v>
          </cell>
          <cell r="F170" t="str">
            <v>L60901-001</v>
          </cell>
        </row>
        <row r="171">
          <cell r="B171" t="str">
            <v>Gadget</v>
          </cell>
          <cell r="F171" t="str">
            <v>L36876-001</v>
          </cell>
        </row>
        <row r="172">
          <cell r="B172" t="str">
            <v>Gadget</v>
          </cell>
          <cell r="F172" t="str">
            <v>848201-062</v>
          </cell>
        </row>
        <row r="173">
          <cell r="B173" t="str">
            <v>Gadget</v>
          </cell>
          <cell r="F173" t="str">
            <v>848201-052</v>
          </cell>
        </row>
        <row r="174">
          <cell r="B174" t="str">
            <v>Gadget</v>
          </cell>
          <cell r="F174" t="str">
            <v>848201-052</v>
          </cell>
        </row>
        <row r="175">
          <cell r="B175" t="str">
            <v>Gadget</v>
          </cell>
          <cell r="F175" t="str">
            <v>L73781-401</v>
          </cell>
        </row>
        <row r="176">
          <cell r="B176" t="str">
            <v>Gadget</v>
          </cell>
          <cell r="F176" t="str">
            <v>L73781-301</v>
          </cell>
        </row>
        <row r="177">
          <cell r="B177" t="str">
            <v>Gadget</v>
          </cell>
          <cell r="F177" t="str">
            <v>L73781-201</v>
          </cell>
        </row>
        <row r="178">
          <cell r="B178" t="str">
            <v>Gadget</v>
          </cell>
          <cell r="F178" t="str">
            <v>L77930-001</v>
          </cell>
        </row>
        <row r="179">
          <cell r="B179" t="str">
            <v>Gadget</v>
          </cell>
          <cell r="F179" t="str">
            <v>L73781-101</v>
          </cell>
        </row>
        <row r="180">
          <cell r="B180" t="str">
            <v>Gadget</v>
          </cell>
          <cell r="F180" t="str">
            <v>L73781-001</v>
          </cell>
        </row>
        <row r="181">
          <cell r="B181" t="str">
            <v>Gadget</v>
          </cell>
          <cell r="F181" t="str">
            <v>L77930-001</v>
          </cell>
        </row>
        <row r="182">
          <cell r="B182" t="str">
            <v>Gadget</v>
          </cell>
          <cell r="F182" t="str">
            <v>L77930-001</v>
          </cell>
        </row>
        <row r="183">
          <cell r="B183" t="str">
            <v>Gadget</v>
          </cell>
          <cell r="F183" t="str">
            <v>L77930-001</v>
          </cell>
        </row>
        <row r="184">
          <cell r="B184" t="str">
            <v>Gadget</v>
          </cell>
          <cell r="F184" t="str">
            <v>L73781-101</v>
          </cell>
        </row>
        <row r="185">
          <cell r="B185" t="str">
            <v>Gadget</v>
          </cell>
          <cell r="F185" t="str">
            <v>L73781-001</v>
          </cell>
        </row>
        <row r="186">
          <cell r="B186" t="str">
            <v>Gadget</v>
          </cell>
          <cell r="F186" t="str">
            <v>L73781-401</v>
          </cell>
        </row>
        <row r="187">
          <cell r="B187" t="str">
            <v>Gadget</v>
          </cell>
          <cell r="F187" t="str">
            <v>L73781-301</v>
          </cell>
        </row>
        <row r="188">
          <cell r="B188" t="str">
            <v>Gadget</v>
          </cell>
          <cell r="F188" t="str">
            <v>L73781-201</v>
          </cell>
        </row>
        <row r="189">
          <cell r="B189" t="str">
            <v>Gadget</v>
          </cell>
          <cell r="F189" t="str">
            <v>L73781-201</v>
          </cell>
        </row>
        <row r="190">
          <cell r="B190" t="str">
            <v>Gadget</v>
          </cell>
          <cell r="F190" t="str">
            <v>848200-052</v>
          </cell>
        </row>
        <row r="191">
          <cell r="B191" t="str">
            <v>Gadget</v>
          </cell>
          <cell r="F191" t="str">
            <v>M17577-001</v>
          </cell>
        </row>
        <row r="192">
          <cell r="B192" t="str">
            <v>Gadget</v>
          </cell>
          <cell r="F192" t="str">
            <v>L36875-101</v>
          </cell>
        </row>
        <row r="193">
          <cell r="B193" t="str">
            <v>Gadget</v>
          </cell>
          <cell r="F193" t="str">
            <v>M11571-001</v>
          </cell>
        </row>
        <row r="194">
          <cell r="B194" t="str">
            <v>Gadget</v>
          </cell>
          <cell r="F194" t="str">
            <v>M11571-001</v>
          </cell>
        </row>
        <row r="195">
          <cell r="B195" t="str">
            <v>Gadget</v>
          </cell>
          <cell r="F195" t="str">
            <v>M11571-101</v>
          </cell>
        </row>
        <row r="196">
          <cell r="B196" t="str">
            <v>Gadget</v>
          </cell>
          <cell r="F196" t="str">
            <v>M11571-101</v>
          </cell>
        </row>
        <row r="197">
          <cell r="B197" t="str">
            <v>Gadget</v>
          </cell>
          <cell r="F197" t="str">
            <v>M53860-001</v>
          </cell>
        </row>
        <row r="198">
          <cell r="B198" t="str">
            <v>Gadget</v>
          </cell>
          <cell r="F198" t="str">
            <v>M53860-001</v>
          </cell>
        </row>
        <row r="199">
          <cell r="B199" t="str">
            <v>Gadget</v>
          </cell>
          <cell r="F199" t="str">
            <v>M53862-001</v>
          </cell>
        </row>
        <row r="200">
          <cell r="B200" t="str">
            <v>Gadget</v>
          </cell>
          <cell r="F200" t="str">
            <v>M53862-001</v>
          </cell>
        </row>
        <row r="201">
          <cell r="B201" t="str">
            <v>Gadget</v>
          </cell>
          <cell r="F201" t="str">
            <v>N19080-001</v>
          </cell>
        </row>
        <row r="202">
          <cell r="B202" t="str">
            <v>Gadget</v>
          </cell>
          <cell r="F202" t="str">
            <v>N19080-001</v>
          </cell>
        </row>
        <row r="203">
          <cell r="B203" t="str">
            <v>Gadget</v>
          </cell>
          <cell r="F203" t="str">
            <v>N19082-001</v>
          </cell>
        </row>
        <row r="204">
          <cell r="B204" t="str">
            <v>Gadget</v>
          </cell>
          <cell r="F204" t="str">
            <v>N19082-001</v>
          </cell>
        </row>
        <row r="205">
          <cell r="B205" t="str">
            <v>Gadget</v>
          </cell>
        </row>
        <row r="206">
          <cell r="B206" t="str">
            <v>Gadget refresh</v>
          </cell>
          <cell r="F206" t="str">
            <v>V0L79AA#ABB</v>
          </cell>
        </row>
        <row r="207">
          <cell r="B207" t="str">
            <v>Gadget refresh</v>
          </cell>
          <cell r="F207" t="str">
            <v>V0L79AA#UUF</v>
          </cell>
        </row>
        <row r="208">
          <cell r="B208" t="str">
            <v>Gadget refresh</v>
          </cell>
          <cell r="F208" t="str">
            <v>V0L80AA#ABB</v>
          </cell>
        </row>
        <row r="209">
          <cell r="B209" t="str">
            <v>Gadget refresh</v>
          </cell>
          <cell r="F209" t="str">
            <v>V0L80AA#UUF</v>
          </cell>
        </row>
        <row r="210">
          <cell r="B210" t="str">
            <v>Gadget refresh</v>
          </cell>
          <cell r="F210" t="str">
            <v>V0L81AA#ABB</v>
          </cell>
        </row>
        <row r="211">
          <cell r="B211" t="str">
            <v>Gadget refresh</v>
          </cell>
          <cell r="F211" t="str">
            <v>V0L82AA#ABB</v>
          </cell>
        </row>
        <row r="212">
          <cell r="B212" t="str">
            <v>Gadget refresh</v>
          </cell>
          <cell r="F212" t="str">
            <v>X7Q43AA#ABB</v>
          </cell>
        </row>
        <row r="213">
          <cell r="B213" t="str">
            <v>Gadget refresh</v>
          </cell>
          <cell r="F213" t="str">
            <v>X7Q43AA#UUF</v>
          </cell>
        </row>
        <row r="214">
          <cell r="B214" t="str">
            <v>Gadget refresh</v>
          </cell>
          <cell r="F214" t="str">
            <v>X7Q44AA#ABB</v>
          </cell>
        </row>
        <row r="215">
          <cell r="B215" t="str">
            <v>Gadget refresh</v>
          </cell>
          <cell r="F215" t="str">
            <v>X7Q44AA#UUF</v>
          </cell>
        </row>
        <row r="216">
          <cell r="B216" t="str">
            <v>Gadget refresh</v>
          </cell>
          <cell r="F216" t="str">
            <v>4VY82AA#ABB</v>
          </cell>
        </row>
        <row r="217">
          <cell r="B217" t="str">
            <v>Gadget refresh</v>
          </cell>
          <cell r="F217" t="str">
            <v>7UH88AA#ABB</v>
          </cell>
        </row>
        <row r="218">
          <cell r="B218" t="str">
            <v>Gadget refresh</v>
          </cell>
          <cell r="F218" t="str">
            <v>171D8AA#ABB</v>
          </cell>
        </row>
        <row r="219">
          <cell r="B219" t="str">
            <v>Gadget refresh</v>
          </cell>
          <cell r="F219" t="str">
            <v>681R7AA#ABL</v>
          </cell>
        </row>
        <row r="220">
          <cell r="B220" t="str">
            <v>Gadget refresh</v>
          </cell>
          <cell r="F220" t="str">
            <v>681R7AA#ABL</v>
          </cell>
        </row>
        <row r="221">
          <cell r="B221" t="str">
            <v>Gadget refresh</v>
          </cell>
          <cell r="F221" t="str">
            <v>681R8AA#ABL</v>
          </cell>
        </row>
        <row r="222">
          <cell r="B222" t="str">
            <v>Gadget refresh</v>
          </cell>
          <cell r="F222" t="str">
            <v>681R8AA#ABL</v>
          </cell>
        </row>
        <row r="223">
          <cell r="B223" t="str">
            <v>Gadget refresh</v>
          </cell>
          <cell r="F223" t="str">
            <v>681R9AA#ABL</v>
          </cell>
        </row>
        <row r="224">
          <cell r="B224" t="str">
            <v>Gadget refresh</v>
          </cell>
          <cell r="F224" t="str">
            <v>681R9AA#ABL</v>
          </cell>
        </row>
        <row r="225">
          <cell r="B225" t="str">
            <v>Gadget refresh</v>
          </cell>
          <cell r="F225" t="str">
            <v>681S0AA#ABL</v>
          </cell>
        </row>
        <row r="226">
          <cell r="B226" t="str">
            <v>Gadget refresh</v>
          </cell>
          <cell r="F226" t="str">
            <v>681S0AA#ABL</v>
          </cell>
        </row>
        <row r="227">
          <cell r="B227" t="str">
            <v>Gadget refresh</v>
          </cell>
          <cell r="F227" t="str">
            <v>681S1AA#ABL</v>
          </cell>
        </row>
        <row r="228">
          <cell r="B228" t="str">
            <v>Gadget refresh</v>
          </cell>
          <cell r="F228" t="str">
            <v>681S1AA#ABL</v>
          </cell>
        </row>
        <row r="229">
          <cell r="B229" t="str">
            <v>Gadget refresh</v>
          </cell>
          <cell r="F229" t="str">
            <v>66Z09AA#ABL</v>
          </cell>
        </row>
        <row r="230">
          <cell r="B230" t="str">
            <v>Gadget refresh</v>
          </cell>
          <cell r="F230" t="str">
            <v>66Z09AA#ABL</v>
          </cell>
        </row>
        <row r="231">
          <cell r="B231" t="str">
            <v>Gadget refresh</v>
          </cell>
          <cell r="F231" t="str">
            <v>N38404-001</v>
          </cell>
        </row>
        <row r="232">
          <cell r="B232" t="str">
            <v>Gadget refresh</v>
          </cell>
          <cell r="F232" t="str">
            <v>N38404-001</v>
          </cell>
        </row>
        <row r="233">
          <cell r="B233" t="str">
            <v>Gadget refresh</v>
          </cell>
          <cell r="F233" t="str">
            <v>N43864-001</v>
          </cell>
        </row>
        <row r="234">
          <cell r="B234" t="str">
            <v>Gadget refresh</v>
          </cell>
          <cell r="F234" t="str">
            <v>N43864-001</v>
          </cell>
        </row>
        <row r="235">
          <cell r="B235" t="str">
            <v>Gadget refresh</v>
          </cell>
          <cell r="F235" t="str">
            <v>N43866-001</v>
          </cell>
        </row>
        <row r="236">
          <cell r="B236" t="str">
            <v>Gadget refresh</v>
          </cell>
          <cell r="F236" t="str">
            <v>N43866-001</v>
          </cell>
        </row>
        <row r="237">
          <cell r="B237" t="str">
            <v>Gadget refresh</v>
          </cell>
          <cell r="F237" t="str">
            <v>M49894-001</v>
          </cell>
        </row>
        <row r="238">
          <cell r="B238" t="str">
            <v>Gadget refresh</v>
          </cell>
          <cell r="F238" t="str">
            <v>M49894-001</v>
          </cell>
        </row>
        <row r="239">
          <cell r="B239" t="str">
            <v>Gadget refresh</v>
          </cell>
          <cell r="F239" t="str">
            <v>M49894-001</v>
          </cell>
        </row>
        <row r="240">
          <cell r="B240" t="str">
            <v>Gadget refresh</v>
          </cell>
          <cell r="F240" t="str">
            <v>M49894-001</v>
          </cell>
        </row>
        <row r="241">
          <cell r="B241" t="str">
            <v>Gadget refresh</v>
          </cell>
          <cell r="F241" t="str">
            <v>L77930-001</v>
          </cell>
        </row>
        <row r="242">
          <cell r="B242" t="str">
            <v>Gadget refresh</v>
          </cell>
          <cell r="F242" t="str">
            <v>L77930-001</v>
          </cell>
        </row>
        <row r="243">
          <cell r="B243" t="str">
            <v>Gadget refresh</v>
          </cell>
          <cell r="F243" t="str">
            <v>L77930-001</v>
          </cell>
        </row>
        <row r="244">
          <cell r="B244" t="str">
            <v>Gadget refresh</v>
          </cell>
          <cell r="F244" t="str">
            <v>N87312-001</v>
          </cell>
        </row>
        <row r="245">
          <cell r="B245" t="str">
            <v>Gadget refresh</v>
          </cell>
          <cell r="F245" t="str">
            <v>N87314-001</v>
          </cell>
        </row>
        <row r="246">
          <cell r="B246" t="str">
            <v>Gadget refresh</v>
          </cell>
          <cell r="F246" t="str">
            <v>N87316-001</v>
          </cell>
        </row>
        <row r="247">
          <cell r="B247" t="str">
            <v>Gadget refresh</v>
          </cell>
          <cell r="F247" t="str">
            <v>N87318-001</v>
          </cell>
        </row>
        <row r="248">
          <cell r="B248" t="str">
            <v>Gadget refresh</v>
          </cell>
          <cell r="F248" t="str">
            <v>N87312-001</v>
          </cell>
        </row>
        <row r="249">
          <cell r="B249" t="str">
            <v>Gadget refresh</v>
          </cell>
          <cell r="F249" t="str">
            <v>N87314-001</v>
          </cell>
        </row>
        <row r="250">
          <cell r="B250" t="str">
            <v>Gadget refresh</v>
          </cell>
          <cell r="F250" t="str">
            <v>N87316-001</v>
          </cell>
        </row>
        <row r="251">
          <cell r="B251" t="str">
            <v>Gadget refresh</v>
          </cell>
          <cell r="F251" t="str">
            <v>N87318-001</v>
          </cell>
        </row>
        <row r="252">
          <cell r="B252" t="str">
            <v>Gadget refresh</v>
          </cell>
        </row>
        <row r="253">
          <cell r="B253" t="str">
            <v>Moscow(red)</v>
          </cell>
          <cell r="F253" t="str">
            <v>K5D26AA#ABA</v>
          </cell>
        </row>
        <row r="254">
          <cell r="B254" t="str">
            <v>Moscow(red)</v>
          </cell>
          <cell r="F254" t="str">
            <v>K5D26AA#ABL</v>
          </cell>
        </row>
        <row r="255">
          <cell r="B255" t="str">
            <v>Moscow(red)</v>
          </cell>
          <cell r="F255" t="str">
            <v>K5D26AA#ABL</v>
          </cell>
        </row>
        <row r="256">
          <cell r="B256" t="str">
            <v>Moscow(red)</v>
          </cell>
          <cell r="F256" t="str">
            <v>K5D26AA#ABL</v>
          </cell>
        </row>
        <row r="257">
          <cell r="B257" t="str">
            <v>Moscow(red)</v>
          </cell>
          <cell r="F257" t="str">
            <v>K5D26AA#ABB</v>
          </cell>
        </row>
        <row r="258">
          <cell r="B258" t="str">
            <v>Moscow(red)</v>
          </cell>
          <cell r="F258" t="str">
            <v>N4G65AA#ABB</v>
          </cell>
        </row>
        <row r="259">
          <cell r="B259" t="str">
            <v>Moscow(red)</v>
          </cell>
          <cell r="F259" t="str">
            <v>K5D26AA#UUF</v>
          </cell>
        </row>
        <row r="260">
          <cell r="B260" t="str">
            <v>Moscow(red)</v>
          </cell>
          <cell r="F260" t="str">
            <v>K5D26AA#ACJ</v>
          </cell>
        </row>
        <row r="261">
          <cell r="B261" t="str">
            <v>Moscow(red)</v>
          </cell>
          <cell r="F261" t="str">
            <v>K5D26AA#AB2</v>
          </cell>
        </row>
        <row r="262">
          <cell r="B262" t="str">
            <v>Moscow(red)</v>
          </cell>
          <cell r="F262" t="str">
            <v>K5D26AA#ABG</v>
          </cell>
        </row>
        <row r="263">
          <cell r="B263" t="str">
            <v>Moscow(red)</v>
          </cell>
          <cell r="F263" t="str">
            <v>K5D26AA#ABM</v>
          </cell>
        </row>
        <row r="264">
          <cell r="B264" t="str">
            <v>Moscow(red)</v>
          </cell>
          <cell r="F264" t="str">
            <v>K5D26AA#ABM</v>
          </cell>
        </row>
        <row r="265">
          <cell r="B265" t="str">
            <v>Moscow(red)</v>
          </cell>
          <cell r="F265" t="str">
            <v>K5D26AA#ABM</v>
          </cell>
        </row>
        <row r="266">
          <cell r="B266" t="str">
            <v>Moscow(red)</v>
          </cell>
          <cell r="F266" t="str">
            <v>K5D26AA#ABM</v>
          </cell>
        </row>
        <row r="267">
          <cell r="B267" t="str">
            <v>Moscow(blue)</v>
          </cell>
          <cell r="F267" t="str">
            <v>K5D27AA#ABA</v>
          </cell>
        </row>
        <row r="268">
          <cell r="B268" t="str">
            <v>Moscow(blue)</v>
          </cell>
          <cell r="F268" t="str">
            <v>K5D27AA#ABL</v>
          </cell>
        </row>
        <row r="269">
          <cell r="B269" t="str">
            <v>Moscow(blue)</v>
          </cell>
          <cell r="F269" t="str">
            <v>K5D27AA#ABL</v>
          </cell>
        </row>
        <row r="270">
          <cell r="B270" t="str">
            <v>Moscow(blue)</v>
          </cell>
          <cell r="F270" t="str">
            <v>K5D27AA#ABB</v>
          </cell>
        </row>
        <row r="271">
          <cell r="B271" t="str">
            <v>Moscow(blue)</v>
          </cell>
          <cell r="F271" t="str">
            <v>K5D27AA#UUF</v>
          </cell>
        </row>
        <row r="272">
          <cell r="B272" t="str">
            <v>Moscow(blue)</v>
          </cell>
          <cell r="F272" t="str">
            <v>K5D27AA#ACJ</v>
          </cell>
        </row>
        <row r="273">
          <cell r="B273" t="str">
            <v>Moscow(blue)</v>
          </cell>
          <cell r="F273" t="str">
            <v>K5D27AA#AB2</v>
          </cell>
        </row>
        <row r="274">
          <cell r="B274" t="str">
            <v>Moscow(blue)</v>
          </cell>
          <cell r="F274" t="str">
            <v>K5D27AA#ABG</v>
          </cell>
        </row>
        <row r="275">
          <cell r="B275" t="str">
            <v>Moscow(blue)</v>
          </cell>
          <cell r="F275" t="str">
            <v>K5D27AA#ABM</v>
          </cell>
        </row>
        <row r="276">
          <cell r="B276" t="str">
            <v>Moscow(silver/gray)</v>
          </cell>
          <cell r="F276" t="str">
            <v>K5D28AA#ABA</v>
          </cell>
        </row>
        <row r="277">
          <cell r="B277" t="str">
            <v>Moscow(silver/gray)</v>
          </cell>
          <cell r="F277" t="str">
            <v>K5D28AA#ABA</v>
          </cell>
        </row>
        <row r="278">
          <cell r="B278" t="str">
            <v>Moscow(silver/gray)</v>
          </cell>
          <cell r="F278" t="str">
            <v>K5D28AA#ABL</v>
          </cell>
        </row>
        <row r="279">
          <cell r="B279" t="str">
            <v>Moscow(silver/gray)</v>
          </cell>
          <cell r="F279" t="str">
            <v>K5D28AA#ABL</v>
          </cell>
        </row>
        <row r="280">
          <cell r="B280" t="str">
            <v>Moscow(silver/gray)</v>
          </cell>
          <cell r="F280" t="str">
            <v>K5D28AA#ABL</v>
          </cell>
        </row>
        <row r="281">
          <cell r="B281" t="str">
            <v>Moscow(silver/gray)</v>
          </cell>
          <cell r="F281" t="str">
            <v>K5D28AA#UUF</v>
          </cell>
        </row>
        <row r="282">
          <cell r="B282" t="str">
            <v>Moscow(silver/gray)</v>
          </cell>
          <cell r="F282" t="str">
            <v>K5D28AA#ACJ</v>
          </cell>
        </row>
        <row r="283">
          <cell r="B283" t="str">
            <v>Moscow(silver/gray)</v>
          </cell>
          <cell r="F283" t="str">
            <v>K5D28AA#ABG</v>
          </cell>
        </row>
        <row r="284">
          <cell r="B284" t="str">
            <v>Moscow(silver/gray)</v>
          </cell>
          <cell r="F284" t="str">
            <v>K5D28AA#ABMblister</v>
          </cell>
        </row>
        <row r="285">
          <cell r="B285" t="str">
            <v>Moscow(silver/gray)</v>
          </cell>
          <cell r="F285" t="str">
            <v>K5D28AA#ABMblister</v>
          </cell>
        </row>
        <row r="286">
          <cell r="B286" t="str">
            <v>Moscow(silver/gray)</v>
          </cell>
          <cell r="F286" t="str">
            <v>K5D28AA#ABMblister</v>
          </cell>
        </row>
        <row r="287">
          <cell r="B287" t="str">
            <v>Moscow(silver/gray)</v>
          </cell>
          <cell r="F287" t="str">
            <v>K5D28AA#ABMblister</v>
          </cell>
        </row>
        <row r="288">
          <cell r="B288" t="str">
            <v>Moscow(purple)</v>
          </cell>
          <cell r="F288" t="str">
            <v>K5D29AA#ABA</v>
          </cell>
        </row>
        <row r="289">
          <cell r="B289" t="str">
            <v>Moscow(purple)</v>
          </cell>
          <cell r="F289" t="str">
            <v>K5D29AA#ABL</v>
          </cell>
        </row>
        <row r="290">
          <cell r="B290" t="str">
            <v>Moscow(purple)</v>
          </cell>
          <cell r="F290" t="str">
            <v>K5D29AA#ABL</v>
          </cell>
        </row>
        <row r="291">
          <cell r="B291" t="str">
            <v>Moscow(purple)</v>
          </cell>
          <cell r="F291" t="str">
            <v>K5D29AA#UUF</v>
          </cell>
        </row>
        <row r="292">
          <cell r="B292" t="str">
            <v>Moscow(purple)</v>
          </cell>
          <cell r="F292" t="str">
            <v>K5D29AA#ACJ</v>
          </cell>
        </row>
        <row r="293">
          <cell r="B293" t="str">
            <v>Moscow(purple)</v>
          </cell>
          <cell r="F293" t="str">
            <v>K5D29AA#ABG</v>
          </cell>
        </row>
        <row r="294">
          <cell r="B294" t="str">
            <v>Moscow(purple)</v>
          </cell>
          <cell r="F294" t="str">
            <v>K5D29AA#ABMblister</v>
          </cell>
        </row>
        <row r="295">
          <cell r="B295" t="str">
            <v>Moscow(purple)</v>
          </cell>
          <cell r="F295" t="str">
            <v>K5D29AA#ABMblister</v>
          </cell>
        </row>
        <row r="296">
          <cell r="B296" t="str">
            <v>Moscow(blue)</v>
          </cell>
          <cell r="F296" t="str">
            <v>N4G63AA#ABB</v>
          </cell>
        </row>
        <row r="297">
          <cell r="B297" t="str">
            <v>Moscow(blue)</v>
          </cell>
          <cell r="F297" t="str">
            <v>N4G63AA#UUF</v>
          </cell>
        </row>
        <row r="298">
          <cell r="B298" t="str">
            <v>Moscow(blue)</v>
          </cell>
          <cell r="F298" t="str">
            <v>N4G63AA#UUF</v>
          </cell>
        </row>
        <row r="299">
          <cell r="B299" t="str">
            <v>Moscow(blue)</v>
          </cell>
          <cell r="F299" t="str">
            <v>N4G63AA#ABL</v>
          </cell>
        </row>
        <row r="300">
          <cell r="B300" t="str">
            <v>Moscow(blue)</v>
          </cell>
          <cell r="F300" t="str">
            <v>N4G63AA#ABL</v>
          </cell>
        </row>
        <row r="301">
          <cell r="B301" t="str">
            <v>Moscow(blue)</v>
          </cell>
          <cell r="F301" t="str">
            <v>N4G63AA#ABA</v>
          </cell>
        </row>
        <row r="302">
          <cell r="B302" t="str">
            <v>Moscow(blue)</v>
          </cell>
          <cell r="F302" t="str">
            <v>N4G63AA#ABM</v>
          </cell>
        </row>
        <row r="303">
          <cell r="B303" t="str">
            <v>Moscow(blue)</v>
          </cell>
          <cell r="F303" t="str">
            <v>N4G63AA#ABM</v>
          </cell>
        </row>
        <row r="304">
          <cell r="B304" t="str">
            <v>Moscow(white)</v>
          </cell>
          <cell r="F304" t="str">
            <v>N4G64AA#ABB</v>
          </cell>
        </row>
        <row r="305">
          <cell r="B305" t="str">
            <v>Moscow(white)</v>
          </cell>
          <cell r="F305" t="str">
            <v>N4G64AA#ABL</v>
          </cell>
        </row>
        <row r="306">
          <cell r="B306" t="str">
            <v>Moscow(white)</v>
          </cell>
          <cell r="F306" t="str">
            <v>N4G64AA#ABM</v>
          </cell>
        </row>
        <row r="307">
          <cell r="B307" t="str">
            <v>Moscow(white)</v>
          </cell>
          <cell r="F307" t="str">
            <v>N4G64AA#ABM</v>
          </cell>
        </row>
        <row r="308">
          <cell r="B308" t="str">
            <v>Moscow</v>
          </cell>
          <cell r="F308" t="str">
            <v>H2C22AA#ABB</v>
          </cell>
        </row>
        <row r="309">
          <cell r="B309" t="str">
            <v>Moscow</v>
          </cell>
          <cell r="F309" t="str">
            <v>H2C22AA#ABL</v>
          </cell>
        </row>
        <row r="310">
          <cell r="B310" t="str">
            <v>Moscow</v>
          </cell>
          <cell r="F310" t="str">
            <v>H2C22AA#ABL</v>
          </cell>
        </row>
        <row r="311">
          <cell r="B311" t="str">
            <v>Moscow</v>
          </cell>
          <cell r="F311" t="str">
            <v>H2C22AA#ABL</v>
          </cell>
        </row>
        <row r="312">
          <cell r="B312" t="str">
            <v>Moscow</v>
          </cell>
          <cell r="F312" t="str">
            <v>H2C22AA#ABLblister</v>
          </cell>
        </row>
        <row r="313">
          <cell r="B313" t="str">
            <v>Moscow</v>
          </cell>
          <cell r="F313" t="str">
            <v>H2C22AA#ABLblister</v>
          </cell>
        </row>
        <row r="314">
          <cell r="B314" t="str">
            <v>Moscow</v>
          </cell>
          <cell r="F314" t="str">
            <v>H2C22AA#ABLblister</v>
          </cell>
        </row>
        <row r="315">
          <cell r="B315" t="str">
            <v>Moscow</v>
          </cell>
          <cell r="F315" t="str">
            <v>H2C22AA#AB2</v>
          </cell>
        </row>
        <row r="316">
          <cell r="B316" t="str">
            <v>Moscow</v>
          </cell>
          <cell r="F316" t="str">
            <v>H2C22AA#ABA</v>
          </cell>
        </row>
        <row r="317">
          <cell r="B317" t="str">
            <v>Moscow</v>
          </cell>
          <cell r="F317" t="str">
            <v>H2C22AA#ABA</v>
          </cell>
        </row>
        <row r="318">
          <cell r="B318" t="str">
            <v>Moscow</v>
          </cell>
          <cell r="F318" t="str">
            <v>H2C22AA#ABL</v>
          </cell>
        </row>
        <row r="319">
          <cell r="B319" t="str">
            <v>Moscow</v>
          </cell>
          <cell r="F319" t="str">
            <v>H2C22AA#ABL</v>
          </cell>
        </row>
        <row r="320">
          <cell r="B320" t="str">
            <v>Moscow</v>
          </cell>
          <cell r="F320" t="str">
            <v>H2C22AA#UUF</v>
          </cell>
        </row>
        <row r="321">
          <cell r="B321" t="str">
            <v>Moscow</v>
          </cell>
          <cell r="F321" t="str">
            <v>H2C22AA#ACJ</v>
          </cell>
        </row>
        <row r="322">
          <cell r="B322" t="str">
            <v>Moscow</v>
          </cell>
          <cell r="F322" t="str">
            <v>H2C22AA#ABM</v>
          </cell>
        </row>
        <row r="323">
          <cell r="B323" t="str">
            <v>Moscow</v>
          </cell>
          <cell r="F323" t="str">
            <v>H2C22AA#ABM</v>
          </cell>
        </row>
        <row r="324">
          <cell r="B324" t="str">
            <v xml:space="preserve">Moscow </v>
          </cell>
          <cell r="F324" t="str">
            <v>2ET89AA#UUF</v>
          </cell>
        </row>
        <row r="325">
          <cell r="B325" t="str">
            <v xml:space="preserve">Moscow </v>
          </cell>
          <cell r="F325" t="str">
            <v>H4K60AA#ACJ</v>
          </cell>
        </row>
        <row r="326">
          <cell r="B326" t="str">
            <v xml:space="preserve">Moscow </v>
          </cell>
          <cell r="F326" t="str">
            <v>2HW68AA#ABB</v>
          </cell>
        </row>
        <row r="327">
          <cell r="B327" t="str">
            <v xml:space="preserve">Moscow </v>
          </cell>
          <cell r="F327" t="str">
            <v>2HW69AA#ABL</v>
          </cell>
        </row>
        <row r="328">
          <cell r="B328" t="str">
            <v xml:space="preserve">Moscow </v>
          </cell>
          <cell r="F328" t="str">
            <v>2HW69AA#ABL</v>
          </cell>
        </row>
        <row r="329">
          <cell r="B329" t="str">
            <v xml:space="preserve">Moscow </v>
          </cell>
          <cell r="F329" t="str">
            <v>2HW70AA#ABL</v>
          </cell>
        </row>
        <row r="330">
          <cell r="B330" t="str">
            <v>Moscow (Quanta Bulk Pack) Black</v>
          </cell>
          <cell r="F330" t="str">
            <v>J7W30AV</v>
          </cell>
        </row>
        <row r="331">
          <cell r="B331" t="str">
            <v>Moscow (Compal Bulk Pack) Red</v>
          </cell>
          <cell r="F331" t="str">
            <v>L6E13AV</v>
          </cell>
        </row>
        <row r="332">
          <cell r="B332" t="str">
            <v>Moscow (Fabrique裸包) 黑</v>
          </cell>
          <cell r="F332" t="str">
            <v>J7W30AV</v>
          </cell>
        </row>
        <row r="333">
          <cell r="B333" t="str">
            <v>Moscow (Compal Bulk Pack) Black</v>
          </cell>
          <cell r="F333" t="str">
            <v>X8Q81AV#ABA</v>
          </cell>
        </row>
        <row r="334">
          <cell r="B334" t="str">
            <v>Moscow (Compal Bulk Pack) Black</v>
          </cell>
          <cell r="F334" t="str">
            <v>X8Q81AV#ABA</v>
          </cell>
        </row>
        <row r="335">
          <cell r="B335" t="str">
            <v>Moscow (Compal Bulk Pack) Black</v>
          </cell>
          <cell r="F335" t="str">
            <v>J7W30AV</v>
          </cell>
        </row>
        <row r="336">
          <cell r="B336" t="str">
            <v>Moscow (Quanta Bulk Pack) Black-PE Bag</v>
          </cell>
          <cell r="F336" t="str">
            <v>J7W30AV</v>
          </cell>
        </row>
        <row r="337">
          <cell r="B337" t="str">
            <v>Moscow (Quanta Bulk Pack) Black</v>
          </cell>
          <cell r="F337" t="str">
            <v>X8Q81AV</v>
          </cell>
        </row>
        <row r="338">
          <cell r="B338" t="str">
            <v>Moscow (Quanta Bulk Pack) Silver</v>
          </cell>
          <cell r="F338" t="str">
            <v>5HR64AV</v>
          </cell>
        </row>
        <row r="339">
          <cell r="B339" t="str">
            <v>Moscow (Quanta Bulk Pack) Silver</v>
          </cell>
          <cell r="F339" t="str">
            <v>5HR64AV</v>
          </cell>
        </row>
        <row r="340">
          <cell r="B340" t="str">
            <v>Moscow (Compal Bulk Pack) Silver</v>
          </cell>
          <cell r="F340" t="str">
            <v>942296-001</v>
          </cell>
        </row>
        <row r="341">
          <cell r="B341" t="str">
            <v>Moscow (Compal Bulk Pack) Silver</v>
          </cell>
          <cell r="F341" t="str">
            <v>942296-001</v>
          </cell>
        </row>
        <row r="342">
          <cell r="B342" t="str">
            <v>Moscow (IEC裸包) 派克銀</v>
          </cell>
          <cell r="F342" t="str">
            <v>942295-001</v>
          </cell>
        </row>
        <row r="343">
          <cell r="B343" t="str">
            <v xml:space="preserve">Moscow </v>
          </cell>
        </row>
        <row r="344">
          <cell r="B344" t="str">
            <v>Moscow(black)</v>
          </cell>
          <cell r="F344" t="str">
            <v>L0Z84AA#ABA</v>
          </cell>
        </row>
        <row r="345">
          <cell r="B345" t="str">
            <v>Moscow(black)</v>
          </cell>
          <cell r="F345" t="str">
            <v>L0Z84AA#ABM</v>
          </cell>
        </row>
        <row r="346">
          <cell r="B346" t="str">
            <v>Moscow(red)</v>
          </cell>
          <cell r="F346" t="str">
            <v>L0Z86AA#ABM</v>
          </cell>
        </row>
        <row r="347">
          <cell r="B347" t="str">
            <v>Moscow(silver/gray)</v>
          </cell>
          <cell r="F347" t="str">
            <v>L0Z87AA#ABM</v>
          </cell>
        </row>
        <row r="348">
          <cell r="B348" t="str">
            <v xml:space="preserve">Moscow(black) </v>
          </cell>
          <cell r="F348" t="str">
            <v>L0Z84AA#ABA</v>
          </cell>
        </row>
        <row r="349">
          <cell r="B349" t="str">
            <v xml:space="preserve">Moscow(black) </v>
          </cell>
          <cell r="F349" t="str">
            <v>L0Z84AA#ABM</v>
          </cell>
        </row>
        <row r="350">
          <cell r="B350" t="str">
            <v xml:space="preserve">Moscow(red) </v>
          </cell>
          <cell r="F350" t="str">
            <v>L0Z86AA#ABM</v>
          </cell>
        </row>
        <row r="351">
          <cell r="B351" t="str">
            <v xml:space="preserve">Moscow(silver/gray) </v>
          </cell>
          <cell r="F351" t="str">
            <v>L0Z87AA#ABM</v>
          </cell>
        </row>
        <row r="352">
          <cell r="B352" t="str">
            <v>Moscow commercial LA</v>
          </cell>
        </row>
        <row r="353">
          <cell r="B353" t="str">
            <v>Moscow1BlueLed</v>
          </cell>
          <cell r="F353" t="str">
            <v>3FV66AA#UUF</v>
          </cell>
        </row>
        <row r="354">
          <cell r="B354" t="str">
            <v>Moscow1BlueLed</v>
          </cell>
          <cell r="F354" t="str">
            <v>3FV66AA#UUF</v>
          </cell>
        </row>
        <row r="355">
          <cell r="B355" t="str">
            <v>Moscow1BlueLed</v>
          </cell>
          <cell r="F355" t="str">
            <v>3FV66AA#B1L</v>
          </cell>
        </row>
        <row r="356">
          <cell r="B356" t="str">
            <v>Moscow1BlueLed</v>
          </cell>
          <cell r="F356" t="str">
            <v>3FV66AA#B1L</v>
          </cell>
        </row>
        <row r="357">
          <cell r="B357" t="str">
            <v>Moscow1BlueLed</v>
          </cell>
          <cell r="F357" t="str">
            <v>3FV66AA#ACJ</v>
          </cell>
        </row>
        <row r="358">
          <cell r="B358" t="str">
            <v>Moscow1BlueLed</v>
          </cell>
          <cell r="F358" t="str">
            <v>3FV66AA#ABB</v>
          </cell>
        </row>
        <row r="359">
          <cell r="B359" t="str">
            <v>Moscow1BlueLed</v>
          </cell>
          <cell r="F359" t="str">
            <v>3FV66AA#ABB</v>
          </cell>
        </row>
        <row r="360">
          <cell r="B360" t="str">
            <v>Moscow1BlueLed</v>
          </cell>
          <cell r="F360" t="str">
            <v>3FV66AA#ABL</v>
          </cell>
        </row>
        <row r="361">
          <cell r="B361" t="str">
            <v>Moscow1BlueLed</v>
          </cell>
          <cell r="F361" t="str">
            <v>3FV66AA#ABL</v>
          </cell>
        </row>
        <row r="362">
          <cell r="B362" t="str">
            <v>Moscow1BlueLed</v>
          </cell>
          <cell r="F362" t="str">
            <v>7KX10AA#ABB</v>
          </cell>
        </row>
        <row r="363">
          <cell r="B363" t="str">
            <v>Moscow1BlueLed</v>
          </cell>
          <cell r="F363" t="str">
            <v>7KX10AA#ABB</v>
          </cell>
        </row>
        <row r="364">
          <cell r="B364" t="str">
            <v>Moscow1BlueLed</v>
          </cell>
          <cell r="F364" t="str">
            <v>7KX11AA#ABB</v>
          </cell>
        </row>
        <row r="365">
          <cell r="B365" t="str">
            <v>Moscow1BlueLed</v>
          </cell>
          <cell r="F365" t="str">
            <v>7KX11AA#ABB</v>
          </cell>
        </row>
        <row r="366">
          <cell r="B366" t="str">
            <v>Moscow1BlueLed</v>
          </cell>
          <cell r="F366" t="str">
            <v>7KX12AA#ABB</v>
          </cell>
        </row>
        <row r="367">
          <cell r="B367" t="str">
            <v>Moscow1BlueLed</v>
          </cell>
          <cell r="F367" t="str">
            <v>7KX12AA#ABB</v>
          </cell>
        </row>
        <row r="368">
          <cell r="B368" t="str">
            <v>Moscow1BlueLed</v>
          </cell>
          <cell r="F368" t="str">
            <v>L13998-001</v>
          </cell>
        </row>
        <row r="369">
          <cell r="B369" t="str">
            <v>Moscow1BlueLed</v>
          </cell>
          <cell r="F369" t="str">
            <v>28Y30AA#ABA</v>
          </cell>
        </row>
        <row r="370">
          <cell r="B370" t="str">
            <v>Moscow1BlueLed</v>
          </cell>
          <cell r="F370" t="str">
            <v>2C3M3AA#ABA</v>
          </cell>
        </row>
        <row r="371">
          <cell r="B371" t="str">
            <v>Moscow1BlueLed</v>
          </cell>
          <cell r="F371" t="str">
            <v>258A1AA#ABB</v>
          </cell>
        </row>
        <row r="372">
          <cell r="B372" t="str">
            <v>Moscow1BlueLed</v>
          </cell>
          <cell r="F372" t="str">
            <v>258A1AA#UUF</v>
          </cell>
        </row>
        <row r="373">
          <cell r="B373" t="str">
            <v>Moscow1BlSile</v>
          </cell>
          <cell r="F373" t="str">
            <v>391R4AA#ABB</v>
          </cell>
        </row>
        <row r="374">
          <cell r="B374" t="str">
            <v>Moscow1BlSile</v>
          </cell>
          <cell r="F374" t="str">
            <v>391R4AA#UUF</v>
          </cell>
        </row>
        <row r="375">
          <cell r="B375" t="str">
            <v>Taquito</v>
          </cell>
          <cell r="F375" t="str">
            <v>6JA63AA#ABM</v>
          </cell>
        </row>
        <row r="376">
          <cell r="B376" t="str">
            <v>Taquito</v>
          </cell>
          <cell r="F376" t="str">
            <v>6JA63AA#ABM</v>
          </cell>
        </row>
        <row r="377">
          <cell r="B377" t="str">
            <v>Taquito</v>
          </cell>
          <cell r="F377" t="str">
            <v>6JA61AA#ABM</v>
          </cell>
        </row>
        <row r="378">
          <cell r="B378" t="str">
            <v>Taquito</v>
          </cell>
          <cell r="F378" t="str">
            <v>6JA61AA#ABM</v>
          </cell>
        </row>
        <row r="379">
          <cell r="B379" t="str">
            <v>Taquito</v>
          </cell>
          <cell r="F379" t="str">
            <v>6JA62AA#ABM</v>
          </cell>
        </row>
        <row r="380">
          <cell r="B380" t="str">
            <v>Taquito</v>
          </cell>
          <cell r="F380" t="str">
            <v>6JA62AA#ABM</v>
          </cell>
        </row>
        <row r="381">
          <cell r="B381" t="str">
            <v>MoscowBlueLED1</v>
          </cell>
          <cell r="F381" t="str">
            <v>683N7AA#ABL</v>
          </cell>
        </row>
        <row r="382">
          <cell r="B382" t="str">
            <v>MoscowBlueLED1</v>
          </cell>
          <cell r="F382" t="str">
            <v>683N8AA#ABL</v>
          </cell>
        </row>
        <row r="383">
          <cell r="B383" t="str">
            <v>MoscowBlueLED1</v>
          </cell>
          <cell r="F383" t="str">
            <v>683N9AA#ABL</v>
          </cell>
        </row>
        <row r="384">
          <cell r="B384" t="str">
            <v>Moscow1BlueLed</v>
          </cell>
          <cell r="F384" t="str">
            <v>L13998-001</v>
          </cell>
        </row>
        <row r="385">
          <cell r="B385" t="str">
            <v>Moscow blue LED</v>
          </cell>
        </row>
        <row r="386">
          <cell r="B386" t="str">
            <v>Moscow blue LED refresh</v>
          </cell>
          <cell r="F386" t="str">
            <v>3FV66AA#UUF</v>
          </cell>
        </row>
        <row r="387">
          <cell r="B387" t="str">
            <v>Moscow blue LED refresh</v>
          </cell>
          <cell r="F387" t="str">
            <v>3FV66AA#ABB</v>
          </cell>
        </row>
        <row r="388">
          <cell r="B388" t="str">
            <v>Moscow blue LED refresh</v>
          </cell>
          <cell r="F388" t="str">
            <v>7KX10AA#ABB</v>
          </cell>
        </row>
        <row r="389">
          <cell r="B389" t="str">
            <v>Moscow blue LED refresh</v>
          </cell>
          <cell r="F389" t="str">
            <v>7KX11AA#ABB</v>
          </cell>
        </row>
        <row r="390">
          <cell r="B390" t="str">
            <v>Moscow blue LED refresh</v>
          </cell>
          <cell r="F390" t="str">
            <v>7KX12AA#ABB</v>
          </cell>
        </row>
        <row r="391">
          <cell r="B391" t="str">
            <v>Moscow blue LED refresh</v>
          </cell>
          <cell r="F391" t="str">
            <v>683N7AA#ABL</v>
          </cell>
        </row>
        <row r="392">
          <cell r="B392" t="str">
            <v>Moscow blue LED refresh</v>
          </cell>
          <cell r="F392" t="str">
            <v>683N7AA#ABL</v>
          </cell>
        </row>
        <row r="393">
          <cell r="B393" t="str">
            <v>Moscow blue LED refresh</v>
          </cell>
          <cell r="F393" t="str">
            <v>683N8AA#ABL</v>
          </cell>
        </row>
        <row r="394">
          <cell r="B394" t="str">
            <v>Moscow blue LED refresh</v>
          </cell>
          <cell r="F394" t="str">
            <v>683N8AA#ABL</v>
          </cell>
        </row>
        <row r="395">
          <cell r="B395" t="str">
            <v>Moscow blue LED refresh</v>
          </cell>
          <cell r="F395" t="str">
            <v>683N9AA#ABL</v>
          </cell>
        </row>
        <row r="396">
          <cell r="B396" t="str">
            <v>Moscow blue LED refresh</v>
          </cell>
          <cell r="F396" t="str">
            <v>683N9AA#ABL</v>
          </cell>
        </row>
        <row r="397">
          <cell r="B397" t="str">
            <v>Moscow blue LED refresh</v>
          </cell>
          <cell r="F397" t="str">
            <v>M03085-001</v>
          </cell>
        </row>
        <row r="398">
          <cell r="B398" t="str">
            <v>Moscow blue LED refresh</v>
          </cell>
          <cell r="F398" t="str">
            <v>M03085-001</v>
          </cell>
        </row>
        <row r="399">
          <cell r="B399" t="str">
            <v>Moscow blue LED refresh</v>
          </cell>
          <cell r="F399" t="str">
            <v>M03085-001</v>
          </cell>
        </row>
        <row r="400">
          <cell r="B400" t="str">
            <v>Moscow blue LED refresh</v>
          </cell>
          <cell r="F400" t="str">
            <v>L13998-002</v>
          </cell>
        </row>
        <row r="401">
          <cell r="B401" t="str">
            <v>Moscow blue LED refresh</v>
          </cell>
        </row>
        <row r="402">
          <cell r="B402" t="str">
            <v>Moscow blue LED in Vietnam</v>
          </cell>
          <cell r="F402" t="str">
            <v>683N7AA#ABL</v>
          </cell>
        </row>
        <row r="403">
          <cell r="B403" t="str">
            <v>Moscow blue LED in Vietnam</v>
          </cell>
          <cell r="F403" t="str">
            <v>683N8AA#ABL</v>
          </cell>
        </row>
        <row r="404">
          <cell r="B404" t="str">
            <v>Moscow blue LED in Vietnam</v>
          </cell>
          <cell r="F404" t="str">
            <v>683N9AA#ABL</v>
          </cell>
        </row>
        <row r="405">
          <cell r="B405" t="str">
            <v>Moscow blue LED in Vietnam</v>
          </cell>
          <cell r="F405" t="str">
            <v>3FV66AA#ABB</v>
          </cell>
        </row>
        <row r="406">
          <cell r="B406" t="str">
            <v>Moscow blue LED in Vietnam</v>
          </cell>
          <cell r="F406" t="str">
            <v>7KX10AA#ABB</v>
          </cell>
        </row>
        <row r="407">
          <cell r="B407" t="str">
            <v>Moscow blue LED in Vietnam</v>
          </cell>
          <cell r="F407" t="str">
            <v>7KX11AA#ABB</v>
          </cell>
        </row>
        <row r="408">
          <cell r="B408" t="str">
            <v>Moscow blue LED in Vietnam</v>
          </cell>
          <cell r="F408" t="str">
            <v>7KX12AA#ABB</v>
          </cell>
        </row>
        <row r="409">
          <cell r="B409" t="str">
            <v>Moscow blue LED in Vietnam</v>
          </cell>
        </row>
        <row r="410">
          <cell r="B410" t="str">
            <v>Moscow 2</v>
          </cell>
          <cell r="F410" t="str">
            <v>H4K65AA#ABB</v>
          </cell>
        </row>
        <row r="411">
          <cell r="B411" t="str">
            <v>Moscow 2</v>
          </cell>
          <cell r="F411" t="str">
            <v>H4K65AA#ABL</v>
          </cell>
        </row>
        <row r="412">
          <cell r="B412" t="str">
            <v>Moscow 2</v>
          </cell>
          <cell r="F412" t="str">
            <v>H4K65AA#ABL</v>
          </cell>
        </row>
        <row r="413">
          <cell r="B413" t="str">
            <v>Moscow 2</v>
          </cell>
          <cell r="F413" t="str">
            <v>H4K65AA#UUF</v>
          </cell>
        </row>
        <row r="414">
          <cell r="B414" t="str">
            <v>Moscow 2</v>
          </cell>
          <cell r="F414" t="str">
            <v>H4K65AA#UUF</v>
          </cell>
        </row>
        <row r="415">
          <cell r="B415" t="str">
            <v>Moscow 2</v>
          </cell>
          <cell r="F415" t="str">
            <v>H4K65AA#ACJ</v>
          </cell>
        </row>
        <row r="416">
          <cell r="B416" t="str">
            <v>Moscow 2</v>
          </cell>
          <cell r="F416" t="str">
            <v>H4K65AA#AB2</v>
          </cell>
        </row>
        <row r="417">
          <cell r="B417" t="str">
            <v>Moscow 2</v>
          </cell>
        </row>
        <row r="418">
          <cell r="B418" t="str">
            <v>Moscow2BlueLed</v>
          </cell>
          <cell r="F418" t="str">
            <v>3FV67AA#ABL</v>
          </cell>
        </row>
        <row r="419">
          <cell r="B419" t="str">
            <v>Moscow2BlueLed</v>
          </cell>
          <cell r="F419" t="str">
            <v>3FV67AA#ABL</v>
          </cell>
        </row>
        <row r="420">
          <cell r="B420" t="str">
            <v>Moscow2BlueLed</v>
          </cell>
          <cell r="F420" t="str">
            <v>3FV67AA#ABL</v>
          </cell>
        </row>
        <row r="421">
          <cell r="B421" t="str">
            <v>Moscow2BlueLed</v>
          </cell>
          <cell r="F421" t="str">
            <v>3FV67AA#ABL</v>
          </cell>
        </row>
        <row r="422">
          <cell r="B422" t="str">
            <v>Moscow2BlueLed</v>
          </cell>
          <cell r="F422" t="str">
            <v>3FV67AA#UUF</v>
          </cell>
        </row>
        <row r="423">
          <cell r="B423" t="str">
            <v>Moscow2BlueLed</v>
          </cell>
          <cell r="F423" t="str">
            <v>3FV67AA#UUF</v>
          </cell>
        </row>
        <row r="424">
          <cell r="B424" t="str">
            <v>Moscow2BlueLed</v>
          </cell>
          <cell r="F424" t="str">
            <v>3FV67AA#B1L</v>
          </cell>
        </row>
        <row r="425">
          <cell r="B425" t="str">
            <v>Moscow2BlueLed</v>
          </cell>
          <cell r="F425" t="str">
            <v>3FV67AA#B1L</v>
          </cell>
        </row>
        <row r="426">
          <cell r="B426" t="str">
            <v>Moscow2BlueLed</v>
          </cell>
          <cell r="F426" t="str">
            <v>3FV67AA#ACJ</v>
          </cell>
        </row>
        <row r="427">
          <cell r="B427" t="str">
            <v>Moscow2BlueLed</v>
          </cell>
          <cell r="F427" t="str">
            <v>3FV67AA#ABB</v>
          </cell>
        </row>
        <row r="428">
          <cell r="B428" t="str">
            <v>Moscow2BlueLed</v>
          </cell>
          <cell r="F428" t="str">
            <v>3FV67AA#ABB</v>
          </cell>
        </row>
        <row r="429">
          <cell r="B429" t="str">
            <v>Moscow2 Blue Led</v>
          </cell>
        </row>
        <row r="430">
          <cell r="B430" t="str">
            <v>Oman</v>
          </cell>
          <cell r="F430" t="str">
            <v>X6W31AA#ABA</v>
          </cell>
        </row>
        <row r="431">
          <cell r="B431" t="str">
            <v>Oman</v>
          </cell>
          <cell r="F431" t="str">
            <v>X6W31AA#ABA</v>
          </cell>
        </row>
        <row r="432">
          <cell r="B432" t="str">
            <v>Oman</v>
          </cell>
          <cell r="F432" t="str">
            <v>X6W31AA#ABL</v>
          </cell>
        </row>
        <row r="433">
          <cell r="B433" t="str">
            <v>Oman</v>
          </cell>
          <cell r="F433" t="str">
            <v>X6W31AA#ABL</v>
          </cell>
        </row>
        <row r="434">
          <cell r="B434" t="str">
            <v>Oman</v>
          </cell>
          <cell r="F434" t="str">
            <v>X6W31AA#ABL</v>
          </cell>
        </row>
        <row r="435">
          <cell r="B435" t="str">
            <v>Oman</v>
          </cell>
          <cell r="F435" t="str">
            <v>X6W31AA#ABL</v>
          </cell>
        </row>
        <row r="436">
          <cell r="B436" t="str">
            <v>Oman</v>
          </cell>
          <cell r="F436" t="str">
            <v>X6W31AA#ABL</v>
          </cell>
        </row>
        <row r="437">
          <cell r="B437" t="str">
            <v>Oman</v>
          </cell>
          <cell r="F437" t="str">
            <v>X6W31AA#ABB</v>
          </cell>
        </row>
        <row r="438">
          <cell r="B438" t="str">
            <v>Oman</v>
          </cell>
          <cell r="F438" t="str">
            <v>X6W31AA#ABB</v>
          </cell>
        </row>
        <row r="439">
          <cell r="B439" t="str">
            <v>Oman</v>
          </cell>
          <cell r="F439" t="str">
            <v>X6W31AA#UUF</v>
          </cell>
        </row>
        <row r="440">
          <cell r="B440" t="str">
            <v>Oman</v>
          </cell>
          <cell r="F440" t="str">
            <v>X6W31AA#UUF</v>
          </cell>
        </row>
        <row r="441">
          <cell r="B441" t="str">
            <v>Oman</v>
          </cell>
          <cell r="F441" t="str">
            <v>2VY33AA#UUF</v>
          </cell>
        </row>
        <row r="442">
          <cell r="B442" t="str">
            <v>Oman</v>
          </cell>
          <cell r="F442" t="str">
            <v>2VY33AA#UUF</v>
          </cell>
        </row>
        <row r="443">
          <cell r="B443" t="str">
            <v>Oman</v>
          </cell>
          <cell r="F443" t="str">
            <v>X6W31AA#ACJ</v>
          </cell>
        </row>
        <row r="444">
          <cell r="B444" t="str">
            <v>Oman</v>
          </cell>
          <cell r="F444" t="str">
            <v>X6W31AA#B1L</v>
          </cell>
        </row>
        <row r="445">
          <cell r="B445" t="str">
            <v>Oman</v>
          </cell>
          <cell r="F445" t="str">
            <v>X6W31AA#B1L</v>
          </cell>
        </row>
        <row r="446">
          <cell r="B446" t="str">
            <v>Oman</v>
          </cell>
          <cell r="F446" t="str">
            <v>2GN97AA#ABL</v>
          </cell>
        </row>
        <row r="447">
          <cell r="B447" t="str">
            <v>Oman</v>
          </cell>
          <cell r="F447" t="str">
            <v>2GN97AA#ABL</v>
          </cell>
        </row>
        <row r="448">
          <cell r="B448" t="str">
            <v>Oman</v>
          </cell>
          <cell r="F448" t="str">
            <v>2HU82AA#ABL</v>
          </cell>
        </row>
        <row r="449">
          <cell r="B449" t="str">
            <v>Oman</v>
          </cell>
          <cell r="F449" t="str">
            <v>2HU82AA#ABL</v>
          </cell>
        </row>
        <row r="450">
          <cell r="B450" t="str">
            <v>Oman</v>
          </cell>
          <cell r="F450" t="str">
            <v>2HU82AA#ABL</v>
          </cell>
        </row>
        <row r="451">
          <cell r="B451" t="str">
            <v>Oman</v>
          </cell>
          <cell r="F451" t="str">
            <v>2HU82AA#ABL</v>
          </cell>
        </row>
        <row r="452">
          <cell r="B452" t="str">
            <v>Oman</v>
          </cell>
          <cell r="F452" t="str">
            <v>2HU82AA#ABL</v>
          </cell>
        </row>
        <row r="453">
          <cell r="B453" t="str">
            <v>Oman</v>
          </cell>
          <cell r="F453" t="str">
            <v>2HU82AA#ABA</v>
          </cell>
        </row>
        <row r="454">
          <cell r="B454" t="str">
            <v>Oman</v>
          </cell>
          <cell r="F454" t="str">
            <v>2HU82AA#ABA</v>
          </cell>
        </row>
        <row r="455">
          <cell r="B455" t="str">
            <v>Oman</v>
          </cell>
          <cell r="F455" t="str">
            <v>2HU82AA#ABB</v>
          </cell>
        </row>
        <row r="456">
          <cell r="B456" t="str">
            <v>Oman</v>
          </cell>
          <cell r="F456" t="str">
            <v>2HU82AA#ABB</v>
          </cell>
        </row>
        <row r="457">
          <cell r="B457" t="str">
            <v>Oman</v>
          </cell>
          <cell r="F457" t="str">
            <v>2HU82AA#UUF</v>
          </cell>
        </row>
        <row r="458">
          <cell r="B458" t="str">
            <v>Oman</v>
          </cell>
          <cell r="F458" t="str">
            <v>2HU82AA#UUF</v>
          </cell>
        </row>
        <row r="459">
          <cell r="B459" t="str">
            <v>Oman</v>
          </cell>
          <cell r="F459" t="str">
            <v>2VY29AA#UUF</v>
          </cell>
        </row>
        <row r="460">
          <cell r="B460" t="str">
            <v>Oman</v>
          </cell>
          <cell r="F460" t="str">
            <v>2HU83AA#ABL</v>
          </cell>
        </row>
        <row r="461">
          <cell r="B461" t="str">
            <v>Oman</v>
          </cell>
          <cell r="F461" t="str">
            <v>2HU83AA#ABL</v>
          </cell>
        </row>
        <row r="462">
          <cell r="B462" t="str">
            <v>Oman</v>
          </cell>
          <cell r="F462" t="str">
            <v>2HU83AA#ABL</v>
          </cell>
        </row>
        <row r="463">
          <cell r="B463" t="str">
            <v>Oman</v>
          </cell>
          <cell r="F463" t="str">
            <v>2HU83AA#ABL</v>
          </cell>
        </row>
        <row r="464">
          <cell r="B464" t="str">
            <v>Oman</v>
          </cell>
          <cell r="F464" t="str">
            <v>2HU83AA#ABA</v>
          </cell>
        </row>
        <row r="465">
          <cell r="B465" t="str">
            <v>Oman</v>
          </cell>
          <cell r="F465" t="str">
            <v>2HU83AA#ABA</v>
          </cell>
        </row>
        <row r="466">
          <cell r="B466" t="str">
            <v>Oman</v>
          </cell>
          <cell r="F466" t="str">
            <v>2HU83AA#ABB</v>
          </cell>
        </row>
        <row r="467">
          <cell r="B467" t="str">
            <v>Oman</v>
          </cell>
          <cell r="F467" t="str">
            <v>2HU83AA#ABB</v>
          </cell>
        </row>
        <row r="468">
          <cell r="B468" t="str">
            <v>Oman</v>
          </cell>
          <cell r="F468" t="str">
            <v>2HU83AA#UUF</v>
          </cell>
        </row>
        <row r="469">
          <cell r="B469" t="str">
            <v>Oman</v>
          </cell>
          <cell r="F469" t="str">
            <v>2HU83AA#UUF</v>
          </cell>
        </row>
        <row r="470">
          <cell r="B470" t="str">
            <v>Oman</v>
          </cell>
          <cell r="F470" t="str">
            <v>2VY30AA#UUF</v>
          </cell>
        </row>
        <row r="471">
          <cell r="B471" t="str">
            <v>Oman</v>
          </cell>
          <cell r="F471" t="str">
            <v>2VY30AA#UUF</v>
          </cell>
        </row>
        <row r="472">
          <cell r="B472" t="str">
            <v>Oman</v>
          </cell>
          <cell r="F472" t="str">
            <v>2HU84AA#ABL</v>
          </cell>
        </row>
        <row r="473">
          <cell r="B473" t="str">
            <v>Oman</v>
          </cell>
          <cell r="F473" t="str">
            <v>2HU84AA#ABL</v>
          </cell>
        </row>
        <row r="474">
          <cell r="B474" t="str">
            <v>Oman</v>
          </cell>
          <cell r="F474" t="str">
            <v>2HU84AA#ABL</v>
          </cell>
        </row>
        <row r="475">
          <cell r="B475" t="str">
            <v>Oman</v>
          </cell>
          <cell r="F475" t="str">
            <v>2HU84AA#ABL</v>
          </cell>
        </row>
        <row r="476">
          <cell r="B476" t="str">
            <v>Oman</v>
          </cell>
          <cell r="F476" t="str">
            <v>2HU84AA#ABL</v>
          </cell>
        </row>
        <row r="477">
          <cell r="B477" t="str">
            <v>Oman</v>
          </cell>
          <cell r="F477" t="str">
            <v>2HU84AA#ABL</v>
          </cell>
        </row>
        <row r="478">
          <cell r="B478" t="str">
            <v>Oman</v>
          </cell>
          <cell r="F478" t="str">
            <v>2HU84AA#ABA</v>
          </cell>
        </row>
        <row r="479">
          <cell r="B479" t="str">
            <v>Oman</v>
          </cell>
          <cell r="F479" t="str">
            <v>2HU84AA#ABA</v>
          </cell>
        </row>
        <row r="480">
          <cell r="B480" t="str">
            <v>Oman</v>
          </cell>
          <cell r="F480" t="str">
            <v>2HU84AA#ABB</v>
          </cell>
        </row>
        <row r="481">
          <cell r="B481" t="str">
            <v>Oman</v>
          </cell>
          <cell r="F481" t="str">
            <v>2HU84AA#ABB</v>
          </cell>
        </row>
        <row r="482">
          <cell r="B482" t="str">
            <v>Oman</v>
          </cell>
          <cell r="F482" t="str">
            <v>2HU84AA#UUF</v>
          </cell>
        </row>
        <row r="483">
          <cell r="B483" t="str">
            <v>Oman</v>
          </cell>
          <cell r="F483" t="str">
            <v>2HU84AA#UUF</v>
          </cell>
        </row>
        <row r="484">
          <cell r="B484" t="str">
            <v>Oman</v>
          </cell>
          <cell r="F484" t="str">
            <v>2VY31AA#UUF</v>
          </cell>
        </row>
        <row r="485">
          <cell r="B485" t="str">
            <v>Oman</v>
          </cell>
          <cell r="F485" t="str">
            <v>2VY31AA#UUF</v>
          </cell>
        </row>
        <row r="486">
          <cell r="B486" t="str">
            <v>Oman</v>
          </cell>
          <cell r="F486" t="str">
            <v>2HU85AA#ABL</v>
          </cell>
        </row>
        <row r="487">
          <cell r="B487" t="str">
            <v>Oman</v>
          </cell>
          <cell r="F487" t="str">
            <v>2HU85AA#ABL</v>
          </cell>
        </row>
        <row r="488">
          <cell r="B488" t="str">
            <v>Oman</v>
          </cell>
          <cell r="F488" t="str">
            <v>2HU85AA#ABL</v>
          </cell>
        </row>
        <row r="489">
          <cell r="B489" t="str">
            <v>Oman</v>
          </cell>
          <cell r="F489" t="str">
            <v>2HU85AA#ABL</v>
          </cell>
        </row>
        <row r="490">
          <cell r="B490" t="str">
            <v>Oman</v>
          </cell>
          <cell r="F490" t="str">
            <v>2HU85AA#ABL</v>
          </cell>
        </row>
        <row r="491">
          <cell r="B491" t="str">
            <v>Oman</v>
          </cell>
          <cell r="F491" t="str">
            <v>2HU85AA#ABA</v>
          </cell>
        </row>
        <row r="492">
          <cell r="B492" t="str">
            <v>Oman</v>
          </cell>
          <cell r="F492" t="str">
            <v>2HU85AA#ABA</v>
          </cell>
        </row>
        <row r="493">
          <cell r="B493" t="str">
            <v>Oman</v>
          </cell>
          <cell r="F493" t="str">
            <v>2HU85AA#UUF</v>
          </cell>
        </row>
        <row r="494">
          <cell r="B494" t="str">
            <v>Oman</v>
          </cell>
          <cell r="F494" t="str">
            <v>2HU85AA#UUF</v>
          </cell>
        </row>
        <row r="495">
          <cell r="B495" t="str">
            <v>Oman</v>
          </cell>
          <cell r="F495" t="str">
            <v>2VY32AA#UUF</v>
          </cell>
        </row>
        <row r="496">
          <cell r="B496" t="str">
            <v>Oman</v>
          </cell>
          <cell r="F496" t="str">
            <v>2NE06AA#ABL</v>
          </cell>
        </row>
        <row r="497">
          <cell r="B497" t="str">
            <v>Oman</v>
          </cell>
          <cell r="F497" t="str">
            <v>2NE06AA#ABL</v>
          </cell>
        </row>
        <row r="498">
          <cell r="B498" t="str">
            <v>Oman</v>
          </cell>
          <cell r="F498" t="str">
            <v>2NE06AA#ACJ</v>
          </cell>
        </row>
        <row r="499">
          <cell r="B499" t="str">
            <v>Oman</v>
          </cell>
          <cell r="F499" t="str">
            <v>3DH83AA#UUF</v>
          </cell>
        </row>
        <row r="500">
          <cell r="B500" t="str">
            <v>Oman</v>
          </cell>
          <cell r="F500" t="str">
            <v>3XA55AA#ACJ</v>
          </cell>
        </row>
        <row r="501">
          <cell r="B501" t="str">
            <v>Oman</v>
          </cell>
          <cell r="F501" t="str">
            <v>3XA55AA#ABM</v>
          </cell>
        </row>
        <row r="502">
          <cell r="B502" t="str">
            <v>Oman</v>
          </cell>
          <cell r="F502" t="str">
            <v>3XA55AA#ABM</v>
          </cell>
        </row>
        <row r="503">
          <cell r="B503" t="str">
            <v>Oman</v>
          </cell>
          <cell r="F503" t="str">
            <v>X6W31A6</v>
          </cell>
        </row>
        <row r="504">
          <cell r="B504" t="str">
            <v>Oman</v>
          </cell>
          <cell r="F504" t="str">
            <v>X6W31A6</v>
          </cell>
        </row>
        <row r="505">
          <cell r="B505" t="str">
            <v>Oman</v>
          </cell>
          <cell r="F505" t="str">
            <v>X6W31A6#ABL</v>
          </cell>
        </row>
        <row r="506">
          <cell r="B506" t="str">
            <v>Oman</v>
          </cell>
          <cell r="F506" t="str">
            <v>X6W31A6#ABL</v>
          </cell>
        </row>
        <row r="507">
          <cell r="B507" t="str">
            <v>Oman</v>
          </cell>
          <cell r="F507" t="str">
            <v>902786-001</v>
          </cell>
        </row>
        <row r="508">
          <cell r="B508" t="str">
            <v>Oman</v>
          </cell>
          <cell r="F508" t="str">
            <v>902786-001</v>
          </cell>
        </row>
        <row r="509">
          <cell r="B509" t="str">
            <v>Oman</v>
          </cell>
          <cell r="F509" t="str">
            <v>902786-001</v>
          </cell>
        </row>
        <row r="510">
          <cell r="B510" t="str">
            <v>Oman</v>
          </cell>
          <cell r="F510" t="str">
            <v>902786-001</v>
          </cell>
        </row>
        <row r="511">
          <cell r="B511" t="str">
            <v>Oman</v>
          </cell>
          <cell r="F511" t="str">
            <v>902786-001</v>
          </cell>
        </row>
        <row r="512">
          <cell r="B512" t="str">
            <v>Oman</v>
          </cell>
          <cell r="F512" t="str">
            <v>902785-001</v>
          </cell>
        </row>
        <row r="513">
          <cell r="B513" t="str">
            <v>Oman</v>
          </cell>
          <cell r="F513" t="str">
            <v>902785-001</v>
          </cell>
        </row>
        <row r="514">
          <cell r="B514" t="str">
            <v>Oman</v>
          </cell>
          <cell r="F514" t="str">
            <v>?</v>
          </cell>
        </row>
        <row r="515">
          <cell r="B515" t="str">
            <v>Oman</v>
          </cell>
          <cell r="F515" t="str">
            <v>M53402-001</v>
          </cell>
        </row>
        <row r="516">
          <cell r="B516" t="str">
            <v>Oman</v>
          </cell>
          <cell r="F516" t="str">
            <v>M53402-001</v>
          </cell>
        </row>
        <row r="517">
          <cell r="B517" t="str">
            <v>Oman</v>
          </cell>
          <cell r="F517" t="str">
            <v>M53402-001</v>
          </cell>
        </row>
        <row r="518">
          <cell r="B518" t="str">
            <v>Oman</v>
          </cell>
          <cell r="F518" t="str">
            <v>M53402-001</v>
          </cell>
        </row>
        <row r="519">
          <cell r="B519" t="str">
            <v>Oman</v>
          </cell>
          <cell r="F519" t="str">
            <v>M53402-001</v>
          </cell>
        </row>
        <row r="520">
          <cell r="B520" t="str">
            <v>Oman</v>
          </cell>
          <cell r="F520" t="str">
            <v>940413-201</v>
          </cell>
        </row>
        <row r="521">
          <cell r="B521" t="str">
            <v>Oman</v>
          </cell>
        </row>
        <row r="522">
          <cell r="B522" t="str">
            <v>Oman refresh</v>
          </cell>
          <cell r="F522" t="str">
            <v>X6W31AA#ABL</v>
          </cell>
        </row>
        <row r="523">
          <cell r="B523" t="str">
            <v>Oman refresh</v>
          </cell>
          <cell r="F523" t="str">
            <v>X6W31AA#ABL</v>
          </cell>
        </row>
        <row r="524">
          <cell r="B524" t="str">
            <v>Oman refresh</v>
          </cell>
          <cell r="F524" t="str">
            <v>X6W31AA#ABB</v>
          </cell>
        </row>
        <row r="525">
          <cell r="B525" t="str">
            <v>Oman refresh</v>
          </cell>
          <cell r="F525" t="str">
            <v>X6W31AA#UUF</v>
          </cell>
        </row>
        <row r="526">
          <cell r="B526" t="str">
            <v>Oman refresh</v>
          </cell>
          <cell r="F526" t="str">
            <v>2HU84AA#ABL</v>
          </cell>
        </row>
        <row r="527">
          <cell r="B527" t="str">
            <v>Oman refresh</v>
          </cell>
          <cell r="F527" t="str">
            <v>2HU84AA#ABL</v>
          </cell>
        </row>
        <row r="528">
          <cell r="B528" t="str">
            <v>Oman refresh</v>
          </cell>
          <cell r="F528" t="str">
            <v>2HU84AA#ABB</v>
          </cell>
        </row>
        <row r="529">
          <cell r="B529" t="str">
            <v>Oman refresh</v>
          </cell>
          <cell r="F529" t="str">
            <v>2HU84AA#UUF</v>
          </cell>
        </row>
        <row r="530">
          <cell r="B530" t="str">
            <v>Oman refresh</v>
          </cell>
          <cell r="F530" t="str">
            <v>2HU82AA#ABL</v>
          </cell>
        </row>
        <row r="531">
          <cell r="B531" t="str">
            <v>Oman refresh</v>
          </cell>
          <cell r="F531" t="str">
            <v>2HU82AA#ABL</v>
          </cell>
        </row>
        <row r="532">
          <cell r="B532" t="str">
            <v>Oman refresh</v>
          </cell>
          <cell r="F532" t="str">
            <v>2HU82AA#ABB</v>
          </cell>
        </row>
        <row r="533">
          <cell r="B533" t="str">
            <v>Oman refresh</v>
          </cell>
          <cell r="F533" t="str">
            <v>2HU82AA#UUF</v>
          </cell>
        </row>
        <row r="534">
          <cell r="B534" t="str">
            <v>Oman refresh</v>
          </cell>
          <cell r="F534" t="str">
            <v>2HU83AA#ABL</v>
          </cell>
        </row>
        <row r="535">
          <cell r="B535" t="str">
            <v>Oman refresh</v>
          </cell>
          <cell r="F535" t="str">
            <v>2HU83AA#ABL</v>
          </cell>
        </row>
        <row r="536">
          <cell r="B536" t="str">
            <v>Oman refresh</v>
          </cell>
          <cell r="F536" t="str">
            <v>2HU83AA#ABB</v>
          </cell>
        </row>
        <row r="537">
          <cell r="B537" t="str">
            <v>Oman refresh</v>
          </cell>
          <cell r="F537" t="str">
            <v>2HU85AA#ABL</v>
          </cell>
        </row>
        <row r="538">
          <cell r="B538" t="str">
            <v>Oman refresh</v>
          </cell>
          <cell r="F538" t="str">
            <v>2HU85AA#ABL</v>
          </cell>
        </row>
        <row r="539">
          <cell r="B539" t="str">
            <v>Oman refresh</v>
          </cell>
          <cell r="F539" t="str">
            <v>2HU85AA#UUF</v>
          </cell>
        </row>
        <row r="540">
          <cell r="B540" t="str">
            <v>Oman refresh</v>
          </cell>
          <cell r="F540" t="str">
            <v>M53402-001</v>
          </cell>
        </row>
        <row r="541">
          <cell r="B541" t="str">
            <v>Oman refresh</v>
          </cell>
          <cell r="F541" t="str">
            <v>M53402-001</v>
          </cell>
        </row>
        <row r="542">
          <cell r="B542" t="str">
            <v>Oman refresh</v>
          </cell>
        </row>
        <row r="543">
          <cell r="B543" t="str">
            <v>Kenting</v>
          </cell>
          <cell r="F543" t="str">
            <v>6VY95AA#ABB</v>
          </cell>
        </row>
        <row r="544">
          <cell r="B544" t="str">
            <v>Kenting</v>
          </cell>
          <cell r="F544" t="str">
            <v>6VY95AA#ABB</v>
          </cell>
        </row>
        <row r="545">
          <cell r="B545" t="str">
            <v>Kenting</v>
          </cell>
          <cell r="F545" t="str">
            <v>6VY95AA#ABM</v>
          </cell>
        </row>
        <row r="546">
          <cell r="B546" t="str">
            <v>Kenting</v>
          </cell>
          <cell r="F546" t="str">
            <v>6VY95AA#ABM</v>
          </cell>
        </row>
        <row r="547">
          <cell r="B547" t="str">
            <v>Kenting</v>
          </cell>
          <cell r="F547" t="str">
            <v>6VY95AA#ABM</v>
          </cell>
        </row>
        <row r="548">
          <cell r="B548" t="str">
            <v>Kenting</v>
          </cell>
          <cell r="F548" t="str">
            <v>6VY95AA#ABM</v>
          </cell>
        </row>
        <row r="549">
          <cell r="B549" t="str">
            <v>Kenting</v>
          </cell>
          <cell r="F549" t="str">
            <v>6VY95AA#ACJ</v>
          </cell>
        </row>
        <row r="550">
          <cell r="B550" t="str">
            <v>Kenting</v>
          </cell>
          <cell r="F550" t="str">
            <v>6VY95AA#UUF</v>
          </cell>
        </row>
        <row r="551">
          <cell r="B551" t="str">
            <v>Kenting</v>
          </cell>
          <cell r="F551" t="str">
            <v>6VY95AA#UUF</v>
          </cell>
        </row>
        <row r="552">
          <cell r="B552" t="str">
            <v>Kenting</v>
          </cell>
        </row>
        <row r="553">
          <cell r="B553" t="str">
            <v>Jerry</v>
          </cell>
          <cell r="F553" t="str">
            <v>1D0K2AA#ABA</v>
          </cell>
        </row>
        <row r="554">
          <cell r="B554" t="str">
            <v>Jerry</v>
          </cell>
          <cell r="F554" t="str">
            <v>1D0K2AA#ABA</v>
          </cell>
        </row>
        <row r="555">
          <cell r="B555" t="str">
            <v>Jerry</v>
          </cell>
          <cell r="F555" t="str">
            <v>1D0K2UT#ABA</v>
          </cell>
        </row>
        <row r="556">
          <cell r="B556" t="str">
            <v>Jerry</v>
          </cell>
          <cell r="F556" t="str">
            <v>1D0K2AA#AC3</v>
          </cell>
        </row>
        <row r="557">
          <cell r="B557" t="str">
            <v>Jerry</v>
          </cell>
          <cell r="F557" t="str">
            <v>1D0K2ET#AC3</v>
          </cell>
        </row>
        <row r="558">
          <cell r="B558" t="str">
            <v>Jerry</v>
          </cell>
          <cell r="F558" t="str">
            <v>1D0K2AA#UUF</v>
          </cell>
        </row>
        <row r="559">
          <cell r="B559" t="str">
            <v>Jerry</v>
          </cell>
          <cell r="F559" t="str">
            <v>1D0K2AA#UUF</v>
          </cell>
        </row>
        <row r="560">
          <cell r="B560" t="str">
            <v>Jerry</v>
          </cell>
        </row>
        <row r="561">
          <cell r="B561" t="str">
            <v>Brain</v>
          </cell>
          <cell r="F561" t="str">
            <v>1D0K8AA#ABA</v>
          </cell>
        </row>
        <row r="562">
          <cell r="B562" t="str">
            <v>Brain</v>
          </cell>
          <cell r="F562" t="str">
            <v>1D0K8AA#ABA</v>
          </cell>
        </row>
        <row r="563">
          <cell r="B563" t="str">
            <v>Brain</v>
          </cell>
          <cell r="F563" t="str">
            <v>1D0K8UT#ABA</v>
          </cell>
        </row>
        <row r="564">
          <cell r="B564" t="str">
            <v>Brain</v>
          </cell>
          <cell r="F564" t="str">
            <v>1D0K8AA#AC3</v>
          </cell>
        </row>
        <row r="565">
          <cell r="B565" t="str">
            <v>Brain</v>
          </cell>
          <cell r="F565" t="str">
            <v>1D0K8ET#AC3</v>
          </cell>
        </row>
        <row r="566">
          <cell r="B566" t="str">
            <v>Brain</v>
          </cell>
          <cell r="F566" t="str">
            <v>1D0K8AA#UUF</v>
          </cell>
        </row>
        <row r="567">
          <cell r="B567" t="str">
            <v>Brain</v>
          </cell>
          <cell r="F567" t="str">
            <v>1D0K8AA#UUF</v>
          </cell>
        </row>
        <row r="568">
          <cell r="B568" t="str">
            <v>Brain</v>
          </cell>
          <cell r="F568" t="str">
            <v>1D0K9AA#ABL</v>
          </cell>
        </row>
        <row r="569">
          <cell r="B569" t="str">
            <v>Brain</v>
          </cell>
          <cell r="F569" t="str">
            <v>1D0K9AA#ABB</v>
          </cell>
        </row>
        <row r="570">
          <cell r="B570" t="str">
            <v>Brain</v>
          </cell>
          <cell r="F570" t="str">
            <v>1D0K9AA#UUF</v>
          </cell>
        </row>
        <row r="571">
          <cell r="B571" t="str">
            <v>Brain</v>
          </cell>
          <cell r="F571" t="str">
            <v>1D0K9AA#UUF</v>
          </cell>
        </row>
        <row r="572">
          <cell r="B572" t="str">
            <v>Brain</v>
          </cell>
          <cell r="F572" t="str">
            <v>N62007-001</v>
          </cell>
        </row>
        <row r="573">
          <cell r="B573" t="str">
            <v>Brain</v>
          </cell>
          <cell r="F573" t="str">
            <v>N62007-371</v>
          </cell>
        </row>
        <row r="574">
          <cell r="B574" t="str">
            <v>Brain</v>
          </cell>
          <cell r="F574" t="str">
            <v>N62007-A21</v>
          </cell>
        </row>
        <row r="575">
          <cell r="B575" t="str">
            <v>Brain</v>
          </cell>
          <cell r="F575" t="str">
            <v>N62007-001</v>
          </cell>
        </row>
        <row r="576">
          <cell r="B576" t="str">
            <v>Brain</v>
          </cell>
          <cell r="F576" t="str">
            <v>N62007-371</v>
          </cell>
        </row>
        <row r="577">
          <cell r="B577" t="str">
            <v>Brain</v>
          </cell>
          <cell r="F577" t="str">
            <v>N62007-A21</v>
          </cell>
        </row>
        <row r="578">
          <cell r="B578" t="str">
            <v>Brain</v>
          </cell>
        </row>
        <row r="579">
          <cell r="B579" t="str">
            <v>Ivy dongle</v>
          </cell>
          <cell r="F579" t="str">
            <v>6E+P8C01.001</v>
          </cell>
        </row>
        <row r="580">
          <cell r="B580" t="str">
            <v>Ivy dongle</v>
          </cell>
          <cell r="F580" t="str">
            <v>6E+P8C01.011</v>
          </cell>
        </row>
        <row r="581">
          <cell r="B581" t="str">
            <v>MQY</v>
          </cell>
        </row>
        <row r="582">
          <cell r="B582" t="str">
            <v>Jerry &amp; Brain dongle</v>
          </cell>
        </row>
        <row r="583">
          <cell r="B583" t="str">
            <v>MQR</v>
          </cell>
        </row>
        <row r="584">
          <cell r="B584" t="str">
            <v>Kitkat</v>
          </cell>
          <cell r="F584" t="str">
            <v>2S9L1AA#ABM</v>
          </cell>
        </row>
        <row r="585">
          <cell r="B585" t="str">
            <v>Kitkat</v>
          </cell>
          <cell r="F585" t="str">
            <v>2S9L1AA#ABM</v>
          </cell>
        </row>
        <row r="586">
          <cell r="B586" t="str">
            <v>Kitkat</v>
          </cell>
          <cell r="F586" t="str">
            <v>2S9L1AA#ABB</v>
          </cell>
        </row>
        <row r="587">
          <cell r="B587" t="str">
            <v>Kitkat</v>
          </cell>
          <cell r="F587" t="str">
            <v>2S9L1AA#UUF</v>
          </cell>
        </row>
        <row r="588">
          <cell r="B588" t="str">
            <v>Kitkat</v>
          </cell>
          <cell r="F588" t="str">
            <v>2S9L1AA#UUF</v>
          </cell>
        </row>
        <row r="589">
          <cell r="B589" t="str">
            <v>Kitkat</v>
          </cell>
          <cell r="F589" t="str">
            <v>2S9L1AA#ACJ</v>
          </cell>
        </row>
        <row r="590">
          <cell r="B590" t="str">
            <v>Kitkat</v>
          </cell>
        </row>
        <row r="591">
          <cell r="B591" t="str">
            <v>Kitkat refresh</v>
          </cell>
          <cell r="F591" t="str">
            <v>2S9L1AA#ABM</v>
          </cell>
        </row>
        <row r="592">
          <cell r="B592" t="str">
            <v>Kitkat refresh</v>
          </cell>
          <cell r="F592" t="str">
            <v>2S9L1AA#ABB</v>
          </cell>
        </row>
        <row r="593">
          <cell r="B593" t="str">
            <v>Kitkat refresh</v>
          </cell>
          <cell r="F593" t="str">
            <v>2S9L1AA#UUF</v>
          </cell>
        </row>
        <row r="594">
          <cell r="B594" t="str">
            <v>Kitkat refresh</v>
          </cell>
          <cell r="F594" t="str">
            <v>2S9L1AA#ACJ</v>
          </cell>
        </row>
        <row r="595">
          <cell r="B595" t="str">
            <v>Kitkat refresh</v>
          </cell>
          <cell r="F595" t="str">
            <v>2S9L1AA#ABL</v>
          </cell>
        </row>
        <row r="596">
          <cell r="B596" t="str">
            <v>Kitkat refresh</v>
          </cell>
          <cell r="F596" t="str">
            <v>2S9L1AA#ABL</v>
          </cell>
        </row>
        <row r="597">
          <cell r="B597" t="str">
            <v>Kitkat refresh</v>
          </cell>
          <cell r="F597" t="str">
            <v>N20172-001</v>
          </cell>
        </row>
        <row r="598">
          <cell r="B598" t="str">
            <v>Kitkat refresh</v>
          </cell>
          <cell r="F598" t="str">
            <v>N20172-A21</v>
          </cell>
        </row>
        <row r="599">
          <cell r="B599" t="str">
            <v>Kitkat refresh</v>
          </cell>
          <cell r="F599" t="str">
            <v>N20172-371</v>
          </cell>
        </row>
        <row r="600">
          <cell r="B600" t="str">
            <v>Kitkat refresh</v>
          </cell>
          <cell r="F600" t="str">
            <v>N20172-001</v>
          </cell>
        </row>
        <row r="601">
          <cell r="B601" t="str">
            <v>Kitkat refresh</v>
          </cell>
        </row>
        <row r="602">
          <cell r="B602" t="str">
            <v>KentingPlus</v>
          </cell>
          <cell r="F602" t="str">
            <v>4E407AA#ABM</v>
          </cell>
        </row>
        <row r="603">
          <cell r="B603" t="str">
            <v>KentingPlus</v>
          </cell>
          <cell r="F603" t="str">
            <v>4E407AA#ABM</v>
          </cell>
        </row>
        <row r="604">
          <cell r="B604" t="str">
            <v>KentingPlus</v>
          </cell>
          <cell r="F604" t="str">
            <v>4E407AA#ACJ</v>
          </cell>
        </row>
        <row r="605">
          <cell r="B605" t="str">
            <v>KentingPlus</v>
          </cell>
          <cell r="F605" t="str">
            <v>4E407AA#AB2</v>
          </cell>
        </row>
        <row r="606">
          <cell r="B606" t="str">
            <v>KentingPlus</v>
          </cell>
          <cell r="F606" t="str">
            <v>4E407AA#AC3</v>
          </cell>
        </row>
        <row r="607">
          <cell r="B607" t="str">
            <v>KentingPlus</v>
          </cell>
          <cell r="F607" t="str">
            <v>4E407AA#ABL</v>
          </cell>
        </row>
        <row r="608">
          <cell r="B608" t="str">
            <v>KentingPlus</v>
          </cell>
          <cell r="F608" t="str">
            <v>4E407UT#ABA</v>
          </cell>
        </row>
        <row r="609">
          <cell r="B609" t="str">
            <v>KentingPlus</v>
          </cell>
          <cell r="F609" t="str">
            <v>4E407AA#UUF</v>
          </cell>
        </row>
        <row r="610">
          <cell r="B610" t="str">
            <v>KentingPlus</v>
          </cell>
          <cell r="F610" t="str">
            <v>4E407UT#ABM</v>
          </cell>
        </row>
        <row r="611">
          <cell r="B611" t="str">
            <v>KentingPlus</v>
          </cell>
          <cell r="F611" t="str">
            <v>4E407UT#ACJ</v>
          </cell>
        </row>
        <row r="612">
          <cell r="B612" t="str">
            <v>KentingPlus</v>
          </cell>
          <cell r="F612" t="str">
            <v>4E407UT#AB2</v>
          </cell>
        </row>
        <row r="613">
          <cell r="B613" t="str">
            <v>KentingPlus</v>
          </cell>
          <cell r="F613" t="str">
            <v>4E407UT#AC3</v>
          </cell>
        </row>
        <row r="614">
          <cell r="B614" t="str">
            <v>KentingPlus</v>
          </cell>
          <cell r="F614" t="str">
            <v>4E407UT#ABL</v>
          </cell>
        </row>
        <row r="615">
          <cell r="B615" t="str">
            <v>KentingPlus</v>
          </cell>
          <cell r="F615" t="str">
            <v>4E407UT#UUF</v>
          </cell>
        </row>
        <row r="616">
          <cell r="B616" t="str">
            <v>KentingPlus</v>
          </cell>
          <cell r="F616" t="str">
            <v>N61962-001</v>
          </cell>
        </row>
        <row r="617">
          <cell r="B617" t="str">
            <v>KentingPlus</v>
          </cell>
          <cell r="F617" t="str">
            <v>N61962-371</v>
          </cell>
        </row>
        <row r="618">
          <cell r="B618" t="str">
            <v>KentingPlus</v>
          </cell>
          <cell r="F618" t="str">
            <v>N61962-A21</v>
          </cell>
        </row>
        <row r="619">
          <cell r="B619" t="str">
            <v>KentingPlus</v>
          </cell>
          <cell r="F619" t="str">
            <v>N61962-001</v>
          </cell>
        </row>
        <row r="620">
          <cell r="B620" t="str">
            <v>KentingPlus</v>
          </cell>
          <cell r="F620" t="str">
            <v>N61962-371</v>
          </cell>
        </row>
        <row r="621">
          <cell r="B621" t="str">
            <v>KentingPlus</v>
          </cell>
          <cell r="F621" t="str">
            <v>N61962-A21</v>
          </cell>
        </row>
        <row r="622">
          <cell r="B622" t="str">
            <v>KentingPlus</v>
          </cell>
          <cell r="F622" t="str">
            <v>N61962-001</v>
          </cell>
        </row>
        <row r="623">
          <cell r="B623" t="str">
            <v>KentingPlus</v>
          </cell>
          <cell r="F623" t="str">
            <v>N61962-371</v>
          </cell>
        </row>
        <row r="624">
          <cell r="B624" t="str">
            <v>KentingPlus</v>
          </cell>
          <cell r="F624" t="str">
            <v>N61962-A21</v>
          </cell>
        </row>
        <row r="625">
          <cell r="B625" t="str">
            <v>KentingPlus</v>
          </cell>
          <cell r="F625" t="str">
            <v>AJ7C2AA#ABA</v>
          </cell>
        </row>
        <row r="626">
          <cell r="B626" t="str">
            <v>KentingPlus</v>
          </cell>
          <cell r="F626" t="str">
            <v>AJ7C2AA#ABB</v>
          </cell>
        </row>
        <row r="627">
          <cell r="B627" t="str">
            <v>KentingPlus</v>
          </cell>
          <cell r="F627" t="str">
            <v>AJ7C2AA#UUF</v>
          </cell>
        </row>
        <row r="628">
          <cell r="B628" t="str">
            <v>Kenting plus</v>
          </cell>
        </row>
        <row r="629">
          <cell r="B629" t="str">
            <v>MilkaB</v>
          </cell>
          <cell r="F629" t="str">
            <v>3V0G9AA#ABA</v>
          </cell>
        </row>
        <row r="630">
          <cell r="B630" t="str">
            <v>MilkaB</v>
          </cell>
          <cell r="F630" t="str">
            <v>3V0G9AA#ABB</v>
          </cell>
        </row>
        <row r="631">
          <cell r="B631" t="str">
            <v>MilkaB</v>
          </cell>
          <cell r="F631" t="str">
            <v>3V0G9AA#ABM</v>
          </cell>
        </row>
        <row r="632">
          <cell r="B632" t="str">
            <v>MilkaB</v>
          </cell>
          <cell r="F632" t="str">
            <v>3V0G9AA#ABM</v>
          </cell>
        </row>
        <row r="633">
          <cell r="B633" t="str">
            <v>MilkaB</v>
          </cell>
          <cell r="F633" t="str">
            <v>3V0G9AA#UUF</v>
          </cell>
        </row>
        <row r="634">
          <cell r="B634" t="str">
            <v>MilkaB</v>
          </cell>
          <cell r="F634" t="str">
            <v>43N04AA#ABA</v>
          </cell>
        </row>
        <row r="635">
          <cell r="B635" t="str">
            <v>MilkaB</v>
          </cell>
          <cell r="F635" t="str">
            <v>43N04AA#ABB</v>
          </cell>
        </row>
        <row r="636">
          <cell r="B636" t="str">
            <v>MilkaB</v>
          </cell>
          <cell r="F636" t="str">
            <v>43N04AA#ABM</v>
          </cell>
        </row>
        <row r="637">
          <cell r="B637" t="str">
            <v>MilkaB</v>
          </cell>
          <cell r="F637" t="str">
            <v>43N04AA#ABM</v>
          </cell>
        </row>
        <row r="638">
          <cell r="B638" t="str">
            <v>MilkaB</v>
          </cell>
          <cell r="F638" t="str">
            <v>43N04AA#UUF</v>
          </cell>
        </row>
        <row r="639">
          <cell r="B639" t="str">
            <v>MilkaB</v>
          </cell>
          <cell r="F639" t="str">
            <v>43N05AA#ABA</v>
          </cell>
        </row>
        <row r="640">
          <cell r="B640" t="str">
            <v>MilkaB</v>
          </cell>
          <cell r="F640" t="str">
            <v>43N05AA#ABB</v>
          </cell>
        </row>
        <row r="641">
          <cell r="B641" t="str">
            <v>MilkaB</v>
          </cell>
          <cell r="F641" t="str">
            <v>43N05AA#ABM</v>
          </cell>
        </row>
        <row r="642">
          <cell r="B642" t="str">
            <v>MilkaB</v>
          </cell>
          <cell r="F642" t="str">
            <v>43N05AA#ABM</v>
          </cell>
        </row>
        <row r="643">
          <cell r="B643" t="str">
            <v>MilkaB</v>
          </cell>
          <cell r="F643" t="str">
            <v>43N05AA#UUF</v>
          </cell>
        </row>
        <row r="644">
          <cell r="B644" t="str">
            <v>MilkaB</v>
          </cell>
          <cell r="F644" t="str">
            <v>793F9AA#ABA</v>
          </cell>
        </row>
        <row r="645">
          <cell r="B645" t="str">
            <v>MilkaB</v>
          </cell>
          <cell r="F645" t="str">
            <v>793F9AA#ABA</v>
          </cell>
        </row>
        <row r="646">
          <cell r="B646" t="str">
            <v>MilkaB</v>
          </cell>
          <cell r="F646" t="str">
            <v>793F9AA#ABB</v>
          </cell>
        </row>
        <row r="647">
          <cell r="B647" t="str">
            <v>MilkaB</v>
          </cell>
          <cell r="F647" t="str">
            <v>793F9AA#UUF</v>
          </cell>
        </row>
        <row r="648">
          <cell r="B648" t="str">
            <v>MilkaB</v>
          </cell>
          <cell r="F648" t="str">
            <v>81S67AA#ABB</v>
          </cell>
        </row>
        <row r="649">
          <cell r="B649" t="str">
            <v>MilkaB</v>
          </cell>
          <cell r="F649" t="str">
            <v>81S67AA#UUF</v>
          </cell>
        </row>
        <row r="650">
          <cell r="B650" t="str">
            <v>MilkaB</v>
          </cell>
          <cell r="F650" t="str">
            <v>81S67UT#UUF</v>
          </cell>
        </row>
        <row r="651">
          <cell r="B651" t="str">
            <v>MilkaB</v>
          </cell>
          <cell r="F651" t="str">
            <v>N37102-001</v>
          </cell>
        </row>
        <row r="652">
          <cell r="B652" t="str">
            <v>MilkaB</v>
          </cell>
          <cell r="F652" t="str">
            <v>N37102-001</v>
          </cell>
        </row>
        <row r="653">
          <cell r="B653" t="str">
            <v>MilkaB</v>
          </cell>
          <cell r="F653" t="str">
            <v>N37102-001</v>
          </cell>
        </row>
        <row r="654">
          <cell r="B654" t="str">
            <v>MilkaB</v>
          </cell>
          <cell r="F654" t="str">
            <v>N37102-001</v>
          </cell>
        </row>
        <row r="655">
          <cell r="B655" t="str">
            <v>MilkaB</v>
          </cell>
          <cell r="F655" t="str">
            <v>N37102-001</v>
          </cell>
        </row>
        <row r="656">
          <cell r="B656" t="str">
            <v>MilkaB</v>
          </cell>
          <cell r="F656" t="str">
            <v>N37102-001</v>
          </cell>
        </row>
        <row r="657">
          <cell r="B657" t="str">
            <v>MilkaB</v>
          </cell>
          <cell r="F657" t="str">
            <v>N37103-001</v>
          </cell>
        </row>
        <row r="658">
          <cell r="B658" t="str">
            <v>MilkaB</v>
          </cell>
          <cell r="F658" t="str">
            <v>N37103-001</v>
          </cell>
        </row>
        <row r="659">
          <cell r="B659" t="str">
            <v>MilkaB</v>
          </cell>
          <cell r="F659" t="str">
            <v>N37103-001</v>
          </cell>
        </row>
        <row r="660">
          <cell r="B660" t="str">
            <v>MilkaB</v>
          </cell>
        </row>
        <row r="661">
          <cell r="B661" t="str">
            <v>Mickey</v>
          </cell>
          <cell r="F661" t="str">
            <v>6E6F0AA#ABL</v>
          </cell>
        </row>
        <row r="662">
          <cell r="B662" t="str">
            <v>Mickey</v>
          </cell>
          <cell r="F662" t="str">
            <v>6E6F0AA#ABL</v>
          </cell>
        </row>
        <row r="663">
          <cell r="B663" t="str">
            <v>Mickey</v>
          </cell>
          <cell r="F663" t="str">
            <v>6E6F0UT#ABL</v>
          </cell>
        </row>
        <row r="664">
          <cell r="B664" t="str">
            <v>Mickey</v>
          </cell>
          <cell r="F664" t="str">
            <v>6E6F0UT#ABL</v>
          </cell>
        </row>
        <row r="665">
          <cell r="B665" t="str">
            <v>Mickey</v>
          </cell>
          <cell r="F665" t="str">
            <v>6E6F0AA#ABB</v>
          </cell>
        </row>
        <row r="666">
          <cell r="B666" t="str">
            <v>Mickey</v>
          </cell>
          <cell r="F666" t="str">
            <v>6E6F0ET#ABB</v>
          </cell>
        </row>
        <row r="667">
          <cell r="B667" t="str">
            <v>Mickey</v>
          </cell>
          <cell r="F667" t="str">
            <v>6E6F0AA#UUF</v>
          </cell>
        </row>
        <row r="668">
          <cell r="B668" t="str">
            <v>Mickey</v>
          </cell>
          <cell r="F668" t="str">
            <v>6E6F2AA#ABL</v>
          </cell>
        </row>
        <row r="669">
          <cell r="B669" t="str">
            <v>Mickey</v>
          </cell>
          <cell r="F669" t="str">
            <v>6E6F2AA#ABL</v>
          </cell>
        </row>
        <row r="670">
          <cell r="B670" t="str">
            <v>Mickey</v>
          </cell>
          <cell r="F670" t="str">
            <v>6E6F2AA#ABB</v>
          </cell>
        </row>
        <row r="671">
          <cell r="B671" t="str">
            <v>Mickey</v>
          </cell>
          <cell r="F671" t="str">
            <v>6E6F2AA#UUF</v>
          </cell>
        </row>
        <row r="672">
          <cell r="B672" t="str">
            <v>Mickey</v>
          </cell>
          <cell r="F672" t="str">
            <v>6E6F1AA#ABL</v>
          </cell>
        </row>
        <row r="673">
          <cell r="B673" t="str">
            <v>Mickey</v>
          </cell>
          <cell r="F673" t="str">
            <v>6E6F1AA#ABL</v>
          </cell>
        </row>
        <row r="674">
          <cell r="B674" t="str">
            <v>Mickey</v>
          </cell>
          <cell r="F674" t="str">
            <v>6E6F1AA#ABB</v>
          </cell>
        </row>
        <row r="675">
          <cell r="B675" t="str">
            <v>Mickey</v>
          </cell>
          <cell r="F675" t="str">
            <v>6E6F1AA#UUF</v>
          </cell>
        </row>
        <row r="676">
          <cell r="B676" t="str">
            <v>Mickey</v>
          </cell>
          <cell r="F676" t="str">
            <v>N61958-001</v>
          </cell>
        </row>
        <row r="677">
          <cell r="B677" t="str">
            <v>Mickey</v>
          </cell>
          <cell r="F677" t="str">
            <v>N61958-371</v>
          </cell>
        </row>
        <row r="678">
          <cell r="B678" t="str">
            <v>Mickey</v>
          </cell>
          <cell r="F678" t="str">
            <v>N61958-A21</v>
          </cell>
        </row>
        <row r="679">
          <cell r="B679" t="str">
            <v>Mickey</v>
          </cell>
          <cell r="F679" t="str">
            <v>N61958-001</v>
          </cell>
        </row>
        <row r="680">
          <cell r="B680" t="str">
            <v>Mickey</v>
          </cell>
          <cell r="F680" t="str">
            <v>N61958-371</v>
          </cell>
        </row>
        <row r="681">
          <cell r="B681" t="str">
            <v>Mickey</v>
          </cell>
          <cell r="F681" t="str">
            <v>N61958-A21</v>
          </cell>
        </row>
        <row r="682">
          <cell r="B682" t="str">
            <v>Mickey</v>
          </cell>
        </row>
        <row r="683">
          <cell r="B683" t="str">
            <v>Sochi</v>
          </cell>
          <cell r="F683" t="str">
            <v>6V2J7AA#ABL</v>
          </cell>
        </row>
        <row r="684">
          <cell r="B684" t="str">
            <v>Sochi</v>
          </cell>
          <cell r="F684" t="str">
            <v>6V2J7AA#ABB</v>
          </cell>
        </row>
        <row r="685">
          <cell r="B685" t="str">
            <v>Sochi</v>
          </cell>
          <cell r="F685" t="str">
            <v>6V2J7AA#UUF</v>
          </cell>
        </row>
        <row r="686">
          <cell r="B686" t="str">
            <v>Sochi</v>
          </cell>
          <cell r="F686" t="str">
            <v>6V2J7AA#ACJ</v>
          </cell>
        </row>
        <row r="687">
          <cell r="B687" t="str">
            <v>Sochi</v>
          </cell>
          <cell r="F687" t="str">
            <v>8R3U1AA#ABA</v>
          </cell>
        </row>
        <row r="688">
          <cell r="B688" t="str">
            <v>Sochi</v>
          </cell>
          <cell r="F688" t="str">
            <v>8R3U1AA#ABB</v>
          </cell>
        </row>
        <row r="689">
          <cell r="B689" t="str">
            <v>Sochi</v>
          </cell>
          <cell r="F689" t="str">
            <v>8R3U1AA#ACJ</v>
          </cell>
        </row>
        <row r="690">
          <cell r="B690" t="str">
            <v>Sochi</v>
          </cell>
          <cell r="F690" t="str">
            <v>8R3U1AA#UUF</v>
          </cell>
        </row>
        <row r="691">
          <cell r="B691" t="str">
            <v>Sochi</v>
          </cell>
          <cell r="F691" t="str">
            <v>8R3U1UT#ABA</v>
          </cell>
        </row>
        <row r="692">
          <cell r="B692" t="str">
            <v>Sochi</v>
          </cell>
          <cell r="F692" t="str">
            <v>8R3U1UT#ABB</v>
          </cell>
        </row>
        <row r="693">
          <cell r="B693" t="str">
            <v>Sochi</v>
          </cell>
          <cell r="F693" t="str">
            <v>8R3U1UT#ACJ</v>
          </cell>
        </row>
        <row r="694">
          <cell r="B694" t="str">
            <v>Sochi</v>
          </cell>
          <cell r="F694" t="str">
            <v>8R3U1UT#UUF</v>
          </cell>
        </row>
        <row r="695">
          <cell r="B695" t="str">
            <v>Sochi</v>
          </cell>
        </row>
        <row r="696">
          <cell r="B696" t="str">
            <v>Gadget Dual</v>
          </cell>
          <cell r="F696" t="str">
            <v>758A8AA#ABA</v>
          </cell>
        </row>
        <row r="697">
          <cell r="B697" t="str">
            <v>Gadget Dual</v>
          </cell>
          <cell r="F697" t="str">
            <v>758A8AA#ABA</v>
          </cell>
        </row>
        <row r="698">
          <cell r="B698" t="str">
            <v>Gadget Dual</v>
          </cell>
          <cell r="F698" t="str">
            <v>758A8AA#ABB</v>
          </cell>
        </row>
        <row r="699">
          <cell r="B699" t="str">
            <v>Gadget Dual</v>
          </cell>
          <cell r="F699" t="str">
            <v>758A8AA#UUF</v>
          </cell>
        </row>
        <row r="700">
          <cell r="B700" t="str">
            <v>Gadget Dual</v>
          </cell>
          <cell r="F700" t="str">
            <v>758A9AA#ABA</v>
          </cell>
        </row>
        <row r="701">
          <cell r="B701" t="str">
            <v>Gadget Dual</v>
          </cell>
          <cell r="F701" t="str">
            <v>758A9AA#ABA</v>
          </cell>
        </row>
        <row r="702">
          <cell r="B702" t="str">
            <v>Gadget Dual</v>
          </cell>
          <cell r="F702" t="str">
            <v>758A9AA#ABB</v>
          </cell>
        </row>
        <row r="703">
          <cell r="B703" t="str">
            <v>Gadget Dual</v>
          </cell>
          <cell r="F703" t="str">
            <v>758A9AA#UUF</v>
          </cell>
        </row>
        <row r="704">
          <cell r="B704" t="str">
            <v>Gadget Dual</v>
          </cell>
          <cell r="F704" t="str">
            <v>N72845-001</v>
          </cell>
        </row>
        <row r="705">
          <cell r="B705" t="str">
            <v>Gadget Dual</v>
          </cell>
          <cell r="F705" t="str">
            <v>N72845-A21</v>
          </cell>
        </row>
        <row r="706">
          <cell r="B706" t="str">
            <v>Gadget Dual</v>
          </cell>
          <cell r="F706" t="str">
            <v>N72845-371</v>
          </cell>
        </row>
        <row r="707">
          <cell r="B707" t="str">
            <v>Gadget Dual</v>
          </cell>
          <cell r="F707" t="str">
            <v>N72845-001</v>
          </cell>
        </row>
        <row r="708">
          <cell r="B708" t="str">
            <v>Gadget Dual</v>
          </cell>
          <cell r="F708" t="str">
            <v>N72845-A21</v>
          </cell>
        </row>
        <row r="709">
          <cell r="B709" t="str">
            <v>Gadget Dual</v>
          </cell>
          <cell r="F709" t="str">
            <v>N72845-371</v>
          </cell>
        </row>
        <row r="710">
          <cell r="B710" t="str">
            <v>Gadget Dual</v>
          </cell>
          <cell r="F710" t="str">
            <v>N72845-001</v>
          </cell>
        </row>
        <row r="711">
          <cell r="B711" t="str">
            <v>Gadget Dual</v>
          </cell>
          <cell r="F711" t="str">
            <v>N72845-A21</v>
          </cell>
        </row>
        <row r="712">
          <cell r="B712" t="str">
            <v>Gadget Dual</v>
          </cell>
          <cell r="F712" t="str">
            <v>N72845-371</v>
          </cell>
        </row>
        <row r="713">
          <cell r="B713" t="str">
            <v>Gadget Dual</v>
          </cell>
          <cell r="F713" t="str">
            <v>N72845-001</v>
          </cell>
        </row>
        <row r="714">
          <cell r="B714" t="str">
            <v>Gadget Dual</v>
          </cell>
          <cell r="F714" t="str">
            <v>N72845-A21</v>
          </cell>
        </row>
        <row r="715">
          <cell r="B715" t="str">
            <v>Gadget Dual</v>
          </cell>
          <cell r="F715" t="str">
            <v>N72845-371</v>
          </cell>
        </row>
        <row r="716">
          <cell r="B716" t="str">
            <v>Gadget Dual</v>
          </cell>
        </row>
        <row r="717">
          <cell r="B717" t="str">
            <v>Buble 2</v>
          </cell>
          <cell r="F717" t="str">
            <v>9C2F6AA#ABA</v>
          </cell>
        </row>
        <row r="718">
          <cell r="B718" t="str">
            <v>Buble 2</v>
          </cell>
          <cell r="F718" t="str">
            <v>9C2F6AA#ABB</v>
          </cell>
        </row>
        <row r="719">
          <cell r="B719" t="str">
            <v>Buble 2</v>
          </cell>
          <cell r="F719" t="str">
            <v>9C2F6AA#UUF</v>
          </cell>
        </row>
        <row r="720">
          <cell r="B720" t="str">
            <v>Buble 2</v>
          </cell>
          <cell r="F720" t="str">
            <v>9C2F7AA#ABA</v>
          </cell>
        </row>
        <row r="721">
          <cell r="B721" t="str">
            <v>Buble 2</v>
          </cell>
          <cell r="F721" t="str">
            <v>9C2F7AA#ABB</v>
          </cell>
        </row>
        <row r="722">
          <cell r="B722" t="str">
            <v>Buble 2</v>
          </cell>
          <cell r="F722" t="str">
            <v>9C2F7AA#UUF</v>
          </cell>
        </row>
        <row r="723">
          <cell r="B723" t="str">
            <v>Buble 2</v>
          </cell>
        </row>
        <row r="724">
          <cell r="B724" t="str">
            <v>Brazilia</v>
          </cell>
          <cell r="F724" t="str">
            <v>H2C21AA#UUF</v>
          </cell>
        </row>
        <row r="725">
          <cell r="B725" t="str">
            <v>Brazilia</v>
          </cell>
          <cell r="F725" t="str">
            <v>H2C21AA#ACJ</v>
          </cell>
        </row>
        <row r="726">
          <cell r="B726" t="str">
            <v>Brazilia</v>
          </cell>
          <cell r="F726" t="str">
            <v>H2C21AA#ABL</v>
          </cell>
        </row>
        <row r="727">
          <cell r="B727" t="str">
            <v>Brazilia</v>
          </cell>
          <cell r="F727" t="str">
            <v>H2C21AA#ABL</v>
          </cell>
        </row>
        <row r="728">
          <cell r="B728" t="str">
            <v>Brazilia</v>
          </cell>
          <cell r="F728" t="str">
            <v>H2C21AA#ABL</v>
          </cell>
        </row>
        <row r="729">
          <cell r="B729" t="str">
            <v>Brazilia</v>
          </cell>
          <cell r="F729" t="str">
            <v>H2C21AA#ABL</v>
          </cell>
        </row>
        <row r="730">
          <cell r="B730" t="str">
            <v>Brazilia</v>
          </cell>
          <cell r="F730" t="str">
            <v>H2C21AA#AB1</v>
          </cell>
        </row>
        <row r="731">
          <cell r="B731" t="str">
            <v>Brazilia</v>
          </cell>
          <cell r="F731" t="str">
            <v>H2C21AA#AB2</v>
          </cell>
        </row>
        <row r="732">
          <cell r="B732" t="str">
            <v>Brazilia</v>
          </cell>
          <cell r="F732" t="str">
            <v>H2C21AA#ABA</v>
          </cell>
        </row>
        <row r="733">
          <cell r="B733" t="str">
            <v>Brazilia</v>
          </cell>
          <cell r="F733" t="str">
            <v>H2C21AA#ABA</v>
          </cell>
        </row>
        <row r="734">
          <cell r="B734" t="str">
            <v>Brazilia</v>
          </cell>
          <cell r="F734" t="str">
            <v>H2C21AA#ABA</v>
          </cell>
        </row>
        <row r="735">
          <cell r="B735" t="str">
            <v>Brazilia</v>
          </cell>
        </row>
        <row r="736">
          <cell r="B736" t="str">
            <v>Brazilia R</v>
          </cell>
          <cell r="F736" t="str">
            <v>6GJ71AA#ACJ</v>
          </cell>
        </row>
        <row r="737">
          <cell r="B737" t="str">
            <v>Brazilia R</v>
          </cell>
        </row>
        <row r="738">
          <cell r="B738" t="str">
            <v>Brazilia 2</v>
          </cell>
          <cell r="F738" t="str">
            <v>H4K66AA#ABB</v>
          </cell>
        </row>
        <row r="739">
          <cell r="B739" t="str">
            <v>Brazilia 2</v>
          </cell>
          <cell r="F739" t="str">
            <v>H4K66AA#ABB</v>
          </cell>
        </row>
        <row r="740">
          <cell r="B740" t="str">
            <v>Brazilia 2</v>
          </cell>
          <cell r="F740" t="str">
            <v>H4K66AA#ABL</v>
          </cell>
        </row>
        <row r="741">
          <cell r="B741" t="str">
            <v>Brazilia 2</v>
          </cell>
          <cell r="F741" t="str">
            <v>H4K66AA#ABL</v>
          </cell>
        </row>
        <row r="742">
          <cell r="B742" t="str">
            <v>Brazilia 2</v>
          </cell>
          <cell r="F742" t="str">
            <v>H4K66AA#ABL</v>
          </cell>
        </row>
        <row r="743">
          <cell r="B743" t="str">
            <v>Brazilia 2</v>
          </cell>
          <cell r="F743" t="str">
            <v>H4K66AA#ABL</v>
          </cell>
        </row>
        <row r="744">
          <cell r="B744" t="str">
            <v>Brazilia 2</v>
          </cell>
          <cell r="F744" t="str">
            <v>H4K66AA#UUF</v>
          </cell>
        </row>
        <row r="745">
          <cell r="B745" t="str">
            <v>Brazilia 2</v>
          </cell>
          <cell r="F745" t="str">
            <v>H4K66AA#ACJ</v>
          </cell>
        </row>
        <row r="746">
          <cell r="B746" t="str">
            <v>Brazilia 2</v>
          </cell>
          <cell r="F746" t="str">
            <v>H4K66AA#AB2</v>
          </cell>
        </row>
        <row r="747">
          <cell r="B747" t="str">
            <v>Brazilia 2</v>
          </cell>
        </row>
        <row r="748">
          <cell r="B748" t="str">
            <v>Jaipur</v>
          </cell>
          <cell r="F748" t="str">
            <v>V1S46AA#ABL</v>
          </cell>
        </row>
        <row r="749">
          <cell r="B749" t="str">
            <v>Jaipur</v>
          </cell>
          <cell r="F749" t="str">
            <v>V1S46AA#ABL</v>
          </cell>
        </row>
        <row r="750">
          <cell r="B750" t="str">
            <v>Jaipur</v>
          </cell>
          <cell r="F750" t="str">
            <v>V1S46AA#ABL</v>
          </cell>
        </row>
        <row r="751">
          <cell r="B751" t="str">
            <v>Jaipur</v>
          </cell>
          <cell r="F751" t="str">
            <v>V1S46AA#ABL</v>
          </cell>
        </row>
        <row r="752">
          <cell r="B752" t="str">
            <v>Jaipur</v>
          </cell>
          <cell r="F752" t="str">
            <v>V1S46AA#ACJ</v>
          </cell>
        </row>
        <row r="753">
          <cell r="B753" t="str">
            <v>Jaipur</v>
          </cell>
          <cell r="F753" t="str">
            <v>V1S46AA#ACJ</v>
          </cell>
        </row>
        <row r="754">
          <cell r="B754" t="str">
            <v>Jaipur</v>
          </cell>
          <cell r="F754" t="str">
            <v>V1S46AA#ABB</v>
          </cell>
        </row>
        <row r="755">
          <cell r="B755" t="str">
            <v>Jaipur</v>
          </cell>
          <cell r="F755" t="str">
            <v>V1S46AA#ABB</v>
          </cell>
        </row>
        <row r="756">
          <cell r="B756" t="str">
            <v>Jaipur</v>
          </cell>
          <cell r="F756" t="str">
            <v>V1S46AA#UUF</v>
          </cell>
        </row>
        <row r="757">
          <cell r="B757" t="str">
            <v>Jaipur</v>
          </cell>
          <cell r="F757" t="str">
            <v>V1S46AA#UUF</v>
          </cell>
        </row>
        <row r="758">
          <cell r="B758" t="str">
            <v>Jaipur</v>
          </cell>
          <cell r="F758" t="str">
            <v>920986-DB1</v>
          </cell>
        </row>
        <row r="759">
          <cell r="B759" t="str">
            <v>Jaipur</v>
          </cell>
          <cell r="F759" t="str">
            <v>850633-001</v>
          </cell>
        </row>
        <row r="760">
          <cell r="B760" t="str">
            <v>Jaipur</v>
          </cell>
          <cell r="F760" t="str">
            <v>V1S46AA</v>
          </cell>
        </row>
        <row r="761">
          <cell r="B761" t="str">
            <v>Jaipur</v>
          </cell>
        </row>
        <row r="762">
          <cell r="B762" t="str">
            <v>Jaipur</v>
          </cell>
          <cell r="F762" t="str">
            <v>V1S46AA#ABL</v>
          </cell>
        </row>
        <row r="763">
          <cell r="B763" t="str">
            <v>Jaipur</v>
          </cell>
          <cell r="F763" t="str">
            <v>V1S46AA#ABL</v>
          </cell>
        </row>
        <row r="764">
          <cell r="B764" t="str">
            <v>Jaipur</v>
          </cell>
          <cell r="F764" t="str">
            <v>V1S46AA#ABL</v>
          </cell>
        </row>
        <row r="765">
          <cell r="B765" t="str">
            <v>Jaipur</v>
          </cell>
          <cell r="F765" t="str">
            <v>V1S46AA#ABL</v>
          </cell>
        </row>
        <row r="766">
          <cell r="B766" t="str">
            <v>Jaipur</v>
          </cell>
          <cell r="F766" t="str">
            <v>V1S46AA#ACJ</v>
          </cell>
        </row>
        <row r="767">
          <cell r="B767" t="str">
            <v>Jaipur</v>
          </cell>
          <cell r="F767" t="str">
            <v>V1S46AA#ACJ</v>
          </cell>
        </row>
        <row r="768">
          <cell r="B768" t="str">
            <v>Jaipur</v>
          </cell>
          <cell r="F768" t="str">
            <v>V1S46AA#ABB</v>
          </cell>
        </row>
        <row r="769">
          <cell r="B769" t="str">
            <v>Jaipur</v>
          </cell>
          <cell r="F769" t="str">
            <v>V1S46AA#ABB</v>
          </cell>
        </row>
        <row r="770">
          <cell r="B770" t="str">
            <v>Jaipur</v>
          </cell>
          <cell r="F770" t="str">
            <v>V1S46AA#UUF</v>
          </cell>
        </row>
        <row r="771">
          <cell r="B771" t="str">
            <v>Jaipur</v>
          </cell>
          <cell r="F771" t="str">
            <v>920986-DB1</v>
          </cell>
        </row>
        <row r="772">
          <cell r="B772" t="str">
            <v>Jaipur</v>
          </cell>
          <cell r="F772" t="str">
            <v>850633-001</v>
          </cell>
        </row>
        <row r="773">
          <cell r="B773" t="str">
            <v>Jaipur</v>
          </cell>
          <cell r="F773" t="str">
            <v>V1S46AA</v>
          </cell>
        </row>
        <row r="774">
          <cell r="B774" t="str">
            <v>Jaipur</v>
          </cell>
        </row>
        <row r="775">
          <cell r="B775" t="str">
            <v>Bogota</v>
          </cell>
          <cell r="F775" t="str">
            <v>4QM14AA#ABL</v>
          </cell>
        </row>
        <row r="776">
          <cell r="B776" t="str">
            <v>Bogota</v>
          </cell>
          <cell r="F776" t="str">
            <v>4QM14AA#ABL</v>
          </cell>
        </row>
        <row r="777">
          <cell r="B777" t="str">
            <v>Bogota</v>
          </cell>
          <cell r="F777" t="str">
            <v>4QM14AA#ABL</v>
          </cell>
        </row>
        <row r="778">
          <cell r="B778" t="str">
            <v>Bogota</v>
          </cell>
          <cell r="F778" t="str">
            <v>4QM14AA#ABL</v>
          </cell>
        </row>
        <row r="779">
          <cell r="B779" t="str">
            <v>Bogota</v>
          </cell>
          <cell r="F779" t="str">
            <v>4QM14AA#ABL</v>
          </cell>
        </row>
        <row r="780">
          <cell r="B780" t="str">
            <v>Bogota</v>
          </cell>
          <cell r="F780" t="str">
            <v>4QM14AA#ABB</v>
          </cell>
        </row>
        <row r="781">
          <cell r="B781" t="str">
            <v>Bogota</v>
          </cell>
          <cell r="F781" t="str">
            <v>4QM14AA#ABB</v>
          </cell>
        </row>
        <row r="782">
          <cell r="B782" t="str">
            <v>Bogota</v>
          </cell>
          <cell r="F782" t="str">
            <v>4QM14AA#UUF</v>
          </cell>
        </row>
        <row r="783">
          <cell r="B783" t="str">
            <v>Bogota</v>
          </cell>
          <cell r="F783" t="str">
            <v>4QM14AA#UUF</v>
          </cell>
        </row>
        <row r="784">
          <cell r="B784" t="str">
            <v>Bogota</v>
          </cell>
          <cell r="F784" t="str">
            <v>4QM14AA#ACJ</v>
          </cell>
        </row>
        <row r="785">
          <cell r="B785" t="str">
            <v>Bogota</v>
          </cell>
        </row>
        <row r="786">
          <cell r="B786" t="str">
            <v>Galapagos</v>
          </cell>
          <cell r="F786" t="str">
            <v>6VY96AA#ABM</v>
          </cell>
        </row>
        <row r="787">
          <cell r="B787" t="str">
            <v>Galapagos</v>
          </cell>
          <cell r="F787" t="str">
            <v>6VY96AA#ABM</v>
          </cell>
        </row>
        <row r="788">
          <cell r="B788" t="str">
            <v>Galapagos</v>
          </cell>
          <cell r="F788" t="str">
            <v>6VY96AA#ABM</v>
          </cell>
        </row>
        <row r="789">
          <cell r="B789" t="str">
            <v>Galapagos</v>
          </cell>
          <cell r="F789" t="str">
            <v>6VY96AA#ABM</v>
          </cell>
        </row>
        <row r="790">
          <cell r="B790" t="str">
            <v>Galapagos</v>
          </cell>
          <cell r="F790" t="str">
            <v>6VY96AA#ACJ</v>
          </cell>
        </row>
        <row r="791">
          <cell r="B791" t="str">
            <v>Galapagos</v>
          </cell>
          <cell r="F791" t="str">
            <v>6VY96AA#UUF</v>
          </cell>
        </row>
        <row r="792">
          <cell r="B792" t="str">
            <v>Galapagos</v>
          </cell>
          <cell r="F792" t="str">
            <v>6VY96AA#UUF</v>
          </cell>
        </row>
        <row r="793">
          <cell r="B793" t="str">
            <v>Galapagos</v>
          </cell>
          <cell r="F793" t="str">
            <v>6VY96AA#ABB</v>
          </cell>
        </row>
        <row r="794">
          <cell r="B794" t="str">
            <v>Galapagos</v>
          </cell>
          <cell r="F794" t="str">
            <v>6VY96AA#ABM</v>
          </cell>
        </row>
        <row r="795">
          <cell r="B795" t="str">
            <v>Galapagos</v>
          </cell>
          <cell r="F795" t="str">
            <v>6VY96AA#ABM</v>
          </cell>
        </row>
        <row r="796">
          <cell r="B796" t="str">
            <v>Galapagos</v>
          </cell>
          <cell r="F796" t="str">
            <v>6VY96AA#ABM</v>
          </cell>
        </row>
        <row r="797">
          <cell r="B797" t="str">
            <v>Galapagos</v>
          </cell>
          <cell r="F797" t="str">
            <v>6VY96AA#ABM</v>
          </cell>
        </row>
        <row r="798">
          <cell r="B798" t="str">
            <v>Galapagos</v>
          </cell>
          <cell r="F798" t="str">
            <v>6VY96AA#ACJ</v>
          </cell>
        </row>
        <row r="799">
          <cell r="B799" t="str">
            <v>Galapagos</v>
          </cell>
          <cell r="F799" t="str">
            <v>6VY96AA#UUF</v>
          </cell>
        </row>
        <row r="800">
          <cell r="B800" t="str">
            <v>Galapagos</v>
          </cell>
          <cell r="F800" t="str">
            <v>6VY96AA#UUF</v>
          </cell>
        </row>
        <row r="801">
          <cell r="B801" t="str">
            <v>Galapagos</v>
          </cell>
          <cell r="F801" t="str">
            <v>6VY96AA#ABB</v>
          </cell>
        </row>
        <row r="802">
          <cell r="B802" t="str">
            <v>Galapagos</v>
          </cell>
        </row>
        <row r="803">
          <cell r="B803" t="str">
            <v>Galapagos refresh</v>
          </cell>
          <cell r="F803" t="str">
            <v>6VY96AA#ABM</v>
          </cell>
        </row>
        <row r="804">
          <cell r="B804" t="str">
            <v>Galapagos refresh</v>
          </cell>
          <cell r="F804" t="str">
            <v>6VY96AA#ABM</v>
          </cell>
        </row>
        <row r="805">
          <cell r="B805" t="str">
            <v>Galapagos refresh</v>
          </cell>
          <cell r="F805" t="str">
            <v>6VY96AA#ABM</v>
          </cell>
        </row>
        <row r="806">
          <cell r="B806" t="str">
            <v>Galapagos refresh</v>
          </cell>
          <cell r="F806" t="str">
            <v>6VY96AA#ABM</v>
          </cell>
        </row>
        <row r="807">
          <cell r="B807" t="str">
            <v>Galapagos refresh</v>
          </cell>
          <cell r="F807" t="str">
            <v>6VY96AA#ACJ</v>
          </cell>
        </row>
        <row r="808">
          <cell r="B808" t="str">
            <v>Galapagos refresh</v>
          </cell>
          <cell r="F808" t="str">
            <v>6VY96AA#UUF</v>
          </cell>
        </row>
        <row r="809">
          <cell r="B809" t="str">
            <v>Galapagos refresh</v>
          </cell>
          <cell r="F809" t="str">
            <v>6VY96AA#UUF</v>
          </cell>
        </row>
        <row r="810">
          <cell r="B810" t="str">
            <v>Galapagos refresh</v>
          </cell>
          <cell r="F810" t="str">
            <v>6VY96AA#ABB</v>
          </cell>
        </row>
        <row r="811">
          <cell r="B811" t="str">
            <v>Galapagos refresh</v>
          </cell>
          <cell r="F811" t="str">
            <v>6VY96AA#ABA</v>
          </cell>
        </row>
        <row r="812">
          <cell r="B812" t="str">
            <v>Galapagos refresh</v>
          </cell>
          <cell r="F812" t="str">
            <v>822M9AA#ABA</v>
          </cell>
        </row>
        <row r="813">
          <cell r="B813" t="str">
            <v>Galapagos refresh</v>
          </cell>
          <cell r="F813" t="str">
            <v>822M9AA#UUF</v>
          </cell>
        </row>
        <row r="814">
          <cell r="B814" t="str">
            <v>Galapagos refresh</v>
          </cell>
          <cell r="F814" t="str">
            <v>822M9UT#ABA</v>
          </cell>
        </row>
        <row r="815">
          <cell r="B815" t="str">
            <v>Galapagos refresh</v>
          </cell>
          <cell r="F815" t="str">
            <v>822M9UT#UUF</v>
          </cell>
        </row>
        <row r="816">
          <cell r="B816" t="str">
            <v>Galapagos refresh</v>
          </cell>
          <cell r="F816" t="str">
            <v>822M9UT#ABB</v>
          </cell>
        </row>
        <row r="817">
          <cell r="B817" t="str">
            <v>Galapagos refresh</v>
          </cell>
        </row>
        <row r="818">
          <cell r="B818" t="str">
            <v>Oreo</v>
          </cell>
          <cell r="F818" t="str">
            <v>240J6AA#ABB</v>
          </cell>
        </row>
        <row r="819">
          <cell r="B819" t="str">
            <v>Oreo</v>
          </cell>
          <cell r="F819" t="str">
            <v>240J6AA#UUF</v>
          </cell>
        </row>
        <row r="820">
          <cell r="B820" t="str">
            <v>Oreo</v>
          </cell>
          <cell r="F820" t="str">
            <v>240J6AA#AB2</v>
          </cell>
        </row>
        <row r="821">
          <cell r="B821" t="str">
            <v>Oreo</v>
          </cell>
          <cell r="F821" t="str">
            <v>240J6AA#ACJ</v>
          </cell>
        </row>
        <row r="822">
          <cell r="B822" t="str">
            <v>Oreo</v>
          </cell>
          <cell r="F822" t="str">
            <v>240J6AA#ABM</v>
          </cell>
        </row>
        <row r="823">
          <cell r="B823" t="str">
            <v>Oreo</v>
          </cell>
          <cell r="F823" t="str">
            <v>240J6AA#ABM</v>
          </cell>
        </row>
        <row r="824">
          <cell r="B824" t="str">
            <v>Oreo</v>
          </cell>
        </row>
        <row r="825">
          <cell r="B825" t="str">
            <v>Oreo refresh</v>
          </cell>
          <cell r="F825" t="str">
            <v>240J6AA#ABB</v>
          </cell>
        </row>
        <row r="826">
          <cell r="B826" t="str">
            <v>Oreo refresh</v>
          </cell>
          <cell r="F826" t="str">
            <v>240J6AA#UUF</v>
          </cell>
        </row>
        <row r="827">
          <cell r="B827" t="str">
            <v>Oreo refresh</v>
          </cell>
          <cell r="F827" t="str">
            <v>240J6AA#AB2</v>
          </cell>
        </row>
        <row r="828">
          <cell r="B828" t="str">
            <v>Oreo refresh</v>
          </cell>
          <cell r="F828" t="str">
            <v>240J6AA#ACJ</v>
          </cell>
        </row>
        <row r="829">
          <cell r="B829" t="str">
            <v>Oreo refresh</v>
          </cell>
          <cell r="F829" t="str">
            <v>240J6AA#ABM</v>
          </cell>
        </row>
        <row r="830">
          <cell r="B830" t="str">
            <v>Oreo refresh</v>
          </cell>
          <cell r="F830" t="str">
            <v>240J6AA#ABM</v>
          </cell>
        </row>
        <row r="831">
          <cell r="B831" t="str">
            <v>CPS Oreo refresh</v>
          </cell>
        </row>
        <row r="832">
          <cell r="B832" t="str">
            <v>OreoBPS</v>
          </cell>
          <cell r="F832" t="str">
            <v>5B8B7AA#ACJ</v>
          </cell>
        </row>
        <row r="833">
          <cell r="B833" t="str">
            <v>OreoBPS</v>
          </cell>
          <cell r="F833" t="str">
            <v>5B8B7AA</v>
          </cell>
        </row>
        <row r="834">
          <cell r="B834" t="str">
            <v>BPS Oreo refresh</v>
          </cell>
        </row>
        <row r="835">
          <cell r="B835" t="str">
            <v>Daffy</v>
          </cell>
          <cell r="F835" t="str">
            <v>1KF75AA#ABL</v>
          </cell>
        </row>
        <row r="836">
          <cell r="B836" t="str">
            <v>Daffy</v>
          </cell>
          <cell r="F836" t="str">
            <v>1KF75AA#ABL</v>
          </cell>
        </row>
        <row r="837">
          <cell r="B837" t="str">
            <v>Daffy</v>
          </cell>
          <cell r="F837" t="str">
            <v>1KF75AA#ABL</v>
          </cell>
        </row>
        <row r="838">
          <cell r="B838" t="str">
            <v>Daffy</v>
          </cell>
          <cell r="F838" t="str">
            <v>1KF75AA#ABL</v>
          </cell>
        </row>
        <row r="839">
          <cell r="B839" t="str">
            <v>Daffy</v>
          </cell>
          <cell r="F839" t="str">
            <v>1KF75AA#ABL</v>
          </cell>
        </row>
        <row r="840">
          <cell r="B840" t="str">
            <v>Daffy</v>
          </cell>
          <cell r="F840" t="str">
            <v>1KF75AA#ABB</v>
          </cell>
        </row>
        <row r="841">
          <cell r="B841" t="str">
            <v>Daffy</v>
          </cell>
          <cell r="F841" t="str">
            <v>1KF75AA#ABB</v>
          </cell>
        </row>
        <row r="842">
          <cell r="B842" t="str">
            <v>Daffy</v>
          </cell>
          <cell r="F842" t="str">
            <v>1KF75AA#UUF</v>
          </cell>
        </row>
        <row r="843">
          <cell r="B843" t="str">
            <v>Daffy</v>
          </cell>
          <cell r="F843" t="str">
            <v>1KF75AA#UUF</v>
          </cell>
        </row>
        <row r="844">
          <cell r="B844" t="str">
            <v>Daffy</v>
          </cell>
          <cell r="F844" t="str">
            <v>1KF75AA#UUF</v>
          </cell>
        </row>
        <row r="845">
          <cell r="B845" t="str">
            <v>Daffy</v>
          </cell>
          <cell r="F845" t="str">
            <v>1KF75AA#ABL</v>
          </cell>
        </row>
        <row r="846">
          <cell r="B846" t="str">
            <v>Daffy</v>
          </cell>
          <cell r="F846" t="str">
            <v>924121-001</v>
          </cell>
        </row>
        <row r="847">
          <cell r="B847" t="str">
            <v>Daffy</v>
          </cell>
        </row>
        <row r="848">
          <cell r="B848" t="str">
            <v>Daffy2</v>
          </cell>
          <cell r="F848" t="str">
            <v>8BC53AA#ABL</v>
          </cell>
        </row>
        <row r="849">
          <cell r="B849" t="str">
            <v>Daffy2</v>
          </cell>
          <cell r="F849" t="str">
            <v>8BC53AA#ABL</v>
          </cell>
        </row>
        <row r="850">
          <cell r="B850" t="str">
            <v>Daffy2</v>
          </cell>
          <cell r="F850" t="str">
            <v>8BC53AA#ABL</v>
          </cell>
        </row>
        <row r="851">
          <cell r="B851" t="str">
            <v>Daffy2</v>
          </cell>
          <cell r="F851" t="str">
            <v>8BC53AA#ABB</v>
          </cell>
        </row>
        <row r="852">
          <cell r="B852" t="str">
            <v>Daffy2</v>
          </cell>
          <cell r="F852" t="str">
            <v>8BC53AA#ABB</v>
          </cell>
        </row>
        <row r="853">
          <cell r="B853" t="str">
            <v>Daffy2</v>
          </cell>
          <cell r="F853" t="str">
            <v>8BC53AA#UUF</v>
          </cell>
        </row>
        <row r="854">
          <cell r="B854" t="str">
            <v>Daffy2</v>
          </cell>
          <cell r="F854" t="str">
            <v>8BC53AA#AB2</v>
          </cell>
        </row>
        <row r="855">
          <cell r="B855" t="str">
            <v>Daffy2</v>
          </cell>
        </row>
        <row r="856">
          <cell r="B856" t="str">
            <v>Drake</v>
          </cell>
          <cell r="F856" t="str">
            <v>3ML38AA#UUF</v>
          </cell>
        </row>
        <row r="857">
          <cell r="B857" t="str">
            <v>Drake</v>
          </cell>
          <cell r="F857" t="str">
            <v>3ML38AA#UUF</v>
          </cell>
        </row>
        <row r="858">
          <cell r="B858" t="str">
            <v>Drake</v>
          </cell>
          <cell r="F858" t="str">
            <v>3ML38AA#ABB</v>
          </cell>
        </row>
        <row r="859">
          <cell r="B859" t="str">
            <v>Drake</v>
          </cell>
          <cell r="F859" t="str">
            <v>3ML38AA#ABB</v>
          </cell>
        </row>
        <row r="860">
          <cell r="B860" t="str">
            <v>Drake</v>
          </cell>
          <cell r="F860" t="str">
            <v>3ML38AA#ABL</v>
          </cell>
        </row>
        <row r="861">
          <cell r="B861" t="str">
            <v>Drake</v>
          </cell>
          <cell r="F861" t="str">
            <v>3ML38AA#ABL</v>
          </cell>
        </row>
        <row r="862">
          <cell r="B862" t="str">
            <v>Drake</v>
          </cell>
          <cell r="F862" t="str">
            <v>3ML38AA#ABL</v>
          </cell>
        </row>
        <row r="863">
          <cell r="B863" t="str">
            <v>Drake</v>
          </cell>
          <cell r="F863" t="str">
            <v>3ML38AA#ABL</v>
          </cell>
        </row>
        <row r="864">
          <cell r="B864" t="str">
            <v>Drake</v>
          </cell>
          <cell r="F864" t="str">
            <v>L17940-001</v>
          </cell>
        </row>
        <row r="865">
          <cell r="B865" t="str">
            <v>Drake</v>
          </cell>
          <cell r="F865" t="str">
            <v>L17940-001</v>
          </cell>
        </row>
        <row r="866">
          <cell r="B866" t="str">
            <v>Drake</v>
          </cell>
          <cell r="F866" t="str">
            <v>L17940-001</v>
          </cell>
        </row>
        <row r="867">
          <cell r="B867" t="str">
            <v>Drake</v>
          </cell>
          <cell r="F867" t="str">
            <v>L17939-001</v>
          </cell>
        </row>
        <row r="868">
          <cell r="B868" t="str">
            <v>Drake</v>
          </cell>
        </row>
        <row r="869">
          <cell r="B869" t="str">
            <v>Drake2</v>
          </cell>
          <cell r="F869" t="str">
            <v>8BC52AA#ABL</v>
          </cell>
        </row>
        <row r="870">
          <cell r="B870" t="str">
            <v>Drake2</v>
          </cell>
          <cell r="F870" t="str">
            <v>8BC52AA#ABL</v>
          </cell>
        </row>
        <row r="871">
          <cell r="B871" t="str">
            <v>Drake2</v>
          </cell>
          <cell r="F871" t="str">
            <v>8BC52AA#ABL</v>
          </cell>
        </row>
        <row r="872">
          <cell r="B872" t="str">
            <v>Drake2</v>
          </cell>
          <cell r="F872" t="str">
            <v>8BC52AA#ABB</v>
          </cell>
        </row>
        <row r="873">
          <cell r="B873" t="str">
            <v>Drake2</v>
          </cell>
          <cell r="F873" t="str">
            <v>8BC52AA#ABB</v>
          </cell>
        </row>
        <row r="874">
          <cell r="B874" t="str">
            <v>Drake2</v>
          </cell>
          <cell r="F874" t="str">
            <v>8BC52AA#UUF</v>
          </cell>
        </row>
        <row r="875">
          <cell r="B875" t="str">
            <v>Drake2</v>
          </cell>
          <cell r="F875" t="str">
            <v>8BC52AA#AB2</v>
          </cell>
        </row>
        <row r="876">
          <cell r="B876" t="str">
            <v>Drake2</v>
          </cell>
          <cell r="F876" t="str">
            <v>M17440-001</v>
          </cell>
        </row>
        <row r="877">
          <cell r="B877" t="str">
            <v>Drake2</v>
          </cell>
          <cell r="F877" t="str">
            <v>L77352-001</v>
          </cell>
        </row>
        <row r="878">
          <cell r="B878" t="str">
            <v>Drake2</v>
          </cell>
        </row>
        <row r="879">
          <cell r="B879" t="str">
            <v>Droste</v>
          </cell>
          <cell r="F879" t="str">
            <v>4PH30AA#ABL</v>
          </cell>
        </row>
        <row r="880">
          <cell r="B880" t="str">
            <v>Droste</v>
          </cell>
          <cell r="F880" t="str">
            <v>4PH30AA#ABL</v>
          </cell>
        </row>
        <row r="881">
          <cell r="B881" t="str">
            <v>Droste</v>
          </cell>
          <cell r="F881" t="str">
            <v>4PH30AA#ABL</v>
          </cell>
        </row>
        <row r="882">
          <cell r="B882" t="str">
            <v>Droste</v>
          </cell>
          <cell r="F882" t="str">
            <v>4PH30AA#ABB</v>
          </cell>
        </row>
        <row r="883">
          <cell r="B883" t="str">
            <v>Droste</v>
          </cell>
          <cell r="F883" t="str">
            <v>4PH30AA#ABB</v>
          </cell>
        </row>
        <row r="884">
          <cell r="B884" t="str">
            <v>Droste</v>
          </cell>
          <cell r="F884" t="str">
            <v>4PH30AA#UUF</v>
          </cell>
        </row>
        <row r="885">
          <cell r="B885" t="str">
            <v>Droste</v>
          </cell>
          <cell r="F885" t="str">
            <v>4PH30AA#UUF</v>
          </cell>
        </row>
        <row r="886">
          <cell r="B886" t="str">
            <v>Droste</v>
          </cell>
          <cell r="F886" t="str">
            <v>4PH31AA#UUF</v>
          </cell>
        </row>
        <row r="887">
          <cell r="B887" t="str">
            <v>Droste</v>
          </cell>
          <cell r="F887" t="str">
            <v>4PH31AA#UUF</v>
          </cell>
        </row>
        <row r="888">
          <cell r="B888" t="str">
            <v>Droste</v>
          </cell>
          <cell r="F888" t="str">
            <v>L33384-001</v>
          </cell>
        </row>
        <row r="889">
          <cell r="B889" t="str">
            <v>Droste</v>
          </cell>
          <cell r="F889" t="str">
            <v>L33384-001</v>
          </cell>
        </row>
        <row r="890">
          <cell r="B890" t="str">
            <v>Droste</v>
          </cell>
          <cell r="F890" t="str">
            <v>L33384-001</v>
          </cell>
        </row>
        <row r="891">
          <cell r="B891" t="str">
            <v>Droste</v>
          </cell>
          <cell r="F891" t="str">
            <v>L33384-001</v>
          </cell>
        </row>
        <row r="892">
          <cell r="B892" t="str">
            <v>Droste</v>
          </cell>
        </row>
        <row r="893">
          <cell r="B893" t="str">
            <v>Haribo</v>
          </cell>
          <cell r="F893" t="str">
            <v>8DX48AA#ABM</v>
          </cell>
        </row>
        <row r="894">
          <cell r="B894" t="str">
            <v>Haribo</v>
          </cell>
          <cell r="F894" t="str">
            <v>8DX48AA#ABM</v>
          </cell>
        </row>
        <row r="895">
          <cell r="B895" t="str">
            <v>Haribo</v>
          </cell>
          <cell r="F895" t="str">
            <v>8DX48AA#ABM</v>
          </cell>
        </row>
        <row r="896">
          <cell r="B896" t="str">
            <v>Haribo</v>
          </cell>
          <cell r="F896" t="str">
            <v>8DX48AA#ABM</v>
          </cell>
        </row>
        <row r="897">
          <cell r="B897" t="str">
            <v>Haribo</v>
          </cell>
          <cell r="F897" t="str">
            <v>8DX48AA#ABB</v>
          </cell>
        </row>
        <row r="898">
          <cell r="B898" t="str">
            <v>Haribo</v>
          </cell>
          <cell r="F898" t="str">
            <v>8DX48AA#ABB</v>
          </cell>
        </row>
        <row r="899">
          <cell r="B899" t="str">
            <v>Haribo</v>
          </cell>
          <cell r="F899" t="str">
            <v>8DX48AA#UUF</v>
          </cell>
        </row>
        <row r="900">
          <cell r="B900" t="str">
            <v>Haribo</v>
          </cell>
          <cell r="F900" t="str">
            <v>8DX48AA#UUF</v>
          </cell>
        </row>
        <row r="901">
          <cell r="B901" t="str">
            <v>Haribo</v>
          </cell>
        </row>
        <row r="902">
          <cell r="B902" t="str">
            <v>Garfield</v>
          </cell>
          <cell r="F902" t="str">
            <v>LV290AA#ABA</v>
          </cell>
        </row>
        <row r="903">
          <cell r="B903" t="str">
            <v>Garfield</v>
          </cell>
          <cell r="F903" t="str">
            <v>LV290AA#ABA</v>
          </cell>
        </row>
        <row r="904">
          <cell r="B904" t="str">
            <v>Garfield</v>
          </cell>
          <cell r="F904" t="str">
            <v>LV290AA#ABL</v>
          </cell>
        </row>
        <row r="905">
          <cell r="B905" t="str">
            <v>Garfield</v>
          </cell>
          <cell r="F905" t="str">
            <v>LV290AA#ABM</v>
          </cell>
        </row>
        <row r="906">
          <cell r="B906" t="str">
            <v>Garfield</v>
          </cell>
          <cell r="F906" t="str">
            <v>LV290AA#AC3</v>
          </cell>
        </row>
        <row r="907">
          <cell r="B907" t="str">
            <v>Garfield</v>
          </cell>
          <cell r="F907" t="str">
            <v>LV290AA#AC4</v>
          </cell>
        </row>
        <row r="908">
          <cell r="B908" t="str">
            <v>Garfield</v>
          </cell>
          <cell r="F908" t="str">
            <v>LV290AA#ACJ</v>
          </cell>
        </row>
        <row r="909">
          <cell r="B909" t="str">
            <v>Garfield</v>
          </cell>
          <cell r="F909" t="str">
            <v>LV290AA#UUF</v>
          </cell>
        </row>
        <row r="910">
          <cell r="B910" t="str">
            <v>Garfield</v>
          </cell>
          <cell r="F910" t="str">
            <v>H4R94AA#ACJ</v>
          </cell>
        </row>
        <row r="911">
          <cell r="B911" t="str">
            <v xml:space="preserve">Garfield </v>
          </cell>
          <cell r="F911" t="str">
            <v>J8F13AA#AB1</v>
          </cell>
        </row>
        <row r="912">
          <cell r="B912" t="str">
            <v>Garfield</v>
          </cell>
          <cell r="F912" t="str">
            <v>J8F13AA#AKL</v>
          </cell>
        </row>
        <row r="913">
          <cell r="B913" t="str">
            <v xml:space="preserve">Garfield </v>
          </cell>
          <cell r="F913" t="str">
            <v>LV290AA#ABA</v>
          </cell>
        </row>
        <row r="914">
          <cell r="B914" t="str">
            <v xml:space="preserve">Garfield </v>
          </cell>
          <cell r="F914" t="str">
            <v>LV290AA#ABL</v>
          </cell>
        </row>
        <row r="915">
          <cell r="B915" t="str">
            <v xml:space="preserve">Garfield </v>
          </cell>
          <cell r="F915" t="str">
            <v>LV290AA#ABC</v>
          </cell>
        </row>
        <row r="916">
          <cell r="B916" t="str">
            <v xml:space="preserve">Garfield </v>
          </cell>
          <cell r="F916" t="str">
            <v>LV290AA#ABM</v>
          </cell>
        </row>
        <row r="917">
          <cell r="B917" t="str">
            <v xml:space="preserve">Garfield </v>
          </cell>
          <cell r="F917" t="str">
            <v>LV290AA#AC3</v>
          </cell>
        </row>
        <row r="918">
          <cell r="B918" t="str">
            <v xml:space="preserve">Garfield </v>
          </cell>
          <cell r="F918" t="str">
            <v>LV290AA#AC4</v>
          </cell>
        </row>
        <row r="919">
          <cell r="B919" t="str">
            <v xml:space="preserve">Garfield </v>
          </cell>
          <cell r="F919" t="str">
            <v>H4R94AA#ACJ</v>
          </cell>
        </row>
        <row r="920">
          <cell r="B920" t="str">
            <v xml:space="preserve">Garfield </v>
          </cell>
          <cell r="F920" t="str">
            <v>J8F13AA#ACJ</v>
          </cell>
        </row>
        <row r="921">
          <cell r="B921" t="str">
            <v xml:space="preserve">Garfield </v>
          </cell>
          <cell r="F921" t="str">
            <v>J8F13AA#UUF</v>
          </cell>
        </row>
        <row r="922">
          <cell r="B922" t="str">
            <v xml:space="preserve">Garfield </v>
          </cell>
          <cell r="F922" t="str">
            <v>J8F13AA#AB1</v>
          </cell>
        </row>
        <row r="923">
          <cell r="B923" t="str">
            <v xml:space="preserve">Garfield </v>
          </cell>
          <cell r="F923" t="str">
            <v>J8F13AA#ABG</v>
          </cell>
        </row>
        <row r="924">
          <cell r="B924" t="str">
            <v xml:space="preserve">Garfield </v>
          </cell>
          <cell r="F924" t="str">
            <v>J8F13AA#AKL</v>
          </cell>
        </row>
        <row r="925">
          <cell r="B925" t="str">
            <v>Garfield Win10</v>
          </cell>
          <cell r="F925" t="str">
            <v>V4L73AA#ABA</v>
          </cell>
        </row>
        <row r="926">
          <cell r="B926" t="str">
            <v>Garfield Win10</v>
          </cell>
          <cell r="F926" t="str">
            <v>V4L74AA#ACJ</v>
          </cell>
        </row>
        <row r="927">
          <cell r="B927" t="str">
            <v>Garfield</v>
          </cell>
        </row>
        <row r="928">
          <cell r="B928" t="str">
            <v>KingKong</v>
          </cell>
          <cell r="F928" t="str">
            <v>3ML04AA#ABL</v>
          </cell>
        </row>
        <row r="929">
          <cell r="B929" t="str">
            <v>Kingkong</v>
          </cell>
          <cell r="F929" t="str">
            <v>3ML04AA#ABL</v>
          </cell>
        </row>
        <row r="930">
          <cell r="B930" t="str">
            <v>KingKong</v>
          </cell>
          <cell r="F930" t="str">
            <v>3ML04AA#UUF</v>
          </cell>
        </row>
        <row r="931">
          <cell r="B931" t="str">
            <v>KingKong</v>
          </cell>
          <cell r="F931" t="str">
            <v>3ML04AA#B1L</v>
          </cell>
        </row>
        <row r="932">
          <cell r="B932" t="str">
            <v>KingKong</v>
          </cell>
          <cell r="F932" t="str">
            <v>3ML04AA#ACJ</v>
          </cell>
        </row>
        <row r="933">
          <cell r="B933" t="str">
            <v>KingKong</v>
          </cell>
          <cell r="F933" t="str">
            <v>3ML04AA#ABM</v>
          </cell>
        </row>
        <row r="934">
          <cell r="B934" t="str">
            <v>KingKong</v>
          </cell>
          <cell r="F934" t="str">
            <v>3ML04AA#AC4</v>
          </cell>
        </row>
        <row r="935">
          <cell r="B935" t="str">
            <v>KingKong</v>
          </cell>
          <cell r="F935" t="str">
            <v>3ML04AA#AC3</v>
          </cell>
        </row>
        <row r="936">
          <cell r="B936" t="str">
            <v>KingKong</v>
          </cell>
        </row>
        <row r="937">
          <cell r="B937" t="str">
            <v>Needle</v>
          </cell>
          <cell r="F937" t="str">
            <v>E5E77AA#ABM</v>
          </cell>
        </row>
        <row r="938">
          <cell r="B938" t="str">
            <v>Needle</v>
          </cell>
          <cell r="F938" t="str">
            <v>E5E77AA#ABA</v>
          </cell>
        </row>
        <row r="939">
          <cell r="B939" t="str">
            <v>Needle</v>
          </cell>
          <cell r="F939" t="str">
            <v>E5E77AA#ABL</v>
          </cell>
        </row>
        <row r="940">
          <cell r="B940" t="str">
            <v>Needle</v>
          </cell>
          <cell r="F940" t="str">
            <v>E5E77AA#AC4</v>
          </cell>
        </row>
        <row r="941">
          <cell r="B941" t="str">
            <v>Needle</v>
          </cell>
          <cell r="F941" t="str">
            <v>E5E77AA#UUF</v>
          </cell>
        </row>
        <row r="942">
          <cell r="B942" t="str">
            <v>Needle</v>
          </cell>
          <cell r="F942" t="str">
            <v>E5E77AA#ACJ</v>
          </cell>
        </row>
        <row r="943">
          <cell r="B943" t="str">
            <v>Needle</v>
          </cell>
          <cell r="F943" t="str">
            <v>E5E77AA#AB1</v>
          </cell>
        </row>
        <row r="944">
          <cell r="B944" t="str">
            <v>Needle</v>
          </cell>
          <cell r="F944" t="str">
            <v>E5E77AA#AKL</v>
          </cell>
        </row>
        <row r="945">
          <cell r="B945" t="str">
            <v>Needle</v>
          </cell>
          <cell r="F945" t="str">
            <v>E5E78AA#AC3</v>
          </cell>
        </row>
        <row r="946">
          <cell r="B946" t="str">
            <v>Needle</v>
          </cell>
          <cell r="F946" t="str">
            <v>G8V99AA#ABC</v>
          </cell>
        </row>
        <row r="947">
          <cell r="B947" t="str">
            <v>Needle</v>
          </cell>
        </row>
        <row r="948">
          <cell r="B948" t="str">
            <v>Needle White Combo</v>
          </cell>
          <cell r="F948" t="str">
            <v>M7P30AA#UUF</v>
          </cell>
        </row>
        <row r="949">
          <cell r="B949" t="str">
            <v>Needle White Combo</v>
          </cell>
          <cell r="F949" t="str">
            <v>M7P30AA#ACJ</v>
          </cell>
        </row>
        <row r="950">
          <cell r="B950" t="str">
            <v>Needle White Combo</v>
          </cell>
          <cell r="F950" t="str">
            <v>M7P30AA#ABM</v>
          </cell>
        </row>
        <row r="951">
          <cell r="B951" t="str">
            <v>Needle White Combo</v>
          </cell>
          <cell r="F951" t="str">
            <v>M7P30AA#AC3</v>
          </cell>
        </row>
        <row r="952">
          <cell r="B952" t="str">
            <v>Needle White Combo</v>
          </cell>
        </row>
        <row r="953">
          <cell r="B953" t="str">
            <v>Fiji Combo</v>
          </cell>
          <cell r="F953" t="str">
            <v>6JU16AA#UUF</v>
          </cell>
        </row>
        <row r="954">
          <cell r="B954" t="str">
            <v>Fiji Combo</v>
          </cell>
          <cell r="F954" t="str">
            <v>6JU16AA#ABG</v>
          </cell>
        </row>
        <row r="955">
          <cell r="B955" t="str">
            <v>Fiji Combo</v>
          </cell>
          <cell r="F955" t="str">
            <v>6JU16AA#ACJ</v>
          </cell>
        </row>
        <row r="956">
          <cell r="B956" t="str">
            <v>Fiji Combo</v>
          </cell>
        </row>
        <row r="957">
          <cell r="B957" t="str">
            <v>Fiji</v>
          </cell>
          <cell r="F957" t="str">
            <v>6JU16AA#UUF</v>
          </cell>
        </row>
        <row r="958">
          <cell r="B958" t="str">
            <v>Fiji</v>
          </cell>
        </row>
        <row r="959">
          <cell r="B959" t="str">
            <v>Brac</v>
          </cell>
          <cell r="F959" t="str">
            <v>18H24AA#AC3</v>
          </cell>
        </row>
        <row r="960">
          <cell r="B960" t="str">
            <v>Brac</v>
          </cell>
          <cell r="F960" t="str">
            <v>18H24AA#AC4</v>
          </cell>
        </row>
        <row r="961">
          <cell r="B961" t="str">
            <v>Brac</v>
          </cell>
          <cell r="F961" t="str">
            <v>18H24AA#AC4</v>
          </cell>
        </row>
        <row r="962">
          <cell r="B962" t="str">
            <v>Brac</v>
          </cell>
          <cell r="F962" t="str">
            <v>18H24AA#ABM</v>
          </cell>
        </row>
        <row r="963">
          <cell r="B963" t="str">
            <v>Brac</v>
          </cell>
          <cell r="F963" t="str">
            <v>18H24AA#ABM</v>
          </cell>
        </row>
        <row r="964">
          <cell r="B964" t="str">
            <v>Brac</v>
          </cell>
          <cell r="F964" t="str">
            <v>18H24AA#UUF</v>
          </cell>
        </row>
        <row r="965">
          <cell r="B965" t="str">
            <v>Brac</v>
          </cell>
          <cell r="F965" t="str">
            <v>18H24AA#UUF</v>
          </cell>
        </row>
        <row r="966">
          <cell r="B966" t="str">
            <v>Brac</v>
          </cell>
          <cell r="F966" t="str">
            <v>18H24AA#AB1</v>
          </cell>
        </row>
        <row r="967">
          <cell r="B967" t="str">
            <v>Brac</v>
          </cell>
          <cell r="F967" t="str">
            <v>18H24AA#AB1</v>
          </cell>
        </row>
        <row r="968">
          <cell r="B968" t="str">
            <v>Brac</v>
          </cell>
          <cell r="F968" t="str">
            <v>18H24AA#ABA</v>
          </cell>
        </row>
        <row r="969">
          <cell r="B969" t="str">
            <v>Brac</v>
          </cell>
          <cell r="F969" t="str">
            <v>1Y4D0AA#UUF</v>
          </cell>
        </row>
        <row r="970">
          <cell r="B970" t="str">
            <v>Brac</v>
          </cell>
          <cell r="F970" t="str">
            <v>1Y4D0AA#UUF</v>
          </cell>
        </row>
        <row r="971">
          <cell r="B971" t="str">
            <v>Brac</v>
          </cell>
          <cell r="F971" t="str">
            <v>1Y4D0AA#AB1</v>
          </cell>
        </row>
        <row r="972">
          <cell r="B972" t="str">
            <v>Brac</v>
          </cell>
          <cell r="F972" t="str">
            <v>1Y4D0AA#AB1</v>
          </cell>
        </row>
        <row r="973">
          <cell r="B973" t="str">
            <v>Brac</v>
          </cell>
          <cell r="F973" t="str">
            <v>1Y4D0AA#ABA</v>
          </cell>
        </row>
        <row r="974">
          <cell r="B974" t="str">
            <v>Brac</v>
          </cell>
          <cell r="F974" t="str">
            <v>1Y4D0AA#ABM</v>
          </cell>
        </row>
        <row r="975">
          <cell r="B975" t="str">
            <v>Brac</v>
          </cell>
          <cell r="F975" t="str">
            <v>1Y4D0AA#ABM</v>
          </cell>
        </row>
        <row r="976">
          <cell r="B976" t="str">
            <v>Brac</v>
          </cell>
          <cell r="F976" t="str">
            <v>1Y4D0AA#AC3</v>
          </cell>
        </row>
        <row r="977">
          <cell r="B977" t="str">
            <v>Brac</v>
          </cell>
          <cell r="F977" t="str">
            <v>1Y4D0AA#AC4</v>
          </cell>
        </row>
        <row r="978">
          <cell r="B978" t="str">
            <v>Brac</v>
          </cell>
          <cell r="F978" t="str">
            <v>1Y4D0AA#AC4</v>
          </cell>
        </row>
        <row r="979">
          <cell r="B979" t="str">
            <v>Brac</v>
          </cell>
          <cell r="F979" t="str">
            <v>1Y4D0AA#ABC</v>
          </cell>
        </row>
        <row r="980">
          <cell r="B980" t="str">
            <v>Brac</v>
          </cell>
          <cell r="F980" t="str">
            <v>1Y4D0AA#ABC</v>
          </cell>
        </row>
        <row r="981">
          <cell r="B981" t="str">
            <v>Brac</v>
          </cell>
          <cell r="F981" t="str">
            <v>1Y4D0UT#UUF</v>
          </cell>
        </row>
        <row r="982">
          <cell r="B982" t="str">
            <v>Brac</v>
          </cell>
          <cell r="F982" t="str">
            <v>1Y4D0UT#AB1</v>
          </cell>
        </row>
        <row r="983">
          <cell r="B983" t="str">
            <v>Brac</v>
          </cell>
          <cell r="F983" t="str">
            <v>1Y4D0UT#ABA</v>
          </cell>
        </row>
        <row r="984">
          <cell r="B984" t="str">
            <v>Brac</v>
          </cell>
          <cell r="F984" t="str">
            <v>1Y4D0UT#ABM</v>
          </cell>
        </row>
        <row r="985">
          <cell r="B985" t="str">
            <v>Brac</v>
          </cell>
          <cell r="F985" t="str">
            <v>1Y4D0UT#AC3</v>
          </cell>
        </row>
        <row r="986">
          <cell r="B986" t="str">
            <v>Brac</v>
          </cell>
          <cell r="F986" t="str">
            <v>1Y4D0UT#AC4</v>
          </cell>
        </row>
        <row r="987">
          <cell r="B987" t="str">
            <v>Brac</v>
          </cell>
          <cell r="F987" t="str">
            <v>1Y4D0UT#ABC</v>
          </cell>
        </row>
        <row r="988">
          <cell r="B988" t="str">
            <v>Brac</v>
          </cell>
          <cell r="F988" t="str">
            <v>1Y4D0UT#ABC</v>
          </cell>
        </row>
        <row r="989">
          <cell r="B989" t="str">
            <v>Brac</v>
          </cell>
          <cell r="F989" t="str">
            <v>M40045-161</v>
          </cell>
        </row>
        <row r="990">
          <cell r="B990" t="str">
            <v>Brac</v>
          </cell>
        </row>
        <row r="991">
          <cell r="B991" t="str">
            <v>BracWhiteComb</v>
          </cell>
          <cell r="F991" t="str">
            <v>3L1F0AA#AC3</v>
          </cell>
        </row>
        <row r="992">
          <cell r="B992" t="str">
            <v>BracWhiteComb</v>
          </cell>
          <cell r="F992" t="str">
            <v>3L1F0AA#AC4</v>
          </cell>
        </row>
        <row r="993">
          <cell r="B993" t="str">
            <v>BracWhiteComb</v>
          </cell>
          <cell r="F993" t="str">
            <v>3L1F0AA#AC4</v>
          </cell>
        </row>
        <row r="994">
          <cell r="B994" t="str">
            <v>BracWhiteComb</v>
          </cell>
          <cell r="F994" t="str">
            <v>3L1F0AA#ABM</v>
          </cell>
        </row>
        <row r="995">
          <cell r="B995" t="str">
            <v>BracWhiteComb</v>
          </cell>
          <cell r="F995" t="str">
            <v>3L1F0AA#ABM</v>
          </cell>
        </row>
        <row r="996">
          <cell r="B996" t="str">
            <v>BracWhiteComb</v>
          </cell>
          <cell r="F996" t="str">
            <v>3L1F0AA#UUF</v>
          </cell>
        </row>
        <row r="997">
          <cell r="B997" t="str">
            <v>BracWhiteComb</v>
          </cell>
          <cell r="F997" t="str">
            <v>3L1F0AA#UUF</v>
          </cell>
        </row>
        <row r="998">
          <cell r="B998" t="str">
            <v>BracWhiteComb</v>
          </cell>
          <cell r="F998" t="str">
            <v>M40043-161</v>
          </cell>
        </row>
        <row r="999">
          <cell r="B999" t="str">
            <v>BracWhiteComb</v>
          </cell>
          <cell r="F999" t="str">
            <v>3L1F0AA#ABA</v>
          </cell>
        </row>
        <row r="1000">
          <cell r="B1000" t="str">
            <v>BracWhiteComb</v>
          </cell>
        </row>
        <row r="1001">
          <cell r="B1001" t="str">
            <v>BracWLKB</v>
          </cell>
          <cell r="F1001" t="str">
            <v>3L1E7AA#AC3</v>
          </cell>
        </row>
        <row r="1002">
          <cell r="B1002" t="str">
            <v>BracWLKB</v>
          </cell>
          <cell r="F1002" t="str">
            <v>3L1E7AA#AC4</v>
          </cell>
        </row>
        <row r="1003">
          <cell r="B1003" t="str">
            <v>BracWLKB</v>
          </cell>
          <cell r="F1003" t="str">
            <v>3L1E7AA#AC4</v>
          </cell>
        </row>
        <row r="1004">
          <cell r="B1004" t="str">
            <v>BracWLKB</v>
          </cell>
          <cell r="F1004" t="str">
            <v>3L1E7AA#ABM</v>
          </cell>
        </row>
        <row r="1005">
          <cell r="B1005" t="str">
            <v>BracWLKB</v>
          </cell>
          <cell r="F1005" t="str">
            <v>3L1E7AA#ABM</v>
          </cell>
        </row>
        <row r="1006">
          <cell r="B1006" t="str">
            <v>BracWLKB</v>
          </cell>
          <cell r="F1006" t="str">
            <v>3L1E7AA#UUF</v>
          </cell>
        </row>
        <row r="1007">
          <cell r="B1007" t="str">
            <v>BracWLKB</v>
          </cell>
          <cell r="F1007" t="str">
            <v>3L1E7AA#UUF</v>
          </cell>
        </row>
        <row r="1008">
          <cell r="B1008" t="str">
            <v>BracWLKB</v>
          </cell>
          <cell r="F1008" t="str">
            <v>3L1E7AA#ABA</v>
          </cell>
        </row>
        <row r="1009">
          <cell r="B1009" t="str">
            <v>BracWLKB</v>
          </cell>
          <cell r="F1009" t="str">
            <v>3L1E7AA#ABJ</v>
          </cell>
        </row>
        <row r="1010">
          <cell r="B1010" t="str">
            <v>Brac KB</v>
          </cell>
        </row>
        <row r="1011">
          <cell r="B1011" t="str">
            <v>Havelock</v>
          </cell>
          <cell r="F1011" t="str">
            <v>2V9E6AA#ABD</v>
          </cell>
        </row>
        <row r="1012">
          <cell r="B1012" t="str">
            <v>Havelock</v>
          </cell>
          <cell r="F1012" t="str">
            <v>2V9E6AA#ACB</v>
          </cell>
        </row>
        <row r="1013">
          <cell r="B1013" t="str">
            <v>Havelock</v>
          </cell>
          <cell r="F1013" t="str">
            <v>2V9E6AA#ABB</v>
          </cell>
        </row>
        <row r="1014">
          <cell r="B1014" t="str">
            <v>Havelock</v>
          </cell>
          <cell r="F1014" t="str">
            <v>2V9E6AA#ABV</v>
          </cell>
        </row>
        <row r="1015">
          <cell r="B1015" t="str">
            <v>Havelock</v>
          </cell>
          <cell r="F1015" t="str">
            <v>2V9E6AA#UUF</v>
          </cell>
        </row>
        <row r="1016">
          <cell r="B1016" t="str">
            <v>Havelock</v>
          </cell>
          <cell r="F1016" t="str">
            <v>2V9E6AA#UUF</v>
          </cell>
        </row>
        <row r="1017">
          <cell r="B1017" t="str">
            <v>Havelock</v>
          </cell>
          <cell r="F1017" t="str">
            <v>2V9E6AA#ACJ</v>
          </cell>
        </row>
        <row r="1018">
          <cell r="B1018" t="str">
            <v>Havelock</v>
          </cell>
          <cell r="F1018" t="str">
            <v>2V9E6AA#AC4</v>
          </cell>
        </row>
        <row r="1019">
          <cell r="B1019" t="str">
            <v>Havelock</v>
          </cell>
          <cell r="F1019" t="str">
            <v>2V9E6AA#ABM</v>
          </cell>
        </row>
        <row r="1020">
          <cell r="B1020" t="str">
            <v>Havelock</v>
          </cell>
        </row>
        <row r="1021">
          <cell r="B1021" t="str">
            <v>Havelock refresh</v>
          </cell>
          <cell r="F1021" t="str">
            <v>2V9E6AA#ABD</v>
          </cell>
        </row>
        <row r="1022">
          <cell r="B1022" t="str">
            <v>Havelock refresh</v>
          </cell>
          <cell r="F1022" t="str">
            <v>2V9E6AA#ACB</v>
          </cell>
        </row>
        <row r="1023">
          <cell r="B1023" t="str">
            <v>Havelock refresh</v>
          </cell>
          <cell r="F1023" t="str">
            <v>2V9E6AA#ABB</v>
          </cell>
        </row>
        <row r="1024">
          <cell r="B1024" t="str">
            <v>Havelock refresh</v>
          </cell>
          <cell r="F1024" t="str">
            <v>2V9E6AA#ABV</v>
          </cell>
        </row>
        <row r="1025">
          <cell r="B1025" t="str">
            <v>Havelock refresh</v>
          </cell>
          <cell r="F1025" t="str">
            <v>2V9E6AA#UUF</v>
          </cell>
        </row>
        <row r="1026">
          <cell r="B1026" t="str">
            <v>Havelock refresh</v>
          </cell>
          <cell r="F1026" t="str">
            <v>2V9E6AA#ACJ</v>
          </cell>
        </row>
        <row r="1027">
          <cell r="B1027" t="str">
            <v>Havelock refresh</v>
          </cell>
          <cell r="F1027" t="str">
            <v>2V9E6AA#AC4</v>
          </cell>
        </row>
        <row r="1028">
          <cell r="B1028" t="str">
            <v>Havelock refresh</v>
          </cell>
          <cell r="F1028" t="str">
            <v>2V9E6AA#AC4</v>
          </cell>
        </row>
        <row r="1029">
          <cell r="B1029" t="str">
            <v>Havelock refresh</v>
          </cell>
          <cell r="F1029" t="str">
            <v>2V9E6AA#ABM</v>
          </cell>
        </row>
        <row r="1030">
          <cell r="B1030" t="str">
            <v>Havelock refresh</v>
          </cell>
          <cell r="F1030" t="str">
            <v>2V9E6AA#ABL</v>
          </cell>
        </row>
        <row r="1031">
          <cell r="B1031" t="str">
            <v>Havelock refresh</v>
          </cell>
          <cell r="F1031" t="str">
            <v>2V9E6AA#AC3</v>
          </cell>
        </row>
        <row r="1032">
          <cell r="B1032" t="str">
            <v>Havelock refresh</v>
          </cell>
        </row>
        <row r="1033">
          <cell r="B1033" t="str">
            <v>Havelock KB</v>
          </cell>
          <cell r="F1033" t="str">
            <v>805T1AA#ABA</v>
          </cell>
        </row>
        <row r="1034">
          <cell r="B1034" t="str">
            <v>Havelock KB</v>
          </cell>
          <cell r="F1034" t="str">
            <v>805T1AA#AC3</v>
          </cell>
        </row>
        <row r="1035">
          <cell r="B1035" t="str">
            <v>Havelock KB</v>
          </cell>
          <cell r="F1035" t="str">
            <v>805T2AA#ABA</v>
          </cell>
        </row>
        <row r="1036">
          <cell r="B1036" t="str">
            <v>Havelock KB</v>
          </cell>
          <cell r="F1036" t="str">
            <v>805T2AA#AC3</v>
          </cell>
        </row>
        <row r="1037">
          <cell r="B1037" t="str">
            <v>Havelock KB</v>
          </cell>
          <cell r="F1037" t="str">
            <v>805T2AA#ABM</v>
          </cell>
        </row>
        <row r="1038">
          <cell r="B1038" t="str">
            <v>Havelock KB</v>
          </cell>
          <cell r="F1038" t="str">
            <v>805T2AA#UUF</v>
          </cell>
        </row>
        <row r="1039">
          <cell r="B1039" t="str">
            <v>Havelock KB</v>
          </cell>
          <cell r="F1039" t="str">
            <v>805T1UT#AC3</v>
          </cell>
        </row>
        <row r="1040">
          <cell r="B1040" t="str">
            <v>Havelock KB</v>
          </cell>
        </row>
        <row r="1041">
          <cell r="B1041" t="str">
            <v>Jazz</v>
          </cell>
          <cell r="F1041" t="str">
            <v>9T5A9AA#ABA</v>
          </cell>
        </row>
        <row r="1042">
          <cell r="B1042" t="str">
            <v>Jazz</v>
          </cell>
          <cell r="F1042" t="str">
            <v>9T5A9AA#ABJ</v>
          </cell>
        </row>
        <row r="1043">
          <cell r="B1043" t="str">
            <v>Jazz</v>
          </cell>
          <cell r="F1043" t="str">
            <v>9T5A9AA#AC3</v>
          </cell>
        </row>
        <row r="1044">
          <cell r="B1044" t="str">
            <v>Jazz</v>
          </cell>
          <cell r="F1044" t="str">
            <v>9T5A9AA#UUF</v>
          </cell>
        </row>
        <row r="1045">
          <cell r="B1045" t="str">
            <v>Jazz</v>
          </cell>
          <cell r="F1045" t="str">
            <v>9T5B0UT#ABA</v>
          </cell>
        </row>
        <row r="1046">
          <cell r="B1046" t="str">
            <v>Jazz</v>
          </cell>
          <cell r="F1046" t="str">
            <v>9T5B0UT#ABJ</v>
          </cell>
        </row>
        <row r="1047">
          <cell r="B1047" t="str">
            <v>Jazz</v>
          </cell>
          <cell r="F1047" t="str">
            <v>9T5B0UT#AC3</v>
          </cell>
        </row>
        <row r="1048">
          <cell r="B1048" t="str">
            <v>Jazz</v>
          </cell>
          <cell r="F1048" t="str">
            <v>9T5B0UT#UUF</v>
          </cell>
        </row>
        <row r="1049">
          <cell r="B1049" t="str">
            <v>Jazz</v>
          </cell>
        </row>
        <row r="1050">
          <cell r="B1050" t="str">
            <v>Jazz KB</v>
          </cell>
          <cell r="F1050" t="str">
            <v>9T5B1AA#ABA</v>
          </cell>
        </row>
        <row r="1051">
          <cell r="B1051" t="str">
            <v>Jazz KB</v>
          </cell>
          <cell r="F1051" t="str">
            <v>9T5B1AA#ABJ</v>
          </cell>
        </row>
        <row r="1052">
          <cell r="B1052" t="str">
            <v>Jazz KB</v>
          </cell>
          <cell r="F1052" t="str">
            <v>9T5B1AA#ABM</v>
          </cell>
        </row>
        <row r="1053">
          <cell r="B1053" t="str">
            <v>Jazz KB</v>
          </cell>
          <cell r="F1053" t="str">
            <v>9T5B1AA#AC3</v>
          </cell>
        </row>
        <row r="1054">
          <cell r="B1054" t="str">
            <v>Jazz KB</v>
          </cell>
          <cell r="F1054" t="str">
            <v>9T5B1AA#UUF</v>
          </cell>
        </row>
        <row r="1055">
          <cell r="B1055" t="str">
            <v>Jazz KB</v>
          </cell>
          <cell r="F1055" t="str">
            <v>9T5B2AA#ABA</v>
          </cell>
        </row>
        <row r="1056">
          <cell r="B1056" t="str">
            <v>Jazz KB</v>
          </cell>
          <cell r="F1056" t="str">
            <v>9T5B2AA#ABJ</v>
          </cell>
        </row>
        <row r="1057">
          <cell r="B1057" t="str">
            <v>Jazz KB</v>
          </cell>
          <cell r="F1057" t="str">
            <v>9T5B2AA#ABM</v>
          </cell>
        </row>
        <row r="1058">
          <cell r="B1058" t="str">
            <v>Jazz KB</v>
          </cell>
          <cell r="F1058" t="str">
            <v>9T5B2AA#AC3</v>
          </cell>
        </row>
        <row r="1059">
          <cell r="B1059" t="str">
            <v>Jazz KB</v>
          </cell>
          <cell r="F1059" t="str">
            <v>9T5B2AA#UUF</v>
          </cell>
        </row>
        <row r="1060">
          <cell r="B1060" t="str">
            <v>Jazz KB</v>
          </cell>
        </row>
        <row r="1061">
          <cell r="B1061" t="str">
            <v>Nibble</v>
          </cell>
          <cell r="F1061" t="str">
            <v>H3C52AA#AB1</v>
          </cell>
        </row>
        <row r="1062">
          <cell r="B1062" t="str">
            <v>Nibble</v>
          </cell>
          <cell r="F1062" t="str">
            <v>J8F16AA#AB1</v>
          </cell>
        </row>
        <row r="1063">
          <cell r="B1063" t="str">
            <v>Nibble</v>
          </cell>
          <cell r="F1063" t="str">
            <v>H3C52AA#ABA</v>
          </cell>
        </row>
        <row r="1064">
          <cell r="B1064" t="str">
            <v>Nibble</v>
          </cell>
          <cell r="F1064" t="str">
            <v>H3C52AA#ACJ</v>
          </cell>
        </row>
        <row r="1065">
          <cell r="B1065" t="str">
            <v>Nibble</v>
          </cell>
          <cell r="F1065" t="str">
            <v>J8F16AA#ACJ</v>
          </cell>
        </row>
        <row r="1066">
          <cell r="B1066" t="str">
            <v>Nibble</v>
          </cell>
          <cell r="F1066" t="str">
            <v>H3C52AA#UUF</v>
          </cell>
        </row>
        <row r="1067">
          <cell r="B1067" t="str">
            <v>Nibble</v>
          </cell>
          <cell r="F1067" t="str">
            <v>J8F16AA#UUF</v>
          </cell>
        </row>
        <row r="1068">
          <cell r="B1068" t="str">
            <v>Nibble</v>
          </cell>
          <cell r="F1068" t="str">
            <v>T3U92AA#ABM</v>
          </cell>
        </row>
        <row r="1069">
          <cell r="B1069" t="str">
            <v>Nibble</v>
          </cell>
          <cell r="F1069" t="str">
            <v>T3U92AA#AC4</v>
          </cell>
        </row>
        <row r="1070">
          <cell r="B1070" t="str">
            <v>Nibble</v>
          </cell>
          <cell r="F1070" t="str">
            <v>H3C52AA#ABU</v>
          </cell>
        </row>
        <row r="1071">
          <cell r="B1071" t="str">
            <v>Nibble</v>
          </cell>
          <cell r="F1071" t="str">
            <v>H3C52AA#ABD</v>
          </cell>
        </row>
        <row r="1072">
          <cell r="B1072" t="str">
            <v>Nibble</v>
          </cell>
          <cell r="F1072" t="str">
            <v>H3C52AA#ABF</v>
          </cell>
        </row>
        <row r="1073">
          <cell r="B1073" t="str">
            <v>Nibble</v>
          </cell>
          <cell r="F1073" t="str">
            <v>H3C52AA#AB8</v>
          </cell>
        </row>
        <row r="1074">
          <cell r="B1074" t="str">
            <v>Nibble</v>
          </cell>
          <cell r="F1074" t="str">
            <v>H3C52AA#ABV</v>
          </cell>
        </row>
        <row r="1075">
          <cell r="B1075" t="str">
            <v>Nibble</v>
          </cell>
          <cell r="F1075" t="str">
            <v>H3C52AA#ACB</v>
          </cell>
        </row>
        <row r="1076">
          <cell r="B1076" t="str">
            <v>Nibble</v>
          </cell>
          <cell r="F1076" t="str">
            <v>H3C52AA#ABT</v>
          </cell>
        </row>
        <row r="1077">
          <cell r="B1077" t="str">
            <v>Nibble</v>
          </cell>
          <cell r="F1077" t="str">
            <v>H3C52AA#B13</v>
          </cell>
        </row>
        <row r="1078">
          <cell r="B1078" t="str">
            <v>Nibble</v>
          </cell>
          <cell r="F1078" t="str">
            <v>H3C52AA#ABE</v>
          </cell>
        </row>
        <row r="1079">
          <cell r="B1079" t="str">
            <v>Nibble</v>
          </cell>
          <cell r="F1079" t="str">
            <v>H3C52AA#AB9  </v>
          </cell>
        </row>
        <row r="1080">
          <cell r="B1080" t="str">
            <v>Nibble</v>
          </cell>
          <cell r="F1080" t="str">
            <v>H3C52AA#ABZ </v>
          </cell>
        </row>
        <row r="1081">
          <cell r="B1081" t="str">
            <v>Nibble</v>
          </cell>
          <cell r="F1081" t="str">
            <v>691725-041</v>
          </cell>
        </row>
        <row r="1082">
          <cell r="B1082" t="str">
            <v>Nibble</v>
          </cell>
          <cell r="F1082" t="str">
            <v>691725-051</v>
          </cell>
        </row>
        <row r="1083">
          <cell r="B1083" t="str">
            <v>Nibble</v>
          </cell>
          <cell r="F1083" t="str">
            <v>691725-251</v>
          </cell>
        </row>
        <row r="1084">
          <cell r="B1084" t="str">
            <v>Nibble</v>
          </cell>
        </row>
        <row r="1085">
          <cell r="B1085" t="str">
            <v>Minnow</v>
          </cell>
          <cell r="F1085" t="str">
            <v>H3C53AA#A2K</v>
          </cell>
        </row>
        <row r="1086">
          <cell r="B1086" t="str">
            <v>Minnow</v>
          </cell>
          <cell r="F1086" t="str">
            <v>H3C53AA#AB1</v>
          </cell>
        </row>
        <row r="1087">
          <cell r="B1087" t="str">
            <v>Minnow</v>
          </cell>
          <cell r="F1087" t="str">
            <v>J8F15AA#AB1</v>
          </cell>
        </row>
        <row r="1088">
          <cell r="B1088" t="str">
            <v>Minnow</v>
          </cell>
          <cell r="F1088" t="str">
            <v>H3C53AA#ABA</v>
          </cell>
        </row>
        <row r="1089">
          <cell r="B1089" t="str">
            <v>Minnow</v>
          </cell>
          <cell r="F1089" t="str">
            <v>H3C53AA#ACJ</v>
          </cell>
        </row>
        <row r="1090">
          <cell r="B1090" t="str">
            <v>Minnow</v>
          </cell>
          <cell r="F1090" t="str">
            <v>J8F15AA#ACJ</v>
          </cell>
        </row>
        <row r="1091">
          <cell r="B1091" t="str">
            <v>Minnow</v>
          </cell>
          <cell r="F1091" t="str">
            <v>H3C53AA#UUF</v>
          </cell>
        </row>
        <row r="1092">
          <cell r="B1092" t="str">
            <v>Minnow</v>
          </cell>
          <cell r="F1092" t="str">
            <v>J8F15AA#UUF</v>
          </cell>
        </row>
        <row r="1093">
          <cell r="B1093" t="str">
            <v>Minnow</v>
          </cell>
          <cell r="F1093" t="str">
            <v>J8F15AA#ABM</v>
          </cell>
        </row>
        <row r="1094">
          <cell r="B1094" t="str">
            <v>Minnow</v>
          </cell>
          <cell r="F1094" t="str">
            <v>J8F15AA#AC4</v>
          </cell>
        </row>
        <row r="1095">
          <cell r="B1095" t="str">
            <v>Minnow</v>
          </cell>
          <cell r="F1095" t="str">
            <v>H3C53AA#ABU</v>
          </cell>
        </row>
        <row r="1096">
          <cell r="B1096" t="str">
            <v>Minnow</v>
          </cell>
          <cell r="F1096" t="str">
            <v>H3C53AA#ABD</v>
          </cell>
        </row>
        <row r="1097">
          <cell r="B1097" t="str">
            <v>Minnow</v>
          </cell>
          <cell r="F1097" t="str">
            <v>H3C53AA#ABF</v>
          </cell>
        </row>
        <row r="1098">
          <cell r="B1098" t="str">
            <v>Minnow</v>
          </cell>
          <cell r="F1098" t="str">
            <v>H3C53AA#AB8</v>
          </cell>
        </row>
        <row r="1099">
          <cell r="B1099" t="str">
            <v>Minnow</v>
          </cell>
          <cell r="F1099" t="str">
            <v>H3C53AA#ABV</v>
          </cell>
        </row>
        <row r="1100">
          <cell r="B1100" t="str">
            <v>Minnow</v>
          </cell>
          <cell r="F1100" t="str">
            <v>H3C53AA#ACB</v>
          </cell>
        </row>
        <row r="1101">
          <cell r="B1101" t="str">
            <v>Minnow</v>
          </cell>
          <cell r="F1101" t="str">
            <v>H3C53AA#ABT</v>
          </cell>
        </row>
        <row r="1102">
          <cell r="B1102" t="str">
            <v>Minnow</v>
          </cell>
          <cell r="F1102" t="str">
            <v>H3C53AA#B13</v>
          </cell>
        </row>
        <row r="1103">
          <cell r="B1103" t="str">
            <v>Minnow</v>
          </cell>
          <cell r="F1103" t="str">
            <v>H3C53AA#ABE</v>
          </cell>
        </row>
        <row r="1104">
          <cell r="B1104" t="str">
            <v>Minnow</v>
          </cell>
          <cell r="F1104" t="str">
            <v>H3C53AA#AB9</v>
          </cell>
        </row>
        <row r="1105">
          <cell r="B1105" t="str">
            <v>Minnow</v>
          </cell>
          <cell r="F1105" t="str">
            <v>H3C53AA#ABZ</v>
          </cell>
        </row>
        <row r="1106">
          <cell r="B1106" t="str">
            <v>Minnow</v>
          </cell>
        </row>
        <row r="1107">
          <cell r="B1107" t="str">
            <v>Odie (wired Garfield)</v>
          </cell>
          <cell r="F1107" t="str">
            <v>H4K67AA#ABM</v>
          </cell>
        </row>
        <row r="1108">
          <cell r="B1108" t="str">
            <v>Odie (wired Garfield)</v>
          </cell>
          <cell r="F1108" t="str">
            <v>H4K67AA#AC4</v>
          </cell>
        </row>
        <row r="1109">
          <cell r="B1109" t="str">
            <v>Odie (wired Garfield)</v>
          </cell>
          <cell r="F1109" t="str">
            <v>H4K67AA#UUF</v>
          </cell>
        </row>
        <row r="1110">
          <cell r="B1110" t="str">
            <v>Odie (wired Garfield)</v>
          </cell>
          <cell r="F1110" t="str">
            <v>J8F14AA#UUF</v>
          </cell>
        </row>
        <row r="1111">
          <cell r="B1111" t="str">
            <v>Odie (wired Garfield)</v>
          </cell>
          <cell r="F1111" t="str">
            <v>H4K67AA#ACJ</v>
          </cell>
        </row>
        <row r="1112">
          <cell r="B1112" t="str">
            <v>Odie (wired Garfield)</v>
          </cell>
          <cell r="F1112" t="str">
            <v>J8F14AA#ACJ</v>
          </cell>
        </row>
        <row r="1113">
          <cell r="B1113" t="str">
            <v>Odie</v>
          </cell>
        </row>
        <row r="1114">
          <cell r="B1114" t="str">
            <v>Odie exception</v>
          </cell>
          <cell r="F1114" t="str">
            <v>J2X04AA#ACJ</v>
          </cell>
        </row>
        <row r="1115">
          <cell r="B1115" t="str">
            <v>Odie exception</v>
          </cell>
          <cell r="F1115" t="str">
            <v>J2X04AA#ABL</v>
          </cell>
        </row>
        <row r="1116">
          <cell r="B1116" t="str">
            <v>Odie exception</v>
          </cell>
          <cell r="F1116" t="str">
            <v>J2X04AA#ABL</v>
          </cell>
        </row>
        <row r="1117">
          <cell r="B1117" t="str">
            <v>Odie exception</v>
          </cell>
          <cell r="F1117" t="str">
            <v>J2X04AA#ABA</v>
          </cell>
        </row>
        <row r="1118">
          <cell r="B1118" t="str">
            <v>Odie exception</v>
          </cell>
        </row>
        <row r="1119">
          <cell r="B1119" t="str">
            <v>Nanjing</v>
          </cell>
          <cell r="F1119" t="str">
            <v>2UN30AA#ABL</v>
          </cell>
        </row>
        <row r="1120">
          <cell r="B1120" t="str">
            <v>Nanjing</v>
          </cell>
          <cell r="F1120" t="str">
            <v>2UN30AA#ABL</v>
          </cell>
        </row>
        <row r="1121">
          <cell r="B1121" t="str">
            <v>Nanjing</v>
          </cell>
          <cell r="F1121" t="str">
            <v>2UN30AA#ABL</v>
          </cell>
        </row>
        <row r="1122">
          <cell r="B1122" t="str">
            <v>Nanjing</v>
          </cell>
          <cell r="F1122" t="str">
            <v>2UN30AA#UUF</v>
          </cell>
        </row>
        <row r="1123">
          <cell r="B1123" t="str">
            <v>Nanjing</v>
          </cell>
          <cell r="F1123" t="str">
            <v>2UN30AA#UUF</v>
          </cell>
        </row>
        <row r="1124">
          <cell r="B1124" t="str">
            <v>Nanjing</v>
          </cell>
          <cell r="F1124" t="str">
            <v>2UN30AA#AB0</v>
          </cell>
        </row>
        <row r="1125">
          <cell r="B1125" t="str">
            <v>Nanjing</v>
          </cell>
          <cell r="F1125" t="str">
            <v>2UN30AA#AB2</v>
          </cell>
        </row>
        <row r="1126">
          <cell r="B1126" t="str">
            <v>Nanjing</v>
          </cell>
          <cell r="F1126" t="str">
            <v>2UN30AA#ACJ</v>
          </cell>
        </row>
        <row r="1127">
          <cell r="B1127" t="str">
            <v>Nanjing</v>
          </cell>
          <cell r="F1127" t="str">
            <v>2UN30AA#ACJ</v>
          </cell>
        </row>
        <row r="1128">
          <cell r="B1128" t="str">
            <v>Nanjing</v>
          </cell>
          <cell r="F1128" t="str">
            <v>2UN30AA#ABM</v>
          </cell>
        </row>
        <row r="1129">
          <cell r="B1129" t="str">
            <v>Nanjing</v>
          </cell>
          <cell r="F1129" t="str">
            <v>2UN30AA#ABM</v>
          </cell>
        </row>
        <row r="1130">
          <cell r="B1130" t="str">
            <v>Nanjing</v>
          </cell>
          <cell r="F1130" t="str">
            <v>2UN30AA#ABM</v>
          </cell>
        </row>
        <row r="1131">
          <cell r="B1131" t="str">
            <v>Nanjing</v>
          </cell>
          <cell r="F1131" t="str">
            <v>2UN30AA#AC4</v>
          </cell>
        </row>
        <row r="1132">
          <cell r="B1132" t="str">
            <v>Nanjing</v>
          </cell>
          <cell r="F1132" t="str">
            <v>2UN30AA#AC4</v>
          </cell>
        </row>
        <row r="1133">
          <cell r="B1133" t="str">
            <v>Nanjing</v>
          </cell>
          <cell r="F1133" t="str">
            <v>2UN30AA#AC3</v>
          </cell>
        </row>
        <row r="1134">
          <cell r="B1134" t="str">
            <v>Nanjing</v>
          </cell>
          <cell r="F1134" t="str">
            <v>L07896-161</v>
          </cell>
        </row>
        <row r="1135">
          <cell r="B1135" t="str">
            <v>Nanjing</v>
          </cell>
          <cell r="F1135" t="str">
            <v>L07896-201</v>
          </cell>
        </row>
        <row r="1136">
          <cell r="B1136" t="str">
            <v>Nanjing</v>
          </cell>
          <cell r="F1136" t="str">
            <v>2UN30AA (L07896-371)</v>
          </cell>
        </row>
        <row r="1137">
          <cell r="B1137" t="str">
            <v>Nanjing</v>
          </cell>
          <cell r="F1137" t="str">
            <v>2UN30AA (L07896-D61)</v>
          </cell>
        </row>
        <row r="1138">
          <cell r="B1138" t="str">
            <v>Nanjing</v>
          </cell>
          <cell r="F1138" t="str">
            <v>2UN30AA (L07896-DB1)</v>
          </cell>
        </row>
        <row r="1139">
          <cell r="B1139" t="str">
            <v>Nanjing 廠內</v>
          </cell>
          <cell r="F1139" t="str">
            <v>2UN30AA#ABL</v>
          </cell>
        </row>
        <row r="1140">
          <cell r="B1140" t="str">
            <v>Nanjing 廠內</v>
          </cell>
          <cell r="F1140" t="str">
            <v>2UN30AA#UUF</v>
          </cell>
        </row>
        <row r="1141">
          <cell r="B1141" t="str">
            <v>Nanjing 廠內</v>
          </cell>
          <cell r="F1141" t="str">
            <v>2UN30AA#ACJ</v>
          </cell>
        </row>
        <row r="1142">
          <cell r="B1142" t="str">
            <v>Nanjing 廠內</v>
          </cell>
          <cell r="F1142" t="str">
            <v>2UN30AA#ABM</v>
          </cell>
        </row>
        <row r="1143">
          <cell r="B1143" t="str">
            <v>Nanjing 廠內</v>
          </cell>
          <cell r="F1143" t="str">
            <v>2UN30AA#AC4</v>
          </cell>
        </row>
        <row r="1144">
          <cell r="B1144" t="str">
            <v>Nanjing 廠內</v>
          </cell>
          <cell r="F1144" t="str">
            <v>2UN30AA#AC3</v>
          </cell>
        </row>
        <row r="1145">
          <cell r="B1145" t="str">
            <v>Nanjing 廠內</v>
          </cell>
          <cell r="F1145" t="str">
            <v>2UN30AA (L07896-371)</v>
          </cell>
        </row>
        <row r="1146">
          <cell r="B1146" t="str">
            <v>Nanjing 廠內</v>
          </cell>
          <cell r="F1146" t="str">
            <v>2UN30AA (L07896-D61)</v>
          </cell>
        </row>
        <row r="1147">
          <cell r="B1147" t="str">
            <v>Nanjing 廠內</v>
          </cell>
          <cell r="F1147" t="str">
            <v>2UN30AA (L07896-DB1)</v>
          </cell>
        </row>
        <row r="1148">
          <cell r="B1148" t="str">
            <v>Nanjing</v>
          </cell>
        </row>
        <row r="1149">
          <cell r="B1149" t="str">
            <v>Nanpur</v>
          </cell>
          <cell r="F1149" t="str">
            <v>6HD76AA#ACJ</v>
          </cell>
        </row>
        <row r="1150">
          <cell r="B1150" t="str">
            <v>Nanpur</v>
          </cell>
          <cell r="F1150" t="str">
            <v>6HD76AA#ACJ</v>
          </cell>
        </row>
        <row r="1151">
          <cell r="B1151" t="str">
            <v>Nanpur</v>
          </cell>
          <cell r="F1151" t="str">
            <v>6HD76AA#ABM</v>
          </cell>
        </row>
        <row r="1152">
          <cell r="B1152" t="str">
            <v>Nanpur</v>
          </cell>
          <cell r="F1152" t="str">
            <v>6HD76AA#ABM</v>
          </cell>
        </row>
        <row r="1153">
          <cell r="B1153" t="str">
            <v>Nanpur</v>
          </cell>
          <cell r="F1153" t="str">
            <v>6HD76AA#AC4</v>
          </cell>
        </row>
        <row r="1154">
          <cell r="B1154" t="str">
            <v>Nanpur</v>
          </cell>
          <cell r="F1154" t="str">
            <v>單顆滑鼠</v>
          </cell>
        </row>
        <row r="1155">
          <cell r="B1155" t="str">
            <v>Nanpur</v>
          </cell>
          <cell r="F1155" t="str">
            <v>6HD76AA#AC3</v>
          </cell>
        </row>
        <row r="1156">
          <cell r="B1156" t="str">
            <v>Nanpur 廠內</v>
          </cell>
          <cell r="F1156" t="str">
            <v>6HD76AA#ACJ</v>
          </cell>
        </row>
        <row r="1157">
          <cell r="B1157" t="str">
            <v>Nanpur 廠內</v>
          </cell>
          <cell r="F1157" t="str">
            <v>6HD76AA#ABM</v>
          </cell>
        </row>
        <row r="1158">
          <cell r="B1158" t="str">
            <v>Nanpur 廠內</v>
          </cell>
          <cell r="F1158" t="str">
            <v>6HD76AA#AC4</v>
          </cell>
        </row>
        <row r="1159">
          <cell r="B1159" t="str">
            <v>Nanpur 廠內</v>
          </cell>
          <cell r="F1159" t="str">
            <v>6HD76AA#AC3</v>
          </cell>
        </row>
        <row r="1160">
          <cell r="B1160" t="str">
            <v>Nanpur</v>
          </cell>
        </row>
        <row r="1161">
          <cell r="B1161" t="str">
            <v>Phuket</v>
          </cell>
          <cell r="F1161" t="str">
            <v>5JS06AA#UUF</v>
          </cell>
        </row>
        <row r="1162">
          <cell r="B1162" t="str">
            <v>Phuket</v>
          </cell>
          <cell r="F1162" t="str">
            <v>5JS06AA#ABL</v>
          </cell>
        </row>
        <row r="1163">
          <cell r="B1163" t="str">
            <v>Phuket</v>
          </cell>
          <cell r="F1163" t="str">
            <v>5JS06AA#ABB</v>
          </cell>
        </row>
        <row r="1164">
          <cell r="B1164" t="str">
            <v>Phuket</v>
          </cell>
          <cell r="F1164" t="str">
            <v>5JS06AA#ABD</v>
          </cell>
        </row>
        <row r="1165">
          <cell r="B1165" t="str">
            <v>Phuket</v>
          </cell>
          <cell r="F1165" t="str">
            <v>5JS06AA#ABE</v>
          </cell>
        </row>
        <row r="1166">
          <cell r="B1166" t="str">
            <v>Phuket</v>
          </cell>
          <cell r="F1166" t="str">
            <v>5JS06AA#ABF</v>
          </cell>
        </row>
        <row r="1167">
          <cell r="B1167" t="str">
            <v>Phuket</v>
          </cell>
          <cell r="F1167" t="str">
            <v>5JS06AA#ABU</v>
          </cell>
        </row>
        <row r="1168">
          <cell r="B1168" t="str">
            <v>Phuket</v>
          </cell>
          <cell r="F1168" t="str">
            <v>5JS06AA#ABV</v>
          </cell>
        </row>
        <row r="1169">
          <cell r="B1169" t="str">
            <v>Phuket</v>
          </cell>
          <cell r="F1169" t="str">
            <v>5JS06AA#ABZ</v>
          </cell>
        </row>
        <row r="1170">
          <cell r="B1170" t="str">
            <v>Phuket</v>
          </cell>
          <cell r="F1170" t="str">
            <v>5JS06AA#ACB</v>
          </cell>
        </row>
        <row r="1171">
          <cell r="B1171" t="str">
            <v>Phuket</v>
          </cell>
          <cell r="F1171" t="str">
            <v>5JS06AA#UUW</v>
          </cell>
        </row>
        <row r="1172">
          <cell r="B1172" t="str">
            <v>Phuket</v>
          </cell>
          <cell r="F1172" t="str">
            <v>5JS06AA#UUZ</v>
          </cell>
        </row>
        <row r="1173">
          <cell r="B1173" t="str">
            <v>Phuket</v>
          </cell>
          <cell r="F1173" t="str">
            <v>5JS06AA#AB9</v>
          </cell>
        </row>
        <row r="1174">
          <cell r="B1174" t="str">
            <v>Phuket</v>
          </cell>
          <cell r="F1174" t="str">
            <v>5JS06AA#ABT</v>
          </cell>
        </row>
        <row r="1175">
          <cell r="B1175" t="str">
            <v>Phuket</v>
          </cell>
          <cell r="F1175" t="str">
            <v>5JS06AA#AB8</v>
          </cell>
        </row>
        <row r="1176">
          <cell r="B1176" t="str">
            <v>Phuket</v>
          </cell>
        </row>
        <row r="1177">
          <cell r="B1177" t="str">
            <v>ElephantaKB</v>
          </cell>
          <cell r="F1177" t="str">
            <v>664R5AA#AC3</v>
          </cell>
        </row>
        <row r="1178">
          <cell r="B1178" t="str">
            <v>ElephantaKB</v>
          </cell>
          <cell r="F1178" t="str">
            <v>664R5AA#UUF</v>
          </cell>
        </row>
        <row r="1179">
          <cell r="B1179" t="str">
            <v>ElephantaKB</v>
          </cell>
          <cell r="F1179" t="str">
            <v>664R5AA#ACJ</v>
          </cell>
        </row>
        <row r="1180">
          <cell r="B1180" t="str">
            <v>ElephantaKB</v>
          </cell>
          <cell r="F1180" t="str">
            <v>664R5AA#AC4</v>
          </cell>
        </row>
        <row r="1181">
          <cell r="B1181" t="str">
            <v>ElephantaKB</v>
          </cell>
          <cell r="F1181" t="str">
            <v>664R5AA#ABM</v>
          </cell>
        </row>
        <row r="1182">
          <cell r="B1182" t="str">
            <v>ElephantaKB</v>
          </cell>
          <cell r="F1182" t="str">
            <v>664R5AA#ABL</v>
          </cell>
        </row>
        <row r="1183">
          <cell r="B1183" t="str">
            <v>ElephantaKB</v>
          </cell>
          <cell r="F1183" t="str">
            <v>M27366-D61</v>
          </cell>
        </row>
        <row r="1184">
          <cell r="B1184" t="str">
            <v>ElephantaKB</v>
          </cell>
        </row>
        <row r="1185">
          <cell r="B1185" t="str">
            <v>Capri</v>
          </cell>
          <cell r="F1185" t="str">
            <v>9DF28AA#ABL</v>
          </cell>
        </row>
        <row r="1186">
          <cell r="B1186" t="str">
            <v>Capri</v>
          </cell>
          <cell r="F1186" t="str">
            <v>9DF28AA#UUF</v>
          </cell>
        </row>
        <row r="1187">
          <cell r="B1187" t="str">
            <v>Capri</v>
          </cell>
          <cell r="F1187" t="str">
            <v>9DF28AA#AC4</v>
          </cell>
        </row>
        <row r="1188">
          <cell r="B1188" t="str">
            <v>Capri</v>
          </cell>
          <cell r="F1188" t="str">
            <v>9DF28AA#AC3</v>
          </cell>
        </row>
        <row r="1189">
          <cell r="B1189" t="str">
            <v>Capri 廠內</v>
          </cell>
          <cell r="F1189" t="str">
            <v>9DF28AA#ABL</v>
          </cell>
        </row>
        <row r="1190">
          <cell r="B1190" t="str">
            <v>Capri 廠內</v>
          </cell>
          <cell r="F1190" t="str">
            <v>9DF28AA#UUF</v>
          </cell>
        </row>
        <row r="1191">
          <cell r="B1191" t="str">
            <v>Capri 廠內</v>
          </cell>
          <cell r="F1191" t="str">
            <v>9DF28AA#AC4</v>
          </cell>
        </row>
        <row r="1192">
          <cell r="B1192" t="str">
            <v>Capri 廠內</v>
          </cell>
          <cell r="F1192" t="str">
            <v>9DF28AA#AC3</v>
          </cell>
        </row>
        <row r="1193">
          <cell r="B1193" t="str">
            <v>Capri</v>
          </cell>
        </row>
        <row r="1194">
          <cell r="B1194" t="str">
            <v>Elephanta</v>
          </cell>
          <cell r="F1194" t="str">
            <v>240J7AA#ABB</v>
          </cell>
        </row>
        <row r="1195">
          <cell r="B1195" t="str">
            <v>Elephanta</v>
          </cell>
          <cell r="F1195" t="str">
            <v>240J7AA#ABD</v>
          </cell>
        </row>
        <row r="1196">
          <cell r="B1196" t="str">
            <v>Elephanta</v>
          </cell>
          <cell r="F1196" t="str">
            <v>240J7AA#ABV</v>
          </cell>
        </row>
        <row r="1197">
          <cell r="B1197" t="str">
            <v>Elephanta</v>
          </cell>
          <cell r="F1197" t="str">
            <v>240J7AA#ACB</v>
          </cell>
        </row>
        <row r="1198">
          <cell r="B1198" t="str">
            <v>Elephanta</v>
          </cell>
          <cell r="F1198" t="str">
            <v>240J7AA#UUF</v>
          </cell>
        </row>
        <row r="1199">
          <cell r="B1199" t="str">
            <v>Elephanta</v>
          </cell>
          <cell r="F1199" t="str">
            <v>240J7AA#UUF</v>
          </cell>
        </row>
        <row r="1200">
          <cell r="B1200" t="str">
            <v>Elephanta</v>
          </cell>
          <cell r="F1200" t="str">
            <v>240J7AA#AB2</v>
          </cell>
        </row>
        <row r="1201">
          <cell r="B1201" t="str">
            <v>Elephanta</v>
          </cell>
          <cell r="F1201" t="str">
            <v>240J7AA#ACJ</v>
          </cell>
        </row>
        <row r="1202">
          <cell r="B1202" t="str">
            <v>Elephanta</v>
          </cell>
          <cell r="F1202" t="str">
            <v>240J7AA#AC4</v>
          </cell>
        </row>
        <row r="1203">
          <cell r="B1203" t="str">
            <v>Elephanta</v>
          </cell>
          <cell r="F1203" t="str">
            <v>240J7AA#AC4</v>
          </cell>
        </row>
        <row r="1204">
          <cell r="B1204" t="str">
            <v>Elephanta</v>
          </cell>
          <cell r="F1204" t="str">
            <v>240J7AA#ABM</v>
          </cell>
        </row>
        <row r="1205">
          <cell r="B1205" t="str">
            <v>Elephanta</v>
          </cell>
          <cell r="F1205" t="str">
            <v>240J7AA#ABM</v>
          </cell>
        </row>
        <row r="1206">
          <cell r="B1206" t="str">
            <v>Elephanta 客供IC</v>
          </cell>
          <cell r="F1206" t="str">
            <v>240J7AA#ABB</v>
          </cell>
        </row>
        <row r="1207">
          <cell r="B1207" t="str">
            <v>Elephanta 客供IC</v>
          </cell>
          <cell r="F1207" t="str">
            <v>240J7AA#ABD</v>
          </cell>
        </row>
        <row r="1208">
          <cell r="B1208" t="str">
            <v>Elephanta 客供IC</v>
          </cell>
          <cell r="F1208" t="str">
            <v>240J7AA#ABV</v>
          </cell>
        </row>
        <row r="1209">
          <cell r="B1209" t="str">
            <v>Elephanta 客供IC</v>
          </cell>
          <cell r="F1209" t="str">
            <v>240J7AA#ACB</v>
          </cell>
        </row>
        <row r="1210">
          <cell r="B1210" t="str">
            <v>Elephanta 客供IC</v>
          </cell>
          <cell r="F1210" t="str">
            <v>240J7AA#UUF</v>
          </cell>
        </row>
        <row r="1211">
          <cell r="B1211" t="str">
            <v>Elephanta 客供IC</v>
          </cell>
          <cell r="F1211" t="str">
            <v>240J7AA#UUF</v>
          </cell>
        </row>
        <row r="1212">
          <cell r="B1212" t="str">
            <v>Elephanta 客供IC</v>
          </cell>
          <cell r="F1212" t="str">
            <v>240J7AA#AB2</v>
          </cell>
        </row>
        <row r="1213">
          <cell r="B1213" t="str">
            <v>Elephanta 客供IC</v>
          </cell>
          <cell r="F1213" t="str">
            <v>240J7AA#ACJ</v>
          </cell>
        </row>
        <row r="1214">
          <cell r="B1214" t="str">
            <v>Elephanta 客供IC</v>
          </cell>
          <cell r="F1214" t="str">
            <v>240J7AA#AC4</v>
          </cell>
        </row>
        <row r="1215">
          <cell r="B1215" t="str">
            <v>Elephanta 客供IC</v>
          </cell>
          <cell r="F1215" t="str">
            <v>240J7AA#AC4</v>
          </cell>
        </row>
        <row r="1216">
          <cell r="B1216" t="str">
            <v>Elephanta 客供IC</v>
          </cell>
          <cell r="F1216" t="str">
            <v>240J7AA#ABM</v>
          </cell>
        </row>
        <row r="1217">
          <cell r="B1217" t="str">
            <v>Elephanta 客供IC</v>
          </cell>
          <cell r="F1217" t="str">
            <v>240J7AA#ABM</v>
          </cell>
        </row>
        <row r="1218">
          <cell r="B1218" t="str">
            <v>Elephanta</v>
          </cell>
        </row>
        <row r="1219">
          <cell r="B1219" t="str">
            <v>Elephanta refresh</v>
          </cell>
          <cell r="F1219" t="str">
            <v>240J7AA#ABB</v>
          </cell>
        </row>
        <row r="1220">
          <cell r="B1220" t="str">
            <v>Elephanta refresh</v>
          </cell>
          <cell r="F1220" t="str">
            <v>240J7AA#ABD</v>
          </cell>
        </row>
        <row r="1221">
          <cell r="B1221" t="str">
            <v>Elephanta refresh</v>
          </cell>
          <cell r="F1221" t="str">
            <v>240J7AA#ABV</v>
          </cell>
        </row>
        <row r="1222">
          <cell r="B1222" t="str">
            <v>Elephanta refresh</v>
          </cell>
          <cell r="F1222" t="str">
            <v>240J7AA#ACB</v>
          </cell>
        </row>
        <row r="1223">
          <cell r="B1223" t="str">
            <v>Elephanta refresh</v>
          </cell>
          <cell r="F1223" t="str">
            <v>240J7AA#UUF</v>
          </cell>
        </row>
        <row r="1224">
          <cell r="B1224" t="str">
            <v>Elephanta refresh</v>
          </cell>
          <cell r="F1224" t="str">
            <v>240J7AA#UUF</v>
          </cell>
        </row>
        <row r="1225">
          <cell r="B1225" t="str">
            <v>Elephanta refresh</v>
          </cell>
          <cell r="F1225" t="str">
            <v>240J7AA#AB2</v>
          </cell>
        </row>
        <row r="1226">
          <cell r="B1226" t="str">
            <v>Elephanta refresh</v>
          </cell>
          <cell r="F1226" t="str">
            <v>240J7AA#ACJ</v>
          </cell>
        </row>
        <row r="1227">
          <cell r="B1227" t="str">
            <v>Elephanta refresh</v>
          </cell>
          <cell r="F1227" t="str">
            <v>240J7AA#AC4</v>
          </cell>
        </row>
        <row r="1228">
          <cell r="B1228" t="str">
            <v>Elephanta refresh</v>
          </cell>
          <cell r="F1228" t="str">
            <v>240J7AA#AC4</v>
          </cell>
        </row>
        <row r="1229">
          <cell r="B1229" t="str">
            <v>Elephanta refresh</v>
          </cell>
          <cell r="F1229" t="str">
            <v>240J7AA#ABM</v>
          </cell>
        </row>
        <row r="1230">
          <cell r="B1230" t="str">
            <v>Elephanta refresh</v>
          </cell>
          <cell r="F1230" t="str">
            <v>240J7AA#ABM</v>
          </cell>
        </row>
        <row r="1231">
          <cell r="B1231" t="str">
            <v>Elephanta refresh</v>
          </cell>
          <cell r="F1231" t="str">
            <v>240J7AA#ABL</v>
          </cell>
        </row>
        <row r="1232">
          <cell r="B1232" t="str">
            <v>Elephanta refresh</v>
          </cell>
          <cell r="F1232" t="str">
            <v>240J7AA#AC3</v>
          </cell>
        </row>
        <row r="1233">
          <cell r="B1233" t="str">
            <v>CPS Elephanta refresh</v>
          </cell>
        </row>
        <row r="1234">
          <cell r="B1234" t="str">
            <v>ElephantaBPS</v>
          </cell>
          <cell r="F1234" t="str">
            <v>5B8C0AA#ACJ</v>
          </cell>
        </row>
        <row r="1235">
          <cell r="B1235" t="str">
            <v>BPS Elephanta refresh</v>
          </cell>
        </row>
        <row r="1236">
          <cell r="B1236" t="str">
            <v>Sutter</v>
          </cell>
          <cell r="F1236" t="str">
            <v>3A7E7AV</v>
          </cell>
        </row>
        <row r="1237">
          <cell r="B1237" t="str">
            <v>Sutter</v>
          </cell>
          <cell r="F1237" t="str">
            <v>3A7E7AV</v>
          </cell>
        </row>
        <row r="1238">
          <cell r="B1238" t="str">
            <v>Sutter</v>
          </cell>
          <cell r="F1238" t="str">
            <v>3A7E7AV</v>
          </cell>
        </row>
        <row r="1239">
          <cell r="B1239" t="str">
            <v>Sutter</v>
          </cell>
        </row>
        <row r="1240">
          <cell r="B1240" t="str">
            <v>Sonoma</v>
          </cell>
          <cell r="F1240" t="str">
            <v>3A7E8AV</v>
          </cell>
        </row>
        <row r="1241">
          <cell r="B1241" t="str">
            <v>Sonoma</v>
          </cell>
          <cell r="F1241" t="str">
            <v>3A7E8AV</v>
          </cell>
        </row>
        <row r="1242">
          <cell r="B1242" t="str">
            <v>Sonoma</v>
          </cell>
          <cell r="F1242" t="str">
            <v>3A7E8AV</v>
          </cell>
        </row>
        <row r="1243">
          <cell r="B1243" t="str">
            <v>Sonoma</v>
          </cell>
        </row>
        <row r="1244">
          <cell r="B1244" t="str">
            <v>Val Ventura</v>
          </cell>
          <cell r="F1244" t="str">
            <v>4X491AA#AC3</v>
          </cell>
        </row>
        <row r="1245">
          <cell r="B1245" t="str">
            <v>Val Ventura</v>
          </cell>
          <cell r="F1245" t="str">
            <v>4X491AA#AC3</v>
          </cell>
        </row>
        <row r="1246">
          <cell r="B1246" t="str">
            <v>Val Ventura</v>
          </cell>
          <cell r="F1246" t="str">
            <v>4X491AA#AC3</v>
          </cell>
        </row>
        <row r="1247">
          <cell r="B1247" t="str">
            <v>Val Ventura</v>
          </cell>
        </row>
        <row r="1248">
          <cell r="F1248" t="str">
            <v>3.26.0A183</v>
          </cell>
        </row>
        <row r="1250">
          <cell r="B1250" t="str">
            <v>Jackson</v>
          </cell>
          <cell r="F1250" t="str">
            <v>428H5AA#ABB</v>
          </cell>
        </row>
        <row r="1251">
          <cell r="B1251" t="str">
            <v>Jackson</v>
          </cell>
          <cell r="F1251" t="str">
            <v>428H5AA#UUF</v>
          </cell>
        </row>
        <row r="1252">
          <cell r="B1252" t="str">
            <v>Jackson</v>
          </cell>
          <cell r="F1252" t="str">
            <v>428H5AA#ABL</v>
          </cell>
        </row>
        <row r="1253">
          <cell r="B1253" t="str">
            <v>Jackson</v>
          </cell>
          <cell r="F1253" t="str">
            <v>428K6AA-EMEA</v>
          </cell>
        </row>
        <row r="1254">
          <cell r="B1254" t="str">
            <v>Jackson</v>
          </cell>
          <cell r="F1254" t="str">
            <v>428K6AA</v>
          </cell>
        </row>
        <row r="1255">
          <cell r="B1255" t="str">
            <v>Jackson</v>
          </cell>
          <cell r="F1255" t="str">
            <v>428K6UT</v>
          </cell>
        </row>
        <row r="1256">
          <cell r="B1256" t="str">
            <v>Jackson</v>
          </cell>
          <cell r="F1256" t="str">
            <v>428K6PT#ACJ</v>
          </cell>
        </row>
        <row r="1257">
          <cell r="B1257" t="str">
            <v>Jackson</v>
          </cell>
          <cell r="F1257" t="str">
            <v>M73287-001</v>
          </cell>
        </row>
        <row r="1258">
          <cell r="B1258" t="str">
            <v>Jackson</v>
          </cell>
          <cell r="F1258" t="str">
            <v>M73287-001</v>
          </cell>
        </row>
        <row r="1259">
          <cell r="B1259" t="str">
            <v>Jackson</v>
          </cell>
        </row>
        <row r="1260">
          <cell r="B1260" t="str">
            <v>POP</v>
          </cell>
          <cell r="F1260" t="str">
            <v>428H6AA#ABB</v>
          </cell>
        </row>
        <row r="1261">
          <cell r="B1261" t="str">
            <v>POP</v>
          </cell>
          <cell r="F1261" t="str">
            <v>428H6AA#UUF</v>
          </cell>
        </row>
        <row r="1262">
          <cell r="B1262" t="str">
            <v>POP</v>
          </cell>
          <cell r="F1262" t="str">
            <v>428H6AA#ABL</v>
          </cell>
        </row>
        <row r="1263">
          <cell r="B1263" t="str">
            <v>POP</v>
          </cell>
          <cell r="F1263" t="str">
            <v>428K7AA-EMEA</v>
          </cell>
        </row>
        <row r="1264">
          <cell r="B1264" t="str">
            <v>POP</v>
          </cell>
          <cell r="F1264" t="str">
            <v>428K7AA</v>
          </cell>
        </row>
        <row r="1265">
          <cell r="B1265" t="str">
            <v>POP</v>
          </cell>
          <cell r="F1265" t="str">
            <v>428K7UT</v>
          </cell>
        </row>
        <row r="1266">
          <cell r="B1266" t="str">
            <v>POP</v>
          </cell>
          <cell r="F1266" t="str">
            <v>428K7PT#ACJ</v>
          </cell>
        </row>
        <row r="1267">
          <cell r="B1267" t="str">
            <v>POP</v>
          </cell>
          <cell r="F1267" t="str">
            <v>N55705-001</v>
          </cell>
        </row>
        <row r="1268">
          <cell r="B1268" t="str">
            <v>POP</v>
          </cell>
        </row>
        <row r="1269">
          <cell r="B1269" t="str">
            <v>Nala</v>
          </cell>
          <cell r="F1269" t="str">
            <v>2D799AA#ABL</v>
          </cell>
        </row>
        <row r="1270">
          <cell r="B1270" t="str">
            <v>Nala</v>
          </cell>
          <cell r="F1270" t="str">
            <v>2D799AA#ABB</v>
          </cell>
        </row>
        <row r="1271">
          <cell r="B1271" t="str">
            <v>Nala</v>
          </cell>
          <cell r="F1271" t="str">
            <v>2D799AA#UUF</v>
          </cell>
        </row>
        <row r="1272">
          <cell r="B1272" t="str">
            <v>Nala</v>
          </cell>
          <cell r="F1272" t="str">
            <v>2D800AA#ABL</v>
          </cell>
        </row>
        <row r="1273">
          <cell r="B1273" t="str">
            <v>Nala</v>
          </cell>
          <cell r="F1273" t="str">
            <v>2D801AA#ABL</v>
          </cell>
        </row>
        <row r="1274">
          <cell r="B1274" t="str">
            <v>Nala</v>
          </cell>
          <cell r="F1274" t="str">
            <v>2D801AA#UUF</v>
          </cell>
        </row>
        <row r="1275">
          <cell r="B1275" t="str">
            <v>Nala</v>
          </cell>
          <cell r="F1275" t="str">
            <v>567D3AA#ACJ</v>
          </cell>
        </row>
        <row r="1276">
          <cell r="B1276" t="str">
            <v>Nala</v>
          </cell>
        </row>
        <row r="1277">
          <cell r="B1277" t="str">
            <v>Simba</v>
          </cell>
          <cell r="F1277" t="str">
            <v>2D802AA#ABB</v>
          </cell>
        </row>
        <row r="1278">
          <cell r="B1278" t="str">
            <v>Simba</v>
          </cell>
          <cell r="F1278" t="str">
            <v>2D802AA#UUF</v>
          </cell>
        </row>
        <row r="1279">
          <cell r="B1279" t="str">
            <v>Simba</v>
          </cell>
          <cell r="F1279" t="str">
            <v>2D803AA#ABB</v>
          </cell>
        </row>
        <row r="1280">
          <cell r="B1280" t="str">
            <v>Simba</v>
          </cell>
          <cell r="F1280" t="str">
            <v>2D804AA#ABB</v>
          </cell>
        </row>
        <row r="1281">
          <cell r="B1281" t="str">
            <v>Simba</v>
          </cell>
          <cell r="F1281" t="str">
            <v>2D804AA#UUF</v>
          </cell>
        </row>
        <row r="1282">
          <cell r="B1282" t="str">
            <v>Simba</v>
          </cell>
        </row>
        <row r="1283">
          <cell r="B1283" t="str">
            <v>Saban Lite</v>
          </cell>
          <cell r="F1283" t="str">
            <v>53X26AA#ABL</v>
          </cell>
        </row>
        <row r="1284">
          <cell r="B1284" t="str">
            <v>Saban Lite</v>
          </cell>
          <cell r="F1284" t="str">
            <v>53X26AA#ABB</v>
          </cell>
        </row>
        <row r="1285">
          <cell r="B1285" t="str">
            <v>Saban Lite</v>
          </cell>
          <cell r="F1285" t="str">
            <v>53X26AA#UUF</v>
          </cell>
        </row>
        <row r="1286">
          <cell r="B1286" t="str">
            <v>Saban Lite</v>
          </cell>
          <cell r="F1286" t="str">
            <v>53X27AA-EMEA</v>
          </cell>
        </row>
        <row r="1287">
          <cell r="B1287" t="str">
            <v>Saban Lite</v>
          </cell>
          <cell r="F1287" t="str">
            <v>53X27AA</v>
          </cell>
        </row>
        <row r="1288">
          <cell r="B1288" t="str">
            <v>Saban Lite</v>
          </cell>
          <cell r="F1288" t="str">
            <v>53X27PT#ACJ</v>
          </cell>
        </row>
        <row r="1289">
          <cell r="B1289" t="str">
            <v>Saban Lite</v>
          </cell>
          <cell r="F1289" t="str">
            <v>53X27PT#AR6</v>
          </cell>
        </row>
        <row r="1290">
          <cell r="B1290" t="str">
            <v>Saban Lite</v>
          </cell>
          <cell r="F1290" t="str">
            <v>M97588-001</v>
          </cell>
        </row>
        <row r="1291">
          <cell r="B1291" t="str">
            <v>Saban Lite</v>
          </cell>
        </row>
        <row r="1292">
          <cell r="B1292" t="str">
            <v>Bright</v>
          </cell>
          <cell r="F1292" t="str">
            <v>77B10AA#ABA</v>
          </cell>
        </row>
        <row r="1293">
          <cell r="B1293" t="str">
            <v>Bright</v>
          </cell>
          <cell r="F1293" t="str">
            <v>77B10AA#ABB</v>
          </cell>
        </row>
        <row r="1294">
          <cell r="B1294" t="str">
            <v>Bright</v>
          </cell>
          <cell r="F1294" t="str">
            <v>77B10AA#UUF</v>
          </cell>
        </row>
        <row r="1295">
          <cell r="B1295" t="str">
            <v>Bright</v>
          </cell>
          <cell r="F1295" t="str">
            <v>77B11AA#ABA</v>
          </cell>
        </row>
        <row r="1296">
          <cell r="B1296" t="str">
            <v>Bright</v>
          </cell>
          <cell r="F1296" t="str">
            <v>77B11AA#ABB</v>
          </cell>
        </row>
        <row r="1297">
          <cell r="B1297" t="str">
            <v>Bright</v>
          </cell>
          <cell r="F1297" t="str">
            <v>77B11AA#UUF</v>
          </cell>
        </row>
        <row r="1298">
          <cell r="B1298" t="str">
            <v>Bright</v>
          </cell>
        </row>
        <row r="1299">
          <cell r="B1299" t="str">
            <v>Topaz</v>
          </cell>
          <cell r="F1299" t="str">
            <v>H6Z97AA#ABA</v>
          </cell>
        </row>
        <row r="1300">
          <cell r="B1300" t="str">
            <v>Topaz</v>
          </cell>
          <cell r="F1300" t="str">
            <v>H6Z97AA#ABB</v>
          </cell>
        </row>
        <row r="1301">
          <cell r="B1301" t="str">
            <v>Topaz</v>
          </cell>
          <cell r="F1301" t="str">
            <v>H6Z97AA#ABL</v>
          </cell>
        </row>
        <row r="1302">
          <cell r="B1302" t="str">
            <v>Topaz</v>
          </cell>
          <cell r="F1302" t="str">
            <v>H6Z97AA#UUF</v>
          </cell>
        </row>
        <row r="1303">
          <cell r="B1303" t="str">
            <v>Topaz</v>
          </cell>
          <cell r="F1303" t="str">
            <v>G1Y51AA#ABB</v>
          </cell>
        </row>
        <row r="1304">
          <cell r="B1304" t="str">
            <v>Topaz</v>
          </cell>
          <cell r="F1304" t="str">
            <v>G1Y51AA#UUF</v>
          </cell>
        </row>
        <row r="1305">
          <cell r="B1305" t="str">
            <v>Topaz</v>
          </cell>
        </row>
        <row r="1306">
          <cell r="B1306" t="str">
            <v>Leghorn</v>
          </cell>
          <cell r="F1306" t="str">
            <v>1KF76AA#ABL</v>
          </cell>
        </row>
        <row r="1307">
          <cell r="B1307" t="str">
            <v>Leghorn</v>
          </cell>
          <cell r="F1307" t="str">
            <v>1KF76AA#ABL</v>
          </cell>
        </row>
        <row r="1308">
          <cell r="B1308" t="str">
            <v>Leghorn</v>
          </cell>
          <cell r="F1308" t="str">
            <v>1KF76AA#ABL</v>
          </cell>
        </row>
        <row r="1309">
          <cell r="B1309" t="str">
            <v>Leghorn</v>
          </cell>
          <cell r="F1309" t="str">
            <v>1KF76AA#ABB</v>
          </cell>
        </row>
        <row r="1310">
          <cell r="B1310" t="str">
            <v>Leghorn</v>
          </cell>
          <cell r="F1310" t="str">
            <v>1KF76AA#UUF</v>
          </cell>
        </row>
        <row r="1311">
          <cell r="B1311" t="str">
            <v>Leghorn</v>
          </cell>
          <cell r="F1311" t="str">
            <v>1KF76AA#UUF</v>
          </cell>
        </row>
        <row r="1312">
          <cell r="B1312" t="str">
            <v>Leghorn</v>
          </cell>
          <cell r="F1312" t="str">
            <v>1KF76AA#ABL</v>
          </cell>
        </row>
        <row r="1313">
          <cell r="B1313" t="str">
            <v>Leghorn</v>
          </cell>
          <cell r="F1313" t="str">
            <v>1KF76AA#ABL</v>
          </cell>
        </row>
        <row r="1314">
          <cell r="B1314" t="str">
            <v>Leghorn</v>
          </cell>
          <cell r="F1314" t="str">
            <v>1KF76AA#ABL</v>
          </cell>
        </row>
        <row r="1315">
          <cell r="B1315" t="str">
            <v>Leghorn</v>
          </cell>
          <cell r="F1315" t="str">
            <v>1KF76AA#ABB</v>
          </cell>
        </row>
        <row r="1316">
          <cell r="B1316" t="str">
            <v>Leghorn</v>
          </cell>
          <cell r="F1316" t="str">
            <v>1KF76AA#UUF</v>
          </cell>
        </row>
        <row r="1317">
          <cell r="B1317" t="str">
            <v>Leghorn</v>
          </cell>
          <cell r="F1317" t="str">
            <v>1KF76AA#UUF</v>
          </cell>
        </row>
        <row r="1318">
          <cell r="B1318" t="str">
            <v>Leghorn</v>
          </cell>
          <cell r="F1318" t="str">
            <v>924122-001</v>
          </cell>
        </row>
        <row r="1319">
          <cell r="B1319" t="str">
            <v>Leghorn</v>
          </cell>
          <cell r="F1319" t="str">
            <v>924122-001</v>
          </cell>
        </row>
        <row r="1320">
          <cell r="B1320" t="str">
            <v>Leghorn</v>
          </cell>
        </row>
        <row r="1321">
          <cell r="B1321" t="str">
            <v>Lago</v>
          </cell>
          <cell r="F1321" t="str">
            <v>4BX31AA#ABL</v>
          </cell>
        </row>
        <row r="1322">
          <cell r="B1322" t="str">
            <v>Lago</v>
          </cell>
          <cell r="F1322" t="str">
            <v>4BX31AA#ABL</v>
          </cell>
        </row>
        <row r="1323">
          <cell r="B1323" t="str">
            <v>Lago</v>
          </cell>
          <cell r="F1323" t="str">
            <v>4BX31AA#ABB</v>
          </cell>
        </row>
        <row r="1324">
          <cell r="B1324" t="str">
            <v>Lago</v>
          </cell>
          <cell r="F1324" t="str">
            <v>4BX31AA#UUF</v>
          </cell>
        </row>
        <row r="1325">
          <cell r="B1325" t="str">
            <v>Lago</v>
          </cell>
          <cell r="F1325" t="str">
            <v>4BX32AA#UUF</v>
          </cell>
        </row>
        <row r="1326">
          <cell r="B1326" t="str">
            <v>Lago</v>
          </cell>
          <cell r="F1326" t="str">
            <v>4BX32A6#ACJ</v>
          </cell>
        </row>
        <row r="1327">
          <cell r="B1327" t="str">
            <v>Lago</v>
          </cell>
          <cell r="F1327" t="str">
            <v>L29007-001</v>
          </cell>
        </row>
        <row r="1328">
          <cell r="B1328" t="str">
            <v>Lago</v>
          </cell>
          <cell r="F1328" t="str">
            <v>L29007-001</v>
          </cell>
        </row>
        <row r="1329">
          <cell r="B1329" t="str">
            <v>Lago</v>
          </cell>
        </row>
        <row r="1330">
          <cell r="B1330" t="str">
            <v>Launchpad</v>
          </cell>
          <cell r="F1330" t="str">
            <v>4BX33AA#ABL</v>
          </cell>
        </row>
        <row r="1331">
          <cell r="B1331" t="str">
            <v>Launchpad</v>
          </cell>
          <cell r="F1331" t="str">
            <v>4BX33AA#ABL</v>
          </cell>
        </row>
        <row r="1332">
          <cell r="B1332" t="str">
            <v>Launchpad</v>
          </cell>
          <cell r="F1332" t="str">
            <v>4BX33AA#ABB</v>
          </cell>
        </row>
        <row r="1333">
          <cell r="B1333" t="str">
            <v>Launchpad</v>
          </cell>
          <cell r="F1333" t="str">
            <v>4BX33AA#UUF</v>
          </cell>
        </row>
        <row r="1334">
          <cell r="B1334" t="str">
            <v>Launchpad</v>
          </cell>
          <cell r="F1334" t="str">
            <v>5RY19AA#UUF</v>
          </cell>
        </row>
        <row r="1335">
          <cell r="B1335" t="str">
            <v>Launchpad</v>
          </cell>
        </row>
        <row r="1336">
          <cell r="B1336" t="str">
            <v>Pearl</v>
          </cell>
          <cell r="F1336" t="str">
            <v>F6J04AA#UUF</v>
          </cell>
        </row>
        <row r="1337">
          <cell r="B1337" t="str">
            <v>Pearl</v>
          </cell>
          <cell r="F1337" t="str">
            <v>F6J04AA#ACJ</v>
          </cell>
        </row>
        <row r="1338">
          <cell r="B1338" t="str">
            <v>Pearl</v>
          </cell>
          <cell r="F1338" t="str">
            <v>F6J04AA#ABB</v>
          </cell>
        </row>
        <row r="1339">
          <cell r="B1339" t="str">
            <v>Pearl</v>
          </cell>
          <cell r="F1339" t="str">
            <v>F6J04AA#ABL</v>
          </cell>
        </row>
        <row r="1340">
          <cell r="B1340" t="str">
            <v>Pearl</v>
          </cell>
          <cell r="F1340" t="str">
            <v>F6J04AA#ABL</v>
          </cell>
        </row>
        <row r="1341">
          <cell r="B1341" t="str">
            <v>Pearl</v>
          </cell>
          <cell r="F1341" t="str">
            <v>F6J04AA#UUF</v>
          </cell>
        </row>
        <row r="1342">
          <cell r="B1342" t="str">
            <v>Pearl</v>
          </cell>
          <cell r="F1342" t="str">
            <v>F6J04AA#ACJ</v>
          </cell>
        </row>
        <row r="1343">
          <cell r="B1343" t="str">
            <v>Pearl</v>
          </cell>
          <cell r="F1343" t="str">
            <v>F6J04AA#ABB</v>
          </cell>
        </row>
        <row r="1344">
          <cell r="B1344" t="str">
            <v>Pearl</v>
          </cell>
          <cell r="F1344" t="str">
            <v>F6J04AA#ABL</v>
          </cell>
        </row>
        <row r="1345">
          <cell r="B1345" t="str">
            <v>Pearl</v>
          </cell>
          <cell r="F1345" t="str">
            <v>F6J04AA#ABL</v>
          </cell>
        </row>
        <row r="1346">
          <cell r="B1346" t="str">
            <v>Pearl</v>
          </cell>
          <cell r="F1346" t="str">
            <v>F6J05AA#UUF</v>
          </cell>
        </row>
        <row r="1347">
          <cell r="B1347" t="str">
            <v>Pearl</v>
          </cell>
          <cell r="F1347" t="str">
            <v>F6J05AA#ABB</v>
          </cell>
        </row>
        <row r="1348">
          <cell r="B1348" t="str">
            <v>Pearl</v>
          </cell>
          <cell r="F1348" t="str">
            <v>F6J05AA#ACJ</v>
          </cell>
        </row>
        <row r="1349">
          <cell r="B1349" t="str">
            <v>Pearl</v>
          </cell>
          <cell r="F1349" t="str">
            <v>F6J05AA#ABL</v>
          </cell>
        </row>
        <row r="1350">
          <cell r="B1350" t="str">
            <v>Pearl</v>
          </cell>
          <cell r="F1350" t="str">
            <v>F6J05AA#ABL</v>
          </cell>
        </row>
        <row r="1351">
          <cell r="B1351" t="str">
            <v>Pearl</v>
          </cell>
          <cell r="F1351" t="str">
            <v>F6J05AA#UUF</v>
          </cell>
        </row>
        <row r="1352">
          <cell r="B1352" t="str">
            <v>Pearl</v>
          </cell>
          <cell r="F1352" t="str">
            <v>F6J05AA#ABB</v>
          </cell>
        </row>
        <row r="1353">
          <cell r="B1353" t="str">
            <v>Pearl</v>
          </cell>
          <cell r="F1353" t="str">
            <v>F6J05AA#ACJ</v>
          </cell>
        </row>
        <row r="1354">
          <cell r="B1354" t="str">
            <v>Pearl</v>
          </cell>
          <cell r="F1354" t="str">
            <v>F6J05AA#ABL</v>
          </cell>
        </row>
        <row r="1355">
          <cell r="B1355" t="str">
            <v>Pearl</v>
          </cell>
          <cell r="F1355" t="str">
            <v>F6J05AA#ABL</v>
          </cell>
        </row>
        <row r="1356">
          <cell r="B1356" t="str">
            <v>Pearl</v>
          </cell>
          <cell r="F1356" t="str">
            <v>F6J06AA#UUF</v>
          </cell>
        </row>
        <row r="1357">
          <cell r="B1357" t="str">
            <v>Pearl</v>
          </cell>
          <cell r="F1357" t="str">
            <v>F6J06AA#ACJ</v>
          </cell>
        </row>
        <row r="1358">
          <cell r="B1358" t="str">
            <v>Pearl</v>
          </cell>
          <cell r="F1358" t="str">
            <v>F6J06AA#ABB</v>
          </cell>
        </row>
        <row r="1359">
          <cell r="B1359" t="str">
            <v>Pearl</v>
          </cell>
          <cell r="F1359" t="str">
            <v>F6J06AA#ABL</v>
          </cell>
        </row>
        <row r="1360">
          <cell r="B1360" t="str">
            <v>Pearl</v>
          </cell>
          <cell r="F1360" t="str">
            <v>F6J06AA#ABL</v>
          </cell>
        </row>
        <row r="1361">
          <cell r="B1361" t="str">
            <v>Pearl</v>
          </cell>
          <cell r="F1361" t="str">
            <v>F6J06AA#UUF</v>
          </cell>
        </row>
        <row r="1362">
          <cell r="B1362" t="str">
            <v>Pearl</v>
          </cell>
          <cell r="F1362" t="str">
            <v>F6J06AA#ACJ</v>
          </cell>
        </row>
        <row r="1363">
          <cell r="B1363" t="str">
            <v>Pearl</v>
          </cell>
          <cell r="F1363" t="str">
            <v>F6J06AA#ABB</v>
          </cell>
        </row>
        <row r="1364">
          <cell r="B1364" t="str">
            <v>Pearl</v>
          </cell>
          <cell r="F1364" t="str">
            <v>F6J06AA#ABL</v>
          </cell>
        </row>
        <row r="1365">
          <cell r="B1365" t="str">
            <v>Pearl</v>
          </cell>
          <cell r="F1365" t="str">
            <v>F6J06AA#ABL</v>
          </cell>
        </row>
        <row r="1366">
          <cell r="B1366" t="str">
            <v>Pearl</v>
          </cell>
          <cell r="F1366" t="str">
            <v>W1Y21AA#UUF</v>
          </cell>
        </row>
        <row r="1367">
          <cell r="B1367" t="str">
            <v>Pearl</v>
          </cell>
          <cell r="F1367" t="str">
            <v>W1Y21AA#ABB</v>
          </cell>
        </row>
        <row r="1368">
          <cell r="B1368" t="str">
            <v>Pearl</v>
          </cell>
          <cell r="F1368" t="str">
            <v>W1Y21AA#ABL</v>
          </cell>
        </row>
        <row r="1369">
          <cell r="B1369" t="str">
            <v>Pearl</v>
          </cell>
          <cell r="F1369" t="str">
            <v>W1Y21AA#ABL</v>
          </cell>
        </row>
        <row r="1370">
          <cell r="B1370" t="str">
            <v>Pearl</v>
          </cell>
          <cell r="F1370" t="str">
            <v>W1Y21AA#UUF</v>
          </cell>
        </row>
        <row r="1371">
          <cell r="B1371" t="str">
            <v>Pearl</v>
          </cell>
          <cell r="F1371" t="str">
            <v>W1Y21AA#ABB</v>
          </cell>
        </row>
        <row r="1372">
          <cell r="B1372" t="str">
            <v>Pearl</v>
          </cell>
          <cell r="F1372" t="str">
            <v>W1Y21AA#ABL</v>
          </cell>
        </row>
        <row r="1373">
          <cell r="B1373" t="str">
            <v>Pearl</v>
          </cell>
          <cell r="F1373" t="str">
            <v>W1Y21AA#ABL</v>
          </cell>
        </row>
        <row r="1374">
          <cell r="B1374" t="str">
            <v>Pearl</v>
          </cell>
          <cell r="F1374" t="str">
            <v>W1Y20AA#UUF</v>
          </cell>
        </row>
        <row r="1375">
          <cell r="B1375" t="str">
            <v>Pearl</v>
          </cell>
          <cell r="F1375" t="str">
            <v>W1Y20AA#ABB</v>
          </cell>
        </row>
        <row r="1376">
          <cell r="B1376" t="str">
            <v>Pearl</v>
          </cell>
          <cell r="F1376" t="str">
            <v>W1Y20AA#ABL</v>
          </cell>
        </row>
        <row r="1377">
          <cell r="B1377" t="str">
            <v>Pearl</v>
          </cell>
          <cell r="F1377" t="str">
            <v>W1Y20AA#ABL</v>
          </cell>
        </row>
        <row r="1378">
          <cell r="B1378" t="str">
            <v>Pearl</v>
          </cell>
          <cell r="F1378" t="str">
            <v>W1Y20AA#UUF</v>
          </cell>
        </row>
        <row r="1379">
          <cell r="B1379" t="str">
            <v>Pearl</v>
          </cell>
          <cell r="F1379" t="str">
            <v>W1Y20AA#ABB</v>
          </cell>
        </row>
        <row r="1380">
          <cell r="B1380" t="str">
            <v>Pearl</v>
          </cell>
          <cell r="F1380" t="str">
            <v>W1Y20AA#ABL</v>
          </cell>
        </row>
        <row r="1381">
          <cell r="B1381" t="str">
            <v>Pearl</v>
          </cell>
          <cell r="F1381" t="str">
            <v>W1Y20AA#ABL</v>
          </cell>
        </row>
        <row r="1382">
          <cell r="B1382" t="str">
            <v>Pearl</v>
          </cell>
          <cell r="F1382" t="str">
            <v>J8F10AA#ABL</v>
          </cell>
        </row>
        <row r="1383">
          <cell r="B1383" t="str">
            <v>Pearl</v>
          </cell>
          <cell r="F1383" t="str">
            <v>J8F10AA#ABL</v>
          </cell>
        </row>
        <row r="1384">
          <cell r="B1384" t="str">
            <v>Pearl</v>
          </cell>
          <cell r="F1384" t="str">
            <v>J8F10AA#ABB</v>
          </cell>
        </row>
        <row r="1385">
          <cell r="B1385" t="str">
            <v>Pearl</v>
          </cell>
          <cell r="F1385" t="str">
            <v>J8F10AA#UUF</v>
          </cell>
        </row>
        <row r="1386">
          <cell r="B1386" t="str">
            <v>Pearl</v>
          </cell>
          <cell r="F1386" t="str">
            <v>J8F10AA#ACJ</v>
          </cell>
        </row>
        <row r="1387">
          <cell r="B1387" t="str">
            <v>Pearl</v>
          </cell>
          <cell r="F1387" t="str">
            <v>J8F10AA#ABL</v>
          </cell>
        </row>
        <row r="1388">
          <cell r="B1388" t="str">
            <v>Pearl</v>
          </cell>
          <cell r="F1388" t="str">
            <v>J8F10AA#ABL</v>
          </cell>
        </row>
        <row r="1389">
          <cell r="B1389" t="str">
            <v>Pearl</v>
          </cell>
          <cell r="F1389" t="str">
            <v>J8F10AA#ABB</v>
          </cell>
        </row>
        <row r="1390">
          <cell r="B1390" t="str">
            <v>Pearl</v>
          </cell>
          <cell r="F1390" t="str">
            <v>J8F10AA#UUF</v>
          </cell>
        </row>
        <row r="1391">
          <cell r="B1391" t="str">
            <v>Pearl</v>
          </cell>
          <cell r="F1391" t="str">
            <v>J8F10AA#ACJ</v>
          </cell>
        </row>
        <row r="1392">
          <cell r="B1392" t="str">
            <v>Pearl</v>
          </cell>
          <cell r="F1392" t="str">
            <v>J9C30AA#ABL</v>
          </cell>
        </row>
        <row r="1393">
          <cell r="B1393" t="str">
            <v>Pearl</v>
          </cell>
          <cell r="F1393" t="str">
            <v>J9C30AA#ABB</v>
          </cell>
        </row>
        <row r="1394">
          <cell r="B1394" t="str">
            <v>Pearl</v>
          </cell>
          <cell r="F1394" t="str">
            <v>J9C30AA#UUF</v>
          </cell>
        </row>
        <row r="1395">
          <cell r="B1395" t="str">
            <v>Pearl</v>
          </cell>
          <cell r="F1395" t="str">
            <v>J9C30AA#ACJ</v>
          </cell>
        </row>
        <row r="1396">
          <cell r="B1396" t="str">
            <v>Pearl</v>
          </cell>
          <cell r="F1396" t="str">
            <v>J9C30AA#ABL</v>
          </cell>
        </row>
        <row r="1397">
          <cell r="B1397" t="str">
            <v>Pearl</v>
          </cell>
          <cell r="F1397" t="str">
            <v>J9C30AA#ABB</v>
          </cell>
        </row>
        <row r="1398">
          <cell r="B1398" t="str">
            <v>Pearl</v>
          </cell>
          <cell r="F1398" t="str">
            <v>J9C30AA#UUF</v>
          </cell>
        </row>
        <row r="1399">
          <cell r="B1399" t="str">
            <v>Pearl</v>
          </cell>
          <cell r="F1399" t="str">
            <v>J9C30AA#ACJ</v>
          </cell>
        </row>
        <row r="1400">
          <cell r="B1400" t="str">
            <v>Pearl</v>
          </cell>
          <cell r="F1400" t="str">
            <v>2AP94AA#ABB</v>
          </cell>
        </row>
        <row r="1401">
          <cell r="B1401" t="str">
            <v>Pearl</v>
          </cell>
          <cell r="F1401" t="str">
            <v>2AP94AA#UUF</v>
          </cell>
        </row>
        <row r="1402">
          <cell r="B1402" t="str">
            <v>Pearl</v>
          </cell>
          <cell r="F1402" t="str">
            <v>2AP94AA#UUF</v>
          </cell>
        </row>
        <row r="1403">
          <cell r="B1403" t="str">
            <v>Pearl</v>
          </cell>
          <cell r="F1403" t="str">
            <v>2AP94AA#ABB</v>
          </cell>
        </row>
        <row r="1404">
          <cell r="B1404" t="str">
            <v>Pearl</v>
          </cell>
          <cell r="F1404" t="str">
            <v>2AP95AA#ABB</v>
          </cell>
        </row>
        <row r="1405">
          <cell r="B1405" t="str">
            <v>Pearl</v>
          </cell>
          <cell r="F1405" t="str">
            <v>2AP95AA#UUF</v>
          </cell>
        </row>
        <row r="1406">
          <cell r="B1406" t="str">
            <v>Pearl</v>
          </cell>
          <cell r="F1406" t="str">
            <v>2AP95AA#UUF</v>
          </cell>
        </row>
        <row r="1407">
          <cell r="B1407" t="str">
            <v>Pearl</v>
          </cell>
          <cell r="F1407" t="str">
            <v>2AP95AA#ABB</v>
          </cell>
        </row>
        <row r="1408">
          <cell r="B1408" t="str">
            <v>Pearl</v>
          </cell>
        </row>
        <row r="1409">
          <cell r="B1409" t="str">
            <v>Redford</v>
          </cell>
          <cell r="F1409" t="str">
            <v>Z7T26AA</v>
          </cell>
        </row>
        <row r="1410">
          <cell r="B1410" t="str">
            <v>Redford</v>
          </cell>
          <cell r="F1410" t="str">
            <v>Z9L96AV</v>
          </cell>
        </row>
        <row r="1411">
          <cell r="B1411" t="str">
            <v>Redford</v>
          </cell>
          <cell r="F1411" t="str">
            <v>Z7T26AA</v>
          </cell>
        </row>
        <row r="1412">
          <cell r="B1412" t="str">
            <v>Redford</v>
          </cell>
          <cell r="F1412" t="str">
            <v>Z7T26AA</v>
          </cell>
        </row>
        <row r="1413">
          <cell r="B1413" t="str">
            <v>Redford</v>
          </cell>
        </row>
        <row r="1414">
          <cell r="B1414" t="str">
            <v>Galvatron</v>
          </cell>
          <cell r="F1414" t="str">
            <v>4LR28AA</v>
          </cell>
        </row>
        <row r="1415">
          <cell r="B1415" t="str">
            <v>Galvatron</v>
          </cell>
          <cell r="F1415" t="str">
            <v>4LR28AA</v>
          </cell>
        </row>
        <row r="1416">
          <cell r="B1416" t="str">
            <v>Galvatron</v>
          </cell>
          <cell r="F1416" t="str">
            <v>4LR28UT</v>
          </cell>
        </row>
        <row r="1417">
          <cell r="B1417" t="str">
            <v>Galvatron</v>
          </cell>
          <cell r="F1417" t="str">
            <v>4LR28UT</v>
          </cell>
        </row>
        <row r="1418">
          <cell r="B1418" t="str">
            <v>Galvatron</v>
          </cell>
          <cell r="F1418" t="str">
            <v>L49036-001</v>
          </cell>
        </row>
        <row r="1419">
          <cell r="B1419" t="str">
            <v>Galvatron</v>
          </cell>
          <cell r="F1419" t="str">
            <v>4LR29AA</v>
          </cell>
        </row>
        <row r="1420">
          <cell r="B1420" t="str">
            <v>Galvatron</v>
          </cell>
          <cell r="F1420" t="str">
            <v>4LR29AA</v>
          </cell>
        </row>
        <row r="1421">
          <cell r="B1421" t="str">
            <v>Galvatron</v>
          </cell>
          <cell r="F1421" t="str">
            <v>4LR29UT</v>
          </cell>
        </row>
        <row r="1422">
          <cell r="B1422" t="str">
            <v>Galvatron</v>
          </cell>
          <cell r="F1422" t="str">
            <v>4LR29UT</v>
          </cell>
        </row>
        <row r="1423">
          <cell r="B1423" t="str">
            <v>Galvatron</v>
          </cell>
          <cell r="F1423" t="str">
            <v>L49037-001</v>
          </cell>
        </row>
        <row r="1424">
          <cell r="B1424" t="str">
            <v>Galvatron</v>
          </cell>
        </row>
        <row r="1425">
          <cell r="F1425" t="str">
            <v>L32442-001</v>
          </cell>
        </row>
        <row r="1427">
          <cell r="B1427" t="str">
            <v>FOX</v>
          </cell>
          <cell r="F1427" t="str">
            <v>Z9G82AA</v>
          </cell>
        </row>
        <row r="1428">
          <cell r="B1428" t="str">
            <v>FOX</v>
          </cell>
          <cell r="F1428" t="str">
            <v>1EY86AV</v>
          </cell>
        </row>
        <row r="1429">
          <cell r="B1429" t="str">
            <v>FOX</v>
          </cell>
          <cell r="F1429" t="str">
            <v>1EY86AV</v>
          </cell>
        </row>
        <row r="1430">
          <cell r="B1430" t="str">
            <v>FOX</v>
          </cell>
          <cell r="F1430" t="str">
            <v>1EY86AV</v>
          </cell>
        </row>
        <row r="1431">
          <cell r="B1431" t="str">
            <v>FOX</v>
          </cell>
        </row>
        <row r="1432">
          <cell r="B1432" t="str">
            <v>Merlin TM Case</v>
          </cell>
          <cell r="F1432" t="str">
            <v>L5J40AA#ABA</v>
          </cell>
        </row>
        <row r="1433">
          <cell r="B1433" t="str">
            <v>Merlin TM Case</v>
          </cell>
          <cell r="F1433" t="str">
            <v>L5J40AA#ABE</v>
          </cell>
        </row>
        <row r="1434">
          <cell r="B1434" t="str">
            <v>Merlin TM Case</v>
          </cell>
          <cell r="F1434" t="str">
            <v>L5J40AA#ABF</v>
          </cell>
        </row>
        <row r="1435">
          <cell r="B1435" t="str">
            <v>Merlin TM Case</v>
          </cell>
          <cell r="F1435" t="str">
            <v>L5J40AA#ABU</v>
          </cell>
        </row>
        <row r="1436">
          <cell r="B1436" t="str">
            <v>Merlin TM Case</v>
          </cell>
          <cell r="F1436" t="str">
            <v>L5J40AA#ABD</v>
          </cell>
        </row>
        <row r="1437">
          <cell r="B1437" t="str">
            <v>Merlin TM Case</v>
          </cell>
          <cell r="F1437" t="str">
            <v>L5J40AA#ABL</v>
          </cell>
        </row>
        <row r="1438">
          <cell r="B1438" t="str">
            <v>Merlin TM case</v>
          </cell>
        </row>
        <row r="1439">
          <cell r="B1439" t="str">
            <v>Jason II</v>
          </cell>
          <cell r="F1439" t="str">
            <v>K4U68AA#ABA</v>
          </cell>
        </row>
        <row r="1440">
          <cell r="B1440" t="str">
            <v>Jason II</v>
          </cell>
          <cell r="F1440" t="str">
            <v>K4U68AA#ABC</v>
          </cell>
        </row>
        <row r="1441">
          <cell r="B1441" t="str">
            <v>Jason II</v>
          </cell>
          <cell r="F1441" t="str">
            <v>K4U68AA#ABL</v>
          </cell>
        </row>
        <row r="1442">
          <cell r="B1442" t="str">
            <v>Jason II</v>
          </cell>
          <cell r="F1442" t="str">
            <v>K4U68AA#ABM</v>
          </cell>
        </row>
        <row r="1443">
          <cell r="B1443" t="str">
            <v>Jason II</v>
          </cell>
          <cell r="F1443" t="str">
            <v>K4U68AA#AC4</v>
          </cell>
        </row>
        <row r="1444">
          <cell r="B1444" t="str">
            <v>Jason II</v>
          </cell>
          <cell r="F1444" t="str">
            <v>K4U68AA#ABB</v>
          </cell>
        </row>
        <row r="1445">
          <cell r="B1445" t="str">
            <v>Jason II</v>
          </cell>
          <cell r="F1445" t="str">
            <v>K4U68AA#ABD</v>
          </cell>
        </row>
        <row r="1446">
          <cell r="B1446" t="str">
            <v>Jason II</v>
          </cell>
          <cell r="F1446" t="str">
            <v>K4U68AA#ABF</v>
          </cell>
        </row>
        <row r="1447">
          <cell r="B1447" t="str">
            <v>Jason II</v>
          </cell>
          <cell r="F1447" t="str">
            <v>K4U68AA#ABU</v>
          </cell>
        </row>
        <row r="1448">
          <cell r="B1448" t="str">
            <v>Jason II</v>
          </cell>
          <cell r="F1448" t="str">
            <v>K4U68AA#ABV</v>
          </cell>
        </row>
        <row r="1449">
          <cell r="B1449" t="str">
            <v>Jason II</v>
          </cell>
          <cell r="F1449" t="str">
            <v>K4U68AA#UUW</v>
          </cell>
        </row>
        <row r="1450">
          <cell r="B1450" t="str">
            <v>Jason II</v>
          </cell>
          <cell r="F1450" t="str">
            <v>K4U68AA#UUZ</v>
          </cell>
        </row>
        <row r="1451">
          <cell r="B1451" t="str">
            <v>Jason II</v>
          </cell>
          <cell r="F1451" t="str">
            <v>K4U68AA#AB0</v>
          </cell>
        </row>
        <row r="1452">
          <cell r="B1452" t="str">
            <v>Jason II</v>
          </cell>
          <cell r="F1452" t="str">
            <v>K4U68AA#AB1</v>
          </cell>
        </row>
        <row r="1453">
          <cell r="B1453" t="str">
            <v>Jason II</v>
          </cell>
          <cell r="F1453" t="str">
            <v>K4U68AA#AB2</v>
          </cell>
        </row>
        <row r="1454">
          <cell r="B1454" t="str">
            <v>Jason II</v>
          </cell>
          <cell r="F1454" t="str">
            <v>K4U68AA#ABJ</v>
          </cell>
        </row>
        <row r="1455">
          <cell r="B1455" t="str">
            <v>Jason II</v>
          </cell>
          <cell r="F1455" t="str">
            <v>K4U68AA#UUF</v>
          </cell>
        </row>
        <row r="1456">
          <cell r="B1456" t="str">
            <v>Jason II</v>
          </cell>
          <cell r="F1456" t="str">
            <v>K4U68AA#ACJ</v>
          </cell>
        </row>
        <row r="1457">
          <cell r="B1457" t="str">
            <v>Jason II</v>
          </cell>
        </row>
        <row r="1458">
          <cell r="B1458" t="str">
            <v>Florido</v>
          </cell>
          <cell r="F1458" t="str">
            <v>N5G45AA#ABA</v>
          </cell>
        </row>
        <row r="1459">
          <cell r="B1459" t="str">
            <v>Florido</v>
          </cell>
          <cell r="F1459" t="str">
            <v>N5G46AA#ABA</v>
          </cell>
        </row>
        <row r="1460">
          <cell r="B1460" t="str">
            <v>Florido</v>
          </cell>
          <cell r="F1460" t="str">
            <v>N5G47AA#ABA</v>
          </cell>
        </row>
        <row r="1461">
          <cell r="B1461" t="str">
            <v>Florido</v>
          </cell>
          <cell r="F1461" t="str">
            <v>N5G48AA#ABA</v>
          </cell>
        </row>
        <row r="1462">
          <cell r="B1462" t="str">
            <v>Florido</v>
          </cell>
        </row>
        <row r="1463">
          <cell r="B1463" t="str">
            <v>Mothra</v>
          </cell>
          <cell r="F1463" t="str">
            <v>K8P76AA#ABA</v>
          </cell>
        </row>
        <row r="1464">
          <cell r="B1464" t="str">
            <v>Mothra</v>
          </cell>
          <cell r="F1464" t="str">
            <v>K8P76AA#ABL</v>
          </cell>
        </row>
        <row r="1465">
          <cell r="B1465" t="str">
            <v>Mothra</v>
          </cell>
          <cell r="F1465" t="str">
            <v>K8P76AA#ABM</v>
          </cell>
        </row>
        <row r="1466">
          <cell r="B1466" t="str">
            <v>Mothra</v>
          </cell>
          <cell r="F1466" t="str">
            <v>K8P76AA#AC4</v>
          </cell>
        </row>
        <row r="1467">
          <cell r="B1467" t="str">
            <v>Mothra</v>
          </cell>
          <cell r="F1467" t="str">
            <v>K8P76AA#ABC</v>
          </cell>
        </row>
        <row r="1468">
          <cell r="B1468" t="str">
            <v>Mothra</v>
          </cell>
          <cell r="F1468" t="str">
            <v>K8P76AA#ABB</v>
          </cell>
        </row>
        <row r="1469">
          <cell r="B1469" t="str">
            <v>Mothra</v>
          </cell>
          <cell r="F1469" t="str">
            <v>K8P76AA#ABD</v>
          </cell>
        </row>
        <row r="1470">
          <cell r="B1470" t="str">
            <v>Mothra</v>
          </cell>
          <cell r="F1470" t="str">
            <v>K8P76AA#ABF</v>
          </cell>
        </row>
        <row r="1471">
          <cell r="B1471" t="str">
            <v>Mothra</v>
          </cell>
          <cell r="F1471" t="str">
            <v>K8P76AA#ABU</v>
          </cell>
        </row>
        <row r="1472">
          <cell r="B1472" t="str">
            <v>Mothra</v>
          </cell>
          <cell r="F1472" t="str">
            <v>K8P76AA#ABV</v>
          </cell>
        </row>
        <row r="1473">
          <cell r="B1473" t="str">
            <v>Mothra</v>
          </cell>
          <cell r="F1473" t="str">
            <v>K8P76AA#UUW</v>
          </cell>
        </row>
        <row r="1474">
          <cell r="B1474" t="str">
            <v>Mothra</v>
          </cell>
          <cell r="F1474" t="str">
            <v>K8P76AA#UUZ</v>
          </cell>
        </row>
        <row r="1475">
          <cell r="B1475" t="str">
            <v>Mothra</v>
          </cell>
          <cell r="F1475" t="str">
            <v>K8P76AA#AB0</v>
          </cell>
        </row>
        <row r="1476">
          <cell r="B1476" t="str">
            <v>Mothra</v>
          </cell>
          <cell r="F1476" t="str">
            <v>K8P76AA#AB1</v>
          </cell>
        </row>
        <row r="1477">
          <cell r="B1477" t="str">
            <v>Mothra</v>
          </cell>
          <cell r="F1477" t="str">
            <v>K8P76AA#AB2</v>
          </cell>
        </row>
        <row r="1478">
          <cell r="B1478" t="str">
            <v>Mothra</v>
          </cell>
          <cell r="F1478" t="str">
            <v>K8P76AA#ABJ</v>
          </cell>
        </row>
        <row r="1479">
          <cell r="B1479" t="str">
            <v>Mothra</v>
          </cell>
          <cell r="F1479" t="str">
            <v>K8P76AA#UUF</v>
          </cell>
        </row>
        <row r="1480">
          <cell r="B1480" t="str">
            <v>Mothra</v>
          </cell>
          <cell r="F1480" t="str">
            <v>K8P76AA#ACJ</v>
          </cell>
        </row>
        <row r="1481">
          <cell r="B1481" t="str">
            <v>Mothra</v>
          </cell>
        </row>
        <row r="1482">
          <cell r="B1482" t="str">
            <v>Rodan</v>
          </cell>
          <cell r="F1482" t="str">
            <v>K4U66AA#ABA</v>
          </cell>
        </row>
        <row r="1483">
          <cell r="B1483" t="str">
            <v>Rodan</v>
          </cell>
          <cell r="F1483" t="str">
            <v>K4U66AA#ABB</v>
          </cell>
        </row>
        <row r="1484">
          <cell r="B1484" t="str">
            <v>Rodan</v>
          </cell>
          <cell r="F1484" t="str">
            <v>K4U66AA#ABD</v>
          </cell>
        </row>
        <row r="1485">
          <cell r="B1485" t="str">
            <v>Rodan</v>
          </cell>
          <cell r="F1485" t="str">
            <v>K4U66AA#ABF</v>
          </cell>
        </row>
        <row r="1486">
          <cell r="B1486" t="str">
            <v>Rodan</v>
          </cell>
          <cell r="F1486" t="str">
            <v>K4U66AA#ABU</v>
          </cell>
        </row>
        <row r="1487">
          <cell r="B1487" t="str">
            <v>Rodan</v>
          </cell>
          <cell r="F1487" t="str">
            <v>K4U66AA#ABV</v>
          </cell>
        </row>
        <row r="1488">
          <cell r="B1488" t="str">
            <v>Rodan</v>
          </cell>
          <cell r="F1488" t="str">
            <v>K4U66AA#UUF</v>
          </cell>
        </row>
        <row r="1489">
          <cell r="B1489" t="str">
            <v>Rodan</v>
          </cell>
          <cell r="F1489" t="str">
            <v>K4U66AA#UUW</v>
          </cell>
        </row>
        <row r="1490">
          <cell r="B1490" t="str">
            <v>Rodan</v>
          </cell>
          <cell r="F1490" t="str">
            <v>K4U66AA#UUZ</v>
          </cell>
        </row>
        <row r="1491">
          <cell r="B1491" t="str">
            <v>Rodan</v>
          </cell>
          <cell r="F1491" t="str">
            <v>K4U66AA#ABC</v>
          </cell>
        </row>
        <row r="1492">
          <cell r="B1492" t="str">
            <v>Rodan</v>
          </cell>
          <cell r="F1492" t="str">
            <v>K4U66AA#AC0</v>
          </cell>
        </row>
        <row r="1493">
          <cell r="B1493" t="str">
            <v>Rodan</v>
          </cell>
          <cell r="F1493" t="str">
            <v>K4U66AA#ABL</v>
          </cell>
        </row>
        <row r="1494">
          <cell r="B1494" t="str">
            <v>Rodan</v>
          </cell>
          <cell r="F1494" t="str">
            <v>K4U66AA#ABM</v>
          </cell>
        </row>
        <row r="1495">
          <cell r="B1495" t="str">
            <v>Rodan</v>
          </cell>
          <cell r="F1495" t="str">
            <v>K4U66AA#AB0</v>
          </cell>
        </row>
        <row r="1496">
          <cell r="B1496" t="str">
            <v>Rodan</v>
          </cell>
          <cell r="F1496" t="str">
            <v>K4U66AA#AB1</v>
          </cell>
        </row>
        <row r="1497">
          <cell r="B1497" t="str">
            <v>Rodan</v>
          </cell>
          <cell r="F1497" t="str">
            <v>K4U66AA#ABJ</v>
          </cell>
        </row>
        <row r="1498">
          <cell r="B1498" t="str">
            <v>Rodan</v>
          </cell>
          <cell r="F1498" t="str">
            <v>K4U66AA#ACJ</v>
          </cell>
        </row>
        <row r="1499">
          <cell r="B1499" t="str">
            <v>Rodan</v>
          </cell>
          <cell r="F1499" t="str">
            <v>K4U66AA#AB2</v>
          </cell>
        </row>
        <row r="1500">
          <cell r="B1500" t="str">
            <v>Rodan</v>
          </cell>
        </row>
        <row r="1501">
          <cell r="B1501" t="str">
            <v>Godzilla</v>
          </cell>
          <cell r="F1501" t="str">
            <v>K4U64AA#ABA</v>
          </cell>
        </row>
        <row r="1502">
          <cell r="B1502" t="str">
            <v>Godzilla</v>
          </cell>
          <cell r="F1502" t="str">
            <v>K4U64AA#ABB</v>
          </cell>
        </row>
        <row r="1503">
          <cell r="B1503" t="str">
            <v>Godzilla</v>
          </cell>
          <cell r="F1503" t="str">
            <v>K4U64AA#ABD</v>
          </cell>
        </row>
        <row r="1504">
          <cell r="B1504" t="str">
            <v>Godzilla</v>
          </cell>
          <cell r="F1504" t="str">
            <v>K4U64AA#ABF</v>
          </cell>
        </row>
        <row r="1505">
          <cell r="B1505" t="str">
            <v>Godzilla</v>
          </cell>
          <cell r="F1505" t="str">
            <v>K4U64AA#ABU</v>
          </cell>
        </row>
        <row r="1506">
          <cell r="B1506" t="str">
            <v>Godzilla</v>
          </cell>
          <cell r="F1506" t="str">
            <v>K4U64AA#ABV</v>
          </cell>
        </row>
        <row r="1507">
          <cell r="B1507" t="str">
            <v>Godzilla</v>
          </cell>
          <cell r="F1507" t="str">
            <v>K4U64AA#UUF</v>
          </cell>
        </row>
        <row r="1508">
          <cell r="B1508" t="str">
            <v>Godzilla</v>
          </cell>
          <cell r="F1508" t="str">
            <v>K4U64AA#UUW</v>
          </cell>
        </row>
        <row r="1509">
          <cell r="B1509" t="str">
            <v>Godzilla</v>
          </cell>
          <cell r="F1509" t="str">
            <v>K4U64AA#UUZ</v>
          </cell>
        </row>
        <row r="1510">
          <cell r="B1510" t="str">
            <v>Godzilla</v>
          </cell>
          <cell r="F1510" t="str">
            <v>K4U64AA#ABC</v>
          </cell>
        </row>
        <row r="1511">
          <cell r="B1511" t="str">
            <v>Godzilla</v>
          </cell>
          <cell r="F1511" t="str">
            <v>K4U64AA#AC0</v>
          </cell>
        </row>
        <row r="1512">
          <cell r="B1512" t="str">
            <v>Godzilla</v>
          </cell>
          <cell r="F1512" t="str">
            <v>K4U64AA#ABL</v>
          </cell>
        </row>
        <row r="1513">
          <cell r="B1513" t="str">
            <v>Godzilla</v>
          </cell>
          <cell r="F1513" t="str">
            <v>K4U64AA#AB0</v>
          </cell>
        </row>
        <row r="1514">
          <cell r="B1514" t="str">
            <v>Godzilla</v>
          </cell>
          <cell r="F1514" t="str">
            <v>K4U64AA#ABJ</v>
          </cell>
        </row>
        <row r="1515">
          <cell r="B1515" t="str">
            <v>Godzilla</v>
          </cell>
          <cell r="F1515" t="str">
            <v>K4U64AA#AB1</v>
          </cell>
        </row>
        <row r="1516">
          <cell r="B1516" t="str">
            <v>Godzilla</v>
          </cell>
          <cell r="F1516" t="str">
            <v>K4U64AA#AB2</v>
          </cell>
        </row>
        <row r="1517">
          <cell r="B1517" t="str">
            <v>Godzilla</v>
          </cell>
          <cell r="F1517" t="str">
            <v>K4U64AA#ACJ</v>
          </cell>
        </row>
        <row r="1518">
          <cell r="B1518" t="str">
            <v>Godzilla</v>
          </cell>
          <cell r="F1518" t="str">
            <v>K4U64AA#ABM</v>
          </cell>
        </row>
        <row r="1519">
          <cell r="B1519" t="str">
            <v>Godzilla</v>
          </cell>
        </row>
        <row r="1520">
          <cell r="B1520" t="str">
            <v>Taylor</v>
          </cell>
          <cell r="F1520" t="str">
            <v>H7A96AA#AB2</v>
          </cell>
        </row>
        <row r="1521">
          <cell r="B1521" t="str">
            <v>Taylor</v>
          </cell>
          <cell r="F1521" t="str">
            <v>H7A96AA#ABA</v>
          </cell>
        </row>
        <row r="1522">
          <cell r="B1522" t="str">
            <v>Taylor</v>
          </cell>
          <cell r="F1522" t="str">
            <v>H7A96AA#ABB</v>
          </cell>
        </row>
        <row r="1523">
          <cell r="B1523" t="str">
            <v>Taylor</v>
          </cell>
          <cell r="F1523" t="str">
            <v>H7A96AA#ABL</v>
          </cell>
        </row>
        <row r="1524">
          <cell r="B1524" t="str">
            <v>Taylor</v>
          </cell>
          <cell r="F1524" t="str">
            <v>H7A96AA#ABL</v>
          </cell>
        </row>
        <row r="1525">
          <cell r="B1525" t="str">
            <v>Taylor</v>
          </cell>
          <cell r="F1525" t="str">
            <v>H7A96AA#ACJ</v>
          </cell>
        </row>
        <row r="1526">
          <cell r="B1526" t="str">
            <v>Taylor</v>
          </cell>
          <cell r="F1526" t="str">
            <v>H7A96AA#UUF</v>
          </cell>
        </row>
        <row r="1527">
          <cell r="B1527" t="str">
            <v>Taylor</v>
          </cell>
        </row>
        <row r="1528">
          <cell r="B1528" t="str">
            <v>Organizer_Merlin</v>
          </cell>
          <cell r="F1528" t="str">
            <v>J9F31AA#ABA</v>
          </cell>
        </row>
        <row r="1529">
          <cell r="B1529" t="str">
            <v>Organizer _Merlin</v>
          </cell>
          <cell r="F1529" t="str">
            <v>J9F31AA#ABE</v>
          </cell>
        </row>
        <row r="1530">
          <cell r="B1530" t="str">
            <v>Organizer _Merlin</v>
          </cell>
          <cell r="F1530" t="str">
            <v>J9F31AA#ABF</v>
          </cell>
        </row>
        <row r="1531">
          <cell r="B1531" t="str">
            <v>Organizer _Merlin</v>
          </cell>
          <cell r="F1531" t="str">
            <v>J9F31AA#ABU</v>
          </cell>
        </row>
        <row r="1532">
          <cell r="B1532" t="str">
            <v>Organizer _Merlin</v>
          </cell>
        </row>
        <row r="1533">
          <cell r="B1533" t="str">
            <v>TM Cover_Merlin</v>
          </cell>
          <cell r="F1533" t="str">
            <v>K0G15AA#ABA</v>
          </cell>
        </row>
        <row r="1534">
          <cell r="B1534" t="str">
            <v>TM Cover_Merlin</v>
          </cell>
          <cell r="F1534" t="str">
            <v>K0G15AA#ABE</v>
          </cell>
        </row>
        <row r="1535">
          <cell r="B1535" t="str">
            <v>TM Cover_Merlin</v>
          </cell>
          <cell r="F1535" t="str">
            <v>K0G15AA#ABF</v>
          </cell>
        </row>
        <row r="1536">
          <cell r="B1536" t="str">
            <v>TM Cover_Merlin</v>
          </cell>
          <cell r="F1536" t="str">
            <v>K0G15AA#ABU</v>
          </cell>
        </row>
        <row r="1537">
          <cell r="B1537" t="str">
            <v xml:space="preserve">Organizer </v>
          </cell>
        </row>
        <row r="1538">
          <cell r="B1538" t="str">
            <v>Gunnison</v>
          </cell>
          <cell r="F1538" t="str">
            <v>K4F98AA#ABA</v>
          </cell>
        </row>
        <row r="1539">
          <cell r="B1539" t="str">
            <v>Gunnison</v>
          </cell>
          <cell r="F1539" t="str">
            <v>K4F98AA#ABL</v>
          </cell>
        </row>
        <row r="1540">
          <cell r="B1540" t="str">
            <v>Gunnison</v>
          </cell>
          <cell r="F1540" t="str">
            <v>K4F98AA#UUF</v>
          </cell>
        </row>
        <row r="1541">
          <cell r="B1541" t="str">
            <v>Gunnison</v>
          </cell>
          <cell r="F1541" t="str">
            <v>K4F98AA#ACJ</v>
          </cell>
        </row>
        <row r="1542">
          <cell r="B1542" t="str">
            <v>Gunnison</v>
          </cell>
          <cell r="F1542" t="str">
            <v>K4F98AA#AB1</v>
          </cell>
        </row>
        <row r="1543">
          <cell r="B1543" t="str">
            <v>Gunnison</v>
          </cell>
          <cell r="F1543" t="str">
            <v>K4F98AA#AB2</v>
          </cell>
        </row>
        <row r="1544">
          <cell r="B1544" t="str">
            <v>Gunnison</v>
          </cell>
          <cell r="F1544" t="str">
            <v>K4F98AA#ABJ</v>
          </cell>
        </row>
        <row r="1545">
          <cell r="B1545" t="str">
            <v>Gunnison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工作表6 (2)"/>
      <sheetName val="說明頁_更新版"/>
      <sheetName val="FY24 Summary_1"/>
      <sheetName val="FY23 Summary_1"/>
      <sheetName val="FY23 Summary_2"/>
      <sheetName val="FY23"/>
      <sheetName val="FY24 Summary_2"/>
      <sheetName val="工作表1"/>
      <sheetName val="工作表3"/>
      <sheetName val="工作表4"/>
      <sheetName val="工作表2"/>
      <sheetName val="工作表5"/>
      <sheetName val="工作表7"/>
      <sheetName val="工作表6"/>
      <sheetName val="FY25 Summary_1"/>
      <sheetName val="FY25 Summary_2"/>
      <sheetName val="FY24"/>
      <sheetName val="FY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7">
          <cell r="BM287">
            <v>38865955.339999996</v>
          </cell>
        </row>
      </sheetData>
      <sheetData sheetId="1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son" refreshedDate="45999.38916111111" createdVersion="8" refreshedVersion="8" minRefreshableVersion="3" recordCount="284" xr:uid="{A241E04B-CBC9-441D-AA46-0CC24E7FA0B4}">
  <cacheSource type="worksheet">
    <worksheetSource ref="A2:BO286" sheet="FY24"/>
  </cacheSource>
  <cacheFields count="67">
    <cacheField name="FY24" numFmtId="178">
      <sharedItems/>
    </cacheField>
    <cacheField name="SPM (Project Owner)" numFmtId="178">
      <sharedItems containsBlank="1"/>
    </cacheField>
    <cacheField name="GTK Suppliers" numFmtId="178">
      <sharedItems containsBlank="1"/>
    </cacheField>
    <cacheField name="Category" numFmtId="178">
      <sharedItems containsBlank="1"/>
    </cacheField>
    <cacheField name="Segment" numFmtId="178">
      <sharedItems containsBlank="1"/>
    </cacheField>
    <cacheField name="Series" numFmtId="178">
      <sharedItems containsBlank="1"/>
    </cacheField>
    <cacheField name="Production Year" numFmtId="0">
      <sharedItems containsSemiMixedTypes="0" containsString="0" containsNumber="1" containsInteger="1" minValue="2016" maxValue="2023"/>
    </cacheField>
    <cacheField name="Platforms" numFmtId="178">
      <sharedItems count="42">
        <s v="Bogota"/>
        <s v="Brac"/>
        <s v="BracWhiteComb"/>
        <s v="BracWLKB"/>
        <s v="Brain"/>
        <s v="Elephanta"/>
        <s v="ElephantaBPS"/>
        <s v="ElephantaKB"/>
        <s v="Gadget"/>
        <s v="Galapagos"/>
        <s v="Havelock"/>
        <s v="Jerry"/>
        <s v="KentingPlus"/>
        <s v="KingKong"/>
        <s v="Kitkat"/>
        <s v="Mickey"/>
        <s v="MilkaB"/>
        <s v="Moscow1BlueLed"/>
        <s v="Oman"/>
        <s v="Brazilia"/>
        <s v="Gadget dual"/>
        <s v="Sochi"/>
        <s v="Oreo"/>
        <s v="Capri"/>
        <s v="Havelock KB"/>
        <s v="Moscow blue LED refresh"/>
        <s v="OreoBPS"/>
        <s v="Kenting"/>
        <s v="Jaipur"/>
        <s v="Nanjing"/>
        <s v="Ivy dongle"/>
        <s v="Buble 2"/>
        <s v="Jazz"/>
        <s v="Jazz KB"/>
        <s v="BRAC WHITE" u="1"/>
        <s v="BRAC WLKB" u="1"/>
        <s v="ELEPHANTA BPS" u="1"/>
        <s v="ELEPHANTA KB" u="1"/>
        <s v="KENTING PLUS" u="1"/>
        <s v="MILKA B" u="1"/>
        <s v="MOSCOW BLUE LED" u="1"/>
        <s v="OREO BPS" u="1"/>
      </sharedItems>
    </cacheField>
    <cacheField name="Product" numFmtId="0">
      <sharedItems/>
    </cacheField>
    <cacheField name="Size" numFmtId="0">
      <sharedItems/>
    </cacheField>
    <cacheField name="Color" numFmtId="178">
      <sharedItems/>
    </cacheField>
    <cacheField name="Location" numFmtId="178">
      <sharedItems/>
    </cacheField>
    <cacheField name="ODM" numFmtId="177">
      <sharedItems/>
    </cacheField>
    <cacheField name="RFQ Final Cost" numFmtId="177">
      <sharedItems containsString="0" containsBlank="1" containsNumber="1" minValue="1.61" maxValue="30.56"/>
    </cacheField>
    <cacheField name="The lowest unit table price (ODM cost)" numFmtId="177">
      <sharedItems containsString="0" containsBlank="1" containsNumber="1" minValue="1.61" maxValue="30.58"/>
    </cacheField>
    <cacheField name="Table Price Nov" numFmtId="177">
      <sharedItems containsSemiMixedTypes="0" containsString="0" containsNumber="1" minValue="0" maxValue="30.58"/>
    </cacheField>
    <cacheField name="Table Price Dec" numFmtId="177">
      <sharedItems containsSemiMixedTypes="0" containsString="0" containsNumber="1" minValue="0" maxValue="30.58"/>
    </cacheField>
    <cacheField name="Table Price Jan" numFmtId="177">
      <sharedItems containsSemiMixedTypes="0" containsString="0" containsNumber="1" minValue="0" maxValue="30.58"/>
    </cacheField>
    <cacheField name="Table Price Feb" numFmtId="177">
      <sharedItems containsSemiMixedTypes="0" containsString="0" containsNumber="1" minValue="0" maxValue="30.58"/>
    </cacheField>
    <cacheField name="Table Price Mar" numFmtId="177">
      <sharedItems containsSemiMixedTypes="0" containsString="0" containsNumber="1" minValue="0" maxValue="30.58"/>
    </cacheField>
    <cacheField name="Table Price Apr" numFmtId="177">
      <sharedItems containsSemiMixedTypes="0" containsString="0" containsNumber="1" minValue="0" maxValue="30.58"/>
    </cacheField>
    <cacheField name="Table Price May" numFmtId="177">
      <sharedItems containsSemiMixedTypes="0" containsString="0" containsNumber="1" minValue="0" maxValue="30.58"/>
    </cacheField>
    <cacheField name="Table Price Jun" numFmtId="177">
      <sharedItems containsSemiMixedTypes="0" containsString="0" containsNumber="1" minValue="0" maxValue="30.58"/>
    </cacheField>
    <cacheField name="Table Price Jul" numFmtId="177">
      <sharedItems containsSemiMixedTypes="0" containsString="0" containsNumber="1" minValue="0" maxValue="30.58"/>
    </cacheField>
    <cacheField name="Table Price Aug" numFmtId="177">
      <sharedItems containsSemiMixedTypes="0" containsString="0" containsNumber="1" minValue="0" maxValue="30.58" count="133">
        <n v="2"/>
        <n v="1.79"/>
        <n v="2.04"/>
        <n v="9.16"/>
        <n v="9"/>
        <n v="9.01"/>
        <n v="10.92"/>
        <n v="7.58"/>
        <n v="30.52"/>
        <n v="30.42"/>
        <n v="5.14"/>
        <n v="4.93"/>
        <n v="3.9"/>
        <n v="4.79"/>
        <n v="1.8"/>
        <n v="8.0500000000000007"/>
        <n v="22.78"/>
        <n v="4.43"/>
        <n v="10.31"/>
        <n v="3.28"/>
        <n v="24.31"/>
        <n v="4.6100000000000003"/>
        <n v="4.82"/>
        <n v="5.05"/>
        <n v="5.64"/>
        <n v="4.04"/>
        <n v="1.99"/>
        <n v="4.54"/>
        <n v="6.27"/>
        <n v="6.31"/>
        <n v="6.75"/>
        <n v="5.51"/>
        <n v="5.18"/>
        <n v="5.45"/>
        <n v="5"/>
        <n v="25.26"/>
        <n v="24.07"/>
        <n v="5.42"/>
        <n v="4.87"/>
        <n v="5.32"/>
        <n v="5.17"/>
        <n v="5.62"/>
        <n v="5.59"/>
        <n v="5.81"/>
        <n v="3.75"/>
        <n v="3.88"/>
        <n v="4.18"/>
        <n v="4.1399999999999997"/>
        <n v="4.53"/>
        <n v="4.38"/>
        <n v="4.3"/>
        <n v="1.81"/>
        <n v="1.72"/>
        <n v="1.89"/>
        <n v="22.84"/>
        <n v="30.48"/>
        <n v="30.58"/>
        <n v="30.35"/>
        <n v="1.66"/>
        <n v="1.65"/>
        <n v="3.33"/>
        <n v="3.29"/>
        <n v="3.25"/>
        <n v="3.85"/>
        <n v="4.26"/>
        <n v="4.3600000000000003"/>
        <n v="4.32"/>
        <n v="4.67"/>
        <n v="4.71"/>
        <n v="4.47"/>
        <n v="4.41"/>
        <n v="4.51"/>
        <n v="4.42"/>
        <n v="4.49"/>
        <n v="4.3899999999999997"/>
        <n v="4.63"/>
        <n v="10.23"/>
        <n v="10.130000000000001"/>
        <n v="10.27"/>
        <n v="5.66"/>
        <n v="5.86"/>
        <n v="5.56"/>
        <n v="8.8699999999999992"/>
        <n v="8.85"/>
        <n v="8.86"/>
        <n v="9.02"/>
        <n v="8.84"/>
        <n v="10.77"/>
        <n v="10.73"/>
        <n v="7.48"/>
        <n v="7.46"/>
        <n v="7.4"/>
        <n v="7.42"/>
        <n v="7.92"/>
        <n v="4.99"/>
        <n v="5.03"/>
        <n v="3.69"/>
        <n v="3.79"/>
        <n v="3.77"/>
        <n v="6.35"/>
        <n v="6.6"/>
        <n v="7.86"/>
        <n v="7.8"/>
        <n v="7.9"/>
        <n v="4.66"/>
        <n v="7.45"/>
        <n v="5.1100000000000003"/>
        <n v="5.24"/>
        <n v="5.74"/>
        <n v="5.92"/>
        <n v="5.13"/>
        <n v="5.54"/>
        <n v="4.9800000000000004"/>
        <n v="5.27"/>
        <n v="3.72"/>
        <n v="3.87"/>
        <n v="4.22"/>
        <n v="4.7"/>
        <n v="4.75"/>
        <n v="4.3499999999999996"/>
        <n v="4.4000000000000004"/>
        <n v="9.7200000000000006"/>
        <n v="11.28"/>
        <n v="1.61"/>
        <n v="3.91"/>
        <n v="5.4"/>
        <n v="2.0670000000000002"/>
        <n v="3.37"/>
        <n v="3.26"/>
        <n v="3.65"/>
        <n v="11.2"/>
        <n v="11.22"/>
        <n v="0"/>
      </sharedItems>
    </cacheField>
    <cacheField name="Table Price Sep" numFmtId="177">
      <sharedItems containsSemiMixedTypes="0" containsString="0" containsNumber="1" minValue="1.61" maxValue="30.51"/>
    </cacheField>
    <cacheField name="Table Price Oct" numFmtId="177">
      <sharedItems containsSemiMixedTypes="0" containsString="0" containsNumber="1" minValue="1.61" maxValue="30.51"/>
    </cacheField>
    <cacheField name="The lowest unit rebate cost" numFmtId="177">
      <sharedItems containsString="0" containsBlank="1" containsNumber="1" minValue="0" maxValue="0.48"/>
    </cacheField>
    <cacheField name="Unit Rebate Nov" numFmtId="177">
      <sharedItems containsString="0" containsBlank="1" containsNumber="1" minValue="0" maxValue="0.48"/>
    </cacheField>
    <cacheField name="Unit Rebate Dec" numFmtId="177">
      <sharedItems containsString="0" containsBlank="1" containsNumber="1" minValue="0" maxValue="0.48"/>
    </cacheField>
    <cacheField name="Unit Rebate Jan" numFmtId="177">
      <sharedItems containsString="0" containsBlank="1" containsNumber="1" minValue="0" maxValue="0.48"/>
    </cacheField>
    <cacheField name="Unit Rebate Feb" numFmtId="177">
      <sharedItems containsString="0" containsBlank="1" containsNumber="1" minValue="0" maxValue="0.48"/>
    </cacheField>
    <cacheField name="Unit Rebate Mar" numFmtId="177">
      <sharedItems containsString="0" containsBlank="1" containsNumber="1" minValue="0" maxValue="0.48"/>
    </cacheField>
    <cacheField name="Unit Rebate Apr" numFmtId="177">
      <sharedItems containsString="0" containsBlank="1" containsNumber="1" minValue="0" maxValue="0.48"/>
    </cacheField>
    <cacheField name="Unit Rebate May" numFmtId="177">
      <sharedItems containsString="0" containsBlank="1" containsNumber="1" minValue="0" maxValue="0.48"/>
    </cacheField>
    <cacheField name="Unit Rebate Jun" numFmtId="177">
      <sharedItems containsSemiMixedTypes="0" containsString="0" containsNumber="1" minValue="0" maxValue="0.48"/>
    </cacheField>
    <cacheField name="Unit Rebate Jul" numFmtId="177">
      <sharedItems containsSemiMixedTypes="0" containsString="0" containsNumber="1" minValue="0" maxValue="0.48"/>
    </cacheField>
    <cacheField name="Unit Rebate Aug" numFmtId="177">
      <sharedItems containsSemiMixedTypes="0" containsString="0" containsNumber="1" minValue="0" maxValue="0.48"/>
    </cacheField>
    <cacheField name="Unit Rebate Sep" numFmtId="177">
      <sharedItems containsSemiMixedTypes="0" containsString="0" containsNumber="1" minValue="0" maxValue="1.36"/>
    </cacheField>
    <cacheField name="Unit Rebate Oct" numFmtId="177">
      <sharedItems containsSemiMixedTypes="0" containsString="0" containsNumber="1" minValue="0" maxValue="1.36"/>
    </cacheField>
    <cacheField name="Nov Q'ty" numFmtId="179">
      <sharedItems containsSemiMixedTypes="0" containsString="0" containsNumber="1" containsInteger="1" minValue="0" maxValue="48000"/>
    </cacheField>
    <cacheField name="Nov Rebate Amount" numFmtId="177">
      <sharedItems containsSemiMixedTypes="0" containsString="0" containsNumber="1" minValue="0" maxValue="8640"/>
    </cacheField>
    <cacheField name="Dec Q'ty" numFmtId="179">
      <sharedItems containsSemiMixedTypes="0" containsString="0" containsNumber="1" containsInteger="1" minValue="0" maxValue="94080"/>
    </cacheField>
    <cacheField name="Dec Rebate Amount" numFmtId="177">
      <sharedItems containsString="0" containsBlank="1" containsNumber="1" minValue="0" maxValue="3060"/>
    </cacheField>
    <cacheField name="Jan Q'ty" numFmtId="179">
      <sharedItems containsMixedTypes="1" containsNumber="1" containsInteger="1" minValue="1008" maxValue="43400"/>
    </cacheField>
    <cacheField name="Jan Rebate Amount" numFmtId="177">
      <sharedItems containsSemiMixedTypes="0" containsString="0" containsNumber="1" minValue="0" maxValue="7812"/>
    </cacheField>
    <cacheField name="Feb Q'ty" numFmtId="179">
      <sharedItems containsSemiMixedTypes="0" containsString="0" containsNumber="1" containsInteger="1" minValue="0" maxValue="33600"/>
    </cacheField>
    <cacheField name="Feb Rebate Amount" numFmtId="178">
      <sharedItems containsSemiMixedTypes="0" containsString="0" containsNumber="1" minValue="0" maxValue="4248"/>
    </cacheField>
    <cacheField name="Mar Q'ty" numFmtId="179">
      <sharedItems containsSemiMixedTypes="0" containsString="0" containsNumber="1" containsInteger="1" minValue="0" maxValue="51840"/>
    </cacheField>
    <cacheField name="Mar Rebate Amount" numFmtId="178">
      <sharedItems containsSemiMixedTypes="0" containsString="0" containsNumber="1" minValue="0" maxValue="5130"/>
    </cacheField>
    <cacheField name="Apr Q'ty" numFmtId="38">
      <sharedItems containsMixedTypes="1" containsNumber="1" containsInteger="1" minValue="0" maxValue="65280"/>
    </cacheField>
    <cacheField name="Apr Rebate Amount" numFmtId="178">
      <sharedItems containsSemiMixedTypes="0" containsString="0" containsNumber="1" minValue="0" maxValue="6854.4"/>
    </cacheField>
    <cacheField name="May Q'ty" numFmtId="38">
      <sharedItems containsMixedTypes="1" containsNumber="1" containsInteger="1" minValue="0" maxValue="77760"/>
    </cacheField>
    <cacheField name="May Rebate Amount" numFmtId="178">
      <sharedItems containsSemiMixedTypes="0" containsString="0" containsNumber="1" minValue="0" maxValue="4608"/>
    </cacheField>
    <cacheField name="Jun Q'ty" numFmtId="38">
      <sharedItems containsMixedTypes="1" containsNumber="1" containsInteger="1" minValue="150" maxValue="53760"/>
    </cacheField>
    <cacheField name="Jun Rebate Amount" numFmtId="178">
      <sharedItems containsSemiMixedTypes="0" containsString="0" containsNumber="1" minValue="0" maxValue="6012"/>
    </cacheField>
    <cacheField name="Jul Q'ty" numFmtId="0">
      <sharedItems containsBlank="1" containsMixedTypes="1" containsNumber="1" containsInteger="1" minValue="0" maxValue="38880"/>
    </cacheField>
    <cacheField name="Jul Rebate Amount" numFmtId="178">
      <sharedItems containsSemiMixedTypes="0" containsString="0" containsNumber="1" minValue="0" maxValue="4723.2"/>
    </cacheField>
    <cacheField name="Aug Q'ty" numFmtId="0">
      <sharedItems containsBlank="1" containsMixedTypes="1" containsNumber="1" containsInteger="1" minValue="0" maxValue="25920"/>
    </cacheField>
    <cacheField name="Aug Rebate Amount" numFmtId="178">
      <sharedItems containsSemiMixedTypes="0" containsString="0" containsNumber="1" minValue="0" maxValue="4644"/>
    </cacheField>
    <cacheField name="Sep Q'ty" numFmtId="0">
      <sharedItems containsBlank="1" containsMixedTypes="1" containsNumber="1" containsInteger="1" minValue="0" maxValue="82080"/>
    </cacheField>
    <cacheField name="Sep Rebate Amount" numFmtId="178">
      <sharedItems containsSemiMixedTypes="0" containsString="0" containsNumber="1" minValue="0" maxValue="8460"/>
    </cacheField>
    <cacheField name="Oct Q'ty" numFmtId="179">
      <sharedItems containsMixedTypes="1" containsNumber="1" containsInteger="1" minValue="1008" maxValue="26880"/>
    </cacheField>
    <cacheField name="Oct Rebate Amount" numFmtId="178">
      <sharedItems containsString="0" containsBlank="1" containsNumber="1" minValue="0" maxValue="8486.4000000000015"/>
    </cacheField>
    <cacheField name="Supplier Part#" numFmtId="178">
      <sharedItems count="249">
        <s v="4QM14AA#UUF"/>
        <s v="4QM14AA#ABB"/>
        <s v="4QM14AA#ABL"/>
        <s v="1Y4D0AA#AC3"/>
        <s v="1Y4D0UT#AB1"/>
        <s v="18H24AA#AC3"/>
        <s v="3L1F0AA#AC3"/>
        <s v="3L1E7AA#AC3"/>
        <s v="1D0K9AA#ABB"/>
        <s v="1D0K8AA#AC3"/>
        <s v="1D0K9AA#ABL"/>
        <s v="240J7AA#AC3"/>
        <s v="5B8C0AA#ACJ"/>
        <s v="664R5AA#AC3"/>
        <s v="V0L79AA#ABB"/>
        <s v="6VY96AA#ABB"/>
        <s v="2V9E6AA#AC3"/>
        <s v="1D0K2AA#AC3"/>
        <s v="4E407AA#AC3"/>
        <s v="3ML04AA#AC3"/>
        <s v="2S9L1AA#ABB"/>
        <s v="6E6F0AA#ABB"/>
        <s v="43N04AA#ABB"/>
        <s v="683N7AA#ABL"/>
        <s v="683N8AA#ABL"/>
        <s v="683N9AA#ABL"/>
        <s v="2HU82AA#ABB"/>
        <s v="H2C21AA#ACJ"/>
        <s v="3FV66AA#ABB"/>
        <s v="3FV66AA#UUF"/>
        <s v="7KX10AA#ABB"/>
        <s v="7KX11AA#ABB"/>
        <s v="7KX12AA#ABB"/>
        <s v="758A8AA#ABA"/>
        <s v="758A8AA#ABB"/>
        <s v="758A8AA#UUF"/>
        <s v="758A9AA#ABA"/>
        <s v="758A9AA#ABB"/>
        <s v="758A9AA#UUF"/>
        <s v="N72845-A21"/>
        <s v="N72845-371"/>
        <s v="N72845-001"/>
        <s v="6V2J7AA#ABL"/>
        <s v="6V2J7AA#ABB"/>
        <s v="6V2J7AA#UUF"/>
        <s v="6V2J7AA#ACJ"/>
        <s v="6E6F0AA#ABL"/>
        <s v="6E6F0AA#UUF"/>
        <s v="6E6F1AA#ABL"/>
        <s v="6E6F1AA#UUF"/>
        <s v="6E6F2AA#ABL"/>
        <s v="6E6F2AA#ABB"/>
        <s v="6E6F2AA#UUF"/>
        <s v="N61958-001"/>
        <s v="N61958-371"/>
        <s v="N61958-A21"/>
        <s v="V0L79AA#UUF"/>
        <s v="V0L80AA#ABB"/>
        <s v="V0L80AA#UUF"/>
        <s v="V0L81AA#ABB"/>
        <s v="V0L82AA#ABB"/>
        <s v="X7Q43AA#ABB"/>
        <s v="X7Q43AA#UUF"/>
        <s v="X7Q44AA#ABB"/>
        <s v="X7Q44AA#UUF"/>
        <s v="4VY82AA#ABB"/>
        <s v="7UH88AA#ABB"/>
        <s v="171D8AA#ABB"/>
        <s v="X6W31AA#ABL"/>
        <s v="X6W31AA#ABB"/>
        <s v="X6W31AA#UUF"/>
        <s v="2HU82AA#ABL"/>
        <s v="2HU82AA#UUF"/>
        <s v="2HU83AA#ABL"/>
        <s v="2HU83AA#ABB"/>
        <s v="2HU84AA#ABL"/>
        <s v="2HU84AA#ABB"/>
        <s v="2HU84AA#UUF"/>
        <s v="2HU85AA#ABL"/>
        <s v="2HU85AA#UUF"/>
        <s v="6VY96AA#ABM"/>
        <s v="6VY96AA#ACJ"/>
        <s v="6VY96AA#UUF"/>
        <s v="6VY96AA#ABA"/>
        <s v="822M9AA#ABA"/>
        <s v="822M9AA#UUF"/>
        <s v="822M9UT#ABA"/>
        <s v="822M9UT#ABB"/>
        <s v="822M9UT#UUF"/>
        <s v="1D0K2AA#ABA"/>
        <s v="1D0K2AA#UUF"/>
        <s v="1D0K8AA#ABA"/>
        <s v="1D0K8AA#UUF"/>
        <s v="1D0K9AA#UUF"/>
        <s v="N62007-001"/>
        <s v="N62007-371"/>
        <s v="N62007-A21"/>
        <s v="240J6AA#ABM"/>
        <s v="240J6AA#UUF"/>
        <s v="240J6AA#ACJ"/>
        <s v="2S9L1AA#ABM"/>
        <s v="2S9L1AA#UUF"/>
        <s v="2S9L1AA#ACJ"/>
        <s v="2S9L1AA#ABL"/>
        <s v="N20172-A21"/>
        <s v="N20172-371"/>
        <s v="N20172-001"/>
        <s v="3V0G9AA#ABB"/>
        <s v="3V0G9AA#ABM"/>
        <s v="3V0G9AA#UUF"/>
        <s v="43N04AA#ABA"/>
        <s v="43N04AA#ABM"/>
        <s v="43N04AA#UUF"/>
        <s v="43N05AA#ABA"/>
        <s v="43N05AA#ABB"/>
        <s v="43N05AA#ABM"/>
        <s v="43N05AA#UUF"/>
        <s v="793F9AA#ABA"/>
        <s v="793F9AA#ABB"/>
        <s v="793F9AA#UUF"/>
        <s v="81S67AA#ABB"/>
        <s v="81S67AA#UUF"/>
        <s v="81S67UT#UUF"/>
        <s v="4E407AA#ACJ"/>
        <s v="4E407AA#UUF"/>
        <s v="4E407AA#ABM"/>
        <s v="4E407AA#ABL"/>
        <s v="4E407UT#AC3"/>
        <s v="4E407UT#ABM"/>
        <s v="4E407UT#ABL"/>
        <s v="4E407UT#UUF"/>
        <s v="N61962-371"/>
        <s v="N61962-001"/>
        <s v="N61962-A21"/>
        <s v="AJ7C2AA#ABA"/>
        <s v="AJ7C2AA#ABB"/>
        <s v="AJ7C2AA#UUF"/>
        <s v="3ML04AA#UUF"/>
        <s v="3ML04AA#ABL"/>
        <s v="3ML04AA#ABM"/>
        <s v="9DF28AA#UUF"/>
        <s v="9DF28AA#AC3"/>
        <s v="9DF28AA#ABL"/>
        <s v="18H24AA#AC4"/>
        <s v="18H24AA#ABM"/>
        <s v="18H24AA#UUF"/>
        <s v="18H24AA#AB1"/>
        <s v="18H24AA#ABA"/>
        <s v="1Y4D0AA#UUF"/>
        <s v="1Y4D0AA#AB1"/>
        <s v="1Y4D0AA#ABA"/>
        <s v="1Y4D0AA#ABM"/>
        <s v="1Y4D0AA#AC4"/>
        <s v="1Y4D0AA#ABC"/>
        <s v="1Y4D0UT#ABA"/>
        <s v="1Y4D0UT#ABC"/>
        <s v="1Y4D0UT#ABM"/>
        <s v="1Y4D0UT#AC3"/>
        <s v="1Y4D0UT#UUF"/>
        <s v="1Y4D0UT#AC4"/>
        <s v="3L1F0AA#ABM"/>
        <s v="3L1F0AA#UUF"/>
        <s v="3L1E7AA#AC4"/>
        <s v="3L1E7AA#ABM"/>
        <s v="3L1E7AA#UUF"/>
        <s v="3L1E7AA#ABA"/>
        <s v="3L1E7AA#ABJ"/>
        <s v="240J7AA#UUF"/>
        <s v="240J7AA#ACJ"/>
        <s v="240J7AA#AC4"/>
        <s v="240J7AA#ABM"/>
        <s v="240J7AA#ABL"/>
        <s v="664R5AA#UUF"/>
        <s v="664R5AA#ACJ"/>
        <s v="664R5AA#ABM"/>
        <s v="664R5AA#ABL"/>
        <s v="805T2AA#ABA"/>
        <s v="805T2AA#AC3"/>
        <s v="805T2AA#ABM"/>
        <s v="805T2AA#UUF"/>
        <s v="805T1AA#ABA"/>
        <s v="805T1AA#AC3"/>
        <s v="2V9E6AA#UUF"/>
        <s v="2V9E6AA#ACJ"/>
        <s v="2V9E6AA#AC4"/>
        <s v="2V9E6AA#ABM"/>
        <s v="2V9E6AA#ABL"/>
        <s v="M03085-001"/>
        <s v="L13998-002"/>
        <s v="N43864-001"/>
        <s v="N43866-001"/>
        <s v="N38404-001"/>
        <s v="N87312-001"/>
        <s v="N87314-001"/>
        <s v="N87318-001"/>
        <s v="N87316-001"/>
        <s v="M49894-001"/>
        <s v="L77930-001"/>
        <s v="681S1AA#ABL"/>
        <s v="681R7AA#ABL"/>
        <s v="681R8AA#ABL"/>
        <s v="681R9AA#ABL"/>
        <s v="681S0AA#ABL"/>
        <s v="66Z09AA#ABL"/>
        <s v="M53402-001"/>
        <s v="3V0G9AA#ABA"/>
        <s v="N37103-001"/>
        <s v="N37102-001"/>
        <s v="M40045-161"/>
        <s v="M40043-161"/>
        <s v="240J6AA#ABB"/>
        <s v="5B8B7AA#ACJ"/>
        <s v="6VY95AA#ABB"/>
        <s v="6VY95AA#ACJ"/>
        <s v="8R3U1AA#ABA"/>
        <s v="8R3U1AA#ABB"/>
        <s v="8R3U1AA#ACJ"/>
        <s v="8R3U1AA#UUF"/>
        <s v="8R3U1UT#ABA"/>
        <s v="8R3U1UT#ABB"/>
        <s v="850633-001"/>
        <s v="L07896-DB1"/>
        <s v="6E+P8C01.011"/>
        <s v="6E+P8C01.001"/>
        <s v="2UN30AA#AB2"/>
        <s v="9C2F6AA#ABA"/>
        <s v="9C2F6AA#ABB"/>
        <s v="9C2F6AA#UUF"/>
        <s v="9C2F7AA#ABA"/>
        <s v="9C2F7AA#ABB"/>
        <s v="9C2F7AA#UUF"/>
        <s v="9T5A9AA#ABA"/>
        <s v="9T5A9AA#ABJ"/>
        <s v="9T5A9AA#AC3"/>
        <s v="9T5A9AA#UUF"/>
        <s v="9T5B0UT#ABA"/>
        <s v="9T5B0UT#ABJ"/>
        <s v="9T5B0UT#AC3"/>
        <s v="9T5B0UT#UUF"/>
        <s v="9T5B1AA#ABA"/>
        <s v="9T5B1AA#ABJ"/>
        <s v="9T5B1AA#ABM"/>
        <s v="9T5B1AA#AC3"/>
        <s v="9T5B1AA#UUF"/>
        <s v="9T5B2AA#ABA"/>
        <s v="9T5B2AA#ABJ"/>
        <s v="9T5B2AA#ABM"/>
        <s v="9T5B2AA#AC3"/>
        <s v="9T5B2AA#UUF"/>
      </sharedItems>
    </cacheField>
    <cacheField name="Comment" numFmtId="0">
      <sharedItems count="15">
        <s v="Foxconn LH"/>
        <s v="Foxconn CZ"/>
        <s v="Flextronics CZ"/>
        <s v="Ryder Indy"/>
        <s v="HP India"/>
        <s v="QUANTA"/>
        <s v="Inventec"/>
        <s v="Compal"/>
        <s v="Wistron"/>
        <s v="Foxconn Indy"/>
        <s v="FOX CQ"/>
        <s v="HP Japan"/>
        <s v="Huaqin"/>
        <s v="Darfon"/>
        <s v="Shanghai"/>
      </sharedItems>
    </cacheField>
    <cacheField name="Region" numFmtId="178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son" refreshedDate="45999.389161574072" createdVersion="8" refreshedVersion="8" minRefreshableVersion="3" recordCount="317" xr:uid="{6A3A8463-C439-4AD6-A5A7-8FE99A0C674A}">
  <cacheSource type="worksheet">
    <worksheetSource ref="A2:BL1048576" sheet="FY24"/>
  </cacheSource>
  <cacheFields count="64">
    <cacheField name="FY24" numFmtId="178">
      <sharedItems containsBlank="1"/>
    </cacheField>
    <cacheField name="SPM (Project Owner)" numFmtId="178">
      <sharedItems containsBlank="1"/>
    </cacheField>
    <cacheField name="GTK Suppliers" numFmtId="178">
      <sharedItems containsBlank="1"/>
    </cacheField>
    <cacheField name="Category" numFmtId="178">
      <sharedItems containsBlank="1"/>
    </cacheField>
    <cacheField name="Segment" numFmtId="178">
      <sharedItems containsBlank="1"/>
    </cacheField>
    <cacheField name="Series" numFmtId="178">
      <sharedItems containsBlank="1"/>
    </cacheField>
    <cacheField name="Production Year" numFmtId="0">
      <sharedItems containsString="0" containsBlank="1" containsNumber="1" containsInteger="1" minValue="2016" maxValue="2023"/>
    </cacheField>
    <cacheField name="Platforms" numFmtId="178">
      <sharedItems containsBlank="1"/>
    </cacheField>
    <cacheField name="Product" numFmtId="0">
      <sharedItems containsBlank="1"/>
    </cacheField>
    <cacheField name="Size" numFmtId="0">
      <sharedItems containsBlank="1"/>
    </cacheField>
    <cacheField name="Color" numFmtId="178">
      <sharedItems containsBlank="1"/>
    </cacheField>
    <cacheField name="Location" numFmtId="178">
      <sharedItems containsBlank="1"/>
    </cacheField>
    <cacheField name="ODM" numFmtId="177">
      <sharedItems containsBlank="1"/>
    </cacheField>
    <cacheField name="RFQ Final Cost" numFmtId="177">
      <sharedItems containsString="0" containsBlank="1" containsNumber="1" minValue="1.61" maxValue="30.56"/>
    </cacheField>
    <cacheField name="The lowest unit table price (ODM cost)" numFmtId="177">
      <sharedItems containsString="0" containsBlank="1" containsNumber="1" minValue="1.61" maxValue="30.58"/>
    </cacheField>
    <cacheField name="Table Price Nov" numFmtId="177">
      <sharedItems containsString="0" containsBlank="1" containsNumber="1" minValue="0" maxValue="30.58"/>
    </cacheField>
    <cacheField name="Table Price Dec" numFmtId="177">
      <sharedItems containsString="0" containsBlank="1" containsNumber="1" minValue="0" maxValue="30.58"/>
    </cacheField>
    <cacheField name="Table Price Jan" numFmtId="177">
      <sharedItems containsString="0" containsBlank="1" containsNumber="1" minValue="0" maxValue="30.58"/>
    </cacheField>
    <cacheField name="Table Price Feb" numFmtId="177">
      <sharedItems containsString="0" containsBlank="1" containsNumber="1" minValue="0" maxValue="30.58"/>
    </cacheField>
    <cacheField name="Table Price Mar" numFmtId="177">
      <sharedItems containsString="0" containsBlank="1" containsNumber="1" minValue="0" maxValue="30.58"/>
    </cacheField>
    <cacheField name="Table Price Apr" numFmtId="177">
      <sharedItems containsString="0" containsBlank="1" containsNumber="1" minValue="0" maxValue="30.58"/>
    </cacheField>
    <cacheField name="Table Price May" numFmtId="177">
      <sharedItems containsString="0" containsBlank="1" containsNumber="1" minValue="0" maxValue="30.58"/>
    </cacheField>
    <cacheField name="Table Price Jun" numFmtId="177">
      <sharedItems containsString="0" containsBlank="1" containsNumber="1" minValue="0" maxValue="30.58"/>
    </cacheField>
    <cacheField name="Table Price Jul" numFmtId="177">
      <sharedItems containsString="0" containsBlank="1" containsNumber="1" minValue="0" maxValue="30.58"/>
    </cacheField>
    <cacheField name="Table Price Aug" numFmtId="177">
      <sharedItems containsString="0" containsBlank="1" containsNumber="1" minValue="0" maxValue="30.58"/>
    </cacheField>
    <cacheField name="Table Price Sep" numFmtId="177">
      <sharedItems containsString="0" containsBlank="1" containsNumber="1" minValue="1.61" maxValue="30.51"/>
    </cacheField>
    <cacheField name="Table Price Oct" numFmtId="177">
      <sharedItems containsString="0" containsBlank="1" containsNumber="1" minValue="1.61" maxValue="30.51"/>
    </cacheField>
    <cacheField name="The lowest unit rebate cost" numFmtId="177">
      <sharedItems containsString="0" containsBlank="1" containsNumber="1" minValue="0" maxValue="0.48"/>
    </cacheField>
    <cacheField name="Unit Rebate Nov" numFmtId="177">
      <sharedItems containsString="0" containsBlank="1" containsNumber="1" minValue="0" maxValue="0.48"/>
    </cacheField>
    <cacheField name="Unit Rebate Dec" numFmtId="177">
      <sharedItems containsString="0" containsBlank="1" containsNumber="1" minValue="0" maxValue="0.48"/>
    </cacheField>
    <cacheField name="Unit Rebate Jan" numFmtId="177">
      <sharedItems containsString="0" containsBlank="1" containsNumber="1" minValue="0" maxValue="0.48"/>
    </cacheField>
    <cacheField name="Unit Rebate Feb" numFmtId="177">
      <sharedItems containsString="0" containsBlank="1" containsNumber="1" minValue="0" maxValue="0.48"/>
    </cacheField>
    <cacheField name="Unit Rebate Mar" numFmtId="177">
      <sharedItems containsString="0" containsBlank="1" containsNumber="1" minValue="0" maxValue="0.48"/>
    </cacheField>
    <cacheField name="Unit Rebate Apr" numFmtId="177">
      <sharedItems containsString="0" containsBlank="1" containsNumber="1" minValue="0" maxValue="0.48"/>
    </cacheField>
    <cacheField name="Unit Rebate May" numFmtId="177">
      <sharedItems containsString="0" containsBlank="1" containsNumber="1" minValue="0" maxValue="0.48"/>
    </cacheField>
    <cacheField name="Unit Rebate Jun" numFmtId="177">
      <sharedItems containsString="0" containsBlank="1" containsNumber="1" minValue="0" maxValue="0.48"/>
    </cacheField>
    <cacheField name="Unit Rebate Jul" numFmtId="177">
      <sharedItems containsString="0" containsBlank="1" containsNumber="1" minValue="0" maxValue="0.48"/>
    </cacheField>
    <cacheField name="Unit Rebate Aug" numFmtId="177">
      <sharedItems containsString="0" containsBlank="1" containsNumber="1" minValue="0" maxValue="0.48"/>
    </cacheField>
    <cacheField name="Unit Rebate Sep" numFmtId="177">
      <sharedItems containsString="0" containsBlank="1" containsNumber="1" minValue="0" maxValue="1.36"/>
    </cacheField>
    <cacheField name="Unit Rebate Oct" numFmtId="0">
      <sharedItems containsString="0" containsBlank="1" containsNumber="1" minValue="0" maxValue="1.36"/>
    </cacheField>
    <cacheField name="Nov Q'ty" numFmtId="0">
      <sharedItems containsString="0" containsBlank="1" containsNumber="1" minValue="0" maxValue="2637784.5600000005"/>
    </cacheField>
    <cacheField name="Nov Rebate Amount" numFmtId="0">
      <sharedItems containsString="0" containsBlank="1" containsNumber="1" minValue="0" maxValue="8640"/>
    </cacheField>
    <cacheField name="Dec Q'ty" numFmtId="0">
      <sharedItems containsString="0" containsBlank="1" containsNumber="1" minValue="0" maxValue="2786280.96"/>
    </cacheField>
    <cacheField name="Dec Rebate Amount" numFmtId="0">
      <sharedItems containsString="0" containsBlank="1" containsNumber="1" minValue="0" maxValue="3060"/>
    </cacheField>
    <cacheField name="Jan Q'ty" numFmtId="0">
      <sharedItems containsBlank="1" containsMixedTypes="1" containsNumber="1" minValue="1008" maxValue="3925223.959999999"/>
    </cacheField>
    <cacheField name="Jan Rebate Amount" numFmtId="0">
      <sharedItems containsString="0" containsBlank="1" containsNumber="1" minValue="0" maxValue="7812"/>
    </cacheField>
    <cacheField name="Feb Q'ty" numFmtId="0">
      <sharedItems containsString="0" containsBlank="1" containsNumber="1" minValue="0" maxValue="1008146.66"/>
    </cacheField>
    <cacheField name="Feb Rebate Amount" numFmtId="0">
      <sharedItems containsString="0" containsBlank="1" containsNumber="1" minValue="0" maxValue="4248"/>
    </cacheField>
    <cacheField name="Mar Q'ty" numFmtId="0">
      <sharedItems containsString="0" containsBlank="1" containsNumber="1" minValue="0" maxValue="3558601.1"/>
    </cacheField>
    <cacheField name="Mar Rebate Amount" numFmtId="0">
      <sharedItems containsString="0" containsBlank="1" containsNumber="1" minValue="0" maxValue="5130"/>
    </cacheField>
    <cacheField name="Apr Q'ty" numFmtId="0">
      <sharedItems containsBlank="1" containsMixedTypes="1" containsNumber="1" minValue="0" maxValue="4370145.4000000004"/>
    </cacheField>
    <cacheField name="Apr Rebate Amount" numFmtId="0">
      <sharedItems containsString="0" containsBlank="1" containsNumber="1" minValue="0" maxValue="6854.4"/>
    </cacheField>
    <cacheField name="May Q'ty" numFmtId="0">
      <sharedItems containsBlank="1" containsMixedTypes="1" containsNumber="1" minValue="0" maxValue="3967566.36"/>
    </cacheField>
    <cacheField name="May Rebate Amount" numFmtId="0">
      <sharedItems containsString="0" containsBlank="1" containsNumber="1" minValue="0" maxValue="4608"/>
    </cacheField>
    <cacheField name="Jun Q'ty" numFmtId="0">
      <sharedItems containsBlank="1" containsMixedTypes="1" containsNumber="1" minValue="150" maxValue="3511636.439999999"/>
    </cacheField>
    <cacheField name="Jun Rebate Amount" numFmtId="0">
      <sharedItems containsString="0" containsBlank="1" containsNumber="1" minValue="0" maxValue="6012"/>
    </cacheField>
    <cacheField name="Jul Q'ty" numFmtId="0">
      <sharedItems containsBlank="1" containsMixedTypes="1" containsNumber="1" minValue="0" maxValue="2750885.94"/>
    </cacheField>
    <cacheField name="Jul Rebate Amount" numFmtId="0">
      <sharedItems containsString="0" containsBlank="1" containsNumber="1" minValue="0" maxValue="4723.2"/>
    </cacheField>
    <cacheField name="Aug Q'ty" numFmtId="0">
      <sharedItems containsBlank="1" containsMixedTypes="1" containsNumber="1" minValue="0" maxValue="3071729.0999999992"/>
    </cacheField>
    <cacheField name="Aug Rebate Amount" numFmtId="0">
      <sharedItems containsString="0" containsBlank="1" containsNumber="1" minValue="0" maxValue="4644"/>
    </cacheField>
    <cacheField name="Sep Q'ty" numFmtId="0">
      <sharedItems containsBlank="1" containsMixedTypes="1" containsNumber="1" minValue="0" maxValue="4225467.5"/>
    </cacheField>
    <cacheField name="Sep Rebate Amount" numFmtId="0">
      <sharedItems containsString="0" containsBlank="1" containsNumber="1" minValue="0" maxValue="8460"/>
    </cacheField>
    <cacheField name="Oct Q'ty" numFmtId="0">
      <sharedItems containsBlank="1" containsMixedTypes="1" containsNumber="1" minValue="1008" maxValue="3052487.3599999989"/>
    </cacheField>
    <cacheField name="Oct Rebate Amount" numFmtId="0">
      <sharedItems containsString="0" containsBlank="1" containsNumber="1" minValue="0" maxValue="8486.4000000000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son" refreshedDate="45999.389161689818" createdVersion="8" refreshedVersion="8" minRefreshableVersion="3" recordCount="284" xr:uid="{EC8CEC76-68A1-42FB-AED6-E4AD58AC05F2}">
  <cacheSource type="worksheet">
    <worksheetSource ref="A2:BN286" sheet="FY24"/>
  </cacheSource>
  <cacheFields count="66">
    <cacheField name="FY24" numFmtId="178">
      <sharedItems/>
    </cacheField>
    <cacheField name="SPM (Project Owner)" numFmtId="178">
      <sharedItems containsBlank="1"/>
    </cacheField>
    <cacheField name="GTK Suppliers" numFmtId="178">
      <sharedItems containsBlank="1"/>
    </cacheField>
    <cacheField name="Category" numFmtId="178">
      <sharedItems containsBlank="1"/>
    </cacheField>
    <cacheField name="Segment" numFmtId="178">
      <sharedItems containsBlank="1"/>
    </cacheField>
    <cacheField name="Series" numFmtId="178">
      <sharedItems containsBlank="1"/>
    </cacheField>
    <cacheField name="Production Year" numFmtId="0">
      <sharedItems containsSemiMixedTypes="0" containsString="0" containsNumber="1" containsInteger="1" minValue="2016" maxValue="2023"/>
    </cacheField>
    <cacheField name="Platforms" numFmtId="178">
      <sharedItems count="34">
        <s v="Bogota"/>
        <s v="Brac"/>
        <s v="BracWhiteComb"/>
        <s v="BracWLKB"/>
        <s v="Brain"/>
        <s v="Elephanta"/>
        <s v="ElephantaBPS"/>
        <s v="ElephantaKB"/>
        <s v="Gadget"/>
        <s v="Galapagos"/>
        <s v="Havelock"/>
        <s v="Jerry"/>
        <s v="KentingPlus"/>
        <s v="KingKong"/>
        <s v="Kitkat"/>
        <s v="Mickey"/>
        <s v="MilkaB"/>
        <s v="Moscow1BlueLed"/>
        <s v="Oman"/>
        <s v="Brazilia"/>
        <s v="Gadget dual"/>
        <s v="Sochi"/>
        <s v="Oreo"/>
        <s v="Capri"/>
        <s v="Havelock KB"/>
        <s v="Moscow blue LED refresh"/>
        <s v="OreoBPS"/>
        <s v="Kenting"/>
        <s v="Jaipur"/>
        <s v="Nanjing"/>
        <s v="Ivy dongle"/>
        <s v="Buble 2"/>
        <s v="Jazz"/>
        <s v="Jazz KB"/>
      </sharedItems>
    </cacheField>
    <cacheField name="Product" numFmtId="0">
      <sharedItems/>
    </cacheField>
    <cacheField name="Size" numFmtId="0">
      <sharedItems/>
    </cacheField>
    <cacheField name="Color" numFmtId="178">
      <sharedItems/>
    </cacheField>
    <cacheField name="Location" numFmtId="178">
      <sharedItems/>
    </cacheField>
    <cacheField name="ODM" numFmtId="177">
      <sharedItems/>
    </cacheField>
    <cacheField name="RFQ Final Cost" numFmtId="177">
      <sharedItems containsString="0" containsBlank="1" containsNumber="1" minValue="1.61" maxValue="30.56"/>
    </cacheField>
    <cacheField name="The lowest unit table price (ODM cost)" numFmtId="177">
      <sharedItems containsString="0" containsBlank="1" containsNumber="1" minValue="1.61" maxValue="30.58"/>
    </cacheField>
    <cacheField name="Table Price Nov" numFmtId="177">
      <sharedItems containsSemiMixedTypes="0" containsString="0" containsNumber="1" minValue="0" maxValue="30.58"/>
    </cacheField>
    <cacheField name="Table Price Dec" numFmtId="177">
      <sharedItems containsSemiMixedTypes="0" containsString="0" containsNumber="1" minValue="0" maxValue="30.58"/>
    </cacheField>
    <cacheField name="Table Price Jan" numFmtId="177">
      <sharedItems containsSemiMixedTypes="0" containsString="0" containsNumber="1" minValue="0" maxValue="30.58"/>
    </cacheField>
    <cacheField name="Table Price Feb" numFmtId="177">
      <sharedItems containsSemiMixedTypes="0" containsString="0" containsNumber="1" minValue="0" maxValue="30.58"/>
    </cacheField>
    <cacheField name="Table Price Mar" numFmtId="177">
      <sharedItems containsSemiMixedTypes="0" containsString="0" containsNumber="1" minValue="0" maxValue="30.58"/>
    </cacheField>
    <cacheField name="Table Price Apr" numFmtId="177">
      <sharedItems containsSemiMixedTypes="0" containsString="0" containsNumber="1" minValue="0" maxValue="30.58"/>
    </cacheField>
    <cacheField name="Table Price May" numFmtId="177">
      <sharedItems containsSemiMixedTypes="0" containsString="0" containsNumber="1" minValue="0" maxValue="30.58"/>
    </cacheField>
    <cacheField name="Table Price Jun" numFmtId="177">
      <sharedItems containsSemiMixedTypes="0" containsString="0" containsNumber="1" minValue="0" maxValue="30.58"/>
    </cacheField>
    <cacheField name="Table Price Jul" numFmtId="177">
      <sharedItems containsSemiMixedTypes="0" containsString="0" containsNumber="1" minValue="0" maxValue="30.58"/>
    </cacheField>
    <cacheField name="Table Price Aug" numFmtId="177">
      <sharedItems containsSemiMixedTypes="0" containsString="0" containsNumber="1" minValue="0" maxValue="30.58"/>
    </cacheField>
    <cacheField name="Table Price Sep" numFmtId="177">
      <sharedItems containsSemiMixedTypes="0" containsString="0" containsNumber="1" minValue="1.61" maxValue="30.51"/>
    </cacheField>
    <cacheField name="Table Price Oct" numFmtId="177">
      <sharedItems containsSemiMixedTypes="0" containsString="0" containsNumber="1" minValue="1.61" maxValue="30.51"/>
    </cacheField>
    <cacheField name="The lowest unit rebate cost" numFmtId="177">
      <sharedItems containsString="0" containsBlank="1" containsNumber="1" minValue="0" maxValue="0.48"/>
    </cacheField>
    <cacheField name="Unit Rebate Nov" numFmtId="177">
      <sharedItems containsString="0" containsBlank="1" containsNumber="1" minValue="0" maxValue="0.48"/>
    </cacheField>
    <cacheField name="Unit Rebate Dec" numFmtId="177">
      <sharedItems containsString="0" containsBlank="1" containsNumber="1" minValue="0" maxValue="0.48"/>
    </cacheField>
    <cacheField name="Unit Rebate Jan" numFmtId="177">
      <sharedItems containsString="0" containsBlank="1" containsNumber="1" minValue="0" maxValue="0.48"/>
    </cacheField>
    <cacheField name="Unit Rebate Feb" numFmtId="177">
      <sharedItems containsString="0" containsBlank="1" containsNumber="1" minValue="0" maxValue="0.48"/>
    </cacheField>
    <cacheField name="Unit Rebate Mar" numFmtId="177">
      <sharedItems containsString="0" containsBlank="1" containsNumber="1" minValue="0" maxValue="0.48"/>
    </cacheField>
    <cacheField name="Unit Rebate Apr" numFmtId="177">
      <sharedItems containsString="0" containsBlank="1" containsNumber="1" minValue="0" maxValue="0.48"/>
    </cacheField>
    <cacheField name="Unit Rebate May" numFmtId="177">
      <sharedItems containsString="0" containsBlank="1" containsNumber="1" minValue="0" maxValue="0.48"/>
    </cacheField>
    <cacheField name="Unit Rebate Jun" numFmtId="177">
      <sharedItems containsSemiMixedTypes="0" containsString="0" containsNumber="1" minValue="0" maxValue="0.48"/>
    </cacheField>
    <cacheField name="Unit Rebate Jul" numFmtId="177">
      <sharedItems containsSemiMixedTypes="0" containsString="0" containsNumber="1" minValue="0" maxValue="0.48"/>
    </cacheField>
    <cacheField name="Unit Rebate Aug" numFmtId="177">
      <sharedItems containsSemiMixedTypes="0" containsString="0" containsNumber="1" minValue="0" maxValue="0.48"/>
    </cacheField>
    <cacheField name="Unit Rebate Sep" numFmtId="177">
      <sharedItems containsSemiMixedTypes="0" containsString="0" containsNumber="1" minValue="0" maxValue="1.36"/>
    </cacheField>
    <cacheField name="Unit Rebate Oct" numFmtId="177">
      <sharedItems containsSemiMixedTypes="0" containsString="0" containsNumber="1" minValue="0" maxValue="1.36"/>
    </cacheField>
    <cacheField name="Nov Q'ty" numFmtId="179">
      <sharedItems containsSemiMixedTypes="0" containsString="0" containsNumber="1" containsInteger="1" minValue="0" maxValue="48000"/>
    </cacheField>
    <cacheField name="Nov Rebate Amount" numFmtId="177">
      <sharedItems containsSemiMixedTypes="0" containsString="0" containsNumber="1" minValue="0" maxValue="8640"/>
    </cacheField>
    <cacheField name="Dec Q'ty" numFmtId="179">
      <sharedItems containsSemiMixedTypes="0" containsString="0" containsNumber="1" containsInteger="1" minValue="0" maxValue="94080"/>
    </cacheField>
    <cacheField name="Dec Rebate Amount" numFmtId="177">
      <sharedItems containsString="0" containsBlank="1" containsNumber="1" minValue="0" maxValue="3060"/>
    </cacheField>
    <cacheField name="Jan Q'ty" numFmtId="179">
      <sharedItems containsMixedTypes="1" containsNumber="1" containsInteger="1" minValue="1008" maxValue="43400"/>
    </cacheField>
    <cacheField name="Jan Rebate Amount" numFmtId="177">
      <sharedItems containsSemiMixedTypes="0" containsString="0" containsNumber="1" minValue="0" maxValue="7812"/>
    </cacheField>
    <cacheField name="Feb Q'ty" numFmtId="179">
      <sharedItems containsSemiMixedTypes="0" containsString="0" containsNumber="1" containsInteger="1" minValue="0" maxValue="33600"/>
    </cacheField>
    <cacheField name="Feb Rebate Amount" numFmtId="178">
      <sharedItems containsSemiMixedTypes="0" containsString="0" containsNumber="1" minValue="0" maxValue="4248"/>
    </cacheField>
    <cacheField name="Mar Q'ty" numFmtId="179">
      <sharedItems containsSemiMixedTypes="0" containsString="0" containsNumber="1" containsInteger="1" minValue="0" maxValue="51840"/>
    </cacheField>
    <cacheField name="Mar Rebate Amount" numFmtId="178">
      <sharedItems containsSemiMixedTypes="0" containsString="0" containsNumber="1" minValue="0" maxValue="5130"/>
    </cacheField>
    <cacheField name="Apr Q'ty" numFmtId="38">
      <sharedItems containsMixedTypes="1" containsNumber="1" containsInteger="1" minValue="0" maxValue="65280"/>
    </cacheField>
    <cacheField name="Apr Rebate Amount" numFmtId="178">
      <sharedItems containsSemiMixedTypes="0" containsString="0" containsNumber="1" minValue="0" maxValue="6854.4"/>
    </cacheField>
    <cacheField name="May Q'ty" numFmtId="38">
      <sharedItems containsMixedTypes="1" containsNumber="1" containsInteger="1" minValue="0" maxValue="77760"/>
    </cacheField>
    <cacheField name="May Rebate Amount" numFmtId="178">
      <sharedItems containsSemiMixedTypes="0" containsString="0" containsNumber="1" minValue="0" maxValue="4608"/>
    </cacheField>
    <cacheField name="Jun Q'ty" numFmtId="38">
      <sharedItems containsMixedTypes="1" containsNumber="1" containsInteger="1" minValue="150" maxValue="53760"/>
    </cacheField>
    <cacheField name="Jun Rebate Amount" numFmtId="178">
      <sharedItems containsSemiMixedTypes="0" containsString="0" containsNumber="1" minValue="0" maxValue="6012"/>
    </cacheField>
    <cacheField name="Jul Q'ty" numFmtId="0">
      <sharedItems containsBlank="1" containsMixedTypes="1" containsNumber="1" containsInteger="1" minValue="0" maxValue="38880"/>
    </cacheField>
    <cacheField name="Jul Rebate Amount" numFmtId="178">
      <sharedItems containsSemiMixedTypes="0" containsString="0" containsNumber="1" minValue="0" maxValue="4723.2"/>
    </cacheField>
    <cacheField name="Aug Q'ty" numFmtId="0">
      <sharedItems containsBlank="1" containsMixedTypes="1" containsNumber="1" containsInteger="1" minValue="0" maxValue="25920"/>
    </cacheField>
    <cacheField name="Aug Rebate Amount" numFmtId="178">
      <sharedItems containsSemiMixedTypes="0" containsString="0" containsNumber="1" minValue="0" maxValue="4644"/>
    </cacheField>
    <cacheField name="Sep Q'ty" numFmtId="0">
      <sharedItems containsBlank="1" containsMixedTypes="1" containsNumber="1" containsInteger="1" minValue="0" maxValue="82080"/>
    </cacheField>
    <cacheField name="Sep Rebate Amount" numFmtId="178">
      <sharedItems containsSemiMixedTypes="0" containsString="0" containsNumber="1" minValue="0" maxValue="8460"/>
    </cacheField>
    <cacheField name="Oct Q'ty" numFmtId="179">
      <sharedItems containsMixedTypes="1" containsNumber="1" containsInteger="1" minValue="1008" maxValue="26880"/>
    </cacheField>
    <cacheField name="Oct Rebate Amount" numFmtId="178">
      <sharedItems containsString="0" containsBlank="1" containsNumber="1" minValue="0" maxValue="8486.4000000000015"/>
    </cacheField>
    <cacheField name="Supplier Part#" numFmtId="178">
      <sharedItems count="249">
        <s v="4QM14AA#UUF"/>
        <s v="4QM14AA#ABB"/>
        <s v="4QM14AA#ABL"/>
        <s v="1Y4D0AA#AC3"/>
        <s v="1Y4D0UT#AB1"/>
        <s v="18H24AA#AC3"/>
        <s v="3L1F0AA#AC3"/>
        <s v="3L1E7AA#AC3"/>
        <s v="1D0K9AA#ABB"/>
        <s v="1D0K8AA#AC3"/>
        <s v="1D0K9AA#ABL"/>
        <s v="240J7AA#AC3"/>
        <s v="5B8C0AA#ACJ"/>
        <s v="664R5AA#AC3"/>
        <s v="V0L79AA#ABB"/>
        <s v="6VY96AA#ABB"/>
        <s v="2V9E6AA#AC3"/>
        <s v="1D0K2AA#AC3"/>
        <s v="4E407AA#AC3"/>
        <s v="3ML04AA#AC3"/>
        <s v="2S9L1AA#ABB"/>
        <s v="6E6F0AA#ABB"/>
        <s v="43N04AA#ABB"/>
        <s v="683N7AA#ABL"/>
        <s v="683N8AA#ABL"/>
        <s v="683N9AA#ABL"/>
        <s v="2HU82AA#ABB"/>
        <s v="H2C21AA#ACJ"/>
        <s v="3FV66AA#ABB"/>
        <s v="3FV66AA#UUF"/>
        <s v="7KX10AA#ABB"/>
        <s v="7KX11AA#ABB"/>
        <s v="7KX12AA#ABB"/>
        <s v="758A8AA#ABA"/>
        <s v="758A8AA#ABB"/>
        <s v="758A8AA#UUF"/>
        <s v="758A9AA#ABA"/>
        <s v="758A9AA#ABB"/>
        <s v="758A9AA#UUF"/>
        <s v="N72845-A21"/>
        <s v="N72845-371"/>
        <s v="N72845-001"/>
        <s v="6V2J7AA#ABL"/>
        <s v="6V2J7AA#ABB"/>
        <s v="6V2J7AA#UUF"/>
        <s v="6V2J7AA#ACJ"/>
        <s v="6E6F0AA#ABL"/>
        <s v="6E6F0AA#UUF"/>
        <s v="6E6F1AA#ABL"/>
        <s v="6E6F1AA#UUF"/>
        <s v="6E6F2AA#ABL"/>
        <s v="6E6F2AA#ABB"/>
        <s v="6E6F2AA#UUF"/>
        <s v="N61958-001"/>
        <s v="N61958-371"/>
        <s v="N61958-A21"/>
        <s v="V0L79AA#UUF"/>
        <s v="V0L80AA#ABB"/>
        <s v="V0L80AA#UUF"/>
        <s v="V0L81AA#ABB"/>
        <s v="V0L82AA#ABB"/>
        <s v="X7Q43AA#ABB"/>
        <s v="X7Q43AA#UUF"/>
        <s v="X7Q44AA#ABB"/>
        <s v="X7Q44AA#UUF"/>
        <s v="4VY82AA#ABB"/>
        <s v="7UH88AA#ABB"/>
        <s v="171D8AA#ABB"/>
        <s v="X6W31AA#ABL"/>
        <s v="X6W31AA#ABB"/>
        <s v="X6W31AA#UUF"/>
        <s v="2HU82AA#ABL"/>
        <s v="2HU82AA#UUF"/>
        <s v="2HU83AA#ABL"/>
        <s v="2HU83AA#ABB"/>
        <s v="2HU84AA#ABL"/>
        <s v="2HU84AA#ABB"/>
        <s v="2HU84AA#UUF"/>
        <s v="2HU85AA#ABL"/>
        <s v="2HU85AA#UUF"/>
        <s v="6VY96AA#ABM"/>
        <s v="6VY96AA#ACJ"/>
        <s v="6VY96AA#UUF"/>
        <s v="6VY96AA#ABA"/>
        <s v="822M9AA#ABA"/>
        <s v="822M9AA#UUF"/>
        <s v="822M9UT#ABA"/>
        <s v="822M9UT#ABB"/>
        <s v="822M9UT#UUF"/>
        <s v="1D0K2AA#ABA"/>
        <s v="1D0K2AA#UUF"/>
        <s v="1D0K8AA#ABA"/>
        <s v="1D0K8AA#UUF"/>
        <s v="1D0K9AA#UUF"/>
        <s v="N62007-001"/>
        <s v="N62007-371"/>
        <s v="N62007-A21"/>
        <s v="240J6AA#ABM"/>
        <s v="240J6AA#UUF"/>
        <s v="240J6AA#ACJ"/>
        <s v="2S9L1AA#ABM"/>
        <s v="2S9L1AA#UUF"/>
        <s v="2S9L1AA#ACJ"/>
        <s v="2S9L1AA#ABL"/>
        <s v="N20172-A21"/>
        <s v="N20172-371"/>
        <s v="N20172-001"/>
        <s v="3V0G9AA#ABB"/>
        <s v="3V0G9AA#ABM"/>
        <s v="3V0G9AA#UUF"/>
        <s v="43N04AA#ABA"/>
        <s v="43N04AA#ABM"/>
        <s v="43N04AA#UUF"/>
        <s v="43N05AA#ABA"/>
        <s v="43N05AA#ABB"/>
        <s v="43N05AA#ABM"/>
        <s v="43N05AA#UUF"/>
        <s v="793F9AA#ABA"/>
        <s v="793F9AA#ABB"/>
        <s v="793F9AA#UUF"/>
        <s v="81S67AA#ABB"/>
        <s v="81S67AA#UUF"/>
        <s v="81S67UT#UUF"/>
        <s v="4E407AA#ACJ"/>
        <s v="4E407AA#UUF"/>
        <s v="4E407AA#ABM"/>
        <s v="4E407AA#ABL"/>
        <s v="4E407UT#AC3"/>
        <s v="4E407UT#ABM"/>
        <s v="4E407UT#ABL"/>
        <s v="4E407UT#UUF"/>
        <s v="N61962-371"/>
        <s v="N61962-001"/>
        <s v="N61962-A21"/>
        <s v="AJ7C2AA#ABA"/>
        <s v="AJ7C2AA#ABB"/>
        <s v="AJ7C2AA#UUF"/>
        <s v="3ML04AA#UUF"/>
        <s v="3ML04AA#ABL"/>
        <s v="3ML04AA#ABM"/>
        <s v="9DF28AA#UUF"/>
        <s v="9DF28AA#AC3"/>
        <s v="9DF28AA#ABL"/>
        <s v="18H24AA#AC4"/>
        <s v="18H24AA#ABM"/>
        <s v="18H24AA#UUF"/>
        <s v="18H24AA#AB1"/>
        <s v="18H24AA#ABA"/>
        <s v="1Y4D0AA#UUF"/>
        <s v="1Y4D0AA#AB1"/>
        <s v="1Y4D0AA#ABA"/>
        <s v="1Y4D0AA#ABM"/>
        <s v="1Y4D0AA#AC4"/>
        <s v="1Y4D0AA#ABC"/>
        <s v="1Y4D0UT#ABA"/>
        <s v="1Y4D0UT#ABC"/>
        <s v="1Y4D0UT#ABM"/>
        <s v="1Y4D0UT#AC3"/>
        <s v="1Y4D0UT#UUF"/>
        <s v="1Y4D0UT#AC4"/>
        <s v="3L1F0AA#ABM"/>
        <s v="3L1F0AA#UUF"/>
        <s v="3L1E7AA#AC4"/>
        <s v="3L1E7AA#ABM"/>
        <s v="3L1E7AA#UUF"/>
        <s v="3L1E7AA#ABA"/>
        <s v="3L1E7AA#ABJ"/>
        <s v="240J7AA#UUF"/>
        <s v="240J7AA#ACJ"/>
        <s v="240J7AA#AC4"/>
        <s v="240J7AA#ABM"/>
        <s v="240J7AA#ABL"/>
        <s v="664R5AA#UUF"/>
        <s v="664R5AA#ACJ"/>
        <s v="664R5AA#ABM"/>
        <s v="664R5AA#ABL"/>
        <s v="805T2AA#ABA"/>
        <s v="805T2AA#AC3"/>
        <s v="805T2AA#ABM"/>
        <s v="805T2AA#UUF"/>
        <s v="805T1AA#ABA"/>
        <s v="805T1AA#AC3"/>
        <s v="2V9E6AA#UUF"/>
        <s v="2V9E6AA#ACJ"/>
        <s v="2V9E6AA#AC4"/>
        <s v="2V9E6AA#ABM"/>
        <s v="2V9E6AA#ABL"/>
        <s v="M03085-001"/>
        <s v="L13998-002"/>
        <s v="N43864-001"/>
        <s v="N43866-001"/>
        <s v="N38404-001"/>
        <s v="N87312-001"/>
        <s v="N87314-001"/>
        <s v="N87318-001"/>
        <s v="N87316-001"/>
        <s v="M49894-001"/>
        <s v="L77930-001"/>
        <s v="681S1AA#ABL"/>
        <s v="681R7AA#ABL"/>
        <s v="681R8AA#ABL"/>
        <s v="681R9AA#ABL"/>
        <s v="681S0AA#ABL"/>
        <s v="66Z09AA#ABL"/>
        <s v="M53402-001"/>
        <s v="3V0G9AA#ABA"/>
        <s v="N37103-001"/>
        <s v="N37102-001"/>
        <s v="M40045-161"/>
        <s v="M40043-161"/>
        <s v="240J6AA#ABB"/>
        <s v="5B8B7AA#ACJ"/>
        <s v="6VY95AA#ABB"/>
        <s v="6VY95AA#ACJ"/>
        <s v="8R3U1AA#ABA"/>
        <s v="8R3U1AA#ABB"/>
        <s v="8R3U1AA#ACJ"/>
        <s v="8R3U1AA#UUF"/>
        <s v="8R3U1UT#ABA"/>
        <s v="8R3U1UT#ABB"/>
        <s v="850633-001"/>
        <s v="L07896-DB1"/>
        <s v="6E+P8C01.011"/>
        <s v="6E+P8C01.001"/>
        <s v="2UN30AA#AB2"/>
        <s v="9C2F6AA#ABA"/>
        <s v="9C2F6AA#ABB"/>
        <s v="9C2F6AA#UUF"/>
        <s v="9C2F7AA#ABA"/>
        <s v="9C2F7AA#ABB"/>
        <s v="9C2F7AA#UUF"/>
        <s v="9T5A9AA#ABA"/>
        <s v="9T5A9AA#ABJ"/>
        <s v="9T5A9AA#AC3"/>
        <s v="9T5A9AA#UUF"/>
        <s v="9T5B0UT#ABA"/>
        <s v="9T5B0UT#ABJ"/>
        <s v="9T5B0UT#AC3"/>
        <s v="9T5B0UT#UUF"/>
        <s v="9T5B1AA#ABA"/>
        <s v="9T5B1AA#ABJ"/>
        <s v="9T5B1AA#ABM"/>
        <s v="9T5B1AA#AC3"/>
        <s v="9T5B1AA#UUF"/>
        <s v="9T5B2AA#ABA"/>
        <s v="9T5B2AA#ABJ"/>
        <s v="9T5B2AA#ABM"/>
        <s v="9T5B2AA#AC3"/>
        <s v="9T5B2AA#UUF"/>
      </sharedItems>
    </cacheField>
    <cacheField name="Com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son" refreshedDate="45999.389161805557" createdVersion="8" refreshedVersion="8" minRefreshableVersion="3" recordCount="284" xr:uid="{5765DC48-714B-45EA-AE06-BD57EFDCCEF5}">
  <cacheSource type="worksheet">
    <worksheetSource ref="A2:BL286" sheet="FY24"/>
  </cacheSource>
  <cacheFields count="64">
    <cacheField name="FY24" numFmtId="178">
      <sharedItems/>
    </cacheField>
    <cacheField name="SPM (Project Owner)" numFmtId="178">
      <sharedItems containsBlank="1"/>
    </cacheField>
    <cacheField name="GTK Suppliers" numFmtId="178">
      <sharedItems containsBlank="1"/>
    </cacheField>
    <cacheField name="Category" numFmtId="178">
      <sharedItems containsBlank="1"/>
    </cacheField>
    <cacheField name="Segment" numFmtId="178">
      <sharedItems containsBlank="1"/>
    </cacheField>
    <cacheField name="Series" numFmtId="178">
      <sharedItems containsBlank="1"/>
    </cacheField>
    <cacheField name="Production Year" numFmtId="0">
      <sharedItems containsSemiMixedTypes="0" containsString="0" containsNumber="1" containsInteger="1" minValue="2016" maxValue="2023"/>
    </cacheField>
    <cacheField name="Platforms" numFmtId="178">
      <sharedItems count="45">
        <s v="Bogota"/>
        <s v="Brac"/>
        <s v="BracWhiteComb"/>
        <s v="BracWLKB"/>
        <s v="Brain"/>
        <s v="Elephanta"/>
        <s v="ElephantaBPS"/>
        <s v="ElephantaKB"/>
        <s v="Gadget"/>
        <s v="Galapagos"/>
        <s v="Havelock"/>
        <s v="Jerry"/>
        <s v="KentingPlus"/>
        <s v="KingKong"/>
        <s v="Kitkat"/>
        <s v="Mickey"/>
        <s v="MilkaB"/>
        <s v="Moscow1BlueLed"/>
        <s v="Oman"/>
        <s v="Brazilia"/>
        <s v="Gadget dual"/>
        <s v="Sochi"/>
        <s v="Oreo"/>
        <s v="Capri"/>
        <s v="Havelock KB"/>
        <s v="Moscow blue LED refresh"/>
        <s v="OreoBPS"/>
        <s v="Kenting"/>
        <s v="Jaipur"/>
        <s v="Nanjing"/>
        <s v="Ivy dongle"/>
        <s v="Buble 2"/>
        <s v="Jazz"/>
        <s v="Jazz KB"/>
        <s v="MoscowBlueLED1" u="1"/>
        <s v="Galapagos refresh" u="1"/>
        <s v="Kitkat refresh" u="1"/>
        <s v="BRAC WHITE" u="1"/>
        <s v="BRAC WLKB" u="1"/>
        <s v="ELEPHANTA BPS" u="1"/>
        <s v="ELEPHANTA KB" u="1"/>
        <s v="KENTING PLUS" u="1"/>
        <s v="MILKA B" u="1"/>
        <s v="MOSCOW BLUE LED" u="1"/>
        <s v="OREO BPS" u="1"/>
      </sharedItems>
    </cacheField>
    <cacheField name="Product" numFmtId="0">
      <sharedItems/>
    </cacheField>
    <cacheField name="Size" numFmtId="0">
      <sharedItems/>
    </cacheField>
    <cacheField name="Color" numFmtId="178">
      <sharedItems/>
    </cacheField>
    <cacheField name="Location" numFmtId="178">
      <sharedItems/>
    </cacheField>
    <cacheField name="ODM" numFmtId="177">
      <sharedItems/>
    </cacheField>
    <cacheField name="RFQ Final Cost" numFmtId="177">
      <sharedItems containsString="0" containsBlank="1" containsNumber="1" minValue="1.61" maxValue="30.56"/>
    </cacheField>
    <cacheField name="The lowest unit table price (ODM cost)" numFmtId="177">
      <sharedItems containsString="0" containsBlank="1" containsNumber="1" minValue="1.61" maxValue="30.58"/>
    </cacheField>
    <cacheField name="Table Price Nov" numFmtId="177">
      <sharedItems containsSemiMixedTypes="0" containsString="0" containsNumber="1" minValue="0" maxValue="30.58"/>
    </cacheField>
    <cacheField name="Table Price Dec" numFmtId="177">
      <sharedItems containsSemiMixedTypes="0" containsString="0" containsNumber="1" minValue="0" maxValue="30.58"/>
    </cacheField>
    <cacheField name="Table Price Jan" numFmtId="177">
      <sharedItems containsSemiMixedTypes="0" containsString="0" containsNumber="1" minValue="0" maxValue="30.58"/>
    </cacheField>
    <cacheField name="Table Price Feb" numFmtId="177">
      <sharedItems containsSemiMixedTypes="0" containsString="0" containsNumber="1" minValue="0" maxValue="30.58"/>
    </cacheField>
    <cacheField name="Table Price Mar" numFmtId="177">
      <sharedItems containsSemiMixedTypes="0" containsString="0" containsNumber="1" minValue="0" maxValue="30.58"/>
    </cacheField>
    <cacheField name="Table Price Apr" numFmtId="177">
      <sharedItems containsSemiMixedTypes="0" containsString="0" containsNumber="1" minValue="0" maxValue="30.58"/>
    </cacheField>
    <cacheField name="Table Price May" numFmtId="177">
      <sharedItems containsSemiMixedTypes="0" containsString="0" containsNumber="1" minValue="0" maxValue="30.58"/>
    </cacheField>
    <cacheField name="Table Price Jun" numFmtId="177">
      <sharedItems containsSemiMixedTypes="0" containsString="0" containsNumber="1" minValue="0" maxValue="30.58"/>
    </cacheField>
    <cacheField name="Table Price Jul" numFmtId="177">
      <sharedItems containsSemiMixedTypes="0" containsString="0" containsNumber="1" minValue="0" maxValue="30.58"/>
    </cacheField>
    <cacheField name="Table Price Aug" numFmtId="177">
      <sharedItems containsSemiMixedTypes="0" containsString="0" containsNumber="1" minValue="0" maxValue="30.58"/>
    </cacheField>
    <cacheField name="Table Price Sep" numFmtId="177">
      <sharedItems containsSemiMixedTypes="0" containsString="0" containsNumber="1" minValue="1.61" maxValue="30.51"/>
    </cacheField>
    <cacheField name="Table Price Oct" numFmtId="177">
      <sharedItems containsSemiMixedTypes="0" containsString="0" containsNumber="1" minValue="1.61" maxValue="30.51"/>
    </cacheField>
    <cacheField name="The lowest unit rebate cost" numFmtId="177">
      <sharedItems containsString="0" containsBlank="1" containsNumber="1" minValue="0" maxValue="0.48"/>
    </cacheField>
    <cacheField name="Unit Rebate Nov" numFmtId="177">
      <sharedItems containsString="0" containsBlank="1" containsNumber="1" minValue="0" maxValue="0.48"/>
    </cacheField>
    <cacheField name="Unit Rebate Dec" numFmtId="177">
      <sharedItems containsString="0" containsBlank="1" containsNumber="1" minValue="0" maxValue="0.48"/>
    </cacheField>
    <cacheField name="Unit Rebate Jan" numFmtId="177">
      <sharedItems containsString="0" containsBlank="1" containsNumber="1" minValue="0" maxValue="0.48"/>
    </cacheField>
    <cacheField name="Unit Rebate Feb" numFmtId="177">
      <sharedItems containsString="0" containsBlank="1" containsNumber="1" minValue="0" maxValue="0.48"/>
    </cacheField>
    <cacheField name="Unit Rebate Mar" numFmtId="177">
      <sharedItems containsString="0" containsBlank="1" containsNumber="1" minValue="0" maxValue="0.48"/>
    </cacheField>
    <cacheField name="Unit Rebate Apr" numFmtId="177">
      <sharedItems containsString="0" containsBlank="1" containsNumber="1" minValue="0" maxValue="0.48"/>
    </cacheField>
    <cacheField name="Unit Rebate May" numFmtId="177">
      <sharedItems containsString="0" containsBlank="1" containsNumber="1" minValue="0" maxValue="0.48"/>
    </cacheField>
    <cacheField name="Unit Rebate Jun" numFmtId="177">
      <sharedItems containsSemiMixedTypes="0" containsString="0" containsNumber="1" minValue="0" maxValue="0.48"/>
    </cacheField>
    <cacheField name="Unit Rebate Jul" numFmtId="177">
      <sharedItems containsSemiMixedTypes="0" containsString="0" containsNumber="1" minValue="0" maxValue="0.48"/>
    </cacheField>
    <cacheField name="Unit Rebate Aug" numFmtId="177">
      <sharedItems containsSemiMixedTypes="0" containsString="0" containsNumber="1" minValue="0" maxValue="0.48"/>
    </cacheField>
    <cacheField name="Unit Rebate Sep" numFmtId="177">
      <sharedItems containsSemiMixedTypes="0" containsString="0" containsNumber="1" minValue="0" maxValue="1.36"/>
    </cacheField>
    <cacheField name="Unit Rebate Oct" numFmtId="177">
      <sharedItems containsSemiMixedTypes="0" containsString="0" containsNumber="1" minValue="0" maxValue="1.36"/>
    </cacheField>
    <cacheField name="Nov Q'ty" numFmtId="179">
      <sharedItems containsSemiMixedTypes="0" containsString="0" containsNumber="1" containsInteger="1" minValue="0" maxValue="48000"/>
    </cacheField>
    <cacheField name="Nov Rebate Amount" numFmtId="177">
      <sharedItems containsSemiMixedTypes="0" containsString="0" containsNumber="1" minValue="0" maxValue="8640"/>
    </cacheField>
    <cacheField name="Dec Q'ty" numFmtId="179">
      <sharedItems containsSemiMixedTypes="0" containsString="0" containsNumber="1" containsInteger="1" minValue="0" maxValue="94080"/>
    </cacheField>
    <cacheField name="Dec Rebate Amount" numFmtId="177">
      <sharedItems containsString="0" containsBlank="1" containsNumber="1" minValue="0" maxValue="3060"/>
    </cacheField>
    <cacheField name="Jan Q'ty" numFmtId="179">
      <sharedItems containsMixedTypes="1" containsNumber="1" containsInteger="1" minValue="1008" maxValue="43400"/>
    </cacheField>
    <cacheField name="Jan Rebate Amount" numFmtId="177">
      <sharedItems containsSemiMixedTypes="0" containsString="0" containsNumber="1" minValue="0" maxValue="7812"/>
    </cacheField>
    <cacheField name="Feb Q'ty" numFmtId="179">
      <sharedItems containsSemiMixedTypes="0" containsString="0" containsNumber="1" containsInteger="1" minValue="0" maxValue="33600"/>
    </cacheField>
    <cacheField name="Feb Rebate Amount" numFmtId="178">
      <sharedItems containsSemiMixedTypes="0" containsString="0" containsNumber="1" minValue="0" maxValue="4248"/>
    </cacheField>
    <cacheField name="Mar Q'ty" numFmtId="179">
      <sharedItems containsSemiMixedTypes="0" containsString="0" containsNumber="1" containsInteger="1" minValue="0" maxValue="51840"/>
    </cacheField>
    <cacheField name="Mar Rebate Amount" numFmtId="178">
      <sharedItems containsSemiMixedTypes="0" containsString="0" containsNumber="1" minValue="0" maxValue="5130"/>
    </cacheField>
    <cacheField name="Apr Q'ty" numFmtId="38">
      <sharedItems containsMixedTypes="1" containsNumber="1" containsInteger="1" minValue="0" maxValue="65280"/>
    </cacheField>
    <cacheField name="Apr Rebate Amount" numFmtId="178">
      <sharedItems containsSemiMixedTypes="0" containsString="0" containsNumber="1" minValue="0" maxValue="6854.4"/>
    </cacheField>
    <cacheField name="May Q'ty" numFmtId="38">
      <sharedItems containsMixedTypes="1" containsNumber="1" containsInteger="1" minValue="0" maxValue="77760"/>
    </cacheField>
    <cacheField name="May Rebate Amount" numFmtId="178">
      <sharedItems containsSemiMixedTypes="0" containsString="0" containsNumber="1" minValue="0" maxValue="4608"/>
    </cacheField>
    <cacheField name="Jun Q'ty" numFmtId="38">
      <sharedItems containsMixedTypes="1" containsNumber="1" containsInteger="1" minValue="150" maxValue="53760"/>
    </cacheField>
    <cacheField name="Jun Rebate Amount" numFmtId="178">
      <sharedItems containsSemiMixedTypes="0" containsString="0" containsNumber="1" minValue="0" maxValue="6012"/>
    </cacheField>
    <cacheField name="Jul Q'ty" numFmtId="0">
      <sharedItems containsBlank="1" containsMixedTypes="1" containsNumber="1" containsInteger="1" minValue="0" maxValue="38880"/>
    </cacheField>
    <cacheField name="Jul Rebate Amount" numFmtId="178">
      <sharedItems containsSemiMixedTypes="0" containsString="0" containsNumber="1" minValue="0" maxValue="4723.2"/>
    </cacheField>
    <cacheField name="Aug Q'ty" numFmtId="0">
      <sharedItems containsBlank="1" containsMixedTypes="1" containsNumber="1" containsInteger="1" minValue="0" maxValue="25920"/>
    </cacheField>
    <cacheField name="Aug Rebate Amount" numFmtId="178">
      <sharedItems containsSemiMixedTypes="0" containsString="0" containsNumber="1" minValue="0" maxValue="4644"/>
    </cacheField>
    <cacheField name="Sep Q'ty" numFmtId="0">
      <sharedItems containsBlank="1" containsMixedTypes="1" containsNumber="1" containsInteger="1" minValue="0" maxValue="82080"/>
    </cacheField>
    <cacheField name="Sep Rebate Amount" numFmtId="178">
      <sharedItems containsSemiMixedTypes="0" containsString="0" containsNumber="1" minValue="0" maxValue="8460"/>
    </cacheField>
    <cacheField name="Oct Q'ty" numFmtId="179">
      <sharedItems containsMixedTypes="1" containsNumber="1" containsInteger="1" minValue="1008" maxValue="26880"/>
    </cacheField>
    <cacheField name="Oct Rebate Amount" numFmtId="178">
      <sharedItems containsString="0" containsBlank="1" containsNumber="1" minValue="0" maxValue="8486.4000000000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son" refreshedDate="45999.389161805557" createdVersion="8" refreshedVersion="8" minRefreshableVersion="3" recordCount="317" xr:uid="{300B48EA-76B8-4BA3-9C62-8424DE7DF5E1}">
  <cacheSource type="worksheet">
    <worksheetSource ref="A2:BO1048576" sheet="FY24"/>
  </cacheSource>
  <cacheFields count="67">
    <cacheField name="FY24" numFmtId="178">
      <sharedItems containsBlank="1"/>
    </cacheField>
    <cacheField name="SPM (Project Owner)" numFmtId="178">
      <sharedItems containsBlank="1"/>
    </cacheField>
    <cacheField name="GTK Suppliers" numFmtId="178">
      <sharedItems containsBlank="1"/>
    </cacheField>
    <cacheField name="Category" numFmtId="178">
      <sharedItems containsBlank="1"/>
    </cacheField>
    <cacheField name="Segment" numFmtId="178">
      <sharedItems containsBlank="1"/>
    </cacheField>
    <cacheField name="Series" numFmtId="178">
      <sharedItems containsBlank="1"/>
    </cacheField>
    <cacheField name="Production Year" numFmtId="0">
      <sharedItems containsString="0" containsBlank="1" containsNumber="1" containsInteger="1" minValue="2016" maxValue="2023"/>
    </cacheField>
    <cacheField name="Platforms" numFmtId="178">
      <sharedItems containsBlank="1"/>
    </cacheField>
    <cacheField name="Product" numFmtId="0">
      <sharedItems containsBlank="1"/>
    </cacheField>
    <cacheField name="Size" numFmtId="0">
      <sharedItems containsBlank="1"/>
    </cacheField>
    <cacheField name="Color" numFmtId="178">
      <sharedItems containsBlank="1"/>
    </cacheField>
    <cacheField name="Location" numFmtId="178">
      <sharedItems containsBlank="1"/>
    </cacheField>
    <cacheField name="ODM" numFmtId="177">
      <sharedItems containsBlank="1"/>
    </cacheField>
    <cacheField name="RFQ Final Cost" numFmtId="177">
      <sharedItems containsString="0" containsBlank="1" containsNumber="1" minValue="1.61" maxValue="30.56"/>
    </cacheField>
    <cacheField name="The lowest unit table price (ODM cost)" numFmtId="177">
      <sharedItems containsString="0" containsBlank="1" containsNumber="1" minValue="1.61" maxValue="30.58"/>
    </cacheField>
    <cacheField name="Table Price Nov" numFmtId="177">
      <sharedItems containsString="0" containsBlank="1" containsNumber="1" minValue="0" maxValue="30.58"/>
    </cacheField>
    <cacheField name="Table Price Dec" numFmtId="177">
      <sharedItems containsString="0" containsBlank="1" containsNumber="1" minValue="0" maxValue="30.58"/>
    </cacheField>
    <cacheField name="Table Price Jan" numFmtId="177">
      <sharedItems containsString="0" containsBlank="1" containsNumber="1" minValue="0" maxValue="30.58"/>
    </cacheField>
    <cacheField name="Table Price Feb" numFmtId="177">
      <sharedItems containsString="0" containsBlank="1" containsNumber="1" minValue="0" maxValue="30.58"/>
    </cacheField>
    <cacheField name="Table Price Mar" numFmtId="177">
      <sharedItems containsString="0" containsBlank="1" containsNumber="1" minValue="0" maxValue="30.58"/>
    </cacheField>
    <cacheField name="Table Price Apr" numFmtId="177">
      <sharedItems containsString="0" containsBlank="1" containsNumber="1" minValue="0" maxValue="30.58"/>
    </cacheField>
    <cacheField name="Table Price May" numFmtId="177">
      <sharedItems containsString="0" containsBlank="1" containsNumber="1" minValue="0" maxValue="30.58"/>
    </cacheField>
    <cacheField name="Table Price Jun" numFmtId="177">
      <sharedItems containsString="0" containsBlank="1" containsNumber="1" minValue="0" maxValue="30.58"/>
    </cacheField>
    <cacheField name="Table Price Jul" numFmtId="177">
      <sharedItems containsString="0" containsBlank="1" containsNumber="1" minValue="0" maxValue="30.58"/>
    </cacheField>
    <cacheField name="Table Price Aug" numFmtId="177">
      <sharedItems containsString="0" containsBlank="1" containsNumber="1" minValue="0" maxValue="30.58"/>
    </cacheField>
    <cacheField name="Table Price Sep" numFmtId="177">
      <sharedItems containsString="0" containsBlank="1" containsNumber="1" minValue="1.61" maxValue="30.51"/>
    </cacheField>
    <cacheField name="Table Price Oct" numFmtId="177">
      <sharedItems containsString="0" containsBlank="1" containsNumber="1" minValue="1.61" maxValue="30.51"/>
    </cacheField>
    <cacheField name="The lowest unit rebate cost" numFmtId="177">
      <sharedItems containsString="0" containsBlank="1" containsNumber="1" minValue="0" maxValue="0.48"/>
    </cacheField>
    <cacheField name="Unit Rebate Nov" numFmtId="177">
      <sharedItems containsString="0" containsBlank="1" containsNumber="1" minValue="0" maxValue="0.48"/>
    </cacheField>
    <cacheField name="Unit Rebate Dec" numFmtId="177">
      <sharedItems containsString="0" containsBlank="1" containsNumber="1" minValue="0" maxValue="0.48"/>
    </cacheField>
    <cacheField name="Unit Rebate Jan" numFmtId="177">
      <sharedItems containsString="0" containsBlank="1" containsNumber="1" minValue="0" maxValue="0.48"/>
    </cacheField>
    <cacheField name="Unit Rebate Feb" numFmtId="177">
      <sharedItems containsString="0" containsBlank="1" containsNumber="1" minValue="0" maxValue="0.48"/>
    </cacheField>
    <cacheField name="Unit Rebate Mar" numFmtId="177">
      <sharedItems containsString="0" containsBlank="1" containsNumber="1" minValue="0" maxValue="0.48"/>
    </cacheField>
    <cacheField name="Unit Rebate Apr" numFmtId="177">
      <sharedItems containsString="0" containsBlank="1" containsNumber="1" minValue="0" maxValue="0.48"/>
    </cacheField>
    <cacheField name="Unit Rebate May" numFmtId="177">
      <sharedItems containsString="0" containsBlank="1" containsNumber="1" minValue="0" maxValue="0.48"/>
    </cacheField>
    <cacheField name="Unit Rebate Jun" numFmtId="177">
      <sharedItems containsString="0" containsBlank="1" containsNumber="1" minValue="0" maxValue="0.48"/>
    </cacheField>
    <cacheField name="Unit Rebate Jul" numFmtId="177">
      <sharedItems containsString="0" containsBlank="1" containsNumber="1" minValue="0" maxValue="0.48"/>
    </cacheField>
    <cacheField name="Unit Rebate Aug" numFmtId="177">
      <sharedItems containsString="0" containsBlank="1" containsNumber="1" minValue="0" maxValue="0.48"/>
    </cacheField>
    <cacheField name="Unit Rebate Sep" numFmtId="177">
      <sharedItems containsString="0" containsBlank="1" containsNumber="1" minValue="0" maxValue="1.36"/>
    </cacheField>
    <cacheField name="Unit Rebate Oct" numFmtId="0">
      <sharedItems containsString="0" containsBlank="1" containsNumber="1" minValue="0" maxValue="1.36"/>
    </cacheField>
    <cacheField name="Nov Q'ty" numFmtId="0">
      <sharedItems containsString="0" containsBlank="1" containsNumber="1" minValue="0" maxValue="2637784.5600000005"/>
    </cacheField>
    <cacheField name="Nov Rebate Amount" numFmtId="0">
      <sharedItems containsString="0" containsBlank="1" containsNumber="1" minValue="0" maxValue="8640"/>
    </cacheField>
    <cacheField name="Dec Q'ty" numFmtId="0">
      <sharedItems containsString="0" containsBlank="1" containsNumber="1" minValue="0" maxValue="2786280.96"/>
    </cacheField>
    <cacheField name="Dec Rebate Amount" numFmtId="0">
      <sharedItems containsString="0" containsBlank="1" containsNumber="1" minValue="0" maxValue="3060"/>
    </cacheField>
    <cacheField name="Jan Q'ty" numFmtId="0">
      <sharedItems containsBlank="1" containsMixedTypes="1" containsNumber="1" minValue="1008" maxValue="3925223.959999999"/>
    </cacheField>
    <cacheField name="Jan Rebate Amount" numFmtId="0">
      <sharedItems containsString="0" containsBlank="1" containsNumber="1" minValue="0" maxValue="7812"/>
    </cacheField>
    <cacheField name="Feb Q'ty" numFmtId="0">
      <sharedItems containsString="0" containsBlank="1" containsNumber="1" minValue="0" maxValue="1008146.66"/>
    </cacheField>
    <cacheField name="Feb Rebate Amount" numFmtId="0">
      <sharedItems containsString="0" containsBlank="1" containsNumber="1" minValue="0" maxValue="4248"/>
    </cacheField>
    <cacheField name="Mar Q'ty" numFmtId="0">
      <sharedItems containsString="0" containsBlank="1" containsNumber="1" minValue="0" maxValue="3558601.1"/>
    </cacheField>
    <cacheField name="Mar Rebate Amount" numFmtId="0">
      <sharedItems containsString="0" containsBlank="1" containsNumber="1" minValue="0" maxValue="5130"/>
    </cacheField>
    <cacheField name="Apr Q'ty" numFmtId="0">
      <sharedItems containsBlank="1" containsMixedTypes="1" containsNumber="1" minValue="0" maxValue="4370145.4000000004"/>
    </cacheField>
    <cacheField name="Apr Rebate Amount" numFmtId="0">
      <sharedItems containsString="0" containsBlank="1" containsNumber="1" minValue="0" maxValue="6854.4"/>
    </cacheField>
    <cacheField name="May Q'ty" numFmtId="0">
      <sharedItems containsBlank="1" containsMixedTypes="1" containsNumber="1" minValue="0" maxValue="3967566.36"/>
    </cacheField>
    <cacheField name="May Rebate Amount" numFmtId="0">
      <sharedItems containsString="0" containsBlank="1" containsNumber="1" minValue="0" maxValue="4608"/>
    </cacheField>
    <cacheField name="Jun Q'ty" numFmtId="0">
      <sharedItems containsBlank="1" containsMixedTypes="1" containsNumber="1" minValue="150" maxValue="3511636.439999999"/>
    </cacheField>
    <cacheField name="Jun Rebate Amount" numFmtId="0">
      <sharedItems containsString="0" containsBlank="1" containsNumber="1" minValue="0" maxValue="6012"/>
    </cacheField>
    <cacheField name="Jul Q'ty" numFmtId="0">
      <sharedItems containsBlank="1" containsMixedTypes="1" containsNumber="1" minValue="0" maxValue="2750885.94"/>
    </cacheField>
    <cacheField name="Jul Rebate Amount" numFmtId="0">
      <sharedItems containsString="0" containsBlank="1" containsNumber="1" minValue="0" maxValue="4723.2"/>
    </cacheField>
    <cacheField name="Aug Q'ty" numFmtId="0">
      <sharedItems containsBlank="1" containsMixedTypes="1" containsNumber="1" minValue="0" maxValue="3071729.0999999992"/>
    </cacheField>
    <cacheField name="Aug Rebate Amount" numFmtId="0">
      <sharedItems containsString="0" containsBlank="1" containsNumber="1" minValue="0" maxValue="4644"/>
    </cacheField>
    <cacheField name="Sep Q'ty" numFmtId="0">
      <sharedItems containsBlank="1" containsMixedTypes="1" containsNumber="1" minValue="0" maxValue="4225467.5"/>
    </cacheField>
    <cacheField name="Sep Rebate Amount" numFmtId="0">
      <sharedItems containsString="0" containsBlank="1" containsNumber="1" minValue="0" maxValue="8460"/>
    </cacheField>
    <cacheField name="Oct Q'ty" numFmtId="0">
      <sharedItems containsBlank="1" containsMixedTypes="1" containsNumber="1" minValue="1008" maxValue="3052487.3599999989"/>
    </cacheField>
    <cacheField name="Oct Rebate Amount" numFmtId="0">
      <sharedItems containsString="0" containsBlank="1" containsNumber="1" minValue="0" maxValue="8486.4000000000015"/>
    </cacheField>
    <cacheField name="Supplier Part#" numFmtId="0">
      <sharedItems containsBlank="1" containsMixedTypes="1" containsNumber="1" minValue="38865955.339999996" maxValue="38865955.339999996"/>
    </cacheField>
    <cacheField name="Comment" numFmtId="0">
      <sharedItems containsBlank="1"/>
    </cacheField>
    <cacheField name="Region" numFmtId="178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s v="FY24"/>
    <s v="Allen Chen"/>
    <s v="Acrox"/>
    <s v="Peripheral"/>
    <s v="Peripheral"/>
    <s v="Peripherals"/>
    <n v="2018"/>
    <x v="0"/>
    <s v="Mouse"/>
    <s v="NA"/>
    <s v="Black"/>
    <s v="S China"/>
    <s v="OTHERS"/>
    <n v="1.8"/>
    <n v="2"/>
    <n v="2"/>
    <n v="2"/>
    <n v="2"/>
    <n v="2"/>
    <n v="2"/>
    <n v="2"/>
    <n v="2"/>
    <n v="2"/>
    <n v="2"/>
    <x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  <x v="0"/>
    <x v="0"/>
    <s v="APJ"/>
  </r>
  <r>
    <s v="FY24"/>
    <s v="Allen Chen"/>
    <m/>
    <m/>
    <m/>
    <m/>
    <n v="2018"/>
    <x v="0"/>
    <s v="Mouse"/>
    <s v="NA"/>
    <s v="Black"/>
    <s v="S China"/>
    <s v="OTHERS"/>
    <n v="1.8"/>
    <n v="1.79"/>
    <n v="1.79"/>
    <n v="1.79"/>
    <n v="1.79"/>
    <n v="1.79"/>
    <n v="1.79"/>
    <n v="1.79"/>
    <n v="1.79"/>
    <n v="1.79"/>
    <n v="1.79"/>
    <x v="1"/>
    <n v="1.79"/>
    <n v="1.79"/>
    <n v="0"/>
    <n v="0"/>
    <n v="0"/>
    <n v="0"/>
    <n v="0"/>
    <n v="0"/>
    <n v="0"/>
    <n v="0"/>
    <n v="0"/>
    <n v="0"/>
    <n v="0"/>
    <n v="0"/>
    <n v="0"/>
    <n v="6720"/>
    <n v="0"/>
    <n v="94080"/>
    <n v="0"/>
    <n v="6720"/>
    <n v="0"/>
    <n v="0"/>
    <n v="0"/>
    <n v="26880"/>
    <n v="0"/>
    <n v="32640"/>
    <n v="0"/>
    <s v="0"/>
    <n v="0"/>
    <n v="6720"/>
    <n v="0"/>
    <n v="6720"/>
    <n v="0"/>
    <n v="20160"/>
    <n v="0"/>
    <n v="6720"/>
    <n v="0"/>
    <n v="26880"/>
    <n v="0"/>
    <x v="1"/>
    <x v="1"/>
    <s v="EMEA"/>
  </r>
  <r>
    <s v="FY24"/>
    <s v="Allen Chen"/>
    <m/>
    <m/>
    <m/>
    <m/>
    <n v="2018"/>
    <x v="0"/>
    <s v="Mouse"/>
    <s v="NA"/>
    <s v="Black"/>
    <s v="S China"/>
    <s v="OTHERS"/>
    <n v="1.8"/>
    <n v="2.04"/>
    <n v="2.04"/>
    <n v="2.04"/>
    <n v="2.04"/>
    <n v="2.04"/>
    <n v="2.04"/>
    <n v="2.04"/>
    <n v="2.04"/>
    <n v="2.04"/>
    <n v="2.04"/>
    <x v="2"/>
    <n v="2.04"/>
    <n v="2.04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2880"/>
    <n v="0"/>
    <n v="0"/>
    <n v="0"/>
    <n v="0"/>
    <n v="0"/>
    <s v="0"/>
    <n v="0"/>
    <s v="0"/>
    <n v="0"/>
    <n v="2880"/>
    <n v="0"/>
    <s v="0"/>
    <n v="0"/>
    <n v="2880"/>
    <n v="0"/>
    <s v="0"/>
    <n v="0"/>
    <x v="2"/>
    <x v="0"/>
    <s v="NA/LA"/>
  </r>
  <r>
    <s v="FY24"/>
    <s v="Simon Yang"/>
    <m/>
    <m/>
    <m/>
    <m/>
    <n v="2020"/>
    <x v="1"/>
    <s v="Combo"/>
    <s v="NA"/>
    <s v="Black"/>
    <s v="S China"/>
    <s v="OTHERS"/>
    <n v="9.1999999999999993"/>
    <n v="9.16"/>
    <n v="9.16"/>
    <n v="9.16"/>
    <n v="9.16"/>
    <n v="9.16"/>
    <n v="9.16"/>
    <n v="9.16"/>
    <n v="9.16"/>
    <n v="9.16"/>
    <n v="9.16"/>
    <x v="3"/>
    <n v="9.16"/>
    <n v="9.16"/>
    <n v="0.18"/>
    <n v="0.18"/>
    <n v="0.18"/>
    <n v="0.18"/>
    <n v="0.18"/>
    <n v="0.18"/>
    <n v="0.18"/>
    <n v="0.18"/>
    <n v="0.18"/>
    <n v="0.18"/>
    <n v="0.18"/>
    <n v="0.18"/>
    <n v="0.18"/>
    <n v="48000"/>
    <n v="8640"/>
    <n v="17000"/>
    <n v="3060"/>
    <n v="19600"/>
    <n v="3528"/>
    <n v="17400"/>
    <n v="3132"/>
    <n v="28500"/>
    <n v="5130"/>
    <n v="37000"/>
    <n v="6660"/>
    <n v="24120"/>
    <n v="4341.5999999999995"/>
    <n v="21880"/>
    <n v="3938.3999999999996"/>
    <s v="0"/>
    <n v="0"/>
    <s v="0"/>
    <n v="0"/>
    <s v="0"/>
    <n v="0"/>
    <s v="0"/>
    <n v="0"/>
    <x v="3"/>
    <x v="2"/>
    <s v="EMEA"/>
  </r>
  <r>
    <s v="FY24"/>
    <s v="Simon Yang"/>
    <m/>
    <m/>
    <m/>
    <m/>
    <n v="2020"/>
    <x v="1"/>
    <s v="Combo"/>
    <s v="NA"/>
    <s v="Black"/>
    <s v="S China"/>
    <s v="OTHERS"/>
    <m/>
    <m/>
    <n v="9"/>
    <n v="9"/>
    <n v="9"/>
    <n v="9"/>
    <n v="9"/>
    <n v="9"/>
    <n v="9"/>
    <n v="9"/>
    <n v="9"/>
    <x v="4"/>
    <n v="9"/>
    <n v="9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s v="0"/>
    <n v="0"/>
    <n v="1280"/>
    <n v="230.39999999999998"/>
    <s v="0"/>
    <n v="0"/>
    <s v="0"/>
    <n v="0"/>
    <s v="0"/>
    <n v="0"/>
    <x v="4"/>
    <x v="0"/>
    <s v="APJ"/>
  </r>
  <r>
    <s v="FY24"/>
    <s v="Simon Yang"/>
    <m/>
    <m/>
    <m/>
    <m/>
    <n v="2020"/>
    <x v="1"/>
    <s v="Combo"/>
    <s v="NA"/>
    <s v="Black"/>
    <s v="S China"/>
    <s v="OTHERS"/>
    <n v="9.0299999999999994"/>
    <n v="9.01"/>
    <n v="9.01"/>
    <n v="9.01"/>
    <n v="9.01"/>
    <n v="9.01"/>
    <n v="9.01"/>
    <n v="9.01"/>
    <n v="9.01"/>
    <n v="9.01"/>
    <n v="9.01"/>
    <x v="5"/>
    <n v="9.01"/>
    <n v="9.01"/>
    <n v="0.18"/>
    <n v="0.18"/>
    <n v="0.18"/>
    <n v="0.18"/>
    <n v="0.18"/>
    <n v="0.18"/>
    <n v="0.18"/>
    <n v="0.18"/>
    <n v="0.18"/>
    <n v="0.18"/>
    <n v="0.18"/>
    <n v="0.18"/>
    <n v="0.18"/>
    <n v="28780"/>
    <n v="5180.3999999999996"/>
    <n v="14000"/>
    <n v="2520"/>
    <n v="43400"/>
    <n v="7812"/>
    <n v="23600"/>
    <n v="4248"/>
    <n v="18000"/>
    <n v="3240"/>
    <n v="29000"/>
    <n v="5220"/>
    <n v="15600"/>
    <n v="2808"/>
    <n v="33400"/>
    <n v="6012"/>
    <n v="25280"/>
    <n v="4550.3999999999996"/>
    <n v="21280"/>
    <n v="3830.3999999999996"/>
    <n v="47000"/>
    <n v="8460"/>
    <n v="23000"/>
    <n v="4140"/>
    <x v="5"/>
    <x v="2"/>
    <s v="EMEA"/>
  </r>
  <r>
    <s v="FY24"/>
    <s v="Simon Yang"/>
    <m/>
    <m/>
    <m/>
    <m/>
    <n v="2020"/>
    <x v="2"/>
    <s v="Combo"/>
    <s v="NA"/>
    <s v="White"/>
    <s v="S China"/>
    <s v="OTHERS"/>
    <n v="10.99"/>
    <n v="10.92"/>
    <n v="10.92"/>
    <n v="10.92"/>
    <n v="10.92"/>
    <n v="10.92"/>
    <n v="10.92"/>
    <n v="10.92"/>
    <n v="10.92"/>
    <n v="10.92"/>
    <n v="10.92"/>
    <x v="6"/>
    <n v="10.92"/>
    <n v="10.92"/>
    <n v="0.21"/>
    <n v="0.21"/>
    <n v="0.21"/>
    <n v="0.21"/>
    <n v="0.21"/>
    <n v="0.21"/>
    <n v="0.21"/>
    <n v="0.21"/>
    <n v="0.21"/>
    <n v="0.21"/>
    <n v="0.21"/>
    <n v="0.21"/>
    <n v="0.21"/>
    <n v="10880"/>
    <n v="2284.7999999999997"/>
    <n v="0"/>
    <n v="0"/>
    <n v="5760"/>
    <n v="1209.5999999999999"/>
    <n v="2880"/>
    <n v="604.79999999999995"/>
    <n v="3880"/>
    <n v="814.8"/>
    <n v="16880"/>
    <n v="3544.7999999999997"/>
    <n v="10180"/>
    <n v="2137.7999999999997"/>
    <n v="5760"/>
    <n v="1209.5999999999999"/>
    <s v="0"/>
    <n v="0"/>
    <n v="5760"/>
    <n v="1209.5999999999999"/>
    <n v="10760"/>
    <n v="2259.6"/>
    <n v="5880"/>
    <n v="1234.8"/>
    <x v="6"/>
    <x v="2"/>
    <s v="EMEA"/>
  </r>
  <r>
    <s v="FY24"/>
    <s v="Simon Yang"/>
    <m/>
    <m/>
    <m/>
    <m/>
    <n v="2021"/>
    <x v="3"/>
    <s v="NBL KB"/>
    <s v="NA"/>
    <s v="Black"/>
    <s v="S China"/>
    <s v="OTHERS"/>
    <n v="7.73"/>
    <n v="7.58"/>
    <n v="7.58"/>
    <n v="7.58"/>
    <n v="7.58"/>
    <n v="7.58"/>
    <n v="7.58"/>
    <n v="7.58"/>
    <n v="7.58"/>
    <n v="7.58"/>
    <n v="7.58"/>
    <x v="7"/>
    <n v="7.58"/>
    <n v="7.58"/>
    <n v="0.15"/>
    <n v="0.15"/>
    <n v="0.15"/>
    <n v="0.15"/>
    <n v="0.15"/>
    <n v="0.15"/>
    <n v="0.15"/>
    <n v="0.15"/>
    <n v="0.15"/>
    <n v="0.15"/>
    <n v="0.15"/>
    <n v="0.15"/>
    <n v="0.15"/>
    <n v="12480"/>
    <n v="1872"/>
    <n v="0"/>
    <n v="0"/>
    <n v="6080"/>
    <n v="912"/>
    <n v="5500"/>
    <n v="825"/>
    <n v="6840"/>
    <n v="1026"/>
    <n v="14280"/>
    <n v="2142"/>
    <s v="0"/>
    <n v="0"/>
    <s v="0"/>
    <n v="0"/>
    <s v="0"/>
    <n v="0"/>
    <n v="1280"/>
    <n v="192"/>
    <n v="4000"/>
    <n v="600"/>
    <n v="3840"/>
    <n v="576"/>
    <x v="7"/>
    <x v="2"/>
    <s v="EMEA"/>
  </r>
  <r>
    <s v="FY24"/>
    <s v="Allen Chen"/>
    <m/>
    <m/>
    <m/>
    <m/>
    <n v="2020"/>
    <x v="4"/>
    <s v="Mouse"/>
    <s v="NA"/>
    <s v="Natural Silver"/>
    <s v="S China"/>
    <s v="OTHERS"/>
    <n v="30.5"/>
    <n v="30.52"/>
    <n v="30.52"/>
    <n v="30.52"/>
    <n v="30.52"/>
    <n v="30.52"/>
    <n v="30.52"/>
    <n v="30.52"/>
    <n v="30.52"/>
    <n v="30.52"/>
    <n v="30.52"/>
    <x v="8"/>
    <n v="30.45"/>
    <n v="30.45"/>
    <n v="0"/>
    <n v="0"/>
    <n v="0"/>
    <n v="0"/>
    <n v="0"/>
    <n v="0"/>
    <n v="0"/>
    <n v="0"/>
    <n v="0"/>
    <n v="0"/>
    <n v="0"/>
    <n v="7.0000000000000007E-2"/>
    <n v="7.0000000000000007E-2"/>
    <n v="1008"/>
    <n v="0"/>
    <n v="0"/>
    <n v="0"/>
    <s v="0"/>
    <n v="0"/>
    <n v="1008"/>
    <n v="0"/>
    <n v="0"/>
    <n v="0"/>
    <n v="1008"/>
    <n v="0"/>
    <s v="0"/>
    <n v="0"/>
    <n v="1008"/>
    <n v="0"/>
    <s v="0"/>
    <n v="0"/>
    <s v="0"/>
    <n v="0"/>
    <n v="1008"/>
    <n v="70.56"/>
    <s v="0"/>
    <n v="0"/>
    <x v="8"/>
    <x v="1"/>
    <s v="EMEA"/>
  </r>
  <r>
    <s v="FY24"/>
    <s v="Allen Chen"/>
    <m/>
    <m/>
    <m/>
    <m/>
    <n v="2020"/>
    <x v="4"/>
    <s v="Mouse"/>
    <s v="NA"/>
    <s v="Nightfull black"/>
    <s v="S China"/>
    <s v="OTHERS"/>
    <n v="30.4"/>
    <n v="30.42"/>
    <n v="30.42"/>
    <n v="30.42"/>
    <n v="30.42"/>
    <n v="30.42"/>
    <n v="30.42"/>
    <n v="30.42"/>
    <n v="30.42"/>
    <n v="30.42"/>
    <n v="30.42"/>
    <x v="9"/>
    <n v="30.35"/>
    <n v="30.3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2016"/>
    <n v="0"/>
    <n v="1008"/>
    <n v="0"/>
    <n v="0"/>
    <n v="0"/>
    <n v="1008"/>
    <n v="0"/>
    <s v="0"/>
    <n v="0"/>
    <n v="1008"/>
    <n v="0"/>
    <s v="0"/>
    <n v="0"/>
    <n v="1008"/>
    <n v="0"/>
    <s v="0"/>
    <n v="0"/>
    <s v="0"/>
    <n v="0"/>
    <n v="1008"/>
    <n v="70.56"/>
    <x v="9"/>
    <x v="1"/>
    <s v="EMEA"/>
  </r>
  <r>
    <s v="FY24"/>
    <s v="Allen Chen"/>
    <m/>
    <m/>
    <m/>
    <m/>
    <n v="2020"/>
    <x v="4"/>
    <s v="Mouse"/>
    <s v="NA"/>
    <s v="Natural Silver"/>
    <s v="S China"/>
    <s v="OTHERS"/>
    <n v="30.5"/>
    <n v="30.52"/>
    <n v="30.52"/>
    <n v="30.52"/>
    <n v="30.52"/>
    <n v="30.52"/>
    <n v="30.52"/>
    <n v="30.52"/>
    <n v="30.52"/>
    <n v="30.52"/>
    <n v="30.52"/>
    <x v="8"/>
    <n v="30.45"/>
    <n v="30.4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0"/>
    <x v="3"/>
    <s v="NA/LA"/>
  </r>
  <r>
    <s v="FY24"/>
    <s v="Simon Yang"/>
    <m/>
    <m/>
    <m/>
    <m/>
    <n v="2020"/>
    <x v="5"/>
    <s v="Combo"/>
    <s v="NA"/>
    <s v="Black"/>
    <s v="S China"/>
    <s v="OTHERS"/>
    <n v="5.14"/>
    <n v="5.14"/>
    <n v="5.14"/>
    <n v="5.14"/>
    <n v="5.14"/>
    <n v="5.14"/>
    <n v="5.14"/>
    <n v="5.14"/>
    <n v="5.14"/>
    <n v="5.14"/>
    <n v="5.14"/>
    <x v="10"/>
    <n v="5.14"/>
    <n v="5.14"/>
    <n v="0"/>
    <n v="0"/>
    <n v="0"/>
    <n v="0"/>
    <n v="0"/>
    <n v="0"/>
    <n v="0"/>
    <n v="0"/>
    <n v="0"/>
    <n v="0"/>
    <n v="0"/>
    <n v="0"/>
    <n v="0"/>
    <n v="5600"/>
    <n v="0"/>
    <n v="7700"/>
    <n v="0"/>
    <n v="2700"/>
    <n v="0"/>
    <n v="5200"/>
    <n v="0"/>
    <n v="13800"/>
    <n v="0"/>
    <n v="15000"/>
    <n v="0"/>
    <n v="5200"/>
    <n v="0"/>
    <n v="17000"/>
    <n v="0"/>
    <s v="0"/>
    <n v="0"/>
    <n v="2600"/>
    <n v="0"/>
    <n v="7800"/>
    <n v="0"/>
    <n v="2600"/>
    <n v="0"/>
    <x v="11"/>
    <x v="2"/>
    <s v="EMEA"/>
  </r>
  <r>
    <s v="FY24"/>
    <s v="Simon Yang"/>
    <m/>
    <m/>
    <m/>
    <m/>
    <n v="2020"/>
    <x v="6"/>
    <s v="Combo"/>
    <s v="NA"/>
    <s v="Black"/>
    <s v="S China"/>
    <s v="OTHERS"/>
    <n v="4.93"/>
    <n v="4.93"/>
    <n v="4.93"/>
    <n v="4.93"/>
    <n v="4.93"/>
    <n v="4.93"/>
    <n v="4.93"/>
    <n v="4.93"/>
    <n v="4.93"/>
    <n v="4.93"/>
    <n v="4.93"/>
    <x v="11"/>
    <n v="4.93"/>
    <n v="4.9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2"/>
    <x v="4"/>
    <s v="APJ"/>
  </r>
  <r>
    <s v="FY24"/>
    <s v="Simon Yang"/>
    <m/>
    <m/>
    <m/>
    <m/>
    <n v="2022"/>
    <x v="7"/>
    <s v="NBL KB"/>
    <s v="NA"/>
    <s v="Black"/>
    <s v="S China"/>
    <s v="OTHERS"/>
    <n v="3.9"/>
    <n v="3.9"/>
    <n v="3.9"/>
    <n v="3.9"/>
    <n v="3.9"/>
    <n v="3.9"/>
    <n v="3.9"/>
    <n v="3.9"/>
    <n v="3.9"/>
    <n v="3.9"/>
    <n v="3.9"/>
    <x v="12"/>
    <n v="3.9"/>
    <n v="3.9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5600"/>
    <n v="1176"/>
    <n v="5600"/>
    <n v="1176"/>
    <n v="2800"/>
    <n v="588"/>
    <n v="2800"/>
    <n v="588"/>
    <n v="5600"/>
    <n v="1176"/>
    <n v="5600"/>
    <n v="1176"/>
    <n v="8400"/>
    <n v="1764"/>
    <x v="13"/>
    <x v="2"/>
    <s v="EMEA"/>
  </r>
  <r>
    <s v="FY24"/>
    <s v="Allen Chen"/>
    <m/>
    <m/>
    <m/>
    <m/>
    <n v="2016"/>
    <x v="8"/>
    <s v="Mouse"/>
    <s v="NA"/>
    <s v="Black"/>
    <s v="S China"/>
    <s v="OTHERS"/>
    <n v="5.3"/>
    <n v="4.79"/>
    <n v="4.79"/>
    <n v="4.79"/>
    <n v="4.79"/>
    <n v="4.79"/>
    <n v="4.79"/>
    <n v="4.79"/>
    <n v="4.79"/>
    <n v="4.79"/>
    <n v="4.79"/>
    <x v="13"/>
    <n v="4.79"/>
    <n v="4.79"/>
    <n v="0.05"/>
    <n v="0.05"/>
    <n v="0.05"/>
    <n v="0.05"/>
    <n v="0.05"/>
    <n v="0.05"/>
    <n v="0.05"/>
    <n v="0.05"/>
    <n v="0.05"/>
    <n v="0.05"/>
    <n v="0.05"/>
    <n v="0.05"/>
    <n v="0.05"/>
    <n v="0"/>
    <n v="0"/>
    <n v="12960"/>
    <n v="648"/>
    <n v="4320"/>
    <n v="216"/>
    <n v="0"/>
    <n v="0"/>
    <n v="8640"/>
    <n v="432"/>
    <n v="8640"/>
    <n v="432"/>
    <n v="8640"/>
    <n v="432"/>
    <n v="8640"/>
    <n v="432"/>
    <n v="4320"/>
    <n v="216"/>
    <s v="0"/>
    <n v="0"/>
    <n v="4320"/>
    <n v="216"/>
    <n v="4320"/>
    <n v="216"/>
    <x v="14"/>
    <x v="1"/>
    <s v="EMEA"/>
  </r>
  <r>
    <s v="FY24"/>
    <s v="Allen Chen"/>
    <m/>
    <m/>
    <m/>
    <m/>
    <n v="2019"/>
    <x v="9"/>
    <s v="Mouse"/>
    <s v="NA"/>
    <s v="Black"/>
    <s v="S China"/>
    <s v="OTHERS"/>
    <n v="1.8"/>
    <n v="1.8"/>
    <n v="1.8"/>
    <n v="1.8"/>
    <n v="1.8"/>
    <n v="1.8"/>
    <n v="1.8"/>
    <n v="1.8"/>
    <n v="1.8"/>
    <n v="1.8"/>
    <n v="1.8"/>
    <x v="14"/>
    <n v="1.8"/>
    <n v="1.8"/>
    <n v="0"/>
    <n v="0"/>
    <n v="0"/>
    <n v="0"/>
    <n v="0"/>
    <n v="0"/>
    <n v="0"/>
    <n v="0"/>
    <n v="0"/>
    <n v="0"/>
    <n v="0"/>
    <n v="0"/>
    <n v="0"/>
    <n v="17280"/>
    <n v="0"/>
    <n v="33040"/>
    <n v="0"/>
    <n v="15920"/>
    <n v="0"/>
    <n v="0"/>
    <n v="0"/>
    <n v="37440"/>
    <n v="0"/>
    <n v="40320"/>
    <n v="0"/>
    <n v="20200"/>
    <n v="0"/>
    <n v="2880"/>
    <n v="0"/>
    <n v="5760"/>
    <n v="0"/>
    <n v="20160"/>
    <n v="0"/>
    <s v="0"/>
    <n v="0"/>
    <n v="17280"/>
    <n v="0"/>
    <x v="15"/>
    <x v="1"/>
    <s v="EMEA"/>
  </r>
  <r>
    <s v="FY24"/>
    <s v="Simon Yang"/>
    <m/>
    <m/>
    <m/>
    <m/>
    <n v="2020"/>
    <x v="10"/>
    <s v="Combo"/>
    <s v="NA"/>
    <s v="Black"/>
    <s v="S China"/>
    <s v="OTHERS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x v="15"/>
    <n v="8.0500000000000007"/>
    <n v="8.0500000000000007"/>
    <n v="0.08"/>
    <n v="0.08"/>
    <n v="0.08"/>
    <n v="0.08"/>
    <n v="0.08"/>
    <n v="0.08"/>
    <n v="0.08"/>
    <n v="0.08"/>
    <n v="0.08"/>
    <n v="0.08"/>
    <n v="0.08"/>
    <n v="0.08"/>
    <n v="0.08"/>
    <n v="7780"/>
    <n v="622.4"/>
    <n v="0"/>
    <n v="0"/>
    <n v="2500"/>
    <n v="200"/>
    <n v="0"/>
    <n v="0"/>
    <n v="0"/>
    <n v="0"/>
    <n v="7000"/>
    <n v="560"/>
    <n v="1000"/>
    <n v="80"/>
    <n v="16000"/>
    <n v="1280"/>
    <n v="25000"/>
    <n v="2000"/>
    <n v="11500"/>
    <n v="920"/>
    <n v="10560"/>
    <n v="844.80000000000007"/>
    <n v="5280"/>
    <n v="422.40000000000003"/>
    <x v="16"/>
    <x v="2"/>
    <s v="EMEA"/>
  </r>
  <r>
    <s v="FY24"/>
    <s v="Allen Chen"/>
    <m/>
    <m/>
    <m/>
    <m/>
    <n v="2020"/>
    <x v="11"/>
    <s v="Mouse"/>
    <s v="NA"/>
    <s v="Nightfull black"/>
    <s v="S China"/>
    <s v="OTHERS"/>
    <n v="22.76"/>
    <n v="22.78"/>
    <n v="22.78"/>
    <n v="22.78"/>
    <n v="22.78"/>
    <n v="22.78"/>
    <n v="22.78"/>
    <n v="22.78"/>
    <n v="22.78"/>
    <n v="22.78"/>
    <n v="22.78"/>
    <x v="16"/>
    <n v="22.72"/>
    <n v="22.72"/>
    <n v="0"/>
    <n v="0"/>
    <n v="0"/>
    <n v="0"/>
    <n v="0"/>
    <n v="0"/>
    <n v="0"/>
    <n v="0"/>
    <n v="0"/>
    <n v="0"/>
    <n v="0"/>
    <n v="0.06"/>
    <n v="0.06"/>
    <n v="0"/>
    <n v="0"/>
    <n v="1008"/>
    <n v="0"/>
    <n v="2016"/>
    <n v="0"/>
    <n v="0"/>
    <n v="0"/>
    <n v="1008"/>
    <n v="0"/>
    <n v="1008"/>
    <n v="0"/>
    <n v="1008"/>
    <n v="0"/>
    <n v="1008"/>
    <n v="0"/>
    <n v="1008"/>
    <n v="0"/>
    <s v="0"/>
    <n v="0"/>
    <n v="0"/>
    <n v="0"/>
    <n v="1008"/>
    <n v="60.48"/>
    <x v="17"/>
    <x v="1"/>
    <s v="EMEA"/>
  </r>
  <r>
    <s v="FY24"/>
    <s v="Allen Chen"/>
    <m/>
    <m/>
    <m/>
    <m/>
    <n v="2021"/>
    <x v="12"/>
    <s v="Mouse"/>
    <s v="NA"/>
    <s v="Black"/>
    <s v="S China"/>
    <s v="OTHERS"/>
    <n v="4.3099999999999996"/>
    <n v="4.43"/>
    <n v="4.43"/>
    <n v="4.43"/>
    <n v="4.43"/>
    <n v="4.43"/>
    <n v="4.43"/>
    <n v="4.43"/>
    <n v="4.43"/>
    <n v="4.43"/>
    <n v="4.43"/>
    <x v="17"/>
    <n v="22.72"/>
    <n v="4.43"/>
    <n v="0"/>
    <n v="0"/>
    <n v="0"/>
    <n v="0"/>
    <n v="0"/>
    <n v="0"/>
    <n v="0"/>
    <n v="0"/>
    <n v="0"/>
    <n v="0"/>
    <n v="0"/>
    <n v="0"/>
    <n v="0"/>
    <n v="11520"/>
    <n v="0"/>
    <n v="8640"/>
    <n v="0"/>
    <n v="8640"/>
    <n v="0"/>
    <n v="2880"/>
    <n v="0"/>
    <n v="6080"/>
    <n v="0"/>
    <n v="14720"/>
    <n v="0"/>
    <n v="11520"/>
    <n v="0"/>
    <s v="0"/>
    <n v="0"/>
    <s v="0"/>
    <n v="0"/>
    <s v="0"/>
    <n v="0"/>
    <s v="0"/>
    <n v="0"/>
    <s v="0"/>
    <n v="0"/>
    <x v="18"/>
    <x v="1"/>
    <s v="EMEA"/>
  </r>
  <r>
    <s v="FY24"/>
    <s v="Simon Yang"/>
    <m/>
    <m/>
    <m/>
    <m/>
    <n v="2019"/>
    <x v="13"/>
    <s v="Combo"/>
    <s v="NA"/>
    <s v="Black"/>
    <s v="S China"/>
    <s v="OTHERS"/>
    <n v="10.14"/>
    <n v="10.31"/>
    <n v="10.31"/>
    <n v="10.31"/>
    <n v="10.31"/>
    <n v="10.31"/>
    <n v="10.31"/>
    <n v="10.31"/>
    <n v="10.31"/>
    <n v="10.31"/>
    <n v="10.31"/>
    <x v="18"/>
    <n v="22.78"/>
    <n v="10.31"/>
    <n v="0"/>
    <n v="0"/>
    <n v="0"/>
    <n v="0"/>
    <n v="0"/>
    <n v="0"/>
    <n v="0"/>
    <n v="0"/>
    <n v="0"/>
    <n v="0"/>
    <n v="0"/>
    <n v="0"/>
    <n v="0.06"/>
    <n v="0"/>
    <n v="0"/>
    <n v="0"/>
    <n v="0"/>
    <s v="0"/>
    <n v="0"/>
    <n v="0"/>
    <n v="0"/>
    <n v="0"/>
    <n v="0"/>
    <s v="0"/>
    <n v="0"/>
    <n v="1000"/>
    <n v="0"/>
    <s v="0"/>
    <n v="0"/>
    <s v="0"/>
    <n v="0"/>
    <s v="0"/>
    <n v="0"/>
    <s v="0"/>
    <n v="0"/>
    <s v="0"/>
    <n v="0"/>
    <x v="19"/>
    <x v="2"/>
    <s v="EMEA"/>
  </r>
  <r>
    <s v="FY24"/>
    <s v="Allen Chen"/>
    <m/>
    <m/>
    <m/>
    <m/>
    <n v="2020"/>
    <x v="14"/>
    <s v="Mouse"/>
    <s v="NA"/>
    <s v="Black"/>
    <s v="S China"/>
    <s v="OTHERS"/>
    <n v="3.28"/>
    <n v="3.28"/>
    <n v="3.28"/>
    <n v="3.28"/>
    <n v="3.28"/>
    <n v="3.28"/>
    <n v="3.28"/>
    <n v="3.28"/>
    <n v="3.28"/>
    <n v="3.28"/>
    <n v="3.28"/>
    <x v="19"/>
    <n v="3.28"/>
    <n v="3.28"/>
    <n v="0"/>
    <n v="0"/>
    <n v="0"/>
    <n v="0"/>
    <n v="0"/>
    <n v="0"/>
    <n v="0"/>
    <n v="0"/>
    <n v="0"/>
    <n v="0"/>
    <n v="0"/>
    <n v="0"/>
    <n v="0"/>
    <n v="6720"/>
    <n v="0"/>
    <n v="60480"/>
    <n v="0"/>
    <s v="0"/>
    <n v="0"/>
    <n v="33600"/>
    <n v="0"/>
    <n v="40320"/>
    <n v="0"/>
    <n v="65280"/>
    <n v="0"/>
    <n v="22080"/>
    <n v="0"/>
    <n v="6720"/>
    <n v="0"/>
    <s v="0"/>
    <n v="0"/>
    <n v="25920"/>
    <n v="0"/>
    <n v="20160"/>
    <n v="0"/>
    <n v="13440"/>
    <n v="0"/>
    <x v="20"/>
    <x v="1"/>
    <s v="EMEA"/>
  </r>
  <r>
    <s v="FY24"/>
    <s v="Allen Chen"/>
    <m/>
    <m/>
    <m/>
    <m/>
    <n v="2023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x v="20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n v="1200"/>
    <n v="576"/>
    <n v="0"/>
    <n v="0"/>
    <n v="1200"/>
    <n v="576"/>
    <n v="3600"/>
    <n v="1728"/>
    <n v="2400"/>
    <n v="1152"/>
    <s v="0"/>
    <n v="0"/>
    <s v="0"/>
    <n v="0"/>
    <s v="0"/>
    <n v="0"/>
    <s v="0"/>
    <n v="0"/>
    <n v="1200"/>
    <n v="996"/>
    <x v="21"/>
    <x v="1"/>
    <s v="EMEA"/>
  </r>
  <r>
    <s v="FY24"/>
    <s v="Allen Chen"/>
    <m/>
    <m/>
    <m/>
    <m/>
    <n v="2021"/>
    <x v="16"/>
    <s v="Mouse"/>
    <s v="NA"/>
    <s v="Pike silver"/>
    <s v="S China"/>
    <s v="OTHERS"/>
    <n v="4.57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x v="21"/>
    <n v="4.6100000000000003"/>
    <n v="4.61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2880"/>
    <n v="0"/>
    <n v="20160"/>
    <n v="0"/>
    <n v="14400"/>
    <n v="0"/>
    <n v="0"/>
    <n v="0"/>
    <n v="11520"/>
    <n v="0"/>
    <s v="0"/>
    <n v="0"/>
    <n v="2880"/>
    <n v="0"/>
    <n v="2880"/>
    <n v="201.60000000000002"/>
    <n v="2880"/>
    <n v="201.60000000000002"/>
    <n v="2880"/>
    <n v="201.60000000000002"/>
    <n v="2880"/>
    <n v="201.60000000000002"/>
    <n v="11520"/>
    <n v="806.40000000000009"/>
    <x v="22"/>
    <x v="1"/>
    <s v="EMEA"/>
  </r>
  <r>
    <s v="FY24"/>
    <s v="Allen Chen"/>
    <m/>
    <m/>
    <m/>
    <m/>
    <n v="2018"/>
    <x v="17"/>
    <s v="Mouse"/>
    <s v="NA"/>
    <s v="Black"/>
    <s v="S China"/>
    <s v="OTHERS"/>
    <n v="4.82"/>
    <n v="4.82"/>
    <n v="4.82"/>
    <n v="4.82"/>
    <n v="4.82"/>
    <n v="4.82"/>
    <n v="4.82"/>
    <n v="4.82"/>
    <n v="4.82"/>
    <n v="4.82"/>
    <n v="4.82"/>
    <x v="22"/>
    <n v="4.82"/>
    <n v="4.82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8640"/>
    <n v="432"/>
    <n v="0"/>
    <n v="0"/>
    <n v="0"/>
    <n v="0"/>
    <s v="0"/>
    <n v="0"/>
    <s v="0"/>
    <n v="0"/>
    <n v="38880"/>
    <n v="1944"/>
    <n v="38880"/>
    <n v="1944"/>
    <s v="0"/>
    <n v="0"/>
    <n v="82080"/>
    <n v="4104"/>
    <s v="0"/>
    <n v="0"/>
    <x v="23"/>
    <x v="3"/>
    <s v="NA"/>
  </r>
  <r>
    <s v="FY24"/>
    <s v="Allen Chen"/>
    <m/>
    <m/>
    <m/>
    <m/>
    <n v="2018"/>
    <x v="17"/>
    <s v="Mouse"/>
    <s v="NA"/>
    <s v="Blue"/>
    <s v="S China"/>
    <s v="OTHERS"/>
    <n v="5.05"/>
    <n v="5.05"/>
    <n v="5.05"/>
    <n v="5.05"/>
    <n v="5.05"/>
    <n v="5.05"/>
    <n v="5.05"/>
    <n v="5.05"/>
    <n v="5.05"/>
    <n v="5.05"/>
    <n v="5.05"/>
    <x v="23"/>
    <n v="5.05"/>
    <n v="5.05"/>
    <n v="0.05"/>
    <n v="0.05"/>
    <n v="0.05"/>
    <n v="0.05"/>
    <n v="0.05"/>
    <n v="0.05"/>
    <n v="0.05"/>
    <n v="0.05"/>
    <n v="0.05"/>
    <n v="0.05"/>
    <n v="0.05"/>
    <n v="0.05"/>
    <n v="0.05"/>
    <n v="0"/>
    <n v="0"/>
    <n v="2040"/>
    <n v="102"/>
    <n v="6600"/>
    <n v="330"/>
    <n v="0"/>
    <n v="0"/>
    <n v="0"/>
    <n v="0"/>
    <s v="0"/>
    <n v="0"/>
    <n v="4320"/>
    <n v="216"/>
    <n v="4320"/>
    <n v="216"/>
    <n v="4320"/>
    <n v="216"/>
    <s v="0"/>
    <n v="0"/>
    <n v="4320"/>
    <n v="216"/>
    <s v="0"/>
    <n v="0"/>
    <x v="24"/>
    <x v="3"/>
    <s v="NA"/>
  </r>
  <r>
    <s v="FY24"/>
    <s v="Allen Chen"/>
    <m/>
    <m/>
    <m/>
    <m/>
    <n v="2018"/>
    <x v="17"/>
    <s v="Mouse"/>
    <s v="NA"/>
    <s v="Pike silver"/>
    <s v="S China"/>
    <s v="OTHERS"/>
    <n v="5.64"/>
    <n v="5.64"/>
    <n v="5.64"/>
    <n v="5.64"/>
    <n v="5.64"/>
    <n v="5.64"/>
    <n v="5.64"/>
    <n v="5.64"/>
    <n v="5.64"/>
    <n v="5.64"/>
    <n v="5.64"/>
    <x v="24"/>
    <n v="5.64"/>
    <n v="5.6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5"/>
    <x v="3"/>
    <s v="NA"/>
  </r>
  <r>
    <s v="FY24"/>
    <s v="Allen Chen"/>
    <m/>
    <m/>
    <m/>
    <m/>
    <n v="2016"/>
    <x v="18"/>
    <s v="Mouse"/>
    <s v="NA"/>
    <s v="Empress red"/>
    <s v="S China"/>
    <s v="OTHERS"/>
    <n v="4.04"/>
    <n v="4.04"/>
    <n v="4.04"/>
    <n v="4.04"/>
    <n v="4.04"/>
    <n v="4.04"/>
    <n v="4.04"/>
    <n v="4.04"/>
    <n v="4.04"/>
    <n v="4.04"/>
    <n v="4.04"/>
    <x v="25"/>
    <n v="4.04"/>
    <n v="4.04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s v="0"/>
    <n v="0"/>
    <n v="0"/>
    <n v="0"/>
    <n v="4320"/>
    <n v="172.8"/>
    <n v="4320"/>
    <n v="172.8"/>
    <s v="0"/>
    <n v="0"/>
    <s v="0"/>
    <n v="0"/>
    <s v="0"/>
    <n v="0"/>
    <s v="0"/>
    <n v="0"/>
    <s v="0"/>
    <n v="0"/>
    <s v="0"/>
    <n v="0"/>
    <x v="26"/>
    <x v="1"/>
    <s v="EMEA"/>
  </r>
  <r>
    <s v="FY24"/>
    <s v="Allen Chen"/>
    <m/>
    <m/>
    <m/>
    <m/>
    <n v="2019"/>
    <x v="19"/>
    <s v="Mouse"/>
    <s v="NA"/>
    <s v="Black"/>
    <s v="S China"/>
    <s v="OTHERS"/>
    <n v="2.04"/>
    <n v="1.99"/>
    <n v="1.99"/>
    <n v="1.99"/>
    <n v="1.99"/>
    <n v="1.99"/>
    <n v="1.99"/>
    <n v="1.99"/>
    <n v="1.99"/>
    <n v="1.99"/>
    <n v="1.99"/>
    <x v="26"/>
    <n v="1.99"/>
    <n v="1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7"/>
    <x v="4"/>
    <s v="APJ"/>
  </r>
  <r>
    <s v="FY24"/>
    <s v="Allen Chen"/>
    <m/>
    <m/>
    <m/>
    <m/>
    <n v="2018"/>
    <x v="17"/>
    <s v="Mouse"/>
    <s v="NA"/>
    <s v="Black"/>
    <s v="S China"/>
    <s v="OTHERS"/>
    <n v="4.54"/>
    <n v="4.54"/>
    <n v="4.54"/>
    <n v="4.54"/>
    <n v="4.54"/>
    <n v="4.54"/>
    <n v="4.54"/>
    <n v="4.54"/>
    <n v="4.54"/>
    <n v="4.54"/>
    <n v="4.54"/>
    <x v="27"/>
    <n v="4.54"/>
    <n v="4.54"/>
    <n v="0.05"/>
    <n v="0.05"/>
    <n v="0.05"/>
    <n v="0.05"/>
    <n v="0.05"/>
    <n v="0.05"/>
    <n v="0.05"/>
    <n v="0.05"/>
    <n v="0.05"/>
    <n v="0.05"/>
    <n v="0.05"/>
    <n v="0.05"/>
    <n v="0.05"/>
    <n v="8640"/>
    <n v="432"/>
    <n v="12960"/>
    <n v="648"/>
    <n v="4320"/>
    <n v="216"/>
    <n v="0"/>
    <n v="0"/>
    <n v="21600"/>
    <n v="1080"/>
    <n v="11520"/>
    <n v="576"/>
    <n v="8640"/>
    <n v="432"/>
    <s v="0"/>
    <n v="0"/>
    <s v="0"/>
    <n v="0"/>
    <n v="8640"/>
    <n v="432"/>
    <n v="4320"/>
    <n v="216"/>
    <n v="8640"/>
    <n v="432"/>
    <x v="28"/>
    <x v="1"/>
    <s v="EMEA"/>
  </r>
  <r>
    <s v="FY24"/>
    <s v="Allen Chen"/>
    <m/>
    <m/>
    <m/>
    <m/>
    <n v="2018"/>
    <x v="17"/>
    <s v="Mouse"/>
    <s v="NA"/>
    <s v="Black"/>
    <s v="S China"/>
    <s v="OTHERS"/>
    <n v="4.96"/>
    <n v="5.14"/>
    <n v="5.14"/>
    <n v="5.14"/>
    <n v="5.14"/>
    <n v="5.14"/>
    <n v="5.14"/>
    <n v="5.14"/>
    <n v="5.14"/>
    <n v="5.14"/>
    <n v="5.14"/>
    <x v="10"/>
    <n v="5.14"/>
    <n v="5.14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9"/>
    <x v="0"/>
    <s v="APJ"/>
  </r>
  <r>
    <s v="FY24"/>
    <s v="Allen Chen"/>
    <m/>
    <m/>
    <m/>
    <m/>
    <n v="2018"/>
    <x v="17"/>
    <s v="Mouse"/>
    <s v="NA"/>
    <s v="Sred"/>
    <s v="S China"/>
    <s v="OTHERS"/>
    <n v="4.78"/>
    <n v="4.78"/>
    <n v="4.78"/>
    <n v="5.14"/>
    <n v="5.14"/>
    <n v="5.14"/>
    <n v="5.14"/>
    <n v="5.14"/>
    <n v="5.14"/>
    <n v="5.14"/>
    <n v="5.14"/>
    <x v="10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4320"/>
    <n v="216"/>
    <n v="0"/>
    <n v="0"/>
    <n v="0"/>
    <n v="0"/>
    <n v="1380"/>
    <n v="69"/>
    <n v="2760"/>
    <n v="138"/>
    <n v="1380"/>
    <n v="69"/>
    <s v="0"/>
    <n v="0"/>
    <s v="0"/>
    <n v="0"/>
    <s v="0"/>
    <n v="0"/>
    <n v="1380"/>
    <n v="69"/>
    <x v="30"/>
    <x v="1"/>
    <s v="EMEA"/>
  </r>
  <r>
    <s v="FY24"/>
    <s v="Allen Chen"/>
    <m/>
    <m/>
    <m/>
    <m/>
    <n v="2018"/>
    <x v="17"/>
    <s v="Mouse"/>
    <s v="NA"/>
    <s v="Blue"/>
    <s v="S China"/>
    <s v="OTHERS"/>
    <n v="4.78"/>
    <n v="4.78"/>
    <n v="4.78"/>
    <n v="5.14"/>
    <n v="5.14"/>
    <n v="5.14"/>
    <n v="5.14"/>
    <n v="5.14"/>
    <n v="5.14"/>
    <n v="5.14"/>
    <n v="5.14"/>
    <x v="10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1380"/>
    <n v="69"/>
    <n v="4140"/>
    <n v="207"/>
    <n v="6900"/>
    <n v="345"/>
    <s v="0"/>
    <n v="0"/>
    <s v="0"/>
    <n v="0"/>
    <s v="0"/>
    <n v="0"/>
    <s v="0"/>
    <n v="0"/>
    <n v="1380"/>
    <n v="69"/>
    <x v="31"/>
    <x v="1"/>
    <s v="EMEA"/>
  </r>
  <r>
    <s v="FY24"/>
    <s v="Allen Chen"/>
    <m/>
    <m/>
    <m/>
    <m/>
    <n v="2018"/>
    <x v="17"/>
    <s v="Mouse"/>
    <s v="NA"/>
    <s v="Snow White"/>
    <s v="S China"/>
    <s v="OTHERS"/>
    <n v="4.78"/>
    <n v="4.78"/>
    <n v="4.78"/>
    <n v="4.78"/>
    <n v="4.78"/>
    <n v="5.14"/>
    <n v="5.14"/>
    <n v="5.14"/>
    <n v="5.14"/>
    <n v="5.14"/>
    <n v="5.14"/>
    <x v="10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4320"/>
    <n v="216"/>
    <n v="4320"/>
    <n v="216"/>
    <n v="4320"/>
    <n v="216"/>
    <n v="0"/>
    <n v="0"/>
    <n v="5520"/>
    <n v="276"/>
    <n v="2760"/>
    <n v="138"/>
    <n v="1380"/>
    <n v="69"/>
    <s v="0"/>
    <n v="0"/>
    <n v="2760"/>
    <n v="138"/>
    <n v="1380"/>
    <n v="69"/>
    <s v="0"/>
    <n v="0"/>
    <n v="4140"/>
    <n v="207"/>
    <x v="32"/>
    <x v="1"/>
    <s v="EMEA"/>
  </r>
  <r>
    <s v="FY24"/>
    <s v="Allen Chen"/>
    <m/>
    <m/>
    <m/>
    <m/>
    <n v="2023"/>
    <x v="20"/>
    <s v="Mouse"/>
    <s v="NA"/>
    <s v="Black"/>
    <s v="S China"/>
    <s v="OTHERS"/>
    <n v="6.27"/>
    <n v="6.27"/>
    <n v="6.27"/>
    <n v="6.27"/>
    <n v="6.27"/>
    <n v="6.27"/>
    <n v="6.27"/>
    <n v="6.27"/>
    <n v="6.27"/>
    <n v="6.27"/>
    <n v="6.27"/>
    <x v="28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n v="4080"/>
    <n v="1224"/>
    <n v="2040"/>
    <n v="612"/>
    <n v="2040"/>
    <n v="612"/>
    <n v="4080"/>
    <n v="1224"/>
    <s v="0"/>
    <n v="0"/>
    <n v="2040"/>
    <n v="612"/>
    <x v="33"/>
    <x v="0"/>
    <s v="NA/LA"/>
  </r>
  <r>
    <s v="FY24"/>
    <s v="Allen Chen"/>
    <m/>
    <m/>
    <m/>
    <m/>
    <n v="2023"/>
    <x v="20"/>
    <s v="Mouse"/>
    <s v="NA"/>
    <s v="Black"/>
    <s v="S China"/>
    <s v="OTHERS"/>
    <n v="6.31"/>
    <n v="6.31"/>
    <n v="6.31"/>
    <n v="6.31"/>
    <n v="6.31"/>
    <n v="6.31"/>
    <n v="6.31"/>
    <n v="6.31"/>
    <n v="6.31"/>
    <n v="6.31"/>
    <n v="6.31"/>
    <x v="29"/>
    <n v="6.31"/>
    <n v="6.31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3060"/>
    <n v="918"/>
    <n v="6120"/>
    <n v="1836"/>
    <n v="2760"/>
    <n v="828"/>
    <n v="1020"/>
    <n v="306"/>
    <n v="2100"/>
    <n v="630"/>
    <n v="1080"/>
    <n v="324"/>
    <n v="1020"/>
    <n v="306"/>
    <x v="34"/>
    <x v="1"/>
    <s v="EMEA"/>
  </r>
  <r>
    <s v="FY24"/>
    <s v="Allen Chen"/>
    <m/>
    <m/>
    <m/>
    <m/>
    <n v="2023"/>
    <x v="20"/>
    <s v="Mouse"/>
    <s v="NA"/>
    <s v="Black"/>
    <s v="S China"/>
    <s v="OTHERS"/>
    <n v="6.27"/>
    <n v="6.27"/>
    <n v="6.27"/>
    <n v="6.27"/>
    <n v="6.27"/>
    <n v="6.27"/>
    <n v="6.27"/>
    <n v="6.27"/>
    <n v="6.27"/>
    <n v="6.27"/>
    <n v="6.27"/>
    <x v="28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2040"/>
    <n v="612"/>
    <n v="3060"/>
    <n v="918"/>
    <n v="2040"/>
    <n v="612"/>
    <n v="3060"/>
    <n v="918"/>
    <n v="6120"/>
    <n v="1836"/>
    <n v="2040"/>
    <n v="612"/>
    <n v="4080"/>
    <n v="1224"/>
    <n v="2040"/>
    <n v="612"/>
    <x v="35"/>
    <x v="0"/>
    <s v="APJ"/>
  </r>
  <r>
    <s v="FY24"/>
    <s v="Allen Chen"/>
    <m/>
    <m/>
    <m/>
    <m/>
    <n v="2023"/>
    <x v="20"/>
    <s v="Mouse"/>
    <s v="NA"/>
    <s v="Silver"/>
    <s v="S China"/>
    <s v="OTHERS"/>
    <n v="6.27"/>
    <n v="6.27"/>
    <n v="6.27"/>
    <n v="6.27"/>
    <n v="6.27"/>
    <n v="6.27"/>
    <n v="6.27"/>
    <n v="6.27"/>
    <n v="6.27"/>
    <n v="6.27"/>
    <n v="6.27"/>
    <x v="28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2040"/>
    <n v="612"/>
    <n v="6120"/>
    <n v="1836"/>
    <n v="2040"/>
    <n v="612"/>
    <n v="3060"/>
    <n v="918"/>
    <s v="0"/>
    <n v="0"/>
    <s v="0"/>
    <n v="0"/>
    <s v="0"/>
    <n v="0"/>
    <x v="36"/>
    <x v="0"/>
    <s v="NA/LA"/>
  </r>
  <r>
    <s v="FY24"/>
    <s v="Allen Chen"/>
    <m/>
    <m/>
    <m/>
    <m/>
    <n v="2023"/>
    <x v="20"/>
    <s v="Mouse"/>
    <s v="NA"/>
    <s v="Silver"/>
    <s v="S China"/>
    <s v="OTHERS"/>
    <n v="6.31"/>
    <n v="6.31"/>
    <n v="6.31"/>
    <n v="6.31"/>
    <n v="6.31"/>
    <n v="6.31"/>
    <n v="6.31"/>
    <n v="6.31"/>
    <n v="6.31"/>
    <n v="6.31"/>
    <n v="6.31"/>
    <x v="29"/>
    <n v="6.31"/>
    <n v="6.31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2040"/>
    <n v="612"/>
    <n v="1200"/>
    <n v="360"/>
    <n v="3060"/>
    <n v="918"/>
    <n v="2040"/>
    <n v="612"/>
    <s v="0"/>
    <n v="0"/>
    <s v="0"/>
    <n v="0"/>
    <n v="1020"/>
    <n v="306"/>
    <n v="2040"/>
    <n v="612"/>
    <x v="37"/>
    <x v="1"/>
    <s v="EMEA"/>
  </r>
  <r>
    <s v="FY24"/>
    <s v="Allen Chen"/>
    <m/>
    <m/>
    <m/>
    <m/>
    <n v="2023"/>
    <x v="20"/>
    <s v="Mouse"/>
    <s v="NA"/>
    <s v="Silver"/>
    <s v="S China"/>
    <s v="OTHERS"/>
    <n v="6.27"/>
    <n v="6.27"/>
    <n v="6.27"/>
    <n v="6.27"/>
    <n v="6.27"/>
    <n v="6.27"/>
    <n v="6.27"/>
    <n v="6.27"/>
    <n v="6.27"/>
    <n v="6.27"/>
    <n v="6.27"/>
    <x v="28"/>
    <n v="6.27"/>
    <n v="6.27"/>
    <n v="0.3"/>
    <n v="0.3"/>
    <n v="0.3"/>
    <n v="0.3"/>
    <n v="0.3"/>
    <n v="0.3"/>
    <n v="0.3"/>
    <n v="0.3"/>
    <n v="0.3"/>
    <n v="0.3"/>
    <n v="0.3"/>
    <n v="0.3"/>
    <n v="0.3"/>
    <n v="2040"/>
    <n v="612"/>
    <n v="0"/>
    <n v="0"/>
    <s v="0"/>
    <n v="0"/>
    <n v="0"/>
    <n v="0"/>
    <n v="0"/>
    <n v="0"/>
    <s v="0"/>
    <n v="0"/>
    <s v="0"/>
    <n v="0"/>
    <s v="0"/>
    <n v="0"/>
    <n v="4080"/>
    <n v="1224"/>
    <n v="2040"/>
    <n v="612"/>
    <n v="2040"/>
    <n v="612"/>
    <n v="2040"/>
    <n v="612"/>
    <x v="38"/>
    <x v="0"/>
    <s v="APJ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x v="30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39"/>
    <x v="5"/>
    <s v="DIB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x v="30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39"/>
    <x v="6"/>
    <s v="DIB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x v="30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39"/>
    <x v="7"/>
    <s v="DIB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x v="30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39"/>
    <x v="8"/>
    <s v="DIB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x v="30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0"/>
    <x v="5"/>
    <s v="DIB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x v="30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0"/>
    <x v="6"/>
    <s v="DIB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x v="30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0"/>
    <x v="7"/>
    <s v="DIB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x v="30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0"/>
    <x v="8"/>
    <s v="DIB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x v="30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1020"/>
    <n v="306"/>
    <s v="0"/>
    <n v="0"/>
    <s v="0"/>
    <n v="0"/>
    <s v="0"/>
    <n v="0"/>
    <s v="0"/>
    <n v="0"/>
    <s v="0"/>
    <n v="0"/>
    <s v="0"/>
    <n v="0"/>
    <x v="41"/>
    <x v="5"/>
    <s v="DIB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x v="30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1020"/>
    <n v="306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1"/>
    <x v="6"/>
    <s v="DIB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x v="30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1020"/>
    <n v="306"/>
    <n v="0"/>
    <n v="0"/>
    <n v="0"/>
    <n v="0"/>
    <s v="0"/>
    <n v="0"/>
    <s v="0"/>
    <n v="0"/>
    <s v="0"/>
    <n v="0"/>
    <s v="0"/>
    <n v="0"/>
    <n v="1020"/>
    <n v="306"/>
    <s v="0"/>
    <n v="0"/>
    <n v="1020"/>
    <n v="306"/>
    <x v="41"/>
    <x v="7"/>
    <s v="DIB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x v="30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1020"/>
    <n v="306"/>
    <s v="0"/>
    <n v="0"/>
    <s v="0"/>
    <n v="0"/>
    <s v="0"/>
    <n v="0"/>
    <s v="0"/>
    <n v="0"/>
    <s v="0"/>
    <n v="0"/>
    <s v="0"/>
    <n v="0"/>
    <s v="0"/>
    <n v="0"/>
    <x v="41"/>
    <x v="8"/>
    <s v="DIB"/>
  </r>
  <r>
    <s v="FY24"/>
    <s v="Allen Chen"/>
    <m/>
    <m/>
    <m/>
    <m/>
    <n v="2023"/>
    <x v="21"/>
    <s v="Mouse"/>
    <s v="NA"/>
    <s v="Black"/>
    <s v="S China"/>
    <s v="OTHERS"/>
    <n v="5.51"/>
    <n v="5.51"/>
    <n v="5.51"/>
    <n v="5.51"/>
    <n v="5.51"/>
    <n v="5.51"/>
    <n v="5.51"/>
    <n v="5.51"/>
    <n v="5.51"/>
    <n v="5.51"/>
    <n v="5.51"/>
    <x v="31"/>
    <n v="5.51"/>
    <n v="5.51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3640"/>
    <n v="0"/>
    <n v="3640"/>
    <n v="0"/>
    <s v="0"/>
    <n v="0"/>
    <s v="0"/>
    <n v="0"/>
    <s v="0"/>
    <n v="0"/>
    <s v="0"/>
    <n v="0"/>
    <s v="0"/>
    <n v="0"/>
    <s v="0"/>
    <n v="0"/>
    <x v="42"/>
    <x v="0"/>
    <s v="NA/LA"/>
  </r>
  <r>
    <s v="FY24"/>
    <s v="Allen Chen"/>
    <m/>
    <m/>
    <m/>
    <m/>
    <n v="2023"/>
    <x v="21"/>
    <s v="Mouse"/>
    <s v="NA"/>
    <s v="Black"/>
    <s v="S China"/>
    <s v="OTHERS"/>
    <n v="5.18"/>
    <n v="5.18"/>
    <n v="5.18"/>
    <n v="5.18"/>
    <n v="5.18"/>
    <n v="5.18"/>
    <n v="5.18"/>
    <n v="5.18"/>
    <n v="5.18"/>
    <n v="5.18"/>
    <n v="5.18"/>
    <x v="32"/>
    <n v="5.18"/>
    <n v="5.1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10920"/>
    <n v="0"/>
    <s v="0"/>
    <n v="0"/>
    <n v="9040"/>
    <n v="0"/>
    <s v="0"/>
    <n v="0"/>
    <n v="7280"/>
    <n v="0"/>
    <s v="0"/>
    <n v="0"/>
    <n v="7280"/>
    <n v="0"/>
    <x v="43"/>
    <x v="1"/>
    <s v="EMEA"/>
  </r>
  <r>
    <s v="FY24"/>
    <s v="Allen Chen"/>
    <m/>
    <m/>
    <m/>
    <m/>
    <n v="2023"/>
    <x v="21"/>
    <s v="Mouse"/>
    <s v="NA"/>
    <s v="Black"/>
    <s v="S China"/>
    <s v="OTHERS"/>
    <n v="5.45"/>
    <n v="5.45"/>
    <n v="5.45"/>
    <n v="5.45"/>
    <n v="5.45"/>
    <n v="5.45"/>
    <n v="5.45"/>
    <n v="5.45"/>
    <n v="5.45"/>
    <n v="5.45"/>
    <n v="5.45"/>
    <x v="33"/>
    <n v="5.45"/>
    <n v="5.4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3640"/>
    <n v="0"/>
    <s v="0"/>
    <n v="0"/>
    <n v="3640"/>
    <n v="0"/>
    <n v="3640"/>
    <n v="0"/>
    <x v="44"/>
    <x v="0"/>
    <s v="APJ"/>
  </r>
  <r>
    <s v="FY24"/>
    <s v="Allen Chen"/>
    <m/>
    <m/>
    <m/>
    <m/>
    <n v="2023"/>
    <x v="21"/>
    <s v="Mouse"/>
    <s v="NA"/>
    <s v="Black"/>
    <s v="S China"/>
    <s v="OTHERS"/>
    <n v="5"/>
    <n v="5"/>
    <n v="5"/>
    <n v="5"/>
    <n v="5"/>
    <n v="5"/>
    <n v="5"/>
    <n v="5"/>
    <n v="5"/>
    <n v="5"/>
    <n v="5"/>
    <x v="34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5"/>
    <x v="4"/>
    <s v="APJ"/>
  </r>
  <r>
    <s v="FY24"/>
    <s v="Allen Chen"/>
    <m/>
    <m/>
    <m/>
    <m/>
    <n v="2022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x v="20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200"/>
    <n v="576"/>
    <s v="0"/>
    <n v="0"/>
    <s v="0"/>
    <n v="0"/>
    <x v="46"/>
    <x v="0"/>
    <s v="NA/LA"/>
  </r>
  <r>
    <s v="FY24"/>
    <s v="Allen Chen"/>
    <m/>
    <m/>
    <m/>
    <m/>
    <n v="2023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x v="20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n v="1200"/>
    <n v="576"/>
    <n v="0"/>
    <n v="0"/>
    <n v="0"/>
    <n v="0"/>
    <s v="0"/>
    <n v="0"/>
    <n v="1200"/>
    <n v="576"/>
    <s v="0"/>
    <n v="0"/>
    <s v="0"/>
    <n v="0"/>
    <s v="0"/>
    <n v="0"/>
    <n v="1200"/>
    <n v="996"/>
    <s v="0"/>
    <n v="0"/>
    <x v="47"/>
    <x v="0"/>
    <s v="APJ"/>
  </r>
  <r>
    <s v="FY24"/>
    <s v="Allen Chen"/>
    <m/>
    <m/>
    <m/>
    <m/>
    <n v="2023"/>
    <x v="15"/>
    <s v="Mouse"/>
    <s v="NA"/>
    <s v="Silver"/>
    <s v="S China"/>
    <s v="OTHERS"/>
    <n v="25.11"/>
    <n v="25.26"/>
    <n v="25.26"/>
    <n v="25.26"/>
    <n v="25.26"/>
    <n v="25.26"/>
    <n v="25.26"/>
    <n v="25.26"/>
    <n v="25.26"/>
    <n v="25.26"/>
    <n v="25.26"/>
    <x v="35"/>
    <n v="25.16"/>
    <n v="25.16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8"/>
    <x v="0"/>
    <s v="NA/LA"/>
  </r>
  <r>
    <s v="FY24"/>
    <s v="Allen Chen"/>
    <m/>
    <m/>
    <m/>
    <m/>
    <n v="2023"/>
    <x v="15"/>
    <s v="Mouse"/>
    <s v="NA"/>
    <s v="Silver"/>
    <s v="S China"/>
    <s v="OTHERS"/>
    <n v="25.11"/>
    <n v="25.26"/>
    <n v="25.26"/>
    <n v="25.26"/>
    <n v="25.26"/>
    <n v="25.26"/>
    <n v="25.26"/>
    <n v="25.26"/>
    <n v="25.26"/>
    <n v="25.26"/>
    <n v="25.26"/>
    <x v="35"/>
    <n v="25.16"/>
    <n v="25.16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n v="1200"/>
    <n v="576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9"/>
    <x v="0"/>
    <s v="APJ"/>
  </r>
  <r>
    <s v="FY24"/>
    <s v="Allen Chen"/>
    <m/>
    <m/>
    <m/>
    <m/>
    <n v="2022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x v="20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50"/>
    <x v="0"/>
    <s v="NA/LA"/>
  </r>
  <r>
    <s v="FY24"/>
    <s v="Allen Chen"/>
    <m/>
    <m/>
    <m/>
    <m/>
    <n v="2023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x v="20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2400"/>
    <n v="1152"/>
    <n v="2400"/>
    <n v="1152"/>
    <n v="0"/>
    <n v="0"/>
    <n v="0"/>
    <n v="0"/>
    <n v="2400"/>
    <n v="1152"/>
    <n v="1200"/>
    <n v="576"/>
    <n v="1200"/>
    <n v="576"/>
    <s v="0"/>
    <n v="0"/>
    <s v="0"/>
    <n v="0"/>
    <s v="0"/>
    <n v="0"/>
    <n v="1200"/>
    <n v="996"/>
    <x v="51"/>
    <x v="1"/>
    <s v="EMEA"/>
  </r>
  <r>
    <s v="FY24"/>
    <s v="Allen Chen"/>
    <m/>
    <m/>
    <m/>
    <m/>
    <n v="2023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x v="20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2400"/>
    <n v="1152"/>
    <n v="1200"/>
    <n v="576"/>
    <s v="0"/>
    <n v="0"/>
    <n v="0"/>
    <n v="0"/>
    <n v="2400"/>
    <n v="1152"/>
    <s v="0"/>
    <n v="0"/>
    <n v="1200"/>
    <n v="576"/>
    <s v="0"/>
    <n v="0"/>
    <n v="1200"/>
    <n v="576"/>
    <s v="0"/>
    <n v="0"/>
    <s v="0"/>
    <n v="0"/>
    <s v="0"/>
    <n v="0"/>
    <x v="52"/>
    <x v="0"/>
    <s v="APJ"/>
  </r>
  <r>
    <s v="FY24"/>
    <s v="Allen Chen"/>
    <m/>
    <m/>
    <m/>
    <m/>
    <n v="2023"/>
    <x v="15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x v="36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0"/>
    <n v="0"/>
    <n v="1200"/>
    <n v="57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53"/>
    <x v="6"/>
    <s v="DIB"/>
  </r>
  <r>
    <s v="FY24"/>
    <s v="Allen Chen"/>
    <m/>
    <m/>
    <m/>
    <m/>
    <n v="2023"/>
    <x v="15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x v="36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54"/>
    <x v="6"/>
    <s v="DIB"/>
  </r>
  <r>
    <s v="FY24"/>
    <s v="Allen Chen"/>
    <m/>
    <m/>
    <m/>
    <m/>
    <n v="2023"/>
    <x v="15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x v="36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55"/>
    <x v="6"/>
    <s v="DIB"/>
  </r>
  <r>
    <s v="FY24"/>
    <s v="Allen Chen"/>
    <m/>
    <m/>
    <m/>
    <m/>
    <n v="2016"/>
    <x v="8"/>
    <s v="Mouse"/>
    <s v="NA"/>
    <s v="Black"/>
    <s v="S China"/>
    <s v="OTHERS"/>
    <n v="5.3"/>
    <n v="5.42"/>
    <n v="5.42"/>
    <n v="5.42"/>
    <n v="5.42"/>
    <n v="5.42"/>
    <n v="5.42"/>
    <n v="5.42"/>
    <n v="5.42"/>
    <n v="5.42"/>
    <n v="5.42"/>
    <x v="37"/>
    <n v="5.24"/>
    <n v="5.24"/>
    <n v="0.05"/>
    <n v="0.05"/>
    <n v="0.05"/>
    <n v="0.05"/>
    <n v="0.05"/>
    <n v="0.05"/>
    <n v="0.05"/>
    <n v="0.05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1560"/>
    <n v="78"/>
    <n v="1560"/>
    <n v="78"/>
    <n v="1560"/>
    <n v="78"/>
    <n v="3120"/>
    <n v="436.80000000000007"/>
    <n v="3120"/>
    <n v="436.80000000000007"/>
    <n v="1560"/>
    <n v="218.40000000000003"/>
    <n v="1560"/>
    <n v="218.40000000000003"/>
    <s v="0"/>
    <n v="0"/>
    <x v="56"/>
    <x v="0"/>
    <s v="APJ"/>
  </r>
  <r>
    <s v="FY24"/>
    <s v="Allen Chen"/>
    <m/>
    <m/>
    <m/>
    <m/>
    <n v="2016"/>
    <x v="8"/>
    <s v="Mouse"/>
    <s v="NA"/>
    <s v="White"/>
    <s v="S China"/>
    <s v="OTHERS"/>
    <n v="5.23"/>
    <n v="4.87"/>
    <n v="4.87"/>
    <n v="4.87"/>
    <n v="4.87"/>
    <n v="4.87"/>
    <n v="4.87"/>
    <n v="4.87"/>
    <n v="4.87"/>
    <n v="4.87"/>
    <n v="4.87"/>
    <x v="38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8640"/>
    <n v="432"/>
    <n v="0"/>
    <n v="0"/>
    <n v="4320"/>
    <n v="216"/>
    <s v="0"/>
    <n v="0"/>
    <n v="4320"/>
    <n v="216"/>
    <n v="4320"/>
    <n v="216"/>
    <s v="0"/>
    <n v="0"/>
    <n v="4320"/>
    <n v="216"/>
    <n v="4320"/>
    <n v="216"/>
    <s v="0"/>
    <n v="0"/>
    <x v="57"/>
    <x v="1"/>
    <s v="EMEA"/>
  </r>
  <r>
    <s v="FY24"/>
    <s v="Allen Chen"/>
    <m/>
    <m/>
    <m/>
    <m/>
    <n v="2016"/>
    <x v="8"/>
    <s v="Mouse"/>
    <s v="NA"/>
    <s v="White"/>
    <s v="S China"/>
    <s v="OTHERS"/>
    <n v="5.23"/>
    <n v="5.32"/>
    <n v="5.32"/>
    <n v="5.32"/>
    <n v="5.32"/>
    <n v="5.32"/>
    <n v="5.32"/>
    <n v="5.32"/>
    <n v="5.32"/>
    <n v="5.32"/>
    <n v="5.32"/>
    <x v="39"/>
    <n v="5.32"/>
    <n v="5.3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s v="0"/>
    <n v="0"/>
    <s v="0"/>
    <n v="0"/>
    <n v="1560"/>
    <n v="218.40000000000003"/>
    <s v="0"/>
    <n v="0"/>
    <s v="0"/>
    <n v="0"/>
    <n v="1560"/>
    <n v="218.40000000000003"/>
    <s v="0"/>
    <n v="0"/>
    <x v="58"/>
    <x v="0"/>
    <s v="APJ"/>
  </r>
  <r>
    <s v="FY24"/>
    <s v="Allen Chen"/>
    <m/>
    <m/>
    <m/>
    <m/>
    <n v="2016"/>
    <x v="8"/>
    <s v="Mouse"/>
    <s v="NA"/>
    <s v="Blue"/>
    <s v="S China"/>
    <s v="OTHERS"/>
    <n v="5.23"/>
    <n v="4.87"/>
    <n v="4.87"/>
    <n v="4.87"/>
    <n v="4.87"/>
    <n v="4.87"/>
    <n v="4.87"/>
    <n v="4.87"/>
    <n v="4.87"/>
    <n v="4.87"/>
    <n v="4.87"/>
    <x v="38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n v="4320"/>
    <n v="216"/>
    <s v="0"/>
    <n v="0"/>
    <s v="0"/>
    <n v="0"/>
    <s v="0"/>
    <n v="0"/>
    <s v="0"/>
    <n v="0"/>
    <x v="59"/>
    <x v="1"/>
    <s v="EMEA"/>
  </r>
  <r>
    <s v="FY24"/>
    <s v="Allen Chen"/>
    <m/>
    <m/>
    <m/>
    <m/>
    <n v="2016"/>
    <x v="8"/>
    <s v="Mouse"/>
    <s v="NA"/>
    <s v="Red"/>
    <s v="S China"/>
    <s v="OTHERS"/>
    <n v="5.23"/>
    <n v="4.87"/>
    <n v="4.87"/>
    <n v="4.87"/>
    <n v="4.87"/>
    <n v="4.87"/>
    <n v="4.87"/>
    <n v="4.87"/>
    <n v="4.87"/>
    <n v="4.87"/>
    <n v="4.87"/>
    <x v="38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4320"/>
    <n v="216"/>
    <s v="0"/>
    <n v="0"/>
    <s v="0"/>
    <n v="0"/>
    <s v="0"/>
    <n v="0"/>
    <s v="0"/>
    <n v="0"/>
    <s v="0"/>
    <n v="0"/>
    <s v="0"/>
    <n v="0"/>
    <s v="0"/>
    <n v="0"/>
    <x v="60"/>
    <x v="1"/>
    <s v="EMEA"/>
  </r>
  <r>
    <s v="FY24"/>
    <s v="Allen Chen"/>
    <m/>
    <m/>
    <m/>
    <m/>
    <n v="2016"/>
    <x v="8"/>
    <s v="Mouse"/>
    <s v="NA"/>
    <s v="Gold(painting)"/>
    <s v="S China"/>
    <s v="OTHERS"/>
    <n v="5.38"/>
    <n v="5.17"/>
    <n v="5.17"/>
    <n v="5.17"/>
    <n v="5.17"/>
    <n v="5.17"/>
    <n v="5.17"/>
    <n v="5.17"/>
    <n v="5.17"/>
    <n v="5.17"/>
    <n v="5.17"/>
    <x v="40"/>
    <n v="5.17"/>
    <n v="5.1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4320"/>
    <n v="216"/>
    <n v="0"/>
    <n v="0"/>
    <n v="0"/>
    <n v="0"/>
    <s v="0"/>
    <n v="0"/>
    <n v="4320"/>
    <n v="216"/>
    <s v="0"/>
    <n v="0"/>
    <s v="0"/>
    <n v="0"/>
    <n v="4320"/>
    <n v="216"/>
    <s v="0"/>
    <n v="0"/>
    <s v="0"/>
    <n v="0"/>
    <x v="61"/>
    <x v="1"/>
    <s v="EMEA"/>
  </r>
  <r>
    <s v="FY24"/>
    <s v="Allen Chen"/>
    <m/>
    <m/>
    <m/>
    <m/>
    <n v="2016"/>
    <x v="8"/>
    <s v="Mouse"/>
    <s v="NA"/>
    <s v="Gold(painting)"/>
    <s v="S China"/>
    <s v="OTHERS"/>
    <n v="5.38"/>
    <n v="5.62"/>
    <n v="5.62"/>
    <n v="5.62"/>
    <n v="5.62"/>
    <n v="5.62"/>
    <n v="5.62"/>
    <n v="5.62"/>
    <n v="5.62"/>
    <n v="5.62"/>
    <n v="5.62"/>
    <x v="41"/>
    <n v="5.62"/>
    <n v="5.6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4680"/>
    <n v="655.20000000000005"/>
    <s v="0"/>
    <n v="0"/>
    <s v="0"/>
    <n v="0"/>
    <n v="3120"/>
    <n v="436.80000000000007"/>
    <s v="0"/>
    <n v="0"/>
    <n v="1560"/>
    <n v="218.40000000000003"/>
    <n v="1560"/>
    <n v="218.40000000000003"/>
    <s v="0"/>
    <n v="0"/>
    <x v="62"/>
    <x v="0"/>
    <s v="APJ"/>
  </r>
  <r>
    <s v="FY24"/>
    <s v="Allen Chen"/>
    <m/>
    <m/>
    <m/>
    <m/>
    <n v="2016"/>
    <x v="8"/>
    <s v="Mouse"/>
    <s v="NA"/>
    <s v="Silver(painting)"/>
    <s v="S China"/>
    <s v="OTHERS"/>
    <n v="5.72"/>
    <n v="5.17"/>
    <n v="5.17"/>
    <n v="5.17"/>
    <n v="5.17"/>
    <n v="5.17"/>
    <n v="5.17"/>
    <n v="5.17"/>
    <n v="5.17"/>
    <n v="5.17"/>
    <n v="5.17"/>
    <x v="40"/>
    <n v="5.17"/>
    <n v="5.17"/>
    <n v="0.05"/>
    <n v="0.05"/>
    <n v="0.05"/>
    <n v="0.05"/>
    <n v="0.05"/>
    <n v="0.05"/>
    <n v="0.05"/>
    <n v="0.05"/>
    <n v="0.05"/>
    <n v="0.05"/>
    <n v="0.05"/>
    <n v="0.05"/>
    <n v="0.05"/>
    <n v="0"/>
    <n v="0"/>
    <n v="17280"/>
    <n v="864"/>
    <n v="17280"/>
    <n v="864"/>
    <n v="0"/>
    <n v="0"/>
    <n v="8640"/>
    <n v="432"/>
    <s v="0"/>
    <n v="0"/>
    <n v="4320"/>
    <n v="216"/>
    <n v="4320"/>
    <n v="216"/>
    <s v="0"/>
    <n v="0"/>
    <n v="4320"/>
    <n v="216"/>
    <s v="0"/>
    <n v="0"/>
    <n v="4320"/>
    <n v="216"/>
    <x v="63"/>
    <x v="1"/>
    <s v="EMEA"/>
  </r>
  <r>
    <s v="FY24"/>
    <s v="Allen Chen"/>
    <m/>
    <m/>
    <m/>
    <m/>
    <n v="2016"/>
    <x v="8"/>
    <s v="Mouse"/>
    <s v="NA"/>
    <s v="Silver(painting)"/>
    <s v="S China"/>
    <s v="OTHERS"/>
    <n v="5.72"/>
    <n v="5.62"/>
    <n v="5.62"/>
    <n v="5.62"/>
    <n v="5.62"/>
    <n v="5.62"/>
    <n v="5.62"/>
    <n v="5.62"/>
    <n v="5.62"/>
    <n v="5.62"/>
    <n v="5.62"/>
    <x v="41"/>
    <n v="5.62"/>
    <n v="5.6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n v="1560"/>
    <n v="218.40000000000003"/>
    <s v="0"/>
    <n v="0"/>
    <n v="6240"/>
    <n v="873.60000000000014"/>
    <n v="1560"/>
    <n v="218.40000000000003"/>
    <n v="1560"/>
    <n v="218.40000000000003"/>
    <n v="1560"/>
    <n v="218.40000000000003"/>
    <s v="0"/>
    <n v="0"/>
    <x v="64"/>
    <x v="0"/>
    <s v="APJ"/>
  </r>
  <r>
    <s v="FY24"/>
    <s v="Allen Chen"/>
    <m/>
    <m/>
    <m/>
    <m/>
    <n v="2016"/>
    <x v="8"/>
    <s v="Mouse"/>
    <s v="NA"/>
    <s v="Tranquil Pink(painting)"/>
    <s v="S China"/>
    <s v="OTHERS"/>
    <n v="5.62"/>
    <n v="5.59"/>
    <n v="5.59"/>
    <n v="5.59"/>
    <n v="5.59"/>
    <n v="5.59"/>
    <n v="5.59"/>
    <n v="5.59"/>
    <n v="5.59"/>
    <n v="5.59"/>
    <n v="5.59"/>
    <x v="42"/>
    <n v="5.59"/>
    <n v="5.59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n v="4320"/>
    <n v="216"/>
    <s v="0"/>
    <n v="0"/>
    <s v="0"/>
    <n v="0"/>
    <s v="0"/>
    <n v="0"/>
    <x v="65"/>
    <x v="1"/>
    <s v="EMEA"/>
  </r>
  <r>
    <s v="FY24"/>
    <s v="Allen Chen"/>
    <m/>
    <m/>
    <m/>
    <m/>
    <n v="2016"/>
    <x v="8"/>
    <s v="Mouse"/>
    <s v="NA"/>
    <s v="Lumiere Blue"/>
    <s v="S China"/>
    <s v="OTHERS"/>
    <n v="5.1100000000000003"/>
    <n v="4.87"/>
    <n v="4.87"/>
    <n v="4.87"/>
    <n v="4.87"/>
    <n v="4.87"/>
    <n v="4.87"/>
    <n v="4.87"/>
    <n v="4.87"/>
    <n v="4.87"/>
    <n v="4.87"/>
    <x v="38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66"/>
    <x v="1"/>
    <s v="EMEA"/>
  </r>
  <r>
    <s v="FY24"/>
    <s v="Allen Chen"/>
    <m/>
    <m/>
    <m/>
    <m/>
    <n v="2016"/>
    <x v="8"/>
    <s v="Mouse"/>
    <s v="NA"/>
    <s v="Ceramic White"/>
    <s v="S China"/>
    <s v="OTHERS"/>
    <n v="5.39"/>
    <n v="5.81"/>
    <n v="5.81"/>
    <n v="5.81"/>
    <n v="5.81"/>
    <n v="5.81"/>
    <n v="5.81"/>
    <n v="5.81"/>
    <n v="5.81"/>
    <n v="5.81"/>
    <n v="5.81"/>
    <x v="43"/>
    <n v="5.81"/>
    <n v="5.81"/>
    <n v="0.05"/>
    <n v="0.05"/>
    <n v="0.05"/>
    <n v="0.05"/>
    <n v="0.05"/>
    <n v="0.05"/>
    <n v="0.05"/>
    <n v="0.05"/>
    <n v="0.05"/>
    <n v="0.05"/>
    <n v="0.05"/>
    <n v="0.05"/>
    <n v="0.05"/>
    <n v="4320"/>
    <n v="216"/>
    <n v="0"/>
    <n v="0"/>
    <n v="4320"/>
    <n v="216"/>
    <n v="0"/>
    <n v="0"/>
    <n v="4320"/>
    <n v="216"/>
    <s v="0"/>
    <n v="0"/>
    <s v="0"/>
    <n v="0"/>
    <n v="4320"/>
    <n v="216"/>
    <s v="0"/>
    <n v="0"/>
    <s v="0"/>
    <n v="0"/>
    <s v="0"/>
    <n v="0"/>
    <s v="0"/>
    <n v="0"/>
    <x v="67"/>
    <x v="1"/>
    <s v="EMEA"/>
  </r>
  <r>
    <s v="FY24"/>
    <s v="Allen Chen"/>
    <m/>
    <m/>
    <m/>
    <m/>
    <n v="2016"/>
    <x v="18"/>
    <s v="Mouse"/>
    <s v="NA"/>
    <s v="Black"/>
    <s v="S China"/>
    <s v="OTHERS"/>
    <n v="3.75"/>
    <n v="3.75"/>
    <n v="3.75"/>
    <n v="3.75"/>
    <n v="3.75"/>
    <n v="3.75"/>
    <n v="3.75"/>
    <n v="3.75"/>
    <n v="3.75"/>
    <n v="3.75"/>
    <n v="3.75"/>
    <x v="44"/>
    <n v="3.75"/>
    <n v="3.75"/>
    <n v="0.04"/>
    <n v="0.04"/>
    <n v="0.04"/>
    <n v="0.04"/>
    <n v="0.04"/>
    <n v="0.04"/>
    <n v="0.04"/>
    <n v="0.04"/>
    <n v="0.04"/>
    <n v="0.04"/>
    <n v="0.04"/>
    <n v="0.04"/>
    <n v="0.04"/>
    <n v="4320"/>
    <n v="172.8"/>
    <n v="0"/>
    <n v="0"/>
    <s v="0"/>
    <n v="0"/>
    <n v="4320"/>
    <n v="172.8"/>
    <n v="0"/>
    <n v="0"/>
    <s v="0"/>
    <n v="0"/>
    <n v="8640"/>
    <n v="345.6"/>
    <n v="8640"/>
    <n v="345.6"/>
    <n v="8640"/>
    <n v="345.6"/>
    <n v="4320"/>
    <n v="172.8"/>
    <n v="4320"/>
    <n v="172.8"/>
    <n v="4320"/>
    <n v="172.8"/>
    <x v="68"/>
    <x v="0"/>
    <s v="NA/LA"/>
  </r>
  <r>
    <s v="FY24"/>
    <s v="Allen Chen"/>
    <m/>
    <m/>
    <m/>
    <m/>
    <n v="2016"/>
    <x v="18"/>
    <s v="Mouse"/>
    <s v="NA"/>
    <s v="Black"/>
    <s v="S China"/>
    <s v="OTHERS"/>
    <n v="3.88"/>
    <n v="3.88"/>
    <n v="3.88"/>
    <n v="3.88"/>
    <n v="3.88"/>
    <n v="3.88"/>
    <n v="3.88"/>
    <n v="3.88"/>
    <n v="3.88"/>
    <n v="3.88"/>
    <n v="3.88"/>
    <x v="45"/>
    <n v="3.88"/>
    <n v="3.88"/>
    <n v="0.04"/>
    <n v="0.04"/>
    <n v="0.04"/>
    <n v="0.04"/>
    <n v="0.04"/>
    <n v="0.04"/>
    <n v="0.04"/>
    <n v="0.04"/>
    <n v="0.04"/>
    <n v="0.04"/>
    <n v="0.04"/>
    <n v="0.04"/>
    <n v="0.04"/>
    <n v="12960"/>
    <n v="518.4"/>
    <n v="21600"/>
    <n v="864"/>
    <n v="34560"/>
    <n v="1382.4"/>
    <n v="0"/>
    <n v="0"/>
    <n v="25920"/>
    <n v="1036.8"/>
    <n v="17280"/>
    <n v="691.2"/>
    <n v="77760"/>
    <n v="3110.4"/>
    <s v="0"/>
    <n v="0"/>
    <s v="0"/>
    <n v="0"/>
    <n v="4320"/>
    <n v="172.8"/>
    <s v="0"/>
    <n v="0"/>
    <n v="21600"/>
    <n v="864"/>
    <x v="69"/>
    <x v="1"/>
    <s v="EMEA"/>
  </r>
  <r>
    <s v="FY24"/>
    <s v="Allen Chen"/>
    <m/>
    <m/>
    <m/>
    <m/>
    <n v="2016"/>
    <x v="18"/>
    <s v="Mouse"/>
    <s v="NA"/>
    <s v="Black"/>
    <s v="S China"/>
    <s v="OTHERS"/>
    <n v="3.9"/>
    <n v="4.04"/>
    <n v="4.04"/>
    <n v="4.04"/>
    <n v="4.04"/>
    <n v="4.04"/>
    <n v="4.04"/>
    <n v="4.04"/>
    <n v="4.04"/>
    <n v="4.04"/>
    <n v="4.04"/>
    <x v="25"/>
    <n v="4.04"/>
    <n v="4.04"/>
    <n v="0.04"/>
    <n v="0.04"/>
    <n v="0.04"/>
    <n v="0.12"/>
    <n v="0.12"/>
    <n v="0.12"/>
    <n v="0.12"/>
    <n v="0.12"/>
    <n v="0.12"/>
    <n v="0.12"/>
    <n v="0.12"/>
    <n v="0.12"/>
    <n v="0.12"/>
    <n v="0"/>
    <n v="0"/>
    <n v="6720"/>
    <n v="268.8"/>
    <n v="11520"/>
    <n v="1382.3999999999999"/>
    <n v="0"/>
    <n v="0"/>
    <n v="2880"/>
    <n v="345.59999999999997"/>
    <s v="0"/>
    <n v="0"/>
    <s v="0"/>
    <n v="0"/>
    <s v="0"/>
    <n v="0"/>
    <n v="5760"/>
    <n v="691.19999999999993"/>
    <n v="2880"/>
    <n v="345.59999999999997"/>
    <n v="2880"/>
    <n v="345.59999999999997"/>
    <n v="5760"/>
    <n v="691.19999999999993"/>
    <x v="70"/>
    <x v="0"/>
    <s v="APJ"/>
  </r>
  <r>
    <s v="FY24"/>
    <s v="Allen Chen"/>
    <m/>
    <m/>
    <m/>
    <m/>
    <n v="2016"/>
    <x v="18"/>
    <s v="Mouse"/>
    <s v="NA"/>
    <s v="Empress red"/>
    <s v="S China"/>
    <s v="OTHERS"/>
    <n v="4.18"/>
    <n v="4.18"/>
    <n v="4.18"/>
    <n v="4.18"/>
    <n v="4.18"/>
    <n v="4.18"/>
    <n v="4.18"/>
    <n v="4.18"/>
    <n v="4.18"/>
    <n v="4.18"/>
    <n v="4.18"/>
    <x v="46"/>
    <n v="4.18"/>
    <n v="4.18"/>
    <n v="0.12"/>
    <n v="0.12"/>
    <n v="0.12"/>
    <n v="0.12"/>
    <n v="0.12"/>
    <n v="0.12"/>
    <n v="0.12"/>
    <n v="0.12"/>
    <n v="0.12"/>
    <n v="0.12"/>
    <n v="0.12"/>
    <n v="0.12"/>
    <n v="0.12"/>
    <n v="2880"/>
    <n v="345.59999999999997"/>
    <n v="0"/>
    <n v="0"/>
    <n v="5760"/>
    <n v="691.19999999999993"/>
    <n v="0"/>
    <n v="0"/>
    <n v="2880"/>
    <n v="345.59999999999997"/>
    <s v="0"/>
    <n v="0"/>
    <n v="8640"/>
    <n v="1036.8"/>
    <n v="5760"/>
    <n v="691.19999999999993"/>
    <s v="0"/>
    <n v="0"/>
    <n v="2880"/>
    <n v="345.59999999999997"/>
    <n v="5760"/>
    <n v="691.19999999999993"/>
    <n v="2880"/>
    <n v="345.59999999999997"/>
    <x v="71"/>
    <x v="0"/>
    <s v="NA/LA"/>
  </r>
  <r>
    <s v="FY24"/>
    <s v="Allen Chen"/>
    <m/>
    <m/>
    <m/>
    <m/>
    <n v="2016"/>
    <x v="18"/>
    <s v="Mouse"/>
    <s v="NA"/>
    <s v="Empress red"/>
    <s v="S China"/>
    <s v="OTHERS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x v="47"/>
    <n v="4.1399999999999997"/>
    <n v="4.1399999999999997"/>
    <n v="0.04"/>
    <n v="0.04"/>
    <n v="0.04"/>
    <n v="0.04"/>
    <n v="0.04"/>
    <n v="0.04"/>
    <n v="0.04"/>
    <n v="0.04"/>
    <n v="0.12"/>
    <n v="0.12"/>
    <n v="0.12"/>
    <n v="0.12"/>
    <n v="0.12"/>
    <n v="0"/>
    <n v="0"/>
    <n v="0"/>
    <n v="0"/>
    <n v="2880"/>
    <n v="115.2"/>
    <n v="0"/>
    <n v="0"/>
    <n v="0"/>
    <n v="0"/>
    <s v="0"/>
    <n v="0"/>
    <s v="0"/>
    <n v="0"/>
    <s v="0"/>
    <n v="0"/>
    <n v="2880"/>
    <n v="345.59999999999997"/>
    <s v="0"/>
    <n v="0"/>
    <s v="0"/>
    <n v="0"/>
    <n v="2880"/>
    <n v="345.59999999999997"/>
    <x v="72"/>
    <x v="0"/>
    <s v="APJ"/>
  </r>
  <r>
    <s v="FY24"/>
    <s v="Allen Chen"/>
    <m/>
    <m/>
    <m/>
    <m/>
    <n v="2016"/>
    <x v="18"/>
    <s v="Mouse"/>
    <s v="NA"/>
    <s v="Silk Gold"/>
    <s v="S China"/>
    <s v="OTHERS"/>
    <n v="4.3899999999999997"/>
    <n v="4.53"/>
    <n v="4.53"/>
    <n v="4.53"/>
    <n v="4.53"/>
    <n v="4.53"/>
    <n v="4.53"/>
    <n v="4.53"/>
    <n v="4.53"/>
    <n v="4.53"/>
    <n v="4.53"/>
    <x v="48"/>
    <n v="4.53"/>
    <n v="4.53"/>
    <n v="0.12"/>
    <n v="0.12"/>
    <n v="0.12"/>
    <n v="0.12"/>
    <n v="0.12"/>
    <n v="0.12"/>
    <n v="0.12"/>
    <n v="0.12"/>
    <n v="0.12"/>
    <n v="0.12"/>
    <n v="0.12"/>
    <n v="0.12"/>
    <n v="0.12"/>
    <n v="2880"/>
    <n v="345.59999999999997"/>
    <n v="0"/>
    <n v="0"/>
    <n v="2880"/>
    <n v="345.59999999999997"/>
    <n v="2880"/>
    <n v="345.59999999999997"/>
    <n v="2880"/>
    <n v="345.59999999999997"/>
    <n v="2880"/>
    <n v="345.59999999999997"/>
    <n v="8640"/>
    <n v="1036.8"/>
    <n v="5760"/>
    <n v="691.19999999999993"/>
    <n v="2880"/>
    <n v="345.59999999999997"/>
    <n v="2880"/>
    <n v="345.59999999999997"/>
    <n v="8640"/>
    <n v="1036.8"/>
    <n v="2880"/>
    <n v="345.59999999999997"/>
    <x v="73"/>
    <x v="0"/>
    <s v="NA/LA"/>
  </r>
  <r>
    <s v="FY24"/>
    <s v="Allen Chen"/>
    <m/>
    <m/>
    <m/>
    <m/>
    <n v="2016"/>
    <x v="18"/>
    <s v="Mouse"/>
    <s v="NA"/>
    <s v="Silk Gold"/>
    <s v="S China"/>
    <s v="OTHERS"/>
    <n v="4.38"/>
    <n v="4.38"/>
    <n v="4.38"/>
    <n v="4.38"/>
    <n v="4.38"/>
    <n v="4.38"/>
    <n v="4.38"/>
    <n v="4.38"/>
    <n v="4.38"/>
    <n v="4.38"/>
    <n v="4.38"/>
    <x v="49"/>
    <n v="4.38"/>
    <n v="4.38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s v="0"/>
    <n v="0"/>
    <n v="0"/>
    <n v="0"/>
    <n v="0"/>
    <n v="0"/>
    <s v="0"/>
    <n v="0"/>
    <s v="0"/>
    <n v="0"/>
    <s v="0"/>
    <n v="0"/>
    <s v="0"/>
    <n v="0"/>
    <s v="0"/>
    <n v="0"/>
    <n v="4320"/>
    <n v="172.8"/>
    <s v="0"/>
    <n v="0"/>
    <x v="74"/>
    <x v="1"/>
    <s v="EMEA"/>
  </r>
  <r>
    <s v="FY24"/>
    <s v="Allen Chen"/>
    <m/>
    <m/>
    <m/>
    <m/>
    <n v="2016"/>
    <x v="18"/>
    <s v="Mouse"/>
    <s v="NA"/>
    <s v="Pike silver"/>
    <s v="S China"/>
    <s v="OTHERS"/>
    <n v="4.3899999999999997"/>
    <n v="4.53"/>
    <n v="4.53"/>
    <n v="4.53"/>
    <n v="4.53"/>
    <n v="4.53"/>
    <n v="4.53"/>
    <n v="4.53"/>
    <n v="4.53"/>
    <n v="4.53"/>
    <n v="4.53"/>
    <x v="48"/>
    <n v="4.53"/>
    <n v="4.53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n v="2880"/>
    <n v="345.59999999999997"/>
    <n v="2880"/>
    <n v="345.59999999999997"/>
    <n v="5760"/>
    <n v="691.19999999999993"/>
    <n v="5760"/>
    <n v="691.19999999999993"/>
    <n v="8640"/>
    <n v="1036.8"/>
    <n v="5760"/>
    <n v="691.19999999999993"/>
    <n v="5760"/>
    <n v="691.19999999999993"/>
    <n v="11520"/>
    <n v="1382.3999999999999"/>
    <s v="0"/>
    <n v="0"/>
    <n v="5760"/>
    <n v="691.19999999999993"/>
    <x v="75"/>
    <x v="0"/>
    <s v="NA/LA"/>
  </r>
  <r>
    <s v="FY24"/>
    <s v="Allen Chen"/>
    <m/>
    <m/>
    <m/>
    <m/>
    <n v="2016"/>
    <x v="18"/>
    <s v="Mouse"/>
    <s v="NA"/>
    <s v="Pike silver"/>
    <s v="S China"/>
    <s v="OTHERS"/>
    <n v="4.38"/>
    <n v="4.38"/>
    <n v="4.38"/>
    <n v="4.38"/>
    <n v="4.38"/>
    <n v="4.38"/>
    <n v="4.38"/>
    <n v="4.38"/>
    <n v="4.38"/>
    <n v="4.38"/>
    <n v="4.38"/>
    <x v="49"/>
    <n v="4.38"/>
    <n v="4.38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n v="8640"/>
    <n v="345.6"/>
    <n v="0"/>
    <n v="0"/>
    <n v="4320"/>
    <n v="172.8"/>
    <n v="4320"/>
    <n v="172.8"/>
    <n v="8640"/>
    <n v="345.6"/>
    <s v="0"/>
    <n v="0"/>
    <n v="4320"/>
    <n v="172.8"/>
    <s v="0"/>
    <n v="0"/>
    <n v="4320"/>
    <n v="172.8"/>
    <s v="0"/>
    <n v="0"/>
    <x v="76"/>
    <x v="1"/>
    <s v="EMEA"/>
  </r>
  <r>
    <s v="FY24"/>
    <s v="Allen Chen"/>
    <m/>
    <m/>
    <m/>
    <m/>
    <n v="2016"/>
    <x v="18"/>
    <s v="Mouse"/>
    <s v="NA"/>
    <s v="Pike silver"/>
    <s v="S China"/>
    <s v="OTHERS"/>
    <n v="4.16"/>
    <n v="4.3"/>
    <n v="4.3"/>
    <n v="4.3"/>
    <n v="4.3"/>
    <n v="4.3"/>
    <n v="4.3"/>
    <n v="4.3"/>
    <n v="4.3"/>
    <n v="4.3"/>
    <n v="4.3"/>
    <x v="50"/>
    <n v="4.3"/>
    <n v="4.3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77"/>
    <x v="0"/>
    <s v="APJ"/>
  </r>
  <r>
    <s v="FY24"/>
    <s v="Allen Chen"/>
    <m/>
    <m/>
    <m/>
    <m/>
    <n v="2016"/>
    <x v="18"/>
    <s v="Mouse"/>
    <s v="NA"/>
    <s v="Mrn Blue"/>
    <s v="S China"/>
    <s v="OTHERS"/>
    <n v="4.04"/>
    <n v="4.18"/>
    <n v="4.18"/>
    <n v="4.18"/>
    <n v="4.18"/>
    <n v="4.18"/>
    <n v="4.18"/>
    <n v="4.18"/>
    <n v="4.18"/>
    <n v="4.18"/>
    <n v="4.18"/>
    <x v="46"/>
    <n v="4.18"/>
    <n v="4.18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s v="0"/>
    <n v="0"/>
    <n v="0"/>
    <n v="0"/>
    <n v="0"/>
    <n v="0"/>
    <n v="5760"/>
    <n v="691.19999999999993"/>
    <n v="8640"/>
    <n v="1036.8"/>
    <s v="0"/>
    <n v="0"/>
    <n v="8640"/>
    <n v="1036.8"/>
    <n v="5760"/>
    <n v="691.19999999999993"/>
    <n v="2880"/>
    <n v="345.59999999999997"/>
    <s v="0"/>
    <n v="0"/>
    <x v="78"/>
    <x v="0"/>
    <s v="NA/LA"/>
  </r>
  <r>
    <s v="FY24"/>
    <s v="Allen Chen"/>
    <m/>
    <m/>
    <m/>
    <m/>
    <n v="2016"/>
    <x v="18"/>
    <s v="Mouse"/>
    <s v="NA"/>
    <s v="Mrn Blue"/>
    <s v="S China"/>
    <s v="OTHERS"/>
    <n v="4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x v="47"/>
    <n v="4.1399999999999997"/>
    <n v="4.1399999999999997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n v="2880"/>
    <n v="345.59999999999997"/>
    <n v="0"/>
    <n v="0"/>
    <n v="0"/>
    <n v="0"/>
    <s v="0"/>
    <n v="0"/>
    <n v="2880"/>
    <n v="345.59999999999997"/>
    <s v="0"/>
    <n v="0"/>
    <n v="2880"/>
    <n v="345.59999999999997"/>
    <s v="0"/>
    <n v="0"/>
    <n v="2880"/>
    <n v="345.59999999999997"/>
    <s v="0"/>
    <n v="0"/>
    <x v="79"/>
    <x v="0"/>
    <s v="APJ"/>
  </r>
  <r>
    <s v="FY24"/>
    <s v="Allen Chen"/>
    <m/>
    <m/>
    <m/>
    <m/>
    <n v="2019"/>
    <x v="9"/>
    <s v="Mouse"/>
    <s v="NA"/>
    <s v="Black"/>
    <s v="S China"/>
    <s v="OTHERS"/>
    <n v="1.81"/>
    <n v="1.81"/>
    <n v="1.81"/>
    <n v="1.81"/>
    <n v="1.81"/>
    <n v="1.81"/>
    <n v="1.81"/>
    <n v="1.81"/>
    <n v="1.81"/>
    <n v="1.81"/>
    <n v="1.81"/>
    <x v="51"/>
    <n v="1.81"/>
    <n v="1.81"/>
    <n v="0"/>
    <n v="0"/>
    <n v="0"/>
    <n v="0"/>
    <n v="0"/>
    <n v="0"/>
    <n v="0"/>
    <n v="0"/>
    <n v="0"/>
    <n v="0"/>
    <n v="0"/>
    <n v="0"/>
    <n v="0"/>
    <n v="0"/>
    <n v="0"/>
    <n v="0"/>
    <n v="0"/>
    <n v="26880"/>
    <n v="0"/>
    <n v="0"/>
    <n v="0"/>
    <n v="0"/>
    <n v="0"/>
    <n v="6720"/>
    <n v="0"/>
    <n v="6720"/>
    <n v="0"/>
    <n v="13440"/>
    <n v="0"/>
    <n v="13440"/>
    <n v="0"/>
    <n v="13440"/>
    <n v="0"/>
    <n v="6720"/>
    <n v="0"/>
    <s v="0"/>
    <n v="0"/>
    <x v="80"/>
    <x v="0"/>
    <s v="LA"/>
  </r>
  <r>
    <s v="FY24"/>
    <s v="Allen Chen"/>
    <m/>
    <m/>
    <m/>
    <m/>
    <n v="2019"/>
    <x v="9"/>
    <s v="Mouse"/>
    <s v="NA"/>
    <s v="Black"/>
    <s v="S China"/>
    <s v="OTHERS"/>
    <n v="1.72"/>
    <n v="1.72"/>
    <n v="1.72"/>
    <n v="1.72"/>
    <n v="1.72"/>
    <n v="1.72"/>
    <n v="1.72"/>
    <n v="1.72"/>
    <n v="1.72"/>
    <n v="1.72"/>
    <n v="1.72"/>
    <x v="52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6720"/>
    <n v="0"/>
    <n v="13440"/>
    <n v="0"/>
    <s v="0"/>
    <n v="0"/>
    <s v="0"/>
    <n v="0"/>
    <s v="0"/>
    <n v="0"/>
    <s v="0"/>
    <n v="0"/>
    <s v="0"/>
    <n v="0"/>
    <s v="0"/>
    <n v="0"/>
    <x v="81"/>
    <x v="4"/>
    <s v="APJ"/>
  </r>
  <r>
    <s v="FY24"/>
    <s v="Allen Chen"/>
    <m/>
    <m/>
    <m/>
    <m/>
    <n v="2019"/>
    <x v="9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x v="53"/>
    <n v="1.89"/>
    <n v="1.89"/>
    <n v="0"/>
    <n v="0"/>
    <n v="0"/>
    <n v="0"/>
    <n v="0"/>
    <n v="0"/>
    <n v="0"/>
    <n v="0"/>
    <n v="0"/>
    <n v="0"/>
    <n v="0"/>
    <n v="0"/>
    <n v="0"/>
    <n v="2880"/>
    <n v="0"/>
    <n v="5760"/>
    <n v="0"/>
    <n v="8640"/>
    <n v="0"/>
    <n v="0"/>
    <n v="0"/>
    <n v="2880"/>
    <n v="0"/>
    <n v="2880"/>
    <n v="0"/>
    <n v="2880"/>
    <n v="0"/>
    <n v="5760"/>
    <n v="0"/>
    <n v="8640"/>
    <n v="0"/>
    <n v="2880"/>
    <n v="0"/>
    <n v="5760"/>
    <n v="0"/>
    <n v="14400"/>
    <n v="0"/>
    <x v="82"/>
    <x v="0"/>
    <s v="APJ"/>
  </r>
  <r>
    <s v="FY24"/>
    <s v="Allen Chen"/>
    <m/>
    <m/>
    <m/>
    <m/>
    <n v="2019"/>
    <x v="9"/>
    <s v="Mouse"/>
    <s v="NA"/>
    <s v="Black"/>
    <s v="S China"/>
    <s v="OTHERS"/>
    <n v="1.8"/>
    <n v="1.8"/>
    <n v="1.8"/>
    <n v="1.8"/>
    <n v="1.8"/>
    <n v="1.8"/>
    <n v="1.8"/>
    <n v="1.8"/>
    <n v="1.8"/>
    <n v="1.8"/>
    <n v="1.8"/>
    <x v="14"/>
    <n v="1.8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8640"/>
    <n v="0"/>
    <s v="0"/>
    <n v="0"/>
    <s v="0"/>
    <n v="0"/>
    <n v="14400"/>
    <n v="0"/>
    <s v="0"/>
    <n v="0"/>
    <s v="0"/>
    <n v="0"/>
    <s v="0"/>
    <n v="0"/>
    <n v="11520"/>
    <n v="0"/>
    <x v="83"/>
    <x v="3"/>
    <s v="NA"/>
  </r>
  <r>
    <s v="FY24"/>
    <s v="Allen Chen"/>
    <m/>
    <m/>
    <m/>
    <m/>
    <n v="2023"/>
    <x v="9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x v="53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84"/>
    <x v="0"/>
    <s v="NA/LA"/>
  </r>
  <r>
    <s v="FY24"/>
    <s v="Allen Chen"/>
    <m/>
    <m/>
    <m/>
    <m/>
    <n v="2023"/>
    <x v="9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x v="53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2880"/>
    <n v="0"/>
    <n v="0"/>
    <n v="0"/>
    <n v="2880"/>
    <n v="0"/>
    <n v="2880"/>
    <n v="0"/>
    <s v="0"/>
    <n v="0"/>
    <s v="0"/>
    <n v="0"/>
    <s v="0"/>
    <n v="0"/>
    <s v="0"/>
    <n v="0"/>
    <s v="0"/>
    <n v="0"/>
    <x v="85"/>
    <x v="0"/>
    <s v="APJ"/>
  </r>
  <r>
    <s v="FY24"/>
    <s v="Allen Chen"/>
    <m/>
    <m/>
    <m/>
    <m/>
    <n v="2023"/>
    <x v="9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x v="53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  <x v="86"/>
    <x v="0"/>
    <s v="NA/LA"/>
  </r>
  <r>
    <s v="FY24"/>
    <s v="Allen Chen"/>
    <m/>
    <m/>
    <m/>
    <m/>
    <n v="2023"/>
    <x v="9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x v="53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0"/>
    <n v="0"/>
    <n v="0"/>
    <n v="0"/>
    <n v="35000"/>
    <n v="0"/>
    <m/>
    <n v="0"/>
    <m/>
    <n v="0"/>
    <m/>
    <n v="0"/>
    <s v="0"/>
    <n v="0"/>
    <x v="87"/>
    <x v="1"/>
    <s v="EMEA"/>
  </r>
  <r>
    <s v="FY24"/>
    <s v="Allen Chen"/>
    <m/>
    <m/>
    <m/>
    <m/>
    <n v="2023"/>
    <x v="9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x v="53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2880"/>
    <n v="0"/>
    <n v="2880"/>
    <n v="0"/>
    <n v="2880"/>
    <n v="0"/>
    <n v="2880"/>
    <n v="0"/>
    <x v="88"/>
    <x v="0"/>
    <s v="APJ"/>
  </r>
  <r>
    <s v="FY24"/>
    <s v="Allen Chen"/>
    <m/>
    <m/>
    <m/>
    <m/>
    <n v="2020"/>
    <x v="11"/>
    <s v="Mouse"/>
    <s v="NA"/>
    <s v="Nightfull black"/>
    <s v="S China"/>
    <s v="OTHERS"/>
    <n v="22.76"/>
    <n v="22.78"/>
    <n v="22.78"/>
    <n v="22.78"/>
    <n v="22.78"/>
    <n v="22.78"/>
    <n v="22.78"/>
    <n v="22.78"/>
    <n v="22.78"/>
    <n v="22.78"/>
    <n v="22.78"/>
    <x v="16"/>
    <n v="22.72"/>
    <n v="22.72"/>
    <n v="0"/>
    <n v="0"/>
    <n v="0"/>
    <n v="0"/>
    <n v="0"/>
    <n v="0"/>
    <n v="0"/>
    <n v="0"/>
    <n v="0"/>
    <n v="0"/>
    <n v="0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n v="1008"/>
    <n v="0"/>
    <s v="0"/>
    <n v="0"/>
    <s v="0"/>
    <n v="0"/>
    <s v="0"/>
    <n v="0"/>
    <x v="89"/>
    <x v="9"/>
    <s v="NA/LA"/>
  </r>
  <r>
    <s v="FY24"/>
    <s v="Allen Chen"/>
    <m/>
    <m/>
    <m/>
    <m/>
    <n v="2020"/>
    <x v="11"/>
    <s v="Mouse"/>
    <s v="NA"/>
    <s v="Nightfull black"/>
    <s v="S China"/>
    <s v="OTHERS"/>
    <n v="22.82"/>
    <n v="22.84"/>
    <n v="22.84"/>
    <n v="22.84"/>
    <n v="22.84"/>
    <n v="22.84"/>
    <n v="22.84"/>
    <n v="22.84"/>
    <n v="22.84"/>
    <n v="22.84"/>
    <n v="22.84"/>
    <x v="54"/>
    <n v="22.78"/>
    <n v="22.78"/>
    <n v="0"/>
    <n v="0"/>
    <n v="0"/>
    <n v="0"/>
    <n v="0"/>
    <n v="0"/>
    <n v="0"/>
    <n v="0"/>
    <n v="0"/>
    <n v="0"/>
    <n v="0"/>
    <n v="0.06"/>
    <n v="0.06"/>
    <n v="0"/>
    <n v="0"/>
    <n v="0"/>
    <n v="0"/>
    <n v="1008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90"/>
    <x v="0"/>
    <s v="APJ"/>
  </r>
  <r>
    <s v="FY24"/>
    <s v="Allen Chen"/>
    <m/>
    <m/>
    <m/>
    <m/>
    <n v="2020"/>
    <x v="4"/>
    <s v="Mouse"/>
    <s v="NA"/>
    <s v="Nightfull black"/>
    <s v="S China"/>
    <s v="OTHERS"/>
    <n v="30.4"/>
    <n v="30.42"/>
    <n v="30.42"/>
    <n v="30.42"/>
    <n v="30.42"/>
    <n v="30.42"/>
    <n v="30.42"/>
    <n v="30.42"/>
    <n v="30.42"/>
    <n v="30.42"/>
    <n v="30.42"/>
    <x v="9"/>
    <n v="30.35"/>
    <n v="30.3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n v="1008"/>
    <n v="0"/>
    <s v="0"/>
    <n v="0"/>
    <s v="0"/>
    <n v="0"/>
    <s v="0"/>
    <n v="0"/>
    <s v="0"/>
    <n v="0"/>
    <s v="0"/>
    <n v="0"/>
    <x v="91"/>
    <x v="9"/>
    <s v="NA/LA"/>
  </r>
  <r>
    <s v="FY24"/>
    <s v="Allen Chen"/>
    <m/>
    <m/>
    <m/>
    <m/>
    <n v="2020"/>
    <x v="4"/>
    <s v="Mouse"/>
    <s v="NA"/>
    <s v="Nightfull black"/>
    <s v="S China"/>
    <s v="OTHERS"/>
    <n v="30.46"/>
    <n v="30.48"/>
    <n v="30.48"/>
    <n v="30.48"/>
    <n v="30.48"/>
    <n v="30.48"/>
    <n v="30.48"/>
    <n v="30.48"/>
    <n v="30.48"/>
    <n v="30.48"/>
    <n v="30.48"/>
    <x v="55"/>
    <n v="30.41"/>
    <n v="30.41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92"/>
    <x v="0"/>
    <s v="APJ"/>
  </r>
  <r>
    <s v="FY24"/>
    <s v="Allen Chen"/>
    <m/>
    <m/>
    <m/>
    <m/>
    <n v="2020"/>
    <x v="4"/>
    <s v="Mouse"/>
    <s v="NA"/>
    <s v="Natural Silver"/>
    <s v="S China"/>
    <s v="OTHERS"/>
    <n v="30.56"/>
    <n v="30.58"/>
    <n v="30.58"/>
    <n v="30.58"/>
    <n v="30.58"/>
    <n v="30.58"/>
    <n v="30.58"/>
    <n v="30.58"/>
    <n v="30.58"/>
    <n v="30.58"/>
    <n v="30.58"/>
    <x v="56"/>
    <n v="30.51"/>
    <n v="30.51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n v="1008"/>
    <n v="0"/>
    <s v="0"/>
    <n v="0"/>
    <s v="0"/>
    <n v="0"/>
    <s v="0"/>
    <n v="0"/>
    <s v="0"/>
    <n v="0"/>
    <x v="93"/>
    <x v="0"/>
    <s v="APJ"/>
  </r>
  <r>
    <s v="FY24"/>
    <s v="Allen Chen"/>
    <m/>
    <m/>
    <m/>
    <m/>
    <n v="2020"/>
    <x v="4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x v="57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94"/>
    <x v="6"/>
    <s v="DIB"/>
  </r>
  <r>
    <s v="FY24"/>
    <s v="Allen Chen"/>
    <m/>
    <m/>
    <m/>
    <m/>
    <n v="2020"/>
    <x v="4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x v="57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95"/>
    <x v="6"/>
    <s v="DIB"/>
  </r>
  <r>
    <s v="FY24"/>
    <s v="Allen Chen"/>
    <m/>
    <m/>
    <m/>
    <m/>
    <n v="2020"/>
    <x v="4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x v="57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96"/>
    <x v="6"/>
    <s v="DIB"/>
  </r>
  <r>
    <s v="FY24"/>
    <s v="Allen Chen"/>
    <m/>
    <m/>
    <m/>
    <m/>
    <n v="2020"/>
    <x v="22"/>
    <s v="Mouse"/>
    <s v="NA"/>
    <s v="Black"/>
    <s v="S China"/>
    <s v="OTHERS"/>
    <n v="1.72"/>
    <n v="1.72"/>
    <n v="1.72"/>
    <n v="1.72"/>
    <n v="1.72"/>
    <n v="1.72"/>
    <n v="1.72"/>
    <n v="1.72"/>
    <n v="1.72"/>
    <n v="1.72"/>
    <n v="1.72"/>
    <x v="52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6720"/>
    <n v="0"/>
    <s v="0"/>
    <n v="0"/>
    <n v="13440"/>
    <n v="0"/>
    <n v="6720"/>
    <n v="0"/>
    <n v="26880"/>
    <n v="0"/>
    <n v="20160"/>
    <n v="0"/>
    <s v="0"/>
    <n v="0"/>
    <s v="0"/>
    <n v="0"/>
    <x v="97"/>
    <x v="0"/>
    <s v="LA"/>
  </r>
  <r>
    <s v="FY24"/>
    <s v="Allen Chen"/>
    <m/>
    <m/>
    <m/>
    <m/>
    <n v="2020"/>
    <x v="22"/>
    <s v="Mouse"/>
    <s v="NA"/>
    <s v="Black"/>
    <s v="S China"/>
    <s v="OTHERS"/>
    <n v="1.66"/>
    <n v="1.66"/>
    <n v="1.66"/>
    <n v="1.66"/>
    <n v="1.66"/>
    <n v="1.66"/>
    <n v="1.66"/>
    <n v="1.66"/>
    <n v="1.66"/>
    <n v="1.66"/>
    <n v="1.66"/>
    <x v="58"/>
    <n v="1.66"/>
    <n v="1.66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6720"/>
    <n v="0"/>
    <s v="0"/>
    <n v="0"/>
    <s v="0"/>
    <n v="0"/>
    <s v="0"/>
    <n v="0"/>
    <s v="0"/>
    <n v="0"/>
    <s v="0"/>
    <n v="0"/>
    <n v="6720"/>
    <n v="0"/>
    <s v="0"/>
    <n v="0"/>
    <x v="98"/>
    <x v="0"/>
    <s v="APJ"/>
  </r>
  <r>
    <s v="FY24"/>
    <s v="Allen Chen"/>
    <m/>
    <m/>
    <m/>
    <m/>
    <n v="2020"/>
    <x v="22"/>
    <s v="Mouse"/>
    <s v="NA"/>
    <s v="Black"/>
    <s v="S China"/>
    <s v="OTHERS"/>
    <n v="1.65"/>
    <n v="1.65"/>
    <n v="1.65"/>
    <n v="1.65"/>
    <n v="1.65"/>
    <n v="1.65"/>
    <n v="1.65"/>
    <n v="1.65"/>
    <n v="1.65"/>
    <n v="1.65"/>
    <n v="1.65"/>
    <x v="59"/>
    <n v="1.65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0"/>
    <n v="0"/>
    <n v="6720"/>
    <n v="0"/>
    <n v="6720"/>
    <n v="0"/>
    <s v="0"/>
    <n v="0"/>
    <s v="0"/>
    <n v="0"/>
    <n v="6720"/>
    <n v="0"/>
    <s v="0"/>
    <n v="0"/>
    <s v="0"/>
    <n v="0"/>
    <x v="99"/>
    <x v="4"/>
    <s v="APJ"/>
  </r>
  <r>
    <s v="FY24"/>
    <s v="Allen Chen"/>
    <m/>
    <m/>
    <m/>
    <m/>
    <n v="2020"/>
    <x v="14"/>
    <s v="Mouse"/>
    <s v="NA"/>
    <s v="Black"/>
    <s v="S China"/>
    <s v="OTHERS"/>
    <n v="3.28"/>
    <n v="3.33"/>
    <n v="3.33"/>
    <n v="3.33"/>
    <n v="3.33"/>
    <n v="3.33"/>
    <n v="3.33"/>
    <n v="3.33"/>
    <n v="3.33"/>
    <n v="3.33"/>
    <n v="3.33"/>
    <x v="60"/>
    <n v="3.33"/>
    <n v="3.33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13440"/>
    <n v="0"/>
    <s v="0"/>
    <n v="0"/>
    <n v="6720"/>
    <n v="0"/>
    <n v="6720"/>
    <n v="0"/>
    <s v="0"/>
    <n v="0"/>
    <s v="0"/>
    <n v="0"/>
    <s v="0"/>
    <n v="0"/>
    <n v="13440"/>
    <n v="0"/>
    <x v="100"/>
    <x v="0"/>
    <s v="LA"/>
  </r>
  <r>
    <s v="FY24"/>
    <s v="Allen Chen"/>
    <m/>
    <m/>
    <m/>
    <m/>
    <n v="2020"/>
    <x v="14"/>
    <s v="Mouse"/>
    <s v="NA"/>
    <s v="Black"/>
    <s v="S China"/>
    <s v="OTHERS"/>
    <n v="3.24"/>
    <n v="3.29"/>
    <n v="3.29"/>
    <n v="3.29"/>
    <n v="3.29"/>
    <n v="3.29"/>
    <n v="3.29"/>
    <n v="3.29"/>
    <n v="3.29"/>
    <n v="3.29"/>
    <n v="3.29"/>
    <x v="61"/>
    <n v="3.29"/>
    <n v="3.29"/>
    <n v="0"/>
    <n v="0"/>
    <n v="0"/>
    <n v="0"/>
    <n v="0"/>
    <n v="0"/>
    <n v="0"/>
    <n v="0"/>
    <n v="0"/>
    <n v="0"/>
    <n v="0"/>
    <n v="0"/>
    <n v="0"/>
    <n v="6720"/>
    <n v="0"/>
    <n v="6720"/>
    <n v="0"/>
    <n v="6720"/>
    <n v="0"/>
    <n v="0"/>
    <n v="0"/>
    <n v="6720"/>
    <n v="0"/>
    <n v="13440"/>
    <n v="0"/>
    <n v="6720"/>
    <n v="0"/>
    <n v="53760"/>
    <n v="0"/>
    <s v="0"/>
    <n v="0"/>
    <s v="0"/>
    <n v="0"/>
    <s v="0"/>
    <n v="0"/>
    <s v="0"/>
    <n v="0"/>
    <x v="101"/>
    <x v="0"/>
    <s v="APJ"/>
  </r>
  <r>
    <s v="FY24"/>
    <s v="Allen Chen"/>
    <m/>
    <m/>
    <m/>
    <m/>
    <n v="2020"/>
    <x v="14"/>
    <s v="Mouse"/>
    <s v="NA"/>
    <s v="Black"/>
    <s v="S China"/>
    <s v="OTHERS"/>
    <n v="3.28"/>
    <n v="3.28"/>
    <n v="3.28"/>
    <n v="3.28"/>
    <n v="3.28"/>
    <n v="3.28"/>
    <n v="3.28"/>
    <n v="3.28"/>
    <n v="3.28"/>
    <n v="3.28"/>
    <n v="3.28"/>
    <x v="19"/>
    <n v="3.28"/>
    <n v="3.2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6720"/>
    <n v="0"/>
    <n v="6720"/>
    <n v="0"/>
    <s v="0"/>
    <n v="0"/>
    <n v="6720"/>
    <n v="0"/>
    <s v="0"/>
    <n v="0"/>
    <s v="0"/>
    <n v="0"/>
    <n v="6720"/>
    <n v="0"/>
    <s v="0"/>
    <n v="0"/>
    <x v="102"/>
    <x v="4"/>
    <s v="APJ"/>
  </r>
  <r>
    <s v="FY24"/>
    <s v="Allen Chen"/>
    <m/>
    <m/>
    <m/>
    <m/>
    <n v="2020"/>
    <x v="14"/>
    <s v="Mouse"/>
    <s v="NA"/>
    <s v="Black"/>
    <s v="S China"/>
    <s v="OTHERS"/>
    <n v="3.25"/>
    <n v="3.25"/>
    <n v="3.25"/>
    <n v="3.25"/>
    <n v="3.25"/>
    <n v="3.25"/>
    <n v="3.25"/>
    <n v="3.25"/>
    <n v="3.25"/>
    <n v="3.25"/>
    <n v="3.25"/>
    <x v="62"/>
    <n v="3.25"/>
    <n v="3.2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03"/>
    <x v="3"/>
    <s v="NA"/>
  </r>
  <r>
    <s v="FY24"/>
    <s v="Allen Chen"/>
    <m/>
    <m/>
    <m/>
    <m/>
    <n v="2020"/>
    <x v="14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x v="63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04"/>
    <x v="5"/>
    <s v="DIB"/>
  </r>
  <r>
    <s v="FY24"/>
    <s v="Allen Chen"/>
    <m/>
    <m/>
    <m/>
    <m/>
    <n v="2020"/>
    <x v="14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x v="63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05"/>
    <x v="5"/>
    <s v="DIB"/>
  </r>
  <r>
    <s v="FY24"/>
    <s v="Allen Chen"/>
    <m/>
    <m/>
    <m/>
    <m/>
    <n v="2020"/>
    <x v="14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x v="63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3600"/>
    <n v="0"/>
    <n v="3600"/>
    <n v="0"/>
    <n v="3600"/>
    <n v="0"/>
    <s v="0"/>
    <n v="0"/>
    <n v="3600"/>
    <n v="0"/>
    <n v="3600"/>
    <n v="0"/>
    <s v="0"/>
    <n v="0"/>
    <s v="0"/>
    <n v="0"/>
    <s v="0"/>
    <n v="0"/>
    <x v="106"/>
    <x v="5"/>
    <s v="DIB"/>
  </r>
  <r>
    <s v="FY24"/>
    <s v="Allen Chen"/>
    <m/>
    <m/>
    <m/>
    <m/>
    <n v="2020"/>
    <x v="14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x v="63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06"/>
    <x v="6"/>
    <s v="DIB"/>
  </r>
  <r>
    <s v="FY24"/>
    <s v="Allen Chen"/>
    <m/>
    <m/>
    <m/>
    <m/>
    <n v="2021"/>
    <x v="16"/>
    <s v="Mouse"/>
    <s v="NA"/>
    <s v="Black"/>
    <s v="S China"/>
    <s v="OTHERS"/>
    <n v="4.22"/>
    <n v="4.26"/>
    <n v="4.26"/>
    <n v="4.26"/>
    <n v="4.26"/>
    <n v="4.26"/>
    <n v="4.26"/>
    <n v="4.26"/>
    <n v="4.26"/>
    <n v="4.26"/>
    <n v="4.26"/>
    <x v="64"/>
    <n v="4.26"/>
    <n v="4.2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14400"/>
    <n v="0"/>
    <n v="20160"/>
    <n v="0"/>
    <n v="28800"/>
    <n v="0"/>
    <n v="0"/>
    <n v="0"/>
    <n v="11520"/>
    <n v="0"/>
    <n v="11520"/>
    <n v="0"/>
    <n v="8640"/>
    <n v="0"/>
    <n v="19480"/>
    <n v="1363.6000000000001"/>
    <n v="6160"/>
    <n v="431.20000000000005"/>
    <n v="7760"/>
    <n v="543.20000000000005"/>
    <n v="8640"/>
    <n v="604.80000000000007"/>
    <n v="11520"/>
    <n v="806.40000000000009"/>
    <x v="107"/>
    <x v="1"/>
    <s v="EMEA"/>
  </r>
  <r>
    <s v="FY24"/>
    <s v="Allen Chen"/>
    <m/>
    <m/>
    <m/>
    <m/>
    <n v="2021"/>
    <x v="16"/>
    <s v="Mouse"/>
    <s v="NA"/>
    <s v="Black"/>
    <s v="S China"/>
    <s v="OTHERS"/>
    <n v="4.32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x v="65"/>
    <n v="4.3600000000000003"/>
    <n v="4.36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5760"/>
    <n v="0"/>
    <s v="0"/>
    <n v="0"/>
    <s v="0"/>
    <n v="0"/>
    <n v="2880"/>
    <n v="201.60000000000002"/>
    <n v="5760"/>
    <n v="403.20000000000005"/>
    <n v="11520"/>
    <n v="806.40000000000009"/>
    <s v="0"/>
    <n v="0"/>
    <s v="0"/>
    <n v="0"/>
    <x v="108"/>
    <x v="0"/>
    <s v="LA"/>
  </r>
  <r>
    <s v="FY24"/>
    <s v="Allen Chen"/>
    <m/>
    <m/>
    <m/>
    <m/>
    <n v="2021"/>
    <x v="16"/>
    <s v="Mouse"/>
    <s v="NA"/>
    <s v="Black"/>
    <s v="S China"/>
    <s v="OTHERS"/>
    <n v="4.28"/>
    <n v="4.32"/>
    <n v="4.32"/>
    <n v="4.32"/>
    <n v="4.32"/>
    <n v="4.32"/>
    <n v="4.32"/>
    <n v="4.32"/>
    <n v="4.32"/>
    <n v="4.32"/>
    <n v="4.32"/>
    <x v="66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5760"/>
    <n v="0"/>
    <n v="0"/>
    <n v="0"/>
    <n v="5760"/>
    <n v="0"/>
    <n v="0"/>
    <n v="0"/>
    <n v="5760"/>
    <n v="0"/>
    <s v="0"/>
    <n v="0"/>
    <n v="5760"/>
    <n v="0"/>
    <n v="8640"/>
    <n v="604.80000000000007"/>
    <n v="5760"/>
    <n v="403.20000000000005"/>
    <n v="14400"/>
    <n v="1008.0000000000001"/>
    <n v="8640"/>
    <n v="604.80000000000007"/>
    <n v="11520"/>
    <n v="806.40000000000009"/>
    <x v="109"/>
    <x v="0"/>
    <s v="APJ"/>
  </r>
  <r>
    <s v="FY24"/>
    <s v="Allen Chen"/>
    <m/>
    <m/>
    <m/>
    <m/>
    <n v="2021"/>
    <x v="16"/>
    <s v="Mouse"/>
    <s v="NA"/>
    <s v="Pike silver"/>
    <s v="S China"/>
    <s v="OTHERS"/>
    <n v="4.63"/>
    <n v="4.67"/>
    <n v="4.67"/>
    <n v="4.67"/>
    <n v="4.67"/>
    <n v="4.67"/>
    <n v="4.67"/>
    <n v="4.67"/>
    <n v="4.67"/>
    <n v="4.67"/>
    <n v="4.67"/>
    <x v="67"/>
    <n v="4.67"/>
    <n v="4.6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  <x v="110"/>
    <x v="0"/>
    <s v="NA"/>
  </r>
  <r>
    <s v="FY24"/>
    <s v="Allen Chen"/>
    <m/>
    <m/>
    <m/>
    <m/>
    <n v="2021"/>
    <x v="16"/>
    <s v="Mouse"/>
    <s v="NA"/>
    <s v="Pike silver"/>
    <s v="S China"/>
    <s v="OTHERS"/>
    <n v="4.67"/>
    <n v="4.71"/>
    <n v="4.71"/>
    <n v="4.71"/>
    <n v="4.71"/>
    <n v="4.71"/>
    <n v="4.71"/>
    <n v="4.71"/>
    <n v="4.71"/>
    <n v="4.71"/>
    <n v="4.71"/>
    <x v="68"/>
    <n v="4.71"/>
    <n v="4.7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2880"/>
    <n v="0"/>
    <n v="2880"/>
    <n v="0"/>
    <s v="0"/>
    <n v="0"/>
    <s v="0"/>
    <n v="0"/>
    <n v="2880"/>
    <n v="201.60000000000002"/>
    <s v="0"/>
    <n v="0"/>
    <n v="2880"/>
    <n v="201.60000000000002"/>
    <n v="2880"/>
    <n v="201.60000000000002"/>
    <n v="2880"/>
    <n v="201.60000000000002"/>
    <x v="111"/>
    <x v="0"/>
    <s v="LA"/>
  </r>
  <r>
    <s v="FY24"/>
    <s v="Allen Chen"/>
    <m/>
    <m/>
    <m/>
    <m/>
    <n v="2021"/>
    <x v="16"/>
    <s v="Mouse"/>
    <s v="NA"/>
    <s v="Pike silver"/>
    <s v="S China"/>
    <s v="OTHERS"/>
    <n v="4.63"/>
    <n v="4.67"/>
    <n v="4.67"/>
    <n v="4.67"/>
    <n v="4.67"/>
    <n v="4.67"/>
    <n v="4.67"/>
    <n v="4.67"/>
    <n v="4.67"/>
    <n v="4.67"/>
    <n v="4.67"/>
    <x v="67"/>
    <n v="4.67"/>
    <n v="4.6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n v="2880"/>
    <n v="0"/>
    <n v="2880"/>
    <n v="201.60000000000002"/>
    <n v="5760"/>
    <n v="403.20000000000005"/>
    <n v="2880"/>
    <n v="201.60000000000002"/>
    <s v="0"/>
    <n v="0"/>
    <n v="2880"/>
    <n v="201.60000000000002"/>
    <x v="112"/>
    <x v="0"/>
    <s v="APJ"/>
  </r>
  <r>
    <s v="FY24"/>
    <s v="Allen Chen"/>
    <m/>
    <m/>
    <m/>
    <m/>
    <n v="2021"/>
    <x v="16"/>
    <s v="Mouse"/>
    <s v="NA"/>
    <s v="Red"/>
    <s v="S China"/>
    <s v="OTHERS"/>
    <n v="4.43"/>
    <n v="4.47"/>
    <n v="4.47"/>
    <n v="4.47"/>
    <n v="4.47"/>
    <n v="4.47"/>
    <n v="4.47"/>
    <n v="4.47"/>
    <n v="4.47"/>
    <n v="4.47"/>
    <n v="4.47"/>
    <x v="69"/>
    <n v="4.47"/>
    <n v="4.4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13"/>
    <x v="0"/>
    <s v="NA"/>
  </r>
  <r>
    <s v="FY24"/>
    <s v="Allen Chen"/>
    <m/>
    <m/>
    <m/>
    <m/>
    <n v="2021"/>
    <x v="16"/>
    <s v="Mouse"/>
    <s v="NA"/>
    <s v="Red"/>
    <s v="S China"/>
    <s v="OTHERS"/>
    <n v="4.37"/>
    <n v="4.41"/>
    <n v="4.41"/>
    <n v="4.41"/>
    <n v="4.41"/>
    <n v="4.41"/>
    <n v="4.41"/>
    <n v="4.41"/>
    <n v="4.41"/>
    <n v="4.41"/>
    <n v="4.41"/>
    <x v="70"/>
    <n v="4.41"/>
    <n v="4.4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1440"/>
    <n v="0"/>
    <n v="4320"/>
    <n v="0"/>
    <n v="2880"/>
    <n v="0"/>
    <n v="0"/>
    <n v="0"/>
    <n v="2880"/>
    <n v="0"/>
    <n v="5760"/>
    <n v="0"/>
    <s v="0"/>
    <n v="0"/>
    <n v="2880"/>
    <n v="201.60000000000002"/>
    <n v="2880"/>
    <n v="201.60000000000002"/>
    <s v="0"/>
    <n v="0"/>
    <n v="2880"/>
    <n v="201.60000000000002"/>
    <s v="0"/>
    <n v="0"/>
    <x v="114"/>
    <x v="1"/>
    <s v="EMEA"/>
  </r>
  <r>
    <s v="FY24"/>
    <s v="Allen Chen"/>
    <m/>
    <m/>
    <m/>
    <m/>
    <n v="2021"/>
    <x v="16"/>
    <s v="Mouse"/>
    <s v="NA"/>
    <s v="Red"/>
    <s v="S China"/>
    <s v="OTHERS"/>
    <n v="4.47"/>
    <n v="4.51"/>
    <n v="4.51"/>
    <n v="4.51"/>
    <n v="4.51"/>
    <n v="4.51"/>
    <n v="4.51"/>
    <n v="4.51"/>
    <n v="4.51"/>
    <n v="4.51"/>
    <n v="4.51"/>
    <x v="71"/>
    <n v="4.51"/>
    <n v="4.5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5760"/>
    <n v="0"/>
    <n v="0"/>
    <n v="0"/>
    <n v="0"/>
    <n v="0"/>
    <s v="0"/>
    <n v="0"/>
    <s v="0"/>
    <n v="0"/>
    <s v="0"/>
    <n v="0"/>
    <s v="0"/>
    <n v="0"/>
    <n v="2880"/>
    <n v="201.60000000000002"/>
    <s v="0"/>
    <n v="0"/>
    <s v="0"/>
    <n v="0"/>
    <x v="115"/>
    <x v="0"/>
    <s v="LA"/>
  </r>
  <r>
    <s v="FY24"/>
    <s v="Allen Chen"/>
    <m/>
    <m/>
    <m/>
    <m/>
    <n v="2021"/>
    <x v="16"/>
    <s v="Mouse"/>
    <s v="NA"/>
    <s v="Red"/>
    <s v="S China"/>
    <s v="OTHERS"/>
    <n v="4.43"/>
    <n v="4.47"/>
    <n v="4.47"/>
    <n v="4.47"/>
    <n v="4.47"/>
    <n v="4.47"/>
    <n v="4.47"/>
    <n v="4.47"/>
    <n v="4.47"/>
    <n v="4.47"/>
    <n v="4.47"/>
    <x v="69"/>
    <n v="4.47"/>
    <n v="4.4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16"/>
    <x v="0"/>
    <s v="APJ"/>
  </r>
  <r>
    <s v="FY24"/>
    <s v="Allen Chen"/>
    <m/>
    <m/>
    <m/>
    <m/>
    <n v="2023"/>
    <x v="16"/>
    <s v="Mouse"/>
    <s v="NA"/>
    <s v="White"/>
    <s v="S China"/>
    <s v="OTHERS"/>
    <n v="4.42"/>
    <n v="4.42"/>
    <n v="4.42"/>
    <n v="4.42"/>
    <n v="4.42"/>
    <n v="4.42"/>
    <n v="4.42"/>
    <n v="4.42"/>
    <n v="4.42"/>
    <n v="4.42"/>
    <n v="4.42"/>
    <x v="72"/>
    <n v="4.42"/>
    <n v="4.4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n v="2880"/>
    <n v="201.60000000000002"/>
    <n v="2880"/>
    <n v="201.60000000000002"/>
    <n v="2880"/>
    <n v="201.60000000000002"/>
    <s v="0"/>
    <n v="0"/>
    <x v="117"/>
    <x v="0"/>
    <s v="NA/LA"/>
  </r>
  <r>
    <s v="FY24"/>
    <s v="Allen Chen"/>
    <m/>
    <m/>
    <m/>
    <m/>
    <n v="2022"/>
    <x v="16"/>
    <s v="Mouse"/>
    <s v="NA"/>
    <s v="White"/>
    <s v="S China"/>
    <s v="OTHERS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x v="65"/>
    <n v="4.3600000000000003"/>
    <n v="4.36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"/>
    <n v="0"/>
    <n v="0"/>
    <n v="0"/>
    <n v="2880"/>
    <n v="0"/>
    <n v="5760"/>
    <n v="0"/>
    <s v="0"/>
    <n v="0"/>
    <s v="0"/>
    <n v="0"/>
    <s v="0"/>
    <n v="0"/>
    <s v="0"/>
    <n v="0"/>
    <s v="0"/>
    <n v="0"/>
    <s v="0"/>
    <n v="0"/>
    <x v="118"/>
    <x v="1"/>
    <s v="EMEA"/>
  </r>
  <r>
    <s v="FY24"/>
    <s v="Allen Chen"/>
    <m/>
    <m/>
    <m/>
    <m/>
    <n v="2023"/>
    <x v="16"/>
    <s v="Mouse"/>
    <s v="NA"/>
    <s v="White"/>
    <s v="S China"/>
    <s v="OTHERS"/>
    <n v="4.42"/>
    <n v="4.42"/>
    <n v="4.42"/>
    <n v="4.42"/>
    <n v="4.42"/>
    <n v="4.42"/>
    <n v="4.42"/>
    <n v="4.42"/>
    <n v="4.42"/>
    <n v="4.42"/>
    <n v="4.42"/>
    <x v="72"/>
    <n v="4.42"/>
    <n v="4.4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2880"/>
    <n v="0"/>
    <n v="0"/>
    <n v="0"/>
    <s v="0"/>
    <n v="0"/>
    <n v="0"/>
    <n v="0"/>
    <n v="0"/>
    <n v="0"/>
    <s v="0"/>
    <n v="0"/>
    <s v="0"/>
    <n v="0"/>
    <n v="2880"/>
    <n v="201.60000000000002"/>
    <s v="0"/>
    <n v="0"/>
    <s v="0"/>
    <n v="0"/>
    <n v="2880"/>
    <n v="201.60000000000002"/>
    <s v="0"/>
    <n v="0"/>
    <x v="119"/>
    <x v="0"/>
    <s v="APJ"/>
  </r>
  <r>
    <s v="FY24"/>
    <s v="Allen Chen"/>
    <m/>
    <m/>
    <m/>
    <m/>
    <n v="2023"/>
    <x v="16"/>
    <s v="Mouse"/>
    <s v="NA"/>
    <s v="Black"/>
    <s v="S China"/>
    <s v="OTHERS"/>
    <n v="4.26"/>
    <n v="4.26"/>
    <n v="4.26"/>
    <n v="4.26"/>
    <n v="4.26"/>
    <n v="4.26"/>
    <n v="4.26"/>
    <n v="4.26"/>
    <n v="4.26"/>
    <n v="4.26"/>
    <n v="4.26"/>
    <x v="64"/>
    <n v="4.26"/>
    <n v="4.2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n v="2880"/>
    <n v="0"/>
    <n v="2880"/>
    <n v="0"/>
    <n v="2880"/>
    <n v="201.60000000000002"/>
    <n v="6680"/>
    <n v="467.6"/>
    <s v="0"/>
    <n v="0"/>
    <n v="5760"/>
    <n v="403.20000000000005"/>
    <s v="0"/>
    <n v="0"/>
    <x v="120"/>
    <x v="1"/>
    <s v="EMEA"/>
  </r>
  <r>
    <s v="FY24"/>
    <s v="Allen Chen"/>
    <m/>
    <m/>
    <m/>
    <m/>
    <n v="2023"/>
    <x v="16"/>
    <s v="Mouse"/>
    <s v="NA"/>
    <s v="Black"/>
    <s v="S China"/>
    <s v="OTHERS"/>
    <n v="4.32"/>
    <n v="4.32"/>
    <n v="4.32"/>
    <n v="4.32"/>
    <n v="4.32"/>
    <n v="4.32"/>
    <n v="4.32"/>
    <n v="4.32"/>
    <n v="4.32"/>
    <n v="4.32"/>
    <n v="4.32"/>
    <x v="66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0"/>
    <n v="0"/>
    <n v="5760"/>
    <n v="0"/>
    <n v="51840"/>
    <n v="0"/>
    <n v="5760"/>
    <n v="0"/>
    <s v="0"/>
    <n v="0"/>
    <n v="5760"/>
    <n v="403.20000000000005"/>
    <s v="0"/>
    <n v="0"/>
    <s v="0"/>
    <n v="0"/>
    <s v="0"/>
    <n v="0"/>
    <s v="0"/>
    <n v="0"/>
    <x v="121"/>
    <x v="0"/>
    <s v="APJ"/>
  </r>
  <r>
    <s v="FY24"/>
    <s v="Allen Chen"/>
    <m/>
    <m/>
    <m/>
    <m/>
    <n v="2023"/>
    <x v="16"/>
    <s v="Mouse"/>
    <s v="NA"/>
    <s v="Black"/>
    <s v="S China"/>
    <s v="OTHERS"/>
    <n v="4.32"/>
    <n v="4.32"/>
    <n v="4.32"/>
    <n v="4.32"/>
    <n v="4.32"/>
    <n v="4.32"/>
    <n v="4.32"/>
    <n v="4.32"/>
    <n v="4.32"/>
    <n v="4.32"/>
    <n v="4.32"/>
    <x v="66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n v="8640"/>
    <n v="604.80000000000007"/>
    <s v="0"/>
    <n v="0"/>
    <s v="0"/>
    <n v="0"/>
    <s v="0"/>
    <n v="0"/>
    <n v="2880"/>
    <n v="201.60000000000002"/>
    <x v="122"/>
    <x v="0"/>
    <s v="APJ"/>
  </r>
  <r>
    <s v="FY24"/>
    <s v="Allen Chen"/>
    <m/>
    <m/>
    <m/>
    <m/>
    <n v="2021"/>
    <x v="12"/>
    <s v="Mouse"/>
    <s v="NA"/>
    <s v="Black"/>
    <s v="S China"/>
    <s v="OTHERS"/>
    <n v="4.29"/>
    <n v="4.43"/>
    <n v="4.43"/>
    <n v="4.43"/>
    <n v="4.43"/>
    <n v="4.43"/>
    <n v="4.43"/>
    <n v="4.43"/>
    <n v="4.43"/>
    <n v="4.43"/>
    <n v="4.43"/>
    <x v="17"/>
    <n v="4.43"/>
    <n v="4.4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23"/>
    <x v="4"/>
    <s v="APJ"/>
  </r>
  <r>
    <s v="FY24"/>
    <s v="Allen Chen"/>
    <m/>
    <m/>
    <m/>
    <m/>
    <n v="2021"/>
    <x v="12"/>
    <s v="Mouse"/>
    <s v="NA"/>
    <s v="Black"/>
    <s v="S China"/>
    <s v="OTHERS"/>
    <n v="4.49"/>
    <n v="4.49"/>
    <n v="4.49"/>
    <n v="4.49"/>
    <n v="4.49"/>
    <n v="4.49"/>
    <n v="4.49"/>
    <n v="4.49"/>
    <n v="4.49"/>
    <n v="4.49"/>
    <n v="4.49"/>
    <x v="73"/>
    <n v="4.49"/>
    <n v="4.49"/>
    <n v="0"/>
    <n v="0"/>
    <n v="0"/>
    <n v="0"/>
    <n v="0"/>
    <n v="0"/>
    <n v="0"/>
    <n v="0"/>
    <n v="0"/>
    <n v="0"/>
    <n v="0"/>
    <n v="0"/>
    <n v="0"/>
    <n v="8640"/>
    <n v="0"/>
    <n v="8640"/>
    <n v="0"/>
    <n v="11520"/>
    <n v="0"/>
    <n v="0"/>
    <n v="0"/>
    <n v="8640"/>
    <n v="0"/>
    <n v="2880"/>
    <n v="0"/>
    <n v="8640"/>
    <n v="0"/>
    <s v="0"/>
    <n v="0"/>
    <s v="0"/>
    <n v="0"/>
    <s v="0"/>
    <n v="0"/>
    <s v="0"/>
    <n v="0"/>
    <s v="0"/>
    <n v="0"/>
    <x v="124"/>
    <x v="0"/>
    <s v="APJ"/>
  </r>
  <r>
    <s v="FY24"/>
    <s v="Allen Chen"/>
    <m/>
    <m/>
    <m/>
    <m/>
    <n v="2021"/>
    <x v="12"/>
    <s v="Mouse"/>
    <s v="NA"/>
    <s v="Black"/>
    <s v="S China"/>
    <s v="OTHERS"/>
    <n v="4.3899999999999997"/>
    <n v="4.51"/>
    <n v="4.51"/>
    <n v="4.51"/>
    <n v="4.51"/>
    <n v="4.51"/>
    <n v="4.51"/>
    <n v="4.51"/>
    <n v="4.51"/>
    <n v="4.51"/>
    <n v="4.51"/>
    <x v="71"/>
    <n v="4.51"/>
    <n v="4.51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5760"/>
    <n v="0"/>
    <n v="8640"/>
    <n v="0"/>
    <s v="0"/>
    <n v="0"/>
    <s v="0"/>
    <n v="0"/>
    <s v="0"/>
    <n v="0"/>
    <s v="0"/>
    <n v="0"/>
    <s v="0"/>
    <n v="0"/>
    <s v="0"/>
    <n v="0"/>
    <x v="125"/>
    <x v="0"/>
    <s v="LA"/>
  </r>
  <r>
    <s v="FY24"/>
    <s v="Allen Chen"/>
    <m/>
    <m/>
    <m/>
    <m/>
    <n v="2021"/>
    <x v="12"/>
    <s v="Mouse"/>
    <s v="NA"/>
    <s v="Black"/>
    <s v="S China"/>
    <s v="OTHERS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x v="74"/>
    <n v="4.3899999999999997"/>
    <n v="4.389999999999999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26"/>
    <x v="3"/>
    <s v="NA/LA"/>
  </r>
  <r>
    <s v="FY24"/>
    <s v="Allen Chen"/>
    <m/>
    <m/>
    <m/>
    <m/>
    <n v="2021"/>
    <x v="12"/>
    <s v="Mouse"/>
    <s v="NA"/>
    <s v="Black"/>
    <s v="S China"/>
    <s v="OTHERS"/>
    <m/>
    <m/>
    <n v="4.43"/>
    <n v="4.43"/>
    <n v="4.43"/>
    <n v="4.43"/>
    <n v="4.43"/>
    <n v="4.43"/>
    <n v="4.43"/>
    <n v="4.43"/>
    <n v="4.43"/>
    <x v="17"/>
    <n v="4.43"/>
    <n v="4.4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8080"/>
    <n v="0"/>
    <n v="5760"/>
    <n v="0"/>
    <n v="2880"/>
    <n v="0"/>
    <n v="8640"/>
    <n v="0"/>
    <n v="8640"/>
    <n v="0"/>
    <x v="127"/>
    <x v="1"/>
    <s v="EMEA"/>
  </r>
  <r>
    <s v="FY24"/>
    <s v="Allen Chen"/>
    <m/>
    <m/>
    <m/>
    <m/>
    <n v="2021"/>
    <x v="12"/>
    <s v="Mouse"/>
    <s v="NA"/>
    <s v="Black"/>
    <s v="S China"/>
    <s v="OTHERS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x v="74"/>
    <n v="4.51"/>
    <n v="4.51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2880"/>
    <n v="0"/>
    <n v="2880"/>
    <n v="0"/>
    <n v="2880"/>
    <n v="0"/>
    <n v="2880"/>
    <n v="0"/>
    <n v="2880"/>
    <n v="0"/>
    <x v="128"/>
    <x v="0"/>
    <s v="LA"/>
  </r>
  <r>
    <s v="FY24"/>
    <s v="Allen Chen"/>
    <m/>
    <m/>
    <m/>
    <m/>
    <n v="2021"/>
    <x v="12"/>
    <s v="Mouse"/>
    <s v="NA"/>
    <s v="Black"/>
    <s v="S China"/>
    <s v="OTHERS"/>
    <m/>
    <m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x v="74"/>
    <n v="4.3899999999999997"/>
    <n v="4.389999999999999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  <x v="129"/>
    <x v="3"/>
    <s v="NA"/>
  </r>
  <r>
    <s v="FY24"/>
    <s v="Allen Chen"/>
    <m/>
    <m/>
    <m/>
    <m/>
    <n v="2021"/>
    <x v="12"/>
    <s v="Mouse"/>
    <s v="NA"/>
    <s v="Black"/>
    <s v="S China"/>
    <s v="OTHERS"/>
    <m/>
    <m/>
    <n v="4.49"/>
    <n v="4.49"/>
    <n v="4.49"/>
    <n v="4.49"/>
    <n v="4.49"/>
    <n v="4.49"/>
    <n v="4.49"/>
    <n v="4.49"/>
    <n v="4.49"/>
    <x v="73"/>
    <n v="4.49"/>
    <n v="4.4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8640"/>
    <n v="0"/>
    <n v="8640"/>
    <n v="0"/>
    <n v="5760"/>
    <n v="0"/>
    <n v="5760"/>
    <n v="0"/>
    <n v="8640"/>
    <n v="0"/>
    <x v="130"/>
    <x v="0"/>
    <s v="APJ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x v="75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s v="0"/>
    <n v="0"/>
    <s v="0"/>
    <n v="0"/>
    <n v="2880"/>
    <n v="0"/>
    <x v="131"/>
    <x v="5"/>
    <s v="DIB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x v="75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31"/>
    <x v="6"/>
    <s v="DIB"/>
  </r>
  <r>
    <s v="FY24"/>
    <s v="Allen Chen"/>
    <m/>
    <m/>
    <m/>
    <m/>
    <n v="2021"/>
    <x v="12"/>
    <s v="Mouse"/>
    <s v="NA"/>
    <s v="Black"/>
    <s v="S China"/>
    <s v="OTHERS"/>
    <m/>
    <m/>
    <n v="4.63"/>
    <n v="4.63"/>
    <n v="4.63"/>
    <n v="4.63"/>
    <n v="4.63"/>
    <n v="4.63"/>
    <n v="4.63"/>
    <n v="4.63"/>
    <n v="4.63"/>
    <x v="75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  <x v="131"/>
    <x v="7"/>
    <s v="DIB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x v="75"/>
    <n v="4.63"/>
    <n v="4.63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32"/>
    <x v="5"/>
    <s v="DIB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x v="75"/>
    <n v="4.63"/>
    <n v="4.63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32"/>
    <x v="6"/>
    <s v="DIB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x v="75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n v="1440"/>
    <n v="0"/>
    <s v="0"/>
    <n v="0"/>
    <n v="2880"/>
    <n v="0"/>
    <x v="133"/>
    <x v="5"/>
    <s v="DIB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x v="75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  <x v="133"/>
    <x v="6"/>
    <s v="DIB"/>
  </r>
  <r>
    <s v="FY24"/>
    <s v="Allen Chen"/>
    <m/>
    <m/>
    <m/>
    <m/>
    <n v="2021"/>
    <x v="12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x v="69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m/>
    <n v="0"/>
    <s v="0"/>
    <n v="0"/>
    <n v="5760"/>
    <n v="0"/>
    <x v="134"/>
    <x v="0"/>
    <s v="NA/LA"/>
  </r>
  <r>
    <s v="FY24"/>
    <s v="Allen Chen"/>
    <m/>
    <m/>
    <m/>
    <m/>
    <n v="2021"/>
    <x v="12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x v="69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n v="0"/>
    <n v="0"/>
    <n v="2880"/>
    <n v="0"/>
    <n v="20160"/>
    <n v="0"/>
    <x v="135"/>
    <x v="1"/>
    <s v="EMEA"/>
  </r>
  <r>
    <s v="FY24"/>
    <s v="Allen Chen"/>
    <m/>
    <m/>
    <m/>
    <m/>
    <n v="2021"/>
    <x v="12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x v="69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m/>
    <n v="0"/>
    <s v="0"/>
    <n v="0"/>
    <n v="2880"/>
    <n v="0"/>
    <x v="136"/>
    <x v="0"/>
    <s v="APJ"/>
  </r>
  <r>
    <s v="FY24"/>
    <s v="Simon Yang"/>
    <m/>
    <m/>
    <m/>
    <m/>
    <n v="2019"/>
    <x v="13"/>
    <s v="Combo"/>
    <s v="NA"/>
    <s v="Black"/>
    <s v="S China"/>
    <s v="OTHERS"/>
    <n v="9.9600000000000009"/>
    <n v="10.23"/>
    <n v="10.23"/>
    <n v="10.23"/>
    <n v="10.23"/>
    <n v="10.23"/>
    <n v="10.23"/>
    <n v="10.23"/>
    <n v="10.23"/>
    <n v="10.23"/>
    <n v="10.23"/>
    <x v="76"/>
    <n v="10.23"/>
    <n v="10.23"/>
    <n v="0"/>
    <n v="0"/>
    <n v="0"/>
    <n v="0"/>
    <n v="0"/>
    <n v="0"/>
    <n v="0"/>
    <n v="0"/>
    <n v="0"/>
    <n v="0"/>
    <n v="0"/>
    <n v="0"/>
    <n v="0"/>
    <n v="10080"/>
    <n v="0"/>
    <n v="1280"/>
    <n v="0"/>
    <s v="0"/>
    <n v="0"/>
    <n v="0"/>
    <n v="0"/>
    <n v="0"/>
    <n v="0"/>
    <n v="12960"/>
    <n v="0"/>
    <n v="3200"/>
    <n v="0"/>
    <n v="7680"/>
    <n v="0"/>
    <n v="3840"/>
    <n v="0"/>
    <n v="1280"/>
    <n v="0"/>
    <n v="2560"/>
    <n v="0"/>
    <n v="2560"/>
    <n v="0"/>
    <x v="137"/>
    <x v="0"/>
    <s v="APJ"/>
  </r>
  <r>
    <s v="FY24"/>
    <s v="Simon Yang"/>
    <m/>
    <m/>
    <m/>
    <m/>
    <n v="2019"/>
    <x v="13"/>
    <s v="Combo"/>
    <s v="NA"/>
    <s v="Black"/>
    <s v="S China"/>
    <s v="OTHERS"/>
    <n v="9.9600000000000009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x v="77"/>
    <n v="10.130000000000001"/>
    <n v="10.130000000000001"/>
    <n v="0"/>
    <n v="0"/>
    <n v="0"/>
    <n v="0"/>
    <n v="0"/>
    <n v="0"/>
    <n v="0"/>
    <n v="0"/>
    <n v="0"/>
    <n v="0"/>
    <n v="0"/>
    <n v="0"/>
    <n v="0"/>
    <n v="0"/>
    <n v="0"/>
    <n v="7200"/>
    <n v="0"/>
    <s v="0"/>
    <n v="0"/>
    <n v="0"/>
    <n v="0"/>
    <n v="7680"/>
    <n v="0"/>
    <s v="0"/>
    <n v="0"/>
    <s v="0"/>
    <n v="0"/>
    <n v="8960"/>
    <n v="0"/>
    <s v="0"/>
    <n v="0"/>
    <s v="0"/>
    <n v="0"/>
    <s v="0"/>
    <n v="0"/>
    <s v="0"/>
    <n v="0"/>
    <x v="138"/>
    <x v="3"/>
    <s v="NA"/>
  </r>
  <r>
    <s v="FY24"/>
    <s v="Simon Yang"/>
    <m/>
    <m/>
    <m/>
    <m/>
    <n v="2019"/>
    <x v="13"/>
    <s v="Combo"/>
    <s v="NA"/>
    <s v="Black"/>
    <s v="S China"/>
    <s v="OTHERS"/>
    <n v="9.9600000000000009"/>
    <n v="10.27"/>
    <n v="10.27"/>
    <n v="10.27"/>
    <n v="10.27"/>
    <n v="10.27"/>
    <n v="10.27"/>
    <n v="10.27"/>
    <n v="10.27"/>
    <n v="10.27"/>
    <n v="10.27"/>
    <x v="78"/>
    <n v="10.27"/>
    <n v="10.2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1280"/>
    <n v="0"/>
    <s v="0"/>
    <n v="0"/>
    <s v="0"/>
    <n v="0"/>
    <s v="0"/>
    <n v="0"/>
    <s v="0"/>
    <n v="0"/>
    <s v="0"/>
    <n v="0"/>
    <n v="6400"/>
    <n v="0"/>
    <s v="0"/>
    <n v="0"/>
    <x v="139"/>
    <x v="0"/>
    <s v="LA"/>
  </r>
  <r>
    <s v="FY24"/>
    <s v="Simon Yang"/>
    <m/>
    <m/>
    <m/>
    <m/>
    <n v="2020"/>
    <x v="23"/>
    <s v="Combo"/>
    <s v="NA"/>
    <s v="Black"/>
    <s v="S China"/>
    <s v="OTHERS"/>
    <n v="5.77"/>
    <n v="5.66"/>
    <n v="5.66"/>
    <n v="5.66"/>
    <n v="5.66"/>
    <n v="5.66"/>
    <n v="5.66"/>
    <n v="5.66"/>
    <n v="5.66"/>
    <n v="5.66"/>
    <n v="5.66"/>
    <x v="79"/>
    <n v="5.66"/>
    <n v="5.66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5760"/>
    <n v="0"/>
    <n v="4320"/>
    <n v="0"/>
    <s v="0"/>
    <n v="0"/>
    <n v="4320"/>
    <n v="0"/>
    <n v="4320"/>
    <n v="0"/>
    <n v="1440"/>
    <n v="0"/>
    <n v="4320"/>
    <n v="0"/>
    <n v="1440"/>
    <n v="0"/>
    <x v="140"/>
    <x v="0"/>
    <s v="APJ"/>
  </r>
  <r>
    <s v="FY24"/>
    <s v="Simon Yang"/>
    <m/>
    <m/>
    <m/>
    <m/>
    <n v="2020"/>
    <x v="23"/>
    <s v="Combo"/>
    <s v="NA"/>
    <s v="Black"/>
    <s v="S China"/>
    <s v="OTHERS"/>
    <n v="6.07"/>
    <n v="5.86"/>
    <n v="5.86"/>
    <n v="5.86"/>
    <n v="5.86"/>
    <n v="5.86"/>
    <n v="5.86"/>
    <n v="5.86"/>
    <n v="5.86"/>
    <n v="5.86"/>
    <n v="5.86"/>
    <x v="80"/>
    <n v="5.86"/>
    <n v="5.86"/>
    <n v="0"/>
    <n v="0"/>
    <n v="0"/>
    <n v="0"/>
    <n v="0"/>
    <n v="0"/>
    <n v="0"/>
    <n v="0"/>
    <n v="0"/>
    <n v="0"/>
    <n v="0"/>
    <n v="0"/>
    <n v="0"/>
    <n v="4320"/>
    <n v="0"/>
    <n v="1440"/>
    <n v="0"/>
    <n v="1440"/>
    <n v="0"/>
    <n v="1440"/>
    <n v="0"/>
    <n v="3440"/>
    <n v="0"/>
    <n v="4440"/>
    <n v="0"/>
    <s v="0"/>
    <n v="0"/>
    <n v="1440"/>
    <n v="0"/>
    <s v="0"/>
    <n v="0"/>
    <s v="0"/>
    <n v="0"/>
    <n v="2880"/>
    <n v="0"/>
    <n v="1440"/>
    <n v="0"/>
    <x v="141"/>
    <x v="2"/>
    <s v="EMEA"/>
  </r>
  <r>
    <s v="FY24"/>
    <s v="Simon Yang"/>
    <m/>
    <m/>
    <m/>
    <m/>
    <n v="2020"/>
    <x v="23"/>
    <s v="Combo"/>
    <s v="NA"/>
    <s v="Black"/>
    <s v="S China"/>
    <s v="OTHERS"/>
    <n v="5.77"/>
    <n v="5.56"/>
    <n v="5.56"/>
    <n v="5.56"/>
    <n v="5.56"/>
    <n v="5.56"/>
    <n v="5.56"/>
    <n v="5.56"/>
    <n v="5.56"/>
    <n v="5.56"/>
    <n v="5.56"/>
    <x v="81"/>
    <n v="5.56"/>
    <n v="5.56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42"/>
    <x v="3"/>
    <s v="NA"/>
  </r>
  <r>
    <s v="FY24"/>
    <s v="Simon Yang"/>
    <m/>
    <m/>
    <m/>
    <m/>
    <n v="2020"/>
    <x v="1"/>
    <s v="Combo"/>
    <s v="NA"/>
    <s v="Black"/>
    <s v="S China"/>
    <s v="OTHERS"/>
    <n v="9.0299999999999994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x v="82"/>
    <n v="8.8699999999999992"/>
    <n v="8.8699999999999992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n v="12800"/>
    <n v="2304"/>
    <n v="8960"/>
    <n v="1612.8"/>
    <n v="3840"/>
    <n v="691.19999999999993"/>
    <n v="11520"/>
    <n v="2073.6"/>
    <s v="0"/>
    <n v="0"/>
    <s v="0"/>
    <n v="0"/>
    <x v="143"/>
    <x v="0"/>
    <s v="LA"/>
  </r>
  <r>
    <s v="FY24"/>
    <s v="Simon Yang"/>
    <m/>
    <m/>
    <m/>
    <m/>
    <n v="2020"/>
    <x v="1"/>
    <s v="Combo"/>
    <s v="NA"/>
    <s v="Black"/>
    <s v="S China"/>
    <s v="OTHERS"/>
    <n v="9.0299999999999994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x v="82"/>
    <n v="8.8699999999999992"/>
    <n v="8.8699999999999992"/>
    <n v="0.18"/>
    <n v="0.18"/>
    <n v="0.18"/>
    <n v="0.18"/>
    <n v="0.18"/>
    <n v="0.18"/>
    <n v="0.18"/>
    <n v="0.18"/>
    <n v="0.18"/>
    <n v="0.18"/>
    <n v="0.18"/>
    <n v="0.18"/>
    <n v="0.18"/>
    <n v="2560"/>
    <n v="460.79999999999995"/>
    <n v="2560"/>
    <n v="460.79999999999995"/>
    <n v="6400"/>
    <n v="1152"/>
    <n v="0"/>
    <n v="0"/>
    <n v="6400"/>
    <n v="1152"/>
    <s v="0"/>
    <n v="0"/>
    <n v="2560"/>
    <n v="460.79999999999995"/>
    <n v="5120"/>
    <n v="921.59999999999991"/>
    <s v="0"/>
    <n v="0"/>
    <n v="3840"/>
    <n v="691.19999999999993"/>
    <n v="2560"/>
    <n v="460.79999999999995"/>
    <s v="0"/>
    <n v="0"/>
    <x v="144"/>
    <x v="0"/>
    <s v="LA"/>
  </r>
  <r>
    <s v="FY24"/>
    <s v="Simon Yang"/>
    <m/>
    <m/>
    <m/>
    <m/>
    <n v="2020"/>
    <x v="1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x v="83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5120"/>
    <n v="921.59999999999991"/>
    <n v="16640"/>
    <n v="2995.2"/>
    <n v="3840"/>
    <n v="691.19999999999993"/>
    <n v="5120"/>
    <n v="921.59999999999991"/>
    <n v="7680"/>
    <n v="1382.3999999999999"/>
    <s v="0"/>
    <n v="0"/>
    <n v="5120"/>
    <n v="921.59999999999991"/>
    <n v="6400"/>
    <n v="1152"/>
    <n v="7680"/>
    <n v="1382.3999999999999"/>
    <n v="12800"/>
    <n v="2304"/>
    <n v="8960"/>
    <n v="1612.8"/>
    <x v="145"/>
    <x v="0"/>
    <s v="APJ"/>
  </r>
  <r>
    <s v="FY24"/>
    <s v="Simon Yang"/>
    <m/>
    <m/>
    <m/>
    <m/>
    <n v="2020"/>
    <x v="1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x v="83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46"/>
    <x v="0"/>
    <s v="APJ"/>
  </r>
  <r>
    <s v="FY24"/>
    <s v="Simon Yang"/>
    <m/>
    <m/>
    <m/>
    <m/>
    <n v="2020"/>
    <x v="1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x v="83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8960"/>
    <n v="1612.8"/>
    <n v="21760"/>
    <n v="3916.7999999999997"/>
    <n v="0"/>
    <n v="0"/>
    <n v="16640"/>
    <n v="2995.2"/>
    <n v="15360"/>
    <n v="2764.7999999999997"/>
    <n v="25600"/>
    <n v="4608"/>
    <s v="0"/>
    <n v="0"/>
    <n v="11520"/>
    <n v="2073.6"/>
    <n v="23040"/>
    <n v="4147.2"/>
    <n v="34560"/>
    <n v="6220.8"/>
    <s v="0"/>
    <n v="0"/>
    <x v="147"/>
    <x v="0"/>
    <s v="NA"/>
  </r>
  <r>
    <s v="FY24"/>
    <s v="Simon Yang"/>
    <m/>
    <m/>
    <m/>
    <m/>
    <n v="2020"/>
    <x v="1"/>
    <s v="Combo"/>
    <s v="NA"/>
    <s v="Black"/>
    <s v="S China"/>
    <s v="OTHERS"/>
    <n v="9.1999999999999993"/>
    <n v="9"/>
    <n v="9"/>
    <n v="9"/>
    <n v="9"/>
    <n v="9"/>
    <n v="9"/>
    <n v="9"/>
    <n v="9"/>
    <n v="9"/>
    <n v="9"/>
    <x v="4"/>
    <n v="9"/>
    <n v="9"/>
    <n v="0.18"/>
    <n v="0.18"/>
    <n v="0.18"/>
    <n v="0.18"/>
    <n v="0.18"/>
    <n v="0.18"/>
    <n v="0.18"/>
    <n v="0.18"/>
    <n v="0.18"/>
    <n v="0.18"/>
    <n v="0.18"/>
    <n v="0.18"/>
    <n v="0.18"/>
    <n v="10240"/>
    <n v="1843.1999999999998"/>
    <n v="10240"/>
    <n v="1843.1999999999998"/>
    <n v="17920"/>
    <n v="3225.6"/>
    <n v="0"/>
    <n v="0"/>
    <n v="5120"/>
    <n v="921.59999999999991"/>
    <n v="8960"/>
    <n v="1612.8"/>
    <n v="6400"/>
    <n v="1152"/>
    <n v="3840"/>
    <n v="691.19999999999993"/>
    <s v="0"/>
    <n v="0"/>
    <s v="0"/>
    <n v="0"/>
    <s v="0"/>
    <n v="0"/>
    <s v="0"/>
    <n v="0"/>
    <x v="148"/>
    <x v="0"/>
    <s v="APJ"/>
  </r>
  <r>
    <s v="FY24"/>
    <s v="Simon Yang"/>
    <m/>
    <m/>
    <m/>
    <m/>
    <n v="2020"/>
    <x v="1"/>
    <s v="Combo"/>
    <s v="NA"/>
    <s v="Black"/>
    <s v="S China"/>
    <s v="OTHERS"/>
    <n v="9.1999999999999993"/>
    <n v="9"/>
    <n v="9"/>
    <n v="9"/>
    <n v="9"/>
    <n v="9"/>
    <n v="9"/>
    <n v="9"/>
    <n v="9"/>
    <n v="9"/>
    <n v="9"/>
    <x v="4"/>
    <n v="9"/>
    <n v="9"/>
    <n v="0.18"/>
    <n v="0.18"/>
    <n v="0.18"/>
    <n v="0.18"/>
    <n v="0.18"/>
    <n v="0.18"/>
    <n v="0.18"/>
    <n v="0.18"/>
    <n v="0.18"/>
    <n v="0.18"/>
    <n v="0.18"/>
    <n v="0.18"/>
    <n v="0.18"/>
    <n v="1280"/>
    <n v="230.39999999999998"/>
    <n v="0"/>
    <n v="0"/>
    <n v="2560"/>
    <n v="460.79999999999995"/>
    <n v="0"/>
    <n v="0"/>
    <n v="0"/>
    <n v="0"/>
    <s v="0"/>
    <n v="0"/>
    <n v="1280"/>
    <n v="230.39999999999998"/>
    <s v="0"/>
    <n v="0"/>
    <s v="0"/>
    <n v="0"/>
    <s v="0"/>
    <n v="0"/>
    <s v="0"/>
    <n v="0"/>
    <s v="0"/>
    <n v="0"/>
    <x v="149"/>
    <x v="0"/>
    <s v="APJ"/>
  </r>
  <r>
    <s v="FY24"/>
    <s v="Simon Yang"/>
    <m/>
    <m/>
    <m/>
    <m/>
    <n v="2020"/>
    <x v="1"/>
    <s v="Combo"/>
    <s v="NA"/>
    <s v="Black"/>
    <s v="S China"/>
    <s v="OTHERS"/>
    <n v="9.1999999999999993"/>
    <n v="8.86"/>
    <n v="8.86"/>
    <n v="8.86"/>
    <n v="8.86"/>
    <n v="8.86"/>
    <n v="8.86"/>
    <n v="8.86"/>
    <n v="8.86"/>
    <n v="8.86"/>
    <n v="8.86"/>
    <x v="84"/>
    <n v="8.86"/>
    <n v="8.86"/>
    <n v="0.18"/>
    <n v="0.18"/>
    <n v="0.18"/>
    <n v="0.18"/>
    <n v="0.18"/>
    <n v="0.18"/>
    <n v="0.18"/>
    <n v="0.18"/>
    <n v="0.18"/>
    <n v="0.18"/>
    <n v="0.18"/>
    <n v="0.18"/>
    <n v="0.18"/>
    <n v="9280"/>
    <n v="1670.3999999999999"/>
    <n v="4480"/>
    <n v="806.4"/>
    <s v="0"/>
    <n v="0"/>
    <n v="5760"/>
    <n v="1036.8"/>
    <n v="7680"/>
    <n v="1382.3999999999999"/>
    <n v="38080"/>
    <n v="6854.4"/>
    <n v="22080"/>
    <n v="3974.3999999999996"/>
    <s v="0"/>
    <n v="0"/>
    <s v="0"/>
    <n v="0"/>
    <s v="0"/>
    <n v="0"/>
    <s v="0"/>
    <n v="0"/>
    <s v="0"/>
    <n v="0"/>
    <x v="150"/>
    <x v="9"/>
    <s v="NA"/>
  </r>
  <r>
    <s v="FY24"/>
    <s v="Simon Yang"/>
    <m/>
    <m/>
    <m/>
    <m/>
    <n v="2020"/>
    <x v="1"/>
    <s v="Combo"/>
    <s v="NA"/>
    <s v="Black"/>
    <s v="S China"/>
    <s v="OTHERS"/>
    <n v="9.1999999999999993"/>
    <n v="9.02"/>
    <n v="9.02"/>
    <n v="9.02"/>
    <n v="9.02"/>
    <n v="9.02"/>
    <n v="9.02"/>
    <n v="9.02"/>
    <n v="9.02"/>
    <n v="9.02"/>
    <n v="9.02"/>
    <x v="85"/>
    <n v="9.02"/>
    <n v="9.02"/>
    <n v="0.18"/>
    <n v="0.18"/>
    <n v="0.18"/>
    <n v="0.18"/>
    <n v="0.18"/>
    <n v="0.18"/>
    <n v="0.18"/>
    <n v="0.18"/>
    <n v="0.18"/>
    <n v="0.18"/>
    <n v="0.18"/>
    <n v="0.18"/>
    <n v="0.18"/>
    <n v="0"/>
    <n v="0"/>
    <n v="6400"/>
    <n v="1152"/>
    <n v="5120"/>
    <n v="921.59999999999991"/>
    <n v="0"/>
    <n v="0"/>
    <n v="6400"/>
    <n v="1152"/>
    <n v="8960"/>
    <n v="1612.8"/>
    <s v="0"/>
    <n v="0"/>
    <s v="0"/>
    <n v="0"/>
    <s v="0"/>
    <n v="0"/>
    <s v="0"/>
    <n v="0"/>
    <s v="0"/>
    <n v="0"/>
    <s v="0"/>
    <n v="0"/>
    <x v="151"/>
    <x v="0"/>
    <s v="LA"/>
  </r>
  <r>
    <s v="FY24"/>
    <s v="Simon Yang"/>
    <m/>
    <m/>
    <m/>
    <m/>
    <n v="2020"/>
    <x v="1"/>
    <s v="Combo"/>
    <s v="NA"/>
    <s v="Black"/>
    <s v="S China"/>
    <s v="OTHERS"/>
    <n v="9.1999999999999993"/>
    <n v="9.02"/>
    <n v="9.02"/>
    <n v="9.02"/>
    <n v="9.02"/>
    <n v="9.02"/>
    <n v="9.02"/>
    <n v="9.02"/>
    <n v="9.02"/>
    <n v="9.02"/>
    <n v="9.02"/>
    <x v="85"/>
    <n v="9.02"/>
    <n v="9.02"/>
    <n v="0.18"/>
    <n v="0.18"/>
    <n v="0.18"/>
    <n v="0.18"/>
    <n v="0.18"/>
    <n v="0.18"/>
    <n v="0.18"/>
    <n v="0.18"/>
    <n v="0.18"/>
    <n v="0.18"/>
    <n v="0.18"/>
    <n v="0.18"/>
    <n v="0.18"/>
    <n v="0"/>
    <n v="0"/>
    <n v="1280"/>
    <n v="230.39999999999998"/>
    <n v="1280"/>
    <n v="230.39999999999998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52"/>
    <x v="0"/>
    <s v="LA"/>
  </r>
  <r>
    <s v="FY24"/>
    <s v="Simon Yang"/>
    <m/>
    <m/>
    <m/>
    <m/>
    <n v="2020"/>
    <x v="1"/>
    <s v="Combo"/>
    <s v="NA"/>
    <s v="Black"/>
    <s v="S China"/>
    <s v="OTHERS"/>
    <n v="9.1999999999999993"/>
    <n v="8.84"/>
    <n v="8.84"/>
    <n v="8.84"/>
    <n v="8.84"/>
    <n v="8.84"/>
    <n v="8.84"/>
    <n v="8.84"/>
    <n v="8.84"/>
    <n v="8.84"/>
    <n v="8.84"/>
    <x v="86"/>
    <n v="8.84"/>
    <n v="8.84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1280"/>
    <n v="230.39999999999998"/>
    <s v="0"/>
    <n v="0"/>
    <s v="0"/>
    <n v="0"/>
    <s v="0"/>
    <n v="0"/>
    <s v="0"/>
    <n v="0"/>
    <s v="0"/>
    <n v="0"/>
    <s v="0"/>
    <n v="0"/>
    <s v="0"/>
    <n v="0"/>
    <x v="153"/>
    <x v="9"/>
    <s v="NA"/>
  </r>
  <r>
    <s v="FY24"/>
    <s v="Simon Yang"/>
    <m/>
    <m/>
    <m/>
    <m/>
    <n v="2020"/>
    <x v="1"/>
    <s v="Combo"/>
    <s v="NA"/>
    <s v="Black"/>
    <s v="S China"/>
    <s v="OTHERS"/>
    <m/>
    <m/>
    <n v="8.86"/>
    <n v="8.86"/>
    <n v="8.86"/>
    <n v="8.86"/>
    <n v="8.86"/>
    <n v="8.86"/>
    <n v="8.86"/>
    <n v="8.86"/>
    <n v="8.86"/>
    <x v="84"/>
    <n v="8.86"/>
    <n v="8.86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6680"/>
    <n v="1202.3999999999999"/>
    <n v="26240"/>
    <n v="4723.2"/>
    <n v="6400"/>
    <n v="1152"/>
    <n v="13440"/>
    <n v="2419.1999999999998"/>
    <n v="4980"/>
    <n v="896.4"/>
    <x v="154"/>
    <x v="9"/>
    <s v="NA"/>
  </r>
  <r>
    <s v="FY24"/>
    <s v="Simon Yang"/>
    <m/>
    <m/>
    <m/>
    <m/>
    <n v="2020"/>
    <x v="1"/>
    <s v="Combo"/>
    <s v="NA"/>
    <s v="Black"/>
    <s v="S China"/>
    <s v="OTHERS"/>
    <m/>
    <m/>
    <n v="8.84"/>
    <n v="8.84"/>
    <n v="8.84"/>
    <n v="8.84"/>
    <n v="8.84"/>
    <n v="8.84"/>
    <n v="8.84"/>
    <n v="8.84"/>
    <n v="8.84"/>
    <x v="86"/>
    <n v="8.84"/>
    <n v="8.84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50"/>
    <n v="27"/>
    <n v="1130"/>
    <n v="203.4"/>
    <s v="0"/>
    <n v="0"/>
    <s v="0"/>
    <n v="0"/>
    <s v="0"/>
    <n v="0"/>
    <x v="155"/>
    <x v="9"/>
    <s v="NA"/>
  </r>
  <r>
    <s v="FY24"/>
    <s v="Simon Yang"/>
    <m/>
    <m/>
    <m/>
    <m/>
    <n v="2020"/>
    <x v="1"/>
    <s v="Combo"/>
    <s v="NA"/>
    <s v="Black"/>
    <s v="S China"/>
    <s v="OTHERS"/>
    <m/>
    <m/>
    <n v="9.02"/>
    <n v="9.02"/>
    <n v="9.02"/>
    <n v="9.02"/>
    <n v="9.02"/>
    <n v="9.02"/>
    <n v="9.02"/>
    <n v="9.02"/>
    <n v="9.02"/>
    <x v="85"/>
    <n v="9.02"/>
    <n v="9.02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6400"/>
    <n v="1152"/>
    <n v="3840"/>
    <n v="691.19999999999993"/>
    <n v="5120"/>
    <n v="921.59999999999991"/>
    <n v="8960"/>
    <n v="1612.8"/>
    <s v="0"/>
    <n v="0"/>
    <x v="156"/>
    <x v="0"/>
    <s v="LA"/>
  </r>
  <r>
    <s v="FY24"/>
    <s v="Simon Yang"/>
    <m/>
    <m/>
    <m/>
    <m/>
    <n v="2020"/>
    <x v="1"/>
    <s v="Combo"/>
    <s v="NA"/>
    <s v="Black"/>
    <s v="S China"/>
    <s v="OTHERS"/>
    <m/>
    <m/>
    <n v="9.16"/>
    <n v="9.16"/>
    <n v="9.16"/>
    <n v="9.16"/>
    <n v="9.16"/>
    <n v="9.16"/>
    <n v="9.16"/>
    <n v="9.16"/>
    <n v="9.16"/>
    <x v="3"/>
    <n v="9.16"/>
    <n v="9.16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4000"/>
    <n v="2520"/>
    <n v="8200"/>
    <n v="1476"/>
    <n v="25800"/>
    <n v="4644"/>
    <n v="39000"/>
    <n v="7020"/>
    <n v="18000"/>
    <n v="3240"/>
    <x v="157"/>
    <x v="2"/>
    <s v="EMEA"/>
  </r>
  <r>
    <s v="FY24"/>
    <s v="Simon Yang"/>
    <m/>
    <m/>
    <m/>
    <m/>
    <n v="2020"/>
    <x v="1"/>
    <s v="Combo"/>
    <s v="NA"/>
    <s v="Black"/>
    <s v="S China"/>
    <s v="OTHERS"/>
    <m/>
    <m/>
    <n v="9"/>
    <n v="9"/>
    <n v="9"/>
    <n v="9"/>
    <n v="9"/>
    <n v="9"/>
    <n v="9"/>
    <n v="9"/>
    <n v="9"/>
    <x v="4"/>
    <n v="9"/>
    <n v="9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2560"/>
    <n v="460.79999999999995"/>
    <n v="8960"/>
    <n v="1612.8"/>
    <n v="5120"/>
    <n v="921.59999999999991"/>
    <n v="5120"/>
    <n v="921.59999999999991"/>
    <n v="2560"/>
    <n v="460.79999999999995"/>
    <x v="158"/>
    <x v="0"/>
    <s v="APJ"/>
  </r>
  <r>
    <s v="FY24"/>
    <s v="Simon Yang"/>
    <m/>
    <m/>
    <m/>
    <m/>
    <n v="2020"/>
    <x v="1"/>
    <s v="Combo"/>
    <s v="NA"/>
    <s v="Black"/>
    <s v="S China"/>
    <s v="OTHERS"/>
    <m/>
    <m/>
    <n v="9.02"/>
    <n v="9.02"/>
    <n v="9.02"/>
    <n v="9.02"/>
    <n v="9.02"/>
    <n v="9.02"/>
    <n v="9.02"/>
    <n v="9.02"/>
    <n v="9.02"/>
    <x v="85"/>
    <n v="9.02"/>
    <n v="9.02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280"/>
    <n v="230.39999999999998"/>
    <s v="0"/>
    <n v="0"/>
    <s v="0"/>
    <n v="0"/>
    <n v="1280"/>
    <n v="230.39999999999998"/>
    <n v="2560"/>
    <n v="460.79999999999995"/>
    <x v="159"/>
    <x v="0"/>
    <s v="LA"/>
  </r>
  <r>
    <s v="FY24"/>
    <s v="Simon Yang"/>
    <m/>
    <m/>
    <m/>
    <m/>
    <n v="2020"/>
    <x v="2"/>
    <s v="Combo"/>
    <s v="NA"/>
    <s v="White"/>
    <s v="S China"/>
    <s v="OTHERS"/>
    <n v="10.99"/>
    <n v="10.77"/>
    <n v="10.77"/>
    <n v="10.77"/>
    <n v="10.77"/>
    <n v="10.77"/>
    <n v="10.77"/>
    <n v="10.77"/>
    <n v="10.77"/>
    <n v="10.77"/>
    <n v="10.77"/>
    <x v="87"/>
    <n v="10.77"/>
    <n v="10.77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2880"/>
    <n v="604.79999999999995"/>
    <s v="0"/>
    <n v="0"/>
    <n v="2880"/>
    <n v="604.79999999999995"/>
    <s v="0"/>
    <n v="0"/>
    <s v="0"/>
    <n v="0"/>
    <s v="0"/>
    <n v="0"/>
    <n v="2880"/>
    <n v="604.79999999999995"/>
    <s v="0"/>
    <n v="0"/>
    <x v="160"/>
    <x v="0"/>
    <s v="LA"/>
  </r>
  <r>
    <s v="FY24"/>
    <s v="Simon Yang"/>
    <m/>
    <m/>
    <m/>
    <m/>
    <n v="2020"/>
    <x v="2"/>
    <s v="Combo"/>
    <s v="NA"/>
    <s v="White"/>
    <s v="S China"/>
    <s v="OTHERS"/>
    <n v="10.99"/>
    <n v="10.73"/>
    <n v="10.73"/>
    <n v="10.73"/>
    <n v="10.73"/>
    <n v="10.73"/>
    <n v="10.73"/>
    <n v="10.73"/>
    <n v="10.73"/>
    <n v="10.73"/>
    <n v="10.73"/>
    <x v="88"/>
    <n v="10.73"/>
    <n v="10.73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2880"/>
    <n v="604.79999999999995"/>
    <s v="0"/>
    <n v="0"/>
    <s v="0"/>
    <n v="0"/>
    <s v="0"/>
    <n v="0"/>
    <s v="0"/>
    <n v="0"/>
    <n v="2880"/>
    <n v="604.79999999999995"/>
    <n v="2880"/>
    <n v="604.79999999999995"/>
    <x v="161"/>
    <x v="0"/>
    <s v="APJ"/>
  </r>
  <r>
    <s v="FY24"/>
    <s v="Simon Yang"/>
    <m/>
    <m/>
    <m/>
    <m/>
    <n v="2021"/>
    <x v="3"/>
    <s v="NBL KB"/>
    <s v="NA"/>
    <s v="Black"/>
    <s v="S China"/>
    <s v="OTHERS"/>
    <n v="7.53"/>
    <n v="7.48"/>
    <n v="7.48"/>
    <n v="7.48"/>
    <n v="7.48"/>
    <n v="7.48"/>
    <n v="7.48"/>
    <n v="7.48"/>
    <n v="7.48"/>
    <n v="7.48"/>
    <n v="7.48"/>
    <x v="89"/>
    <n v="7.48"/>
    <n v="7.48"/>
    <n v="0.15"/>
    <n v="0.15"/>
    <n v="0.15"/>
    <n v="0.15"/>
    <n v="0.15"/>
    <n v="0.15"/>
    <n v="0.15"/>
    <n v="0.15"/>
    <n v="0.15"/>
    <n v="0.15"/>
    <n v="0.15"/>
    <n v="0.15"/>
    <n v="0.1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62"/>
    <x v="0"/>
    <s v="LA"/>
  </r>
  <r>
    <s v="FY24"/>
    <s v="Simon Yang"/>
    <m/>
    <m/>
    <m/>
    <m/>
    <n v="2021"/>
    <x v="3"/>
    <s v="NBL KB"/>
    <s v="NA"/>
    <s v="Black"/>
    <s v="S China"/>
    <s v="OTHERS"/>
    <n v="7.53"/>
    <n v="7.46"/>
    <n v="7.46"/>
    <n v="7.46"/>
    <n v="7.46"/>
    <n v="7.46"/>
    <n v="7.46"/>
    <n v="7.46"/>
    <n v="7.46"/>
    <n v="7.46"/>
    <n v="7.46"/>
    <x v="90"/>
    <n v="7.46"/>
    <n v="7.46"/>
    <n v="0.15"/>
    <n v="0.15"/>
    <n v="0.15"/>
    <n v="0.15"/>
    <n v="0.15"/>
    <n v="0.15"/>
    <n v="0.15"/>
    <n v="0.15"/>
    <n v="0.15"/>
    <n v="0.15"/>
    <n v="0.15"/>
    <n v="0.15"/>
    <n v="0.15"/>
    <n v="0"/>
    <n v="0"/>
    <n v="0"/>
    <n v="0"/>
    <s v="0"/>
    <n v="0"/>
    <n v="0"/>
    <n v="0"/>
    <n v="4800"/>
    <n v="720"/>
    <s v="0"/>
    <n v="0"/>
    <s v="0"/>
    <n v="0"/>
    <s v="0"/>
    <n v="0"/>
    <s v="0"/>
    <n v="0"/>
    <s v="0"/>
    <n v="0"/>
    <n v="2400"/>
    <n v="360"/>
    <n v="1200"/>
    <n v="180"/>
    <x v="163"/>
    <x v="0"/>
    <s v="LA"/>
  </r>
  <r>
    <s v="FY24"/>
    <s v="Simon Yang"/>
    <m/>
    <m/>
    <m/>
    <m/>
    <n v="2021"/>
    <x v="3"/>
    <s v="NBL KB"/>
    <s v="NA"/>
    <s v="Black"/>
    <s v="S China"/>
    <s v="OTHERS"/>
    <n v="7.53"/>
    <n v="7.4"/>
    <n v="7.4"/>
    <n v="7.4"/>
    <n v="7.4"/>
    <n v="7.4"/>
    <n v="7.4"/>
    <n v="7.4"/>
    <n v="7.4"/>
    <n v="7.4"/>
    <n v="7.4"/>
    <x v="91"/>
    <n v="7.4"/>
    <n v="7.4"/>
    <n v="0.15"/>
    <n v="0.15"/>
    <n v="0.15"/>
    <n v="0.15"/>
    <n v="0.15"/>
    <n v="0.15"/>
    <n v="0.15"/>
    <n v="0.15"/>
    <n v="0.15"/>
    <n v="0.15"/>
    <n v="0.15"/>
    <n v="0.15"/>
    <n v="0.15"/>
    <n v="1200"/>
    <n v="180"/>
    <n v="0"/>
    <n v="0"/>
    <s v="0"/>
    <n v="0"/>
    <n v="0"/>
    <n v="0"/>
    <n v="2400"/>
    <n v="360"/>
    <n v="1200"/>
    <n v="180"/>
    <s v="0"/>
    <n v="0"/>
    <s v="0"/>
    <n v="0"/>
    <n v="1200"/>
    <n v="180"/>
    <s v="0"/>
    <n v="0"/>
    <s v="0"/>
    <n v="0"/>
    <s v="0"/>
    <n v="0"/>
    <x v="164"/>
    <x v="0"/>
    <s v="APJ"/>
  </r>
  <r>
    <s v="FY24"/>
    <s v="Simon Yang"/>
    <m/>
    <m/>
    <m/>
    <m/>
    <n v="2021"/>
    <x v="3"/>
    <s v="NBL KB"/>
    <s v="NA"/>
    <s v="Black"/>
    <s v="S China"/>
    <s v="OTHERS"/>
    <n v="7.53"/>
    <n v="7.42"/>
    <n v="7.42"/>
    <n v="7.42"/>
    <n v="7.42"/>
    <n v="7.42"/>
    <n v="7.42"/>
    <n v="7.42"/>
    <n v="7.42"/>
    <n v="7.42"/>
    <n v="7.42"/>
    <x v="92"/>
    <n v="7.42"/>
    <n v="7.42"/>
    <n v="0.15"/>
    <n v="0.15"/>
    <n v="0.15"/>
    <n v="0.15"/>
    <n v="0.15"/>
    <n v="0.15"/>
    <n v="0.15"/>
    <n v="0.15"/>
    <n v="0.15"/>
    <n v="0.15"/>
    <n v="0.15"/>
    <n v="0.15"/>
    <n v="0.15"/>
    <n v="8400"/>
    <n v="1260"/>
    <n v="9600"/>
    <n v="1440"/>
    <n v="6000"/>
    <n v="900"/>
    <n v="0"/>
    <n v="0"/>
    <n v="15600"/>
    <n v="2340"/>
    <n v="33000"/>
    <n v="4950"/>
    <n v="28200"/>
    <n v="4230"/>
    <n v="13200"/>
    <n v="1980"/>
    <n v="3600"/>
    <n v="540"/>
    <n v="7200"/>
    <n v="1080"/>
    <n v="25200"/>
    <n v="3780"/>
    <n v="21600"/>
    <n v="3240"/>
    <x v="165"/>
    <x v="0"/>
    <s v="NA"/>
  </r>
  <r>
    <s v="FY24"/>
    <s v="Simon Yang"/>
    <m/>
    <m/>
    <m/>
    <m/>
    <n v="2021"/>
    <x v="3"/>
    <s v="NBL KB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x v="93"/>
    <n v="7.92"/>
    <n v="7.92"/>
    <n v="0.15"/>
    <n v="0.15"/>
    <n v="0.15"/>
    <n v="0.15"/>
    <n v="0.15"/>
    <n v="0.15"/>
    <n v="0.15"/>
    <n v="0.15"/>
    <n v="0.15"/>
    <n v="0.15"/>
    <n v="0.15"/>
    <n v="0.15"/>
    <n v="0.15"/>
    <n v="0"/>
    <n v="0"/>
    <n v="1200"/>
    <n v="180"/>
    <s v="0"/>
    <n v="0"/>
    <n v="0"/>
    <n v="0"/>
    <n v="1200"/>
    <n v="180"/>
    <s v="0"/>
    <n v="0"/>
    <s v="0"/>
    <n v="0"/>
    <s v="0"/>
    <n v="0"/>
    <s v="0"/>
    <n v="0"/>
    <s v="0"/>
    <n v="0"/>
    <s v="0"/>
    <n v="0"/>
    <n v="1200"/>
    <n v="180"/>
    <x v="166"/>
    <x v="0"/>
    <s v="APJ"/>
  </r>
  <r>
    <s v="FY24"/>
    <s v="Simon Yang"/>
    <m/>
    <m/>
    <m/>
    <m/>
    <n v="2020"/>
    <x v="5"/>
    <s v="Combo"/>
    <s v="NA"/>
    <s v="Black"/>
    <s v="S China"/>
    <s v="OTHERS"/>
    <n v="4.99"/>
    <n v="4.99"/>
    <n v="4.99"/>
    <n v="4.99"/>
    <n v="4.99"/>
    <n v="4.99"/>
    <n v="4.99"/>
    <n v="4.99"/>
    <n v="4.99"/>
    <n v="4.99"/>
    <n v="4.99"/>
    <x v="94"/>
    <n v="4.99"/>
    <n v="4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10400"/>
    <n v="0"/>
    <n v="5200"/>
    <n v="0"/>
    <s v="0"/>
    <n v="0"/>
    <n v="5200"/>
    <n v="0"/>
    <s v="0"/>
    <n v="0"/>
    <n v="5200"/>
    <n v="0"/>
    <x v="167"/>
    <x v="0"/>
    <s v="APJ"/>
  </r>
  <r>
    <s v="FY24"/>
    <s v="Simon Yang"/>
    <m/>
    <m/>
    <m/>
    <m/>
    <n v="2020"/>
    <x v="5"/>
    <s v="Combo"/>
    <s v="NA"/>
    <s v="Black"/>
    <s v="S China"/>
    <s v="OTHERS"/>
    <n v="4.93"/>
    <n v="4.93"/>
    <n v="4.93"/>
    <n v="4.93"/>
    <n v="4.93"/>
    <n v="4.93"/>
    <n v="4.93"/>
    <n v="4.93"/>
    <n v="4.93"/>
    <n v="4.93"/>
    <n v="4.93"/>
    <x v="11"/>
    <n v="4.93"/>
    <n v="4.93"/>
    <n v="0"/>
    <n v="0"/>
    <n v="0"/>
    <n v="0"/>
    <n v="0"/>
    <n v="0"/>
    <n v="0"/>
    <n v="0"/>
    <n v="0"/>
    <n v="0"/>
    <n v="0"/>
    <n v="0"/>
    <n v="0"/>
    <n v="0"/>
    <n v="0"/>
    <n v="0"/>
    <n v="0"/>
    <n v="5200"/>
    <n v="0"/>
    <n v="0"/>
    <n v="0"/>
    <n v="0"/>
    <n v="0"/>
    <n v="10400"/>
    <n v="0"/>
    <n v="5200"/>
    <n v="0"/>
    <s v="0"/>
    <n v="0"/>
    <s v="0"/>
    <n v="0"/>
    <s v="0"/>
    <n v="0"/>
    <s v="0"/>
    <n v="0"/>
    <s v="0"/>
    <n v="0"/>
    <x v="168"/>
    <x v="4"/>
    <s v="APJ"/>
  </r>
  <r>
    <s v="FY24"/>
    <s v="Simon Yang"/>
    <m/>
    <m/>
    <m/>
    <m/>
    <n v="2020"/>
    <x v="5"/>
    <s v="Combo"/>
    <s v="NA"/>
    <s v="Black"/>
    <s v="S China"/>
    <s v="OTHERS"/>
    <n v="5.05"/>
    <n v="5.05"/>
    <n v="5.05"/>
    <n v="5.05"/>
    <n v="5.05"/>
    <n v="5.05"/>
    <n v="5.05"/>
    <n v="5.05"/>
    <n v="5.05"/>
    <n v="5.05"/>
    <n v="5.05"/>
    <x v="23"/>
    <n v="5.05"/>
    <n v="5.0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0400"/>
    <n v="0"/>
    <n v="5200"/>
    <n v="0"/>
    <s v="0"/>
    <n v="0"/>
    <x v="169"/>
    <x v="0"/>
    <s v="LA"/>
  </r>
  <r>
    <s v="FY24"/>
    <s v="Simon Yang"/>
    <m/>
    <m/>
    <m/>
    <m/>
    <n v="2020"/>
    <x v="5"/>
    <s v="Combo"/>
    <s v="NA"/>
    <s v="Black"/>
    <s v="S China"/>
    <s v="OTHERS"/>
    <n v="5.03"/>
    <n v="5.03"/>
    <n v="5.03"/>
    <n v="5.03"/>
    <n v="5.03"/>
    <n v="5.03"/>
    <n v="5.03"/>
    <n v="5.03"/>
    <n v="5.03"/>
    <n v="5.03"/>
    <n v="5.03"/>
    <x v="95"/>
    <n v="5.03"/>
    <n v="5.03"/>
    <n v="0"/>
    <n v="0"/>
    <n v="0"/>
    <n v="0"/>
    <n v="0"/>
    <n v="0"/>
    <n v="0"/>
    <n v="0"/>
    <n v="0"/>
    <n v="0"/>
    <n v="0"/>
    <n v="0"/>
    <n v="0"/>
    <n v="0"/>
    <n v="0"/>
    <n v="0"/>
    <n v="0"/>
    <n v="5200"/>
    <n v="0"/>
    <n v="0"/>
    <n v="0"/>
    <n v="0"/>
    <n v="0"/>
    <s v="0"/>
    <n v="0"/>
    <n v="5200"/>
    <n v="0"/>
    <s v="0"/>
    <n v="0"/>
    <s v="0"/>
    <n v="0"/>
    <s v="0"/>
    <n v="0"/>
    <s v="0"/>
    <n v="0"/>
    <s v="0"/>
    <n v="0"/>
    <x v="170"/>
    <x v="0"/>
    <s v="LA"/>
  </r>
  <r>
    <s v="FY24"/>
    <s v="Simon Yang"/>
    <m/>
    <m/>
    <m/>
    <m/>
    <n v="2020"/>
    <x v="5"/>
    <s v="Combo"/>
    <s v="NA"/>
    <s v="Black"/>
    <s v="S China"/>
    <s v="OTHERS"/>
    <n v="4.99"/>
    <n v="4.99"/>
    <n v="4.99"/>
    <n v="4.99"/>
    <n v="4.99"/>
    <n v="4.99"/>
    <n v="4.99"/>
    <n v="4.99"/>
    <n v="4.99"/>
    <n v="4.99"/>
    <n v="4.99"/>
    <x v="94"/>
    <n v="4.99"/>
    <n v="4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5200"/>
    <n v="0"/>
    <s v="0"/>
    <n v="0"/>
    <s v="0"/>
    <n v="0"/>
    <s v="0"/>
    <n v="0"/>
    <n v="4800"/>
    <n v="0"/>
    <n v="5200"/>
    <n v="0"/>
    <s v="0"/>
    <n v="0"/>
    <x v="171"/>
    <x v="0"/>
    <s v="NA"/>
  </r>
  <r>
    <s v="FY24"/>
    <s v="Simon Yang"/>
    <m/>
    <m/>
    <m/>
    <m/>
    <n v="2022"/>
    <x v="7"/>
    <s v="NBL KB"/>
    <s v="NA"/>
    <s v="Black"/>
    <s v="S China"/>
    <s v="OTHERS"/>
    <n v="3.75"/>
    <n v="3.75"/>
    <n v="3.75"/>
    <n v="3.75"/>
    <n v="3.75"/>
    <n v="3.75"/>
    <n v="3.75"/>
    <n v="3.75"/>
    <n v="3.75"/>
    <n v="3.75"/>
    <n v="3.75"/>
    <x v="44"/>
    <n v="3.75"/>
    <n v="3.75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5600"/>
    <n v="1176"/>
    <s v="0"/>
    <n v="0"/>
    <n v="5600"/>
    <n v="1176"/>
    <s v="0"/>
    <n v="0"/>
    <s v="0"/>
    <n v="0"/>
    <n v="5600"/>
    <n v="1176"/>
    <s v="0"/>
    <n v="0"/>
    <x v="172"/>
    <x v="0"/>
    <s v="APJ"/>
  </r>
  <r>
    <s v="FY24"/>
    <s v="Simon Yang"/>
    <m/>
    <m/>
    <m/>
    <m/>
    <n v="2022"/>
    <x v="7"/>
    <s v="NBL KB"/>
    <s v="NA"/>
    <s v="Black"/>
    <s v="S China"/>
    <s v="OTHERS"/>
    <n v="3.69"/>
    <n v="3.69"/>
    <n v="3.69"/>
    <n v="3.69"/>
    <n v="3.69"/>
    <n v="3.69"/>
    <n v="3.69"/>
    <n v="3.69"/>
    <n v="3.69"/>
    <n v="3.69"/>
    <n v="3.69"/>
    <x v="96"/>
    <n v="3.69"/>
    <n v="3.69"/>
    <n v="0.21"/>
    <n v="0.21"/>
    <n v="0.21"/>
    <n v="0.21"/>
    <n v="0.21"/>
    <n v="0.21"/>
    <n v="0.21"/>
    <n v="0.21"/>
    <n v="0.21"/>
    <n v="0.21"/>
    <n v="0.21"/>
    <n v="0.21"/>
    <n v="0.21"/>
    <n v="5600"/>
    <n v="1176"/>
    <n v="0"/>
    <n v="0"/>
    <s v="0"/>
    <n v="0"/>
    <n v="0"/>
    <n v="0"/>
    <n v="5600"/>
    <n v="1176"/>
    <s v="0"/>
    <n v="0"/>
    <s v="0"/>
    <n v="0"/>
    <s v="0"/>
    <n v="0"/>
    <s v="0"/>
    <n v="0"/>
    <s v="0"/>
    <n v="0"/>
    <s v="0"/>
    <n v="0"/>
    <s v="0"/>
    <n v="0"/>
    <x v="173"/>
    <x v="4"/>
    <s v="APJ"/>
  </r>
  <r>
    <s v="FY24"/>
    <s v="Simon Yang"/>
    <m/>
    <m/>
    <m/>
    <m/>
    <n v="2022"/>
    <x v="7"/>
    <s v="NBL KB"/>
    <s v="NA"/>
    <s v="Black"/>
    <s v="S China"/>
    <s v="OTHERS"/>
    <n v="3.79"/>
    <n v="3.79"/>
    <n v="3.79"/>
    <n v="3.79"/>
    <n v="3.79"/>
    <n v="3.79"/>
    <n v="3.79"/>
    <n v="3.79"/>
    <n v="3.79"/>
    <n v="3.79"/>
    <n v="3.79"/>
    <x v="97"/>
    <n v="3.79"/>
    <n v="3.79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n v="5600"/>
    <n v="1176"/>
    <n v="0"/>
    <n v="0"/>
    <n v="0"/>
    <n v="0"/>
    <s v="0"/>
    <n v="0"/>
    <n v="5600"/>
    <n v="1176"/>
    <s v="0"/>
    <n v="0"/>
    <s v="0"/>
    <n v="0"/>
    <s v="0"/>
    <n v="0"/>
    <s v="0"/>
    <n v="0"/>
    <n v="5600"/>
    <n v="1176"/>
    <x v="174"/>
    <x v="0"/>
    <s v="LA"/>
  </r>
  <r>
    <s v="FY24"/>
    <s v="Simon Yang"/>
    <m/>
    <m/>
    <m/>
    <m/>
    <n v="2022"/>
    <x v="7"/>
    <s v="NBL KB"/>
    <s v="NA"/>
    <s v="Black"/>
    <s v="S China"/>
    <s v="OTHERS"/>
    <n v="3.77"/>
    <n v="3.77"/>
    <n v="3.77"/>
    <n v="3.77"/>
    <n v="3.77"/>
    <n v="3.77"/>
    <n v="3.77"/>
    <n v="3.77"/>
    <n v="3.77"/>
    <n v="3.77"/>
    <n v="3.77"/>
    <x v="98"/>
    <n v="3.77"/>
    <n v="3.77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s v="0"/>
    <n v="0"/>
    <n v="10000"/>
    <n v="2100"/>
    <n v="5600"/>
    <n v="1176"/>
    <s v="0"/>
    <n v="0"/>
    <n v="5600"/>
    <n v="1176"/>
    <n v="5600"/>
    <n v="1176"/>
    <s v="0"/>
    <n v="0"/>
    <x v="175"/>
    <x v="0"/>
    <s v="NA"/>
  </r>
  <r>
    <s v="FY24"/>
    <s v="Simon Yang"/>
    <m/>
    <m/>
    <m/>
    <m/>
    <n v="2023"/>
    <x v="24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x v="99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5400"/>
    <n v="324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76"/>
    <x v="0"/>
    <s v="NA"/>
  </r>
  <r>
    <s v="FY24"/>
    <s v="Simon Yang"/>
    <m/>
    <m/>
    <m/>
    <m/>
    <n v="2023"/>
    <x v="24"/>
    <s v="NBL KB"/>
    <s v="NA"/>
    <s v="Black"/>
    <s v="S China"/>
    <s v="OTHERS"/>
    <n v="6.6"/>
    <n v="6.6"/>
    <n v="6.6"/>
    <n v="6.6"/>
    <n v="6.6"/>
    <n v="6.6"/>
    <n v="6.6"/>
    <n v="6.6"/>
    <n v="6.6"/>
    <n v="6.6"/>
    <n v="6.6"/>
    <x v="100"/>
    <n v="6.6"/>
    <n v="6.6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n v="2700"/>
    <n v="162"/>
    <n v="2700"/>
    <n v="162"/>
    <n v="5400"/>
    <n v="324"/>
    <n v="2700"/>
    <n v="162"/>
    <x v="177"/>
    <x v="2"/>
    <s v="EMEA"/>
  </r>
  <r>
    <s v="FY24"/>
    <s v="Simon Yang"/>
    <m/>
    <m/>
    <m/>
    <m/>
    <n v="2023"/>
    <x v="24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x v="99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78"/>
    <x v="0"/>
    <s v="LA"/>
  </r>
  <r>
    <s v="FY24"/>
    <s v="Simon Yang"/>
    <m/>
    <m/>
    <m/>
    <m/>
    <n v="2023"/>
    <x v="24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x v="99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79"/>
    <x v="0"/>
    <s v="APJ"/>
  </r>
  <r>
    <s v="FY24"/>
    <s v="Simon Yang"/>
    <m/>
    <m/>
    <m/>
    <m/>
    <n v="2023"/>
    <x v="24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x v="99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80"/>
    <x v="0"/>
    <s v="NA"/>
  </r>
  <r>
    <s v="FY24"/>
    <s v="Simon Yang"/>
    <m/>
    <m/>
    <m/>
    <m/>
    <n v="2023"/>
    <x v="24"/>
    <s v="NBL KB"/>
    <s v="NA"/>
    <s v="Black"/>
    <s v="S China"/>
    <s v="OTHERS"/>
    <n v="6.6"/>
    <n v="6.6"/>
    <n v="6.6"/>
    <n v="6.6"/>
    <n v="6.6"/>
    <n v="6.6"/>
    <n v="6.6"/>
    <n v="6.6"/>
    <n v="6.6"/>
    <n v="6.6"/>
    <n v="6.6"/>
    <x v="100"/>
    <n v="6.6"/>
    <n v="6.6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81"/>
    <x v="2"/>
    <s v="EMEA"/>
  </r>
  <r>
    <s v="FY24"/>
    <s v="Simon Yang"/>
    <m/>
    <m/>
    <m/>
    <m/>
    <n v="2020"/>
    <x v="10"/>
    <s v="Combo"/>
    <s v="NA"/>
    <s v="Black"/>
    <s v="S China"/>
    <s v="OTHERS"/>
    <n v="7.86"/>
    <n v="7.86"/>
    <n v="7.86"/>
    <n v="7.86"/>
    <n v="7.86"/>
    <n v="7.86"/>
    <n v="7.86"/>
    <n v="7.86"/>
    <n v="7.86"/>
    <n v="7.86"/>
    <n v="7.86"/>
    <x v="101"/>
    <n v="7.86"/>
    <n v="7.86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n v="5280"/>
    <n v="422.40000000000003"/>
    <n v="0"/>
    <n v="0"/>
    <n v="5280"/>
    <n v="422.40000000000003"/>
    <n v="5280"/>
    <n v="422.40000000000003"/>
    <n v="5280"/>
    <n v="422.40000000000003"/>
    <n v="5280"/>
    <n v="422.40000000000003"/>
    <n v="5280"/>
    <n v="422.40000000000003"/>
    <n v="5280"/>
    <n v="422.40000000000003"/>
    <s v="0"/>
    <n v="0"/>
    <n v="5280"/>
    <n v="422.40000000000003"/>
    <x v="182"/>
    <x v="0"/>
    <s v="APJ"/>
  </r>
  <r>
    <s v="FY24"/>
    <s v="Simon Yang"/>
    <m/>
    <m/>
    <m/>
    <m/>
    <n v="2020"/>
    <x v="10"/>
    <s v="Combo"/>
    <s v="NA"/>
    <s v="Black"/>
    <s v="S China"/>
    <s v="OTHERS"/>
    <n v="7.8"/>
    <n v="7.8"/>
    <n v="7.8"/>
    <n v="7.8"/>
    <n v="7.8"/>
    <n v="7.8"/>
    <n v="7.8"/>
    <n v="7.8"/>
    <n v="7.8"/>
    <n v="7.8"/>
    <n v="7.8"/>
    <x v="102"/>
    <n v="7.8"/>
    <n v="7.8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n v="5280"/>
    <n v="422.40000000000003"/>
    <n v="0"/>
    <n v="0"/>
    <n v="5280"/>
    <n v="422.40000000000003"/>
    <n v="5280"/>
    <n v="422.40000000000003"/>
    <n v="5280"/>
    <n v="422.40000000000003"/>
    <n v="5280"/>
    <n v="422.40000000000003"/>
    <n v="7920"/>
    <n v="633.6"/>
    <n v="2640"/>
    <n v="211.20000000000002"/>
    <n v="5280"/>
    <n v="422.40000000000003"/>
    <n v="4400"/>
    <n v="352"/>
    <x v="183"/>
    <x v="4"/>
    <s v="APJ"/>
  </r>
  <r>
    <s v="FY24"/>
    <s v="Simon Yang"/>
    <m/>
    <m/>
    <m/>
    <m/>
    <n v="2020"/>
    <x v="10"/>
    <s v="Combo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x v="93"/>
    <n v="7.92"/>
    <n v="7.92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s v="0"/>
    <n v="0"/>
    <n v="0"/>
    <n v="0"/>
    <n v="0"/>
    <n v="0"/>
    <s v="0"/>
    <n v="0"/>
    <n v="5280"/>
    <n v="422.40000000000003"/>
    <s v="0"/>
    <n v="0"/>
    <n v="5280"/>
    <n v="422.40000000000003"/>
    <n v="5280"/>
    <n v="422.40000000000003"/>
    <s v="0"/>
    <n v="0"/>
    <s v="0"/>
    <n v="0"/>
    <x v="184"/>
    <x v="0"/>
    <s v="LA"/>
  </r>
  <r>
    <s v="FY24"/>
    <s v="Simon Yang"/>
    <m/>
    <m/>
    <m/>
    <m/>
    <n v="2020"/>
    <x v="10"/>
    <s v="Combo"/>
    <s v="NA"/>
    <s v="Black"/>
    <s v="S China"/>
    <s v="OTHERS"/>
    <n v="7.8"/>
    <n v="7.9"/>
    <n v="7.9"/>
    <n v="7.9"/>
    <n v="7.9"/>
    <n v="7.9"/>
    <n v="7.9"/>
    <n v="7.9"/>
    <n v="7.9"/>
    <n v="7.9"/>
    <n v="7.9"/>
    <x v="103"/>
    <n v="7.9"/>
    <n v="7.9"/>
    <n v="0.08"/>
    <n v="0.08"/>
    <n v="0.08"/>
    <n v="0.08"/>
    <n v="0.08"/>
    <n v="0.08"/>
    <n v="0.08"/>
    <n v="0.08"/>
    <n v="0.08"/>
    <n v="0.08"/>
    <n v="0.08"/>
    <n v="0.08"/>
    <n v="0.08"/>
    <n v="0"/>
    <n v="0"/>
    <n v="5280"/>
    <n v="422.40000000000003"/>
    <n v="5280"/>
    <n v="422.40000000000003"/>
    <n v="0"/>
    <n v="0"/>
    <n v="0"/>
    <n v="0"/>
    <n v="5280"/>
    <n v="422.40000000000003"/>
    <s v="0"/>
    <n v="0"/>
    <n v="5280"/>
    <n v="422.40000000000003"/>
    <s v="0"/>
    <n v="0"/>
    <n v="5280"/>
    <n v="422.40000000000003"/>
    <n v="0"/>
    <n v="0"/>
    <s v="0"/>
    <n v="0"/>
    <x v="185"/>
    <x v="0"/>
    <s v="LA"/>
  </r>
  <r>
    <s v="FY24"/>
    <s v="Simon Yang"/>
    <m/>
    <m/>
    <m/>
    <m/>
    <n v="2020"/>
    <x v="10"/>
    <s v="Combo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x v="93"/>
    <n v="7.92"/>
    <n v="7.92"/>
    <n v="0.08"/>
    <n v="0.08"/>
    <n v="0.08"/>
    <n v="0.08"/>
    <n v="0.08"/>
    <n v="0.08"/>
    <n v="0.08"/>
    <n v="0.08"/>
    <n v="0.08"/>
    <n v="0.08"/>
    <n v="0.08"/>
    <n v="0.08"/>
    <n v="0.08"/>
    <n v="4720"/>
    <n v="377.6"/>
    <n v="0"/>
    <n v="0"/>
    <n v="5280"/>
    <n v="422.40000000000003"/>
    <n v="0"/>
    <n v="0"/>
    <n v="0"/>
    <n v="0"/>
    <n v="5280"/>
    <n v="422.40000000000003"/>
    <n v="15840"/>
    <n v="1267.2"/>
    <n v="10560"/>
    <n v="844.80000000000007"/>
    <s v="0"/>
    <n v="0"/>
    <s v="0"/>
    <n v="0"/>
    <s v="0"/>
    <n v="0"/>
    <s v="0"/>
    <n v="0"/>
    <x v="186"/>
    <x v="0"/>
    <s v="NA"/>
  </r>
  <r>
    <s v="FY24"/>
    <s v="Allen Chen"/>
    <m/>
    <m/>
    <m/>
    <m/>
    <n v="2018"/>
    <x v="25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x v="104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87"/>
    <x v="5"/>
    <s v="DIB"/>
  </r>
  <r>
    <s v="FY24"/>
    <s v="Allen Chen"/>
    <m/>
    <m/>
    <m/>
    <m/>
    <n v="2018"/>
    <x v="25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x v="104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87"/>
    <x v="7"/>
    <s v="DIB"/>
  </r>
  <r>
    <s v="FY24"/>
    <s v="Allen Chen"/>
    <m/>
    <m/>
    <m/>
    <m/>
    <n v="2018"/>
    <x v="25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x v="104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87"/>
    <x v="8"/>
    <s v="DIB"/>
  </r>
  <r>
    <s v="FY24"/>
    <s v="Allen Chen"/>
    <m/>
    <m/>
    <m/>
    <m/>
    <n v="2018"/>
    <x v="17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x v="104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33000"/>
    <n v="1650"/>
    <n v="3000"/>
    <n v="150"/>
    <n v="6000"/>
    <n v="300"/>
    <n v="0"/>
    <n v="0"/>
    <n v="0"/>
    <n v="0"/>
    <n v="6000"/>
    <n v="300"/>
    <n v="3000"/>
    <n v="150"/>
    <s v="0"/>
    <n v="0"/>
    <s v="0"/>
    <n v="0"/>
    <s v="0"/>
    <n v="0"/>
    <n v="3000"/>
    <n v="150"/>
    <n v="3000"/>
    <n v="150"/>
    <x v="188"/>
    <x v="5"/>
    <s v="DIB"/>
  </r>
  <r>
    <s v="FY24"/>
    <s v="Allen Chen"/>
    <m/>
    <m/>
    <m/>
    <m/>
    <n v="2016"/>
    <x v="8"/>
    <s v="Mouse"/>
    <s v="NA"/>
    <s v="Lavender"/>
    <s v="S China"/>
    <s v="OTHERS"/>
    <n v="7.45"/>
    <n v="7.45"/>
    <n v="8.4499999999999993"/>
    <n v="7.45"/>
    <n v="7.45"/>
    <n v="7.45"/>
    <n v="7.45"/>
    <n v="7.45"/>
    <n v="7.45"/>
    <n v="7.45"/>
    <n v="7.45"/>
    <x v="10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3000"/>
    <n v="150"/>
    <n v="0"/>
    <n v="0"/>
    <n v="3000"/>
    <n v="150"/>
    <s v="0"/>
    <n v="0"/>
    <s v="0"/>
    <n v="0"/>
    <s v="0"/>
    <n v="0"/>
    <s v="0"/>
    <n v="0"/>
    <s v="0"/>
    <n v="0"/>
    <s v="0"/>
    <n v="0"/>
    <s v="0"/>
    <n v="0"/>
    <x v="189"/>
    <x v="5"/>
    <s v="DIB"/>
  </r>
  <r>
    <s v="FY24"/>
    <s v="Allen Chen"/>
    <m/>
    <m/>
    <m/>
    <m/>
    <n v="2016"/>
    <x v="8"/>
    <s v="Mouse"/>
    <s v="NA"/>
    <s v="Lavender"/>
    <s v="S China"/>
    <s v="OTHERS"/>
    <n v="7.45"/>
    <n v="7.45"/>
    <n v="8.4499999999999993"/>
    <n v="7.45"/>
    <n v="7.45"/>
    <n v="7.45"/>
    <n v="7.45"/>
    <n v="7.45"/>
    <n v="7.45"/>
    <n v="7.45"/>
    <n v="7.45"/>
    <x v="10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3000"/>
    <n v="150"/>
    <n v="6000"/>
    <n v="300"/>
    <n v="0"/>
    <n v="0"/>
    <n v="3000"/>
    <n v="150"/>
    <s v="0"/>
    <n v="0"/>
    <s v="0"/>
    <n v="0"/>
    <s v="0"/>
    <n v="0"/>
    <s v="0"/>
    <n v="0"/>
    <s v="0"/>
    <n v="0"/>
    <s v="0"/>
    <n v="0"/>
    <s v="0"/>
    <n v="0"/>
    <x v="189"/>
    <x v="6"/>
    <s v="DIB"/>
  </r>
  <r>
    <s v="FY24"/>
    <s v="Allen Chen"/>
    <m/>
    <m/>
    <m/>
    <m/>
    <n v="2016"/>
    <x v="8"/>
    <s v="Mouse"/>
    <s v="NA"/>
    <s v="Seafoam Teal"/>
    <s v="S China"/>
    <s v="OTHERS"/>
    <n v="7.45"/>
    <n v="7.45"/>
    <n v="8.4499999999999993"/>
    <n v="7.45"/>
    <n v="7.45"/>
    <n v="7.45"/>
    <n v="7.45"/>
    <n v="7.45"/>
    <n v="7.45"/>
    <n v="7.45"/>
    <n v="7.45"/>
    <x v="10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3000"/>
    <n v="15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0"/>
    <x v="5"/>
    <s v="DIB"/>
  </r>
  <r>
    <s v="FY24"/>
    <s v="Allen Chen"/>
    <m/>
    <m/>
    <m/>
    <m/>
    <n v="2016"/>
    <x v="8"/>
    <s v="Mouse"/>
    <s v="NA"/>
    <s v="Seafoam Teal"/>
    <s v="S China"/>
    <s v="OTHERS"/>
    <n v="7.45"/>
    <n v="7.45"/>
    <n v="8.4499999999999993"/>
    <n v="7.45"/>
    <n v="7.45"/>
    <n v="7.45"/>
    <n v="7.45"/>
    <n v="7.45"/>
    <n v="7.45"/>
    <n v="7.45"/>
    <n v="7.45"/>
    <x v="10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3000"/>
    <n v="150"/>
    <n v="3000"/>
    <n v="150"/>
    <n v="0"/>
    <n v="0"/>
    <n v="0"/>
    <n v="0"/>
    <n v="3000"/>
    <n v="150"/>
    <s v="0"/>
    <n v="0"/>
    <s v="0"/>
    <n v="0"/>
    <s v="0"/>
    <n v="0"/>
    <s v="0"/>
    <n v="0"/>
    <s v="0"/>
    <n v="0"/>
    <s v="0"/>
    <n v="0"/>
    <x v="190"/>
    <x v="6"/>
    <s v="DIB"/>
  </r>
  <r>
    <s v="FY24"/>
    <s v="Allen Chen"/>
    <m/>
    <m/>
    <m/>
    <m/>
    <n v="2016"/>
    <x v="8"/>
    <s v="Mouse"/>
    <s v="NA"/>
    <s v="Moonlight Blue"/>
    <s v="S China"/>
    <s v="OTHERS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x v="106"/>
    <n v="5.1100000000000003"/>
    <n v="5.1100000000000003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6000"/>
    <n v="300"/>
    <n v="0"/>
    <n v="0"/>
    <n v="0"/>
    <n v="0"/>
    <s v="0"/>
    <n v="0"/>
    <n v="3000"/>
    <n v="150"/>
    <s v="0"/>
    <n v="0"/>
    <s v="0"/>
    <n v="0"/>
    <s v="0"/>
    <n v="0"/>
    <n v="27000"/>
    <n v="1350"/>
    <s v="0"/>
    <n v="0"/>
    <x v="191"/>
    <x v="5"/>
    <s v="DIB"/>
  </r>
  <r>
    <s v="FY24"/>
    <s v="Allen Chen"/>
    <m/>
    <m/>
    <m/>
    <m/>
    <n v="2016"/>
    <x v="8"/>
    <s v="Mouse"/>
    <s v="NA"/>
    <s v="Moonlight Blue"/>
    <s v="S China"/>
    <s v="OTHERS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x v="106"/>
    <n v="5.1100000000000003"/>
    <n v="5.1100000000000003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6000"/>
    <n v="300"/>
    <n v="0"/>
    <n v="0"/>
    <n v="0"/>
    <n v="0"/>
    <s v="0"/>
    <n v="0"/>
    <n v="5000"/>
    <n v="250"/>
    <s v="0"/>
    <n v="0"/>
    <s v="0"/>
    <n v="0"/>
    <n v="3000"/>
    <n v="150"/>
    <n v="6000"/>
    <n v="300"/>
    <n v="6000"/>
    <n v="300"/>
    <x v="191"/>
    <x v="6"/>
    <s v="DIB"/>
  </r>
  <r>
    <s v="FY24"/>
    <s v="Allen Chen"/>
    <m/>
    <m/>
    <m/>
    <m/>
    <n v="2016"/>
    <x v="8"/>
    <s v="Mouse"/>
    <s v="NA"/>
    <s v="薰衣草(噴漆)"/>
    <s v="S China"/>
    <s v="OTHERS"/>
    <m/>
    <m/>
    <n v="5.24"/>
    <n v="5.24"/>
    <n v="5.24"/>
    <n v="5.24"/>
    <n v="5.24"/>
    <n v="5.24"/>
    <n v="5.24"/>
    <n v="5.24"/>
    <n v="5.24"/>
    <x v="107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n v="0"/>
    <n v="0"/>
    <n v="5500"/>
    <n v="275"/>
    <s v="0"/>
    <n v="0"/>
    <s v="0"/>
    <n v="0"/>
    <m/>
    <n v="0"/>
    <m/>
    <n v="0"/>
    <s v="0"/>
    <m/>
    <x v="192"/>
    <x v="6"/>
    <s v="DIB"/>
  </r>
  <r>
    <s v="FY24"/>
    <s v="Allen Chen"/>
    <m/>
    <m/>
    <m/>
    <m/>
    <n v="2016"/>
    <x v="8"/>
    <s v="Mouse"/>
    <s v="NA"/>
    <s v="薰衣草(噴漆)"/>
    <s v="S China"/>
    <s v="OTHERS"/>
    <m/>
    <m/>
    <n v="5.24"/>
    <n v="5.24"/>
    <n v="5.24"/>
    <n v="5.24"/>
    <n v="5.24"/>
    <n v="5.24"/>
    <n v="5.24"/>
    <n v="5.24"/>
    <n v="5.24"/>
    <x v="107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000"/>
    <n v="150"/>
    <s v="0"/>
    <n v="0"/>
    <s v="0"/>
    <n v="0"/>
    <n v="0"/>
    <n v="0"/>
    <n v="3000"/>
    <n v="150"/>
    <s v="0"/>
    <n v="0"/>
    <x v="192"/>
    <x v="5"/>
    <s v="DIB"/>
  </r>
  <r>
    <s v="FY24"/>
    <s v="Allen Chen"/>
    <m/>
    <m/>
    <m/>
    <m/>
    <n v="2016"/>
    <x v="8"/>
    <s v="Mouse"/>
    <s v="NA"/>
    <s v="鑽石白(噴漆)"/>
    <s v="S China"/>
    <s v="OTHERS"/>
    <m/>
    <m/>
    <n v="5.24"/>
    <n v="5.24"/>
    <n v="5.24"/>
    <n v="5.24"/>
    <n v="5.24"/>
    <n v="5.24"/>
    <n v="5.24"/>
    <n v="5.24"/>
    <n v="5.24"/>
    <x v="107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300"/>
    <n v="165"/>
    <s v="0"/>
    <n v="0"/>
    <s v="0"/>
    <n v="0"/>
    <n v="0"/>
    <n v="0"/>
    <n v="3000"/>
    <n v="150"/>
    <n v="3000"/>
    <n v="150"/>
    <x v="193"/>
    <x v="6"/>
    <s v="DIB"/>
  </r>
  <r>
    <s v="FY24"/>
    <s v="Allen Chen"/>
    <m/>
    <m/>
    <m/>
    <m/>
    <n v="2016"/>
    <x v="8"/>
    <s v="Mouse"/>
    <s v="NA"/>
    <s v="鑽石白(噴漆)"/>
    <s v="S China"/>
    <s v="OTHERS"/>
    <m/>
    <m/>
    <n v="5.24"/>
    <n v="5.24"/>
    <n v="5.24"/>
    <n v="5.24"/>
    <n v="5.24"/>
    <n v="5.24"/>
    <n v="5.24"/>
    <n v="5.24"/>
    <n v="5.24"/>
    <x v="107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000"/>
    <n v="150"/>
    <s v="0"/>
    <n v="0"/>
    <n v="0"/>
    <n v="0"/>
    <n v="0"/>
    <n v="0"/>
    <n v="9000"/>
    <n v="450"/>
    <s v="0"/>
    <n v="0"/>
    <x v="193"/>
    <x v="5"/>
    <s v="DIB"/>
  </r>
  <r>
    <s v="FY24"/>
    <s v="Allen Chen"/>
    <m/>
    <m/>
    <m/>
    <m/>
    <n v="2016"/>
    <x v="8"/>
    <s v="Mouse"/>
    <s v="NA"/>
    <s v="IMF款-日落紅"/>
    <s v="S China"/>
    <s v="OTHERS"/>
    <m/>
    <m/>
    <n v="7.45"/>
    <n v="7.45"/>
    <n v="7.45"/>
    <n v="7.45"/>
    <n v="7.45"/>
    <n v="7.45"/>
    <n v="7.45"/>
    <n v="7.45"/>
    <n v="7.45"/>
    <x v="10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7000"/>
    <n v="350"/>
    <s v="0"/>
    <n v="0"/>
    <n v="3000"/>
    <n v="150"/>
    <s v="0"/>
    <n v="0"/>
    <n v="3000"/>
    <n v="150"/>
    <n v="3000"/>
    <n v="150"/>
    <x v="194"/>
    <x v="5"/>
    <s v="DIB"/>
  </r>
  <r>
    <s v="FY24"/>
    <s v="Allen Chen"/>
    <m/>
    <m/>
    <m/>
    <m/>
    <n v="2016"/>
    <x v="8"/>
    <s v="Mouse"/>
    <s v="NA"/>
    <s v="IMF款-日落紅"/>
    <s v="S China"/>
    <s v="OTHERS"/>
    <m/>
    <m/>
    <n v="7.45"/>
    <n v="7.45"/>
    <n v="7.45"/>
    <n v="7.45"/>
    <n v="7.45"/>
    <n v="7.45"/>
    <n v="7.45"/>
    <n v="7.45"/>
    <n v="7.45"/>
    <x v="10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4000"/>
    <n v="200"/>
    <s v="0"/>
    <n v="0"/>
    <n v="0"/>
    <n v="0"/>
    <n v="9000"/>
    <n v="450"/>
    <n v="3000"/>
    <n v="150"/>
    <n v="3000"/>
    <n v="150"/>
    <x v="194"/>
    <x v="6"/>
    <s v="DIB"/>
  </r>
  <r>
    <s v="FY24"/>
    <s v="Allen Chen"/>
    <m/>
    <m/>
    <m/>
    <m/>
    <n v="2016"/>
    <x v="8"/>
    <s v="Mouse"/>
    <s v="NA"/>
    <s v="IMF款-寶石綠"/>
    <s v="S China"/>
    <s v="OTHERS"/>
    <m/>
    <m/>
    <n v="7.45"/>
    <n v="7.45"/>
    <n v="7.45"/>
    <n v="7.45"/>
    <n v="7.45"/>
    <n v="7.45"/>
    <n v="7.45"/>
    <n v="7.45"/>
    <n v="7.45"/>
    <x v="10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n v="3000"/>
    <n v="150"/>
    <s v="0"/>
    <n v="0"/>
    <n v="3000"/>
    <n v="150"/>
    <s v="0"/>
    <n v="0"/>
    <x v="195"/>
    <x v="5"/>
    <s v="DIB"/>
  </r>
  <r>
    <s v="FY24"/>
    <s v="Allen Chen"/>
    <m/>
    <m/>
    <m/>
    <m/>
    <n v="2016"/>
    <x v="8"/>
    <s v="Mouse"/>
    <s v="NA"/>
    <s v="IMF款-寶石綠"/>
    <s v="S China"/>
    <s v="OTHERS"/>
    <m/>
    <m/>
    <n v="7.45"/>
    <n v="7.45"/>
    <n v="7.45"/>
    <n v="7.45"/>
    <n v="7.45"/>
    <n v="7.45"/>
    <n v="7.45"/>
    <n v="7.45"/>
    <n v="7.45"/>
    <x v="10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4200"/>
    <n v="210"/>
    <s v="0"/>
    <n v="0"/>
    <n v="0"/>
    <n v="0"/>
    <n v="3000"/>
    <n v="150"/>
    <n v="0"/>
    <n v="0"/>
    <n v="3000"/>
    <n v="150"/>
    <x v="195"/>
    <x v="6"/>
    <s v="DIB"/>
  </r>
  <r>
    <s v="FY24"/>
    <s v="Allen Chen"/>
    <m/>
    <m/>
    <m/>
    <m/>
    <n v="2016"/>
    <x v="8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x v="107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10800"/>
    <n v="540"/>
    <n v="18000"/>
    <n v="900"/>
    <n v="0"/>
    <n v="0"/>
    <n v="0"/>
    <n v="0"/>
    <s v="0"/>
    <n v="0"/>
    <s v="0"/>
    <n v="0"/>
    <s v="0"/>
    <n v="0"/>
    <n v="10800"/>
    <n v="540"/>
    <n v="7200"/>
    <n v="360"/>
    <n v="3600"/>
    <n v="180"/>
    <n v="3600"/>
    <n v="180"/>
    <x v="196"/>
    <x v="10"/>
    <s v="DIB"/>
  </r>
  <r>
    <s v="FY24"/>
    <s v="Allen Chen"/>
    <m/>
    <m/>
    <m/>
    <m/>
    <n v="2016"/>
    <x v="8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x v="107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6"/>
    <x v="5"/>
    <s v="DIB"/>
  </r>
  <r>
    <s v="FY24"/>
    <s v="Allen Chen"/>
    <m/>
    <m/>
    <m/>
    <m/>
    <n v="2016"/>
    <x v="8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x v="107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6"/>
    <x v="6"/>
    <s v="DIB"/>
  </r>
  <r>
    <s v="FY24"/>
    <s v="Allen Chen"/>
    <m/>
    <m/>
    <m/>
    <m/>
    <n v="2016"/>
    <x v="8"/>
    <s v="Mouse"/>
    <s v="NA"/>
    <s v="Rose Gold"/>
    <s v="S China"/>
    <s v="OTHERS"/>
    <n v="5.24"/>
    <n v="5.24"/>
    <n v="5.24"/>
    <n v="5.24"/>
    <n v="5.24"/>
    <n v="5.24"/>
    <n v="5.24"/>
    <n v="5.24"/>
    <n v="5.24"/>
    <n v="5.24"/>
    <n v="5.24"/>
    <x v="107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7"/>
    <x v="5"/>
    <s v="DIB"/>
  </r>
  <r>
    <s v="FY24"/>
    <s v="Allen Chen"/>
    <m/>
    <m/>
    <m/>
    <m/>
    <n v="2016"/>
    <x v="8"/>
    <s v="Mouse"/>
    <s v="NA"/>
    <s v="Rose Gold"/>
    <s v="S China"/>
    <s v="OTHERS"/>
    <n v="5.74"/>
    <n v="5.74"/>
    <n v="5.74"/>
    <n v="5.74"/>
    <n v="5.74"/>
    <n v="5.74"/>
    <n v="5.74"/>
    <n v="5.74"/>
    <n v="5.74"/>
    <n v="5.74"/>
    <n v="5.74"/>
    <x v="108"/>
    <n v="5.74"/>
    <n v="5.74"/>
    <n v="0.05"/>
    <n v="0.05"/>
    <n v="0.05"/>
    <n v="0.05"/>
    <n v="0.05"/>
    <n v="0.05"/>
    <n v="0.05"/>
    <n v="0.05"/>
    <n v="0.05"/>
    <n v="0.05"/>
    <n v="0.05"/>
    <n v="0.05"/>
    <n v="0.05"/>
    <n v="1000"/>
    <n v="5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7"/>
    <x v="5"/>
    <s v="DIB"/>
  </r>
  <r>
    <s v="FY24"/>
    <s v="Allen Chen"/>
    <m/>
    <m/>
    <m/>
    <m/>
    <n v="2016"/>
    <x v="8"/>
    <s v="Mouse"/>
    <s v="NA"/>
    <s v="Rose Gold"/>
    <s v="S China"/>
    <s v="OTHERS"/>
    <n v="5.24"/>
    <n v="5.24"/>
    <n v="5.24"/>
    <n v="5.24"/>
    <n v="5.24"/>
    <n v="5.24"/>
    <n v="5.24"/>
    <n v="5.24"/>
    <n v="5.24"/>
    <n v="5.24"/>
    <n v="5.24"/>
    <x v="107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7"/>
    <x v="6"/>
    <s v="DIB"/>
  </r>
  <r>
    <s v="FY24"/>
    <s v="Allen Chen"/>
    <m/>
    <m/>
    <m/>
    <m/>
    <n v="2016"/>
    <x v="8"/>
    <s v="Mouse"/>
    <s v="NA"/>
    <s v="Ceramic White"/>
    <s v="S China"/>
    <s v="OTHERS"/>
    <n v="6.05"/>
    <n v="5.92"/>
    <n v="5.92"/>
    <n v="5.92"/>
    <n v="5.92"/>
    <n v="5.92"/>
    <n v="5.92"/>
    <n v="5.92"/>
    <n v="5.92"/>
    <n v="5.92"/>
    <n v="5.92"/>
    <x v="109"/>
    <n v="5.92"/>
    <n v="5.92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8"/>
    <x v="3"/>
    <s v="NA/LA"/>
  </r>
  <r>
    <s v="FY24"/>
    <s v="Allen Chen"/>
    <m/>
    <m/>
    <m/>
    <m/>
    <n v="2016"/>
    <x v="8"/>
    <s v="Mouse"/>
    <s v="NA"/>
    <s v="Ceramic White"/>
    <s v="S China"/>
    <s v="OTHERS"/>
    <n v="6.05"/>
    <n v="5.05"/>
    <n v="5.05"/>
    <n v="5.05"/>
    <n v="5.05"/>
    <n v="5.05"/>
    <n v="5.05"/>
    <n v="5.05"/>
    <n v="5.05"/>
    <n v="5.05"/>
    <n v="5.05"/>
    <x v="23"/>
    <n v="5.05"/>
    <n v="5.0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9"/>
    <x v="3"/>
    <s v="NA/LA"/>
  </r>
  <r>
    <s v="FY24"/>
    <s v="Allen Chen"/>
    <m/>
    <m/>
    <m/>
    <m/>
    <n v="2016"/>
    <x v="8"/>
    <s v="Mouse"/>
    <s v="NA"/>
    <s v="Ceramic White"/>
    <s v="S China"/>
    <s v="OTHERS"/>
    <n v="6.05"/>
    <n v="5.13"/>
    <n v="5.13"/>
    <n v="5.13"/>
    <n v="5.13"/>
    <n v="5.13"/>
    <n v="5.13"/>
    <n v="5.13"/>
    <n v="5.13"/>
    <n v="5.13"/>
    <n v="5.13"/>
    <x v="110"/>
    <n v="5.13"/>
    <n v="5.13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0"/>
    <x v="3"/>
    <s v="NA/LA"/>
  </r>
  <r>
    <s v="FY24"/>
    <s v="Allen Chen"/>
    <m/>
    <m/>
    <m/>
    <m/>
    <n v="2016"/>
    <x v="8"/>
    <s v="Mouse"/>
    <s v="NA"/>
    <s v="Ceramic White"/>
    <s v="S China"/>
    <s v="OTHERS"/>
    <n v="6.05"/>
    <n v="5.54"/>
    <n v="5.54"/>
    <n v="5.54"/>
    <n v="5.54"/>
    <n v="5.54"/>
    <n v="5.54"/>
    <n v="5.54"/>
    <n v="5.54"/>
    <n v="5.54"/>
    <n v="5.54"/>
    <x v="111"/>
    <n v="5.54"/>
    <n v="5.5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1"/>
    <x v="3"/>
    <s v="NA/LA"/>
  </r>
  <r>
    <s v="FY24"/>
    <s v="Allen Chen"/>
    <m/>
    <m/>
    <m/>
    <m/>
    <n v="2016"/>
    <x v="8"/>
    <s v="Mouse"/>
    <s v="NA"/>
    <s v="Ceramic White"/>
    <s v="S China"/>
    <s v="OTHERS"/>
    <n v="6.05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x v="112"/>
    <n v="4.9800000000000004"/>
    <n v="4.980000000000000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2"/>
    <x v="3"/>
    <s v="NA/LA"/>
  </r>
  <r>
    <s v="FY24"/>
    <s v="Allen Chen"/>
    <m/>
    <m/>
    <m/>
    <m/>
    <n v="2016"/>
    <x v="8"/>
    <s v="Mouse"/>
    <s v="NA"/>
    <s v="Ceramic White"/>
    <s v="S China"/>
    <s v="OTHERS"/>
    <n v="6.05"/>
    <n v="5.27"/>
    <n v="5.27"/>
    <n v="5.27"/>
    <n v="5.27"/>
    <n v="5.27"/>
    <n v="5.27"/>
    <n v="5.27"/>
    <n v="5.27"/>
    <n v="5.27"/>
    <n v="5.27"/>
    <x v="113"/>
    <n v="5.27"/>
    <n v="5.2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3"/>
    <x v="3"/>
    <s v="NA/LA"/>
  </r>
  <r>
    <s v="FY24"/>
    <s v="Allen Chen"/>
    <m/>
    <m/>
    <m/>
    <m/>
    <n v="2016"/>
    <x v="8"/>
    <s v="Mouse"/>
    <s v="NA"/>
    <s v="Black"/>
    <s v="S China"/>
    <s v="OTHERS"/>
    <n v="4.82"/>
    <n v="3.72"/>
    <n v="4.72"/>
    <n v="3.72"/>
    <n v="3.72"/>
    <n v="3.72"/>
    <n v="3.72"/>
    <n v="3.72"/>
    <n v="3.72"/>
    <n v="3.72"/>
    <n v="3.72"/>
    <x v="114"/>
    <n v="3.72"/>
    <n v="3.72"/>
    <n v="0.04"/>
    <n v="0.04"/>
    <n v="0.04"/>
    <n v="0.04"/>
    <n v="0.04"/>
    <n v="0.04"/>
    <n v="0.04"/>
    <n v="0.04"/>
    <n v="0.04"/>
    <n v="0.04"/>
    <n v="0.04"/>
    <n v="0.04"/>
    <n v="0.04"/>
    <n v="3600"/>
    <n v="144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7"/>
    <x v="5"/>
    <s v="DIB"/>
  </r>
  <r>
    <s v="FY24"/>
    <s v="Allen Chen"/>
    <m/>
    <m/>
    <m/>
    <m/>
    <n v="2016"/>
    <x v="18"/>
    <s v="Mouse"/>
    <s v="NA"/>
    <s v="Black"/>
    <s v="S China"/>
    <s v="OTHERS"/>
    <n v="4.87"/>
    <n v="3.87"/>
    <n v="3.87"/>
    <n v="3.87"/>
    <n v="3.87"/>
    <n v="3.87"/>
    <n v="3.87"/>
    <n v="3.87"/>
    <n v="3.87"/>
    <n v="3.87"/>
    <n v="3.87"/>
    <x v="115"/>
    <n v="3.87"/>
    <n v="3.87"/>
    <n v="0.04"/>
    <n v="0.04"/>
    <n v="0.04"/>
    <n v="0.04"/>
    <n v="0.04"/>
    <n v="0.04"/>
    <n v="0.04"/>
    <n v="0.04"/>
    <n v="0.04"/>
    <n v="0.04"/>
    <n v="0.04"/>
    <n v="0.04"/>
    <n v="0.04"/>
    <n v="0"/>
    <n v="0"/>
    <n v="0"/>
    <n v="0"/>
    <n v="3600"/>
    <n v="144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4"/>
    <x v="5"/>
    <s v="DIB"/>
  </r>
  <r>
    <s v="FY24"/>
    <s v="Allen Chen"/>
    <m/>
    <m/>
    <m/>
    <m/>
    <n v="2023"/>
    <x v="16"/>
    <s v="Mouse"/>
    <s v="NA"/>
    <s v="Black"/>
    <s v="S China"/>
    <s v="OTHERS"/>
    <n v="4.18"/>
    <n v="4.2199999999999989"/>
    <n v="4.2199999999999989"/>
    <n v="4.2199999999999989"/>
    <n v="4.2199999999999989"/>
    <n v="4.22"/>
    <n v="4.22"/>
    <n v="4.22"/>
    <n v="4.22"/>
    <n v="4.22"/>
    <n v="4.22"/>
    <x v="116"/>
    <n v="4.22"/>
    <n v="4.2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5"/>
    <x v="3"/>
    <s v="NA"/>
  </r>
  <r>
    <s v="FY24"/>
    <s v="Allen Chen"/>
    <m/>
    <m/>
    <m/>
    <m/>
    <n v="2023"/>
    <x v="16"/>
    <s v="Mouse"/>
    <s v="NA"/>
    <s v="Pike silver"/>
    <s v="S China"/>
    <s v="OTHERS"/>
    <n v="4.7"/>
    <n v="4.7"/>
    <n v="4.7"/>
    <n v="4.7"/>
    <n v="4.7"/>
    <n v="4.7"/>
    <n v="4.7"/>
    <n v="4.7"/>
    <n v="4.7"/>
    <n v="4.7"/>
    <n v="4.7"/>
    <x v="117"/>
    <n v="4.7"/>
    <n v="4.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6"/>
    <x v="10"/>
    <s v="DIB"/>
  </r>
  <r>
    <s v="FY24"/>
    <s v="Allen Chen"/>
    <m/>
    <m/>
    <m/>
    <m/>
    <n v="2023"/>
    <x v="16"/>
    <s v="Mouse"/>
    <s v="NA"/>
    <s v="Pike silver"/>
    <s v="S China"/>
    <s v="OTHERS"/>
    <n v="4.75"/>
    <n v="4.75"/>
    <n v="4.75"/>
    <n v="4.75"/>
    <n v="4.75"/>
    <n v="4.75"/>
    <n v="4.75"/>
    <n v="4.75"/>
    <n v="4.75"/>
    <n v="4.75"/>
    <n v="4.75"/>
    <x v="118"/>
    <n v="4.75"/>
    <n v="4.75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6"/>
    <x v="5"/>
    <s v="DIB"/>
  </r>
  <r>
    <s v="FY24"/>
    <s v="Allen Chen"/>
    <m/>
    <m/>
    <m/>
    <m/>
    <n v="2023"/>
    <x v="16"/>
    <s v="Mouse"/>
    <s v="NA"/>
    <s v="Pike silver"/>
    <s v="S China"/>
    <s v="OTHERS"/>
    <n v="4.7"/>
    <n v="4.7"/>
    <n v="4.7"/>
    <n v="4.7"/>
    <n v="4.7"/>
    <n v="4.7"/>
    <n v="4.7"/>
    <n v="4.7"/>
    <n v="4.7"/>
    <n v="4.7"/>
    <n v="4.7"/>
    <x v="117"/>
    <n v="4.7"/>
    <n v="4.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6"/>
    <x v="6"/>
    <s v="DIB"/>
  </r>
  <r>
    <s v="FY24"/>
    <s v="Allen Chen"/>
    <m/>
    <m/>
    <m/>
    <m/>
    <n v="2023"/>
    <x v="16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x v="119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7"/>
    <x v="10"/>
    <s v="DIB"/>
  </r>
  <r>
    <s v="FY24"/>
    <s v="Allen Chen"/>
    <m/>
    <m/>
    <m/>
    <m/>
    <n v="2023"/>
    <x v="16"/>
    <s v="Mouse"/>
    <s v="NA"/>
    <s v="Black"/>
    <s v="S China"/>
    <s v="OTHERS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x v="120"/>
    <n v="4.4000000000000004"/>
    <n v="4.4000000000000004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6000"/>
    <n v="0"/>
    <n v="12000"/>
    <n v="0"/>
    <n v="9000"/>
    <n v="0"/>
    <n v="3000"/>
    <n v="0"/>
    <n v="6000"/>
    <n v="0"/>
    <n v="6000"/>
    <n v="0"/>
    <n v="3000"/>
    <n v="0"/>
    <n v="3000"/>
    <n v="210.00000000000003"/>
    <n v="7200"/>
    <n v="504.00000000000006"/>
    <n v="9000"/>
    <n v="630.00000000000011"/>
    <n v="9000"/>
    <n v="630.00000000000011"/>
    <n v="3000"/>
    <n v="210.00000000000003"/>
    <x v="207"/>
    <x v="5"/>
    <s v="DIB"/>
  </r>
  <r>
    <s v="FY24"/>
    <s v="Allen Chen"/>
    <m/>
    <m/>
    <m/>
    <m/>
    <n v="2023"/>
    <x v="16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x v="119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3000"/>
    <n v="0"/>
    <n v="3000"/>
    <n v="0"/>
    <n v="6000"/>
    <n v="0"/>
    <n v="3000"/>
    <n v="0"/>
    <n v="6000"/>
    <n v="0"/>
    <n v="3000"/>
    <n v="0"/>
    <s v="0"/>
    <n v="0"/>
    <n v="3000"/>
    <n v="210.00000000000003"/>
    <n v="3000"/>
    <n v="210.00000000000003"/>
    <n v="6000"/>
    <n v="420.00000000000006"/>
    <n v="3000"/>
    <n v="210.00000000000003"/>
    <n v="3000"/>
    <n v="210.00000000000003"/>
    <x v="207"/>
    <x v="6"/>
    <s v="DIB"/>
  </r>
  <r>
    <s v="FY24"/>
    <s v="Allen Chen"/>
    <m/>
    <m/>
    <m/>
    <m/>
    <n v="2023"/>
    <x v="16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x v="119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3000"/>
    <n v="0"/>
    <n v="3000"/>
    <n v="0"/>
    <n v="3000"/>
    <n v="0"/>
    <n v="3000"/>
    <n v="210.00000000000003"/>
    <n v="3000"/>
    <n v="210.00000000000003"/>
    <n v="3000"/>
    <n v="210.00000000000003"/>
    <n v="3000"/>
    <n v="210.00000000000003"/>
    <n v="3000"/>
    <n v="210.00000000000003"/>
    <x v="207"/>
    <x v="7"/>
    <s v="DIB"/>
  </r>
  <r>
    <s v="FY24"/>
    <s v="Allen Chen"/>
    <m/>
    <m/>
    <m/>
    <m/>
    <n v="2023"/>
    <x v="16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x v="119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3000"/>
    <n v="0"/>
    <s v="0"/>
    <n v="0"/>
    <s v="0"/>
    <n v="0"/>
    <s v="0"/>
    <n v="0"/>
    <s v="0"/>
    <n v="0"/>
    <s v="0"/>
    <n v="0"/>
    <s v="0"/>
    <n v="0"/>
    <s v="0"/>
    <n v="0"/>
    <x v="207"/>
    <x v="8"/>
    <s v="DIB"/>
  </r>
  <r>
    <s v="FY24"/>
    <s v="Allen Chen"/>
    <m/>
    <m/>
    <m/>
    <m/>
    <n v="2023"/>
    <x v="16"/>
    <s v="Mouse"/>
    <s v="NA"/>
    <s v="Black"/>
    <s v="S China"/>
    <s v="OTHERS"/>
    <m/>
    <m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x v="119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400"/>
    <n v="168.00000000000003"/>
    <s v="0"/>
    <n v="0"/>
    <s v="0"/>
    <n v="0"/>
    <x v="207"/>
    <x v="11"/>
    <s v="DIB"/>
  </r>
  <r>
    <s v="FY24"/>
    <s v="Simon Yang"/>
    <m/>
    <m/>
    <m/>
    <m/>
    <n v="2020"/>
    <x v="1"/>
    <s v="Combo"/>
    <s v="NA"/>
    <s v="Black"/>
    <s v="S China"/>
    <s v="OTHERS"/>
    <n v="9.32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x v="121"/>
    <n v="9.7200000000000006"/>
    <n v="9.7200000000000006"/>
    <n v="0.18"/>
    <n v="0.18"/>
    <n v="0.18"/>
    <n v="0.18"/>
    <n v="0.18"/>
    <n v="0.18"/>
    <n v="0.18"/>
    <n v="0.18"/>
    <n v="0.18"/>
    <n v="0.18"/>
    <n v="0.18"/>
    <n v="0.18"/>
    <n v="0.18"/>
    <n v="2160"/>
    <n v="388.8"/>
    <n v="3240"/>
    <n v="583.19999999999993"/>
    <n v="3240"/>
    <n v="583.19999999999993"/>
    <n v="3240"/>
    <n v="583.19999999999993"/>
    <n v="6480"/>
    <n v="1166.3999999999999"/>
    <n v="3240"/>
    <n v="583.19999999999993"/>
    <n v="9720"/>
    <n v="1749.6"/>
    <n v="2160"/>
    <n v="388.8"/>
    <n v="4320"/>
    <n v="777.6"/>
    <n v="4320"/>
    <n v="777.6"/>
    <n v="5400"/>
    <n v="972"/>
    <n v="3240"/>
    <n v="583.19999999999993"/>
    <x v="208"/>
    <x v="5"/>
    <s v="DIB"/>
  </r>
  <r>
    <s v="FY24"/>
    <s v="Simon Yang"/>
    <m/>
    <m/>
    <m/>
    <m/>
    <n v="2021"/>
    <x v="2"/>
    <s v="Combo"/>
    <s v="NA"/>
    <s v="White"/>
    <s v="S China"/>
    <s v="OTHERS"/>
    <n v="10.88"/>
    <n v="11.28"/>
    <n v="11.28"/>
    <n v="11.28"/>
    <n v="11.28"/>
    <n v="11.28"/>
    <n v="11.28"/>
    <n v="11.28"/>
    <n v="11.28"/>
    <n v="11.28"/>
    <n v="11.28"/>
    <x v="122"/>
    <n v="11.28"/>
    <n v="11.28"/>
    <n v="0.21"/>
    <n v="0.21"/>
    <n v="0.21"/>
    <n v="0.21"/>
    <n v="0.21"/>
    <n v="0.21"/>
    <n v="0.21"/>
    <n v="0.21"/>
    <n v="0.21"/>
    <n v="0.21"/>
    <n v="0.21"/>
    <n v="0.21"/>
    <n v="0.21"/>
    <n v="5040"/>
    <n v="1058.3999999999999"/>
    <n v="2520"/>
    <n v="529.19999999999993"/>
    <n v="2520"/>
    <n v="529.19999999999993"/>
    <n v="2520"/>
    <n v="529.19999999999993"/>
    <n v="5040"/>
    <n v="1058.3999999999999"/>
    <n v="2520"/>
    <n v="529.19999999999993"/>
    <n v="5040"/>
    <n v="1058.3999999999999"/>
    <s v="0"/>
    <n v="0"/>
    <n v="2520"/>
    <n v="529.19999999999993"/>
    <n v="2520"/>
    <n v="529.19999999999993"/>
    <n v="2520"/>
    <n v="529.19999999999993"/>
    <s v="0"/>
    <n v="0"/>
    <x v="209"/>
    <x v="5"/>
    <s v="DIB"/>
  </r>
  <r>
    <s v="FY24"/>
    <s v="Allen Chen"/>
    <m/>
    <m/>
    <m/>
    <m/>
    <n v="2020"/>
    <x v="22"/>
    <s v="Mouse"/>
    <s v="NA"/>
    <s v="Black"/>
    <s v="S China"/>
    <s v="OTHERS"/>
    <n v="1.61"/>
    <n v="1.61"/>
    <n v="1.61"/>
    <n v="1.61"/>
    <n v="1.61"/>
    <n v="1.61"/>
    <n v="1.61"/>
    <n v="1.61"/>
    <n v="1.61"/>
    <n v="1.61"/>
    <n v="1.61"/>
    <x v="123"/>
    <n v="1.61"/>
    <n v="1.61"/>
    <n v="0"/>
    <n v="0"/>
    <n v="0"/>
    <n v="0"/>
    <n v="0"/>
    <n v="0"/>
    <n v="0"/>
    <n v="0"/>
    <n v="0"/>
    <n v="0"/>
    <n v="0"/>
    <n v="0"/>
    <n v="0"/>
    <n v="6720"/>
    <n v="0"/>
    <n v="40320"/>
    <n v="0"/>
    <n v="33600"/>
    <n v="0"/>
    <n v="0"/>
    <n v="0"/>
    <n v="25920"/>
    <n v="0"/>
    <n v="31680"/>
    <n v="0"/>
    <n v="20160"/>
    <n v="0"/>
    <n v="13440"/>
    <n v="0"/>
    <s v="0"/>
    <n v="0"/>
    <n v="6720"/>
    <n v="0"/>
    <n v="6720"/>
    <n v="0"/>
    <s v="0"/>
    <n v="0"/>
    <x v="210"/>
    <x v="1"/>
    <s v="EMEA"/>
  </r>
  <r>
    <s v="FY24"/>
    <s v="Allen Chen"/>
    <m/>
    <m/>
    <m/>
    <m/>
    <n v="2020"/>
    <x v="26"/>
    <s v="Mouse"/>
    <s v="NA"/>
    <s v="Black"/>
    <s v="S China"/>
    <s v="OTHERS"/>
    <n v="1.65"/>
    <n v="1.65"/>
    <n v="1.65"/>
    <n v="1.65"/>
    <n v="1.65"/>
    <n v="1.65"/>
    <n v="1.65"/>
    <n v="1.65"/>
    <n v="1.65"/>
    <n v="1.65"/>
    <n v="1.65"/>
    <x v="59"/>
    <n v="1.65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11"/>
    <x v="4"/>
    <s v="APJ"/>
  </r>
  <r>
    <s v="FY24"/>
    <s v="Allen Chen"/>
    <m/>
    <m/>
    <m/>
    <m/>
    <n v="2020"/>
    <x v="27"/>
    <s v="Mouse"/>
    <s v="NA"/>
    <s v="Jack Black"/>
    <s v="S China"/>
    <s v="OTHERS"/>
    <n v="3.79"/>
    <n v="3.91"/>
    <n v="3.91"/>
    <n v="3.91"/>
    <n v="3.91"/>
    <n v="3.91"/>
    <n v="3.91"/>
    <n v="3.91"/>
    <n v="3.91"/>
    <n v="3.91"/>
    <n v="3.91"/>
    <x v="124"/>
    <n v="3.91"/>
    <n v="3.91"/>
    <n v="0"/>
    <n v="0"/>
    <n v="0"/>
    <n v="0"/>
    <n v="0"/>
    <n v="0"/>
    <n v="0"/>
    <n v="0"/>
    <n v="0"/>
    <n v="0"/>
    <n v="0"/>
    <n v="0"/>
    <n v="0"/>
    <n v="0"/>
    <n v="0"/>
    <n v="8640"/>
    <n v="0"/>
    <n v="37440"/>
    <n v="0"/>
    <n v="23040"/>
    <n v="0"/>
    <n v="28800"/>
    <n v="0"/>
    <n v="50320"/>
    <n v="0"/>
    <n v="14960"/>
    <n v="0"/>
    <s v="0"/>
    <n v="0"/>
    <s v="0"/>
    <n v="0"/>
    <s v="0"/>
    <n v="0"/>
    <s v="0"/>
    <n v="0"/>
    <s v="0"/>
    <n v="0"/>
    <x v="212"/>
    <x v="1"/>
    <s v="EMEA"/>
  </r>
  <r>
    <s v="FY24"/>
    <s v="Allen Chen"/>
    <m/>
    <m/>
    <m/>
    <m/>
    <n v="2020"/>
    <x v="27"/>
    <s v="Mouse"/>
    <s v="NA"/>
    <s v="Jack Black"/>
    <s v="S China"/>
    <s v="OTHERS"/>
    <n v="3.75"/>
    <n v="3.87"/>
    <n v="3.87"/>
    <n v="3.87"/>
    <n v="3.87"/>
    <n v="3.87"/>
    <n v="3.87"/>
    <n v="3.87"/>
    <n v="3.87"/>
    <n v="3.87"/>
    <n v="3.87"/>
    <x v="115"/>
    <n v="3.87"/>
    <n v="3.87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2880"/>
    <n v="0"/>
    <n v="8640"/>
    <n v="0"/>
    <s v="0"/>
    <n v="0"/>
    <n v="8640"/>
    <n v="0"/>
    <n v="8640"/>
    <n v="0"/>
    <s v="0"/>
    <n v="0"/>
    <n v="2880"/>
    <n v="0"/>
    <s v="0"/>
    <n v="0"/>
    <x v="213"/>
    <x v="4"/>
    <s v="APJ"/>
  </r>
  <r>
    <s v="FY24"/>
    <s v="Allen Chen"/>
    <m/>
    <m/>
    <m/>
    <m/>
    <n v="2023"/>
    <x v="21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x v="125"/>
    <n v="5.4"/>
    <n v="5.4"/>
    <n v="0"/>
    <n v="0"/>
    <n v="0"/>
    <n v="0"/>
    <n v="0"/>
    <n v="0"/>
    <n v="0"/>
    <n v="0"/>
    <n v="0"/>
    <n v="0"/>
    <n v="0"/>
    <n v="0"/>
    <n v="0"/>
    <n v="0"/>
    <n v="0"/>
    <n v="320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14"/>
    <x v="0"/>
    <s v="NA/LA"/>
  </r>
  <r>
    <s v="FY24"/>
    <s v="Allen Chen"/>
    <m/>
    <m/>
    <m/>
    <m/>
    <n v="2023"/>
    <x v="21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x v="125"/>
    <n v="5.4"/>
    <n v="5.4"/>
    <n v="0"/>
    <n v="0"/>
    <n v="0"/>
    <n v="0"/>
    <n v="0"/>
    <n v="0"/>
    <n v="0"/>
    <n v="0"/>
    <n v="0"/>
    <n v="0"/>
    <n v="0"/>
    <n v="0"/>
    <n v="0"/>
    <n v="0"/>
    <n v="0"/>
    <n v="3200"/>
    <n v="0"/>
    <n v="3200"/>
    <n v="0"/>
    <n v="0"/>
    <n v="0"/>
    <n v="6400"/>
    <n v="0"/>
    <n v="3200"/>
    <n v="0"/>
    <n v="6400"/>
    <n v="0"/>
    <s v="0"/>
    <n v="0"/>
    <s v="0"/>
    <n v="0"/>
    <s v="0"/>
    <n v="0"/>
    <s v="0"/>
    <n v="0"/>
    <s v="0"/>
    <n v="0"/>
    <x v="215"/>
    <x v="1"/>
    <s v="EMEA"/>
  </r>
  <r>
    <s v="FY24"/>
    <s v="Allen Chen"/>
    <m/>
    <m/>
    <m/>
    <m/>
    <n v="2023"/>
    <x v="21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x v="125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16"/>
    <x v="4"/>
    <s v="APJ"/>
  </r>
  <r>
    <s v="FY24"/>
    <s v="Allen Chen"/>
    <m/>
    <m/>
    <m/>
    <m/>
    <n v="2023"/>
    <x v="21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x v="125"/>
    <n v="5.4"/>
    <n v="5.4"/>
    <n v="0"/>
    <n v="0"/>
    <n v="0"/>
    <n v="0"/>
    <n v="0"/>
    <n v="0"/>
    <n v="0"/>
    <n v="0"/>
    <n v="0"/>
    <n v="0"/>
    <n v="0"/>
    <n v="0"/>
    <n v="0"/>
    <n v="0"/>
    <n v="0"/>
    <n v="640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17"/>
    <x v="0"/>
    <s v="APJ"/>
  </r>
  <r>
    <s v="FY24"/>
    <s v="Allen Chen"/>
    <m/>
    <m/>
    <m/>
    <m/>
    <n v="2023"/>
    <x v="21"/>
    <s v="Mouse"/>
    <s v="NA"/>
    <s v="Black"/>
    <s v="S China"/>
    <s v="OTHERS"/>
    <m/>
    <m/>
    <n v="5.4"/>
    <n v="5.4"/>
    <n v="5.4"/>
    <n v="5.4"/>
    <n v="5.4"/>
    <n v="5.4"/>
    <n v="5.4"/>
    <n v="5.4"/>
    <n v="5.4"/>
    <x v="125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3200"/>
    <n v="0"/>
    <s v="0"/>
    <n v="0"/>
    <s v="0"/>
    <n v="0"/>
    <x v="218"/>
    <x v="0"/>
    <s v="NA/LA"/>
  </r>
  <r>
    <s v="FY24"/>
    <s v="Allen Chen"/>
    <m/>
    <m/>
    <m/>
    <m/>
    <n v="2023"/>
    <x v="21"/>
    <s v="Mouse"/>
    <s v="NA"/>
    <s v="Black"/>
    <s v="S China"/>
    <s v="OTHERS"/>
    <m/>
    <m/>
    <n v="5.4"/>
    <n v="5.4"/>
    <n v="5.4"/>
    <n v="5.4"/>
    <n v="5.4"/>
    <n v="5.4"/>
    <n v="5.4"/>
    <n v="5.4"/>
    <n v="5.4"/>
    <x v="125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0"/>
    <n v="0"/>
    <n v="3200"/>
    <n v="0"/>
    <n v="3200"/>
    <n v="0"/>
    <x v="219"/>
    <x v="1"/>
    <s v="EMEA"/>
  </r>
  <r>
    <s v="FY24"/>
    <s v="Allen Chen"/>
    <m/>
    <m/>
    <m/>
    <m/>
    <n v="2020"/>
    <x v="28"/>
    <s v="Mouse"/>
    <s v="NA"/>
    <s v="Black"/>
    <s v="S China"/>
    <s v="OTHERS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x v="126"/>
    <n v="2.0670000000000002"/>
    <n v="2.067000000000000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20"/>
    <x v="12"/>
    <s v="DIB"/>
  </r>
  <r>
    <s v="FY24"/>
    <s v="Simon Yang"/>
    <m/>
    <m/>
    <m/>
    <m/>
    <n v="2018"/>
    <x v="29"/>
    <s v="NBL KB"/>
    <s v="NA"/>
    <s v="Black"/>
    <s v="S China"/>
    <s v="OTHERS"/>
    <n v="3.88"/>
    <n v="3.88"/>
    <n v="3.88"/>
    <n v="3.88"/>
    <n v="3.88"/>
    <n v="3.88"/>
    <n v="3.88"/>
    <n v="3.88"/>
    <n v="3.88"/>
    <n v="3.88"/>
    <n v="3.88"/>
    <x v="45"/>
    <n v="3.88"/>
    <n v="3.8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21"/>
    <x v="12"/>
    <s v="DIB"/>
  </r>
  <r>
    <s v="FY24"/>
    <m/>
    <m/>
    <m/>
    <m/>
    <m/>
    <n v="2021"/>
    <x v="30"/>
    <s v="Others"/>
    <s v="NA"/>
    <s v="Silver"/>
    <s v="S China"/>
    <s v="OTHERS"/>
    <n v="3.37"/>
    <n v="3.37"/>
    <n v="3.37"/>
    <n v="3.37"/>
    <n v="3.37"/>
    <n v="3.37"/>
    <n v="3.37"/>
    <n v="3.37"/>
    <n v="3.37"/>
    <n v="3.37"/>
    <n v="3.37"/>
    <x v="127"/>
    <n v="3.37"/>
    <n v="3.3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22"/>
    <x v="13"/>
    <s v="DIB"/>
  </r>
  <r>
    <s v="FY24"/>
    <m/>
    <m/>
    <m/>
    <m/>
    <m/>
    <n v="2021"/>
    <x v="30"/>
    <s v="Others"/>
    <s v="NA"/>
    <s v="Silver"/>
    <s v="S China"/>
    <s v="OTHERS"/>
    <n v="3.26"/>
    <n v="3.26"/>
    <n v="3.26"/>
    <n v="3.26"/>
    <n v="3.26"/>
    <n v="3.26"/>
    <n v="3.26"/>
    <n v="3.26"/>
    <n v="3.26"/>
    <n v="3.26"/>
    <n v="3.26"/>
    <x v="128"/>
    <n v="3.26"/>
    <n v="3.26"/>
    <n v="0"/>
    <n v="0"/>
    <n v="0"/>
    <n v="0"/>
    <n v="0"/>
    <n v="0"/>
    <n v="0"/>
    <n v="0"/>
    <n v="0"/>
    <n v="0"/>
    <n v="0"/>
    <n v="0"/>
    <n v="0"/>
    <n v="2000"/>
    <n v="0"/>
    <n v="0"/>
    <n v="0"/>
    <s v="0"/>
    <n v="0"/>
    <n v="0"/>
    <n v="0"/>
    <n v="1000"/>
    <n v="0"/>
    <s v="0"/>
    <n v="0"/>
    <s v="0"/>
    <n v="0"/>
    <s v="0"/>
    <n v="0"/>
    <s v="0"/>
    <n v="0"/>
    <s v="0"/>
    <n v="0"/>
    <s v="0"/>
    <n v="0"/>
    <s v="0"/>
    <n v="0"/>
    <x v="223"/>
    <x v="13"/>
    <s v="DIB"/>
  </r>
  <r>
    <s v="FY24"/>
    <s v="Simon Yang"/>
    <m/>
    <m/>
    <m/>
    <m/>
    <n v="2018"/>
    <x v="29"/>
    <s v="NBL KB"/>
    <s v="NA"/>
    <s v="Black"/>
    <s v="S China"/>
    <s v="OTHERS"/>
    <n v="3.65"/>
    <n v="3.65"/>
    <n v="3.65"/>
    <n v="3.65"/>
    <n v="3.65"/>
    <n v="3.65"/>
    <n v="3.65"/>
    <n v="3.65"/>
    <n v="3.65"/>
    <n v="3.65"/>
    <n v="3.65"/>
    <x v="129"/>
    <n v="3.65"/>
    <n v="3.6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1890"/>
    <n v="0"/>
    <n v="1890"/>
    <n v="0"/>
    <n v="7560"/>
    <n v="0"/>
    <s v="0"/>
    <n v="0"/>
    <s v="0"/>
    <n v="0"/>
    <n v="1890"/>
    <n v="0"/>
    <n v="1890"/>
    <n v="0"/>
    <n v="1890"/>
    <n v="0"/>
    <s v="0"/>
    <n v="0"/>
    <x v="224"/>
    <x v="14"/>
    <s v="APJ"/>
  </r>
  <r>
    <s v="FY24"/>
    <s v="Allen Chen"/>
    <m/>
    <m/>
    <m/>
    <m/>
    <n v="2023"/>
    <x v="31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x v="130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2880"/>
    <n v="0"/>
    <n v="1440"/>
    <n v="0"/>
    <n v="1440"/>
    <n v="648"/>
    <s v="0"/>
    <n v="0"/>
    <x v="225"/>
    <x v="0"/>
    <s v="NA/LA"/>
  </r>
  <r>
    <s v="FY24"/>
    <s v="Allen Chen"/>
    <m/>
    <m/>
    <m/>
    <m/>
    <n v="2023"/>
    <x v="31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x v="130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1440"/>
    <n v="0"/>
    <s v="0"/>
    <n v="0"/>
    <n v="1440"/>
    <n v="648"/>
    <s v="0"/>
    <n v="0"/>
    <x v="226"/>
    <x v="1"/>
    <s v="EMEA"/>
  </r>
  <r>
    <s v="FY24"/>
    <s v="Allen Chen"/>
    <m/>
    <m/>
    <m/>
    <m/>
    <n v="2023"/>
    <x v="31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x v="130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  <x v="227"/>
    <x v="0"/>
    <s v="APJ"/>
  </r>
  <r>
    <s v="FY24"/>
    <s v="Allen Chen"/>
    <m/>
    <m/>
    <m/>
    <m/>
    <n v="2023"/>
    <x v="31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x v="131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  <x v="228"/>
    <x v="0"/>
    <s v="NA/LA"/>
  </r>
  <r>
    <s v="FY24"/>
    <s v="Allen Chen"/>
    <m/>
    <m/>
    <m/>
    <m/>
    <n v="2023"/>
    <x v="31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x v="131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1440"/>
    <n v="0"/>
    <n v="14400"/>
    <n v="0"/>
    <s v="0"/>
    <n v="0"/>
    <s v="0"/>
    <n v="0"/>
    <x v="229"/>
    <x v="1"/>
    <s v="EMEA"/>
  </r>
  <r>
    <s v="FY24"/>
    <s v="Allen Chen"/>
    <m/>
    <m/>
    <m/>
    <m/>
    <n v="2023"/>
    <x v="31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x v="131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  <x v="230"/>
    <x v="0"/>
    <s v="APJ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x v="132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040"/>
    <n v="1414.4"/>
    <s v="0"/>
    <n v="0"/>
    <x v="231"/>
    <x v="0"/>
    <s v="NA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x v="132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32"/>
    <x v="0"/>
    <s v="APJ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x v="132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2080"/>
    <n v="2828.8"/>
    <x v="233"/>
    <x v="2"/>
    <s v="EMEA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x v="132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040"/>
    <n v="1414.4"/>
    <x v="234"/>
    <x v="0"/>
    <s v="APJ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x v="132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040"/>
    <n v="1414.4"/>
    <s v="0"/>
    <n v="0"/>
    <x v="235"/>
    <x v="0"/>
    <s v="NA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x v="132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36"/>
    <x v="0"/>
    <s v="APJ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x v="132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6240"/>
    <n v="8486.4000000000015"/>
    <x v="237"/>
    <x v="2"/>
    <s v="EMEA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x v="132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040"/>
    <n v="1414.4"/>
    <x v="238"/>
    <x v="0"/>
    <s v="APJ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x v="132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  <x v="239"/>
    <x v="0"/>
    <s v="NA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x v="132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40"/>
    <x v="0"/>
    <s v="APJ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x v="132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41"/>
    <x v="0"/>
    <s v="LA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x v="132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200"/>
    <n v="1128"/>
    <n v="1200"/>
    <n v="1128"/>
    <x v="242"/>
    <x v="2"/>
    <s v="EMEA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x v="132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  <x v="243"/>
    <x v="0"/>
    <s v="APJ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x v="132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200"/>
    <n v="1128"/>
    <s v="0"/>
    <n v="0"/>
    <x v="244"/>
    <x v="0"/>
    <s v="NA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x v="132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45"/>
    <x v="0"/>
    <s v="APJ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x v="132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46"/>
    <x v="0"/>
    <s v="LA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x v="132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4800"/>
    <n v="4512"/>
    <x v="247"/>
    <x v="2"/>
    <s v="EMEA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x v="132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  <x v="248"/>
    <x v="0"/>
    <s v="APJ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">
  <r>
    <s v="FY24"/>
    <s v="Allen Chen"/>
    <s v="Acrox"/>
    <s v="Peripheral"/>
    <s v="Peripheral"/>
    <s v="Peripherals"/>
    <n v="2018"/>
    <s v="Bogota"/>
    <s v="Mouse"/>
    <s v="NA"/>
    <s v="Black"/>
    <s v="S China"/>
    <s v="OTHERS"/>
    <n v="1.8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</r>
  <r>
    <s v="FY24"/>
    <s v="Allen Chen"/>
    <m/>
    <m/>
    <m/>
    <m/>
    <n v="2018"/>
    <s v="Bogota"/>
    <s v="Mouse"/>
    <s v="NA"/>
    <s v="Black"/>
    <s v="S China"/>
    <s v="OTHERS"/>
    <n v="1.8"/>
    <n v="1.79"/>
    <n v="1.79"/>
    <n v="1.79"/>
    <n v="1.79"/>
    <n v="1.79"/>
    <n v="1.79"/>
    <n v="1.79"/>
    <n v="1.79"/>
    <n v="1.79"/>
    <n v="1.79"/>
    <n v="1.79"/>
    <n v="1.79"/>
    <n v="1.79"/>
    <n v="0"/>
    <n v="0"/>
    <n v="0"/>
    <n v="0"/>
    <n v="0"/>
    <n v="0"/>
    <n v="0"/>
    <n v="0"/>
    <n v="0"/>
    <n v="0"/>
    <n v="0"/>
    <n v="0"/>
    <n v="0"/>
    <n v="6720"/>
    <n v="0"/>
    <n v="94080"/>
    <n v="0"/>
    <n v="6720"/>
    <n v="0"/>
    <n v="0"/>
    <n v="0"/>
    <n v="26880"/>
    <n v="0"/>
    <n v="32640"/>
    <n v="0"/>
    <s v="0"/>
    <n v="0"/>
    <n v="6720"/>
    <n v="0"/>
    <n v="6720"/>
    <n v="0"/>
    <n v="20160"/>
    <n v="0"/>
    <n v="6720"/>
    <n v="0"/>
    <n v="26880"/>
    <n v="0"/>
  </r>
  <r>
    <s v="FY24"/>
    <s v="Allen Chen"/>
    <m/>
    <m/>
    <m/>
    <m/>
    <n v="2018"/>
    <s v="Bogota"/>
    <s v="Mouse"/>
    <s v="NA"/>
    <s v="Black"/>
    <s v="S China"/>
    <s v="OTHERS"/>
    <n v="1.8"/>
    <n v="2.04"/>
    <n v="2.04"/>
    <n v="2.04"/>
    <n v="2.04"/>
    <n v="2.04"/>
    <n v="2.04"/>
    <n v="2.04"/>
    <n v="2.04"/>
    <n v="2.04"/>
    <n v="2.04"/>
    <n v="2.04"/>
    <n v="2.04"/>
    <n v="2.04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2880"/>
    <n v="0"/>
    <n v="0"/>
    <n v="0"/>
    <n v="0"/>
    <n v="0"/>
    <s v="0"/>
    <n v="0"/>
    <s v="0"/>
    <n v="0"/>
    <n v="2880"/>
    <n v="0"/>
    <s v="0"/>
    <n v="0"/>
    <n v="2880"/>
    <n v="0"/>
    <s v="0"/>
    <n v="0"/>
  </r>
  <r>
    <s v="FY24"/>
    <s v="Simon Yang"/>
    <m/>
    <m/>
    <m/>
    <m/>
    <n v="2020"/>
    <s v="Brac"/>
    <s v="Combo"/>
    <s v="NA"/>
    <s v="Black"/>
    <s v="S China"/>
    <s v="OTHERS"/>
    <n v="9.1999999999999993"/>
    <n v="9.16"/>
    <n v="9.16"/>
    <n v="9.16"/>
    <n v="9.16"/>
    <n v="9.16"/>
    <n v="9.16"/>
    <n v="9.16"/>
    <n v="9.16"/>
    <n v="9.16"/>
    <n v="9.16"/>
    <n v="9.16"/>
    <n v="9.16"/>
    <n v="9.16"/>
    <n v="0.18"/>
    <n v="0.18"/>
    <n v="0.18"/>
    <n v="0.18"/>
    <n v="0.18"/>
    <n v="0.18"/>
    <n v="0.18"/>
    <n v="0.18"/>
    <n v="0.18"/>
    <n v="0.18"/>
    <n v="0.18"/>
    <n v="0.18"/>
    <n v="0.18"/>
    <n v="48000"/>
    <n v="8640"/>
    <n v="17000"/>
    <n v="3060"/>
    <n v="19600"/>
    <n v="3528"/>
    <n v="17400"/>
    <n v="3132"/>
    <n v="28500"/>
    <n v="5130"/>
    <n v="37000"/>
    <n v="6660"/>
    <n v="24120"/>
    <n v="4341.5999999999995"/>
    <n v="21880"/>
    <n v="3938.3999999999996"/>
    <s v="0"/>
    <n v="0"/>
    <s v="0"/>
    <n v="0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m/>
    <m/>
    <n v="9"/>
    <n v="9"/>
    <n v="9"/>
    <n v="9"/>
    <n v="9"/>
    <n v="9"/>
    <n v="9"/>
    <n v="9"/>
    <n v="9"/>
    <n v="9"/>
    <n v="9"/>
    <n v="9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s v="0"/>
    <n v="0"/>
    <n v="1280"/>
    <n v="230.39999999999998"/>
    <s v="0"/>
    <n v="0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n v="9.0299999999999994"/>
    <n v="9.01"/>
    <n v="9.01"/>
    <n v="9.01"/>
    <n v="9.01"/>
    <n v="9.01"/>
    <n v="9.01"/>
    <n v="9.01"/>
    <n v="9.01"/>
    <n v="9.01"/>
    <n v="9.01"/>
    <n v="9.01"/>
    <n v="9.01"/>
    <n v="9.01"/>
    <n v="0.18"/>
    <n v="0.18"/>
    <n v="0.18"/>
    <n v="0.18"/>
    <n v="0.18"/>
    <n v="0.18"/>
    <n v="0.18"/>
    <n v="0.18"/>
    <n v="0.18"/>
    <n v="0.18"/>
    <n v="0.18"/>
    <n v="0.18"/>
    <n v="0.18"/>
    <n v="28780"/>
    <n v="5180.3999999999996"/>
    <n v="14000"/>
    <n v="2520"/>
    <n v="43400"/>
    <n v="7812"/>
    <n v="23600"/>
    <n v="4248"/>
    <n v="18000"/>
    <n v="3240"/>
    <n v="29000"/>
    <n v="5220"/>
    <n v="15600"/>
    <n v="2808"/>
    <n v="33400"/>
    <n v="6012"/>
    <n v="25280"/>
    <n v="4550.3999999999996"/>
    <n v="21280"/>
    <n v="3830.3999999999996"/>
    <n v="47000"/>
    <n v="8460"/>
    <n v="23000"/>
    <n v="4140"/>
  </r>
  <r>
    <s v="FY24"/>
    <s v="Simon Yang"/>
    <m/>
    <m/>
    <m/>
    <m/>
    <n v="2020"/>
    <s v="BracWhiteComb"/>
    <s v="Combo"/>
    <s v="NA"/>
    <s v="White"/>
    <s v="S China"/>
    <s v="OTHERS"/>
    <n v="10.99"/>
    <n v="10.92"/>
    <n v="10.92"/>
    <n v="10.92"/>
    <n v="10.92"/>
    <n v="10.92"/>
    <n v="10.92"/>
    <n v="10.92"/>
    <n v="10.92"/>
    <n v="10.92"/>
    <n v="10.92"/>
    <n v="10.92"/>
    <n v="10.92"/>
    <n v="10.92"/>
    <n v="0.21"/>
    <n v="0.21"/>
    <n v="0.21"/>
    <n v="0.21"/>
    <n v="0.21"/>
    <n v="0.21"/>
    <n v="0.21"/>
    <n v="0.21"/>
    <n v="0.21"/>
    <n v="0.21"/>
    <n v="0.21"/>
    <n v="0.21"/>
    <n v="0.21"/>
    <n v="10880"/>
    <n v="2284.7999999999997"/>
    <n v="0"/>
    <n v="0"/>
    <n v="5760"/>
    <n v="1209.5999999999999"/>
    <n v="2880"/>
    <n v="604.79999999999995"/>
    <n v="3880"/>
    <n v="814.8"/>
    <n v="16880"/>
    <n v="3544.7999999999997"/>
    <n v="10180"/>
    <n v="2137.7999999999997"/>
    <n v="5760"/>
    <n v="1209.5999999999999"/>
    <s v="0"/>
    <n v="0"/>
    <n v="5760"/>
    <n v="1209.5999999999999"/>
    <n v="10760"/>
    <n v="2259.6"/>
    <n v="5880"/>
    <n v="1234.8"/>
  </r>
  <r>
    <s v="FY24"/>
    <s v="Simon Yang"/>
    <m/>
    <m/>
    <m/>
    <m/>
    <n v="2021"/>
    <s v="BracWLKB"/>
    <s v="NBL KB"/>
    <s v="NA"/>
    <s v="Black"/>
    <s v="S China"/>
    <s v="OTHERS"/>
    <n v="7.73"/>
    <n v="7.58"/>
    <n v="7.58"/>
    <n v="7.58"/>
    <n v="7.58"/>
    <n v="7.58"/>
    <n v="7.58"/>
    <n v="7.58"/>
    <n v="7.58"/>
    <n v="7.58"/>
    <n v="7.58"/>
    <n v="7.58"/>
    <n v="7.58"/>
    <n v="7.58"/>
    <n v="0.15"/>
    <n v="0.15"/>
    <n v="0.15"/>
    <n v="0.15"/>
    <n v="0.15"/>
    <n v="0.15"/>
    <n v="0.15"/>
    <n v="0.15"/>
    <n v="0.15"/>
    <n v="0.15"/>
    <n v="0.15"/>
    <n v="0.15"/>
    <n v="0.15"/>
    <n v="12480"/>
    <n v="1872"/>
    <n v="0"/>
    <n v="0"/>
    <n v="6080"/>
    <n v="912"/>
    <n v="5500"/>
    <n v="825"/>
    <n v="6840"/>
    <n v="1026"/>
    <n v="14280"/>
    <n v="2142"/>
    <s v="0"/>
    <n v="0"/>
    <s v="0"/>
    <n v="0"/>
    <s v="0"/>
    <n v="0"/>
    <n v="1280"/>
    <n v="192"/>
    <n v="4000"/>
    <n v="600"/>
    <n v="3840"/>
    <n v="576"/>
  </r>
  <r>
    <s v="FY24"/>
    <s v="Allen Chen"/>
    <m/>
    <m/>
    <m/>
    <m/>
    <n v="2020"/>
    <s v="Brain"/>
    <s v="Mouse"/>
    <s v="NA"/>
    <s v="Natural Silver"/>
    <s v="S China"/>
    <s v="OTHERS"/>
    <n v="30.5"/>
    <n v="30.52"/>
    <n v="30.52"/>
    <n v="30.52"/>
    <n v="30.52"/>
    <n v="30.52"/>
    <n v="30.52"/>
    <n v="30.52"/>
    <n v="30.52"/>
    <n v="30.52"/>
    <n v="30.52"/>
    <n v="30.52"/>
    <n v="30.45"/>
    <n v="30.45"/>
    <n v="0"/>
    <n v="0"/>
    <n v="0"/>
    <n v="0"/>
    <n v="0"/>
    <n v="0"/>
    <n v="0"/>
    <n v="0"/>
    <n v="0"/>
    <n v="0"/>
    <n v="0"/>
    <n v="7.0000000000000007E-2"/>
    <n v="7.0000000000000007E-2"/>
    <n v="1008"/>
    <n v="0"/>
    <n v="0"/>
    <n v="0"/>
    <s v="0"/>
    <n v="0"/>
    <n v="1008"/>
    <n v="0"/>
    <n v="0"/>
    <n v="0"/>
    <n v="1008"/>
    <n v="0"/>
    <s v="0"/>
    <n v="0"/>
    <n v="1008"/>
    <n v="0"/>
    <s v="0"/>
    <n v="0"/>
    <s v="0"/>
    <n v="0"/>
    <n v="1008"/>
    <n v="70.56"/>
    <s v="0"/>
    <n v="0"/>
  </r>
  <r>
    <s v="FY24"/>
    <s v="Allen Chen"/>
    <m/>
    <m/>
    <m/>
    <m/>
    <n v="2020"/>
    <s v="Brain"/>
    <s v="Mouse"/>
    <s v="NA"/>
    <s v="Nightfull black"/>
    <s v="S China"/>
    <s v="OTHERS"/>
    <n v="30.4"/>
    <n v="30.42"/>
    <n v="30.42"/>
    <n v="30.42"/>
    <n v="30.42"/>
    <n v="30.42"/>
    <n v="30.42"/>
    <n v="30.42"/>
    <n v="30.42"/>
    <n v="30.42"/>
    <n v="30.42"/>
    <n v="30.42"/>
    <n v="30.35"/>
    <n v="30.3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2016"/>
    <n v="0"/>
    <n v="1008"/>
    <n v="0"/>
    <n v="0"/>
    <n v="0"/>
    <n v="1008"/>
    <n v="0"/>
    <s v="0"/>
    <n v="0"/>
    <n v="1008"/>
    <n v="0"/>
    <s v="0"/>
    <n v="0"/>
    <n v="1008"/>
    <n v="0"/>
    <s v="0"/>
    <n v="0"/>
    <s v="0"/>
    <n v="0"/>
    <n v="1008"/>
    <n v="70.56"/>
  </r>
  <r>
    <s v="FY24"/>
    <s v="Allen Chen"/>
    <m/>
    <m/>
    <m/>
    <m/>
    <n v="2020"/>
    <s v="Brain"/>
    <s v="Mouse"/>
    <s v="NA"/>
    <s v="Natural Silver"/>
    <s v="S China"/>
    <s v="OTHERS"/>
    <n v="30.5"/>
    <n v="30.52"/>
    <n v="30.52"/>
    <n v="30.52"/>
    <n v="30.52"/>
    <n v="30.52"/>
    <n v="30.52"/>
    <n v="30.52"/>
    <n v="30.52"/>
    <n v="30.52"/>
    <n v="30.52"/>
    <n v="30.52"/>
    <n v="30.45"/>
    <n v="30.4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s v="Elephanta"/>
    <s v="Combo"/>
    <s v="NA"/>
    <s v="Black"/>
    <s v="S China"/>
    <s v="OTHERS"/>
    <n v="5.14"/>
    <n v="5.14"/>
    <n v="5.14"/>
    <n v="5.14"/>
    <n v="5.14"/>
    <n v="5.14"/>
    <n v="5.14"/>
    <n v="5.14"/>
    <n v="5.14"/>
    <n v="5.14"/>
    <n v="5.14"/>
    <n v="5.14"/>
    <n v="5.14"/>
    <n v="5.14"/>
    <n v="0"/>
    <n v="0"/>
    <n v="0"/>
    <n v="0"/>
    <n v="0"/>
    <n v="0"/>
    <n v="0"/>
    <n v="0"/>
    <n v="0"/>
    <n v="0"/>
    <n v="0"/>
    <n v="0"/>
    <n v="0"/>
    <n v="5600"/>
    <n v="0"/>
    <n v="7700"/>
    <n v="0"/>
    <n v="2700"/>
    <n v="0"/>
    <n v="5200"/>
    <n v="0"/>
    <n v="13800"/>
    <n v="0"/>
    <n v="15000"/>
    <n v="0"/>
    <n v="5200"/>
    <n v="0"/>
    <n v="17000"/>
    <n v="0"/>
    <s v="0"/>
    <n v="0"/>
    <n v="2600"/>
    <n v="0"/>
    <n v="7800"/>
    <n v="0"/>
    <n v="2600"/>
    <n v="0"/>
  </r>
  <r>
    <s v="FY24"/>
    <s v="Simon Yang"/>
    <m/>
    <m/>
    <m/>
    <m/>
    <n v="2020"/>
    <s v="ElephantaBPS"/>
    <s v="Combo"/>
    <s v="NA"/>
    <s v="Black"/>
    <s v="S China"/>
    <s v="OTHERS"/>
    <n v="4.93"/>
    <n v="4.93"/>
    <n v="4.93"/>
    <n v="4.93"/>
    <n v="4.93"/>
    <n v="4.93"/>
    <n v="4.93"/>
    <n v="4.93"/>
    <n v="4.93"/>
    <n v="4.93"/>
    <n v="4.93"/>
    <n v="4.93"/>
    <n v="4.93"/>
    <n v="4.9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2"/>
    <s v="ElephantaKB"/>
    <s v="NBL KB"/>
    <s v="NA"/>
    <s v="Black"/>
    <s v="S China"/>
    <s v="OTHERS"/>
    <n v="3.9"/>
    <n v="3.9"/>
    <n v="3.9"/>
    <n v="3.9"/>
    <n v="3.9"/>
    <n v="3.9"/>
    <n v="3.9"/>
    <n v="3.9"/>
    <n v="3.9"/>
    <n v="3.9"/>
    <n v="3.9"/>
    <n v="3.9"/>
    <n v="3.9"/>
    <n v="3.9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5600"/>
    <n v="1176"/>
    <n v="5600"/>
    <n v="1176"/>
    <n v="2800"/>
    <n v="588"/>
    <n v="2800"/>
    <n v="588"/>
    <n v="5600"/>
    <n v="1176"/>
    <n v="5600"/>
    <n v="1176"/>
    <n v="8400"/>
    <n v="1764"/>
  </r>
  <r>
    <s v="FY24"/>
    <s v="Allen Chen"/>
    <m/>
    <m/>
    <m/>
    <m/>
    <n v="2016"/>
    <s v="Gadget"/>
    <s v="Mouse"/>
    <s v="NA"/>
    <s v="Black"/>
    <s v="S China"/>
    <s v="OTHERS"/>
    <n v="5.3"/>
    <n v="4.79"/>
    <n v="4.79"/>
    <n v="4.79"/>
    <n v="4.79"/>
    <n v="4.79"/>
    <n v="4.79"/>
    <n v="4.79"/>
    <n v="4.79"/>
    <n v="4.79"/>
    <n v="4.79"/>
    <n v="4.79"/>
    <n v="4.79"/>
    <n v="4.79"/>
    <n v="0.05"/>
    <n v="0.05"/>
    <n v="0.05"/>
    <n v="0.05"/>
    <n v="0.05"/>
    <n v="0.05"/>
    <n v="0.05"/>
    <n v="0.05"/>
    <n v="0.05"/>
    <n v="0.05"/>
    <n v="0.05"/>
    <n v="0.05"/>
    <n v="0.05"/>
    <n v="0"/>
    <n v="0"/>
    <n v="12960"/>
    <n v="648"/>
    <n v="4320"/>
    <n v="216"/>
    <n v="0"/>
    <n v="0"/>
    <n v="8640"/>
    <n v="432"/>
    <n v="8640"/>
    <n v="432"/>
    <n v="8640"/>
    <n v="432"/>
    <n v="8640"/>
    <n v="432"/>
    <n v="4320"/>
    <n v="216"/>
    <s v="0"/>
    <n v="0"/>
    <n v="4320"/>
    <n v="216"/>
    <n v="4320"/>
    <n v="216"/>
  </r>
  <r>
    <s v="FY24"/>
    <s v="Allen Chen"/>
    <m/>
    <m/>
    <m/>
    <m/>
    <n v="2019"/>
    <s v="Galapagos"/>
    <s v="Mouse"/>
    <s v="NA"/>
    <s v="Black"/>
    <s v="S China"/>
    <s v="OTHERS"/>
    <n v="1.8"/>
    <n v="1.8"/>
    <n v="1.8"/>
    <n v="1.8"/>
    <n v="1.8"/>
    <n v="1.8"/>
    <n v="1.8"/>
    <n v="1.8"/>
    <n v="1.8"/>
    <n v="1.8"/>
    <n v="1.8"/>
    <n v="1.8"/>
    <n v="1.8"/>
    <n v="1.8"/>
    <n v="0"/>
    <n v="0"/>
    <n v="0"/>
    <n v="0"/>
    <n v="0"/>
    <n v="0"/>
    <n v="0"/>
    <n v="0"/>
    <n v="0"/>
    <n v="0"/>
    <n v="0"/>
    <n v="0"/>
    <n v="0"/>
    <n v="17280"/>
    <n v="0"/>
    <n v="33040"/>
    <n v="0"/>
    <n v="15920"/>
    <n v="0"/>
    <n v="0"/>
    <n v="0"/>
    <n v="37440"/>
    <n v="0"/>
    <n v="40320"/>
    <n v="0"/>
    <n v="20200"/>
    <n v="0"/>
    <n v="2880"/>
    <n v="0"/>
    <n v="5760"/>
    <n v="0"/>
    <n v="20160"/>
    <n v="0"/>
    <s v="0"/>
    <n v="0"/>
    <n v="17280"/>
    <n v="0"/>
  </r>
  <r>
    <s v="FY24"/>
    <s v="Simon Yang"/>
    <m/>
    <m/>
    <m/>
    <m/>
    <n v="2020"/>
    <s v="Havelock"/>
    <s v="Combo"/>
    <s v="NA"/>
    <s v="Black"/>
    <s v="S China"/>
    <s v="OTHERS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0.08"/>
    <n v="0.08"/>
    <n v="0.08"/>
    <n v="0.08"/>
    <n v="0.08"/>
    <n v="0.08"/>
    <n v="0.08"/>
    <n v="0.08"/>
    <n v="0.08"/>
    <n v="0.08"/>
    <n v="0.08"/>
    <n v="0.08"/>
    <n v="0.08"/>
    <n v="7780"/>
    <n v="622.4"/>
    <n v="0"/>
    <n v="0"/>
    <n v="2500"/>
    <n v="200"/>
    <n v="0"/>
    <n v="0"/>
    <n v="0"/>
    <n v="0"/>
    <n v="7000"/>
    <n v="560"/>
    <n v="1000"/>
    <n v="80"/>
    <n v="16000"/>
    <n v="1280"/>
    <n v="25000"/>
    <n v="2000"/>
    <n v="11500"/>
    <n v="920"/>
    <n v="10560"/>
    <n v="844.80000000000007"/>
    <n v="5280"/>
    <n v="422.40000000000003"/>
  </r>
  <r>
    <s v="FY24"/>
    <s v="Allen Chen"/>
    <m/>
    <m/>
    <m/>
    <m/>
    <n v="2020"/>
    <s v="Jerry"/>
    <s v="Mouse"/>
    <s v="NA"/>
    <s v="Nightfull black"/>
    <s v="S China"/>
    <s v="OTHERS"/>
    <n v="22.76"/>
    <n v="22.78"/>
    <n v="22.78"/>
    <n v="22.78"/>
    <n v="22.78"/>
    <n v="22.78"/>
    <n v="22.78"/>
    <n v="22.78"/>
    <n v="22.78"/>
    <n v="22.78"/>
    <n v="22.78"/>
    <n v="22.78"/>
    <n v="22.72"/>
    <n v="22.72"/>
    <n v="0"/>
    <n v="0"/>
    <n v="0"/>
    <n v="0"/>
    <n v="0"/>
    <n v="0"/>
    <n v="0"/>
    <n v="0"/>
    <n v="0"/>
    <n v="0"/>
    <n v="0"/>
    <n v="0.06"/>
    <n v="0.06"/>
    <n v="0"/>
    <n v="0"/>
    <n v="1008"/>
    <n v="0"/>
    <n v="2016"/>
    <n v="0"/>
    <n v="0"/>
    <n v="0"/>
    <n v="1008"/>
    <n v="0"/>
    <n v="1008"/>
    <n v="0"/>
    <n v="1008"/>
    <n v="0"/>
    <n v="1008"/>
    <n v="0"/>
    <n v="1008"/>
    <n v="0"/>
    <s v="0"/>
    <n v="0"/>
    <n v="0"/>
    <n v="0"/>
    <n v="1008"/>
    <n v="60.48"/>
  </r>
  <r>
    <s v="FY24"/>
    <s v="Allen Chen"/>
    <m/>
    <m/>
    <m/>
    <m/>
    <n v="2021"/>
    <s v="KentingPlus"/>
    <s v="Mouse"/>
    <s v="NA"/>
    <s v="Black"/>
    <s v="S China"/>
    <s v="OTHERS"/>
    <n v="4.3099999999999996"/>
    <n v="4.43"/>
    <n v="4.43"/>
    <n v="4.43"/>
    <n v="4.43"/>
    <n v="4.43"/>
    <n v="4.43"/>
    <n v="4.43"/>
    <n v="4.43"/>
    <n v="4.43"/>
    <n v="4.43"/>
    <n v="4.43"/>
    <n v="22.72"/>
    <n v="4.43"/>
    <n v="0"/>
    <n v="0"/>
    <n v="0"/>
    <n v="0"/>
    <n v="0"/>
    <n v="0"/>
    <n v="0"/>
    <n v="0"/>
    <n v="0"/>
    <n v="0"/>
    <n v="0"/>
    <n v="0"/>
    <n v="0"/>
    <n v="11520"/>
    <n v="0"/>
    <n v="8640"/>
    <n v="0"/>
    <n v="8640"/>
    <n v="0"/>
    <n v="2880"/>
    <n v="0"/>
    <n v="6080"/>
    <n v="0"/>
    <n v="14720"/>
    <n v="0"/>
    <n v="11520"/>
    <n v="0"/>
    <s v="0"/>
    <n v="0"/>
    <s v="0"/>
    <n v="0"/>
    <s v="0"/>
    <n v="0"/>
    <s v="0"/>
    <n v="0"/>
    <s v="0"/>
    <n v="0"/>
  </r>
  <r>
    <s v="FY24"/>
    <s v="Simon Yang"/>
    <m/>
    <m/>
    <m/>
    <m/>
    <n v="2019"/>
    <s v="KingKong"/>
    <s v="Combo"/>
    <s v="NA"/>
    <s v="Black"/>
    <s v="S China"/>
    <s v="OTHERS"/>
    <n v="10.14"/>
    <n v="10.31"/>
    <n v="10.31"/>
    <n v="10.31"/>
    <n v="10.31"/>
    <n v="10.31"/>
    <n v="10.31"/>
    <n v="10.31"/>
    <n v="10.31"/>
    <n v="10.31"/>
    <n v="10.31"/>
    <n v="10.31"/>
    <n v="22.78"/>
    <n v="10.31"/>
    <n v="0"/>
    <n v="0"/>
    <n v="0"/>
    <n v="0"/>
    <n v="0"/>
    <n v="0"/>
    <n v="0"/>
    <n v="0"/>
    <n v="0"/>
    <n v="0"/>
    <n v="0"/>
    <n v="0"/>
    <n v="0.06"/>
    <n v="0"/>
    <n v="0"/>
    <n v="0"/>
    <n v="0"/>
    <s v="0"/>
    <n v="0"/>
    <n v="0"/>
    <n v="0"/>
    <n v="0"/>
    <n v="0"/>
    <s v="0"/>
    <n v="0"/>
    <n v="100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s v="Kitkat"/>
    <s v="Mouse"/>
    <s v="NA"/>
    <s v="Black"/>
    <s v="S China"/>
    <s v="OTHERS"/>
    <n v="3.28"/>
    <n v="3.28"/>
    <n v="3.28"/>
    <n v="3.28"/>
    <n v="3.28"/>
    <n v="3.28"/>
    <n v="3.28"/>
    <n v="3.28"/>
    <n v="3.28"/>
    <n v="3.28"/>
    <n v="3.28"/>
    <n v="3.28"/>
    <n v="3.28"/>
    <n v="3.28"/>
    <n v="0"/>
    <n v="0"/>
    <n v="0"/>
    <n v="0"/>
    <n v="0"/>
    <n v="0"/>
    <n v="0"/>
    <n v="0"/>
    <n v="0"/>
    <n v="0"/>
    <n v="0"/>
    <n v="0"/>
    <n v="0"/>
    <n v="6720"/>
    <n v="0"/>
    <n v="60480"/>
    <n v="0"/>
    <s v="0"/>
    <n v="0"/>
    <n v="33600"/>
    <n v="0"/>
    <n v="40320"/>
    <n v="0"/>
    <n v="65280"/>
    <n v="0"/>
    <n v="22080"/>
    <n v="0"/>
    <n v="6720"/>
    <n v="0"/>
    <s v="0"/>
    <n v="0"/>
    <n v="25920"/>
    <n v="0"/>
    <n v="20160"/>
    <n v="0"/>
    <n v="13440"/>
    <n v="0"/>
  </r>
  <r>
    <s v="FY24"/>
    <s v="Allen Chen"/>
    <m/>
    <m/>
    <m/>
    <m/>
    <n v="2023"/>
    <s v="Mickey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n v="1200"/>
    <n v="576"/>
    <n v="0"/>
    <n v="0"/>
    <n v="1200"/>
    <n v="576"/>
    <n v="3600"/>
    <n v="1728"/>
    <n v="2400"/>
    <n v="1152"/>
    <s v="0"/>
    <n v="0"/>
    <s v="0"/>
    <n v="0"/>
    <s v="0"/>
    <n v="0"/>
    <s v="0"/>
    <n v="0"/>
    <n v="1200"/>
    <n v="996"/>
  </r>
  <r>
    <s v="FY24"/>
    <s v="Allen Chen"/>
    <m/>
    <m/>
    <m/>
    <m/>
    <n v="2021"/>
    <s v="MilkaB"/>
    <s v="Mouse"/>
    <s v="NA"/>
    <s v="Pike silver"/>
    <s v="S China"/>
    <s v="OTHERS"/>
    <n v="4.57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2880"/>
    <n v="0"/>
    <n v="20160"/>
    <n v="0"/>
    <n v="14400"/>
    <n v="0"/>
    <n v="0"/>
    <n v="0"/>
    <n v="11520"/>
    <n v="0"/>
    <s v="0"/>
    <n v="0"/>
    <n v="2880"/>
    <n v="0"/>
    <n v="2880"/>
    <n v="201.60000000000002"/>
    <n v="2880"/>
    <n v="201.60000000000002"/>
    <n v="2880"/>
    <n v="201.60000000000002"/>
    <n v="2880"/>
    <n v="201.60000000000002"/>
    <n v="11520"/>
    <n v="806.40000000000009"/>
  </r>
  <r>
    <s v="FY24"/>
    <s v="Allen Chen"/>
    <m/>
    <m/>
    <m/>
    <m/>
    <n v="2018"/>
    <s v="Moscow1BlueLed"/>
    <s v="Mouse"/>
    <s v="NA"/>
    <s v="Black"/>
    <s v="S China"/>
    <s v="OTHERS"/>
    <n v="4.82"/>
    <n v="4.82"/>
    <n v="4.82"/>
    <n v="4.82"/>
    <n v="4.82"/>
    <n v="4.82"/>
    <n v="4.82"/>
    <n v="4.82"/>
    <n v="4.82"/>
    <n v="4.82"/>
    <n v="4.82"/>
    <n v="4.82"/>
    <n v="4.82"/>
    <n v="4.82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8640"/>
    <n v="432"/>
    <n v="0"/>
    <n v="0"/>
    <n v="0"/>
    <n v="0"/>
    <s v="0"/>
    <n v="0"/>
    <s v="0"/>
    <n v="0"/>
    <n v="38880"/>
    <n v="1944"/>
    <n v="38880"/>
    <n v="1944"/>
    <s v="0"/>
    <n v="0"/>
    <n v="82080"/>
    <n v="4104"/>
    <s v="0"/>
    <n v="0"/>
  </r>
  <r>
    <s v="FY24"/>
    <s v="Allen Chen"/>
    <m/>
    <m/>
    <m/>
    <m/>
    <n v="2018"/>
    <s v="Moscow1BlueLed"/>
    <s v="Mouse"/>
    <s v="NA"/>
    <s v="Blue"/>
    <s v="S China"/>
    <s v="OTHERS"/>
    <n v="5.05"/>
    <n v="5.05"/>
    <n v="5.05"/>
    <n v="5.05"/>
    <n v="5.05"/>
    <n v="5.05"/>
    <n v="5.05"/>
    <n v="5.05"/>
    <n v="5.05"/>
    <n v="5.05"/>
    <n v="5.05"/>
    <n v="5.05"/>
    <n v="5.05"/>
    <n v="5.05"/>
    <n v="0.05"/>
    <n v="0.05"/>
    <n v="0.05"/>
    <n v="0.05"/>
    <n v="0.05"/>
    <n v="0.05"/>
    <n v="0.05"/>
    <n v="0.05"/>
    <n v="0.05"/>
    <n v="0.05"/>
    <n v="0.05"/>
    <n v="0.05"/>
    <n v="0.05"/>
    <n v="0"/>
    <n v="0"/>
    <n v="2040"/>
    <n v="102"/>
    <n v="6600"/>
    <n v="330"/>
    <n v="0"/>
    <n v="0"/>
    <n v="0"/>
    <n v="0"/>
    <s v="0"/>
    <n v="0"/>
    <n v="4320"/>
    <n v="216"/>
    <n v="4320"/>
    <n v="216"/>
    <n v="4320"/>
    <n v="216"/>
    <s v="0"/>
    <n v="0"/>
    <n v="4320"/>
    <n v="216"/>
    <s v="0"/>
    <n v="0"/>
  </r>
  <r>
    <s v="FY24"/>
    <s v="Allen Chen"/>
    <m/>
    <m/>
    <m/>
    <m/>
    <n v="2018"/>
    <s v="Moscow1BlueLed"/>
    <s v="Mouse"/>
    <s v="NA"/>
    <s v="Pike silver"/>
    <s v="S China"/>
    <s v="OTHERS"/>
    <n v="5.64"/>
    <n v="5.64"/>
    <n v="5.64"/>
    <n v="5.64"/>
    <n v="5.64"/>
    <n v="5.64"/>
    <n v="5.64"/>
    <n v="5.64"/>
    <n v="5.64"/>
    <n v="5.64"/>
    <n v="5.64"/>
    <n v="5.64"/>
    <n v="5.64"/>
    <n v="5.6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Oman"/>
    <s v="Mouse"/>
    <s v="NA"/>
    <s v="Empress red"/>
    <s v="S China"/>
    <s v="OTHERS"/>
    <n v="4.04"/>
    <n v="4.04"/>
    <n v="4.04"/>
    <n v="4.04"/>
    <n v="4.04"/>
    <n v="4.04"/>
    <n v="4.04"/>
    <n v="4.04"/>
    <n v="4.04"/>
    <n v="4.04"/>
    <n v="4.04"/>
    <n v="4.04"/>
    <n v="4.04"/>
    <n v="4.04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s v="0"/>
    <n v="0"/>
    <n v="0"/>
    <n v="0"/>
    <n v="4320"/>
    <n v="172.8"/>
    <n v="4320"/>
    <n v="172.8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9"/>
    <s v="Brazilia"/>
    <s v="Mouse"/>
    <s v="NA"/>
    <s v="Black"/>
    <s v="S China"/>
    <s v="OTHERS"/>
    <n v="2.04"/>
    <n v="1.99"/>
    <n v="1.99"/>
    <n v="1.99"/>
    <n v="1.99"/>
    <n v="1.99"/>
    <n v="1.99"/>
    <n v="1.99"/>
    <n v="1.99"/>
    <n v="1.99"/>
    <n v="1.99"/>
    <n v="1.99"/>
    <n v="1.99"/>
    <n v="1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8"/>
    <s v="Moscow1BlueLed"/>
    <s v="Mouse"/>
    <s v="NA"/>
    <s v="Black"/>
    <s v="S China"/>
    <s v="OTHERS"/>
    <n v="4.54"/>
    <n v="4.54"/>
    <n v="4.54"/>
    <n v="4.54"/>
    <n v="4.54"/>
    <n v="4.54"/>
    <n v="4.54"/>
    <n v="4.54"/>
    <n v="4.54"/>
    <n v="4.54"/>
    <n v="4.54"/>
    <n v="4.54"/>
    <n v="4.54"/>
    <n v="4.54"/>
    <n v="0.05"/>
    <n v="0.05"/>
    <n v="0.05"/>
    <n v="0.05"/>
    <n v="0.05"/>
    <n v="0.05"/>
    <n v="0.05"/>
    <n v="0.05"/>
    <n v="0.05"/>
    <n v="0.05"/>
    <n v="0.05"/>
    <n v="0.05"/>
    <n v="0.05"/>
    <n v="8640"/>
    <n v="432"/>
    <n v="12960"/>
    <n v="648"/>
    <n v="4320"/>
    <n v="216"/>
    <n v="0"/>
    <n v="0"/>
    <n v="21600"/>
    <n v="1080"/>
    <n v="11520"/>
    <n v="576"/>
    <n v="8640"/>
    <n v="432"/>
    <s v="0"/>
    <n v="0"/>
    <s v="0"/>
    <n v="0"/>
    <n v="8640"/>
    <n v="432"/>
    <n v="4320"/>
    <n v="216"/>
    <n v="8640"/>
    <n v="432"/>
  </r>
  <r>
    <s v="FY24"/>
    <s v="Allen Chen"/>
    <m/>
    <m/>
    <m/>
    <m/>
    <n v="2018"/>
    <s v="Moscow1BlueLed"/>
    <s v="Mouse"/>
    <s v="NA"/>
    <s v="Black"/>
    <s v="S China"/>
    <s v="OTHERS"/>
    <n v="4.96"/>
    <n v="5.14"/>
    <n v="5.14"/>
    <n v="5.14"/>
    <n v="5.14"/>
    <n v="5.14"/>
    <n v="5.14"/>
    <n v="5.14"/>
    <n v="5.14"/>
    <n v="5.14"/>
    <n v="5.14"/>
    <n v="5.14"/>
    <n v="5.14"/>
    <n v="5.14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8"/>
    <s v="Moscow1BlueLed"/>
    <s v="Mouse"/>
    <s v="NA"/>
    <s v="Sred"/>
    <s v="S China"/>
    <s v="OTHERS"/>
    <n v="4.78"/>
    <n v="4.78"/>
    <n v="4.78"/>
    <n v="5.14"/>
    <n v="5.14"/>
    <n v="5.14"/>
    <n v="5.14"/>
    <n v="5.14"/>
    <n v="5.14"/>
    <n v="5.14"/>
    <n v="5.14"/>
    <n v="5.14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4320"/>
    <n v="216"/>
    <n v="0"/>
    <n v="0"/>
    <n v="0"/>
    <n v="0"/>
    <n v="1380"/>
    <n v="69"/>
    <n v="2760"/>
    <n v="138"/>
    <n v="1380"/>
    <n v="69"/>
    <s v="0"/>
    <n v="0"/>
    <s v="0"/>
    <n v="0"/>
    <s v="0"/>
    <n v="0"/>
    <n v="1380"/>
    <n v="69"/>
  </r>
  <r>
    <s v="FY24"/>
    <s v="Allen Chen"/>
    <m/>
    <m/>
    <m/>
    <m/>
    <n v="2018"/>
    <s v="Moscow1BlueLed"/>
    <s v="Mouse"/>
    <s v="NA"/>
    <s v="Blue"/>
    <s v="S China"/>
    <s v="OTHERS"/>
    <n v="4.78"/>
    <n v="4.78"/>
    <n v="4.78"/>
    <n v="5.14"/>
    <n v="5.14"/>
    <n v="5.14"/>
    <n v="5.14"/>
    <n v="5.14"/>
    <n v="5.14"/>
    <n v="5.14"/>
    <n v="5.14"/>
    <n v="5.14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1380"/>
    <n v="69"/>
    <n v="4140"/>
    <n v="207"/>
    <n v="6900"/>
    <n v="345"/>
    <s v="0"/>
    <n v="0"/>
    <s v="0"/>
    <n v="0"/>
    <s v="0"/>
    <n v="0"/>
    <s v="0"/>
    <n v="0"/>
    <n v="1380"/>
    <n v="69"/>
  </r>
  <r>
    <s v="FY24"/>
    <s v="Allen Chen"/>
    <m/>
    <m/>
    <m/>
    <m/>
    <n v="2018"/>
    <s v="Moscow1BlueLed"/>
    <s v="Mouse"/>
    <s v="NA"/>
    <s v="Snow White"/>
    <s v="S China"/>
    <s v="OTHERS"/>
    <n v="4.78"/>
    <n v="4.78"/>
    <n v="4.78"/>
    <n v="4.78"/>
    <n v="4.78"/>
    <n v="5.14"/>
    <n v="5.14"/>
    <n v="5.14"/>
    <n v="5.14"/>
    <n v="5.14"/>
    <n v="5.14"/>
    <n v="5.14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4320"/>
    <n v="216"/>
    <n v="4320"/>
    <n v="216"/>
    <n v="4320"/>
    <n v="216"/>
    <n v="0"/>
    <n v="0"/>
    <n v="5520"/>
    <n v="276"/>
    <n v="2760"/>
    <n v="138"/>
    <n v="1380"/>
    <n v="69"/>
    <s v="0"/>
    <n v="0"/>
    <n v="2760"/>
    <n v="138"/>
    <n v="1380"/>
    <n v="69"/>
    <s v="0"/>
    <n v="0"/>
    <n v="4140"/>
    <n v="207"/>
  </r>
  <r>
    <s v="FY24"/>
    <s v="Allen Chen"/>
    <m/>
    <m/>
    <m/>
    <m/>
    <n v="2023"/>
    <s v="Gadget dual"/>
    <s v="Mouse"/>
    <s v="NA"/>
    <s v="Black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n v="4080"/>
    <n v="1224"/>
    <n v="2040"/>
    <n v="612"/>
    <n v="2040"/>
    <n v="612"/>
    <n v="4080"/>
    <n v="1224"/>
    <s v="0"/>
    <n v="0"/>
    <n v="2040"/>
    <n v="612"/>
  </r>
  <r>
    <s v="FY24"/>
    <s v="Allen Chen"/>
    <m/>
    <m/>
    <m/>
    <m/>
    <n v="2023"/>
    <s v="Gadget dual"/>
    <s v="Mouse"/>
    <s v="NA"/>
    <s v="Black"/>
    <s v="S China"/>
    <s v="OTHERS"/>
    <n v="6.31"/>
    <n v="6.31"/>
    <n v="6.31"/>
    <n v="6.31"/>
    <n v="6.31"/>
    <n v="6.31"/>
    <n v="6.31"/>
    <n v="6.31"/>
    <n v="6.31"/>
    <n v="6.31"/>
    <n v="6.31"/>
    <n v="6.31"/>
    <n v="6.31"/>
    <n v="6.31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3060"/>
    <n v="918"/>
    <n v="6120"/>
    <n v="1836"/>
    <n v="2760"/>
    <n v="828"/>
    <n v="1020"/>
    <n v="306"/>
    <n v="2100"/>
    <n v="630"/>
    <n v="1080"/>
    <n v="324"/>
    <n v="1020"/>
    <n v="306"/>
  </r>
  <r>
    <s v="FY24"/>
    <s v="Allen Chen"/>
    <m/>
    <m/>
    <m/>
    <m/>
    <n v="2023"/>
    <s v="Gadget dual"/>
    <s v="Mouse"/>
    <s v="NA"/>
    <s v="Black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2040"/>
    <n v="612"/>
    <n v="3060"/>
    <n v="918"/>
    <n v="2040"/>
    <n v="612"/>
    <n v="3060"/>
    <n v="918"/>
    <n v="6120"/>
    <n v="1836"/>
    <n v="2040"/>
    <n v="612"/>
    <n v="4080"/>
    <n v="1224"/>
    <n v="2040"/>
    <n v="612"/>
  </r>
  <r>
    <s v="FY24"/>
    <s v="Allen Chen"/>
    <m/>
    <m/>
    <m/>
    <m/>
    <n v="2023"/>
    <s v="Gadget dual"/>
    <s v="Mouse"/>
    <s v="NA"/>
    <s v="Silver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2040"/>
    <n v="612"/>
    <n v="6120"/>
    <n v="1836"/>
    <n v="2040"/>
    <n v="612"/>
    <n v="3060"/>
    <n v="918"/>
    <s v="0"/>
    <n v="0"/>
    <s v="0"/>
    <n v="0"/>
    <s v="0"/>
    <n v="0"/>
  </r>
  <r>
    <s v="FY24"/>
    <s v="Allen Chen"/>
    <m/>
    <m/>
    <m/>
    <m/>
    <n v="2023"/>
    <s v="Gadget dual"/>
    <s v="Mouse"/>
    <s v="NA"/>
    <s v="Silver"/>
    <s v="S China"/>
    <s v="OTHERS"/>
    <n v="6.31"/>
    <n v="6.31"/>
    <n v="6.31"/>
    <n v="6.31"/>
    <n v="6.31"/>
    <n v="6.31"/>
    <n v="6.31"/>
    <n v="6.31"/>
    <n v="6.31"/>
    <n v="6.31"/>
    <n v="6.31"/>
    <n v="6.31"/>
    <n v="6.31"/>
    <n v="6.31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2040"/>
    <n v="612"/>
    <n v="1200"/>
    <n v="360"/>
    <n v="3060"/>
    <n v="918"/>
    <n v="2040"/>
    <n v="612"/>
    <s v="0"/>
    <n v="0"/>
    <s v="0"/>
    <n v="0"/>
    <n v="1020"/>
    <n v="306"/>
    <n v="2040"/>
    <n v="612"/>
  </r>
  <r>
    <s v="FY24"/>
    <s v="Allen Chen"/>
    <m/>
    <m/>
    <m/>
    <m/>
    <n v="2023"/>
    <s v="Gadget dual"/>
    <s v="Mouse"/>
    <s v="NA"/>
    <s v="Silver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2040"/>
    <n v="612"/>
    <n v="0"/>
    <n v="0"/>
    <s v="0"/>
    <n v="0"/>
    <n v="0"/>
    <n v="0"/>
    <n v="0"/>
    <n v="0"/>
    <s v="0"/>
    <n v="0"/>
    <s v="0"/>
    <n v="0"/>
    <s v="0"/>
    <n v="0"/>
    <n v="4080"/>
    <n v="1224"/>
    <n v="2040"/>
    <n v="612"/>
    <n v="2040"/>
    <n v="612"/>
    <n v="2040"/>
    <n v="612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1020"/>
    <n v="306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1020"/>
    <n v="306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1020"/>
    <n v="306"/>
    <n v="0"/>
    <n v="0"/>
    <n v="0"/>
    <n v="0"/>
    <s v="0"/>
    <n v="0"/>
    <s v="0"/>
    <n v="0"/>
    <s v="0"/>
    <n v="0"/>
    <s v="0"/>
    <n v="0"/>
    <n v="1020"/>
    <n v="306"/>
    <s v="0"/>
    <n v="0"/>
    <n v="1020"/>
    <n v="306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1020"/>
    <n v="306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Sochi"/>
    <s v="Mouse"/>
    <s v="NA"/>
    <s v="Black"/>
    <s v="S China"/>
    <s v="OTHERS"/>
    <n v="5.51"/>
    <n v="5.51"/>
    <n v="5.51"/>
    <n v="5.51"/>
    <n v="5.51"/>
    <n v="5.51"/>
    <n v="5.51"/>
    <n v="5.51"/>
    <n v="5.51"/>
    <n v="5.51"/>
    <n v="5.51"/>
    <n v="5.51"/>
    <n v="5.51"/>
    <n v="5.51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3640"/>
    <n v="0"/>
    <n v="364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Sochi"/>
    <s v="Mouse"/>
    <s v="NA"/>
    <s v="Black"/>
    <s v="S China"/>
    <s v="OTHERS"/>
    <n v="5.18"/>
    <n v="5.18"/>
    <n v="5.18"/>
    <n v="5.18"/>
    <n v="5.18"/>
    <n v="5.18"/>
    <n v="5.18"/>
    <n v="5.18"/>
    <n v="5.18"/>
    <n v="5.18"/>
    <n v="5.18"/>
    <n v="5.18"/>
    <n v="5.18"/>
    <n v="5.1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10920"/>
    <n v="0"/>
    <s v="0"/>
    <n v="0"/>
    <n v="9040"/>
    <n v="0"/>
    <s v="0"/>
    <n v="0"/>
    <n v="7280"/>
    <n v="0"/>
    <s v="0"/>
    <n v="0"/>
    <n v="7280"/>
    <n v="0"/>
  </r>
  <r>
    <s v="FY24"/>
    <s v="Allen Chen"/>
    <m/>
    <m/>
    <m/>
    <m/>
    <n v="2023"/>
    <s v="Sochi"/>
    <s v="Mouse"/>
    <s v="NA"/>
    <s v="Black"/>
    <s v="S China"/>
    <s v="OTHERS"/>
    <n v="5.45"/>
    <n v="5.45"/>
    <n v="5.45"/>
    <n v="5.45"/>
    <n v="5.45"/>
    <n v="5.45"/>
    <n v="5.45"/>
    <n v="5.45"/>
    <n v="5.45"/>
    <n v="5.45"/>
    <n v="5.45"/>
    <n v="5.45"/>
    <n v="5.45"/>
    <n v="5.4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3640"/>
    <n v="0"/>
    <s v="0"/>
    <n v="0"/>
    <n v="3640"/>
    <n v="0"/>
    <n v="3640"/>
    <n v="0"/>
  </r>
  <r>
    <s v="FY24"/>
    <s v="Allen Chen"/>
    <m/>
    <m/>
    <m/>
    <m/>
    <n v="2023"/>
    <s v="Sochi"/>
    <s v="Mouse"/>
    <s v="NA"/>
    <s v="Black"/>
    <s v="S China"/>
    <s v="OTHERS"/>
    <n v="5"/>
    <n v="5"/>
    <n v="5"/>
    <n v="5"/>
    <n v="5"/>
    <n v="5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2"/>
    <s v="Mickey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200"/>
    <n v="576"/>
    <s v="0"/>
    <n v="0"/>
    <s v="0"/>
    <n v="0"/>
  </r>
  <r>
    <s v="FY24"/>
    <s v="Allen Chen"/>
    <m/>
    <m/>
    <m/>
    <m/>
    <n v="2023"/>
    <s v="Mickey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n v="1200"/>
    <n v="576"/>
    <n v="0"/>
    <n v="0"/>
    <n v="0"/>
    <n v="0"/>
    <s v="0"/>
    <n v="0"/>
    <n v="1200"/>
    <n v="576"/>
    <s v="0"/>
    <n v="0"/>
    <s v="0"/>
    <n v="0"/>
    <s v="0"/>
    <n v="0"/>
    <n v="1200"/>
    <n v="996"/>
    <s v="0"/>
    <n v="0"/>
  </r>
  <r>
    <s v="FY24"/>
    <s v="Allen Chen"/>
    <m/>
    <m/>
    <m/>
    <m/>
    <n v="2023"/>
    <s v="Mickey"/>
    <s v="Mouse"/>
    <s v="NA"/>
    <s v="Silver"/>
    <s v="S China"/>
    <s v="OTHERS"/>
    <n v="25.11"/>
    <n v="25.26"/>
    <n v="25.26"/>
    <n v="25.26"/>
    <n v="25.26"/>
    <n v="25.26"/>
    <n v="25.26"/>
    <n v="25.26"/>
    <n v="25.26"/>
    <n v="25.26"/>
    <n v="25.26"/>
    <n v="25.26"/>
    <n v="25.16"/>
    <n v="25.16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ckey"/>
    <s v="Mouse"/>
    <s v="NA"/>
    <s v="Silver"/>
    <s v="S China"/>
    <s v="OTHERS"/>
    <n v="25.11"/>
    <n v="25.26"/>
    <n v="25.26"/>
    <n v="25.26"/>
    <n v="25.26"/>
    <n v="25.26"/>
    <n v="25.26"/>
    <n v="25.26"/>
    <n v="25.26"/>
    <n v="25.26"/>
    <n v="25.26"/>
    <n v="25.26"/>
    <n v="25.16"/>
    <n v="25.16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n v="1200"/>
    <n v="576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2"/>
    <s v="Mickey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ckey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2400"/>
    <n v="1152"/>
    <n v="2400"/>
    <n v="1152"/>
    <n v="0"/>
    <n v="0"/>
    <n v="0"/>
    <n v="0"/>
    <n v="2400"/>
    <n v="1152"/>
    <n v="1200"/>
    <n v="576"/>
    <n v="1200"/>
    <n v="576"/>
    <s v="0"/>
    <n v="0"/>
    <s v="0"/>
    <n v="0"/>
    <s v="0"/>
    <n v="0"/>
    <n v="1200"/>
    <n v="996"/>
  </r>
  <r>
    <s v="FY24"/>
    <s v="Allen Chen"/>
    <m/>
    <m/>
    <m/>
    <m/>
    <n v="2023"/>
    <s v="Mickey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2400"/>
    <n v="1152"/>
    <n v="1200"/>
    <n v="576"/>
    <s v="0"/>
    <n v="0"/>
    <n v="0"/>
    <n v="0"/>
    <n v="2400"/>
    <n v="1152"/>
    <s v="0"/>
    <n v="0"/>
    <n v="1200"/>
    <n v="576"/>
    <s v="0"/>
    <n v="0"/>
    <n v="1200"/>
    <n v="576"/>
    <s v="0"/>
    <n v="0"/>
    <s v="0"/>
    <n v="0"/>
    <s v="0"/>
    <n v="0"/>
  </r>
  <r>
    <s v="FY24"/>
    <s v="Allen Chen"/>
    <m/>
    <m/>
    <m/>
    <m/>
    <n v="2023"/>
    <s v="Mickey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n v="24.07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0"/>
    <n v="0"/>
    <n v="1200"/>
    <n v="57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ckey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n v="24.07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ckey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n v="24.07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Black"/>
    <s v="S China"/>
    <s v="OTHERS"/>
    <n v="5.3"/>
    <n v="5.42"/>
    <n v="5.42"/>
    <n v="5.42"/>
    <n v="5.42"/>
    <n v="5.42"/>
    <n v="5.42"/>
    <n v="5.42"/>
    <n v="5.42"/>
    <n v="5.42"/>
    <n v="5.42"/>
    <n v="5.42"/>
    <n v="5.24"/>
    <n v="5.24"/>
    <n v="0.05"/>
    <n v="0.05"/>
    <n v="0.05"/>
    <n v="0.05"/>
    <n v="0.05"/>
    <n v="0.05"/>
    <n v="0.05"/>
    <n v="0.05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1560"/>
    <n v="78"/>
    <n v="1560"/>
    <n v="78"/>
    <n v="1560"/>
    <n v="78"/>
    <n v="3120"/>
    <n v="436.80000000000007"/>
    <n v="3120"/>
    <n v="436.80000000000007"/>
    <n v="1560"/>
    <n v="218.40000000000003"/>
    <n v="1560"/>
    <n v="218.40000000000003"/>
    <s v="0"/>
    <n v="0"/>
  </r>
  <r>
    <s v="FY24"/>
    <s v="Allen Chen"/>
    <m/>
    <m/>
    <m/>
    <m/>
    <n v="2016"/>
    <s v="Gadget"/>
    <s v="Mouse"/>
    <s v="NA"/>
    <s v="White"/>
    <s v="S China"/>
    <s v="OTHERS"/>
    <n v="5.2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8640"/>
    <n v="432"/>
    <n v="0"/>
    <n v="0"/>
    <n v="4320"/>
    <n v="216"/>
    <s v="0"/>
    <n v="0"/>
    <n v="4320"/>
    <n v="216"/>
    <n v="4320"/>
    <n v="216"/>
    <s v="0"/>
    <n v="0"/>
    <n v="4320"/>
    <n v="216"/>
    <n v="4320"/>
    <n v="216"/>
    <s v="0"/>
    <n v="0"/>
  </r>
  <r>
    <s v="FY24"/>
    <s v="Allen Chen"/>
    <m/>
    <m/>
    <m/>
    <m/>
    <n v="2016"/>
    <s v="Gadget"/>
    <s v="Mouse"/>
    <s v="NA"/>
    <s v="White"/>
    <s v="S China"/>
    <s v="OTHERS"/>
    <n v="5.23"/>
    <n v="5.32"/>
    <n v="5.32"/>
    <n v="5.32"/>
    <n v="5.32"/>
    <n v="5.32"/>
    <n v="5.32"/>
    <n v="5.32"/>
    <n v="5.32"/>
    <n v="5.32"/>
    <n v="5.32"/>
    <n v="5.32"/>
    <n v="5.32"/>
    <n v="5.3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s v="0"/>
    <n v="0"/>
    <s v="0"/>
    <n v="0"/>
    <n v="1560"/>
    <n v="218.40000000000003"/>
    <s v="0"/>
    <n v="0"/>
    <s v="0"/>
    <n v="0"/>
    <n v="1560"/>
    <n v="218.40000000000003"/>
    <s v="0"/>
    <n v="0"/>
  </r>
  <r>
    <s v="FY24"/>
    <s v="Allen Chen"/>
    <m/>
    <m/>
    <m/>
    <m/>
    <n v="2016"/>
    <s v="Gadget"/>
    <s v="Mouse"/>
    <s v="NA"/>
    <s v="Blue"/>
    <s v="S China"/>
    <s v="OTHERS"/>
    <n v="5.2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n v="4320"/>
    <n v="216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Red"/>
    <s v="S China"/>
    <s v="OTHERS"/>
    <n v="5.2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4320"/>
    <n v="216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Gold(painting)"/>
    <s v="S China"/>
    <s v="OTHERS"/>
    <n v="5.38"/>
    <n v="5.17"/>
    <n v="5.17"/>
    <n v="5.17"/>
    <n v="5.17"/>
    <n v="5.17"/>
    <n v="5.17"/>
    <n v="5.17"/>
    <n v="5.17"/>
    <n v="5.17"/>
    <n v="5.17"/>
    <n v="5.17"/>
    <n v="5.17"/>
    <n v="5.1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4320"/>
    <n v="216"/>
    <n v="0"/>
    <n v="0"/>
    <n v="0"/>
    <n v="0"/>
    <s v="0"/>
    <n v="0"/>
    <n v="4320"/>
    <n v="216"/>
    <s v="0"/>
    <n v="0"/>
    <s v="0"/>
    <n v="0"/>
    <n v="4320"/>
    <n v="216"/>
    <s v="0"/>
    <n v="0"/>
    <s v="0"/>
    <n v="0"/>
  </r>
  <r>
    <s v="FY24"/>
    <s v="Allen Chen"/>
    <m/>
    <m/>
    <m/>
    <m/>
    <n v="2016"/>
    <s v="Gadget"/>
    <s v="Mouse"/>
    <s v="NA"/>
    <s v="Gold(painting)"/>
    <s v="S China"/>
    <s v="OTHERS"/>
    <n v="5.38"/>
    <n v="5.62"/>
    <n v="5.62"/>
    <n v="5.62"/>
    <n v="5.62"/>
    <n v="5.62"/>
    <n v="5.62"/>
    <n v="5.62"/>
    <n v="5.62"/>
    <n v="5.62"/>
    <n v="5.62"/>
    <n v="5.62"/>
    <n v="5.62"/>
    <n v="5.6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4680"/>
    <n v="655.20000000000005"/>
    <s v="0"/>
    <n v="0"/>
    <s v="0"/>
    <n v="0"/>
    <n v="3120"/>
    <n v="436.80000000000007"/>
    <s v="0"/>
    <n v="0"/>
    <n v="1560"/>
    <n v="218.40000000000003"/>
    <n v="1560"/>
    <n v="218.40000000000003"/>
    <s v="0"/>
    <n v="0"/>
  </r>
  <r>
    <s v="FY24"/>
    <s v="Allen Chen"/>
    <m/>
    <m/>
    <m/>
    <m/>
    <n v="2016"/>
    <s v="Gadget"/>
    <s v="Mouse"/>
    <s v="NA"/>
    <s v="Silver(painting)"/>
    <s v="S China"/>
    <s v="OTHERS"/>
    <n v="5.72"/>
    <n v="5.17"/>
    <n v="5.17"/>
    <n v="5.17"/>
    <n v="5.17"/>
    <n v="5.17"/>
    <n v="5.17"/>
    <n v="5.17"/>
    <n v="5.17"/>
    <n v="5.17"/>
    <n v="5.17"/>
    <n v="5.17"/>
    <n v="5.17"/>
    <n v="5.17"/>
    <n v="0.05"/>
    <n v="0.05"/>
    <n v="0.05"/>
    <n v="0.05"/>
    <n v="0.05"/>
    <n v="0.05"/>
    <n v="0.05"/>
    <n v="0.05"/>
    <n v="0.05"/>
    <n v="0.05"/>
    <n v="0.05"/>
    <n v="0.05"/>
    <n v="0.05"/>
    <n v="0"/>
    <n v="0"/>
    <n v="17280"/>
    <n v="864"/>
    <n v="17280"/>
    <n v="864"/>
    <n v="0"/>
    <n v="0"/>
    <n v="8640"/>
    <n v="432"/>
    <s v="0"/>
    <n v="0"/>
    <n v="4320"/>
    <n v="216"/>
    <n v="4320"/>
    <n v="216"/>
    <s v="0"/>
    <n v="0"/>
    <n v="4320"/>
    <n v="216"/>
    <s v="0"/>
    <n v="0"/>
    <n v="4320"/>
    <n v="216"/>
  </r>
  <r>
    <s v="FY24"/>
    <s v="Allen Chen"/>
    <m/>
    <m/>
    <m/>
    <m/>
    <n v="2016"/>
    <s v="Gadget"/>
    <s v="Mouse"/>
    <s v="NA"/>
    <s v="Silver(painting)"/>
    <s v="S China"/>
    <s v="OTHERS"/>
    <n v="5.72"/>
    <n v="5.62"/>
    <n v="5.62"/>
    <n v="5.62"/>
    <n v="5.62"/>
    <n v="5.62"/>
    <n v="5.62"/>
    <n v="5.62"/>
    <n v="5.62"/>
    <n v="5.62"/>
    <n v="5.62"/>
    <n v="5.62"/>
    <n v="5.62"/>
    <n v="5.6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n v="1560"/>
    <n v="218.40000000000003"/>
    <s v="0"/>
    <n v="0"/>
    <n v="6240"/>
    <n v="873.60000000000014"/>
    <n v="1560"/>
    <n v="218.40000000000003"/>
    <n v="1560"/>
    <n v="218.40000000000003"/>
    <n v="1560"/>
    <n v="218.40000000000003"/>
    <s v="0"/>
    <n v="0"/>
  </r>
  <r>
    <s v="FY24"/>
    <s v="Allen Chen"/>
    <m/>
    <m/>
    <m/>
    <m/>
    <n v="2016"/>
    <s v="Gadget"/>
    <s v="Mouse"/>
    <s v="NA"/>
    <s v="Tranquil Pink(painting)"/>
    <s v="S China"/>
    <s v="OTHERS"/>
    <n v="5.62"/>
    <n v="5.59"/>
    <n v="5.59"/>
    <n v="5.59"/>
    <n v="5.59"/>
    <n v="5.59"/>
    <n v="5.59"/>
    <n v="5.59"/>
    <n v="5.59"/>
    <n v="5.59"/>
    <n v="5.59"/>
    <n v="5.59"/>
    <n v="5.59"/>
    <n v="5.59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n v="4320"/>
    <n v="216"/>
    <s v="0"/>
    <n v="0"/>
    <s v="0"/>
    <n v="0"/>
    <s v="0"/>
    <n v="0"/>
  </r>
  <r>
    <s v="FY24"/>
    <s v="Allen Chen"/>
    <m/>
    <m/>
    <m/>
    <m/>
    <n v="2016"/>
    <s v="Gadget"/>
    <s v="Mouse"/>
    <s v="NA"/>
    <s v="Lumiere Blue"/>
    <s v="S China"/>
    <s v="OTHERS"/>
    <n v="5.110000000000000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Ceramic White"/>
    <s v="S China"/>
    <s v="OTHERS"/>
    <n v="5.39"/>
    <n v="5.81"/>
    <n v="5.81"/>
    <n v="5.81"/>
    <n v="5.81"/>
    <n v="5.81"/>
    <n v="5.81"/>
    <n v="5.81"/>
    <n v="5.81"/>
    <n v="5.81"/>
    <n v="5.81"/>
    <n v="5.81"/>
    <n v="5.81"/>
    <n v="5.81"/>
    <n v="0.05"/>
    <n v="0.05"/>
    <n v="0.05"/>
    <n v="0.05"/>
    <n v="0.05"/>
    <n v="0.05"/>
    <n v="0.05"/>
    <n v="0.05"/>
    <n v="0.05"/>
    <n v="0.05"/>
    <n v="0.05"/>
    <n v="0.05"/>
    <n v="0.05"/>
    <n v="4320"/>
    <n v="216"/>
    <n v="0"/>
    <n v="0"/>
    <n v="4320"/>
    <n v="216"/>
    <n v="0"/>
    <n v="0"/>
    <n v="4320"/>
    <n v="216"/>
    <s v="0"/>
    <n v="0"/>
    <s v="0"/>
    <n v="0"/>
    <n v="4320"/>
    <n v="216"/>
    <s v="0"/>
    <n v="0"/>
    <s v="0"/>
    <n v="0"/>
    <s v="0"/>
    <n v="0"/>
    <s v="0"/>
    <n v="0"/>
  </r>
  <r>
    <s v="FY24"/>
    <s v="Allen Chen"/>
    <m/>
    <m/>
    <m/>
    <m/>
    <n v="2016"/>
    <s v="Oman"/>
    <s v="Mouse"/>
    <s v="NA"/>
    <s v="Black"/>
    <s v="S China"/>
    <s v="OTHERS"/>
    <n v="3.75"/>
    <n v="3.75"/>
    <n v="3.75"/>
    <n v="3.75"/>
    <n v="3.75"/>
    <n v="3.75"/>
    <n v="3.75"/>
    <n v="3.75"/>
    <n v="3.75"/>
    <n v="3.75"/>
    <n v="3.75"/>
    <n v="3.75"/>
    <n v="3.75"/>
    <n v="3.75"/>
    <n v="0.04"/>
    <n v="0.04"/>
    <n v="0.04"/>
    <n v="0.04"/>
    <n v="0.04"/>
    <n v="0.04"/>
    <n v="0.04"/>
    <n v="0.04"/>
    <n v="0.04"/>
    <n v="0.04"/>
    <n v="0.04"/>
    <n v="0.04"/>
    <n v="0.04"/>
    <n v="4320"/>
    <n v="172.8"/>
    <n v="0"/>
    <n v="0"/>
    <s v="0"/>
    <n v="0"/>
    <n v="4320"/>
    <n v="172.8"/>
    <n v="0"/>
    <n v="0"/>
    <s v="0"/>
    <n v="0"/>
    <n v="8640"/>
    <n v="345.6"/>
    <n v="8640"/>
    <n v="345.6"/>
    <n v="8640"/>
    <n v="345.6"/>
    <n v="4320"/>
    <n v="172.8"/>
    <n v="4320"/>
    <n v="172.8"/>
    <n v="4320"/>
    <n v="172.8"/>
  </r>
  <r>
    <s v="FY24"/>
    <s v="Allen Chen"/>
    <m/>
    <m/>
    <m/>
    <m/>
    <n v="2016"/>
    <s v="Oman"/>
    <s v="Mouse"/>
    <s v="NA"/>
    <s v="Black"/>
    <s v="S China"/>
    <s v="OTHERS"/>
    <n v="3.88"/>
    <n v="3.88"/>
    <n v="3.88"/>
    <n v="3.88"/>
    <n v="3.88"/>
    <n v="3.88"/>
    <n v="3.88"/>
    <n v="3.88"/>
    <n v="3.88"/>
    <n v="3.88"/>
    <n v="3.88"/>
    <n v="3.88"/>
    <n v="3.88"/>
    <n v="3.88"/>
    <n v="0.04"/>
    <n v="0.04"/>
    <n v="0.04"/>
    <n v="0.04"/>
    <n v="0.04"/>
    <n v="0.04"/>
    <n v="0.04"/>
    <n v="0.04"/>
    <n v="0.04"/>
    <n v="0.04"/>
    <n v="0.04"/>
    <n v="0.04"/>
    <n v="0.04"/>
    <n v="12960"/>
    <n v="518.4"/>
    <n v="21600"/>
    <n v="864"/>
    <n v="34560"/>
    <n v="1382.4"/>
    <n v="0"/>
    <n v="0"/>
    <n v="25920"/>
    <n v="1036.8"/>
    <n v="17280"/>
    <n v="691.2"/>
    <n v="77760"/>
    <n v="3110.4"/>
    <s v="0"/>
    <n v="0"/>
    <s v="0"/>
    <n v="0"/>
    <n v="4320"/>
    <n v="172.8"/>
    <s v="0"/>
    <n v="0"/>
    <n v="21600"/>
    <n v="864"/>
  </r>
  <r>
    <s v="FY24"/>
    <s v="Allen Chen"/>
    <m/>
    <m/>
    <m/>
    <m/>
    <n v="2016"/>
    <s v="Oman"/>
    <s v="Mouse"/>
    <s v="NA"/>
    <s v="Black"/>
    <s v="S China"/>
    <s v="OTHERS"/>
    <n v="3.9"/>
    <n v="4.04"/>
    <n v="4.04"/>
    <n v="4.04"/>
    <n v="4.04"/>
    <n v="4.04"/>
    <n v="4.04"/>
    <n v="4.04"/>
    <n v="4.04"/>
    <n v="4.04"/>
    <n v="4.04"/>
    <n v="4.04"/>
    <n v="4.04"/>
    <n v="4.04"/>
    <n v="0.04"/>
    <n v="0.04"/>
    <n v="0.04"/>
    <n v="0.12"/>
    <n v="0.12"/>
    <n v="0.12"/>
    <n v="0.12"/>
    <n v="0.12"/>
    <n v="0.12"/>
    <n v="0.12"/>
    <n v="0.12"/>
    <n v="0.12"/>
    <n v="0.12"/>
    <n v="0"/>
    <n v="0"/>
    <n v="6720"/>
    <n v="268.8"/>
    <n v="11520"/>
    <n v="1382.3999999999999"/>
    <n v="0"/>
    <n v="0"/>
    <n v="2880"/>
    <n v="345.59999999999997"/>
    <s v="0"/>
    <n v="0"/>
    <s v="0"/>
    <n v="0"/>
    <s v="0"/>
    <n v="0"/>
    <n v="5760"/>
    <n v="691.19999999999993"/>
    <n v="2880"/>
    <n v="345.59999999999997"/>
    <n v="2880"/>
    <n v="345.59999999999997"/>
    <n v="5760"/>
    <n v="691.19999999999993"/>
  </r>
  <r>
    <s v="FY24"/>
    <s v="Allen Chen"/>
    <m/>
    <m/>
    <m/>
    <m/>
    <n v="2016"/>
    <s v="Oman"/>
    <s v="Mouse"/>
    <s v="NA"/>
    <s v="Empress red"/>
    <s v="S China"/>
    <s v="OTHERS"/>
    <n v="4.18"/>
    <n v="4.18"/>
    <n v="4.18"/>
    <n v="4.18"/>
    <n v="4.18"/>
    <n v="4.18"/>
    <n v="4.18"/>
    <n v="4.18"/>
    <n v="4.18"/>
    <n v="4.18"/>
    <n v="4.18"/>
    <n v="4.18"/>
    <n v="4.18"/>
    <n v="4.18"/>
    <n v="0.12"/>
    <n v="0.12"/>
    <n v="0.12"/>
    <n v="0.12"/>
    <n v="0.12"/>
    <n v="0.12"/>
    <n v="0.12"/>
    <n v="0.12"/>
    <n v="0.12"/>
    <n v="0.12"/>
    <n v="0.12"/>
    <n v="0.12"/>
    <n v="0.12"/>
    <n v="2880"/>
    <n v="345.59999999999997"/>
    <n v="0"/>
    <n v="0"/>
    <n v="5760"/>
    <n v="691.19999999999993"/>
    <n v="0"/>
    <n v="0"/>
    <n v="2880"/>
    <n v="345.59999999999997"/>
    <s v="0"/>
    <n v="0"/>
    <n v="8640"/>
    <n v="1036.8"/>
    <n v="5760"/>
    <n v="691.19999999999993"/>
    <s v="0"/>
    <n v="0"/>
    <n v="2880"/>
    <n v="345.59999999999997"/>
    <n v="5760"/>
    <n v="691.19999999999993"/>
    <n v="2880"/>
    <n v="345.59999999999997"/>
  </r>
  <r>
    <s v="FY24"/>
    <s v="Allen Chen"/>
    <m/>
    <m/>
    <m/>
    <m/>
    <n v="2016"/>
    <s v="Oman"/>
    <s v="Mouse"/>
    <s v="NA"/>
    <s v="Empress red"/>
    <s v="S China"/>
    <s v="OTHERS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0.04"/>
    <n v="0.04"/>
    <n v="0.04"/>
    <n v="0.04"/>
    <n v="0.04"/>
    <n v="0.04"/>
    <n v="0.04"/>
    <n v="0.04"/>
    <n v="0.12"/>
    <n v="0.12"/>
    <n v="0.12"/>
    <n v="0.12"/>
    <n v="0.12"/>
    <n v="0"/>
    <n v="0"/>
    <n v="0"/>
    <n v="0"/>
    <n v="2880"/>
    <n v="115.2"/>
    <n v="0"/>
    <n v="0"/>
    <n v="0"/>
    <n v="0"/>
    <s v="0"/>
    <n v="0"/>
    <s v="0"/>
    <n v="0"/>
    <s v="0"/>
    <n v="0"/>
    <n v="2880"/>
    <n v="345.59999999999997"/>
    <s v="0"/>
    <n v="0"/>
    <s v="0"/>
    <n v="0"/>
    <n v="2880"/>
    <n v="345.59999999999997"/>
  </r>
  <r>
    <s v="FY24"/>
    <s v="Allen Chen"/>
    <m/>
    <m/>
    <m/>
    <m/>
    <n v="2016"/>
    <s v="Oman"/>
    <s v="Mouse"/>
    <s v="NA"/>
    <s v="Silk Gold"/>
    <s v="S China"/>
    <s v="OTHERS"/>
    <n v="4.3899999999999997"/>
    <n v="4.53"/>
    <n v="4.53"/>
    <n v="4.53"/>
    <n v="4.53"/>
    <n v="4.53"/>
    <n v="4.53"/>
    <n v="4.53"/>
    <n v="4.53"/>
    <n v="4.53"/>
    <n v="4.53"/>
    <n v="4.53"/>
    <n v="4.53"/>
    <n v="4.53"/>
    <n v="0.12"/>
    <n v="0.12"/>
    <n v="0.12"/>
    <n v="0.12"/>
    <n v="0.12"/>
    <n v="0.12"/>
    <n v="0.12"/>
    <n v="0.12"/>
    <n v="0.12"/>
    <n v="0.12"/>
    <n v="0.12"/>
    <n v="0.12"/>
    <n v="0.12"/>
    <n v="2880"/>
    <n v="345.59999999999997"/>
    <n v="0"/>
    <n v="0"/>
    <n v="2880"/>
    <n v="345.59999999999997"/>
    <n v="2880"/>
    <n v="345.59999999999997"/>
    <n v="2880"/>
    <n v="345.59999999999997"/>
    <n v="2880"/>
    <n v="345.59999999999997"/>
    <n v="8640"/>
    <n v="1036.8"/>
    <n v="5760"/>
    <n v="691.19999999999993"/>
    <n v="2880"/>
    <n v="345.59999999999997"/>
    <n v="2880"/>
    <n v="345.59999999999997"/>
    <n v="8640"/>
    <n v="1036.8"/>
    <n v="2880"/>
    <n v="345.59999999999997"/>
  </r>
  <r>
    <s v="FY24"/>
    <s v="Allen Chen"/>
    <m/>
    <m/>
    <m/>
    <m/>
    <n v="2016"/>
    <s v="Oman"/>
    <s v="Mouse"/>
    <s v="NA"/>
    <s v="Silk Gold"/>
    <s v="S China"/>
    <s v="OTHERS"/>
    <n v="4.38"/>
    <n v="4.38"/>
    <n v="4.38"/>
    <n v="4.38"/>
    <n v="4.38"/>
    <n v="4.38"/>
    <n v="4.38"/>
    <n v="4.38"/>
    <n v="4.38"/>
    <n v="4.38"/>
    <n v="4.38"/>
    <n v="4.38"/>
    <n v="4.38"/>
    <n v="4.38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s v="0"/>
    <n v="0"/>
    <n v="0"/>
    <n v="0"/>
    <n v="0"/>
    <n v="0"/>
    <s v="0"/>
    <n v="0"/>
    <s v="0"/>
    <n v="0"/>
    <s v="0"/>
    <n v="0"/>
    <s v="0"/>
    <n v="0"/>
    <s v="0"/>
    <n v="0"/>
    <n v="4320"/>
    <n v="172.8"/>
    <s v="0"/>
    <n v="0"/>
  </r>
  <r>
    <s v="FY24"/>
    <s v="Allen Chen"/>
    <m/>
    <m/>
    <m/>
    <m/>
    <n v="2016"/>
    <s v="Oman"/>
    <s v="Mouse"/>
    <s v="NA"/>
    <s v="Pike silver"/>
    <s v="S China"/>
    <s v="OTHERS"/>
    <n v="4.3899999999999997"/>
    <n v="4.53"/>
    <n v="4.53"/>
    <n v="4.53"/>
    <n v="4.53"/>
    <n v="4.53"/>
    <n v="4.53"/>
    <n v="4.53"/>
    <n v="4.53"/>
    <n v="4.53"/>
    <n v="4.53"/>
    <n v="4.53"/>
    <n v="4.53"/>
    <n v="4.53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n v="2880"/>
    <n v="345.59999999999997"/>
    <n v="2880"/>
    <n v="345.59999999999997"/>
    <n v="5760"/>
    <n v="691.19999999999993"/>
    <n v="5760"/>
    <n v="691.19999999999993"/>
    <n v="8640"/>
    <n v="1036.8"/>
    <n v="5760"/>
    <n v="691.19999999999993"/>
    <n v="5760"/>
    <n v="691.19999999999993"/>
    <n v="11520"/>
    <n v="1382.3999999999999"/>
    <s v="0"/>
    <n v="0"/>
    <n v="5760"/>
    <n v="691.19999999999993"/>
  </r>
  <r>
    <s v="FY24"/>
    <s v="Allen Chen"/>
    <m/>
    <m/>
    <m/>
    <m/>
    <n v="2016"/>
    <s v="Oman"/>
    <s v="Mouse"/>
    <s v="NA"/>
    <s v="Pike silver"/>
    <s v="S China"/>
    <s v="OTHERS"/>
    <n v="4.38"/>
    <n v="4.38"/>
    <n v="4.38"/>
    <n v="4.38"/>
    <n v="4.38"/>
    <n v="4.38"/>
    <n v="4.38"/>
    <n v="4.38"/>
    <n v="4.38"/>
    <n v="4.38"/>
    <n v="4.38"/>
    <n v="4.38"/>
    <n v="4.38"/>
    <n v="4.38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n v="8640"/>
    <n v="345.6"/>
    <n v="0"/>
    <n v="0"/>
    <n v="4320"/>
    <n v="172.8"/>
    <n v="4320"/>
    <n v="172.8"/>
    <n v="8640"/>
    <n v="345.6"/>
    <s v="0"/>
    <n v="0"/>
    <n v="4320"/>
    <n v="172.8"/>
    <s v="0"/>
    <n v="0"/>
    <n v="4320"/>
    <n v="172.8"/>
    <s v="0"/>
    <n v="0"/>
  </r>
  <r>
    <s v="FY24"/>
    <s v="Allen Chen"/>
    <m/>
    <m/>
    <m/>
    <m/>
    <n v="2016"/>
    <s v="Oman"/>
    <s v="Mouse"/>
    <s v="NA"/>
    <s v="Pike silver"/>
    <s v="S China"/>
    <s v="OTHERS"/>
    <n v="4.16"/>
    <n v="4.3"/>
    <n v="4.3"/>
    <n v="4.3"/>
    <n v="4.3"/>
    <n v="4.3"/>
    <n v="4.3"/>
    <n v="4.3"/>
    <n v="4.3"/>
    <n v="4.3"/>
    <n v="4.3"/>
    <n v="4.3"/>
    <n v="4.3"/>
    <n v="4.3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Oman"/>
    <s v="Mouse"/>
    <s v="NA"/>
    <s v="Mrn Blue"/>
    <s v="S China"/>
    <s v="OTHERS"/>
    <n v="4.04"/>
    <n v="4.18"/>
    <n v="4.18"/>
    <n v="4.18"/>
    <n v="4.18"/>
    <n v="4.18"/>
    <n v="4.18"/>
    <n v="4.18"/>
    <n v="4.18"/>
    <n v="4.18"/>
    <n v="4.18"/>
    <n v="4.18"/>
    <n v="4.18"/>
    <n v="4.18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s v="0"/>
    <n v="0"/>
    <n v="0"/>
    <n v="0"/>
    <n v="0"/>
    <n v="0"/>
    <n v="5760"/>
    <n v="691.19999999999993"/>
    <n v="8640"/>
    <n v="1036.8"/>
    <s v="0"/>
    <n v="0"/>
    <n v="8640"/>
    <n v="1036.8"/>
    <n v="5760"/>
    <n v="691.19999999999993"/>
    <n v="2880"/>
    <n v="345.59999999999997"/>
    <s v="0"/>
    <n v="0"/>
  </r>
  <r>
    <s v="FY24"/>
    <s v="Allen Chen"/>
    <m/>
    <m/>
    <m/>
    <m/>
    <n v="2016"/>
    <s v="Oman"/>
    <s v="Mouse"/>
    <s v="NA"/>
    <s v="Mrn Blue"/>
    <s v="S China"/>
    <s v="OTHERS"/>
    <n v="4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n v="2880"/>
    <n v="345.59999999999997"/>
    <n v="0"/>
    <n v="0"/>
    <n v="0"/>
    <n v="0"/>
    <s v="0"/>
    <n v="0"/>
    <n v="2880"/>
    <n v="345.59999999999997"/>
    <s v="0"/>
    <n v="0"/>
    <n v="2880"/>
    <n v="345.59999999999997"/>
    <s v="0"/>
    <n v="0"/>
    <n v="2880"/>
    <n v="345.59999999999997"/>
    <s v="0"/>
    <n v="0"/>
  </r>
  <r>
    <s v="FY24"/>
    <s v="Allen Chen"/>
    <m/>
    <m/>
    <m/>
    <m/>
    <n v="2019"/>
    <s v="Galapagos"/>
    <s v="Mouse"/>
    <s v="NA"/>
    <s v="Black"/>
    <s v="S China"/>
    <s v="OTHERS"/>
    <n v="1.81"/>
    <n v="1.81"/>
    <n v="1.81"/>
    <n v="1.81"/>
    <n v="1.81"/>
    <n v="1.81"/>
    <n v="1.81"/>
    <n v="1.81"/>
    <n v="1.81"/>
    <n v="1.81"/>
    <n v="1.81"/>
    <n v="1.81"/>
    <n v="1.81"/>
    <n v="1.81"/>
    <n v="0"/>
    <n v="0"/>
    <n v="0"/>
    <n v="0"/>
    <n v="0"/>
    <n v="0"/>
    <n v="0"/>
    <n v="0"/>
    <n v="0"/>
    <n v="0"/>
    <n v="0"/>
    <n v="0"/>
    <n v="0"/>
    <n v="0"/>
    <n v="0"/>
    <n v="0"/>
    <n v="0"/>
    <n v="26880"/>
    <n v="0"/>
    <n v="0"/>
    <n v="0"/>
    <n v="0"/>
    <n v="0"/>
    <n v="6720"/>
    <n v="0"/>
    <n v="6720"/>
    <n v="0"/>
    <n v="13440"/>
    <n v="0"/>
    <n v="13440"/>
    <n v="0"/>
    <n v="13440"/>
    <n v="0"/>
    <n v="6720"/>
    <n v="0"/>
    <s v="0"/>
    <n v="0"/>
  </r>
  <r>
    <s v="FY24"/>
    <s v="Allen Chen"/>
    <m/>
    <m/>
    <m/>
    <m/>
    <n v="2019"/>
    <s v="Galapagos"/>
    <s v="Mouse"/>
    <s v="NA"/>
    <s v="Black"/>
    <s v="S China"/>
    <s v="OTHERS"/>
    <n v="1.72"/>
    <n v="1.72"/>
    <n v="1.72"/>
    <n v="1.72"/>
    <n v="1.72"/>
    <n v="1.72"/>
    <n v="1.72"/>
    <n v="1.72"/>
    <n v="1.72"/>
    <n v="1.72"/>
    <n v="1.72"/>
    <n v="1.72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6720"/>
    <n v="0"/>
    <n v="1344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9"/>
    <s v="Galapagos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2880"/>
    <n v="0"/>
    <n v="5760"/>
    <n v="0"/>
    <n v="8640"/>
    <n v="0"/>
    <n v="0"/>
    <n v="0"/>
    <n v="2880"/>
    <n v="0"/>
    <n v="2880"/>
    <n v="0"/>
    <n v="2880"/>
    <n v="0"/>
    <n v="5760"/>
    <n v="0"/>
    <n v="8640"/>
    <n v="0"/>
    <n v="2880"/>
    <n v="0"/>
    <n v="5760"/>
    <n v="0"/>
    <n v="14400"/>
    <n v="0"/>
  </r>
  <r>
    <s v="FY24"/>
    <s v="Allen Chen"/>
    <m/>
    <m/>
    <m/>
    <m/>
    <n v="2019"/>
    <s v="Galapagos"/>
    <s v="Mouse"/>
    <s v="NA"/>
    <s v="Black"/>
    <s v="S China"/>
    <s v="OTHERS"/>
    <n v="1.8"/>
    <n v="1.8"/>
    <n v="1.8"/>
    <n v="1.8"/>
    <n v="1.8"/>
    <n v="1.8"/>
    <n v="1.8"/>
    <n v="1.8"/>
    <n v="1.8"/>
    <n v="1.8"/>
    <n v="1.8"/>
    <n v="1.8"/>
    <n v="1.8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8640"/>
    <n v="0"/>
    <s v="0"/>
    <n v="0"/>
    <s v="0"/>
    <n v="0"/>
    <n v="14400"/>
    <n v="0"/>
    <s v="0"/>
    <n v="0"/>
    <s v="0"/>
    <n v="0"/>
    <s v="0"/>
    <n v="0"/>
    <n v="11520"/>
    <n v="0"/>
  </r>
  <r>
    <s v="FY24"/>
    <s v="Allen Chen"/>
    <m/>
    <m/>
    <m/>
    <m/>
    <n v="2023"/>
    <s v="Galapagos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Galapagos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2880"/>
    <n v="0"/>
    <n v="0"/>
    <n v="0"/>
    <n v="2880"/>
    <n v="0"/>
    <n v="288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Galapagos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</r>
  <r>
    <s v="FY24"/>
    <s v="Allen Chen"/>
    <m/>
    <m/>
    <m/>
    <m/>
    <n v="2023"/>
    <s v="Galapagos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0"/>
    <n v="0"/>
    <n v="0"/>
    <n v="0"/>
    <n v="35000"/>
    <n v="0"/>
    <m/>
    <n v="0"/>
    <m/>
    <n v="0"/>
    <m/>
    <n v="0"/>
    <s v="0"/>
    <n v="0"/>
  </r>
  <r>
    <s v="FY24"/>
    <s v="Allen Chen"/>
    <m/>
    <m/>
    <m/>
    <m/>
    <n v="2023"/>
    <s v="Galapagos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2880"/>
    <n v="0"/>
    <n v="2880"/>
    <n v="0"/>
    <n v="2880"/>
    <n v="0"/>
    <n v="2880"/>
    <n v="0"/>
  </r>
  <r>
    <s v="FY24"/>
    <s v="Allen Chen"/>
    <m/>
    <m/>
    <m/>
    <m/>
    <n v="2020"/>
    <s v="Jerry"/>
    <s v="Mouse"/>
    <s v="NA"/>
    <s v="Nightfull black"/>
    <s v="S China"/>
    <s v="OTHERS"/>
    <n v="22.76"/>
    <n v="22.78"/>
    <n v="22.78"/>
    <n v="22.78"/>
    <n v="22.78"/>
    <n v="22.78"/>
    <n v="22.78"/>
    <n v="22.78"/>
    <n v="22.78"/>
    <n v="22.78"/>
    <n v="22.78"/>
    <n v="22.78"/>
    <n v="22.72"/>
    <n v="22.72"/>
    <n v="0"/>
    <n v="0"/>
    <n v="0"/>
    <n v="0"/>
    <n v="0"/>
    <n v="0"/>
    <n v="0"/>
    <n v="0"/>
    <n v="0"/>
    <n v="0"/>
    <n v="0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n v="1008"/>
    <n v="0"/>
    <s v="0"/>
    <n v="0"/>
    <s v="0"/>
    <n v="0"/>
    <s v="0"/>
    <n v="0"/>
  </r>
  <r>
    <s v="FY24"/>
    <s v="Allen Chen"/>
    <m/>
    <m/>
    <m/>
    <m/>
    <n v="2020"/>
    <s v="Jerry"/>
    <s v="Mouse"/>
    <s v="NA"/>
    <s v="Nightfull black"/>
    <s v="S China"/>
    <s v="OTHERS"/>
    <n v="22.82"/>
    <n v="22.84"/>
    <n v="22.84"/>
    <n v="22.84"/>
    <n v="22.84"/>
    <n v="22.84"/>
    <n v="22.84"/>
    <n v="22.84"/>
    <n v="22.84"/>
    <n v="22.84"/>
    <n v="22.84"/>
    <n v="22.84"/>
    <n v="22.78"/>
    <n v="22.78"/>
    <n v="0"/>
    <n v="0"/>
    <n v="0"/>
    <n v="0"/>
    <n v="0"/>
    <n v="0"/>
    <n v="0"/>
    <n v="0"/>
    <n v="0"/>
    <n v="0"/>
    <n v="0"/>
    <n v="0.06"/>
    <n v="0.06"/>
    <n v="0"/>
    <n v="0"/>
    <n v="0"/>
    <n v="0"/>
    <n v="1008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s v="Brain"/>
    <s v="Mouse"/>
    <s v="NA"/>
    <s v="Nightfull black"/>
    <s v="S China"/>
    <s v="OTHERS"/>
    <n v="30.4"/>
    <n v="30.42"/>
    <n v="30.42"/>
    <n v="30.42"/>
    <n v="30.42"/>
    <n v="30.42"/>
    <n v="30.42"/>
    <n v="30.42"/>
    <n v="30.42"/>
    <n v="30.42"/>
    <n v="30.42"/>
    <n v="30.42"/>
    <n v="30.35"/>
    <n v="30.3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n v="1008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s v="Brain"/>
    <s v="Mouse"/>
    <s v="NA"/>
    <s v="Nightfull black"/>
    <s v="S China"/>
    <s v="OTHERS"/>
    <n v="30.46"/>
    <n v="30.48"/>
    <n v="30.48"/>
    <n v="30.48"/>
    <n v="30.48"/>
    <n v="30.48"/>
    <n v="30.48"/>
    <n v="30.48"/>
    <n v="30.48"/>
    <n v="30.48"/>
    <n v="30.48"/>
    <n v="30.48"/>
    <n v="30.41"/>
    <n v="30.41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s v="Brain"/>
    <s v="Mouse"/>
    <s v="NA"/>
    <s v="Natural Silver"/>
    <s v="S China"/>
    <s v="OTHERS"/>
    <n v="30.56"/>
    <n v="30.58"/>
    <n v="30.58"/>
    <n v="30.58"/>
    <n v="30.58"/>
    <n v="30.58"/>
    <n v="30.58"/>
    <n v="30.58"/>
    <n v="30.58"/>
    <n v="30.58"/>
    <n v="30.58"/>
    <n v="30.58"/>
    <n v="30.51"/>
    <n v="30.51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n v="1008"/>
    <n v="0"/>
    <s v="0"/>
    <n v="0"/>
    <s v="0"/>
    <n v="0"/>
    <s v="0"/>
    <n v="0"/>
    <s v="0"/>
    <n v="0"/>
  </r>
  <r>
    <s v="FY24"/>
    <s v="Allen Chen"/>
    <m/>
    <m/>
    <m/>
    <m/>
    <n v="2020"/>
    <s v="Brain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n v="30.35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s v="Brain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n v="30.35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s v="Brain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n v="30.35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s v="Oreo"/>
    <s v="Mouse"/>
    <s v="NA"/>
    <s v="Black"/>
    <s v="S China"/>
    <s v="OTHERS"/>
    <n v="1.72"/>
    <n v="1.72"/>
    <n v="1.72"/>
    <n v="1.72"/>
    <n v="1.72"/>
    <n v="1.72"/>
    <n v="1.72"/>
    <n v="1.72"/>
    <n v="1.72"/>
    <n v="1.72"/>
    <n v="1.72"/>
    <n v="1.72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6720"/>
    <n v="0"/>
    <s v="0"/>
    <n v="0"/>
    <n v="13440"/>
    <n v="0"/>
    <n v="6720"/>
    <n v="0"/>
    <n v="26880"/>
    <n v="0"/>
    <n v="20160"/>
    <n v="0"/>
    <s v="0"/>
    <n v="0"/>
    <s v="0"/>
    <n v="0"/>
  </r>
  <r>
    <s v="FY24"/>
    <s v="Allen Chen"/>
    <m/>
    <m/>
    <m/>
    <m/>
    <n v="2020"/>
    <s v="Oreo"/>
    <s v="Mouse"/>
    <s v="NA"/>
    <s v="Black"/>
    <s v="S China"/>
    <s v="OTHERS"/>
    <n v="1.66"/>
    <n v="1.66"/>
    <n v="1.66"/>
    <n v="1.66"/>
    <n v="1.66"/>
    <n v="1.66"/>
    <n v="1.66"/>
    <n v="1.66"/>
    <n v="1.66"/>
    <n v="1.66"/>
    <n v="1.66"/>
    <n v="1.66"/>
    <n v="1.66"/>
    <n v="1.66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6720"/>
    <n v="0"/>
    <s v="0"/>
    <n v="0"/>
    <s v="0"/>
    <n v="0"/>
    <s v="0"/>
    <n v="0"/>
    <s v="0"/>
    <n v="0"/>
    <s v="0"/>
    <n v="0"/>
    <n v="6720"/>
    <n v="0"/>
    <s v="0"/>
    <n v="0"/>
  </r>
  <r>
    <s v="FY24"/>
    <s v="Allen Chen"/>
    <m/>
    <m/>
    <m/>
    <m/>
    <n v="2020"/>
    <s v="Oreo"/>
    <s v="Mouse"/>
    <s v="NA"/>
    <s v="Black"/>
    <s v="S China"/>
    <s v="OTHERS"/>
    <n v="1.65"/>
    <n v="1.65"/>
    <n v="1.65"/>
    <n v="1.65"/>
    <n v="1.65"/>
    <n v="1.65"/>
    <n v="1.65"/>
    <n v="1.65"/>
    <n v="1.65"/>
    <n v="1.65"/>
    <n v="1.65"/>
    <n v="1.65"/>
    <n v="1.65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0"/>
    <n v="0"/>
    <n v="6720"/>
    <n v="0"/>
    <n v="6720"/>
    <n v="0"/>
    <s v="0"/>
    <n v="0"/>
    <s v="0"/>
    <n v="0"/>
    <n v="6720"/>
    <n v="0"/>
    <s v="0"/>
    <n v="0"/>
    <s v="0"/>
    <n v="0"/>
  </r>
  <r>
    <s v="FY24"/>
    <s v="Allen Chen"/>
    <m/>
    <m/>
    <m/>
    <m/>
    <n v="2020"/>
    <s v="Kitkat"/>
    <s v="Mouse"/>
    <s v="NA"/>
    <s v="Black"/>
    <s v="S China"/>
    <s v="OTHERS"/>
    <n v="3.28"/>
    <n v="3.33"/>
    <n v="3.33"/>
    <n v="3.33"/>
    <n v="3.33"/>
    <n v="3.33"/>
    <n v="3.33"/>
    <n v="3.33"/>
    <n v="3.33"/>
    <n v="3.33"/>
    <n v="3.33"/>
    <n v="3.33"/>
    <n v="3.33"/>
    <n v="3.33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13440"/>
    <n v="0"/>
    <s v="0"/>
    <n v="0"/>
    <n v="6720"/>
    <n v="0"/>
    <n v="6720"/>
    <n v="0"/>
    <s v="0"/>
    <n v="0"/>
    <s v="0"/>
    <n v="0"/>
    <s v="0"/>
    <n v="0"/>
    <n v="13440"/>
    <n v="0"/>
  </r>
  <r>
    <s v="FY24"/>
    <s v="Allen Chen"/>
    <m/>
    <m/>
    <m/>
    <m/>
    <n v="2020"/>
    <s v="Kitkat"/>
    <s v="Mouse"/>
    <s v="NA"/>
    <s v="Black"/>
    <s v="S China"/>
    <s v="OTHERS"/>
    <n v="3.24"/>
    <n v="3.29"/>
    <n v="3.29"/>
    <n v="3.29"/>
    <n v="3.29"/>
    <n v="3.29"/>
    <n v="3.29"/>
    <n v="3.29"/>
    <n v="3.29"/>
    <n v="3.29"/>
    <n v="3.29"/>
    <n v="3.29"/>
    <n v="3.29"/>
    <n v="3.29"/>
    <n v="0"/>
    <n v="0"/>
    <n v="0"/>
    <n v="0"/>
    <n v="0"/>
    <n v="0"/>
    <n v="0"/>
    <n v="0"/>
    <n v="0"/>
    <n v="0"/>
    <n v="0"/>
    <n v="0"/>
    <n v="0"/>
    <n v="6720"/>
    <n v="0"/>
    <n v="6720"/>
    <n v="0"/>
    <n v="6720"/>
    <n v="0"/>
    <n v="0"/>
    <n v="0"/>
    <n v="6720"/>
    <n v="0"/>
    <n v="13440"/>
    <n v="0"/>
    <n v="6720"/>
    <n v="0"/>
    <n v="53760"/>
    <n v="0"/>
    <s v="0"/>
    <n v="0"/>
    <s v="0"/>
    <n v="0"/>
    <s v="0"/>
    <n v="0"/>
    <s v="0"/>
    <n v="0"/>
  </r>
  <r>
    <s v="FY24"/>
    <s v="Allen Chen"/>
    <m/>
    <m/>
    <m/>
    <m/>
    <n v="2020"/>
    <s v="Kitkat"/>
    <s v="Mouse"/>
    <s v="NA"/>
    <s v="Black"/>
    <s v="S China"/>
    <s v="OTHERS"/>
    <n v="3.28"/>
    <n v="3.28"/>
    <n v="3.28"/>
    <n v="3.28"/>
    <n v="3.28"/>
    <n v="3.28"/>
    <n v="3.28"/>
    <n v="3.28"/>
    <n v="3.28"/>
    <n v="3.28"/>
    <n v="3.28"/>
    <n v="3.28"/>
    <n v="3.28"/>
    <n v="3.2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6720"/>
    <n v="0"/>
    <n v="6720"/>
    <n v="0"/>
    <s v="0"/>
    <n v="0"/>
    <n v="6720"/>
    <n v="0"/>
    <s v="0"/>
    <n v="0"/>
    <s v="0"/>
    <n v="0"/>
    <n v="6720"/>
    <n v="0"/>
    <s v="0"/>
    <n v="0"/>
  </r>
  <r>
    <s v="FY24"/>
    <s v="Allen Chen"/>
    <m/>
    <m/>
    <m/>
    <m/>
    <n v="2020"/>
    <s v="Kitkat"/>
    <s v="Mouse"/>
    <s v="NA"/>
    <s v="Black"/>
    <s v="S China"/>
    <s v="OTHERS"/>
    <n v="3.25"/>
    <n v="3.25"/>
    <n v="3.25"/>
    <n v="3.25"/>
    <n v="3.25"/>
    <n v="3.25"/>
    <n v="3.25"/>
    <n v="3.25"/>
    <n v="3.25"/>
    <n v="3.25"/>
    <n v="3.25"/>
    <n v="3.25"/>
    <n v="3.25"/>
    <n v="3.2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s v="Kitkat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s v="Kitkat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s v="Kitkat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3600"/>
    <n v="0"/>
    <n v="3600"/>
    <n v="0"/>
    <n v="3600"/>
    <n v="0"/>
    <s v="0"/>
    <n v="0"/>
    <n v="3600"/>
    <n v="0"/>
    <n v="3600"/>
    <n v="0"/>
    <s v="0"/>
    <n v="0"/>
    <s v="0"/>
    <n v="0"/>
    <s v="0"/>
    <n v="0"/>
  </r>
  <r>
    <s v="FY24"/>
    <s v="Allen Chen"/>
    <m/>
    <m/>
    <m/>
    <m/>
    <n v="2020"/>
    <s v="Kitkat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s v="MilkaB"/>
    <s v="Mouse"/>
    <s v="NA"/>
    <s v="Black"/>
    <s v="S China"/>
    <s v="OTHERS"/>
    <n v="4.22"/>
    <n v="4.26"/>
    <n v="4.26"/>
    <n v="4.26"/>
    <n v="4.26"/>
    <n v="4.26"/>
    <n v="4.26"/>
    <n v="4.26"/>
    <n v="4.26"/>
    <n v="4.26"/>
    <n v="4.26"/>
    <n v="4.26"/>
    <n v="4.26"/>
    <n v="4.2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14400"/>
    <n v="0"/>
    <n v="20160"/>
    <n v="0"/>
    <n v="28800"/>
    <n v="0"/>
    <n v="0"/>
    <n v="0"/>
    <n v="11520"/>
    <n v="0"/>
    <n v="11520"/>
    <n v="0"/>
    <n v="8640"/>
    <n v="0"/>
    <n v="19480"/>
    <n v="1363.6000000000001"/>
    <n v="6160"/>
    <n v="431.20000000000005"/>
    <n v="7760"/>
    <n v="543.20000000000005"/>
    <n v="8640"/>
    <n v="604.80000000000007"/>
    <n v="11520"/>
    <n v="806.40000000000009"/>
  </r>
  <r>
    <s v="FY24"/>
    <s v="Allen Chen"/>
    <m/>
    <m/>
    <m/>
    <m/>
    <n v="2021"/>
    <s v="MilkaB"/>
    <s v="Mouse"/>
    <s v="NA"/>
    <s v="Black"/>
    <s v="S China"/>
    <s v="OTHERS"/>
    <n v="4.32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5760"/>
    <n v="0"/>
    <s v="0"/>
    <n v="0"/>
    <s v="0"/>
    <n v="0"/>
    <n v="2880"/>
    <n v="201.60000000000002"/>
    <n v="5760"/>
    <n v="403.20000000000005"/>
    <n v="11520"/>
    <n v="806.40000000000009"/>
    <s v="0"/>
    <n v="0"/>
    <s v="0"/>
    <n v="0"/>
  </r>
  <r>
    <s v="FY24"/>
    <s v="Allen Chen"/>
    <m/>
    <m/>
    <m/>
    <m/>
    <n v="2021"/>
    <s v="MilkaB"/>
    <s v="Mouse"/>
    <s v="NA"/>
    <s v="Black"/>
    <s v="S China"/>
    <s v="OTHERS"/>
    <n v="4.28"/>
    <n v="4.32"/>
    <n v="4.32"/>
    <n v="4.32"/>
    <n v="4.32"/>
    <n v="4.32"/>
    <n v="4.32"/>
    <n v="4.32"/>
    <n v="4.32"/>
    <n v="4.32"/>
    <n v="4.32"/>
    <n v="4.32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5760"/>
    <n v="0"/>
    <n v="0"/>
    <n v="0"/>
    <n v="5760"/>
    <n v="0"/>
    <n v="0"/>
    <n v="0"/>
    <n v="5760"/>
    <n v="0"/>
    <s v="0"/>
    <n v="0"/>
    <n v="5760"/>
    <n v="0"/>
    <n v="8640"/>
    <n v="604.80000000000007"/>
    <n v="5760"/>
    <n v="403.20000000000005"/>
    <n v="14400"/>
    <n v="1008.0000000000001"/>
    <n v="8640"/>
    <n v="604.80000000000007"/>
    <n v="11520"/>
    <n v="806.40000000000009"/>
  </r>
  <r>
    <s v="FY24"/>
    <s v="Allen Chen"/>
    <m/>
    <m/>
    <m/>
    <m/>
    <n v="2021"/>
    <s v="MilkaB"/>
    <s v="Mouse"/>
    <s v="NA"/>
    <s v="Pike silver"/>
    <s v="S China"/>
    <s v="OTHERS"/>
    <n v="4.63"/>
    <n v="4.67"/>
    <n v="4.67"/>
    <n v="4.67"/>
    <n v="4.67"/>
    <n v="4.67"/>
    <n v="4.67"/>
    <n v="4.67"/>
    <n v="4.67"/>
    <n v="4.67"/>
    <n v="4.67"/>
    <n v="4.67"/>
    <n v="4.67"/>
    <n v="4.6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s v="MilkaB"/>
    <s v="Mouse"/>
    <s v="NA"/>
    <s v="Pike silver"/>
    <s v="S China"/>
    <s v="OTHERS"/>
    <n v="4.67"/>
    <n v="4.71"/>
    <n v="4.71"/>
    <n v="4.71"/>
    <n v="4.71"/>
    <n v="4.71"/>
    <n v="4.71"/>
    <n v="4.71"/>
    <n v="4.71"/>
    <n v="4.71"/>
    <n v="4.71"/>
    <n v="4.71"/>
    <n v="4.71"/>
    <n v="4.7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2880"/>
    <n v="0"/>
    <n v="2880"/>
    <n v="0"/>
    <s v="0"/>
    <n v="0"/>
    <s v="0"/>
    <n v="0"/>
    <n v="2880"/>
    <n v="201.60000000000002"/>
    <s v="0"/>
    <n v="0"/>
    <n v="2880"/>
    <n v="201.60000000000002"/>
    <n v="2880"/>
    <n v="201.60000000000002"/>
    <n v="2880"/>
    <n v="201.60000000000002"/>
  </r>
  <r>
    <s v="FY24"/>
    <s v="Allen Chen"/>
    <m/>
    <m/>
    <m/>
    <m/>
    <n v="2021"/>
    <s v="MilkaB"/>
    <s v="Mouse"/>
    <s v="NA"/>
    <s v="Pike silver"/>
    <s v="S China"/>
    <s v="OTHERS"/>
    <n v="4.63"/>
    <n v="4.67"/>
    <n v="4.67"/>
    <n v="4.67"/>
    <n v="4.67"/>
    <n v="4.67"/>
    <n v="4.67"/>
    <n v="4.67"/>
    <n v="4.67"/>
    <n v="4.67"/>
    <n v="4.67"/>
    <n v="4.67"/>
    <n v="4.67"/>
    <n v="4.6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n v="2880"/>
    <n v="0"/>
    <n v="2880"/>
    <n v="201.60000000000002"/>
    <n v="5760"/>
    <n v="403.20000000000005"/>
    <n v="2880"/>
    <n v="201.60000000000002"/>
    <s v="0"/>
    <n v="0"/>
    <n v="2880"/>
    <n v="201.60000000000002"/>
  </r>
  <r>
    <s v="FY24"/>
    <s v="Allen Chen"/>
    <m/>
    <m/>
    <m/>
    <m/>
    <n v="2021"/>
    <s v="MilkaB"/>
    <s v="Mouse"/>
    <s v="NA"/>
    <s v="Red"/>
    <s v="S China"/>
    <s v="OTHERS"/>
    <n v="4.43"/>
    <n v="4.47"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s v="MilkaB"/>
    <s v="Mouse"/>
    <s v="NA"/>
    <s v="Red"/>
    <s v="S China"/>
    <s v="OTHERS"/>
    <n v="4.37"/>
    <n v="4.41"/>
    <n v="4.41"/>
    <n v="4.41"/>
    <n v="4.41"/>
    <n v="4.41"/>
    <n v="4.41"/>
    <n v="4.41"/>
    <n v="4.41"/>
    <n v="4.41"/>
    <n v="4.41"/>
    <n v="4.41"/>
    <n v="4.41"/>
    <n v="4.4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1440"/>
    <n v="0"/>
    <n v="4320"/>
    <n v="0"/>
    <n v="2880"/>
    <n v="0"/>
    <n v="0"/>
    <n v="0"/>
    <n v="2880"/>
    <n v="0"/>
    <n v="5760"/>
    <n v="0"/>
    <s v="0"/>
    <n v="0"/>
    <n v="2880"/>
    <n v="201.60000000000002"/>
    <n v="2880"/>
    <n v="201.60000000000002"/>
    <s v="0"/>
    <n v="0"/>
    <n v="2880"/>
    <n v="201.60000000000002"/>
    <s v="0"/>
    <n v="0"/>
  </r>
  <r>
    <s v="FY24"/>
    <s v="Allen Chen"/>
    <m/>
    <m/>
    <m/>
    <m/>
    <n v="2021"/>
    <s v="MilkaB"/>
    <s v="Mouse"/>
    <s v="NA"/>
    <s v="Red"/>
    <s v="S China"/>
    <s v="OTHERS"/>
    <n v="4.47"/>
    <n v="4.51"/>
    <n v="4.51"/>
    <n v="4.51"/>
    <n v="4.51"/>
    <n v="4.51"/>
    <n v="4.51"/>
    <n v="4.51"/>
    <n v="4.51"/>
    <n v="4.51"/>
    <n v="4.51"/>
    <n v="4.51"/>
    <n v="4.51"/>
    <n v="4.5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5760"/>
    <n v="0"/>
    <n v="0"/>
    <n v="0"/>
    <n v="0"/>
    <n v="0"/>
    <s v="0"/>
    <n v="0"/>
    <s v="0"/>
    <n v="0"/>
    <s v="0"/>
    <n v="0"/>
    <s v="0"/>
    <n v="0"/>
    <n v="2880"/>
    <n v="201.60000000000002"/>
    <s v="0"/>
    <n v="0"/>
    <s v="0"/>
    <n v="0"/>
  </r>
  <r>
    <s v="FY24"/>
    <s v="Allen Chen"/>
    <m/>
    <m/>
    <m/>
    <m/>
    <n v="2021"/>
    <s v="MilkaB"/>
    <s v="Mouse"/>
    <s v="NA"/>
    <s v="Red"/>
    <s v="S China"/>
    <s v="OTHERS"/>
    <n v="4.43"/>
    <n v="4.47"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lkaB"/>
    <s v="Mouse"/>
    <s v="NA"/>
    <s v="White"/>
    <s v="S China"/>
    <s v="OTHERS"/>
    <n v="4.42"/>
    <n v="4.42"/>
    <n v="4.42"/>
    <n v="4.42"/>
    <n v="4.42"/>
    <n v="4.42"/>
    <n v="4.42"/>
    <n v="4.42"/>
    <n v="4.42"/>
    <n v="4.42"/>
    <n v="4.42"/>
    <n v="4.42"/>
    <n v="4.42"/>
    <n v="4.4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n v="2880"/>
    <n v="201.60000000000002"/>
    <n v="2880"/>
    <n v="201.60000000000002"/>
    <n v="2880"/>
    <n v="201.60000000000002"/>
    <s v="0"/>
    <n v="0"/>
  </r>
  <r>
    <s v="FY24"/>
    <s v="Allen Chen"/>
    <m/>
    <m/>
    <m/>
    <m/>
    <n v="2022"/>
    <s v="MilkaB"/>
    <s v="Mouse"/>
    <s v="NA"/>
    <s v="White"/>
    <s v="S China"/>
    <s v="OTHERS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"/>
    <n v="0"/>
    <n v="0"/>
    <n v="0"/>
    <n v="2880"/>
    <n v="0"/>
    <n v="576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lkaB"/>
    <s v="Mouse"/>
    <s v="NA"/>
    <s v="White"/>
    <s v="S China"/>
    <s v="OTHERS"/>
    <n v="4.42"/>
    <n v="4.42"/>
    <n v="4.42"/>
    <n v="4.42"/>
    <n v="4.42"/>
    <n v="4.42"/>
    <n v="4.42"/>
    <n v="4.42"/>
    <n v="4.42"/>
    <n v="4.42"/>
    <n v="4.42"/>
    <n v="4.42"/>
    <n v="4.42"/>
    <n v="4.4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2880"/>
    <n v="0"/>
    <n v="0"/>
    <n v="0"/>
    <s v="0"/>
    <n v="0"/>
    <n v="0"/>
    <n v="0"/>
    <n v="0"/>
    <n v="0"/>
    <s v="0"/>
    <n v="0"/>
    <s v="0"/>
    <n v="0"/>
    <n v="2880"/>
    <n v="201.60000000000002"/>
    <s v="0"/>
    <n v="0"/>
    <s v="0"/>
    <n v="0"/>
    <n v="2880"/>
    <n v="201.60000000000002"/>
    <s v="0"/>
    <n v="0"/>
  </r>
  <r>
    <s v="FY24"/>
    <s v="Allen Chen"/>
    <m/>
    <m/>
    <m/>
    <m/>
    <n v="2023"/>
    <s v="MilkaB"/>
    <s v="Mouse"/>
    <s v="NA"/>
    <s v="Black"/>
    <s v="S China"/>
    <s v="OTHERS"/>
    <n v="4.26"/>
    <n v="4.26"/>
    <n v="4.26"/>
    <n v="4.26"/>
    <n v="4.26"/>
    <n v="4.26"/>
    <n v="4.26"/>
    <n v="4.26"/>
    <n v="4.26"/>
    <n v="4.26"/>
    <n v="4.26"/>
    <n v="4.26"/>
    <n v="4.26"/>
    <n v="4.2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n v="2880"/>
    <n v="0"/>
    <n v="2880"/>
    <n v="0"/>
    <n v="2880"/>
    <n v="201.60000000000002"/>
    <n v="6680"/>
    <n v="467.6"/>
    <s v="0"/>
    <n v="0"/>
    <n v="5760"/>
    <n v="403.20000000000005"/>
    <s v="0"/>
    <n v="0"/>
  </r>
  <r>
    <s v="FY24"/>
    <s v="Allen Chen"/>
    <m/>
    <m/>
    <m/>
    <m/>
    <n v="2023"/>
    <s v="MilkaB"/>
    <s v="Mouse"/>
    <s v="NA"/>
    <s v="Black"/>
    <s v="S China"/>
    <s v="OTHERS"/>
    <n v="4.32"/>
    <n v="4.32"/>
    <n v="4.32"/>
    <n v="4.32"/>
    <n v="4.32"/>
    <n v="4.32"/>
    <n v="4.32"/>
    <n v="4.32"/>
    <n v="4.32"/>
    <n v="4.32"/>
    <n v="4.32"/>
    <n v="4.32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0"/>
    <n v="0"/>
    <n v="5760"/>
    <n v="0"/>
    <n v="51840"/>
    <n v="0"/>
    <n v="5760"/>
    <n v="0"/>
    <s v="0"/>
    <n v="0"/>
    <n v="5760"/>
    <n v="403.20000000000005"/>
    <s v="0"/>
    <n v="0"/>
    <s v="0"/>
    <n v="0"/>
    <s v="0"/>
    <n v="0"/>
    <s v="0"/>
    <n v="0"/>
  </r>
  <r>
    <s v="FY24"/>
    <s v="Allen Chen"/>
    <m/>
    <m/>
    <m/>
    <m/>
    <n v="2023"/>
    <s v="MilkaB"/>
    <s v="Mouse"/>
    <s v="NA"/>
    <s v="Black"/>
    <s v="S China"/>
    <s v="OTHERS"/>
    <n v="4.32"/>
    <n v="4.32"/>
    <n v="4.32"/>
    <n v="4.32"/>
    <n v="4.32"/>
    <n v="4.32"/>
    <n v="4.32"/>
    <n v="4.32"/>
    <n v="4.32"/>
    <n v="4.32"/>
    <n v="4.32"/>
    <n v="4.32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n v="8640"/>
    <n v="604.80000000000007"/>
    <s v="0"/>
    <n v="0"/>
    <s v="0"/>
    <n v="0"/>
    <s v="0"/>
    <n v="0"/>
    <n v="2880"/>
    <n v="201.60000000000002"/>
  </r>
  <r>
    <s v="FY24"/>
    <s v="Allen Chen"/>
    <m/>
    <m/>
    <m/>
    <m/>
    <n v="2021"/>
    <s v="KentingPlus"/>
    <s v="Mouse"/>
    <s v="NA"/>
    <s v="Black"/>
    <s v="S China"/>
    <s v="OTHERS"/>
    <n v="4.29"/>
    <n v="4.43"/>
    <n v="4.43"/>
    <n v="4.43"/>
    <n v="4.43"/>
    <n v="4.43"/>
    <n v="4.43"/>
    <n v="4.43"/>
    <n v="4.43"/>
    <n v="4.43"/>
    <n v="4.43"/>
    <n v="4.43"/>
    <n v="4.43"/>
    <n v="4.4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s v="KentingPlus"/>
    <s v="Mouse"/>
    <s v="NA"/>
    <s v="Black"/>
    <s v="S China"/>
    <s v="OTHERS"/>
    <n v="4.49"/>
    <n v="4.49"/>
    <n v="4.49"/>
    <n v="4.49"/>
    <n v="4.49"/>
    <n v="4.49"/>
    <n v="4.49"/>
    <n v="4.49"/>
    <n v="4.49"/>
    <n v="4.49"/>
    <n v="4.49"/>
    <n v="4.49"/>
    <n v="4.49"/>
    <n v="4.49"/>
    <n v="0"/>
    <n v="0"/>
    <n v="0"/>
    <n v="0"/>
    <n v="0"/>
    <n v="0"/>
    <n v="0"/>
    <n v="0"/>
    <n v="0"/>
    <n v="0"/>
    <n v="0"/>
    <n v="0"/>
    <n v="0"/>
    <n v="8640"/>
    <n v="0"/>
    <n v="8640"/>
    <n v="0"/>
    <n v="11520"/>
    <n v="0"/>
    <n v="0"/>
    <n v="0"/>
    <n v="8640"/>
    <n v="0"/>
    <n v="2880"/>
    <n v="0"/>
    <n v="864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s v="KentingPlus"/>
    <s v="Mouse"/>
    <s v="NA"/>
    <s v="Black"/>
    <s v="S China"/>
    <s v="OTHERS"/>
    <n v="4.3899999999999997"/>
    <n v="4.51"/>
    <n v="4.51"/>
    <n v="4.51"/>
    <n v="4.51"/>
    <n v="4.51"/>
    <n v="4.51"/>
    <n v="4.51"/>
    <n v="4.51"/>
    <n v="4.51"/>
    <n v="4.51"/>
    <n v="4.51"/>
    <n v="4.51"/>
    <n v="4.51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5760"/>
    <n v="0"/>
    <n v="864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s v="KentingPlus"/>
    <s v="Mouse"/>
    <s v="NA"/>
    <s v="Black"/>
    <s v="S China"/>
    <s v="OTHERS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s v="KentingPlus"/>
    <s v="Mouse"/>
    <s v="NA"/>
    <s v="Black"/>
    <s v="S China"/>
    <s v="OTHERS"/>
    <m/>
    <m/>
    <n v="4.43"/>
    <n v="4.43"/>
    <n v="4.43"/>
    <n v="4.43"/>
    <n v="4.43"/>
    <n v="4.43"/>
    <n v="4.43"/>
    <n v="4.43"/>
    <n v="4.43"/>
    <n v="4.43"/>
    <n v="4.43"/>
    <n v="4.4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8080"/>
    <n v="0"/>
    <n v="5760"/>
    <n v="0"/>
    <n v="2880"/>
    <n v="0"/>
    <n v="8640"/>
    <n v="0"/>
    <n v="8640"/>
    <n v="0"/>
  </r>
  <r>
    <s v="FY24"/>
    <s v="Allen Chen"/>
    <m/>
    <m/>
    <m/>
    <m/>
    <n v="2021"/>
    <s v="KentingPlus"/>
    <s v="Mouse"/>
    <s v="NA"/>
    <s v="Black"/>
    <s v="S China"/>
    <s v="OTHERS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51"/>
    <n v="4.51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2880"/>
    <n v="0"/>
    <n v="2880"/>
    <n v="0"/>
    <n v="2880"/>
    <n v="0"/>
    <n v="2880"/>
    <n v="0"/>
    <n v="2880"/>
    <n v="0"/>
  </r>
  <r>
    <s v="FY24"/>
    <s v="Allen Chen"/>
    <m/>
    <m/>
    <m/>
    <m/>
    <n v="2021"/>
    <s v="KentingPlus"/>
    <s v="Mouse"/>
    <s v="NA"/>
    <s v="Black"/>
    <s v="S China"/>
    <s v="OTHERS"/>
    <m/>
    <m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</r>
  <r>
    <s v="FY24"/>
    <s v="Allen Chen"/>
    <m/>
    <m/>
    <m/>
    <m/>
    <n v="2021"/>
    <s v="KentingPlus"/>
    <s v="Mouse"/>
    <s v="NA"/>
    <s v="Black"/>
    <s v="S China"/>
    <s v="OTHERS"/>
    <m/>
    <m/>
    <n v="4.49"/>
    <n v="4.49"/>
    <n v="4.49"/>
    <n v="4.49"/>
    <n v="4.49"/>
    <n v="4.49"/>
    <n v="4.49"/>
    <n v="4.49"/>
    <n v="4.49"/>
    <n v="4.49"/>
    <n v="4.49"/>
    <n v="4.4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8640"/>
    <n v="0"/>
    <n v="8640"/>
    <n v="0"/>
    <n v="5760"/>
    <n v="0"/>
    <n v="5760"/>
    <n v="0"/>
    <n v="8640"/>
    <n v="0"/>
  </r>
  <r>
    <s v="FY24"/>
    <s v="Allen Chen"/>
    <m/>
    <m/>
    <m/>
    <m/>
    <n v="2021"/>
    <s v="KentingPlus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s v="0"/>
    <n v="0"/>
    <s v="0"/>
    <n v="0"/>
    <n v="2880"/>
    <n v="0"/>
  </r>
  <r>
    <s v="FY24"/>
    <s v="Allen Chen"/>
    <m/>
    <m/>
    <m/>
    <m/>
    <n v="2021"/>
    <s v="KentingPlus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s v="KentingPlus"/>
    <s v="Mouse"/>
    <s v="NA"/>
    <s v="Black"/>
    <s v="S China"/>
    <s v="OTHERS"/>
    <m/>
    <m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</r>
  <r>
    <s v="FY24"/>
    <s v="Allen Chen"/>
    <m/>
    <m/>
    <m/>
    <m/>
    <n v="2021"/>
    <s v="KentingPlus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s v="KentingPlus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s v="KentingPlus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n v="1440"/>
    <n v="0"/>
    <s v="0"/>
    <n v="0"/>
    <n v="2880"/>
    <n v="0"/>
  </r>
  <r>
    <s v="FY24"/>
    <s v="Allen Chen"/>
    <m/>
    <m/>
    <m/>
    <m/>
    <n v="2021"/>
    <s v="KentingPlus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s v="KentingPlus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m/>
    <n v="0"/>
    <s v="0"/>
    <n v="0"/>
    <n v="5760"/>
    <n v="0"/>
  </r>
  <r>
    <s v="FY24"/>
    <s v="Allen Chen"/>
    <m/>
    <m/>
    <m/>
    <m/>
    <n v="2021"/>
    <s v="KentingPlus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n v="0"/>
    <n v="0"/>
    <n v="2880"/>
    <n v="0"/>
    <n v="20160"/>
    <n v="0"/>
  </r>
  <r>
    <s v="FY24"/>
    <s v="Allen Chen"/>
    <m/>
    <m/>
    <m/>
    <m/>
    <n v="2021"/>
    <s v="KentingPlus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m/>
    <n v="0"/>
    <s v="0"/>
    <n v="0"/>
    <n v="2880"/>
    <n v="0"/>
  </r>
  <r>
    <s v="FY24"/>
    <s v="Simon Yang"/>
    <m/>
    <m/>
    <m/>
    <m/>
    <n v="2019"/>
    <s v="KingKong"/>
    <s v="Combo"/>
    <s v="NA"/>
    <s v="Black"/>
    <s v="S China"/>
    <s v="OTHERS"/>
    <n v="9.9600000000000009"/>
    <n v="10.23"/>
    <n v="10.23"/>
    <n v="10.23"/>
    <n v="10.23"/>
    <n v="10.23"/>
    <n v="10.23"/>
    <n v="10.23"/>
    <n v="10.23"/>
    <n v="10.23"/>
    <n v="10.23"/>
    <n v="10.23"/>
    <n v="10.23"/>
    <n v="10.23"/>
    <n v="0"/>
    <n v="0"/>
    <n v="0"/>
    <n v="0"/>
    <n v="0"/>
    <n v="0"/>
    <n v="0"/>
    <n v="0"/>
    <n v="0"/>
    <n v="0"/>
    <n v="0"/>
    <n v="0"/>
    <n v="0"/>
    <n v="10080"/>
    <n v="0"/>
    <n v="1280"/>
    <n v="0"/>
    <s v="0"/>
    <n v="0"/>
    <n v="0"/>
    <n v="0"/>
    <n v="0"/>
    <n v="0"/>
    <n v="12960"/>
    <n v="0"/>
    <n v="3200"/>
    <n v="0"/>
    <n v="7680"/>
    <n v="0"/>
    <n v="3840"/>
    <n v="0"/>
    <n v="1280"/>
    <n v="0"/>
    <n v="2560"/>
    <n v="0"/>
    <n v="2560"/>
    <n v="0"/>
  </r>
  <r>
    <s v="FY24"/>
    <s v="Simon Yang"/>
    <m/>
    <m/>
    <m/>
    <m/>
    <n v="2019"/>
    <s v="KingKong"/>
    <s v="Combo"/>
    <s v="NA"/>
    <s v="Black"/>
    <s v="S China"/>
    <s v="OTHERS"/>
    <n v="9.9600000000000009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0"/>
    <n v="0"/>
    <n v="0"/>
    <n v="0"/>
    <n v="0"/>
    <n v="0"/>
    <n v="0"/>
    <n v="0"/>
    <n v="0"/>
    <n v="0"/>
    <n v="0"/>
    <n v="0"/>
    <n v="0"/>
    <n v="0"/>
    <n v="0"/>
    <n v="7200"/>
    <n v="0"/>
    <s v="0"/>
    <n v="0"/>
    <n v="0"/>
    <n v="0"/>
    <n v="7680"/>
    <n v="0"/>
    <s v="0"/>
    <n v="0"/>
    <s v="0"/>
    <n v="0"/>
    <n v="8960"/>
    <n v="0"/>
    <s v="0"/>
    <n v="0"/>
    <s v="0"/>
    <n v="0"/>
    <s v="0"/>
    <n v="0"/>
    <s v="0"/>
    <n v="0"/>
  </r>
  <r>
    <s v="FY24"/>
    <s v="Simon Yang"/>
    <m/>
    <m/>
    <m/>
    <m/>
    <n v="2019"/>
    <s v="KingKong"/>
    <s v="Combo"/>
    <s v="NA"/>
    <s v="Black"/>
    <s v="S China"/>
    <s v="OTHERS"/>
    <n v="9.9600000000000009"/>
    <n v="10.27"/>
    <n v="10.27"/>
    <n v="10.27"/>
    <n v="10.27"/>
    <n v="10.27"/>
    <n v="10.27"/>
    <n v="10.27"/>
    <n v="10.27"/>
    <n v="10.27"/>
    <n v="10.27"/>
    <n v="10.27"/>
    <n v="10.27"/>
    <n v="10.2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1280"/>
    <n v="0"/>
    <s v="0"/>
    <n v="0"/>
    <s v="0"/>
    <n v="0"/>
    <s v="0"/>
    <n v="0"/>
    <s v="0"/>
    <n v="0"/>
    <s v="0"/>
    <n v="0"/>
    <n v="6400"/>
    <n v="0"/>
    <s v="0"/>
    <n v="0"/>
  </r>
  <r>
    <s v="FY24"/>
    <s v="Simon Yang"/>
    <m/>
    <m/>
    <m/>
    <m/>
    <n v="2020"/>
    <s v="Capri"/>
    <s v="Combo"/>
    <s v="NA"/>
    <s v="Black"/>
    <s v="S China"/>
    <s v="OTHERS"/>
    <n v="5.77"/>
    <n v="5.66"/>
    <n v="5.66"/>
    <n v="5.66"/>
    <n v="5.66"/>
    <n v="5.66"/>
    <n v="5.66"/>
    <n v="5.66"/>
    <n v="5.66"/>
    <n v="5.66"/>
    <n v="5.66"/>
    <n v="5.66"/>
    <n v="5.66"/>
    <n v="5.66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5760"/>
    <n v="0"/>
    <n v="4320"/>
    <n v="0"/>
    <s v="0"/>
    <n v="0"/>
    <n v="4320"/>
    <n v="0"/>
    <n v="4320"/>
    <n v="0"/>
    <n v="1440"/>
    <n v="0"/>
    <n v="4320"/>
    <n v="0"/>
    <n v="1440"/>
    <n v="0"/>
  </r>
  <r>
    <s v="FY24"/>
    <s v="Simon Yang"/>
    <m/>
    <m/>
    <m/>
    <m/>
    <n v="2020"/>
    <s v="Capri"/>
    <s v="Combo"/>
    <s v="NA"/>
    <s v="Black"/>
    <s v="S China"/>
    <s v="OTHERS"/>
    <n v="6.07"/>
    <n v="5.86"/>
    <n v="5.86"/>
    <n v="5.86"/>
    <n v="5.86"/>
    <n v="5.86"/>
    <n v="5.86"/>
    <n v="5.86"/>
    <n v="5.86"/>
    <n v="5.86"/>
    <n v="5.86"/>
    <n v="5.86"/>
    <n v="5.86"/>
    <n v="5.86"/>
    <n v="0"/>
    <n v="0"/>
    <n v="0"/>
    <n v="0"/>
    <n v="0"/>
    <n v="0"/>
    <n v="0"/>
    <n v="0"/>
    <n v="0"/>
    <n v="0"/>
    <n v="0"/>
    <n v="0"/>
    <n v="0"/>
    <n v="4320"/>
    <n v="0"/>
    <n v="1440"/>
    <n v="0"/>
    <n v="1440"/>
    <n v="0"/>
    <n v="1440"/>
    <n v="0"/>
    <n v="3440"/>
    <n v="0"/>
    <n v="4440"/>
    <n v="0"/>
    <s v="0"/>
    <n v="0"/>
    <n v="1440"/>
    <n v="0"/>
    <s v="0"/>
    <n v="0"/>
    <s v="0"/>
    <n v="0"/>
    <n v="2880"/>
    <n v="0"/>
    <n v="1440"/>
    <n v="0"/>
  </r>
  <r>
    <s v="FY24"/>
    <s v="Simon Yang"/>
    <m/>
    <m/>
    <m/>
    <m/>
    <n v="2020"/>
    <s v="Capri"/>
    <s v="Combo"/>
    <s v="NA"/>
    <s v="Black"/>
    <s v="S China"/>
    <s v="OTHERS"/>
    <n v="5.77"/>
    <n v="5.56"/>
    <n v="5.56"/>
    <n v="5.56"/>
    <n v="5.56"/>
    <n v="5.56"/>
    <n v="5.56"/>
    <n v="5.56"/>
    <n v="5.56"/>
    <n v="5.56"/>
    <n v="5.56"/>
    <n v="5.56"/>
    <n v="5.56"/>
    <n v="5.56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n v="9.0299999999999994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n v="12800"/>
    <n v="2304"/>
    <n v="8960"/>
    <n v="1612.8"/>
    <n v="3840"/>
    <n v="691.19999999999993"/>
    <n v="11520"/>
    <n v="2073.6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n v="9.0299999999999994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0.18"/>
    <n v="0.18"/>
    <n v="0.18"/>
    <n v="0.18"/>
    <n v="0.18"/>
    <n v="0.18"/>
    <n v="0.18"/>
    <n v="0.18"/>
    <n v="0.18"/>
    <n v="0.18"/>
    <n v="0.18"/>
    <n v="0.18"/>
    <n v="0.18"/>
    <n v="2560"/>
    <n v="460.79999999999995"/>
    <n v="2560"/>
    <n v="460.79999999999995"/>
    <n v="6400"/>
    <n v="1152"/>
    <n v="0"/>
    <n v="0"/>
    <n v="6400"/>
    <n v="1152"/>
    <s v="0"/>
    <n v="0"/>
    <n v="2560"/>
    <n v="460.79999999999995"/>
    <n v="5120"/>
    <n v="921.59999999999991"/>
    <s v="0"/>
    <n v="0"/>
    <n v="3840"/>
    <n v="691.19999999999993"/>
    <n v="2560"/>
    <n v="460.79999999999995"/>
    <s v="0"/>
    <n v="0"/>
  </r>
  <r>
    <s v="FY24"/>
    <s v="Simon Yang"/>
    <m/>
    <m/>
    <m/>
    <m/>
    <n v="2020"/>
    <s v="Brac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n v="8.85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5120"/>
    <n v="921.59999999999991"/>
    <n v="16640"/>
    <n v="2995.2"/>
    <n v="3840"/>
    <n v="691.19999999999993"/>
    <n v="5120"/>
    <n v="921.59999999999991"/>
    <n v="7680"/>
    <n v="1382.3999999999999"/>
    <s v="0"/>
    <n v="0"/>
    <n v="5120"/>
    <n v="921.59999999999991"/>
    <n v="6400"/>
    <n v="1152"/>
    <n v="7680"/>
    <n v="1382.3999999999999"/>
    <n v="12800"/>
    <n v="2304"/>
    <n v="8960"/>
    <n v="1612.8"/>
  </r>
  <r>
    <s v="FY24"/>
    <s v="Simon Yang"/>
    <m/>
    <m/>
    <m/>
    <m/>
    <n v="2020"/>
    <s v="Brac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n v="8.85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n v="8.85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8960"/>
    <n v="1612.8"/>
    <n v="21760"/>
    <n v="3916.7999999999997"/>
    <n v="0"/>
    <n v="0"/>
    <n v="16640"/>
    <n v="2995.2"/>
    <n v="15360"/>
    <n v="2764.7999999999997"/>
    <n v="25600"/>
    <n v="4608"/>
    <s v="0"/>
    <n v="0"/>
    <n v="11520"/>
    <n v="2073.6"/>
    <n v="23040"/>
    <n v="4147.2"/>
    <n v="34560"/>
    <n v="6220.8"/>
    <s v="0"/>
    <n v="0"/>
  </r>
  <r>
    <s v="FY24"/>
    <s v="Simon Yang"/>
    <m/>
    <m/>
    <m/>
    <m/>
    <n v="2020"/>
    <s v="Brac"/>
    <s v="Combo"/>
    <s v="NA"/>
    <s v="Black"/>
    <s v="S China"/>
    <s v="OTHERS"/>
    <n v="9.1999999999999993"/>
    <n v="9"/>
    <n v="9"/>
    <n v="9"/>
    <n v="9"/>
    <n v="9"/>
    <n v="9"/>
    <n v="9"/>
    <n v="9"/>
    <n v="9"/>
    <n v="9"/>
    <n v="9"/>
    <n v="9"/>
    <n v="9"/>
    <n v="0.18"/>
    <n v="0.18"/>
    <n v="0.18"/>
    <n v="0.18"/>
    <n v="0.18"/>
    <n v="0.18"/>
    <n v="0.18"/>
    <n v="0.18"/>
    <n v="0.18"/>
    <n v="0.18"/>
    <n v="0.18"/>
    <n v="0.18"/>
    <n v="0.18"/>
    <n v="10240"/>
    <n v="1843.1999999999998"/>
    <n v="10240"/>
    <n v="1843.1999999999998"/>
    <n v="17920"/>
    <n v="3225.6"/>
    <n v="0"/>
    <n v="0"/>
    <n v="5120"/>
    <n v="921.59999999999991"/>
    <n v="8960"/>
    <n v="1612.8"/>
    <n v="6400"/>
    <n v="1152"/>
    <n v="3840"/>
    <n v="691.19999999999993"/>
    <s v="0"/>
    <n v="0"/>
    <s v="0"/>
    <n v="0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n v="9.1999999999999993"/>
    <n v="9"/>
    <n v="9"/>
    <n v="9"/>
    <n v="9"/>
    <n v="9"/>
    <n v="9"/>
    <n v="9"/>
    <n v="9"/>
    <n v="9"/>
    <n v="9"/>
    <n v="9"/>
    <n v="9"/>
    <n v="9"/>
    <n v="0.18"/>
    <n v="0.18"/>
    <n v="0.18"/>
    <n v="0.18"/>
    <n v="0.18"/>
    <n v="0.18"/>
    <n v="0.18"/>
    <n v="0.18"/>
    <n v="0.18"/>
    <n v="0.18"/>
    <n v="0.18"/>
    <n v="0.18"/>
    <n v="0.18"/>
    <n v="1280"/>
    <n v="230.39999999999998"/>
    <n v="0"/>
    <n v="0"/>
    <n v="2560"/>
    <n v="460.79999999999995"/>
    <n v="0"/>
    <n v="0"/>
    <n v="0"/>
    <n v="0"/>
    <s v="0"/>
    <n v="0"/>
    <n v="1280"/>
    <n v="230.39999999999998"/>
    <s v="0"/>
    <n v="0"/>
    <s v="0"/>
    <n v="0"/>
    <s v="0"/>
    <n v="0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n v="9.1999999999999993"/>
    <n v="8.86"/>
    <n v="8.86"/>
    <n v="8.86"/>
    <n v="8.86"/>
    <n v="8.86"/>
    <n v="8.86"/>
    <n v="8.86"/>
    <n v="8.86"/>
    <n v="8.86"/>
    <n v="8.86"/>
    <n v="8.86"/>
    <n v="8.86"/>
    <n v="8.86"/>
    <n v="0.18"/>
    <n v="0.18"/>
    <n v="0.18"/>
    <n v="0.18"/>
    <n v="0.18"/>
    <n v="0.18"/>
    <n v="0.18"/>
    <n v="0.18"/>
    <n v="0.18"/>
    <n v="0.18"/>
    <n v="0.18"/>
    <n v="0.18"/>
    <n v="0.18"/>
    <n v="9280"/>
    <n v="1670.3999999999999"/>
    <n v="4480"/>
    <n v="806.4"/>
    <s v="0"/>
    <n v="0"/>
    <n v="5760"/>
    <n v="1036.8"/>
    <n v="7680"/>
    <n v="1382.3999999999999"/>
    <n v="38080"/>
    <n v="6854.4"/>
    <n v="22080"/>
    <n v="3974.3999999999996"/>
    <s v="0"/>
    <n v="0"/>
    <s v="0"/>
    <n v="0"/>
    <s v="0"/>
    <n v="0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n v="9.1999999999999993"/>
    <n v="9.02"/>
    <n v="9.02"/>
    <n v="9.02"/>
    <n v="9.02"/>
    <n v="9.02"/>
    <n v="9.02"/>
    <n v="9.02"/>
    <n v="9.02"/>
    <n v="9.02"/>
    <n v="9.02"/>
    <n v="9.02"/>
    <n v="9.02"/>
    <n v="9.02"/>
    <n v="0.18"/>
    <n v="0.18"/>
    <n v="0.18"/>
    <n v="0.18"/>
    <n v="0.18"/>
    <n v="0.18"/>
    <n v="0.18"/>
    <n v="0.18"/>
    <n v="0.18"/>
    <n v="0.18"/>
    <n v="0.18"/>
    <n v="0.18"/>
    <n v="0.18"/>
    <n v="0"/>
    <n v="0"/>
    <n v="6400"/>
    <n v="1152"/>
    <n v="5120"/>
    <n v="921.59999999999991"/>
    <n v="0"/>
    <n v="0"/>
    <n v="6400"/>
    <n v="1152"/>
    <n v="8960"/>
    <n v="1612.8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n v="9.1999999999999993"/>
    <n v="9.02"/>
    <n v="9.02"/>
    <n v="9.02"/>
    <n v="9.02"/>
    <n v="9.02"/>
    <n v="9.02"/>
    <n v="9.02"/>
    <n v="9.02"/>
    <n v="9.02"/>
    <n v="9.02"/>
    <n v="9.02"/>
    <n v="9.02"/>
    <n v="9.02"/>
    <n v="0.18"/>
    <n v="0.18"/>
    <n v="0.18"/>
    <n v="0.18"/>
    <n v="0.18"/>
    <n v="0.18"/>
    <n v="0.18"/>
    <n v="0.18"/>
    <n v="0.18"/>
    <n v="0.18"/>
    <n v="0.18"/>
    <n v="0.18"/>
    <n v="0.18"/>
    <n v="0"/>
    <n v="0"/>
    <n v="1280"/>
    <n v="230.39999999999998"/>
    <n v="1280"/>
    <n v="230.39999999999998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n v="9.1999999999999993"/>
    <n v="8.84"/>
    <n v="8.84"/>
    <n v="8.84"/>
    <n v="8.84"/>
    <n v="8.84"/>
    <n v="8.84"/>
    <n v="8.84"/>
    <n v="8.84"/>
    <n v="8.84"/>
    <n v="8.84"/>
    <n v="8.84"/>
    <n v="8.84"/>
    <n v="8.84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1280"/>
    <n v="230.39999999999998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m/>
    <m/>
    <n v="8.86"/>
    <n v="8.86"/>
    <n v="8.86"/>
    <n v="8.86"/>
    <n v="8.86"/>
    <n v="8.86"/>
    <n v="8.86"/>
    <n v="8.86"/>
    <n v="8.86"/>
    <n v="8.86"/>
    <n v="8.86"/>
    <n v="8.86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6680"/>
    <n v="1202.3999999999999"/>
    <n v="26240"/>
    <n v="4723.2"/>
    <n v="6400"/>
    <n v="1152"/>
    <n v="13440"/>
    <n v="2419.1999999999998"/>
    <n v="4980"/>
    <n v="896.4"/>
  </r>
  <r>
    <s v="FY24"/>
    <s v="Simon Yang"/>
    <m/>
    <m/>
    <m/>
    <m/>
    <n v="2020"/>
    <s v="Brac"/>
    <s v="Combo"/>
    <s v="NA"/>
    <s v="Black"/>
    <s v="S China"/>
    <s v="OTHERS"/>
    <m/>
    <m/>
    <n v="8.84"/>
    <n v="8.84"/>
    <n v="8.84"/>
    <n v="8.84"/>
    <n v="8.84"/>
    <n v="8.84"/>
    <n v="8.84"/>
    <n v="8.84"/>
    <n v="8.84"/>
    <n v="8.84"/>
    <n v="8.84"/>
    <n v="8.84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50"/>
    <n v="27"/>
    <n v="1130"/>
    <n v="203.4"/>
    <s v="0"/>
    <n v="0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m/>
    <m/>
    <n v="9.02"/>
    <n v="9.02"/>
    <n v="9.02"/>
    <n v="9.02"/>
    <n v="9.02"/>
    <n v="9.02"/>
    <n v="9.02"/>
    <n v="9.02"/>
    <n v="9.02"/>
    <n v="9.02"/>
    <n v="9.02"/>
    <n v="9.02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6400"/>
    <n v="1152"/>
    <n v="3840"/>
    <n v="691.19999999999993"/>
    <n v="5120"/>
    <n v="921.59999999999991"/>
    <n v="8960"/>
    <n v="1612.8"/>
    <s v="0"/>
    <n v="0"/>
  </r>
  <r>
    <s v="FY24"/>
    <s v="Simon Yang"/>
    <m/>
    <m/>
    <m/>
    <m/>
    <n v="2020"/>
    <s v="Brac"/>
    <s v="Combo"/>
    <s v="NA"/>
    <s v="Black"/>
    <s v="S China"/>
    <s v="OTHERS"/>
    <m/>
    <m/>
    <n v="9.16"/>
    <n v="9.16"/>
    <n v="9.16"/>
    <n v="9.16"/>
    <n v="9.16"/>
    <n v="9.16"/>
    <n v="9.16"/>
    <n v="9.16"/>
    <n v="9.16"/>
    <n v="9.16"/>
    <n v="9.16"/>
    <n v="9.16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4000"/>
    <n v="2520"/>
    <n v="8200"/>
    <n v="1476"/>
    <n v="25800"/>
    <n v="4644"/>
    <n v="39000"/>
    <n v="7020"/>
    <n v="18000"/>
    <n v="3240"/>
  </r>
  <r>
    <s v="FY24"/>
    <s v="Simon Yang"/>
    <m/>
    <m/>
    <m/>
    <m/>
    <n v="2020"/>
    <s v="Brac"/>
    <s v="Combo"/>
    <s v="NA"/>
    <s v="Black"/>
    <s v="S China"/>
    <s v="OTHERS"/>
    <m/>
    <m/>
    <n v="9"/>
    <n v="9"/>
    <n v="9"/>
    <n v="9"/>
    <n v="9"/>
    <n v="9"/>
    <n v="9"/>
    <n v="9"/>
    <n v="9"/>
    <n v="9"/>
    <n v="9"/>
    <n v="9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2560"/>
    <n v="460.79999999999995"/>
    <n v="8960"/>
    <n v="1612.8"/>
    <n v="5120"/>
    <n v="921.59999999999991"/>
    <n v="5120"/>
    <n v="921.59999999999991"/>
    <n v="2560"/>
    <n v="460.79999999999995"/>
  </r>
  <r>
    <s v="FY24"/>
    <s v="Simon Yang"/>
    <m/>
    <m/>
    <m/>
    <m/>
    <n v="2020"/>
    <s v="Brac"/>
    <s v="Combo"/>
    <s v="NA"/>
    <s v="Black"/>
    <s v="S China"/>
    <s v="OTHERS"/>
    <m/>
    <m/>
    <n v="9.02"/>
    <n v="9.02"/>
    <n v="9.02"/>
    <n v="9.02"/>
    <n v="9.02"/>
    <n v="9.02"/>
    <n v="9.02"/>
    <n v="9.02"/>
    <n v="9.02"/>
    <n v="9.02"/>
    <n v="9.02"/>
    <n v="9.02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280"/>
    <n v="230.39999999999998"/>
    <s v="0"/>
    <n v="0"/>
    <s v="0"/>
    <n v="0"/>
    <n v="1280"/>
    <n v="230.39999999999998"/>
    <n v="2560"/>
    <n v="460.79999999999995"/>
  </r>
  <r>
    <s v="FY24"/>
    <s v="Simon Yang"/>
    <m/>
    <m/>
    <m/>
    <m/>
    <n v="2020"/>
    <s v="BracWhiteComb"/>
    <s v="Combo"/>
    <s v="NA"/>
    <s v="White"/>
    <s v="S China"/>
    <s v="OTHERS"/>
    <n v="10.99"/>
    <n v="10.77"/>
    <n v="10.77"/>
    <n v="10.77"/>
    <n v="10.77"/>
    <n v="10.77"/>
    <n v="10.77"/>
    <n v="10.77"/>
    <n v="10.77"/>
    <n v="10.77"/>
    <n v="10.77"/>
    <n v="10.77"/>
    <n v="10.77"/>
    <n v="10.77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2880"/>
    <n v="604.79999999999995"/>
    <s v="0"/>
    <n v="0"/>
    <n v="2880"/>
    <n v="604.79999999999995"/>
    <s v="0"/>
    <n v="0"/>
    <s v="0"/>
    <n v="0"/>
    <s v="0"/>
    <n v="0"/>
    <n v="2880"/>
    <n v="604.79999999999995"/>
    <s v="0"/>
    <n v="0"/>
  </r>
  <r>
    <s v="FY24"/>
    <s v="Simon Yang"/>
    <m/>
    <m/>
    <m/>
    <m/>
    <n v="2020"/>
    <s v="BracWhiteComb"/>
    <s v="Combo"/>
    <s v="NA"/>
    <s v="White"/>
    <s v="S China"/>
    <s v="OTHERS"/>
    <n v="10.99"/>
    <n v="10.73"/>
    <n v="10.73"/>
    <n v="10.73"/>
    <n v="10.73"/>
    <n v="10.73"/>
    <n v="10.73"/>
    <n v="10.73"/>
    <n v="10.73"/>
    <n v="10.73"/>
    <n v="10.73"/>
    <n v="10.73"/>
    <n v="10.73"/>
    <n v="10.73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2880"/>
    <n v="604.79999999999995"/>
    <s v="0"/>
    <n v="0"/>
    <s v="0"/>
    <n v="0"/>
    <s v="0"/>
    <n v="0"/>
    <s v="0"/>
    <n v="0"/>
    <n v="2880"/>
    <n v="604.79999999999995"/>
    <n v="2880"/>
    <n v="604.79999999999995"/>
  </r>
  <r>
    <s v="FY24"/>
    <s v="Simon Yang"/>
    <m/>
    <m/>
    <m/>
    <m/>
    <n v="2021"/>
    <s v="BracWLKB"/>
    <s v="NBL KB"/>
    <s v="NA"/>
    <s v="Black"/>
    <s v="S China"/>
    <s v="OTHERS"/>
    <n v="7.53"/>
    <n v="7.48"/>
    <n v="7.48"/>
    <n v="7.48"/>
    <n v="7.48"/>
    <n v="7.48"/>
    <n v="7.48"/>
    <n v="7.48"/>
    <n v="7.48"/>
    <n v="7.48"/>
    <n v="7.48"/>
    <n v="7.48"/>
    <n v="7.48"/>
    <n v="7.48"/>
    <n v="0.15"/>
    <n v="0.15"/>
    <n v="0.15"/>
    <n v="0.15"/>
    <n v="0.15"/>
    <n v="0.15"/>
    <n v="0.15"/>
    <n v="0.15"/>
    <n v="0.15"/>
    <n v="0.15"/>
    <n v="0.15"/>
    <n v="0.15"/>
    <n v="0.1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1"/>
    <s v="BracWLKB"/>
    <s v="NBL KB"/>
    <s v="NA"/>
    <s v="Black"/>
    <s v="S China"/>
    <s v="OTHERS"/>
    <n v="7.53"/>
    <n v="7.46"/>
    <n v="7.46"/>
    <n v="7.46"/>
    <n v="7.46"/>
    <n v="7.46"/>
    <n v="7.46"/>
    <n v="7.46"/>
    <n v="7.46"/>
    <n v="7.46"/>
    <n v="7.46"/>
    <n v="7.46"/>
    <n v="7.46"/>
    <n v="7.46"/>
    <n v="0.15"/>
    <n v="0.15"/>
    <n v="0.15"/>
    <n v="0.15"/>
    <n v="0.15"/>
    <n v="0.15"/>
    <n v="0.15"/>
    <n v="0.15"/>
    <n v="0.15"/>
    <n v="0.15"/>
    <n v="0.15"/>
    <n v="0.15"/>
    <n v="0.15"/>
    <n v="0"/>
    <n v="0"/>
    <n v="0"/>
    <n v="0"/>
    <s v="0"/>
    <n v="0"/>
    <n v="0"/>
    <n v="0"/>
    <n v="4800"/>
    <n v="720"/>
    <s v="0"/>
    <n v="0"/>
    <s v="0"/>
    <n v="0"/>
    <s v="0"/>
    <n v="0"/>
    <s v="0"/>
    <n v="0"/>
    <s v="0"/>
    <n v="0"/>
    <n v="2400"/>
    <n v="360"/>
    <n v="1200"/>
    <n v="180"/>
  </r>
  <r>
    <s v="FY24"/>
    <s v="Simon Yang"/>
    <m/>
    <m/>
    <m/>
    <m/>
    <n v="2021"/>
    <s v="BracWLKB"/>
    <s v="NBL KB"/>
    <s v="NA"/>
    <s v="Black"/>
    <s v="S China"/>
    <s v="OTHERS"/>
    <n v="7.53"/>
    <n v="7.4"/>
    <n v="7.4"/>
    <n v="7.4"/>
    <n v="7.4"/>
    <n v="7.4"/>
    <n v="7.4"/>
    <n v="7.4"/>
    <n v="7.4"/>
    <n v="7.4"/>
    <n v="7.4"/>
    <n v="7.4"/>
    <n v="7.4"/>
    <n v="7.4"/>
    <n v="0.15"/>
    <n v="0.15"/>
    <n v="0.15"/>
    <n v="0.15"/>
    <n v="0.15"/>
    <n v="0.15"/>
    <n v="0.15"/>
    <n v="0.15"/>
    <n v="0.15"/>
    <n v="0.15"/>
    <n v="0.15"/>
    <n v="0.15"/>
    <n v="0.15"/>
    <n v="1200"/>
    <n v="180"/>
    <n v="0"/>
    <n v="0"/>
    <s v="0"/>
    <n v="0"/>
    <n v="0"/>
    <n v="0"/>
    <n v="2400"/>
    <n v="360"/>
    <n v="1200"/>
    <n v="180"/>
    <s v="0"/>
    <n v="0"/>
    <s v="0"/>
    <n v="0"/>
    <n v="1200"/>
    <n v="180"/>
    <s v="0"/>
    <n v="0"/>
    <s v="0"/>
    <n v="0"/>
    <s v="0"/>
    <n v="0"/>
  </r>
  <r>
    <s v="FY24"/>
    <s v="Simon Yang"/>
    <m/>
    <m/>
    <m/>
    <m/>
    <n v="2021"/>
    <s v="BracWLKB"/>
    <s v="NBL KB"/>
    <s v="NA"/>
    <s v="Black"/>
    <s v="S China"/>
    <s v="OTHERS"/>
    <n v="7.53"/>
    <n v="7.42"/>
    <n v="7.42"/>
    <n v="7.42"/>
    <n v="7.42"/>
    <n v="7.42"/>
    <n v="7.42"/>
    <n v="7.42"/>
    <n v="7.42"/>
    <n v="7.42"/>
    <n v="7.42"/>
    <n v="7.42"/>
    <n v="7.42"/>
    <n v="7.42"/>
    <n v="0.15"/>
    <n v="0.15"/>
    <n v="0.15"/>
    <n v="0.15"/>
    <n v="0.15"/>
    <n v="0.15"/>
    <n v="0.15"/>
    <n v="0.15"/>
    <n v="0.15"/>
    <n v="0.15"/>
    <n v="0.15"/>
    <n v="0.15"/>
    <n v="0.15"/>
    <n v="8400"/>
    <n v="1260"/>
    <n v="9600"/>
    <n v="1440"/>
    <n v="6000"/>
    <n v="900"/>
    <n v="0"/>
    <n v="0"/>
    <n v="15600"/>
    <n v="2340"/>
    <n v="33000"/>
    <n v="4950"/>
    <n v="28200"/>
    <n v="4230"/>
    <n v="13200"/>
    <n v="1980"/>
    <n v="3600"/>
    <n v="540"/>
    <n v="7200"/>
    <n v="1080"/>
    <n v="25200"/>
    <n v="3780"/>
    <n v="21600"/>
    <n v="3240"/>
  </r>
  <r>
    <s v="FY24"/>
    <s v="Simon Yang"/>
    <m/>
    <m/>
    <m/>
    <m/>
    <n v="2021"/>
    <s v="BracWLKB"/>
    <s v="NBL KB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n v="7.92"/>
    <n v="7.92"/>
    <n v="7.92"/>
    <n v="0.15"/>
    <n v="0.15"/>
    <n v="0.15"/>
    <n v="0.15"/>
    <n v="0.15"/>
    <n v="0.15"/>
    <n v="0.15"/>
    <n v="0.15"/>
    <n v="0.15"/>
    <n v="0.15"/>
    <n v="0.15"/>
    <n v="0.15"/>
    <n v="0.15"/>
    <n v="0"/>
    <n v="0"/>
    <n v="1200"/>
    <n v="180"/>
    <s v="0"/>
    <n v="0"/>
    <n v="0"/>
    <n v="0"/>
    <n v="1200"/>
    <n v="180"/>
    <s v="0"/>
    <n v="0"/>
    <s v="0"/>
    <n v="0"/>
    <s v="0"/>
    <n v="0"/>
    <s v="0"/>
    <n v="0"/>
    <s v="0"/>
    <n v="0"/>
    <s v="0"/>
    <n v="0"/>
    <n v="1200"/>
    <n v="180"/>
  </r>
  <r>
    <s v="FY24"/>
    <s v="Simon Yang"/>
    <m/>
    <m/>
    <m/>
    <m/>
    <n v="2020"/>
    <s v="Elephanta"/>
    <s v="Combo"/>
    <s v="NA"/>
    <s v="Black"/>
    <s v="S China"/>
    <s v="OTHERS"/>
    <n v="4.99"/>
    <n v="4.99"/>
    <n v="4.99"/>
    <n v="4.99"/>
    <n v="4.99"/>
    <n v="4.99"/>
    <n v="4.99"/>
    <n v="4.99"/>
    <n v="4.99"/>
    <n v="4.99"/>
    <n v="4.99"/>
    <n v="4.99"/>
    <n v="4.99"/>
    <n v="4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10400"/>
    <n v="0"/>
    <n v="5200"/>
    <n v="0"/>
    <s v="0"/>
    <n v="0"/>
    <n v="5200"/>
    <n v="0"/>
    <s v="0"/>
    <n v="0"/>
    <n v="5200"/>
    <n v="0"/>
  </r>
  <r>
    <s v="FY24"/>
    <s v="Simon Yang"/>
    <m/>
    <m/>
    <m/>
    <m/>
    <n v="2020"/>
    <s v="Elephanta"/>
    <s v="Combo"/>
    <s v="NA"/>
    <s v="Black"/>
    <s v="S China"/>
    <s v="OTHERS"/>
    <n v="4.93"/>
    <n v="4.93"/>
    <n v="4.93"/>
    <n v="4.93"/>
    <n v="4.93"/>
    <n v="4.93"/>
    <n v="4.93"/>
    <n v="4.93"/>
    <n v="4.93"/>
    <n v="4.93"/>
    <n v="4.93"/>
    <n v="4.93"/>
    <n v="4.93"/>
    <n v="4.93"/>
    <n v="0"/>
    <n v="0"/>
    <n v="0"/>
    <n v="0"/>
    <n v="0"/>
    <n v="0"/>
    <n v="0"/>
    <n v="0"/>
    <n v="0"/>
    <n v="0"/>
    <n v="0"/>
    <n v="0"/>
    <n v="0"/>
    <n v="0"/>
    <n v="0"/>
    <n v="0"/>
    <n v="0"/>
    <n v="5200"/>
    <n v="0"/>
    <n v="0"/>
    <n v="0"/>
    <n v="0"/>
    <n v="0"/>
    <n v="10400"/>
    <n v="0"/>
    <n v="520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s v="Elephanta"/>
    <s v="Combo"/>
    <s v="NA"/>
    <s v="Black"/>
    <s v="S China"/>
    <s v="OTHERS"/>
    <n v="5.05"/>
    <n v="5.05"/>
    <n v="5.05"/>
    <n v="5.05"/>
    <n v="5.05"/>
    <n v="5.05"/>
    <n v="5.05"/>
    <n v="5.05"/>
    <n v="5.05"/>
    <n v="5.05"/>
    <n v="5.05"/>
    <n v="5.05"/>
    <n v="5.05"/>
    <n v="5.0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0400"/>
    <n v="0"/>
    <n v="5200"/>
    <n v="0"/>
    <s v="0"/>
    <n v="0"/>
  </r>
  <r>
    <s v="FY24"/>
    <s v="Simon Yang"/>
    <m/>
    <m/>
    <m/>
    <m/>
    <n v="2020"/>
    <s v="Elephanta"/>
    <s v="Combo"/>
    <s v="NA"/>
    <s v="Black"/>
    <s v="S China"/>
    <s v="OTHERS"/>
    <n v="5.03"/>
    <n v="5.03"/>
    <n v="5.03"/>
    <n v="5.03"/>
    <n v="5.03"/>
    <n v="5.03"/>
    <n v="5.03"/>
    <n v="5.03"/>
    <n v="5.03"/>
    <n v="5.03"/>
    <n v="5.03"/>
    <n v="5.03"/>
    <n v="5.03"/>
    <n v="5.03"/>
    <n v="0"/>
    <n v="0"/>
    <n v="0"/>
    <n v="0"/>
    <n v="0"/>
    <n v="0"/>
    <n v="0"/>
    <n v="0"/>
    <n v="0"/>
    <n v="0"/>
    <n v="0"/>
    <n v="0"/>
    <n v="0"/>
    <n v="0"/>
    <n v="0"/>
    <n v="0"/>
    <n v="0"/>
    <n v="5200"/>
    <n v="0"/>
    <n v="0"/>
    <n v="0"/>
    <n v="0"/>
    <n v="0"/>
    <s v="0"/>
    <n v="0"/>
    <n v="520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s v="Elephanta"/>
    <s v="Combo"/>
    <s v="NA"/>
    <s v="Black"/>
    <s v="S China"/>
    <s v="OTHERS"/>
    <n v="4.99"/>
    <n v="4.99"/>
    <n v="4.99"/>
    <n v="4.99"/>
    <n v="4.99"/>
    <n v="4.99"/>
    <n v="4.99"/>
    <n v="4.99"/>
    <n v="4.99"/>
    <n v="4.99"/>
    <n v="4.99"/>
    <n v="4.99"/>
    <n v="4.99"/>
    <n v="4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5200"/>
    <n v="0"/>
    <s v="0"/>
    <n v="0"/>
    <s v="0"/>
    <n v="0"/>
    <s v="0"/>
    <n v="0"/>
    <n v="4800"/>
    <n v="0"/>
    <n v="5200"/>
    <n v="0"/>
    <s v="0"/>
    <n v="0"/>
  </r>
  <r>
    <s v="FY24"/>
    <s v="Simon Yang"/>
    <m/>
    <m/>
    <m/>
    <m/>
    <n v="2022"/>
    <s v="ElephantaKB"/>
    <s v="NBL KB"/>
    <s v="NA"/>
    <s v="Black"/>
    <s v="S China"/>
    <s v="OTHERS"/>
    <n v="3.75"/>
    <n v="3.75"/>
    <n v="3.75"/>
    <n v="3.75"/>
    <n v="3.75"/>
    <n v="3.75"/>
    <n v="3.75"/>
    <n v="3.75"/>
    <n v="3.75"/>
    <n v="3.75"/>
    <n v="3.75"/>
    <n v="3.75"/>
    <n v="3.75"/>
    <n v="3.75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5600"/>
    <n v="1176"/>
    <s v="0"/>
    <n v="0"/>
    <n v="5600"/>
    <n v="1176"/>
    <s v="0"/>
    <n v="0"/>
    <s v="0"/>
    <n v="0"/>
    <n v="5600"/>
    <n v="1176"/>
    <s v="0"/>
    <n v="0"/>
  </r>
  <r>
    <s v="FY24"/>
    <s v="Simon Yang"/>
    <m/>
    <m/>
    <m/>
    <m/>
    <n v="2022"/>
    <s v="ElephantaKB"/>
    <s v="NBL KB"/>
    <s v="NA"/>
    <s v="Black"/>
    <s v="S China"/>
    <s v="OTHERS"/>
    <n v="3.69"/>
    <n v="3.69"/>
    <n v="3.69"/>
    <n v="3.69"/>
    <n v="3.69"/>
    <n v="3.69"/>
    <n v="3.69"/>
    <n v="3.69"/>
    <n v="3.69"/>
    <n v="3.69"/>
    <n v="3.69"/>
    <n v="3.69"/>
    <n v="3.69"/>
    <n v="3.69"/>
    <n v="0.21"/>
    <n v="0.21"/>
    <n v="0.21"/>
    <n v="0.21"/>
    <n v="0.21"/>
    <n v="0.21"/>
    <n v="0.21"/>
    <n v="0.21"/>
    <n v="0.21"/>
    <n v="0.21"/>
    <n v="0.21"/>
    <n v="0.21"/>
    <n v="0.21"/>
    <n v="5600"/>
    <n v="1176"/>
    <n v="0"/>
    <n v="0"/>
    <s v="0"/>
    <n v="0"/>
    <n v="0"/>
    <n v="0"/>
    <n v="5600"/>
    <n v="1176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2"/>
    <s v="ElephantaKB"/>
    <s v="NBL KB"/>
    <s v="NA"/>
    <s v="Black"/>
    <s v="S China"/>
    <s v="OTHERS"/>
    <n v="3.79"/>
    <n v="3.79"/>
    <n v="3.79"/>
    <n v="3.79"/>
    <n v="3.79"/>
    <n v="3.79"/>
    <n v="3.79"/>
    <n v="3.79"/>
    <n v="3.79"/>
    <n v="3.79"/>
    <n v="3.79"/>
    <n v="3.79"/>
    <n v="3.79"/>
    <n v="3.79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n v="5600"/>
    <n v="1176"/>
    <n v="0"/>
    <n v="0"/>
    <n v="0"/>
    <n v="0"/>
    <s v="0"/>
    <n v="0"/>
    <n v="5600"/>
    <n v="1176"/>
    <s v="0"/>
    <n v="0"/>
    <s v="0"/>
    <n v="0"/>
    <s v="0"/>
    <n v="0"/>
    <s v="0"/>
    <n v="0"/>
    <n v="5600"/>
    <n v="1176"/>
  </r>
  <r>
    <s v="FY24"/>
    <s v="Simon Yang"/>
    <m/>
    <m/>
    <m/>
    <m/>
    <n v="2022"/>
    <s v="ElephantaKB"/>
    <s v="NBL KB"/>
    <s v="NA"/>
    <s v="Black"/>
    <s v="S China"/>
    <s v="OTHERS"/>
    <n v="3.77"/>
    <n v="3.77"/>
    <n v="3.77"/>
    <n v="3.77"/>
    <n v="3.77"/>
    <n v="3.77"/>
    <n v="3.77"/>
    <n v="3.77"/>
    <n v="3.77"/>
    <n v="3.77"/>
    <n v="3.77"/>
    <n v="3.77"/>
    <n v="3.77"/>
    <n v="3.77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s v="0"/>
    <n v="0"/>
    <n v="10000"/>
    <n v="2100"/>
    <n v="5600"/>
    <n v="1176"/>
    <s v="0"/>
    <n v="0"/>
    <n v="5600"/>
    <n v="1176"/>
    <n v="5600"/>
    <n v="1176"/>
    <s v="0"/>
    <n v="0"/>
  </r>
  <r>
    <s v="FY24"/>
    <s v="Simon Yang"/>
    <m/>
    <m/>
    <m/>
    <m/>
    <n v="2023"/>
    <s v="Havelock KB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5400"/>
    <n v="324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3"/>
    <s v="Havelock KB"/>
    <s v="NBL KB"/>
    <s v="NA"/>
    <s v="Black"/>
    <s v="S China"/>
    <s v="OTHERS"/>
    <n v="6.6"/>
    <n v="6.6"/>
    <n v="6.6"/>
    <n v="6.6"/>
    <n v="6.6"/>
    <n v="6.6"/>
    <n v="6.6"/>
    <n v="6.6"/>
    <n v="6.6"/>
    <n v="6.6"/>
    <n v="6.6"/>
    <n v="6.6"/>
    <n v="6.6"/>
    <n v="6.6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n v="2700"/>
    <n v="162"/>
    <n v="2700"/>
    <n v="162"/>
    <n v="5400"/>
    <n v="324"/>
    <n v="2700"/>
    <n v="162"/>
  </r>
  <r>
    <s v="FY24"/>
    <s v="Simon Yang"/>
    <m/>
    <m/>
    <m/>
    <m/>
    <n v="2023"/>
    <s v="Havelock KB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3"/>
    <s v="Havelock KB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3"/>
    <s v="Havelock KB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3"/>
    <s v="Havelock KB"/>
    <s v="NBL KB"/>
    <s v="NA"/>
    <s v="Black"/>
    <s v="S China"/>
    <s v="OTHERS"/>
    <n v="6.6"/>
    <n v="6.6"/>
    <n v="6.6"/>
    <n v="6.6"/>
    <n v="6.6"/>
    <n v="6.6"/>
    <n v="6.6"/>
    <n v="6.6"/>
    <n v="6.6"/>
    <n v="6.6"/>
    <n v="6.6"/>
    <n v="6.6"/>
    <n v="6.6"/>
    <n v="6.6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s v="Havelock"/>
    <s v="Combo"/>
    <s v="NA"/>
    <s v="Black"/>
    <s v="S China"/>
    <s v="OTHERS"/>
    <n v="7.86"/>
    <n v="7.86"/>
    <n v="7.86"/>
    <n v="7.86"/>
    <n v="7.86"/>
    <n v="7.86"/>
    <n v="7.86"/>
    <n v="7.86"/>
    <n v="7.86"/>
    <n v="7.86"/>
    <n v="7.86"/>
    <n v="7.86"/>
    <n v="7.86"/>
    <n v="7.86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n v="5280"/>
    <n v="422.40000000000003"/>
    <n v="0"/>
    <n v="0"/>
    <n v="5280"/>
    <n v="422.40000000000003"/>
    <n v="5280"/>
    <n v="422.40000000000003"/>
    <n v="5280"/>
    <n v="422.40000000000003"/>
    <n v="5280"/>
    <n v="422.40000000000003"/>
    <n v="5280"/>
    <n v="422.40000000000003"/>
    <n v="5280"/>
    <n v="422.40000000000003"/>
    <s v="0"/>
    <n v="0"/>
    <n v="5280"/>
    <n v="422.40000000000003"/>
  </r>
  <r>
    <s v="FY24"/>
    <s v="Simon Yang"/>
    <m/>
    <m/>
    <m/>
    <m/>
    <n v="2020"/>
    <s v="Havelock"/>
    <s v="Combo"/>
    <s v="NA"/>
    <s v="Black"/>
    <s v="S China"/>
    <s v="OTHERS"/>
    <n v="7.8"/>
    <n v="7.8"/>
    <n v="7.8"/>
    <n v="7.8"/>
    <n v="7.8"/>
    <n v="7.8"/>
    <n v="7.8"/>
    <n v="7.8"/>
    <n v="7.8"/>
    <n v="7.8"/>
    <n v="7.8"/>
    <n v="7.8"/>
    <n v="7.8"/>
    <n v="7.8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n v="5280"/>
    <n v="422.40000000000003"/>
    <n v="0"/>
    <n v="0"/>
    <n v="5280"/>
    <n v="422.40000000000003"/>
    <n v="5280"/>
    <n v="422.40000000000003"/>
    <n v="5280"/>
    <n v="422.40000000000003"/>
    <n v="5280"/>
    <n v="422.40000000000003"/>
    <n v="7920"/>
    <n v="633.6"/>
    <n v="2640"/>
    <n v="211.20000000000002"/>
    <n v="5280"/>
    <n v="422.40000000000003"/>
    <n v="4400"/>
    <n v="352"/>
  </r>
  <r>
    <s v="FY24"/>
    <s v="Simon Yang"/>
    <m/>
    <m/>
    <m/>
    <m/>
    <n v="2020"/>
    <s v="Havelock"/>
    <s v="Combo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n v="7.92"/>
    <n v="7.92"/>
    <n v="7.92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s v="0"/>
    <n v="0"/>
    <n v="0"/>
    <n v="0"/>
    <n v="0"/>
    <n v="0"/>
    <s v="0"/>
    <n v="0"/>
    <n v="5280"/>
    <n v="422.40000000000003"/>
    <s v="0"/>
    <n v="0"/>
    <n v="5280"/>
    <n v="422.40000000000003"/>
    <n v="5280"/>
    <n v="422.40000000000003"/>
    <s v="0"/>
    <n v="0"/>
    <s v="0"/>
    <n v="0"/>
  </r>
  <r>
    <s v="FY24"/>
    <s v="Simon Yang"/>
    <m/>
    <m/>
    <m/>
    <m/>
    <n v="2020"/>
    <s v="Havelock"/>
    <s v="Combo"/>
    <s v="NA"/>
    <s v="Black"/>
    <s v="S China"/>
    <s v="OTHERS"/>
    <n v="7.8"/>
    <n v="7.9"/>
    <n v="7.9"/>
    <n v="7.9"/>
    <n v="7.9"/>
    <n v="7.9"/>
    <n v="7.9"/>
    <n v="7.9"/>
    <n v="7.9"/>
    <n v="7.9"/>
    <n v="7.9"/>
    <n v="7.9"/>
    <n v="7.9"/>
    <n v="7.9"/>
    <n v="0.08"/>
    <n v="0.08"/>
    <n v="0.08"/>
    <n v="0.08"/>
    <n v="0.08"/>
    <n v="0.08"/>
    <n v="0.08"/>
    <n v="0.08"/>
    <n v="0.08"/>
    <n v="0.08"/>
    <n v="0.08"/>
    <n v="0.08"/>
    <n v="0.08"/>
    <n v="0"/>
    <n v="0"/>
    <n v="5280"/>
    <n v="422.40000000000003"/>
    <n v="5280"/>
    <n v="422.40000000000003"/>
    <n v="0"/>
    <n v="0"/>
    <n v="0"/>
    <n v="0"/>
    <n v="5280"/>
    <n v="422.40000000000003"/>
    <s v="0"/>
    <n v="0"/>
    <n v="5280"/>
    <n v="422.40000000000003"/>
    <s v="0"/>
    <n v="0"/>
    <n v="5280"/>
    <n v="422.40000000000003"/>
    <n v="0"/>
    <n v="0"/>
    <s v="0"/>
    <n v="0"/>
  </r>
  <r>
    <s v="FY24"/>
    <s v="Simon Yang"/>
    <m/>
    <m/>
    <m/>
    <m/>
    <n v="2020"/>
    <s v="Havelock"/>
    <s v="Combo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n v="7.92"/>
    <n v="7.92"/>
    <n v="7.92"/>
    <n v="0.08"/>
    <n v="0.08"/>
    <n v="0.08"/>
    <n v="0.08"/>
    <n v="0.08"/>
    <n v="0.08"/>
    <n v="0.08"/>
    <n v="0.08"/>
    <n v="0.08"/>
    <n v="0.08"/>
    <n v="0.08"/>
    <n v="0.08"/>
    <n v="0.08"/>
    <n v="4720"/>
    <n v="377.6"/>
    <n v="0"/>
    <n v="0"/>
    <n v="5280"/>
    <n v="422.40000000000003"/>
    <n v="0"/>
    <n v="0"/>
    <n v="0"/>
    <n v="0"/>
    <n v="5280"/>
    <n v="422.40000000000003"/>
    <n v="15840"/>
    <n v="1267.2"/>
    <n v="10560"/>
    <n v="844.80000000000007"/>
    <s v="0"/>
    <n v="0"/>
    <s v="0"/>
    <n v="0"/>
    <s v="0"/>
    <n v="0"/>
    <s v="0"/>
    <n v="0"/>
  </r>
  <r>
    <s v="FY24"/>
    <s v="Allen Chen"/>
    <m/>
    <m/>
    <m/>
    <m/>
    <n v="2018"/>
    <s v="Moscow blue LED refresh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8"/>
    <s v="Moscow blue LED refresh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8"/>
    <s v="Moscow blue LED refresh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8"/>
    <s v="Moscow1BlueLed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33000"/>
    <n v="1650"/>
    <n v="3000"/>
    <n v="150"/>
    <n v="6000"/>
    <n v="300"/>
    <n v="0"/>
    <n v="0"/>
    <n v="0"/>
    <n v="0"/>
    <n v="6000"/>
    <n v="300"/>
    <n v="3000"/>
    <n v="150"/>
    <s v="0"/>
    <n v="0"/>
    <s v="0"/>
    <n v="0"/>
    <s v="0"/>
    <n v="0"/>
    <n v="3000"/>
    <n v="150"/>
    <n v="3000"/>
    <n v="150"/>
  </r>
  <r>
    <s v="FY24"/>
    <s v="Allen Chen"/>
    <m/>
    <m/>
    <m/>
    <m/>
    <n v="2016"/>
    <s v="Gadget"/>
    <s v="Mouse"/>
    <s v="NA"/>
    <s v="Lavender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3000"/>
    <n v="150"/>
    <n v="0"/>
    <n v="0"/>
    <n v="3000"/>
    <n v="15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Lavender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3000"/>
    <n v="150"/>
    <n v="6000"/>
    <n v="300"/>
    <n v="0"/>
    <n v="0"/>
    <n v="3000"/>
    <n v="15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Seafoam Teal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3000"/>
    <n v="15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Seafoam Teal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3000"/>
    <n v="150"/>
    <n v="3000"/>
    <n v="150"/>
    <n v="0"/>
    <n v="0"/>
    <n v="0"/>
    <n v="0"/>
    <n v="3000"/>
    <n v="15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Moonlight Blue"/>
    <s v="S China"/>
    <s v="OTHERS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6000"/>
    <n v="300"/>
    <n v="0"/>
    <n v="0"/>
    <n v="0"/>
    <n v="0"/>
    <s v="0"/>
    <n v="0"/>
    <n v="3000"/>
    <n v="150"/>
    <s v="0"/>
    <n v="0"/>
    <s v="0"/>
    <n v="0"/>
    <s v="0"/>
    <n v="0"/>
    <n v="27000"/>
    <n v="1350"/>
    <s v="0"/>
    <n v="0"/>
  </r>
  <r>
    <s v="FY24"/>
    <s v="Allen Chen"/>
    <m/>
    <m/>
    <m/>
    <m/>
    <n v="2016"/>
    <s v="Gadget"/>
    <s v="Mouse"/>
    <s v="NA"/>
    <s v="Moonlight Blue"/>
    <s v="S China"/>
    <s v="OTHERS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6000"/>
    <n v="300"/>
    <n v="0"/>
    <n v="0"/>
    <n v="0"/>
    <n v="0"/>
    <s v="0"/>
    <n v="0"/>
    <n v="5000"/>
    <n v="250"/>
    <s v="0"/>
    <n v="0"/>
    <s v="0"/>
    <n v="0"/>
    <n v="3000"/>
    <n v="150"/>
    <n v="6000"/>
    <n v="300"/>
    <n v="6000"/>
    <n v="300"/>
  </r>
  <r>
    <s v="FY24"/>
    <s v="Allen Chen"/>
    <m/>
    <m/>
    <m/>
    <m/>
    <n v="2016"/>
    <s v="Gadget"/>
    <s v="Mouse"/>
    <s v="NA"/>
    <s v="薰衣草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n v="0"/>
    <n v="0"/>
    <n v="5500"/>
    <n v="275"/>
    <s v="0"/>
    <n v="0"/>
    <s v="0"/>
    <n v="0"/>
    <m/>
    <n v="0"/>
    <m/>
    <n v="0"/>
    <s v="0"/>
    <m/>
  </r>
  <r>
    <s v="FY24"/>
    <s v="Allen Chen"/>
    <m/>
    <m/>
    <m/>
    <m/>
    <n v="2016"/>
    <s v="Gadget"/>
    <s v="Mouse"/>
    <s v="NA"/>
    <s v="薰衣草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000"/>
    <n v="150"/>
    <s v="0"/>
    <n v="0"/>
    <s v="0"/>
    <n v="0"/>
    <n v="0"/>
    <n v="0"/>
    <n v="3000"/>
    <n v="150"/>
    <s v="0"/>
    <n v="0"/>
  </r>
  <r>
    <s v="FY24"/>
    <s v="Allen Chen"/>
    <m/>
    <m/>
    <m/>
    <m/>
    <n v="2016"/>
    <s v="Gadget"/>
    <s v="Mouse"/>
    <s v="NA"/>
    <s v="鑽石白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300"/>
    <n v="165"/>
    <s v="0"/>
    <n v="0"/>
    <s v="0"/>
    <n v="0"/>
    <n v="0"/>
    <n v="0"/>
    <n v="3000"/>
    <n v="150"/>
    <n v="3000"/>
    <n v="150"/>
  </r>
  <r>
    <s v="FY24"/>
    <s v="Allen Chen"/>
    <m/>
    <m/>
    <m/>
    <m/>
    <n v="2016"/>
    <s v="Gadget"/>
    <s v="Mouse"/>
    <s v="NA"/>
    <s v="鑽石白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000"/>
    <n v="150"/>
    <s v="0"/>
    <n v="0"/>
    <n v="0"/>
    <n v="0"/>
    <n v="0"/>
    <n v="0"/>
    <n v="9000"/>
    <n v="450"/>
    <s v="0"/>
    <n v="0"/>
  </r>
  <r>
    <s v="FY24"/>
    <s v="Allen Chen"/>
    <m/>
    <m/>
    <m/>
    <m/>
    <n v="2016"/>
    <s v="Gadget"/>
    <s v="Mouse"/>
    <s v="NA"/>
    <s v="IMF款-日落紅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7000"/>
    <n v="350"/>
    <s v="0"/>
    <n v="0"/>
    <n v="3000"/>
    <n v="150"/>
    <s v="0"/>
    <n v="0"/>
    <n v="3000"/>
    <n v="150"/>
    <n v="3000"/>
    <n v="150"/>
  </r>
  <r>
    <s v="FY24"/>
    <s v="Allen Chen"/>
    <m/>
    <m/>
    <m/>
    <m/>
    <n v="2016"/>
    <s v="Gadget"/>
    <s v="Mouse"/>
    <s v="NA"/>
    <s v="IMF款-日落紅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4000"/>
    <n v="200"/>
    <s v="0"/>
    <n v="0"/>
    <n v="0"/>
    <n v="0"/>
    <n v="9000"/>
    <n v="450"/>
    <n v="3000"/>
    <n v="150"/>
    <n v="3000"/>
    <n v="150"/>
  </r>
  <r>
    <s v="FY24"/>
    <s v="Allen Chen"/>
    <m/>
    <m/>
    <m/>
    <m/>
    <n v="2016"/>
    <s v="Gadget"/>
    <s v="Mouse"/>
    <s v="NA"/>
    <s v="IMF款-寶石綠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n v="3000"/>
    <n v="150"/>
    <s v="0"/>
    <n v="0"/>
    <n v="3000"/>
    <n v="150"/>
    <s v="0"/>
    <n v="0"/>
  </r>
  <r>
    <s v="FY24"/>
    <s v="Allen Chen"/>
    <m/>
    <m/>
    <m/>
    <m/>
    <n v="2016"/>
    <s v="Gadget"/>
    <s v="Mouse"/>
    <s v="NA"/>
    <s v="IMF款-寶石綠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4200"/>
    <n v="210"/>
    <s v="0"/>
    <n v="0"/>
    <n v="0"/>
    <n v="0"/>
    <n v="3000"/>
    <n v="150"/>
    <n v="0"/>
    <n v="0"/>
    <n v="3000"/>
    <n v="150"/>
  </r>
  <r>
    <s v="FY24"/>
    <s v="Allen Chen"/>
    <m/>
    <m/>
    <m/>
    <m/>
    <n v="2016"/>
    <s v="Gadget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10800"/>
    <n v="540"/>
    <n v="18000"/>
    <n v="900"/>
    <n v="0"/>
    <n v="0"/>
    <n v="0"/>
    <n v="0"/>
    <s v="0"/>
    <n v="0"/>
    <s v="0"/>
    <n v="0"/>
    <s v="0"/>
    <n v="0"/>
    <n v="10800"/>
    <n v="540"/>
    <n v="7200"/>
    <n v="360"/>
    <n v="3600"/>
    <n v="180"/>
    <n v="3600"/>
    <n v="180"/>
  </r>
  <r>
    <s v="FY24"/>
    <s v="Allen Chen"/>
    <m/>
    <m/>
    <m/>
    <m/>
    <n v="2016"/>
    <s v="Gadget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Rose Gold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Rose Gold"/>
    <s v="S China"/>
    <s v="OTHERS"/>
    <n v="5.74"/>
    <n v="5.74"/>
    <n v="5.74"/>
    <n v="5.74"/>
    <n v="5.74"/>
    <n v="5.74"/>
    <n v="5.74"/>
    <n v="5.74"/>
    <n v="5.74"/>
    <n v="5.74"/>
    <n v="5.74"/>
    <n v="5.74"/>
    <n v="5.74"/>
    <n v="5.74"/>
    <n v="0.05"/>
    <n v="0.05"/>
    <n v="0.05"/>
    <n v="0.05"/>
    <n v="0.05"/>
    <n v="0.05"/>
    <n v="0.05"/>
    <n v="0.05"/>
    <n v="0.05"/>
    <n v="0.05"/>
    <n v="0.05"/>
    <n v="0.05"/>
    <n v="0.05"/>
    <n v="1000"/>
    <n v="5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Rose Gold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Ceramic White"/>
    <s v="S China"/>
    <s v="OTHERS"/>
    <n v="6.05"/>
    <n v="5.92"/>
    <n v="5.92"/>
    <n v="5.92"/>
    <n v="5.92"/>
    <n v="5.92"/>
    <n v="5.92"/>
    <n v="5.92"/>
    <n v="5.92"/>
    <n v="5.92"/>
    <n v="5.92"/>
    <n v="5.92"/>
    <n v="5.92"/>
    <n v="5.92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Ceramic White"/>
    <s v="S China"/>
    <s v="OTHERS"/>
    <n v="6.05"/>
    <n v="5.05"/>
    <n v="5.05"/>
    <n v="5.05"/>
    <n v="5.05"/>
    <n v="5.05"/>
    <n v="5.05"/>
    <n v="5.05"/>
    <n v="5.05"/>
    <n v="5.05"/>
    <n v="5.05"/>
    <n v="5.05"/>
    <n v="5.05"/>
    <n v="5.0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Ceramic White"/>
    <s v="S China"/>
    <s v="OTHERS"/>
    <n v="6.05"/>
    <n v="5.13"/>
    <n v="5.13"/>
    <n v="5.13"/>
    <n v="5.13"/>
    <n v="5.13"/>
    <n v="5.13"/>
    <n v="5.13"/>
    <n v="5.13"/>
    <n v="5.13"/>
    <n v="5.13"/>
    <n v="5.13"/>
    <n v="5.13"/>
    <n v="5.13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Ceramic White"/>
    <s v="S China"/>
    <s v="OTHERS"/>
    <n v="6.05"/>
    <n v="5.54"/>
    <n v="5.54"/>
    <n v="5.54"/>
    <n v="5.54"/>
    <n v="5.54"/>
    <n v="5.54"/>
    <n v="5.54"/>
    <n v="5.54"/>
    <n v="5.54"/>
    <n v="5.54"/>
    <n v="5.54"/>
    <n v="5.54"/>
    <n v="5.5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Ceramic White"/>
    <s v="S China"/>
    <s v="OTHERS"/>
    <n v="6.05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Ceramic White"/>
    <s v="S China"/>
    <s v="OTHERS"/>
    <n v="6.05"/>
    <n v="5.27"/>
    <n v="5.27"/>
    <n v="5.27"/>
    <n v="5.27"/>
    <n v="5.27"/>
    <n v="5.27"/>
    <n v="5.27"/>
    <n v="5.27"/>
    <n v="5.27"/>
    <n v="5.27"/>
    <n v="5.27"/>
    <n v="5.27"/>
    <n v="5.2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Gadget"/>
    <s v="Mouse"/>
    <s v="NA"/>
    <s v="Black"/>
    <s v="S China"/>
    <s v="OTHERS"/>
    <n v="4.82"/>
    <n v="3.72"/>
    <n v="4.72"/>
    <n v="3.72"/>
    <n v="3.72"/>
    <n v="3.72"/>
    <n v="3.72"/>
    <n v="3.72"/>
    <n v="3.72"/>
    <n v="3.72"/>
    <n v="3.72"/>
    <n v="3.72"/>
    <n v="3.72"/>
    <n v="3.72"/>
    <n v="0.04"/>
    <n v="0.04"/>
    <n v="0.04"/>
    <n v="0.04"/>
    <n v="0.04"/>
    <n v="0.04"/>
    <n v="0.04"/>
    <n v="0.04"/>
    <n v="0.04"/>
    <n v="0.04"/>
    <n v="0.04"/>
    <n v="0.04"/>
    <n v="0.04"/>
    <n v="3600"/>
    <n v="144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s v="Oman"/>
    <s v="Mouse"/>
    <s v="NA"/>
    <s v="Black"/>
    <s v="S China"/>
    <s v="OTHERS"/>
    <n v="4.87"/>
    <n v="3.87"/>
    <n v="3.87"/>
    <n v="3.87"/>
    <n v="3.87"/>
    <n v="3.87"/>
    <n v="3.87"/>
    <n v="3.87"/>
    <n v="3.87"/>
    <n v="3.87"/>
    <n v="3.87"/>
    <n v="3.87"/>
    <n v="3.87"/>
    <n v="3.87"/>
    <n v="0.04"/>
    <n v="0.04"/>
    <n v="0.04"/>
    <n v="0.04"/>
    <n v="0.04"/>
    <n v="0.04"/>
    <n v="0.04"/>
    <n v="0.04"/>
    <n v="0.04"/>
    <n v="0.04"/>
    <n v="0.04"/>
    <n v="0.04"/>
    <n v="0.04"/>
    <n v="0"/>
    <n v="0"/>
    <n v="0"/>
    <n v="0"/>
    <n v="3600"/>
    <n v="144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lkaB"/>
    <s v="Mouse"/>
    <s v="NA"/>
    <s v="Black"/>
    <s v="S China"/>
    <s v="OTHERS"/>
    <n v="4.18"/>
    <n v="4.2199999999999989"/>
    <n v="4.2199999999999989"/>
    <n v="4.2199999999999989"/>
    <n v="4.2199999999999989"/>
    <n v="4.22"/>
    <n v="4.22"/>
    <n v="4.22"/>
    <n v="4.22"/>
    <n v="4.22"/>
    <n v="4.22"/>
    <n v="4.22"/>
    <n v="4.22"/>
    <n v="4.2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lkaB"/>
    <s v="Mouse"/>
    <s v="NA"/>
    <s v="Pike silver"/>
    <s v="S China"/>
    <s v="OTHERS"/>
    <n v="4.7"/>
    <n v="4.7"/>
    <n v="4.7"/>
    <n v="4.7"/>
    <n v="4.7"/>
    <n v="4.7"/>
    <n v="4.7"/>
    <n v="4.7"/>
    <n v="4.7"/>
    <n v="4.7"/>
    <n v="4.7"/>
    <n v="4.7"/>
    <n v="4.7"/>
    <n v="4.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lkaB"/>
    <s v="Mouse"/>
    <s v="NA"/>
    <s v="Pike silver"/>
    <s v="S China"/>
    <s v="OTHERS"/>
    <n v="4.75"/>
    <n v="4.75"/>
    <n v="4.75"/>
    <n v="4.75"/>
    <n v="4.75"/>
    <n v="4.75"/>
    <n v="4.75"/>
    <n v="4.75"/>
    <n v="4.75"/>
    <n v="4.75"/>
    <n v="4.75"/>
    <n v="4.75"/>
    <n v="4.75"/>
    <n v="4.75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lkaB"/>
    <s v="Mouse"/>
    <s v="NA"/>
    <s v="Pike silver"/>
    <s v="S China"/>
    <s v="OTHERS"/>
    <n v="4.7"/>
    <n v="4.7"/>
    <n v="4.7"/>
    <n v="4.7"/>
    <n v="4.7"/>
    <n v="4.7"/>
    <n v="4.7"/>
    <n v="4.7"/>
    <n v="4.7"/>
    <n v="4.7"/>
    <n v="4.7"/>
    <n v="4.7"/>
    <n v="4.7"/>
    <n v="4.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lkaB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lkaB"/>
    <s v="Mouse"/>
    <s v="NA"/>
    <s v="Black"/>
    <s v="S China"/>
    <s v="OTHERS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6000"/>
    <n v="0"/>
    <n v="12000"/>
    <n v="0"/>
    <n v="9000"/>
    <n v="0"/>
    <n v="3000"/>
    <n v="0"/>
    <n v="6000"/>
    <n v="0"/>
    <n v="6000"/>
    <n v="0"/>
    <n v="3000"/>
    <n v="0"/>
    <n v="3000"/>
    <n v="210.00000000000003"/>
    <n v="7200"/>
    <n v="504.00000000000006"/>
    <n v="9000"/>
    <n v="630.00000000000011"/>
    <n v="9000"/>
    <n v="630.00000000000011"/>
    <n v="3000"/>
    <n v="210.00000000000003"/>
  </r>
  <r>
    <s v="FY24"/>
    <s v="Allen Chen"/>
    <m/>
    <m/>
    <m/>
    <m/>
    <n v="2023"/>
    <s v="MilkaB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3000"/>
    <n v="0"/>
    <n v="3000"/>
    <n v="0"/>
    <n v="6000"/>
    <n v="0"/>
    <n v="3000"/>
    <n v="0"/>
    <n v="6000"/>
    <n v="0"/>
    <n v="3000"/>
    <n v="0"/>
    <s v="0"/>
    <n v="0"/>
    <n v="3000"/>
    <n v="210.00000000000003"/>
    <n v="3000"/>
    <n v="210.00000000000003"/>
    <n v="6000"/>
    <n v="420.00000000000006"/>
    <n v="3000"/>
    <n v="210.00000000000003"/>
    <n v="3000"/>
    <n v="210.00000000000003"/>
  </r>
  <r>
    <s v="FY24"/>
    <s v="Allen Chen"/>
    <m/>
    <m/>
    <m/>
    <m/>
    <n v="2023"/>
    <s v="MilkaB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3000"/>
    <n v="0"/>
    <n v="3000"/>
    <n v="0"/>
    <n v="3000"/>
    <n v="0"/>
    <n v="3000"/>
    <n v="210.00000000000003"/>
    <n v="3000"/>
    <n v="210.00000000000003"/>
    <n v="3000"/>
    <n v="210.00000000000003"/>
    <n v="3000"/>
    <n v="210.00000000000003"/>
    <n v="3000"/>
    <n v="210.00000000000003"/>
  </r>
  <r>
    <s v="FY24"/>
    <s v="Allen Chen"/>
    <m/>
    <m/>
    <m/>
    <m/>
    <n v="2023"/>
    <s v="MilkaB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300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MilkaB"/>
    <s v="Mouse"/>
    <s v="NA"/>
    <s v="Black"/>
    <s v="S China"/>
    <s v="OTHERS"/>
    <m/>
    <m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400"/>
    <n v="168.00000000000003"/>
    <s v="0"/>
    <n v="0"/>
    <s v="0"/>
    <n v="0"/>
  </r>
  <r>
    <s v="FY24"/>
    <s v="Simon Yang"/>
    <m/>
    <m/>
    <m/>
    <m/>
    <n v="2020"/>
    <s v="Brac"/>
    <s v="Combo"/>
    <s v="NA"/>
    <s v="Black"/>
    <s v="S China"/>
    <s v="OTHERS"/>
    <n v="9.32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0.18"/>
    <n v="0.18"/>
    <n v="0.18"/>
    <n v="0.18"/>
    <n v="0.18"/>
    <n v="0.18"/>
    <n v="0.18"/>
    <n v="0.18"/>
    <n v="0.18"/>
    <n v="0.18"/>
    <n v="0.18"/>
    <n v="0.18"/>
    <n v="0.18"/>
    <n v="2160"/>
    <n v="388.8"/>
    <n v="3240"/>
    <n v="583.19999999999993"/>
    <n v="3240"/>
    <n v="583.19999999999993"/>
    <n v="3240"/>
    <n v="583.19999999999993"/>
    <n v="6480"/>
    <n v="1166.3999999999999"/>
    <n v="3240"/>
    <n v="583.19999999999993"/>
    <n v="9720"/>
    <n v="1749.6"/>
    <n v="2160"/>
    <n v="388.8"/>
    <n v="4320"/>
    <n v="777.6"/>
    <n v="4320"/>
    <n v="777.6"/>
    <n v="5400"/>
    <n v="972"/>
    <n v="3240"/>
    <n v="583.19999999999993"/>
  </r>
  <r>
    <s v="FY24"/>
    <s v="Simon Yang"/>
    <m/>
    <m/>
    <m/>
    <m/>
    <n v="2021"/>
    <s v="BracWhiteComb"/>
    <s v="Combo"/>
    <s v="NA"/>
    <s v="White"/>
    <s v="S China"/>
    <s v="OTHERS"/>
    <n v="10.88"/>
    <n v="11.28"/>
    <n v="11.28"/>
    <n v="11.28"/>
    <n v="11.28"/>
    <n v="11.28"/>
    <n v="11.28"/>
    <n v="11.28"/>
    <n v="11.28"/>
    <n v="11.28"/>
    <n v="11.28"/>
    <n v="11.28"/>
    <n v="11.28"/>
    <n v="11.28"/>
    <n v="0.21"/>
    <n v="0.21"/>
    <n v="0.21"/>
    <n v="0.21"/>
    <n v="0.21"/>
    <n v="0.21"/>
    <n v="0.21"/>
    <n v="0.21"/>
    <n v="0.21"/>
    <n v="0.21"/>
    <n v="0.21"/>
    <n v="0.21"/>
    <n v="0.21"/>
    <n v="5040"/>
    <n v="1058.3999999999999"/>
    <n v="2520"/>
    <n v="529.19999999999993"/>
    <n v="2520"/>
    <n v="529.19999999999993"/>
    <n v="2520"/>
    <n v="529.19999999999993"/>
    <n v="5040"/>
    <n v="1058.3999999999999"/>
    <n v="2520"/>
    <n v="529.19999999999993"/>
    <n v="5040"/>
    <n v="1058.3999999999999"/>
    <s v="0"/>
    <n v="0"/>
    <n v="2520"/>
    <n v="529.19999999999993"/>
    <n v="2520"/>
    <n v="529.19999999999993"/>
    <n v="2520"/>
    <n v="529.19999999999993"/>
    <s v="0"/>
    <n v="0"/>
  </r>
  <r>
    <s v="FY24"/>
    <s v="Allen Chen"/>
    <m/>
    <m/>
    <m/>
    <m/>
    <n v="2020"/>
    <s v="Oreo"/>
    <s v="Mouse"/>
    <s v="NA"/>
    <s v="Black"/>
    <s v="S China"/>
    <s v="OTHERS"/>
    <n v="1.61"/>
    <n v="1.61"/>
    <n v="1.61"/>
    <n v="1.61"/>
    <n v="1.61"/>
    <n v="1.61"/>
    <n v="1.61"/>
    <n v="1.61"/>
    <n v="1.61"/>
    <n v="1.61"/>
    <n v="1.61"/>
    <n v="1.61"/>
    <n v="1.61"/>
    <n v="1.61"/>
    <n v="0"/>
    <n v="0"/>
    <n v="0"/>
    <n v="0"/>
    <n v="0"/>
    <n v="0"/>
    <n v="0"/>
    <n v="0"/>
    <n v="0"/>
    <n v="0"/>
    <n v="0"/>
    <n v="0"/>
    <n v="0"/>
    <n v="6720"/>
    <n v="0"/>
    <n v="40320"/>
    <n v="0"/>
    <n v="33600"/>
    <n v="0"/>
    <n v="0"/>
    <n v="0"/>
    <n v="25920"/>
    <n v="0"/>
    <n v="31680"/>
    <n v="0"/>
    <n v="20160"/>
    <n v="0"/>
    <n v="13440"/>
    <n v="0"/>
    <s v="0"/>
    <n v="0"/>
    <n v="6720"/>
    <n v="0"/>
    <n v="6720"/>
    <n v="0"/>
    <s v="0"/>
    <n v="0"/>
  </r>
  <r>
    <s v="FY24"/>
    <s v="Allen Chen"/>
    <m/>
    <m/>
    <m/>
    <m/>
    <n v="2020"/>
    <s v="OreoBPS"/>
    <s v="Mouse"/>
    <s v="NA"/>
    <s v="Black"/>
    <s v="S China"/>
    <s v="OTHERS"/>
    <n v="1.65"/>
    <n v="1.65"/>
    <n v="1.65"/>
    <n v="1.65"/>
    <n v="1.65"/>
    <n v="1.65"/>
    <n v="1.65"/>
    <n v="1.65"/>
    <n v="1.65"/>
    <n v="1.65"/>
    <n v="1.65"/>
    <n v="1.65"/>
    <n v="1.65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s v="Kenting"/>
    <s v="Mouse"/>
    <s v="NA"/>
    <s v="Jack Black"/>
    <s v="S China"/>
    <s v="OTHERS"/>
    <n v="3.79"/>
    <n v="3.91"/>
    <n v="3.91"/>
    <n v="3.91"/>
    <n v="3.91"/>
    <n v="3.91"/>
    <n v="3.91"/>
    <n v="3.91"/>
    <n v="3.91"/>
    <n v="3.91"/>
    <n v="3.91"/>
    <n v="3.91"/>
    <n v="3.91"/>
    <n v="3.91"/>
    <n v="0"/>
    <n v="0"/>
    <n v="0"/>
    <n v="0"/>
    <n v="0"/>
    <n v="0"/>
    <n v="0"/>
    <n v="0"/>
    <n v="0"/>
    <n v="0"/>
    <n v="0"/>
    <n v="0"/>
    <n v="0"/>
    <n v="0"/>
    <n v="0"/>
    <n v="8640"/>
    <n v="0"/>
    <n v="37440"/>
    <n v="0"/>
    <n v="23040"/>
    <n v="0"/>
    <n v="28800"/>
    <n v="0"/>
    <n v="50320"/>
    <n v="0"/>
    <n v="1496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s v="Kenting"/>
    <s v="Mouse"/>
    <s v="NA"/>
    <s v="Jack Black"/>
    <s v="S China"/>
    <s v="OTHERS"/>
    <n v="3.75"/>
    <n v="3.87"/>
    <n v="3.87"/>
    <n v="3.87"/>
    <n v="3.87"/>
    <n v="3.87"/>
    <n v="3.87"/>
    <n v="3.87"/>
    <n v="3.87"/>
    <n v="3.87"/>
    <n v="3.87"/>
    <n v="3.87"/>
    <n v="3.87"/>
    <n v="3.87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2880"/>
    <n v="0"/>
    <n v="8640"/>
    <n v="0"/>
    <s v="0"/>
    <n v="0"/>
    <n v="8640"/>
    <n v="0"/>
    <n v="8640"/>
    <n v="0"/>
    <s v="0"/>
    <n v="0"/>
    <n v="2880"/>
    <n v="0"/>
    <s v="0"/>
    <n v="0"/>
  </r>
  <r>
    <s v="FY24"/>
    <s v="Allen Chen"/>
    <m/>
    <m/>
    <m/>
    <m/>
    <n v="2023"/>
    <s v="Sochi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320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Sochi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3200"/>
    <n v="0"/>
    <n v="3200"/>
    <n v="0"/>
    <n v="0"/>
    <n v="0"/>
    <n v="6400"/>
    <n v="0"/>
    <n v="3200"/>
    <n v="0"/>
    <n v="640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Sochi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Sochi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640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Sochi"/>
    <s v="Mouse"/>
    <s v="NA"/>
    <s v="Black"/>
    <s v="S China"/>
    <s v="OTHERS"/>
    <m/>
    <m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3200"/>
    <n v="0"/>
    <s v="0"/>
    <n v="0"/>
    <s v="0"/>
    <n v="0"/>
  </r>
  <r>
    <s v="FY24"/>
    <s v="Allen Chen"/>
    <m/>
    <m/>
    <m/>
    <m/>
    <n v="2023"/>
    <s v="Sochi"/>
    <s v="Mouse"/>
    <s v="NA"/>
    <s v="Black"/>
    <s v="S China"/>
    <s v="OTHERS"/>
    <m/>
    <m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0"/>
    <n v="0"/>
    <n v="3200"/>
    <n v="0"/>
    <n v="3200"/>
    <n v="0"/>
  </r>
  <r>
    <s v="FY24"/>
    <s v="Allen Chen"/>
    <m/>
    <m/>
    <m/>
    <m/>
    <n v="2020"/>
    <s v="Jaipur"/>
    <s v="Mouse"/>
    <s v="NA"/>
    <s v="Black"/>
    <s v="S China"/>
    <s v="OTHERS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18"/>
    <s v="Nanjing"/>
    <s v="NBL KB"/>
    <s v="NA"/>
    <s v="Black"/>
    <s v="S China"/>
    <s v="OTHERS"/>
    <n v="3.88"/>
    <n v="3.88"/>
    <n v="3.88"/>
    <n v="3.88"/>
    <n v="3.88"/>
    <n v="3.88"/>
    <n v="3.88"/>
    <n v="3.88"/>
    <n v="3.88"/>
    <n v="3.88"/>
    <n v="3.88"/>
    <n v="3.88"/>
    <n v="3.88"/>
    <n v="3.8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m/>
    <m/>
    <m/>
    <m/>
    <m/>
    <n v="2021"/>
    <s v="Ivy dongle"/>
    <s v="Others"/>
    <s v="NA"/>
    <s v="Silver"/>
    <s v="S China"/>
    <s v="OTHERS"/>
    <n v="3.37"/>
    <n v="3.37"/>
    <n v="3.37"/>
    <n v="3.37"/>
    <n v="3.37"/>
    <n v="3.37"/>
    <n v="3.37"/>
    <n v="3.37"/>
    <n v="3.37"/>
    <n v="3.37"/>
    <n v="3.37"/>
    <n v="3.37"/>
    <n v="3.37"/>
    <n v="3.3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m/>
    <m/>
    <m/>
    <m/>
    <m/>
    <n v="2021"/>
    <s v="Ivy dongle"/>
    <s v="Others"/>
    <s v="NA"/>
    <s v="Silver"/>
    <s v="S China"/>
    <s v="OTHERS"/>
    <n v="3.26"/>
    <n v="3.26"/>
    <n v="3.26"/>
    <n v="3.26"/>
    <n v="3.26"/>
    <n v="3.26"/>
    <n v="3.26"/>
    <n v="3.26"/>
    <n v="3.26"/>
    <n v="3.26"/>
    <n v="3.26"/>
    <n v="3.26"/>
    <n v="3.26"/>
    <n v="3.26"/>
    <n v="0"/>
    <n v="0"/>
    <n v="0"/>
    <n v="0"/>
    <n v="0"/>
    <n v="0"/>
    <n v="0"/>
    <n v="0"/>
    <n v="0"/>
    <n v="0"/>
    <n v="0"/>
    <n v="0"/>
    <n v="0"/>
    <n v="2000"/>
    <n v="0"/>
    <n v="0"/>
    <n v="0"/>
    <s v="0"/>
    <n v="0"/>
    <n v="0"/>
    <n v="0"/>
    <n v="100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18"/>
    <s v="Nanjing"/>
    <s v="NBL KB"/>
    <s v="NA"/>
    <s v="Black"/>
    <s v="S China"/>
    <s v="OTHERS"/>
    <n v="3.65"/>
    <n v="3.65"/>
    <n v="3.65"/>
    <n v="3.65"/>
    <n v="3.65"/>
    <n v="3.65"/>
    <n v="3.65"/>
    <n v="3.65"/>
    <n v="3.65"/>
    <n v="3.65"/>
    <n v="3.65"/>
    <n v="3.65"/>
    <n v="3.65"/>
    <n v="3.6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1890"/>
    <n v="0"/>
    <n v="1890"/>
    <n v="0"/>
    <n v="7560"/>
    <n v="0"/>
    <s v="0"/>
    <n v="0"/>
    <s v="0"/>
    <n v="0"/>
    <n v="1890"/>
    <n v="0"/>
    <n v="1890"/>
    <n v="0"/>
    <n v="1890"/>
    <n v="0"/>
    <s v="0"/>
    <n v="0"/>
  </r>
  <r>
    <s v="FY24"/>
    <s v="Allen Chen"/>
    <m/>
    <m/>
    <m/>
    <m/>
    <n v="2023"/>
    <s v="Buble 2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n v="11.2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2880"/>
    <n v="0"/>
    <n v="1440"/>
    <n v="0"/>
    <n v="1440"/>
    <n v="648"/>
    <s v="0"/>
    <n v="0"/>
  </r>
  <r>
    <s v="FY24"/>
    <s v="Allen Chen"/>
    <m/>
    <m/>
    <m/>
    <m/>
    <n v="2023"/>
    <s v="Buble 2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n v="11.2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1440"/>
    <n v="0"/>
    <s v="0"/>
    <n v="0"/>
    <n v="1440"/>
    <n v="648"/>
    <s v="0"/>
    <n v="0"/>
  </r>
  <r>
    <s v="FY24"/>
    <s v="Allen Chen"/>
    <m/>
    <m/>
    <m/>
    <m/>
    <n v="2023"/>
    <s v="Buble 2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n v="11.2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</r>
  <r>
    <s v="FY24"/>
    <s v="Allen Chen"/>
    <m/>
    <m/>
    <m/>
    <m/>
    <n v="2023"/>
    <s v="Buble 2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n v="11.22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</r>
  <r>
    <s v="FY24"/>
    <s v="Allen Chen"/>
    <m/>
    <m/>
    <m/>
    <m/>
    <n v="2023"/>
    <s v="Buble 2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n v="11.22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1440"/>
    <n v="0"/>
    <n v="14400"/>
    <n v="0"/>
    <s v="0"/>
    <n v="0"/>
    <s v="0"/>
    <n v="0"/>
  </r>
  <r>
    <s v="FY24"/>
    <s v="Allen Chen"/>
    <m/>
    <m/>
    <m/>
    <m/>
    <n v="2023"/>
    <s v="Buble 2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n v="11.22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040"/>
    <n v="1414.4"/>
    <s v="0"/>
    <n v="0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2080"/>
    <n v="2828.8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040"/>
    <n v="1414.4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040"/>
    <n v="1414.4"/>
    <s v="0"/>
    <n v="0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6240"/>
    <n v="8486.4000000000015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040"/>
    <n v="1414.4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200"/>
    <n v="1128"/>
    <n v="1200"/>
    <n v="1128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200"/>
    <n v="1128"/>
    <s v="0"/>
    <n v="0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4800"/>
    <n v="4512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37784.5600000005"/>
    <m/>
    <n v="2786280.96"/>
    <m/>
    <n v="3925223.959999999"/>
    <m/>
    <n v="1008146.66"/>
    <m/>
    <n v="3558601.1"/>
    <m/>
    <n v="4370145.4000000004"/>
    <m/>
    <n v="3967566.36"/>
    <m/>
    <n v="3511636.439999999"/>
    <m/>
    <n v="2750885.94"/>
    <m/>
    <n v="3071729.0999999992"/>
    <m/>
    <n v="4225467.5"/>
    <m/>
    <n v="3052487.3599999989"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s v="FY24"/>
    <s v="Allen Chen"/>
    <s v="Acrox"/>
    <s v="Peripheral"/>
    <s v="Peripheral"/>
    <s v="Peripherals"/>
    <n v="2018"/>
    <x v="0"/>
    <s v="Mouse"/>
    <s v="NA"/>
    <s v="Black"/>
    <s v="S China"/>
    <s v="OTHERS"/>
    <n v="1.8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  <x v="0"/>
    <s v="Foxconn LH"/>
  </r>
  <r>
    <s v="FY24"/>
    <s v="Allen Chen"/>
    <m/>
    <m/>
    <m/>
    <m/>
    <n v="2018"/>
    <x v="0"/>
    <s v="Mouse"/>
    <s v="NA"/>
    <s v="Black"/>
    <s v="S China"/>
    <s v="OTHERS"/>
    <n v="1.8"/>
    <n v="1.79"/>
    <n v="1.79"/>
    <n v="1.79"/>
    <n v="1.79"/>
    <n v="1.79"/>
    <n v="1.79"/>
    <n v="1.79"/>
    <n v="1.79"/>
    <n v="1.79"/>
    <n v="1.79"/>
    <n v="1.79"/>
    <n v="1.79"/>
    <n v="1.79"/>
    <n v="0"/>
    <n v="0"/>
    <n v="0"/>
    <n v="0"/>
    <n v="0"/>
    <n v="0"/>
    <n v="0"/>
    <n v="0"/>
    <n v="0"/>
    <n v="0"/>
    <n v="0"/>
    <n v="0"/>
    <n v="0"/>
    <n v="6720"/>
    <n v="0"/>
    <n v="94080"/>
    <n v="0"/>
    <n v="6720"/>
    <n v="0"/>
    <n v="0"/>
    <n v="0"/>
    <n v="26880"/>
    <n v="0"/>
    <n v="32640"/>
    <n v="0"/>
    <s v="0"/>
    <n v="0"/>
    <n v="6720"/>
    <n v="0"/>
    <n v="6720"/>
    <n v="0"/>
    <n v="20160"/>
    <n v="0"/>
    <n v="6720"/>
    <n v="0"/>
    <n v="26880"/>
    <n v="0"/>
    <x v="1"/>
    <s v="Foxconn CZ"/>
  </r>
  <r>
    <s v="FY24"/>
    <s v="Allen Chen"/>
    <m/>
    <m/>
    <m/>
    <m/>
    <n v="2018"/>
    <x v="0"/>
    <s v="Mouse"/>
    <s v="NA"/>
    <s v="Black"/>
    <s v="S China"/>
    <s v="OTHERS"/>
    <n v="1.8"/>
    <n v="2.04"/>
    <n v="2.04"/>
    <n v="2.04"/>
    <n v="2.04"/>
    <n v="2.04"/>
    <n v="2.04"/>
    <n v="2.04"/>
    <n v="2.04"/>
    <n v="2.04"/>
    <n v="2.04"/>
    <n v="2.04"/>
    <n v="2.04"/>
    <n v="2.04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2880"/>
    <n v="0"/>
    <n v="0"/>
    <n v="0"/>
    <n v="0"/>
    <n v="0"/>
    <s v="0"/>
    <n v="0"/>
    <s v="0"/>
    <n v="0"/>
    <n v="2880"/>
    <n v="0"/>
    <s v="0"/>
    <n v="0"/>
    <n v="2880"/>
    <n v="0"/>
    <s v="0"/>
    <n v="0"/>
    <x v="2"/>
    <s v="Foxconn LH"/>
  </r>
  <r>
    <s v="FY24"/>
    <s v="Simon Yang"/>
    <m/>
    <m/>
    <m/>
    <m/>
    <n v="2020"/>
    <x v="1"/>
    <s v="Combo"/>
    <s v="NA"/>
    <s v="Black"/>
    <s v="S China"/>
    <s v="OTHERS"/>
    <n v="9.1999999999999993"/>
    <n v="9.16"/>
    <n v="9.16"/>
    <n v="9.16"/>
    <n v="9.16"/>
    <n v="9.16"/>
    <n v="9.16"/>
    <n v="9.16"/>
    <n v="9.16"/>
    <n v="9.16"/>
    <n v="9.16"/>
    <n v="9.16"/>
    <n v="9.16"/>
    <n v="9.16"/>
    <n v="0.18"/>
    <n v="0.18"/>
    <n v="0.18"/>
    <n v="0.18"/>
    <n v="0.18"/>
    <n v="0.18"/>
    <n v="0.18"/>
    <n v="0.18"/>
    <n v="0.18"/>
    <n v="0.18"/>
    <n v="0.18"/>
    <n v="0.18"/>
    <n v="0.18"/>
    <n v="48000"/>
    <n v="8640"/>
    <n v="17000"/>
    <n v="3060"/>
    <n v="19600"/>
    <n v="3528"/>
    <n v="17400"/>
    <n v="3132"/>
    <n v="28500"/>
    <n v="5130"/>
    <n v="37000"/>
    <n v="6660"/>
    <n v="24120"/>
    <n v="4341.5999999999995"/>
    <n v="21880"/>
    <n v="3938.3999999999996"/>
    <s v="0"/>
    <n v="0"/>
    <s v="0"/>
    <n v="0"/>
    <s v="0"/>
    <n v="0"/>
    <s v="0"/>
    <n v="0"/>
    <x v="3"/>
    <s v="Flextronics CZ"/>
  </r>
  <r>
    <s v="FY24"/>
    <s v="Simon Yang"/>
    <m/>
    <m/>
    <m/>
    <m/>
    <n v="2020"/>
    <x v="1"/>
    <s v="Combo"/>
    <s v="NA"/>
    <s v="Black"/>
    <s v="S China"/>
    <s v="OTHERS"/>
    <m/>
    <m/>
    <n v="9"/>
    <n v="9"/>
    <n v="9"/>
    <n v="9"/>
    <n v="9"/>
    <n v="9"/>
    <n v="9"/>
    <n v="9"/>
    <n v="9"/>
    <n v="9"/>
    <n v="9"/>
    <n v="9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s v="0"/>
    <n v="0"/>
    <n v="1280"/>
    <n v="230.39999999999998"/>
    <s v="0"/>
    <n v="0"/>
    <s v="0"/>
    <n v="0"/>
    <s v="0"/>
    <n v="0"/>
    <x v="4"/>
    <s v="Foxconn LH"/>
  </r>
  <r>
    <s v="FY24"/>
    <s v="Simon Yang"/>
    <m/>
    <m/>
    <m/>
    <m/>
    <n v="2020"/>
    <x v="1"/>
    <s v="Combo"/>
    <s v="NA"/>
    <s v="Black"/>
    <s v="S China"/>
    <s v="OTHERS"/>
    <n v="9.0299999999999994"/>
    <n v="9.01"/>
    <n v="9.01"/>
    <n v="9.01"/>
    <n v="9.01"/>
    <n v="9.01"/>
    <n v="9.01"/>
    <n v="9.01"/>
    <n v="9.01"/>
    <n v="9.01"/>
    <n v="9.01"/>
    <n v="9.01"/>
    <n v="9.01"/>
    <n v="9.01"/>
    <n v="0.18"/>
    <n v="0.18"/>
    <n v="0.18"/>
    <n v="0.18"/>
    <n v="0.18"/>
    <n v="0.18"/>
    <n v="0.18"/>
    <n v="0.18"/>
    <n v="0.18"/>
    <n v="0.18"/>
    <n v="0.18"/>
    <n v="0.18"/>
    <n v="0.18"/>
    <n v="28780"/>
    <n v="5180.3999999999996"/>
    <n v="14000"/>
    <n v="2520"/>
    <n v="43400"/>
    <n v="7812"/>
    <n v="23600"/>
    <n v="4248"/>
    <n v="18000"/>
    <n v="3240"/>
    <n v="29000"/>
    <n v="5220"/>
    <n v="15600"/>
    <n v="2808"/>
    <n v="33400"/>
    <n v="6012"/>
    <n v="25280"/>
    <n v="4550.3999999999996"/>
    <n v="21280"/>
    <n v="3830.3999999999996"/>
    <n v="47000"/>
    <n v="8460"/>
    <n v="23000"/>
    <n v="4140"/>
    <x v="5"/>
    <s v="Flextronics CZ"/>
  </r>
  <r>
    <s v="FY24"/>
    <s v="Simon Yang"/>
    <m/>
    <m/>
    <m/>
    <m/>
    <n v="2020"/>
    <x v="2"/>
    <s v="Combo"/>
    <s v="NA"/>
    <s v="White"/>
    <s v="S China"/>
    <s v="OTHERS"/>
    <n v="10.99"/>
    <n v="10.92"/>
    <n v="10.92"/>
    <n v="10.92"/>
    <n v="10.92"/>
    <n v="10.92"/>
    <n v="10.92"/>
    <n v="10.92"/>
    <n v="10.92"/>
    <n v="10.92"/>
    <n v="10.92"/>
    <n v="10.92"/>
    <n v="10.92"/>
    <n v="10.92"/>
    <n v="0.21"/>
    <n v="0.21"/>
    <n v="0.21"/>
    <n v="0.21"/>
    <n v="0.21"/>
    <n v="0.21"/>
    <n v="0.21"/>
    <n v="0.21"/>
    <n v="0.21"/>
    <n v="0.21"/>
    <n v="0.21"/>
    <n v="0.21"/>
    <n v="0.21"/>
    <n v="10880"/>
    <n v="2284.7999999999997"/>
    <n v="0"/>
    <n v="0"/>
    <n v="5760"/>
    <n v="1209.5999999999999"/>
    <n v="2880"/>
    <n v="604.79999999999995"/>
    <n v="3880"/>
    <n v="814.8"/>
    <n v="16880"/>
    <n v="3544.7999999999997"/>
    <n v="10180"/>
    <n v="2137.7999999999997"/>
    <n v="5760"/>
    <n v="1209.5999999999999"/>
    <s v="0"/>
    <n v="0"/>
    <n v="5760"/>
    <n v="1209.5999999999999"/>
    <n v="10760"/>
    <n v="2259.6"/>
    <n v="5880"/>
    <n v="1234.8"/>
    <x v="6"/>
    <s v="Flextronics CZ"/>
  </r>
  <r>
    <s v="FY24"/>
    <s v="Simon Yang"/>
    <m/>
    <m/>
    <m/>
    <m/>
    <n v="2021"/>
    <x v="3"/>
    <s v="NBL KB"/>
    <s v="NA"/>
    <s v="Black"/>
    <s v="S China"/>
    <s v="OTHERS"/>
    <n v="7.73"/>
    <n v="7.58"/>
    <n v="7.58"/>
    <n v="7.58"/>
    <n v="7.58"/>
    <n v="7.58"/>
    <n v="7.58"/>
    <n v="7.58"/>
    <n v="7.58"/>
    <n v="7.58"/>
    <n v="7.58"/>
    <n v="7.58"/>
    <n v="7.58"/>
    <n v="7.58"/>
    <n v="0.15"/>
    <n v="0.15"/>
    <n v="0.15"/>
    <n v="0.15"/>
    <n v="0.15"/>
    <n v="0.15"/>
    <n v="0.15"/>
    <n v="0.15"/>
    <n v="0.15"/>
    <n v="0.15"/>
    <n v="0.15"/>
    <n v="0.15"/>
    <n v="0.15"/>
    <n v="12480"/>
    <n v="1872"/>
    <n v="0"/>
    <n v="0"/>
    <n v="6080"/>
    <n v="912"/>
    <n v="5500"/>
    <n v="825"/>
    <n v="6840"/>
    <n v="1026"/>
    <n v="14280"/>
    <n v="2142"/>
    <s v="0"/>
    <n v="0"/>
    <s v="0"/>
    <n v="0"/>
    <s v="0"/>
    <n v="0"/>
    <n v="1280"/>
    <n v="192"/>
    <n v="4000"/>
    <n v="600"/>
    <n v="3840"/>
    <n v="576"/>
    <x v="7"/>
    <s v="Flextronics CZ"/>
  </r>
  <r>
    <s v="FY24"/>
    <s v="Allen Chen"/>
    <m/>
    <m/>
    <m/>
    <m/>
    <n v="2020"/>
    <x v="4"/>
    <s v="Mouse"/>
    <s v="NA"/>
    <s v="Natural Silver"/>
    <s v="S China"/>
    <s v="OTHERS"/>
    <n v="30.5"/>
    <n v="30.52"/>
    <n v="30.52"/>
    <n v="30.52"/>
    <n v="30.52"/>
    <n v="30.52"/>
    <n v="30.52"/>
    <n v="30.52"/>
    <n v="30.52"/>
    <n v="30.52"/>
    <n v="30.52"/>
    <n v="30.52"/>
    <n v="30.45"/>
    <n v="30.45"/>
    <n v="0"/>
    <n v="0"/>
    <n v="0"/>
    <n v="0"/>
    <n v="0"/>
    <n v="0"/>
    <n v="0"/>
    <n v="0"/>
    <n v="0"/>
    <n v="0"/>
    <n v="0"/>
    <n v="7.0000000000000007E-2"/>
    <n v="7.0000000000000007E-2"/>
    <n v="1008"/>
    <n v="0"/>
    <n v="0"/>
    <n v="0"/>
    <s v="0"/>
    <n v="0"/>
    <n v="1008"/>
    <n v="0"/>
    <n v="0"/>
    <n v="0"/>
    <n v="1008"/>
    <n v="0"/>
    <s v="0"/>
    <n v="0"/>
    <n v="1008"/>
    <n v="0"/>
    <s v="0"/>
    <n v="0"/>
    <s v="0"/>
    <n v="0"/>
    <n v="1008"/>
    <n v="70.56"/>
    <s v="0"/>
    <n v="0"/>
    <x v="8"/>
    <s v="Foxconn CZ"/>
  </r>
  <r>
    <s v="FY24"/>
    <s v="Allen Chen"/>
    <m/>
    <m/>
    <m/>
    <m/>
    <n v="2020"/>
    <x v="4"/>
    <s v="Mouse"/>
    <s v="NA"/>
    <s v="Nightfull black"/>
    <s v="S China"/>
    <s v="OTHERS"/>
    <n v="30.4"/>
    <n v="30.42"/>
    <n v="30.42"/>
    <n v="30.42"/>
    <n v="30.42"/>
    <n v="30.42"/>
    <n v="30.42"/>
    <n v="30.42"/>
    <n v="30.42"/>
    <n v="30.42"/>
    <n v="30.42"/>
    <n v="30.42"/>
    <n v="30.35"/>
    <n v="30.3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2016"/>
    <n v="0"/>
    <n v="1008"/>
    <n v="0"/>
    <n v="0"/>
    <n v="0"/>
    <n v="1008"/>
    <n v="0"/>
    <s v="0"/>
    <n v="0"/>
    <n v="1008"/>
    <n v="0"/>
    <s v="0"/>
    <n v="0"/>
    <n v="1008"/>
    <n v="0"/>
    <s v="0"/>
    <n v="0"/>
    <s v="0"/>
    <n v="0"/>
    <n v="1008"/>
    <n v="70.56"/>
    <x v="9"/>
    <s v="Foxconn CZ"/>
  </r>
  <r>
    <s v="FY24"/>
    <s v="Allen Chen"/>
    <m/>
    <m/>
    <m/>
    <m/>
    <n v="2020"/>
    <x v="4"/>
    <s v="Mouse"/>
    <s v="NA"/>
    <s v="Natural Silver"/>
    <s v="S China"/>
    <s v="OTHERS"/>
    <n v="30.5"/>
    <n v="30.52"/>
    <n v="30.52"/>
    <n v="30.52"/>
    <n v="30.52"/>
    <n v="30.52"/>
    <n v="30.52"/>
    <n v="30.52"/>
    <n v="30.52"/>
    <n v="30.52"/>
    <n v="30.52"/>
    <n v="30.52"/>
    <n v="30.45"/>
    <n v="30.4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0"/>
    <s v="Ryder Indy"/>
  </r>
  <r>
    <s v="FY24"/>
    <s v="Simon Yang"/>
    <m/>
    <m/>
    <m/>
    <m/>
    <n v="2020"/>
    <x v="5"/>
    <s v="Combo"/>
    <s v="NA"/>
    <s v="Black"/>
    <s v="S China"/>
    <s v="OTHERS"/>
    <n v="5.14"/>
    <n v="5.14"/>
    <n v="5.14"/>
    <n v="5.14"/>
    <n v="5.14"/>
    <n v="5.14"/>
    <n v="5.14"/>
    <n v="5.14"/>
    <n v="5.14"/>
    <n v="5.14"/>
    <n v="5.14"/>
    <n v="5.14"/>
    <n v="5.14"/>
    <n v="5.14"/>
    <n v="0"/>
    <n v="0"/>
    <n v="0"/>
    <n v="0"/>
    <n v="0"/>
    <n v="0"/>
    <n v="0"/>
    <n v="0"/>
    <n v="0"/>
    <n v="0"/>
    <n v="0"/>
    <n v="0"/>
    <n v="0"/>
    <n v="5600"/>
    <n v="0"/>
    <n v="7700"/>
    <n v="0"/>
    <n v="2700"/>
    <n v="0"/>
    <n v="5200"/>
    <n v="0"/>
    <n v="13800"/>
    <n v="0"/>
    <n v="15000"/>
    <n v="0"/>
    <n v="5200"/>
    <n v="0"/>
    <n v="17000"/>
    <n v="0"/>
    <s v="0"/>
    <n v="0"/>
    <n v="2600"/>
    <n v="0"/>
    <n v="7800"/>
    <n v="0"/>
    <n v="2600"/>
    <n v="0"/>
    <x v="11"/>
    <s v="Flextronics CZ"/>
  </r>
  <r>
    <s v="FY24"/>
    <s v="Simon Yang"/>
    <m/>
    <m/>
    <m/>
    <m/>
    <n v="2020"/>
    <x v="6"/>
    <s v="Combo"/>
    <s v="NA"/>
    <s v="Black"/>
    <s v="S China"/>
    <s v="OTHERS"/>
    <n v="4.93"/>
    <n v="4.93"/>
    <n v="4.93"/>
    <n v="4.93"/>
    <n v="4.93"/>
    <n v="4.93"/>
    <n v="4.93"/>
    <n v="4.93"/>
    <n v="4.93"/>
    <n v="4.93"/>
    <n v="4.93"/>
    <n v="4.93"/>
    <n v="4.93"/>
    <n v="4.9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2"/>
    <s v="HP India"/>
  </r>
  <r>
    <s v="FY24"/>
    <s v="Simon Yang"/>
    <m/>
    <m/>
    <m/>
    <m/>
    <n v="2022"/>
    <x v="7"/>
    <s v="NBL KB"/>
    <s v="NA"/>
    <s v="Black"/>
    <s v="S China"/>
    <s v="OTHERS"/>
    <n v="3.9"/>
    <n v="3.9"/>
    <n v="3.9"/>
    <n v="3.9"/>
    <n v="3.9"/>
    <n v="3.9"/>
    <n v="3.9"/>
    <n v="3.9"/>
    <n v="3.9"/>
    <n v="3.9"/>
    <n v="3.9"/>
    <n v="3.9"/>
    <n v="3.9"/>
    <n v="3.9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5600"/>
    <n v="1176"/>
    <n v="5600"/>
    <n v="1176"/>
    <n v="2800"/>
    <n v="588"/>
    <n v="2800"/>
    <n v="588"/>
    <n v="5600"/>
    <n v="1176"/>
    <n v="5600"/>
    <n v="1176"/>
    <n v="8400"/>
    <n v="1764"/>
    <x v="13"/>
    <s v="Flextronics CZ"/>
  </r>
  <r>
    <s v="FY24"/>
    <s v="Allen Chen"/>
    <m/>
    <m/>
    <m/>
    <m/>
    <n v="2016"/>
    <x v="8"/>
    <s v="Mouse"/>
    <s v="NA"/>
    <s v="Black"/>
    <s v="S China"/>
    <s v="OTHERS"/>
    <n v="5.3"/>
    <n v="4.79"/>
    <n v="4.79"/>
    <n v="4.79"/>
    <n v="4.79"/>
    <n v="4.79"/>
    <n v="4.79"/>
    <n v="4.79"/>
    <n v="4.79"/>
    <n v="4.79"/>
    <n v="4.79"/>
    <n v="4.79"/>
    <n v="4.79"/>
    <n v="4.79"/>
    <n v="0.05"/>
    <n v="0.05"/>
    <n v="0.05"/>
    <n v="0.05"/>
    <n v="0.05"/>
    <n v="0.05"/>
    <n v="0.05"/>
    <n v="0.05"/>
    <n v="0.05"/>
    <n v="0.05"/>
    <n v="0.05"/>
    <n v="0.05"/>
    <n v="0.05"/>
    <n v="0"/>
    <n v="0"/>
    <n v="12960"/>
    <n v="648"/>
    <n v="4320"/>
    <n v="216"/>
    <n v="0"/>
    <n v="0"/>
    <n v="8640"/>
    <n v="432"/>
    <n v="8640"/>
    <n v="432"/>
    <n v="8640"/>
    <n v="432"/>
    <n v="8640"/>
    <n v="432"/>
    <n v="4320"/>
    <n v="216"/>
    <s v="0"/>
    <n v="0"/>
    <n v="4320"/>
    <n v="216"/>
    <n v="4320"/>
    <n v="216"/>
    <x v="14"/>
    <s v="Foxconn CZ"/>
  </r>
  <r>
    <s v="FY24"/>
    <s v="Allen Chen"/>
    <m/>
    <m/>
    <m/>
    <m/>
    <n v="2019"/>
    <x v="9"/>
    <s v="Mouse"/>
    <s v="NA"/>
    <s v="Black"/>
    <s v="S China"/>
    <s v="OTHERS"/>
    <n v="1.8"/>
    <n v="1.8"/>
    <n v="1.8"/>
    <n v="1.8"/>
    <n v="1.8"/>
    <n v="1.8"/>
    <n v="1.8"/>
    <n v="1.8"/>
    <n v="1.8"/>
    <n v="1.8"/>
    <n v="1.8"/>
    <n v="1.8"/>
    <n v="1.8"/>
    <n v="1.8"/>
    <n v="0"/>
    <n v="0"/>
    <n v="0"/>
    <n v="0"/>
    <n v="0"/>
    <n v="0"/>
    <n v="0"/>
    <n v="0"/>
    <n v="0"/>
    <n v="0"/>
    <n v="0"/>
    <n v="0"/>
    <n v="0"/>
    <n v="17280"/>
    <n v="0"/>
    <n v="33040"/>
    <n v="0"/>
    <n v="15920"/>
    <n v="0"/>
    <n v="0"/>
    <n v="0"/>
    <n v="37440"/>
    <n v="0"/>
    <n v="40320"/>
    <n v="0"/>
    <n v="20200"/>
    <n v="0"/>
    <n v="2880"/>
    <n v="0"/>
    <n v="5760"/>
    <n v="0"/>
    <n v="20160"/>
    <n v="0"/>
    <s v="0"/>
    <n v="0"/>
    <n v="17280"/>
    <n v="0"/>
    <x v="15"/>
    <s v="Foxconn CZ"/>
  </r>
  <r>
    <s v="FY24"/>
    <s v="Simon Yang"/>
    <m/>
    <m/>
    <m/>
    <m/>
    <n v="2020"/>
    <x v="10"/>
    <s v="Combo"/>
    <s v="NA"/>
    <s v="Black"/>
    <s v="S China"/>
    <s v="OTHERS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0.08"/>
    <n v="0.08"/>
    <n v="0.08"/>
    <n v="0.08"/>
    <n v="0.08"/>
    <n v="0.08"/>
    <n v="0.08"/>
    <n v="0.08"/>
    <n v="0.08"/>
    <n v="0.08"/>
    <n v="0.08"/>
    <n v="0.08"/>
    <n v="0.08"/>
    <n v="7780"/>
    <n v="622.4"/>
    <n v="0"/>
    <n v="0"/>
    <n v="2500"/>
    <n v="200"/>
    <n v="0"/>
    <n v="0"/>
    <n v="0"/>
    <n v="0"/>
    <n v="7000"/>
    <n v="560"/>
    <n v="1000"/>
    <n v="80"/>
    <n v="16000"/>
    <n v="1280"/>
    <n v="25000"/>
    <n v="2000"/>
    <n v="11500"/>
    <n v="920"/>
    <n v="10560"/>
    <n v="844.80000000000007"/>
    <n v="5280"/>
    <n v="422.40000000000003"/>
    <x v="16"/>
    <s v="Flextronics CZ"/>
  </r>
  <r>
    <s v="FY24"/>
    <s v="Allen Chen"/>
    <m/>
    <m/>
    <m/>
    <m/>
    <n v="2020"/>
    <x v="11"/>
    <s v="Mouse"/>
    <s v="NA"/>
    <s v="Nightfull black"/>
    <s v="S China"/>
    <s v="OTHERS"/>
    <n v="22.76"/>
    <n v="22.78"/>
    <n v="22.78"/>
    <n v="22.78"/>
    <n v="22.78"/>
    <n v="22.78"/>
    <n v="22.78"/>
    <n v="22.78"/>
    <n v="22.78"/>
    <n v="22.78"/>
    <n v="22.78"/>
    <n v="22.78"/>
    <n v="22.72"/>
    <n v="22.72"/>
    <n v="0"/>
    <n v="0"/>
    <n v="0"/>
    <n v="0"/>
    <n v="0"/>
    <n v="0"/>
    <n v="0"/>
    <n v="0"/>
    <n v="0"/>
    <n v="0"/>
    <n v="0"/>
    <n v="0.06"/>
    <n v="0.06"/>
    <n v="0"/>
    <n v="0"/>
    <n v="1008"/>
    <n v="0"/>
    <n v="2016"/>
    <n v="0"/>
    <n v="0"/>
    <n v="0"/>
    <n v="1008"/>
    <n v="0"/>
    <n v="1008"/>
    <n v="0"/>
    <n v="1008"/>
    <n v="0"/>
    <n v="1008"/>
    <n v="0"/>
    <n v="1008"/>
    <n v="0"/>
    <s v="0"/>
    <n v="0"/>
    <n v="0"/>
    <n v="0"/>
    <n v="1008"/>
    <n v="60.48"/>
    <x v="17"/>
    <s v="Foxconn CZ"/>
  </r>
  <r>
    <s v="FY24"/>
    <s v="Allen Chen"/>
    <m/>
    <m/>
    <m/>
    <m/>
    <n v="2021"/>
    <x v="12"/>
    <s v="Mouse"/>
    <s v="NA"/>
    <s v="Black"/>
    <s v="S China"/>
    <s v="OTHERS"/>
    <n v="4.3099999999999996"/>
    <n v="4.43"/>
    <n v="4.43"/>
    <n v="4.43"/>
    <n v="4.43"/>
    <n v="4.43"/>
    <n v="4.43"/>
    <n v="4.43"/>
    <n v="4.43"/>
    <n v="4.43"/>
    <n v="4.43"/>
    <n v="4.43"/>
    <n v="22.72"/>
    <n v="4.43"/>
    <n v="0"/>
    <n v="0"/>
    <n v="0"/>
    <n v="0"/>
    <n v="0"/>
    <n v="0"/>
    <n v="0"/>
    <n v="0"/>
    <n v="0"/>
    <n v="0"/>
    <n v="0"/>
    <n v="0"/>
    <n v="0"/>
    <n v="11520"/>
    <n v="0"/>
    <n v="8640"/>
    <n v="0"/>
    <n v="8640"/>
    <n v="0"/>
    <n v="2880"/>
    <n v="0"/>
    <n v="6080"/>
    <n v="0"/>
    <n v="14720"/>
    <n v="0"/>
    <n v="11520"/>
    <n v="0"/>
    <s v="0"/>
    <n v="0"/>
    <s v="0"/>
    <n v="0"/>
    <s v="0"/>
    <n v="0"/>
    <s v="0"/>
    <n v="0"/>
    <s v="0"/>
    <n v="0"/>
    <x v="18"/>
    <s v="Foxconn CZ"/>
  </r>
  <r>
    <s v="FY24"/>
    <s v="Simon Yang"/>
    <m/>
    <m/>
    <m/>
    <m/>
    <n v="2019"/>
    <x v="13"/>
    <s v="Combo"/>
    <s v="NA"/>
    <s v="Black"/>
    <s v="S China"/>
    <s v="OTHERS"/>
    <n v="10.14"/>
    <n v="10.31"/>
    <n v="10.31"/>
    <n v="10.31"/>
    <n v="10.31"/>
    <n v="10.31"/>
    <n v="10.31"/>
    <n v="10.31"/>
    <n v="10.31"/>
    <n v="10.31"/>
    <n v="10.31"/>
    <n v="10.31"/>
    <n v="22.78"/>
    <n v="10.31"/>
    <n v="0"/>
    <n v="0"/>
    <n v="0"/>
    <n v="0"/>
    <n v="0"/>
    <n v="0"/>
    <n v="0"/>
    <n v="0"/>
    <n v="0"/>
    <n v="0"/>
    <n v="0"/>
    <n v="0"/>
    <n v="0.06"/>
    <n v="0"/>
    <n v="0"/>
    <n v="0"/>
    <n v="0"/>
    <s v="0"/>
    <n v="0"/>
    <n v="0"/>
    <n v="0"/>
    <n v="0"/>
    <n v="0"/>
    <s v="0"/>
    <n v="0"/>
    <n v="1000"/>
    <n v="0"/>
    <s v="0"/>
    <n v="0"/>
    <s v="0"/>
    <n v="0"/>
    <s v="0"/>
    <n v="0"/>
    <s v="0"/>
    <n v="0"/>
    <s v="0"/>
    <n v="0"/>
    <x v="19"/>
    <s v="Flextronics CZ"/>
  </r>
  <r>
    <s v="FY24"/>
    <s v="Allen Chen"/>
    <m/>
    <m/>
    <m/>
    <m/>
    <n v="2020"/>
    <x v="14"/>
    <s v="Mouse"/>
    <s v="NA"/>
    <s v="Black"/>
    <s v="S China"/>
    <s v="OTHERS"/>
    <n v="3.28"/>
    <n v="3.28"/>
    <n v="3.28"/>
    <n v="3.28"/>
    <n v="3.28"/>
    <n v="3.28"/>
    <n v="3.28"/>
    <n v="3.28"/>
    <n v="3.28"/>
    <n v="3.28"/>
    <n v="3.28"/>
    <n v="3.28"/>
    <n v="3.28"/>
    <n v="3.28"/>
    <n v="0"/>
    <n v="0"/>
    <n v="0"/>
    <n v="0"/>
    <n v="0"/>
    <n v="0"/>
    <n v="0"/>
    <n v="0"/>
    <n v="0"/>
    <n v="0"/>
    <n v="0"/>
    <n v="0"/>
    <n v="0"/>
    <n v="6720"/>
    <n v="0"/>
    <n v="60480"/>
    <n v="0"/>
    <s v="0"/>
    <n v="0"/>
    <n v="33600"/>
    <n v="0"/>
    <n v="40320"/>
    <n v="0"/>
    <n v="65280"/>
    <n v="0"/>
    <n v="22080"/>
    <n v="0"/>
    <n v="6720"/>
    <n v="0"/>
    <s v="0"/>
    <n v="0"/>
    <n v="25920"/>
    <n v="0"/>
    <n v="20160"/>
    <n v="0"/>
    <n v="13440"/>
    <n v="0"/>
    <x v="20"/>
    <s v="Foxconn CZ"/>
  </r>
  <r>
    <s v="FY24"/>
    <s v="Allen Chen"/>
    <m/>
    <m/>
    <m/>
    <m/>
    <n v="2023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n v="1200"/>
    <n v="576"/>
    <n v="0"/>
    <n v="0"/>
    <n v="1200"/>
    <n v="576"/>
    <n v="3600"/>
    <n v="1728"/>
    <n v="2400"/>
    <n v="1152"/>
    <s v="0"/>
    <n v="0"/>
    <s v="0"/>
    <n v="0"/>
    <s v="0"/>
    <n v="0"/>
    <s v="0"/>
    <n v="0"/>
    <n v="1200"/>
    <n v="996"/>
    <x v="21"/>
    <s v="Foxconn CZ"/>
  </r>
  <r>
    <s v="FY24"/>
    <s v="Allen Chen"/>
    <m/>
    <m/>
    <m/>
    <m/>
    <n v="2021"/>
    <x v="16"/>
    <s v="Mouse"/>
    <s v="NA"/>
    <s v="Pike silver"/>
    <s v="S China"/>
    <s v="OTHERS"/>
    <n v="4.57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2880"/>
    <n v="0"/>
    <n v="20160"/>
    <n v="0"/>
    <n v="14400"/>
    <n v="0"/>
    <n v="0"/>
    <n v="0"/>
    <n v="11520"/>
    <n v="0"/>
    <s v="0"/>
    <n v="0"/>
    <n v="2880"/>
    <n v="0"/>
    <n v="2880"/>
    <n v="201.60000000000002"/>
    <n v="2880"/>
    <n v="201.60000000000002"/>
    <n v="2880"/>
    <n v="201.60000000000002"/>
    <n v="2880"/>
    <n v="201.60000000000002"/>
    <n v="11520"/>
    <n v="806.40000000000009"/>
    <x v="22"/>
    <s v="Foxconn CZ"/>
  </r>
  <r>
    <s v="FY24"/>
    <s v="Allen Chen"/>
    <m/>
    <m/>
    <m/>
    <m/>
    <n v="2018"/>
    <x v="17"/>
    <s v="Mouse"/>
    <s v="NA"/>
    <s v="Black"/>
    <s v="S China"/>
    <s v="OTHERS"/>
    <n v="4.82"/>
    <n v="4.82"/>
    <n v="4.82"/>
    <n v="4.82"/>
    <n v="4.82"/>
    <n v="4.82"/>
    <n v="4.82"/>
    <n v="4.82"/>
    <n v="4.82"/>
    <n v="4.82"/>
    <n v="4.82"/>
    <n v="4.82"/>
    <n v="4.82"/>
    <n v="4.82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8640"/>
    <n v="432"/>
    <n v="0"/>
    <n v="0"/>
    <n v="0"/>
    <n v="0"/>
    <s v="0"/>
    <n v="0"/>
    <s v="0"/>
    <n v="0"/>
    <n v="38880"/>
    <n v="1944"/>
    <n v="38880"/>
    <n v="1944"/>
    <s v="0"/>
    <n v="0"/>
    <n v="82080"/>
    <n v="4104"/>
    <s v="0"/>
    <n v="0"/>
    <x v="23"/>
    <s v="Ryder Indy"/>
  </r>
  <r>
    <s v="FY24"/>
    <s v="Allen Chen"/>
    <m/>
    <m/>
    <m/>
    <m/>
    <n v="2018"/>
    <x v="17"/>
    <s v="Mouse"/>
    <s v="NA"/>
    <s v="Blue"/>
    <s v="S China"/>
    <s v="OTHERS"/>
    <n v="5.05"/>
    <n v="5.05"/>
    <n v="5.05"/>
    <n v="5.05"/>
    <n v="5.05"/>
    <n v="5.05"/>
    <n v="5.05"/>
    <n v="5.05"/>
    <n v="5.05"/>
    <n v="5.05"/>
    <n v="5.05"/>
    <n v="5.05"/>
    <n v="5.05"/>
    <n v="5.05"/>
    <n v="0.05"/>
    <n v="0.05"/>
    <n v="0.05"/>
    <n v="0.05"/>
    <n v="0.05"/>
    <n v="0.05"/>
    <n v="0.05"/>
    <n v="0.05"/>
    <n v="0.05"/>
    <n v="0.05"/>
    <n v="0.05"/>
    <n v="0.05"/>
    <n v="0.05"/>
    <n v="0"/>
    <n v="0"/>
    <n v="2040"/>
    <n v="102"/>
    <n v="6600"/>
    <n v="330"/>
    <n v="0"/>
    <n v="0"/>
    <n v="0"/>
    <n v="0"/>
    <s v="0"/>
    <n v="0"/>
    <n v="4320"/>
    <n v="216"/>
    <n v="4320"/>
    <n v="216"/>
    <n v="4320"/>
    <n v="216"/>
    <s v="0"/>
    <n v="0"/>
    <n v="4320"/>
    <n v="216"/>
    <s v="0"/>
    <n v="0"/>
    <x v="24"/>
    <s v="Ryder Indy"/>
  </r>
  <r>
    <s v="FY24"/>
    <s v="Allen Chen"/>
    <m/>
    <m/>
    <m/>
    <m/>
    <n v="2018"/>
    <x v="17"/>
    <s v="Mouse"/>
    <s v="NA"/>
    <s v="Pike silver"/>
    <s v="S China"/>
    <s v="OTHERS"/>
    <n v="5.64"/>
    <n v="5.64"/>
    <n v="5.64"/>
    <n v="5.64"/>
    <n v="5.64"/>
    <n v="5.64"/>
    <n v="5.64"/>
    <n v="5.64"/>
    <n v="5.64"/>
    <n v="5.64"/>
    <n v="5.64"/>
    <n v="5.64"/>
    <n v="5.64"/>
    <n v="5.6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5"/>
    <s v="Ryder Indy"/>
  </r>
  <r>
    <s v="FY24"/>
    <s v="Allen Chen"/>
    <m/>
    <m/>
    <m/>
    <m/>
    <n v="2016"/>
    <x v="18"/>
    <s v="Mouse"/>
    <s v="NA"/>
    <s v="Empress red"/>
    <s v="S China"/>
    <s v="OTHERS"/>
    <n v="4.04"/>
    <n v="4.04"/>
    <n v="4.04"/>
    <n v="4.04"/>
    <n v="4.04"/>
    <n v="4.04"/>
    <n v="4.04"/>
    <n v="4.04"/>
    <n v="4.04"/>
    <n v="4.04"/>
    <n v="4.04"/>
    <n v="4.04"/>
    <n v="4.04"/>
    <n v="4.04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s v="0"/>
    <n v="0"/>
    <n v="0"/>
    <n v="0"/>
    <n v="4320"/>
    <n v="172.8"/>
    <n v="4320"/>
    <n v="172.8"/>
    <s v="0"/>
    <n v="0"/>
    <s v="0"/>
    <n v="0"/>
    <s v="0"/>
    <n v="0"/>
    <s v="0"/>
    <n v="0"/>
    <s v="0"/>
    <n v="0"/>
    <s v="0"/>
    <n v="0"/>
    <x v="26"/>
    <s v="Foxconn CZ"/>
  </r>
  <r>
    <s v="FY24"/>
    <s v="Allen Chen"/>
    <m/>
    <m/>
    <m/>
    <m/>
    <n v="2019"/>
    <x v="19"/>
    <s v="Mouse"/>
    <s v="NA"/>
    <s v="Black"/>
    <s v="S China"/>
    <s v="OTHERS"/>
    <n v="2.04"/>
    <n v="1.99"/>
    <n v="1.99"/>
    <n v="1.99"/>
    <n v="1.99"/>
    <n v="1.99"/>
    <n v="1.99"/>
    <n v="1.99"/>
    <n v="1.99"/>
    <n v="1.99"/>
    <n v="1.99"/>
    <n v="1.99"/>
    <n v="1.99"/>
    <n v="1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7"/>
    <s v="HP India"/>
  </r>
  <r>
    <s v="FY24"/>
    <s v="Allen Chen"/>
    <m/>
    <m/>
    <m/>
    <m/>
    <n v="2018"/>
    <x v="17"/>
    <s v="Mouse"/>
    <s v="NA"/>
    <s v="Black"/>
    <s v="S China"/>
    <s v="OTHERS"/>
    <n v="4.54"/>
    <n v="4.54"/>
    <n v="4.54"/>
    <n v="4.54"/>
    <n v="4.54"/>
    <n v="4.54"/>
    <n v="4.54"/>
    <n v="4.54"/>
    <n v="4.54"/>
    <n v="4.54"/>
    <n v="4.54"/>
    <n v="4.54"/>
    <n v="4.54"/>
    <n v="4.54"/>
    <n v="0.05"/>
    <n v="0.05"/>
    <n v="0.05"/>
    <n v="0.05"/>
    <n v="0.05"/>
    <n v="0.05"/>
    <n v="0.05"/>
    <n v="0.05"/>
    <n v="0.05"/>
    <n v="0.05"/>
    <n v="0.05"/>
    <n v="0.05"/>
    <n v="0.05"/>
    <n v="8640"/>
    <n v="432"/>
    <n v="12960"/>
    <n v="648"/>
    <n v="4320"/>
    <n v="216"/>
    <n v="0"/>
    <n v="0"/>
    <n v="21600"/>
    <n v="1080"/>
    <n v="11520"/>
    <n v="576"/>
    <n v="8640"/>
    <n v="432"/>
    <s v="0"/>
    <n v="0"/>
    <s v="0"/>
    <n v="0"/>
    <n v="8640"/>
    <n v="432"/>
    <n v="4320"/>
    <n v="216"/>
    <n v="8640"/>
    <n v="432"/>
    <x v="28"/>
    <s v="Foxconn CZ"/>
  </r>
  <r>
    <s v="FY24"/>
    <s v="Allen Chen"/>
    <m/>
    <m/>
    <m/>
    <m/>
    <n v="2018"/>
    <x v="17"/>
    <s v="Mouse"/>
    <s v="NA"/>
    <s v="Black"/>
    <s v="S China"/>
    <s v="OTHERS"/>
    <n v="4.96"/>
    <n v="5.14"/>
    <n v="5.14"/>
    <n v="5.14"/>
    <n v="5.14"/>
    <n v="5.14"/>
    <n v="5.14"/>
    <n v="5.14"/>
    <n v="5.14"/>
    <n v="5.14"/>
    <n v="5.14"/>
    <n v="5.14"/>
    <n v="5.14"/>
    <n v="5.14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9"/>
    <s v="Foxconn LH"/>
  </r>
  <r>
    <s v="FY24"/>
    <s v="Allen Chen"/>
    <m/>
    <m/>
    <m/>
    <m/>
    <n v="2018"/>
    <x v="17"/>
    <s v="Mouse"/>
    <s v="NA"/>
    <s v="Sred"/>
    <s v="S China"/>
    <s v="OTHERS"/>
    <n v="4.78"/>
    <n v="4.78"/>
    <n v="4.78"/>
    <n v="5.14"/>
    <n v="5.14"/>
    <n v="5.14"/>
    <n v="5.14"/>
    <n v="5.14"/>
    <n v="5.14"/>
    <n v="5.14"/>
    <n v="5.14"/>
    <n v="5.14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4320"/>
    <n v="216"/>
    <n v="0"/>
    <n v="0"/>
    <n v="0"/>
    <n v="0"/>
    <n v="1380"/>
    <n v="69"/>
    <n v="2760"/>
    <n v="138"/>
    <n v="1380"/>
    <n v="69"/>
    <s v="0"/>
    <n v="0"/>
    <s v="0"/>
    <n v="0"/>
    <s v="0"/>
    <n v="0"/>
    <n v="1380"/>
    <n v="69"/>
    <x v="30"/>
    <s v="Foxconn CZ"/>
  </r>
  <r>
    <s v="FY24"/>
    <s v="Allen Chen"/>
    <m/>
    <m/>
    <m/>
    <m/>
    <n v="2018"/>
    <x v="17"/>
    <s v="Mouse"/>
    <s v="NA"/>
    <s v="Blue"/>
    <s v="S China"/>
    <s v="OTHERS"/>
    <n v="4.78"/>
    <n v="4.78"/>
    <n v="4.78"/>
    <n v="5.14"/>
    <n v="5.14"/>
    <n v="5.14"/>
    <n v="5.14"/>
    <n v="5.14"/>
    <n v="5.14"/>
    <n v="5.14"/>
    <n v="5.14"/>
    <n v="5.14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1380"/>
    <n v="69"/>
    <n v="4140"/>
    <n v="207"/>
    <n v="6900"/>
    <n v="345"/>
    <s v="0"/>
    <n v="0"/>
    <s v="0"/>
    <n v="0"/>
    <s v="0"/>
    <n v="0"/>
    <s v="0"/>
    <n v="0"/>
    <n v="1380"/>
    <n v="69"/>
    <x v="31"/>
    <s v="Foxconn CZ"/>
  </r>
  <r>
    <s v="FY24"/>
    <s v="Allen Chen"/>
    <m/>
    <m/>
    <m/>
    <m/>
    <n v="2018"/>
    <x v="17"/>
    <s v="Mouse"/>
    <s v="NA"/>
    <s v="Snow White"/>
    <s v="S China"/>
    <s v="OTHERS"/>
    <n v="4.78"/>
    <n v="4.78"/>
    <n v="4.78"/>
    <n v="4.78"/>
    <n v="4.78"/>
    <n v="5.14"/>
    <n v="5.14"/>
    <n v="5.14"/>
    <n v="5.14"/>
    <n v="5.14"/>
    <n v="5.14"/>
    <n v="5.14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4320"/>
    <n v="216"/>
    <n v="4320"/>
    <n v="216"/>
    <n v="4320"/>
    <n v="216"/>
    <n v="0"/>
    <n v="0"/>
    <n v="5520"/>
    <n v="276"/>
    <n v="2760"/>
    <n v="138"/>
    <n v="1380"/>
    <n v="69"/>
    <s v="0"/>
    <n v="0"/>
    <n v="2760"/>
    <n v="138"/>
    <n v="1380"/>
    <n v="69"/>
    <s v="0"/>
    <n v="0"/>
    <n v="4140"/>
    <n v="207"/>
    <x v="32"/>
    <s v="Foxconn CZ"/>
  </r>
  <r>
    <s v="FY24"/>
    <s v="Allen Chen"/>
    <m/>
    <m/>
    <m/>
    <m/>
    <n v="2023"/>
    <x v="20"/>
    <s v="Mouse"/>
    <s v="NA"/>
    <s v="Black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n v="4080"/>
    <n v="1224"/>
    <n v="2040"/>
    <n v="612"/>
    <n v="2040"/>
    <n v="612"/>
    <n v="4080"/>
    <n v="1224"/>
    <s v="0"/>
    <n v="0"/>
    <n v="2040"/>
    <n v="612"/>
    <x v="33"/>
    <s v="Foxconn LH"/>
  </r>
  <r>
    <s v="FY24"/>
    <s v="Allen Chen"/>
    <m/>
    <m/>
    <m/>
    <m/>
    <n v="2023"/>
    <x v="20"/>
    <s v="Mouse"/>
    <s v="NA"/>
    <s v="Black"/>
    <s v="S China"/>
    <s v="OTHERS"/>
    <n v="6.31"/>
    <n v="6.31"/>
    <n v="6.31"/>
    <n v="6.31"/>
    <n v="6.31"/>
    <n v="6.31"/>
    <n v="6.31"/>
    <n v="6.31"/>
    <n v="6.31"/>
    <n v="6.31"/>
    <n v="6.31"/>
    <n v="6.31"/>
    <n v="6.31"/>
    <n v="6.31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3060"/>
    <n v="918"/>
    <n v="6120"/>
    <n v="1836"/>
    <n v="2760"/>
    <n v="828"/>
    <n v="1020"/>
    <n v="306"/>
    <n v="2100"/>
    <n v="630"/>
    <n v="1080"/>
    <n v="324"/>
    <n v="1020"/>
    <n v="306"/>
    <x v="34"/>
    <s v="Foxconn CZ"/>
  </r>
  <r>
    <s v="FY24"/>
    <s v="Allen Chen"/>
    <m/>
    <m/>
    <m/>
    <m/>
    <n v="2023"/>
    <x v="20"/>
    <s v="Mouse"/>
    <s v="NA"/>
    <s v="Black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2040"/>
    <n v="612"/>
    <n v="3060"/>
    <n v="918"/>
    <n v="2040"/>
    <n v="612"/>
    <n v="3060"/>
    <n v="918"/>
    <n v="6120"/>
    <n v="1836"/>
    <n v="2040"/>
    <n v="612"/>
    <n v="4080"/>
    <n v="1224"/>
    <n v="2040"/>
    <n v="612"/>
    <x v="35"/>
    <s v="Foxconn LH"/>
  </r>
  <r>
    <s v="FY24"/>
    <s v="Allen Chen"/>
    <m/>
    <m/>
    <m/>
    <m/>
    <n v="2023"/>
    <x v="20"/>
    <s v="Mouse"/>
    <s v="NA"/>
    <s v="Silver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2040"/>
    <n v="612"/>
    <n v="6120"/>
    <n v="1836"/>
    <n v="2040"/>
    <n v="612"/>
    <n v="3060"/>
    <n v="918"/>
    <s v="0"/>
    <n v="0"/>
    <s v="0"/>
    <n v="0"/>
    <s v="0"/>
    <n v="0"/>
    <x v="36"/>
    <s v="Foxconn LH"/>
  </r>
  <r>
    <s v="FY24"/>
    <s v="Allen Chen"/>
    <m/>
    <m/>
    <m/>
    <m/>
    <n v="2023"/>
    <x v="20"/>
    <s v="Mouse"/>
    <s v="NA"/>
    <s v="Silver"/>
    <s v="S China"/>
    <s v="OTHERS"/>
    <n v="6.31"/>
    <n v="6.31"/>
    <n v="6.31"/>
    <n v="6.31"/>
    <n v="6.31"/>
    <n v="6.31"/>
    <n v="6.31"/>
    <n v="6.31"/>
    <n v="6.31"/>
    <n v="6.31"/>
    <n v="6.31"/>
    <n v="6.31"/>
    <n v="6.31"/>
    <n v="6.31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2040"/>
    <n v="612"/>
    <n v="1200"/>
    <n v="360"/>
    <n v="3060"/>
    <n v="918"/>
    <n v="2040"/>
    <n v="612"/>
    <s v="0"/>
    <n v="0"/>
    <s v="0"/>
    <n v="0"/>
    <n v="1020"/>
    <n v="306"/>
    <n v="2040"/>
    <n v="612"/>
    <x v="37"/>
    <s v="Foxconn CZ"/>
  </r>
  <r>
    <s v="FY24"/>
    <s v="Allen Chen"/>
    <m/>
    <m/>
    <m/>
    <m/>
    <n v="2023"/>
    <x v="20"/>
    <s v="Mouse"/>
    <s v="NA"/>
    <s v="Silver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2040"/>
    <n v="612"/>
    <n v="0"/>
    <n v="0"/>
    <s v="0"/>
    <n v="0"/>
    <n v="0"/>
    <n v="0"/>
    <n v="0"/>
    <n v="0"/>
    <s v="0"/>
    <n v="0"/>
    <s v="0"/>
    <n v="0"/>
    <s v="0"/>
    <n v="0"/>
    <n v="4080"/>
    <n v="1224"/>
    <n v="2040"/>
    <n v="612"/>
    <n v="2040"/>
    <n v="612"/>
    <n v="2040"/>
    <n v="612"/>
    <x v="38"/>
    <s v="Foxconn LH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39"/>
    <s v="QUANTA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39"/>
    <s v="Inventec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39"/>
    <s v="Compal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39"/>
    <s v="Wistron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0"/>
    <s v="QUANTA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0"/>
    <s v="Inventec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0"/>
    <s v="Compal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0"/>
    <s v="Wistron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1020"/>
    <n v="306"/>
    <s v="0"/>
    <n v="0"/>
    <s v="0"/>
    <n v="0"/>
    <s v="0"/>
    <n v="0"/>
    <s v="0"/>
    <n v="0"/>
    <s v="0"/>
    <n v="0"/>
    <s v="0"/>
    <n v="0"/>
    <x v="41"/>
    <s v="QUANTA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1020"/>
    <n v="306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1"/>
    <s v="Inventec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1020"/>
    <n v="306"/>
    <n v="0"/>
    <n v="0"/>
    <n v="0"/>
    <n v="0"/>
    <s v="0"/>
    <n v="0"/>
    <s v="0"/>
    <n v="0"/>
    <s v="0"/>
    <n v="0"/>
    <s v="0"/>
    <n v="0"/>
    <n v="1020"/>
    <n v="306"/>
    <s v="0"/>
    <n v="0"/>
    <n v="1020"/>
    <n v="306"/>
    <x v="41"/>
    <s v="Compal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1020"/>
    <n v="306"/>
    <s v="0"/>
    <n v="0"/>
    <s v="0"/>
    <n v="0"/>
    <s v="0"/>
    <n v="0"/>
    <s v="0"/>
    <n v="0"/>
    <s v="0"/>
    <n v="0"/>
    <s v="0"/>
    <n v="0"/>
    <s v="0"/>
    <n v="0"/>
    <x v="41"/>
    <s v="Wistron"/>
  </r>
  <r>
    <s v="FY24"/>
    <s v="Allen Chen"/>
    <m/>
    <m/>
    <m/>
    <m/>
    <n v="2023"/>
    <x v="21"/>
    <s v="Mouse"/>
    <s v="NA"/>
    <s v="Black"/>
    <s v="S China"/>
    <s v="OTHERS"/>
    <n v="5.51"/>
    <n v="5.51"/>
    <n v="5.51"/>
    <n v="5.51"/>
    <n v="5.51"/>
    <n v="5.51"/>
    <n v="5.51"/>
    <n v="5.51"/>
    <n v="5.51"/>
    <n v="5.51"/>
    <n v="5.51"/>
    <n v="5.51"/>
    <n v="5.51"/>
    <n v="5.51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3640"/>
    <n v="0"/>
    <n v="3640"/>
    <n v="0"/>
    <s v="0"/>
    <n v="0"/>
    <s v="0"/>
    <n v="0"/>
    <s v="0"/>
    <n v="0"/>
    <s v="0"/>
    <n v="0"/>
    <s v="0"/>
    <n v="0"/>
    <s v="0"/>
    <n v="0"/>
    <x v="42"/>
    <s v="Foxconn LH"/>
  </r>
  <r>
    <s v="FY24"/>
    <s v="Allen Chen"/>
    <m/>
    <m/>
    <m/>
    <m/>
    <n v="2023"/>
    <x v="21"/>
    <s v="Mouse"/>
    <s v="NA"/>
    <s v="Black"/>
    <s v="S China"/>
    <s v="OTHERS"/>
    <n v="5.18"/>
    <n v="5.18"/>
    <n v="5.18"/>
    <n v="5.18"/>
    <n v="5.18"/>
    <n v="5.18"/>
    <n v="5.18"/>
    <n v="5.18"/>
    <n v="5.18"/>
    <n v="5.18"/>
    <n v="5.18"/>
    <n v="5.18"/>
    <n v="5.18"/>
    <n v="5.1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10920"/>
    <n v="0"/>
    <s v="0"/>
    <n v="0"/>
    <n v="9040"/>
    <n v="0"/>
    <s v="0"/>
    <n v="0"/>
    <n v="7280"/>
    <n v="0"/>
    <s v="0"/>
    <n v="0"/>
    <n v="7280"/>
    <n v="0"/>
    <x v="43"/>
    <s v="Foxconn CZ"/>
  </r>
  <r>
    <s v="FY24"/>
    <s v="Allen Chen"/>
    <m/>
    <m/>
    <m/>
    <m/>
    <n v="2023"/>
    <x v="21"/>
    <s v="Mouse"/>
    <s v="NA"/>
    <s v="Black"/>
    <s v="S China"/>
    <s v="OTHERS"/>
    <n v="5.45"/>
    <n v="5.45"/>
    <n v="5.45"/>
    <n v="5.45"/>
    <n v="5.45"/>
    <n v="5.45"/>
    <n v="5.45"/>
    <n v="5.45"/>
    <n v="5.45"/>
    <n v="5.45"/>
    <n v="5.45"/>
    <n v="5.45"/>
    <n v="5.45"/>
    <n v="5.4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3640"/>
    <n v="0"/>
    <s v="0"/>
    <n v="0"/>
    <n v="3640"/>
    <n v="0"/>
    <n v="3640"/>
    <n v="0"/>
    <x v="44"/>
    <s v="Foxconn LH"/>
  </r>
  <r>
    <s v="FY24"/>
    <s v="Allen Chen"/>
    <m/>
    <m/>
    <m/>
    <m/>
    <n v="2023"/>
    <x v="21"/>
    <s v="Mouse"/>
    <s v="NA"/>
    <s v="Black"/>
    <s v="S China"/>
    <s v="OTHERS"/>
    <n v="5"/>
    <n v="5"/>
    <n v="5"/>
    <n v="5"/>
    <n v="5"/>
    <n v="5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5"/>
    <s v="HP India"/>
  </r>
  <r>
    <s v="FY24"/>
    <s v="Allen Chen"/>
    <m/>
    <m/>
    <m/>
    <m/>
    <n v="2022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200"/>
    <n v="576"/>
    <s v="0"/>
    <n v="0"/>
    <s v="0"/>
    <n v="0"/>
    <x v="46"/>
    <s v="Foxconn LH"/>
  </r>
  <r>
    <s v="FY24"/>
    <s v="Allen Chen"/>
    <m/>
    <m/>
    <m/>
    <m/>
    <n v="2023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n v="1200"/>
    <n v="576"/>
    <n v="0"/>
    <n v="0"/>
    <n v="0"/>
    <n v="0"/>
    <s v="0"/>
    <n v="0"/>
    <n v="1200"/>
    <n v="576"/>
    <s v="0"/>
    <n v="0"/>
    <s v="0"/>
    <n v="0"/>
    <s v="0"/>
    <n v="0"/>
    <n v="1200"/>
    <n v="996"/>
    <s v="0"/>
    <n v="0"/>
    <x v="47"/>
    <s v="Foxconn LH"/>
  </r>
  <r>
    <s v="FY24"/>
    <s v="Allen Chen"/>
    <m/>
    <m/>
    <m/>
    <m/>
    <n v="2023"/>
    <x v="15"/>
    <s v="Mouse"/>
    <s v="NA"/>
    <s v="Silver"/>
    <s v="S China"/>
    <s v="OTHERS"/>
    <n v="25.11"/>
    <n v="25.26"/>
    <n v="25.26"/>
    <n v="25.26"/>
    <n v="25.26"/>
    <n v="25.26"/>
    <n v="25.26"/>
    <n v="25.26"/>
    <n v="25.26"/>
    <n v="25.26"/>
    <n v="25.26"/>
    <n v="25.26"/>
    <n v="25.16"/>
    <n v="25.16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8"/>
    <s v="Foxconn LH"/>
  </r>
  <r>
    <s v="FY24"/>
    <s v="Allen Chen"/>
    <m/>
    <m/>
    <m/>
    <m/>
    <n v="2023"/>
    <x v="15"/>
    <s v="Mouse"/>
    <s v="NA"/>
    <s v="Silver"/>
    <s v="S China"/>
    <s v="OTHERS"/>
    <n v="25.11"/>
    <n v="25.26"/>
    <n v="25.26"/>
    <n v="25.26"/>
    <n v="25.26"/>
    <n v="25.26"/>
    <n v="25.26"/>
    <n v="25.26"/>
    <n v="25.26"/>
    <n v="25.26"/>
    <n v="25.26"/>
    <n v="25.26"/>
    <n v="25.16"/>
    <n v="25.16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n v="1200"/>
    <n v="576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49"/>
    <s v="Foxconn LH"/>
  </r>
  <r>
    <s v="FY24"/>
    <s v="Allen Chen"/>
    <m/>
    <m/>
    <m/>
    <m/>
    <n v="2022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50"/>
    <s v="Foxconn LH"/>
  </r>
  <r>
    <s v="FY24"/>
    <s v="Allen Chen"/>
    <m/>
    <m/>
    <m/>
    <m/>
    <n v="2023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2400"/>
    <n v="1152"/>
    <n v="2400"/>
    <n v="1152"/>
    <n v="0"/>
    <n v="0"/>
    <n v="0"/>
    <n v="0"/>
    <n v="2400"/>
    <n v="1152"/>
    <n v="1200"/>
    <n v="576"/>
    <n v="1200"/>
    <n v="576"/>
    <s v="0"/>
    <n v="0"/>
    <s v="0"/>
    <n v="0"/>
    <s v="0"/>
    <n v="0"/>
    <n v="1200"/>
    <n v="996"/>
    <x v="51"/>
    <s v="Foxconn CZ"/>
  </r>
  <r>
    <s v="FY24"/>
    <s v="Allen Chen"/>
    <m/>
    <m/>
    <m/>
    <m/>
    <n v="2023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2400"/>
    <n v="1152"/>
    <n v="1200"/>
    <n v="576"/>
    <s v="0"/>
    <n v="0"/>
    <n v="0"/>
    <n v="0"/>
    <n v="2400"/>
    <n v="1152"/>
    <s v="0"/>
    <n v="0"/>
    <n v="1200"/>
    <n v="576"/>
    <s v="0"/>
    <n v="0"/>
    <n v="1200"/>
    <n v="576"/>
    <s v="0"/>
    <n v="0"/>
    <s v="0"/>
    <n v="0"/>
    <s v="0"/>
    <n v="0"/>
    <x v="52"/>
    <s v="Foxconn LH"/>
  </r>
  <r>
    <s v="FY24"/>
    <s v="Allen Chen"/>
    <m/>
    <m/>
    <m/>
    <m/>
    <n v="2023"/>
    <x v="15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n v="24.07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0"/>
    <n v="0"/>
    <n v="1200"/>
    <n v="57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53"/>
    <s v="Inventec"/>
  </r>
  <r>
    <s v="FY24"/>
    <s v="Allen Chen"/>
    <m/>
    <m/>
    <m/>
    <m/>
    <n v="2023"/>
    <x v="15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n v="24.07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54"/>
    <s v="Inventec"/>
  </r>
  <r>
    <s v="FY24"/>
    <s v="Allen Chen"/>
    <m/>
    <m/>
    <m/>
    <m/>
    <n v="2023"/>
    <x v="15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n v="24.07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55"/>
    <s v="Inventec"/>
  </r>
  <r>
    <s v="FY24"/>
    <s v="Allen Chen"/>
    <m/>
    <m/>
    <m/>
    <m/>
    <n v="2016"/>
    <x v="8"/>
    <s v="Mouse"/>
    <s v="NA"/>
    <s v="Black"/>
    <s v="S China"/>
    <s v="OTHERS"/>
    <n v="5.3"/>
    <n v="5.42"/>
    <n v="5.42"/>
    <n v="5.42"/>
    <n v="5.42"/>
    <n v="5.42"/>
    <n v="5.42"/>
    <n v="5.42"/>
    <n v="5.42"/>
    <n v="5.42"/>
    <n v="5.42"/>
    <n v="5.42"/>
    <n v="5.24"/>
    <n v="5.24"/>
    <n v="0.05"/>
    <n v="0.05"/>
    <n v="0.05"/>
    <n v="0.05"/>
    <n v="0.05"/>
    <n v="0.05"/>
    <n v="0.05"/>
    <n v="0.05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1560"/>
    <n v="78"/>
    <n v="1560"/>
    <n v="78"/>
    <n v="1560"/>
    <n v="78"/>
    <n v="3120"/>
    <n v="436.80000000000007"/>
    <n v="3120"/>
    <n v="436.80000000000007"/>
    <n v="1560"/>
    <n v="218.40000000000003"/>
    <n v="1560"/>
    <n v="218.40000000000003"/>
    <s v="0"/>
    <n v="0"/>
    <x v="56"/>
    <s v="Foxconn LH"/>
  </r>
  <r>
    <s v="FY24"/>
    <s v="Allen Chen"/>
    <m/>
    <m/>
    <m/>
    <m/>
    <n v="2016"/>
    <x v="8"/>
    <s v="Mouse"/>
    <s v="NA"/>
    <s v="White"/>
    <s v="S China"/>
    <s v="OTHERS"/>
    <n v="5.2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8640"/>
    <n v="432"/>
    <n v="0"/>
    <n v="0"/>
    <n v="4320"/>
    <n v="216"/>
    <s v="0"/>
    <n v="0"/>
    <n v="4320"/>
    <n v="216"/>
    <n v="4320"/>
    <n v="216"/>
    <s v="0"/>
    <n v="0"/>
    <n v="4320"/>
    <n v="216"/>
    <n v="4320"/>
    <n v="216"/>
    <s v="0"/>
    <n v="0"/>
    <x v="57"/>
    <s v="Foxconn CZ"/>
  </r>
  <r>
    <s v="FY24"/>
    <s v="Allen Chen"/>
    <m/>
    <m/>
    <m/>
    <m/>
    <n v="2016"/>
    <x v="8"/>
    <s v="Mouse"/>
    <s v="NA"/>
    <s v="White"/>
    <s v="S China"/>
    <s v="OTHERS"/>
    <n v="5.23"/>
    <n v="5.32"/>
    <n v="5.32"/>
    <n v="5.32"/>
    <n v="5.32"/>
    <n v="5.32"/>
    <n v="5.32"/>
    <n v="5.32"/>
    <n v="5.32"/>
    <n v="5.32"/>
    <n v="5.32"/>
    <n v="5.32"/>
    <n v="5.32"/>
    <n v="5.3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s v="0"/>
    <n v="0"/>
    <s v="0"/>
    <n v="0"/>
    <n v="1560"/>
    <n v="218.40000000000003"/>
    <s v="0"/>
    <n v="0"/>
    <s v="0"/>
    <n v="0"/>
    <n v="1560"/>
    <n v="218.40000000000003"/>
    <s v="0"/>
    <n v="0"/>
    <x v="58"/>
    <s v="Foxconn LH"/>
  </r>
  <r>
    <s v="FY24"/>
    <s v="Allen Chen"/>
    <m/>
    <m/>
    <m/>
    <m/>
    <n v="2016"/>
    <x v="8"/>
    <s v="Mouse"/>
    <s v="NA"/>
    <s v="Blue"/>
    <s v="S China"/>
    <s v="OTHERS"/>
    <n v="5.2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n v="4320"/>
    <n v="216"/>
    <s v="0"/>
    <n v="0"/>
    <s v="0"/>
    <n v="0"/>
    <s v="0"/>
    <n v="0"/>
    <s v="0"/>
    <n v="0"/>
    <x v="59"/>
    <s v="Foxconn CZ"/>
  </r>
  <r>
    <s v="FY24"/>
    <s v="Allen Chen"/>
    <m/>
    <m/>
    <m/>
    <m/>
    <n v="2016"/>
    <x v="8"/>
    <s v="Mouse"/>
    <s v="NA"/>
    <s v="Red"/>
    <s v="S China"/>
    <s v="OTHERS"/>
    <n v="5.2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4320"/>
    <n v="216"/>
    <s v="0"/>
    <n v="0"/>
    <s v="0"/>
    <n v="0"/>
    <s v="0"/>
    <n v="0"/>
    <s v="0"/>
    <n v="0"/>
    <s v="0"/>
    <n v="0"/>
    <s v="0"/>
    <n v="0"/>
    <s v="0"/>
    <n v="0"/>
    <x v="60"/>
    <s v="Foxconn CZ"/>
  </r>
  <r>
    <s v="FY24"/>
    <s v="Allen Chen"/>
    <m/>
    <m/>
    <m/>
    <m/>
    <n v="2016"/>
    <x v="8"/>
    <s v="Mouse"/>
    <s v="NA"/>
    <s v="Gold(painting)"/>
    <s v="S China"/>
    <s v="OTHERS"/>
    <n v="5.38"/>
    <n v="5.17"/>
    <n v="5.17"/>
    <n v="5.17"/>
    <n v="5.17"/>
    <n v="5.17"/>
    <n v="5.17"/>
    <n v="5.17"/>
    <n v="5.17"/>
    <n v="5.17"/>
    <n v="5.17"/>
    <n v="5.17"/>
    <n v="5.17"/>
    <n v="5.1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4320"/>
    <n v="216"/>
    <n v="0"/>
    <n v="0"/>
    <n v="0"/>
    <n v="0"/>
    <s v="0"/>
    <n v="0"/>
    <n v="4320"/>
    <n v="216"/>
    <s v="0"/>
    <n v="0"/>
    <s v="0"/>
    <n v="0"/>
    <n v="4320"/>
    <n v="216"/>
    <s v="0"/>
    <n v="0"/>
    <s v="0"/>
    <n v="0"/>
    <x v="61"/>
    <s v="Foxconn CZ"/>
  </r>
  <r>
    <s v="FY24"/>
    <s v="Allen Chen"/>
    <m/>
    <m/>
    <m/>
    <m/>
    <n v="2016"/>
    <x v="8"/>
    <s v="Mouse"/>
    <s v="NA"/>
    <s v="Gold(painting)"/>
    <s v="S China"/>
    <s v="OTHERS"/>
    <n v="5.38"/>
    <n v="5.62"/>
    <n v="5.62"/>
    <n v="5.62"/>
    <n v="5.62"/>
    <n v="5.62"/>
    <n v="5.62"/>
    <n v="5.62"/>
    <n v="5.62"/>
    <n v="5.62"/>
    <n v="5.62"/>
    <n v="5.62"/>
    <n v="5.62"/>
    <n v="5.6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4680"/>
    <n v="655.20000000000005"/>
    <s v="0"/>
    <n v="0"/>
    <s v="0"/>
    <n v="0"/>
    <n v="3120"/>
    <n v="436.80000000000007"/>
    <s v="0"/>
    <n v="0"/>
    <n v="1560"/>
    <n v="218.40000000000003"/>
    <n v="1560"/>
    <n v="218.40000000000003"/>
    <s v="0"/>
    <n v="0"/>
    <x v="62"/>
    <s v="Foxconn LH"/>
  </r>
  <r>
    <s v="FY24"/>
    <s v="Allen Chen"/>
    <m/>
    <m/>
    <m/>
    <m/>
    <n v="2016"/>
    <x v="8"/>
    <s v="Mouse"/>
    <s v="NA"/>
    <s v="Silver(painting)"/>
    <s v="S China"/>
    <s v="OTHERS"/>
    <n v="5.72"/>
    <n v="5.17"/>
    <n v="5.17"/>
    <n v="5.17"/>
    <n v="5.17"/>
    <n v="5.17"/>
    <n v="5.17"/>
    <n v="5.17"/>
    <n v="5.17"/>
    <n v="5.17"/>
    <n v="5.17"/>
    <n v="5.17"/>
    <n v="5.17"/>
    <n v="5.17"/>
    <n v="0.05"/>
    <n v="0.05"/>
    <n v="0.05"/>
    <n v="0.05"/>
    <n v="0.05"/>
    <n v="0.05"/>
    <n v="0.05"/>
    <n v="0.05"/>
    <n v="0.05"/>
    <n v="0.05"/>
    <n v="0.05"/>
    <n v="0.05"/>
    <n v="0.05"/>
    <n v="0"/>
    <n v="0"/>
    <n v="17280"/>
    <n v="864"/>
    <n v="17280"/>
    <n v="864"/>
    <n v="0"/>
    <n v="0"/>
    <n v="8640"/>
    <n v="432"/>
    <s v="0"/>
    <n v="0"/>
    <n v="4320"/>
    <n v="216"/>
    <n v="4320"/>
    <n v="216"/>
    <s v="0"/>
    <n v="0"/>
    <n v="4320"/>
    <n v="216"/>
    <s v="0"/>
    <n v="0"/>
    <n v="4320"/>
    <n v="216"/>
    <x v="63"/>
    <s v="Foxconn CZ"/>
  </r>
  <r>
    <s v="FY24"/>
    <s v="Allen Chen"/>
    <m/>
    <m/>
    <m/>
    <m/>
    <n v="2016"/>
    <x v="8"/>
    <s v="Mouse"/>
    <s v="NA"/>
    <s v="Silver(painting)"/>
    <s v="S China"/>
    <s v="OTHERS"/>
    <n v="5.72"/>
    <n v="5.62"/>
    <n v="5.62"/>
    <n v="5.62"/>
    <n v="5.62"/>
    <n v="5.62"/>
    <n v="5.62"/>
    <n v="5.62"/>
    <n v="5.62"/>
    <n v="5.62"/>
    <n v="5.62"/>
    <n v="5.62"/>
    <n v="5.62"/>
    <n v="5.6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n v="1560"/>
    <n v="218.40000000000003"/>
    <s v="0"/>
    <n v="0"/>
    <n v="6240"/>
    <n v="873.60000000000014"/>
    <n v="1560"/>
    <n v="218.40000000000003"/>
    <n v="1560"/>
    <n v="218.40000000000003"/>
    <n v="1560"/>
    <n v="218.40000000000003"/>
    <s v="0"/>
    <n v="0"/>
    <x v="64"/>
    <s v="Foxconn LH"/>
  </r>
  <r>
    <s v="FY24"/>
    <s v="Allen Chen"/>
    <m/>
    <m/>
    <m/>
    <m/>
    <n v="2016"/>
    <x v="8"/>
    <s v="Mouse"/>
    <s v="NA"/>
    <s v="Tranquil Pink(painting)"/>
    <s v="S China"/>
    <s v="OTHERS"/>
    <n v="5.62"/>
    <n v="5.59"/>
    <n v="5.59"/>
    <n v="5.59"/>
    <n v="5.59"/>
    <n v="5.59"/>
    <n v="5.59"/>
    <n v="5.59"/>
    <n v="5.59"/>
    <n v="5.59"/>
    <n v="5.59"/>
    <n v="5.59"/>
    <n v="5.59"/>
    <n v="5.59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n v="4320"/>
    <n v="216"/>
    <s v="0"/>
    <n v="0"/>
    <s v="0"/>
    <n v="0"/>
    <s v="0"/>
    <n v="0"/>
    <x v="65"/>
    <s v="Foxconn CZ"/>
  </r>
  <r>
    <s v="FY24"/>
    <s v="Allen Chen"/>
    <m/>
    <m/>
    <m/>
    <m/>
    <n v="2016"/>
    <x v="8"/>
    <s v="Mouse"/>
    <s v="NA"/>
    <s v="Lumiere Blue"/>
    <s v="S China"/>
    <s v="OTHERS"/>
    <n v="5.110000000000000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66"/>
    <s v="Foxconn CZ"/>
  </r>
  <r>
    <s v="FY24"/>
    <s v="Allen Chen"/>
    <m/>
    <m/>
    <m/>
    <m/>
    <n v="2016"/>
    <x v="8"/>
    <s v="Mouse"/>
    <s v="NA"/>
    <s v="Ceramic White"/>
    <s v="S China"/>
    <s v="OTHERS"/>
    <n v="5.39"/>
    <n v="5.81"/>
    <n v="5.81"/>
    <n v="5.81"/>
    <n v="5.81"/>
    <n v="5.81"/>
    <n v="5.81"/>
    <n v="5.81"/>
    <n v="5.81"/>
    <n v="5.81"/>
    <n v="5.81"/>
    <n v="5.81"/>
    <n v="5.81"/>
    <n v="5.81"/>
    <n v="0.05"/>
    <n v="0.05"/>
    <n v="0.05"/>
    <n v="0.05"/>
    <n v="0.05"/>
    <n v="0.05"/>
    <n v="0.05"/>
    <n v="0.05"/>
    <n v="0.05"/>
    <n v="0.05"/>
    <n v="0.05"/>
    <n v="0.05"/>
    <n v="0.05"/>
    <n v="4320"/>
    <n v="216"/>
    <n v="0"/>
    <n v="0"/>
    <n v="4320"/>
    <n v="216"/>
    <n v="0"/>
    <n v="0"/>
    <n v="4320"/>
    <n v="216"/>
    <s v="0"/>
    <n v="0"/>
    <s v="0"/>
    <n v="0"/>
    <n v="4320"/>
    <n v="216"/>
    <s v="0"/>
    <n v="0"/>
    <s v="0"/>
    <n v="0"/>
    <s v="0"/>
    <n v="0"/>
    <s v="0"/>
    <n v="0"/>
    <x v="67"/>
    <s v="Foxconn CZ"/>
  </r>
  <r>
    <s v="FY24"/>
    <s v="Allen Chen"/>
    <m/>
    <m/>
    <m/>
    <m/>
    <n v="2016"/>
    <x v="18"/>
    <s v="Mouse"/>
    <s v="NA"/>
    <s v="Black"/>
    <s v="S China"/>
    <s v="OTHERS"/>
    <n v="3.75"/>
    <n v="3.75"/>
    <n v="3.75"/>
    <n v="3.75"/>
    <n v="3.75"/>
    <n v="3.75"/>
    <n v="3.75"/>
    <n v="3.75"/>
    <n v="3.75"/>
    <n v="3.75"/>
    <n v="3.75"/>
    <n v="3.75"/>
    <n v="3.75"/>
    <n v="3.75"/>
    <n v="0.04"/>
    <n v="0.04"/>
    <n v="0.04"/>
    <n v="0.04"/>
    <n v="0.04"/>
    <n v="0.04"/>
    <n v="0.04"/>
    <n v="0.04"/>
    <n v="0.04"/>
    <n v="0.04"/>
    <n v="0.04"/>
    <n v="0.04"/>
    <n v="0.04"/>
    <n v="4320"/>
    <n v="172.8"/>
    <n v="0"/>
    <n v="0"/>
    <s v="0"/>
    <n v="0"/>
    <n v="4320"/>
    <n v="172.8"/>
    <n v="0"/>
    <n v="0"/>
    <s v="0"/>
    <n v="0"/>
    <n v="8640"/>
    <n v="345.6"/>
    <n v="8640"/>
    <n v="345.6"/>
    <n v="8640"/>
    <n v="345.6"/>
    <n v="4320"/>
    <n v="172.8"/>
    <n v="4320"/>
    <n v="172.8"/>
    <n v="4320"/>
    <n v="172.8"/>
    <x v="68"/>
    <s v="Foxconn LH"/>
  </r>
  <r>
    <s v="FY24"/>
    <s v="Allen Chen"/>
    <m/>
    <m/>
    <m/>
    <m/>
    <n v="2016"/>
    <x v="18"/>
    <s v="Mouse"/>
    <s v="NA"/>
    <s v="Black"/>
    <s v="S China"/>
    <s v="OTHERS"/>
    <n v="3.88"/>
    <n v="3.88"/>
    <n v="3.88"/>
    <n v="3.88"/>
    <n v="3.88"/>
    <n v="3.88"/>
    <n v="3.88"/>
    <n v="3.88"/>
    <n v="3.88"/>
    <n v="3.88"/>
    <n v="3.88"/>
    <n v="3.88"/>
    <n v="3.88"/>
    <n v="3.88"/>
    <n v="0.04"/>
    <n v="0.04"/>
    <n v="0.04"/>
    <n v="0.04"/>
    <n v="0.04"/>
    <n v="0.04"/>
    <n v="0.04"/>
    <n v="0.04"/>
    <n v="0.04"/>
    <n v="0.04"/>
    <n v="0.04"/>
    <n v="0.04"/>
    <n v="0.04"/>
    <n v="12960"/>
    <n v="518.4"/>
    <n v="21600"/>
    <n v="864"/>
    <n v="34560"/>
    <n v="1382.4"/>
    <n v="0"/>
    <n v="0"/>
    <n v="25920"/>
    <n v="1036.8"/>
    <n v="17280"/>
    <n v="691.2"/>
    <n v="77760"/>
    <n v="3110.4"/>
    <s v="0"/>
    <n v="0"/>
    <s v="0"/>
    <n v="0"/>
    <n v="4320"/>
    <n v="172.8"/>
    <s v="0"/>
    <n v="0"/>
    <n v="21600"/>
    <n v="864"/>
    <x v="69"/>
    <s v="Foxconn CZ"/>
  </r>
  <r>
    <s v="FY24"/>
    <s v="Allen Chen"/>
    <m/>
    <m/>
    <m/>
    <m/>
    <n v="2016"/>
    <x v="18"/>
    <s v="Mouse"/>
    <s v="NA"/>
    <s v="Black"/>
    <s v="S China"/>
    <s v="OTHERS"/>
    <n v="3.9"/>
    <n v="4.04"/>
    <n v="4.04"/>
    <n v="4.04"/>
    <n v="4.04"/>
    <n v="4.04"/>
    <n v="4.04"/>
    <n v="4.04"/>
    <n v="4.04"/>
    <n v="4.04"/>
    <n v="4.04"/>
    <n v="4.04"/>
    <n v="4.04"/>
    <n v="4.04"/>
    <n v="0.04"/>
    <n v="0.04"/>
    <n v="0.04"/>
    <n v="0.12"/>
    <n v="0.12"/>
    <n v="0.12"/>
    <n v="0.12"/>
    <n v="0.12"/>
    <n v="0.12"/>
    <n v="0.12"/>
    <n v="0.12"/>
    <n v="0.12"/>
    <n v="0.12"/>
    <n v="0"/>
    <n v="0"/>
    <n v="6720"/>
    <n v="268.8"/>
    <n v="11520"/>
    <n v="1382.3999999999999"/>
    <n v="0"/>
    <n v="0"/>
    <n v="2880"/>
    <n v="345.59999999999997"/>
    <s v="0"/>
    <n v="0"/>
    <s v="0"/>
    <n v="0"/>
    <s v="0"/>
    <n v="0"/>
    <n v="5760"/>
    <n v="691.19999999999993"/>
    <n v="2880"/>
    <n v="345.59999999999997"/>
    <n v="2880"/>
    <n v="345.59999999999997"/>
    <n v="5760"/>
    <n v="691.19999999999993"/>
    <x v="70"/>
    <s v="Foxconn LH"/>
  </r>
  <r>
    <s v="FY24"/>
    <s v="Allen Chen"/>
    <m/>
    <m/>
    <m/>
    <m/>
    <n v="2016"/>
    <x v="18"/>
    <s v="Mouse"/>
    <s v="NA"/>
    <s v="Empress red"/>
    <s v="S China"/>
    <s v="OTHERS"/>
    <n v="4.18"/>
    <n v="4.18"/>
    <n v="4.18"/>
    <n v="4.18"/>
    <n v="4.18"/>
    <n v="4.18"/>
    <n v="4.18"/>
    <n v="4.18"/>
    <n v="4.18"/>
    <n v="4.18"/>
    <n v="4.18"/>
    <n v="4.18"/>
    <n v="4.18"/>
    <n v="4.18"/>
    <n v="0.12"/>
    <n v="0.12"/>
    <n v="0.12"/>
    <n v="0.12"/>
    <n v="0.12"/>
    <n v="0.12"/>
    <n v="0.12"/>
    <n v="0.12"/>
    <n v="0.12"/>
    <n v="0.12"/>
    <n v="0.12"/>
    <n v="0.12"/>
    <n v="0.12"/>
    <n v="2880"/>
    <n v="345.59999999999997"/>
    <n v="0"/>
    <n v="0"/>
    <n v="5760"/>
    <n v="691.19999999999993"/>
    <n v="0"/>
    <n v="0"/>
    <n v="2880"/>
    <n v="345.59999999999997"/>
    <s v="0"/>
    <n v="0"/>
    <n v="8640"/>
    <n v="1036.8"/>
    <n v="5760"/>
    <n v="691.19999999999993"/>
    <s v="0"/>
    <n v="0"/>
    <n v="2880"/>
    <n v="345.59999999999997"/>
    <n v="5760"/>
    <n v="691.19999999999993"/>
    <n v="2880"/>
    <n v="345.59999999999997"/>
    <x v="71"/>
    <s v="Foxconn LH"/>
  </r>
  <r>
    <s v="FY24"/>
    <s v="Allen Chen"/>
    <m/>
    <m/>
    <m/>
    <m/>
    <n v="2016"/>
    <x v="18"/>
    <s v="Mouse"/>
    <s v="NA"/>
    <s v="Empress red"/>
    <s v="S China"/>
    <s v="OTHERS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0.04"/>
    <n v="0.04"/>
    <n v="0.04"/>
    <n v="0.04"/>
    <n v="0.04"/>
    <n v="0.04"/>
    <n v="0.04"/>
    <n v="0.04"/>
    <n v="0.12"/>
    <n v="0.12"/>
    <n v="0.12"/>
    <n v="0.12"/>
    <n v="0.12"/>
    <n v="0"/>
    <n v="0"/>
    <n v="0"/>
    <n v="0"/>
    <n v="2880"/>
    <n v="115.2"/>
    <n v="0"/>
    <n v="0"/>
    <n v="0"/>
    <n v="0"/>
    <s v="0"/>
    <n v="0"/>
    <s v="0"/>
    <n v="0"/>
    <s v="0"/>
    <n v="0"/>
    <n v="2880"/>
    <n v="345.59999999999997"/>
    <s v="0"/>
    <n v="0"/>
    <s v="0"/>
    <n v="0"/>
    <n v="2880"/>
    <n v="345.59999999999997"/>
    <x v="72"/>
    <s v="Foxconn LH"/>
  </r>
  <r>
    <s v="FY24"/>
    <s v="Allen Chen"/>
    <m/>
    <m/>
    <m/>
    <m/>
    <n v="2016"/>
    <x v="18"/>
    <s v="Mouse"/>
    <s v="NA"/>
    <s v="Silk Gold"/>
    <s v="S China"/>
    <s v="OTHERS"/>
    <n v="4.3899999999999997"/>
    <n v="4.53"/>
    <n v="4.53"/>
    <n v="4.53"/>
    <n v="4.53"/>
    <n v="4.53"/>
    <n v="4.53"/>
    <n v="4.53"/>
    <n v="4.53"/>
    <n v="4.53"/>
    <n v="4.53"/>
    <n v="4.53"/>
    <n v="4.53"/>
    <n v="4.53"/>
    <n v="0.12"/>
    <n v="0.12"/>
    <n v="0.12"/>
    <n v="0.12"/>
    <n v="0.12"/>
    <n v="0.12"/>
    <n v="0.12"/>
    <n v="0.12"/>
    <n v="0.12"/>
    <n v="0.12"/>
    <n v="0.12"/>
    <n v="0.12"/>
    <n v="0.12"/>
    <n v="2880"/>
    <n v="345.59999999999997"/>
    <n v="0"/>
    <n v="0"/>
    <n v="2880"/>
    <n v="345.59999999999997"/>
    <n v="2880"/>
    <n v="345.59999999999997"/>
    <n v="2880"/>
    <n v="345.59999999999997"/>
    <n v="2880"/>
    <n v="345.59999999999997"/>
    <n v="8640"/>
    <n v="1036.8"/>
    <n v="5760"/>
    <n v="691.19999999999993"/>
    <n v="2880"/>
    <n v="345.59999999999997"/>
    <n v="2880"/>
    <n v="345.59999999999997"/>
    <n v="8640"/>
    <n v="1036.8"/>
    <n v="2880"/>
    <n v="345.59999999999997"/>
    <x v="73"/>
    <s v="Foxconn LH"/>
  </r>
  <r>
    <s v="FY24"/>
    <s v="Allen Chen"/>
    <m/>
    <m/>
    <m/>
    <m/>
    <n v="2016"/>
    <x v="18"/>
    <s v="Mouse"/>
    <s v="NA"/>
    <s v="Silk Gold"/>
    <s v="S China"/>
    <s v="OTHERS"/>
    <n v="4.38"/>
    <n v="4.38"/>
    <n v="4.38"/>
    <n v="4.38"/>
    <n v="4.38"/>
    <n v="4.38"/>
    <n v="4.38"/>
    <n v="4.38"/>
    <n v="4.38"/>
    <n v="4.38"/>
    <n v="4.38"/>
    <n v="4.38"/>
    <n v="4.38"/>
    <n v="4.38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s v="0"/>
    <n v="0"/>
    <n v="0"/>
    <n v="0"/>
    <n v="0"/>
    <n v="0"/>
    <s v="0"/>
    <n v="0"/>
    <s v="0"/>
    <n v="0"/>
    <s v="0"/>
    <n v="0"/>
    <s v="0"/>
    <n v="0"/>
    <s v="0"/>
    <n v="0"/>
    <n v="4320"/>
    <n v="172.8"/>
    <s v="0"/>
    <n v="0"/>
    <x v="74"/>
    <s v="Foxconn CZ"/>
  </r>
  <r>
    <s v="FY24"/>
    <s v="Allen Chen"/>
    <m/>
    <m/>
    <m/>
    <m/>
    <n v="2016"/>
    <x v="18"/>
    <s v="Mouse"/>
    <s v="NA"/>
    <s v="Pike silver"/>
    <s v="S China"/>
    <s v="OTHERS"/>
    <n v="4.3899999999999997"/>
    <n v="4.53"/>
    <n v="4.53"/>
    <n v="4.53"/>
    <n v="4.53"/>
    <n v="4.53"/>
    <n v="4.53"/>
    <n v="4.53"/>
    <n v="4.53"/>
    <n v="4.53"/>
    <n v="4.53"/>
    <n v="4.53"/>
    <n v="4.53"/>
    <n v="4.53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n v="2880"/>
    <n v="345.59999999999997"/>
    <n v="2880"/>
    <n v="345.59999999999997"/>
    <n v="5760"/>
    <n v="691.19999999999993"/>
    <n v="5760"/>
    <n v="691.19999999999993"/>
    <n v="8640"/>
    <n v="1036.8"/>
    <n v="5760"/>
    <n v="691.19999999999993"/>
    <n v="5760"/>
    <n v="691.19999999999993"/>
    <n v="11520"/>
    <n v="1382.3999999999999"/>
    <s v="0"/>
    <n v="0"/>
    <n v="5760"/>
    <n v="691.19999999999993"/>
    <x v="75"/>
    <s v="Foxconn LH"/>
  </r>
  <r>
    <s v="FY24"/>
    <s v="Allen Chen"/>
    <m/>
    <m/>
    <m/>
    <m/>
    <n v="2016"/>
    <x v="18"/>
    <s v="Mouse"/>
    <s v="NA"/>
    <s v="Pike silver"/>
    <s v="S China"/>
    <s v="OTHERS"/>
    <n v="4.38"/>
    <n v="4.38"/>
    <n v="4.38"/>
    <n v="4.38"/>
    <n v="4.38"/>
    <n v="4.38"/>
    <n v="4.38"/>
    <n v="4.38"/>
    <n v="4.38"/>
    <n v="4.38"/>
    <n v="4.38"/>
    <n v="4.38"/>
    <n v="4.38"/>
    <n v="4.38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n v="8640"/>
    <n v="345.6"/>
    <n v="0"/>
    <n v="0"/>
    <n v="4320"/>
    <n v="172.8"/>
    <n v="4320"/>
    <n v="172.8"/>
    <n v="8640"/>
    <n v="345.6"/>
    <s v="0"/>
    <n v="0"/>
    <n v="4320"/>
    <n v="172.8"/>
    <s v="0"/>
    <n v="0"/>
    <n v="4320"/>
    <n v="172.8"/>
    <s v="0"/>
    <n v="0"/>
    <x v="76"/>
    <s v="Foxconn CZ"/>
  </r>
  <r>
    <s v="FY24"/>
    <s v="Allen Chen"/>
    <m/>
    <m/>
    <m/>
    <m/>
    <n v="2016"/>
    <x v="18"/>
    <s v="Mouse"/>
    <s v="NA"/>
    <s v="Pike silver"/>
    <s v="S China"/>
    <s v="OTHERS"/>
    <n v="4.16"/>
    <n v="4.3"/>
    <n v="4.3"/>
    <n v="4.3"/>
    <n v="4.3"/>
    <n v="4.3"/>
    <n v="4.3"/>
    <n v="4.3"/>
    <n v="4.3"/>
    <n v="4.3"/>
    <n v="4.3"/>
    <n v="4.3"/>
    <n v="4.3"/>
    <n v="4.3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77"/>
    <s v="Foxconn LH"/>
  </r>
  <r>
    <s v="FY24"/>
    <s v="Allen Chen"/>
    <m/>
    <m/>
    <m/>
    <m/>
    <n v="2016"/>
    <x v="18"/>
    <s v="Mouse"/>
    <s v="NA"/>
    <s v="Mrn Blue"/>
    <s v="S China"/>
    <s v="OTHERS"/>
    <n v="4.04"/>
    <n v="4.18"/>
    <n v="4.18"/>
    <n v="4.18"/>
    <n v="4.18"/>
    <n v="4.18"/>
    <n v="4.18"/>
    <n v="4.18"/>
    <n v="4.18"/>
    <n v="4.18"/>
    <n v="4.18"/>
    <n v="4.18"/>
    <n v="4.18"/>
    <n v="4.18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s v="0"/>
    <n v="0"/>
    <n v="0"/>
    <n v="0"/>
    <n v="0"/>
    <n v="0"/>
    <n v="5760"/>
    <n v="691.19999999999993"/>
    <n v="8640"/>
    <n v="1036.8"/>
    <s v="0"/>
    <n v="0"/>
    <n v="8640"/>
    <n v="1036.8"/>
    <n v="5760"/>
    <n v="691.19999999999993"/>
    <n v="2880"/>
    <n v="345.59999999999997"/>
    <s v="0"/>
    <n v="0"/>
    <x v="78"/>
    <s v="Foxconn LH"/>
  </r>
  <r>
    <s v="FY24"/>
    <s v="Allen Chen"/>
    <m/>
    <m/>
    <m/>
    <m/>
    <n v="2016"/>
    <x v="18"/>
    <s v="Mouse"/>
    <s v="NA"/>
    <s v="Mrn Blue"/>
    <s v="S China"/>
    <s v="OTHERS"/>
    <n v="4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n v="2880"/>
    <n v="345.59999999999997"/>
    <n v="0"/>
    <n v="0"/>
    <n v="0"/>
    <n v="0"/>
    <s v="0"/>
    <n v="0"/>
    <n v="2880"/>
    <n v="345.59999999999997"/>
    <s v="0"/>
    <n v="0"/>
    <n v="2880"/>
    <n v="345.59999999999997"/>
    <s v="0"/>
    <n v="0"/>
    <n v="2880"/>
    <n v="345.59999999999997"/>
    <s v="0"/>
    <n v="0"/>
    <x v="79"/>
    <s v="Foxconn LH"/>
  </r>
  <r>
    <s v="FY24"/>
    <s v="Allen Chen"/>
    <m/>
    <m/>
    <m/>
    <m/>
    <n v="2019"/>
    <x v="9"/>
    <s v="Mouse"/>
    <s v="NA"/>
    <s v="Black"/>
    <s v="S China"/>
    <s v="OTHERS"/>
    <n v="1.81"/>
    <n v="1.81"/>
    <n v="1.81"/>
    <n v="1.81"/>
    <n v="1.81"/>
    <n v="1.81"/>
    <n v="1.81"/>
    <n v="1.81"/>
    <n v="1.81"/>
    <n v="1.81"/>
    <n v="1.81"/>
    <n v="1.81"/>
    <n v="1.81"/>
    <n v="1.81"/>
    <n v="0"/>
    <n v="0"/>
    <n v="0"/>
    <n v="0"/>
    <n v="0"/>
    <n v="0"/>
    <n v="0"/>
    <n v="0"/>
    <n v="0"/>
    <n v="0"/>
    <n v="0"/>
    <n v="0"/>
    <n v="0"/>
    <n v="0"/>
    <n v="0"/>
    <n v="0"/>
    <n v="0"/>
    <n v="26880"/>
    <n v="0"/>
    <n v="0"/>
    <n v="0"/>
    <n v="0"/>
    <n v="0"/>
    <n v="6720"/>
    <n v="0"/>
    <n v="6720"/>
    <n v="0"/>
    <n v="13440"/>
    <n v="0"/>
    <n v="13440"/>
    <n v="0"/>
    <n v="13440"/>
    <n v="0"/>
    <n v="6720"/>
    <n v="0"/>
    <s v="0"/>
    <n v="0"/>
    <x v="80"/>
    <s v="Foxconn LH"/>
  </r>
  <r>
    <s v="FY24"/>
    <s v="Allen Chen"/>
    <m/>
    <m/>
    <m/>
    <m/>
    <n v="2019"/>
    <x v="9"/>
    <s v="Mouse"/>
    <s v="NA"/>
    <s v="Black"/>
    <s v="S China"/>
    <s v="OTHERS"/>
    <n v="1.72"/>
    <n v="1.72"/>
    <n v="1.72"/>
    <n v="1.72"/>
    <n v="1.72"/>
    <n v="1.72"/>
    <n v="1.72"/>
    <n v="1.72"/>
    <n v="1.72"/>
    <n v="1.72"/>
    <n v="1.72"/>
    <n v="1.72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6720"/>
    <n v="0"/>
    <n v="13440"/>
    <n v="0"/>
    <s v="0"/>
    <n v="0"/>
    <s v="0"/>
    <n v="0"/>
    <s v="0"/>
    <n v="0"/>
    <s v="0"/>
    <n v="0"/>
    <s v="0"/>
    <n v="0"/>
    <s v="0"/>
    <n v="0"/>
    <x v="81"/>
    <s v="HP India"/>
  </r>
  <r>
    <s v="FY24"/>
    <s v="Allen Chen"/>
    <m/>
    <m/>
    <m/>
    <m/>
    <n v="2019"/>
    <x v="9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2880"/>
    <n v="0"/>
    <n v="5760"/>
    <n v="0"/>
    <n v="8640"/>
    <n v="0"/>
    <n v="0"/>
    <n v="0"/>
    <n v="2880"/>
    <n v="0"/>
    <n v="2880"/>
    <n v="0"/>
    <n v="2880"/>
    <n v="0"/>
    <n v="5760"/>
    <n v="0"/>
    <n v="8640"/>
    <n v="0"/>
    <n v="2880"/>
    <n v="0"/>
    <n v="5760"/>
    <n v="0"/>
    <n v="14400"/>
    <n v="0"/>
    <x v="82"/>
    <s v="Foxconn LH"/>
  </r>
  <r>
    <s v="FY24"/>
    <s v="Allen Chen"/>
    <m/>
    <m/>
    <m/>
    <m/>
    <n v="2019"/>
    <x v="9"/>
    <s v="Mouse"/>
    <s v="NA"/>
    <s v="Black"/>
    <s v="S China"/>
    <s v="OTHERS"/>
    <n v="1.8"/>
    <n v="1.8"/>
    <n v="1.8"/>
    <n v="1.8"/>
    <n v="1.8"/>
    <n v="1.8"/>
    <n v="1.8"/>
    <n v="1.8"/>
    <n v="1.8"/>
    <n v="1.8"/>
    <n v="1.8"/>
    <n v="1.8"/>
    <n v="1.8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8640"/>
    <n v="0"/>
    <s v="0"/>
    <n v="0"/>
    <s v="0"/>
    <n v="0"/>
    <n v="14400"/>
    <n v="0"/>
    <s v="0"/>
    <n v="0"/>
    <s v="0"/>
    <n v="0"/>
    <s v="0"/>
    <n v="0"/>
    <n v="11520"/>
    <n v="0"/>
    <x v="83"/>
    <s v="Ryder Indy"/>
  </r>
  <r>
    <s v="FY24"/>
    <s v="Allen Chen"/>
    <m/>
    <m/>
    <m/>
    <m/>
    <n v="2023"/>
    <x v="9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84"/>
    <s v="Foxconn LH"/>
  </r>
  <r>
    <s v="FY24"/>
    <s v="Allen Chen"/>
    <m/>
    <m/>
    <m/>
    <m/>
    <n v="2023"/>
    <x v="9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2880"/>
    <n v="0"/>
    <n v="0"/>
    <n v="0"/>
    <n v="2880"/>
    <n v="0"/>
    <n v="2880"/>
    <n v="0"/>
    <s v="0"/>
    <n v="0"/>
    <s v="0"/>
    <n v="0"/>
    <s v="0"/>
    <n v="0"/>
    <s v="0"/>
    <n v="0"/>
    <s v="0"/>
    <n v="0"/>
    <x v="85"/>
    <s v="Foxconn LH"/>
  </r>
  <r>
    <s v="FY24"/>
    <s v="Allen Chen"/>
    <m/>
    <m/>
    <m/>
    <m/>
    <n v="2023"/>
    <x v="9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  <x v="86"/>
    <s v="Foxconn LH"/>
  </r>
  <r>
    <s v="FY24"/>
    <s v="Allen Chen"/>
    <m/>
    <m/>
    <m/>
    <m/>
    <n v="2023"/>
    <x v="9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0"/>
    <n v="0"/>
    <n v="0"/>
    <n v="0"/>
    <n v="35000"/>
    <n v="0"/>
    <m/>
    <n v="0"/>
    <m/>
    <n v="0"/>
    <m/>
    <n v="0"/>
    <s v="0"/>
    <n v="0"/>
    <x v="87"/>
    <s v="Foxconn CZ"/>
  </r>
  <r>
    <s v="FY24"/>
    <s v="Allen Chen"/>
    <m/>
    <m/>
    <m/>
    <m/>
    <n v="2023"/>
    <x v="9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2880"/>
    <n v="0"/>
    <n v="2880"/>
    <n v="0"/>
    <n v="2880"/>
    <n v="0"/>
    <n v="2880"/>
    <n v="0"/>
    <x v="88"/>
    <s v="Foxconn LH"/>
  </r>
  <r>
    <s v="FY24"/>
    <s v="Allen Chen"/>
    <m/>
    <m/>
    <m/>
    <m/>
    <n v="2020"/>
    <x v="11"/>
    <s v="Mouse"/>
    <s v="NA"/>
    <s v="Nightfull black"/>
    <s v="S China"/>
    <s v="OTHERS"/>
    <n v="22.76"/>
    <n v="22.78"/>
    <n v="22.78"/>
    <n v="22.78"/>
    <n v="22.78"/>
    <n v="22.78"/>
    <n v="22.78"/>
    <n v="22.78"/>
    <n v="22.78"/>
    <n v="22.78"/>
    <n v="22.78"/>
    <n v="22.78"/>
    <n v="22.72"/>
    <n v="22.72"/>
    <n v="0"/>
    <n v="0"/>
    <n v="0"/>
    <n v="0"/>
    <n v="0"/>
    <n v="0"/>
    <n v="0"/>
    <n v="0"/>
    <n v="0"/>
    <n v="0"/>
    <n v="0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n v="1008"/>
    <n v="0"/>
    <s v="0"/>
    <n v="0"/>
    <s v="0"/>
    <n v="0"/>
    <s v="0"/>
    <n v="0"/>
    <x v="89"/>
    <s v="Foxconn Indy"/>
  </r>
  <r>
    <s v="FY24"/>
    <s v="Allen Chen"/>
    <m/>
    <m/>
    <m/>
    <m/>
    <n v="2020"/>
    <x v="11"/>
    <s v="Mouse"/>
    <s v="NA"/>
    <s v="Nightfull black"/>
    <s v="S China"/>
    <s v="OTHERS"/>
    <n v="22.82"/>
    <n v="22.84"/>
    <n v="22.84"/>
    <n v="22.84"/>
    <n v="22.84"/>
    <n v="22.84"/>
    <n v="22.84"/>
    <n v="22.84"/>
    <n v="22.84"/>
    <n v="22.84"/>
    <n v="22.84"/>
    <n v="22.84"/>
    <n v="22.78"/>
    <n v="22.78"/>
    <n v="0"/>
    <n v="0"/>
    <n v="0"/>
    <n v="0"/>
    <n v="0"/>
    <n v="0"/>
    <n v="0"/>
    <n v="0"/>
    <n v="0"/>
    <n v="0"/>
    <n v="0"/>
    <n v="0.06"/>
    <n v="0.06"/>
    <n v="0"/>
    <n v="0"/>
    <n v="0"/>
    <n v="0"/>
    <n v="1008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90"/>
    <s v="Foxconn LH"/>
  </r>
  <r>
    <s v="FY24"/>
    <s v="Allen Chen"/>
    <m/>
    <m/>
    <m/>
    <m/>
    <n v="2020"/>
    <x v="4"/>
    <s v="Mouse"/>
    <s v="NA"/>
    <s v="Nightfull black"/>
    <s v="S China"/>
    <s v="OTHERS"/>
    <n v="30.4"/>
    <n v="30.42"/>
    <n v="30.42"/>
    <n v="30.42"/>
    <n v="30.42"/>
    <n v="30.42"/>
    <n v="30.42"/>
    <n v="30.42"/>
    <n v="30.42"/>
    <n v="30.42"/>
    <n v="30.42"/>
    <n v="30.42"/>
    <n v="30.35"/>
    <n v="30.3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n v="1008"/>
    <n v="0"/>
    <s v="0"/>
    <n v="0"/>
    <s v="0"/>
    <n v="0"/>
    <s v="0"/>
    <n v="0"/>
    <s v="0"/>
    <n v="0"/>
    <s v="0"/>
    <n v="0"/>
    <x v="91"/>
    <s v="Foxconn Indy"/>
  </r>
  <r>
    <s v="FY24"/>
    <s v="Allen Chen"/>
    <m/>
    <m/>
    <m/>
    <m/>
    <n v="2020"/>
    <x v="4"/>
    <s v="Mouse"/>
    <s v="NA"/>
    <s v="Nightfull black"/>
    <s v="S China"/>
    <s v="OTHERS"/>
    <n v="30.46"/>
    <n v="30.48"/>
    <n v="30.48"/>
    <n v="30.48"/>
    <n v="30.48"/>
    <n v="30.48"/>
    <n v="30.48"/>
    <n v="30.48"/>
    <n v="30.48"/>
    <n v="30.48"/>
    <n v="30.48"/>
    <n v="30.48"/>
    <n v="30.41"/>
    <n v="30.41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92"/>
    <s v="Foxconn LH"/>
  </r>
  <r>
    <s v="FY24"/>
    <s v="Allen Chen"/>
    <m/>
    <m/>
    <m/>
    <m/>
    <n v="2020"/>
    <x v="4"/>
    <s v="Mouse"/>
    <s v="NA"/>
    <s v="Natural Silver"/>
    <s v="S China"/>
    <s v="OTHERS"/>
    <n v="30.56"/>
    <n v="30.58"/>
    <n v="30.58"/>
    <n v="30.58"/>
    <n v="30.58"/>
    <n v="30.58"/>
    <n v="30.58"/>
    <n v="30.58"/>
    <n v="30.58"/>
    <n v="30.58"/>
    <n v="30.58"/>
    <n v="30.58"/>
    <n v="30.51"/>
    <n v="30.51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n v="1008"/>
    <n v="0"/>
    <s v="0"/>
    <n v="0"/>
    <s v="0"/>
    <n v="0"/>
    <s v="0"/>
    <n v="0"/>
    <s v="0"/>
    <n v="0"/>
    <x v="93"/>
    <s v="Foxconn LH"/>
  </r>
  <r>
    <s v="FY24"/>
    <s v="Allen Chen"/>
    <m/>
    <m/>
    <m/>
    <m/>
    <n v="2020"/>
    <x v="4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n v="30.35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94"/>
    <s v="Inventec"/>
  </r>
  <r>
    <s v="FY24"/>
    <s v="Allen Chen"/>
    <m/>
    <m/>
    <m/>
    <m/>
    <n v="2020"/>
    <x v="4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n v="30.35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95"/>
    <s v="Inventec"/>
  </r>
  <r>
    <s v="FY24"/>
    <s v="Allen Chen"/>
    <m/>
    <m/>
    <m/>
    <m/>
    <n v="2020"/>
    <x v="4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n v="30.35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96"/>
    <s v="Inventec"/>
  </r>
  <r>
    <s v="FY24"/>
    <s v="Allen Chen"/>
    <m/>
    <m/>
    <m/>
    <m/>
    <n v="2020"/>
    <x v="22"/>
    <s v="Mouse"/>
    <s v="NA"/>
    <s v="Black"/>
    <s v="S China"/>
    <s v="OTHERS"/>
    <n v="1.72"/>
    <n v="1.72"/>
    <n v="1.72"/>
    <n v="1.72"/>
    <n v="1.72"/>
    <n v="1.72"/>
    <n v="1.72"/>
    <n v="1.72"/>
    <n v="1.72"/>
    <n v="1.72"/>
    <n v="1.72"/>
    <n v="1.72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6720"/>
    <n v="0"/>
    <s v="0"/>
    <n v="0"/>
    <n v="13440"/>
    <n v="0"/>
    <n v="6720"/>
    <n v="0"/>
    <n v="26880"/>
    <n v="0"/>
    <n v="20160"/>
    <n v="0"/>
    <s v="0"/>
    <n v="0"/>
    <s v="0"/>
    <n v="0"/>
    <x v="97"/>
    <s v="Foxconn LH"/>
  </r>
  <r>
    <s v="FY24"/>
    <s v="Allen Chen"/>
    <m/>
    <m/>
    <m/>
    <m/>
    <n v="2020"/>
    <x v="22"/>
    <s v="Mouse"/>
    <s v="NA"/>
    <s v="Black"/>
    <s v="S China"/>
    <s v="OTHERS"/>
    <n v="1.66"/>
    <n v="1.66"/>
    <n v="1.66"/>
    <n v="1.66"/>
    <n v="1.66"/>
    <n v="1.66"/>
    <n v="1.66"/>
    <n v="1.66"/>
    <n v="1.66"/>
    <n v="1.66"/>
    <n v="1.66"/>
    <n v="1.66"/>
    <n v="1.66"/>
    <n v="1.66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6720"/>
    <n v="0"/>
    <s v="0"/>
    <n v="0"/>
    <s v="0"/>
    <n v="0"/>
    <s v="0"/>
    <n v="0"/>
    <s v="0"/>
    <n v="0"/>
    <s v="0"/>
    <n v="0"/>
    <n v="6720"/>
    <n v="0"/>
    <s v="0"/>
    <n v="0"/>
    <x v="98"/>
    <s v="Foxconn LH"/>
  </r>
  <r>
    <s v="FY24"/>
    <s v="Allen Chen"/>
    <m/>
    <m/>
    <m/>
    <m/>
    <n v="2020"/>
    <x v="22"/>
    <s v="Mouse"/>
    <s v="NA"/>
    <s v="Black"/>
    <s v="S China"/>
    <s v="OTHERS"/>
    <n v="1.65"/>
    <n v="1.65"/>
    <n v="1.65"/>
    <n v="1.65"/>
    <n v="1.65"/>
    <n v="1.65"/>
    <n v="1.65"/>
    <n v="1.65"/>
    <n v="1.65"/>
    <n v="1.65"/>
    <n v="1.65"/>
    <n v="1.65"/>
    <n v="1.65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0"/>
    <n v="0"/>
    <n v="6720"/>
    <n v="0"/>
    <n v="6720"/>
    <n v="0"/>
    <s v="0"/>
    <n v="0"/>
    <s v="0"/>
    <n v="0"/>
    <n v="6720"/>
    <n v="0"/>
    <s v="0"/>
    <n v="0"/>
    <s v="0"/>
    <n v="0"/>
    <x v="99"/>
    <s v="HP India"/>
  </r>
  <r>
    <s v="FY24"/>
    <s v="Allen Chen"/>
    <m/>
    <m/>
    <m/>
    <m/>
    <n v="2020"/>
    <x v="14"/>
    <s v="Mouse"/>
    <s v="NA"/>
    <s v="Black"/>
    <s v="S China"/>
    <s v="OTHERS"/>
    <n v="3.28"/>
    <n v="3.33"/>
    <n v="3.33"/>
    <n v="3.33"/>
    <n v="3.33"/>
    <n v="3.33"/>
    <n v="3.33"/>
    <n v="3.33"/>
    <n v="3.33"/>
    <n v="3.33"/>
    <n v="3.33"/>
    <n v="3.33"/>
    <n v="3.33"/>
    <n v="3.33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13440"/>
    <n v="0"/>
    <s v="0"/>
    <n v="0"/>
    <n v="6720"/>
    <n v="0"/>
    <n v="6720"/>
    <n v="0"/>
    <s v="0"/>
    <n v="0"/>
    <s v="0"/>
    <n v="0"/>
    <s v="0"/>
    <n v="0"/>
    <n v="13440"/>
    <n v="0"/>
    <x v="100"/>
    <s v="Foxconn LH"/>
  </r>
  <r>
    <s v="FY24"/>
    <s v="Allen Chen"/>
    <m/>
    <m/>
    <m/>
    <m/>
    <n v="2020"/>
    <x v="14"/>
    <s v="Mouse"/>
    <s v="NA"/>
    <s v="Black"/>
    <s v="S China"/>
    <s v="OTHERS"/>
    <n v="3.24"/>
    <n v="3.29"/>
    <n v="3.29"/>
    <n v="3.29"/>
    <n v="3.29"/>
    <n v="3.29"/>
    <n v="3.29"/>
    <n v="3.29"/>
    <n v="3.29"/>
    <n v="3.29"/>
    <n v="3.29"/>
    <n v="3.29"/>
    <n v="3.29"/>
    <n v="3.29"/>
    <n v="0"/>
    <n v="0"/>
    <n v="0"/>
    <n v="0"/>
    <n v="0"/>
    <n v="0"/>
    <n v="0"/>
    <n v="0"/>
    <n v="0"/>
    <n v="0"/>
    <n v="0"/>
    <n v="0"/>
    <n v="0"/>
    <n v="6720"/>
    <n v="0"/>
    <n v="6720"/>
    <n v="0"/>
    <n v="6720"/>
    <n v="0"/>
    <n v="0"/>
    <n v="0"/>
    <n v="6720"/>
    <n v="0"/>
    <n v="13440"/>
    <n v="0"/>
    <n v="6720"/>
    <n v="0"/>
    <n v="53760"/>
    <n v="0"/>
    <s v="0"/>
    <n v="0"/>
    <s v="0"/>
    <n v="0"/>
    <s v="0"/>
    <n v="0"/>
    <s v="0"/>
    <n v="0"/>
    <x v="101"/>
    <s v="Foxconn LH"/>
  </r>
  <r>
    <s v="FY24"/>
    <s v="Allen Chen"/>
    <m/>
    <m/>
    <m/>
    <m/>
    <n v="2020"/>
    <x v="14"/>
    <s v="Mouse"/>
    <s v="NA"/>
    <s v="Black"/>
    <s v="S China"/>
    <s v="OTHERS"/>
    <n v="3.28"/>
    <n v="3.28"/>
    <n v="3.28"/>
    <n v="3.28"/>
    <n v="3.28"/>
    <n v="3.28"/>
    <n v="3.28"/>
    <n v="3.28"/>
    <n v="3.28"/>
    <n v="3.28"/>
    <n v="3.28"/>
    <n v="3.28"/>
    <n v="3.28"/>
    <n v="3.2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6720"/>
    <n v="0"/>
    <n v="6720"/>
    <n v="0"/>
    <s v="0"/>
    <n v="0"/>
    <n v="6720"/>
    <n v="0"/>
    <s v="0"/>
    <n v="0"/>
    <s v="0"/>
    <n v="0"/>
    <n v="6720"/>
    <n v="0"/>
    <s v="0"/>
    <n v="0"/>
    <x v="102"/>
    <s v="HP India"/>
  </r>
  <r>
    <s v="FY24"/>
    <s v="Allen Chen"/>
    <m/>
    <m/>
    <m/>
    <m/>
    <n v="2020"/>
    <x v="14"/>
    <s v="Mouse"/>
    <s v="NA"/>
    <s v="Black"/>
    <s v="S China"/>
    <s v="OTHERS"/>
    <n v="3.25"/>
    <n v="3.25"/>
    <n v="3.25"/>
    <n v="3.25"/>
    <n v="3.25"/>
    <n v="3.25"/>
    <n v="3.25"/>
    <n v="3.25"/>
    <n v="3.25"/>
    <n v="3.25"/>
    <n v="3.25"/>
    <n v="3.25"/>
    <n v="3.25"/>
    <n v="3.2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03"/>
    <s v="Ryder Indy"/>
  </r>
  <r>
    <s v="FY24"/>
    <s v="Allen Chen"/>
    <m/>
    <m/>
    <m/>
    <m/>
    <n v="2020"/>
    <x v="14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04"/>
    <s v="QUANTA"/>
  </r>
  <r>
    <s v="FY24"/>
    <s v="Allen Chen"/>
    <m/>
    <m/>
    <m/>
    <m/>
    <n v="2020"/>
    <x v="14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05"/>
    <s v="QUANTA"/>
  </r>
  <r>
    <s v="FY24"/>
    <s v="Allen Chen"/>
    <m/>
    <m/>
    <m/>
    <m/>
    <n v="2020"/>
    <x v="14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3600"/>
    <n v="0"/>
    <n v="3600"/>
    <n v="0"/>
    <n v="3600"/>
    <n v="0"/>
    <s v="0"/>
    <n v="0"/>
    <n v="3600"/>
    <n v="0"/>
    <n v="3600"/>
    <n v="0"/>
    <s v="0"/>
    <n v="0"/>
    <s v="0"/>
    <n v="0"/>
    <s v="0"/>
    <n v="0"/>
    <x v="106"/>
    <s v="QUANTA"/>
  </r>
  <r>
    <s v="FY24"/>
    <s v="Allen Chen"/>
    <m/>
    <m/>
    <m/>
    <m/>
    <n v="2020"/>
    <x v="14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06"/>
    <s v="Inventec"/>
  </r>
  <r>
    <s v="FY24"/>
    <s v="Allen Chen"/>
    <m/>
    <m/>
    <m/>
    <m/>
    <n v="2021"/>
    <x v="16"/>
    <s v="Mouse"/>
    <s v="NA"/>
    <s v="Black"/>
    <s v="S China"/>
    <s v="OTHERS"/>
    <n v="4.22"/>
    <n v="4.26"/>
    <n v="4.26"/>
    <n v="4.26"/>
    <n v="4.26"/>
    <n v="4.26"/>
    <n v="4.26"/>
    <n v="4.26"/>
    <n v="4.26"/>
    <n v="4.26"/>
    <n v="4.26"/>
    <n v="4.26"/>
    <n v="4.26"/>
    <n v="4.2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14400"/>
    <n v="0"/>
    <n v="20160"/>
    <n v="0"/>
    <n v="28800"/>
    <n v="0"/>
    <n v="0"/>
    <n v="0"/>
    <n v="11520"/>
    <n v="0"/>
    <n v="11520"/>
    <n v="0"/>
    <n v="8640"/>
    <n v="0"/>
    <n v="19480"/>
    <n v="1363.6000000000001"/>
    <n v="6160"/>
    <n v="431.20000000000005"/>
    <n v="7760"/>
    <n v="543.20000000000005"/>
    <n v="8640"/>
    <n v="604.80000000000007"/>
    <n v="11520"/>
    <n v="806.40000000000009"/>
    <x v="107"/>
    <s v="Foxconn CZ"/>
  </r>
  <r>
    <s v="FY24"/>
    <s v="Allen Chen"/>
    <m/>
    <m/>
    <m/>
    <m/>
    <n v="2021"/>
    <x v="16"/>
    <s v="Mouse"/>
    <s v="NA"/>
    <s v="Black"/>
    <s v="S China"/>
    <s v="OTHERS"/>
    <n v="4.32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5760"/>
    <n v="0"/>
    <s v="0"/>
    <n v="0"/>
    <s v="0"/>
    <n v="0"/>
    <n v="2880"/>
    <n v="201.60000000000002"/>
    <n v="5760"/>
    <n v="403.20000000000005"/>
    <n v="11520"/>
    <n v="806.40000000000009"/>
    <s v="0"/>
    <n v="0"/>
    <s v="0"/>
    <n v="0"/>
    <x v="108"/>
    <s v="Foxconn LH"/>
  </r>
  <r>
    <s v="FY24"/>
    <s v="Allen Chen"/>
    <m/>
    <m/>
    <m/>
    <m/>
    <n v="2021"/>
    <x v="16"/>
    <s v="Mouse"/>
    <s v="NA"/>
    <s v="Black"/>
    <s v="S China"/>
    <s v="OTHERS"/>
    <n v="4.28"/>
    <n v="4.32"/>
    <n v="4.32"/>
    <n v="4.32"/>
    <n v="4.32"/>
    <n v="4.32"/>
    <n v="4.32"/>
    <n v="4.32"/>
    <n v="4.32"/>
    <n v="4.32"/>
    <n v="4.32"/>
    <n v="4.32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5760"/>
    <n v="0"/>
    <n v="0"/>
    <n v="0"/>
    <n v="5760"/>
    <n v="0"/>
    <n v="0"/>
    <n v="0"/>
    <n v="5760"/>
    <n v="0"/>
    <s v="0"/>
    <n v="0"/>
    <n v="5760"/>
    <n v="0"/>
    <n v="8640"/>
    <n v="604.80000000000007"/>
    <n v="5760"/>
    <n v="403.20000000000005"/>
    <n v="14400"/>
    <n v="1008.0000000000001"/>
    <n v="8640"/>
    <n v="604.80000000000007"/>
    <n v="11520"/>
    <n v="806.40000000000009"/>
    <x v="109"/>
    <s v="Foxconn LH"/>
  </r>
  <r>
    <s v="FY24"/>
    <s v="Allen Chen"/>
    <m/>
    <m/>
    <m/>
    <m/>
    <n v="2021"/>
    <x v="16"/>
    <s v="Mouse"/>
    <s v="NA"/>
    <s v="Pike silver"/>
    <s v="S China"/>
    <s v="OTHERS"/>
    <n v="4.63"/>
    <n v="4.67"/>
    <n v="4.67"/>
    <n v="4.67"/>
    <n v="4.67"/>
    <n v="4.67"/>
    <n v="4.67"/>
    <n v="4.67"/>
    <n v="4.67"/>
    <n v="4.67"/>
    <n v="4.67"/>
    <n v="4.67"/>
    <n v="4.67"/>
    <n v="4.6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  <x v="110"/>
    <s v="Foxconn LH"/>
  </r>
  <r>
    <s v="FY24"/>
    <s v="Allen Chen"/>
    <m/>
    <m/>
    <m/>
    <m/>
    <n v="2021"/>
    <x v="16"/>
    <s v="Mouse"/>
    <s v="NA"/>
    <s v="Pike silver"/>
    <s v="S China"/>
    <s v="OTHERS"/>
    <n v="4.67"/>
    <n v="4.71"/>
    <n v="4.71"/>
    <n v="4.71"/>
    <n v="4.71"/>
    <n v="4.71"/>
    <n v="4.71"/>
    <n v="4.71"/>
    <n v="4.71"/>
    <n v="4.71"/>
    <n v="4.71"/>
    <n v="4.71"/>
    <n v="4.71"/>
    <n v="4.7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2880"/>
    <n v="0"/>
    <n v="2880"/>
    <n v="0"/>
    <s v="0"/>
    <n v="0"/>
    <s v="0"/>
    <n v="0"/>
    <n v="2880"/>
    <n v="201.60000000000002"/>
    <s v="0"/>
    <n v="0"/>
    <n v="2880"/>
    <n v="201.60000000000002"/>
    <n v="2880"/>
    <n v="201.60000000000002"/>
    <n v="2880"/>
    <n v="201.60000000000002"/>
    <x v="111"/>
    <s v="Foxconn LH"/>
  </r>
  <r>
    <s v="FY24"/>
    <s v="Allen Chen"/>
    <m/>
    <m/>
    <m/>
    <m/>
    <n v="2021"/>
    <x v="16"/>
    <s v="Mouse"/>
    <s v="NA"/>
    <s v="Pike silver"/>
    <s v="S China"/>
    <s v="OTHERS"/>
    <n v="4.63"/>
    <n v="4.67"/>
    <n v="4.67"/>
    <n v="4.67"/>
    <n v="4.67"/>
    <n v="4.67"/>
    <n v="4.67"/>
    <n v="4.67"/>
    <n v="4.67"/>
    <n v="4.67"/>
    <n v="4.67"/>
    <n v="4.67"/>
    <n v="4.67"/>
    <n v="4.6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n v="2880"/>
    <n v="0"/>
    <n v="2880"/>
    <n v="201.60000000000002"/>
    <n v="5760"/>
    <n v="403.20000000000005"/>
    <n v="2880"/>
    <n v="201.60000000000002"/>
    <s v="0"/>
    <n v="0"/>
    <n v="2880"/>
    <n v="201.60000000000002"/>
    <x v="112"/>
    <s v="Foxconn LH"/>
  </r>
  <r>
    <s v="FY24"/>
    <s v="Allen Chen"/>
    <m/>
    <m/>
    <m/>
    <m/>
    <n v="2021"/>
    <x v="16"/>
    <s v="Mouse"/>
    <s v="NA"/>
    <s v="Red"/>
    <s v="S China"/>
    <s v="OTHERS"/>
    <n v="4.43"/>
    <n v="4.47"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13"/>
    <s v="Foxconn LH"/>
  </r>
  <r>
    <s v="FY24"/>
    <s v="Allen Chen"/>
    <m/>
    <m/>
    <m/>
    <m/>
    <n v="2021"/>
    <x v="16"/>
    <s v="Mouse"/>
    <s v="NA"/>
    <s v="Red"/>
    <s v="S China"/>
    <s v="OTHERS"/>
    <n v="4.37"/>
    <n v="4.41"/>
    <n v="4.41"/>
    <n v="4.41"/>
    <n v="4.41"/>
    <n v="4.41"/>
    <n v="4.41"/>
    <n v="4.41"/>
    <n v="4.41"/>
    <n v="4.41"/>
    <n v="4.41"/>
    <n v="4.41"/>
    <n v="4.41"/>
    <n v="4.4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1440"/>
    <n v="0"/>
    <n v="4320"/>
    <n v="0"/>
    <n v="2880"/>
    <n v="0"/>
    <n v="0"/>
    <n v="0"/>
    <n v="2880"/>
    <n v="0"/>
    <n v="5760"/>
    <n v="0"/>
    <s v="0"/>
    <n v="0"/>
    <n v="2880"/>
    <n v="201.60000000000002"/>
    <n v="2880"/>
    <n v="201.60000000000002"/>
    <s v="0"/>
    <n v="0"/>
    <n v="2880"/>
    <n v="201.60000000000002"/>
    <s v="0"/>
    <n v="0"/>
    <x v="114"/>
    <s v="Foxconn CZ"/>
  </r>
  <r>
    <s v="FY24"/>
    <s v="Allen Chen"/>
    <m/>
    <m/>
    <m/>
    <m/>
    <n v="2021"/>
    <x v="16"/>
    <s v="Mouse"/>
    <s v="NA"/>
    <s v="Red"/>
    <s v="S China"/>
    <s v="OTHERS"/>
    <n v="4.47"/>
    <n v="4.51"/>
    <n v="4.51"/>
    <n v="4.51"/>
    <n v="4.51"/>
    <n v="4.51"/>
    <n v="4.51"/>
    <n v="4.51"/>
    <n v="4.51"/>
    <n v="4.51"/>
    <n v="4.51"/>
    <n v="4.51"/>
    <n v="4.51"/>
    <n v="4.5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5760"/>
    <n v="0"/>
    <n v="0"/>
    <n v="0"/>
    <n v="0"/>
    <n v="0"/>
    <s v="0"/>
    <n v="0"/>
    <s v="0"/>
    <n v="0"/>
    <s v="0"/>
    <n v="0"/>
    <s v="0"/>
    <n v="0"/>
    <n v="2880"/>
    <n v="201.60000000000002"/>
    <s v="0"/>
    <n v="0"/>
    <s v="0"/>
    <n v="0"/>
    <x v="115"/>
    <s v="Foxconn LH"/>
  </r>
  <r>
    <s v="FY24"/>
    <s v="Allen Chen"/>
    <m/>
    <m/>
    <m/>
    <m/>
    <n v="2021"/>
    <x v="16"/>
    <s v="Mouse"/>
    <s v="NA"/>
    <s v="Red"/>
    <s v="S China"/>
    <s v="OTHERS"/>
    <n v="4.43"/>
    <n v="4.47"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16"/>
    <s v="Foxconn LH"/>
  </r>
  <r>
    <s v="FY24"/>
    <s v="Allen Chen"/>
    <m/>
    <m/>
    <m/>
    <m/>
    <n v="2023"/>
    <x v="16"/>
    <s v="Mouse"/>
    <s v="NA"/>
    <s v="White"/>
    <s v="S China"/>
    <s v="OTHERS"/>
    <n v="4.42"/>
    <n v="4.42"/>
    <n v="4.42"/>
    <n v="4.42"/>
    <n v="4.42"/>
    <n v="4.42"/>
    <n v="4.42"/>
    <n v="4.42"/>
    <n v="4.42"/>
    <n v="4.42"/>
    <n v="4.42"/>
    <n v="4.42"/>
    <n v="4.42"/>
    <n v="4.4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n v="2880"/>
    <n v="201.60000000000002"/>
    <n v="2880"/>
    <n v="201.60000000000002"/>
    <n v="2880"/>
    <n v="201.60000000000002"/>
    <s v="0"/>
    <n v="0"/>
    <x v="117"/>
    <s v="Foxconn LH"/>
  </r>
  <r>
    <s v="FY24"/>
    <s v="Allen Chen"/>
    <m/>
    <m/>
    <m/>
    <m/>
    <n v="2022"/>
    <x v="16"/>
    <s v="Mouse"/>
    <s v="NA"/>
    <s v="White"/>
    <s v="S China"/>
    <s v="OTHERS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"/>
    <n v="0"/>
    <n v="0"/>
    <n v="0"/>
    <n v="2880"/>
    <n v="0"/>
    <n v="5760"/>
    <n v="0"/>
    <s v="0"/>
    <n v="0"/>
    <s v="0"/>
    <n v="0"/>
    <s v="0"/>
    <n v="0"/>
    <s v="0"/>
    <n v="0"/>
    <s v="0"/>
    <n v="0"/>
    <s v="0"/>
    <n v="0"/>
    <x v="118"/>
    <s v="Foxconn CZ"/>
  </r>
  <r>
    <s v="FY24"/>
    <s v="Allen Chen"/>
    <m/>
    <m/>
    <m/>
    <m/>
    <n v="2023"/>
    <x v="16"/>
    <s v="Mouse"/>
    <s v="NA"/>
    <s v="White"/>
    <s v="S China"/>
    <s v="OTHERS"/>
    <n v="4.42"/>
    <n v="4.42"/>
    <n v="4.42"/>
    <n v="4.42"/>
    <n v="4.42"/>
    <n v="4.42"/>
    <n v="4.42"/>
    <n v="4.42"/>
    <n v="4.42"/>
    <n v="4.42"/>
    <n v="4.42"/>
    <n v="4.42"/>
    <n v="4.42"/>
    <n v="4.4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2880"/>
    <n v="0"/>
    <n v="0"/>
    <n v="0"/>
    <s v="0"/>
    <n v="0"/>
    <n v="0"/>
    <n v="0"/>
    <n v="0"/>
    <n v="0"/>
    <s v="0"/>
    <n v="0"/>
    <s v="0"/>
    <n v="0"/>
    <n v="2880"/>
    <n v="201.60000000000002"/>
    <s v="0"/>
    <n v="0"/>
    <s v="0"/>
    <n v="0"/>
    <n v="2880"/>
    <n v="201.60000000000002"/>
    <s v="0"/>
    <n v="0"/>
    <x v="119"/>
    <s v="Foxconn LH"/>
  </r>
  <r>
    <s v="FY24"/>
    <s v="Allen Chen"/>
    <m/>
    <m/>
    <m/>
    <m/>
    <n v="2023"/>
    <x v="16"/>
    <s v="Mouse"/>
    <s v="NA"/>
    <s v="Black"/>
    <s v="S China"/>
    <s v="OTHERS"/>
    <n v="4.26"/>
    <n v="4.26"/>
    <n v="4.26"/>
    <n v="4.26"/>
    <n v="4.26"/>
    <n v="4.26"/>
    <n v="4.26"/>
    <n v="4.26"/>
    <n v="4.26"/>
    <n v="4.26"/>
    <n v="4.26"/>
    <n v="4.26"/>
    <n v="4.26"/>
    <n v="4.2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n v="2880"/>
    <n v="0"/>
    <n v="2880"/>
    <n v="0"/>
    <n v="2880"/>
    <n v="201.60000000000002"/>
    <n v="6680"/>
    <n v="467.6"/>
    <s v="0"/>
    <n v="0"/>
    <n v="5760"/>
    <n v="403.20000000000005"/>
    <s v="0"/>
    <n v="0"/>
    <x v="120"/>
    <s v="Foxconn CZ"/>
  </r>
  <r>
    <s v="FY24"/>
    <s v="Allen Chen"/>
    <m/>
    <m/>
    <m/>
    <m/>
    <n v="2023"/>
    <x v="16"/>
    <s v="Mouse"/>
    <s v="NA"/>
    <s v="Black"/>
    <s v="S China"/>
    <s v="OTHERS"/>
    <n v="4.32"/>
    <n v="4.32"/>
    <n v="4.32"/>
    <n v="4.32"/>
    <n v="4.32"/>
    <n v="4.32"/>
    <n v="4.32"/>
    <n v="4.32"/>
    <n v="4.32"/>
    <n v="4.32"/>
    <n v="4.32"/>
    <n v="4.32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0"/>
    <n v="0"/>
    <n v="5760"/>
    <n v="0"/>
    <n v="51840"/>
    <n v="0"/>
    <n v="5760"/>
    <n v="0"/>
    <s v="0"/>
    <n v="0"/>
    <n v="5760"/>
    <n v="403.20000000000005"/>
    <s v="0"/>
    <n v="0"/>
    <s v="0"/>
    <n v="0"/>
    <s v="0"/>
    <n v="0"/>
    <s v="0"/>
    <n v="0"/>
    <x v="121"/>
    <s v="Foxconn LH"/>
  </r>
  <r>
    <s v="FY24"/>
    <s v="Allen Chen"/>
    <m/>
    <m/>
    <m/>
    <m/>
    <n v="2023"/>
    <x v="16"/>
    <s v="Mouse"/>
    <s v="NA"/>
    <s v="Black"/>
    <s v="S China"/>
    <s v="OTHERS"/>
    <n v="4.32"/>
    <n v="4.32"/>
    <n v="4.32"/>
    <n v="4.32"/>
    <n v="4.32"/>
    <n v="4.32"/>
    <n v="4.32"/>
    <n v="4.32"/>
    <n v="4.32"/>
    <n v="4.32"/>
    <n v="4.32"/>
    <n v="4.32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n v="8640"/>
    <n v="604.80000000000007"/>
    <s v="0"/>
    <n v="0"/>
    <s v="0"/>
    <n v="0"/>
    <s v="0"/>
    <n v="0"/>
    <n v="2880"/>
    <n v="201.60000000000002"/>
    <x v="122"/>
    <s v="Foxconn LH"/>
  </r>
  <r>
    <s v="FY24"/>
    <s v="Allen Chen"/>
    <m/>
    <m/>
    <m/>
    <m/>
    <n v="2021"/>
    <x v="12"/>
    <s v="Mouse"/>
    <s v="NA"/>
    <s v="Black"/>
    <s v="S China"/>
    <s v="OTHERS"/>
    <n v="4.29"/>
    <n v="4.43"/>
    <n v="4.43"/>
    <n v="4.43"/>
    <n v="4.43"/>
    <n v="4.43"/>
    <n v="4.43"/>
    <n v="4.43"/>
    <n v="4.43"/>
    <n v="4.43"/>
    <n v="4.43"/>
    <n v="4.43"/>
    <n v="4.43"/>
    <n v="4.4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23"/>
    <s v="HP India"/>
  </r>
  <r>
    <s v="FY24"/>
    <s v="Allen Chen"/>
    <m/>
    <m/>
    <m/>
    <m/>
    <n v="2021"/>
    <x v="12"/>
    <s v="Mouse"/>
    <s v="NA"/>
    <s v="Black"/>
    <s v="S China"/>
    <s v="OTHERS"/>
    <n v="4.49"/>
    <n v="4.49"/>
    <n v="4.49"/>
    <n v="4.49"/>
    <n v="4.49"/>
    <n v="4.49"/>
    <n v="4.49"/>
    <n v="4.49"/>
    <n v="4.49"/>
    <n v="4.49"/>
    <n v="4.49"/>
    <n v="4.49"/>
    <n v="4.49"/>
    <n v="4.49"/>
    <n v="0"/>
    <n v="0"/>
    <n v="0"/>
    <n v="0"/>
    <n v="0"/>
    <n v="0"/>
    <n v="0"/>
    <n v="0"/>
    <n v="0"/>
    <n v="0"/>
    <n v="0"/>
    <n v="0"/>
    <n v="0"/>
    <n v="8640"/>
    <n v="0"/>
    <n v="8640"/>
    <n v="0"/>
    <n v="11520"/>
    <n v="0"/>
    <n v="0"/>
    <n v="0"/>
    <n v="8640"/>
    <n v="0"/>
    <n v="2880"/>
    <n v="0"/>
    <n v="8640"/>
    <n v="0"/>
    <s v="0"/>
    <n v="0"/>
    <s v="0"/>
    <n v="0"/>
    <s v="0"/>
    <n v="0"/>
    <s v="0"/>
    <n v="0"/>
    <s v="0"/>
    <n v="0"/>
    <x v="124"/>
    <s v="Foxconn LH"/>
  </r>
  <r>
    <s v="FY24"/>
    <s v="Allen Chen"/>
    <m/>
    <m/>
    <m/>
    <m/>
    <n v="2021"/>
    <x v="12"/>
    <s v="Mouse"/>
    <s v="NA"/>
    <s v="Black"/>
    <s v="S China"/>
    <s v="OTHERS"/>
    <n v="4.3899999999999997"/>
    <n v="4.51"/>
    <n v="4.51"/>
    <n v="4.51"/>
    <n v="4.51"/>
    <n v="4.51"/>
    <n v="4.51"/>
    <n v="4.51"/>
    <n v="4.51"/>
    <n v="4.51"/>
    <n v="4.51"/>
    <n v="4.51"/>
    <n v="4.51"/>
    <n v="4.51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5760"/>
    <n v="0"/>
    <n v="8640"/>
    <n v="0"/>
    <s v="0"/>
    <n v="0"/>
    <s v="0"/>
    <n v="0"/>
    <s v="0"/>
    <n v="0"/>
    <s v="0"/>
    <n v="0"/>
    <s v="0"/>
    <n v="0"/>
    <s v="0"/>
    <n v="0"/>
    <x v="125"/>
    <s v="Foxconn LH"/>
  </r>
  <r>
    <s v="FY24"/>
    <s v="Allen Chen"/>
    <m/>
    <m/>
    <m/>
    <m/>
    <n v="2021"/>
    <x v="12"/>
    <s v="Mouse"/>
    <s v="NA"/>
    <s v="Black"/>
    <s v="S China"/>
    <s v="OTHERS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26"/>
    <s v="Ryder Indy"/>
  </r>
  <r>
    <s v="FY24"/>
    <s v="Allen Chen"/>
    <m/>
    <m/>
    <m/>
    <m/>
    <n v="2021"/>
    <x v="12"/>
    <s v="Mouse"/>
    <s v="NA"/>
    <s v="Black"/>
    <s v="S China"/>
    <s v="OTHERS"/>
    <m/>
    <m/>
    <n v="4.43"/>
    <n v="4.43"/>
    <n v="4.43"/>
    <n v="4.43"/>
    <n v="4.43"/>
    <n v="4.43"/>
    <n v="4.43"/>
    <n v="4.43"/>
    <n v="4.43"/>
    <n v="4.43"/>
    <n v="4.43"/>
    <n v="4.4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8080"/>
    <n v="0"/>
    <n v="5760"/>
    <n v="0"/>
    <n v="2880"/>
    <n v="0"/>
    <n v="8640"/>
    <n v="0"/>
    <n v="8640"/>
    <n v="0"/>
    <x v="127"/>
    <s v="Foxconn CZ"/>
  </r>
  <r>
    <s v="FY24"/>
    <s v="Allen Chen"/>
    <m/>
    <m/>
    <m/>
    <m/>
    <n v="2021"/>
    <x v="12"/>
    <s v="Mouse"/>
    <s v="NA"/>
    <s v="Black"/>
    <s v="S China"/>
    <s v="OTHERS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51"/>
    <n v="4.51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2880"/>
    <n v="0"/>
    <n v="2880"/>
    <n v="0"/>
    <n v="2880"/>
    <n v="0"/>
    <n v="2880"/>
    <n v="0"/>
    <n v="2880"/>
    <n v="0"/>
    <x v="128"/>
    <s v="Foxconn LH"/>
  </r>
  <r>
    <s v="FY24"/>
    <s v="Allen Chen"/>
    <m/>
    <m/>
    <m/>
    <m/>
    <n v="2021"/>
    <x v="12"/>
    <s v="Mouse"/>
    <s v="NA"/>
    <s v="Black"/>
    <s v="S China"/>
    <s v="OTHERS"/>
    <m/>
    <m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  <x v="129"/>
    <s v="Ryder Indy"/>
  </r>
  <r>
    <s v="FY24"/>
    <s v="Allen Chen"/>
    <m/>
    <m/>
    <m/>
    <m/>
    <n v="2021"/>
    <x v="12"/>
    <s v="Mouse"/>
    <s v="NA"/>
    <s v="Black"/>
    <s v="S China"/>
    <s v="OTHERS"/>
    <m/>
    <m/>
    <n v="4.49"/>
    <n v="4.49"/>
    <n v="4.49"/>
    <n v="4.49"/>
    <n v="4.49"/>
    <n v="4.49"/>
    <n v="4.49"/>
    <n v="4.49"/>
    <n v="4.49"/>
    <n v="4.49"/>
    <n v="4.49"/>
    <n v="4.4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8640"/>
    <n v="0"/>
    <n v="8640"/>
    <n v="0"/>
    <n v="5760"/>
    <n v="0"/>
    <n v="5760"/>
    <n v="0"/>
    <n v="8640"/>
    <n v="0"/>
    <x v="130"/>
    <s v="Foxconn LH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s v="0"/>
    <n v="0"/>
    <s v="0"/>
    <n v="0"/>
    <n v="2880"/>
    <n v="0"/>
    <x v="131"/>
    <s v="QUANTA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31"/>
    <s v="Inventec"/>
  </r>
  <r>
    <s v="FY24"/>
    <s v="Allen Chen"/>
    <m/>
    <m/>
    <m/>
    <m/>
    <n v="2021"/>
    <x v="12"/>
    <s v="Mouse"/>
    <s v="NA"/>
    <s v="Black"/>
    <s v="S China"/>
    <s v="OTHERS"/>
    <m/>
    <m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  <x v="131"/>
    <s v="Compal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32"/>
    <s v="QUANTA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32"/>
    <s v="Inventec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n v="1440"/>
    <n v="0"/>
    <s v="0"/>
    <n v="0"/>
    <n v="2880"/>
    <n v="0"/>
    <x v="133"/>
    <s v="QUANTA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  <x v="133"/>
    <s v="Inventec"/>
  </r>
  <r>
    <s v="FY24"/>
    <s v="Allen Chen"/>
    <m/>
    <m/>
    <m/>
    <m/>
    <n v="2021"/>
    <x v="12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m/>
    <n v="0"/>
    <s v="0"/>
    <n v="0"/>
    <n v="5760"/>
    <n v="0"/>
    <x v="134"/>
    <s v="Foxconn LH"/>
  </r>
  <r>
    <s v="FY24"/>
    <s v="Allen Chen"/>
    <m/>
    <m/>
    <m/>
    <m/>
    <n v="2021"/>
    <x v="12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n v="0"/>
    <n v="0"/>
    <n v="2880"/>
    <n v="0"/>
    <n v="20160"/>
    <n v="0"/>
    <x v="135"/>
    <s v="Foxconn CZ"/>
  </r>
  <r>
    <s v="FY24"/>
    <s v="Allen Chen"/>
    <m/>
    <m/>
    <m/>
    <m/>
    <n v="2021"/>
    <x v="12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m/>
    <n v="0"/>
    <s v="0"/>
    <n v="0"/>
    <n v="2880"/>
    <n v="0"/>
    <x v="136"/>
    <s v="Foxconn LH"/>
  </r>
  <r>
    <s v="FY24"/>
    <s v="Simon Yang"/>
    <m/>
    <m/>
    <m/>
    <m/>
    <n v="2019"/>
    <x v="13"/>
    <s v="Combo"/>
    <s v="NA"/>
    <s v="Black"/>
    <s v="S China"/>
    <s v="OTHERS"/>
    <n v="9.9600000000000009"/>
    <n v="10.23"/>
    <n v="10.23"/>
    <n v="10.23"/>
    <n v="10.23"/>
    <n v="10.23"/>
    <n v="10.23"/>
    <n v="10.23"/>
    <n v="10.23"/>
    <n v="10.23"/>
    <n v="10.23"/>
    <n v="10.23"/>
    <n v="10.23"/>
    <n v="10.23"/>
    <n v="0"/>
    <n v="0"/>
    <n v="0"/>
    <n v="0"/>
    <n v="0"/>
    <n v="0"/>
    <n v="0"/>
    <n v="0"/>
    <n v="0"/>
    <n v="0"/>
    <n v="0"/>
    <n v="0"/>
    <n v="0"/>
    <n v="10080"/>
    <n v="0"/>
    <n v="1280"/>
    <n v="0"/>
    <s v="0"/>
    <n v="0"/>
    <n v="0"/>
    <n v="0"/>
    <n v="0"/>
    <n v="0"/>
    <n v="12960"/>
    <n v="0"/>
    <n v="3200"/>
    <n v="0"/>
    <n v="7680"/>
    <n v="0"/>
    <n v="3840"/>
    <n v="0"/>
    <n v="1280"/>
    <n v="0"/>
    <n v="2560"/>
    <n v="0"/>
    <n v="2560"/>
    <n v="0"/>
    <x v="137"/>
    <s v="Foxconn LH"/>
  </r>
  <r>
    <s v="FY24"/>
    <s v="Simon Yang"/>
    <m/>
    <m/>
    <m/>
    <m/>
    <n v="2019"/>
    <x v="13"/>
    <s v="Combo"/>
    <s v="NA"/>
    <s v="Black"/>
    <s v="S China"/>
    <s v="OTHERS"/>
    <n v="9.9600000000000009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0"/>
    <n v="0"/>
    <n v="0"/>
    <n v="0"/>
    <n v="0"/>
    <n v="0"/>
    <n v="0"/>
    <n v="0"/>
    <n v="0"/>
    <n v="0"/>
    <n v="0"/>
    <n v="0"/>
    <n v="0"/>
    <n v="0"/>
    <n v="0"/>
    <n v="7200"/>
    <n v="0"/>
    <s v="0"/>
    <n v="0"/>
    <n v="0"/>
    <n v="0"/>
    <n v="7680"/>
    <n v="0"/>
    <s v="0"/>
    <n v="0"/>
    <s v="0"/>
    <n v="0"/>
    <n v="8960"/>
    <n v="0"/>
    <s v="0"/>
    <n v="0"/>
    <s v="0"/>
    <n v="0"/>
    <s v="0"/>
    <n v="0"/>
    <s v="0"/>
    <n v="0"/>
    <x v="138"/>
    <s v="Ryder Indy"/>
  </r>
  <r>
    <s v="FY24"/>
    <s v="Simon Yang"/>
    <m/>
    <m/>
    <m/>
    <m/>
    <n v="2019"/>
    <x v="13"/>
    <s v="Combo"/>
    <s v="NA"/>
    <s v="Black"/>
    <s v="S China"/>
    <s v="OTHERS"/>
    <n v="9.9600000000000009"/>
    <n v="10.27"/>
    <n v="10.27"/>
    <n v="10.27"/>
    <n v="10.27"/>
    <n v="10.27"/>
    <n v="10.27"/>
    <n v="10.27"/>
    <n v="10.27"/>
    <n v="10.27"/>
    <n v="10.27"/>
    <n v="10.27"/>
    <n v="10.27"/>
    <n v="10.2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1280"/>
    <n v="0"/>
    <s v="0"/>
    <n v="0"/>
    <s v="0"/>
    <n v="0"/>
    <s v="0"/>
    <n v="0"/>
    <s v="0"/>
    <n v="0"/>
    <s v="0"/>
    <n v="0"/>
    <n v="6400"/>
    <n v="0"/>
    <s v="0"/>
    <n v="0"/>
    <x v="139"/>
    <s v="Foxconn LH"/>
  </r>
  <r>
    <s v="FY24"/>
    <s v="Simon Yang"/>
    <m/>
    <m/>
    <m/>
    <m/>
    <n v="2020"/>
    <x v="23"/>
    <s v="Combo"/>
    <s v="NA"/>
    <s v="Black"/>
    <s v="S China"/>
    <s v="OTHERS"/>
    <n v="5.77"/>
    <n v="5.66"/>
    <n v="5.66"/>
    <n v="5.66"/>
    <n v="5.66"/>
    <n v="5.66"/>
    <n v="5.66"/>
    <n v="5.66"/>
    <n v="5.66"/>
    <n v="5.66"/>
    <n v="5.66"/>
    <n v="5.66"/>
    <n v="5.66"/>
    <n v="5.66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5760"/>
    <n v="0"/>
    <n v="4320"/>
    <n v="0"/>
    <s v="0"/>
    <n v="0"/>
    <n v="4320"/>
    <n v="0"/>
    <n v="4320"/>
    <n v="0"/>
    <n v="1440"/>
    <n v="0"/>
    <n v="4320"/>
    <n v="0"/>
    <n v="1440"/>
    <n v="0"/>
    <x v="140"/>
    <s v="Foxconn LH"/>
  </r>
  <r>
    <s v="FY24"/>
    <s v="Simon Yang"/>
    <m/>
    <m/>
    <m/>
    <m/>
    <n v="2020"/>
    <x v="23"/>
    <s v="Combo"/>
    <s v="NA"/>
    <s v="Black"/>
    <s v="S China"/>
    <s v="OTHERS"/>
    <n v="6.07"/>
    <n v="5.86"/>
    <n v="5.86"/>
    <n v="5.86"/>
    <n v="5.86"/>
    <n v="5.86"/>
    <n v="5.86"/>
    <n v="5.86"/>
    <n v="5.86"/>
    <n v="5.86"/>
    <n v="5.86"/>
    <n v="5.86"/>
    <n v="5.86"/>
    <n v="5.86"/>
    <n v="0"/>
    <n v="0"/>
    <n v="0"/>
    <n v="0"/>
    <n v="0"/>
    <n v="0"/>
    <n v="0"/>
    <n v="0"/>
    <n v="0"/>
    <n v="0"/>
    <n v="0"/>
    <n v="0"/>
    <n v="0"/>
    <n v="4320"/>
    <n v="0"/>
    <n v="1440"/>
    <n v="0"/>
    <n v="1440"/>
    <n v="0"/>
    <n v="1440"/>
    <n v="0"/>
    <n v="3440"/>
    <n v="0"/>
    <n v="4440"/>
    <n v="0"/>
    <s v="0"/>
    <n v="0"/>
    <n v="1440"/>
    <n v="0"/>
    <s v="0"/>
    <n v="0"/>
    <s v="0"/>
    <n v="0"/>
    <n v="2880"/>
    <n v="0"/>
    <n v="1440"/>
    <n v="0"/>
    <x v="141"/>
    <s v="Flextronics CZ"/>
  </r>
  <r>
    <s v="FY24"/>
    <s v="Simon Yang"/>
    <m/>
    <m/>
    <m/>
    <m/>
    <n v="2020"/>
    <x v="23"/>
    <s v="Combo"/>
    <s v="NA"/>
    <s v="Black"/>
    <s v="S China"/>
    <s v="OTHERS"/>
    <n v="5.77"/>
    <n v="5.56"/>
    <n v="5.56"/>
    <n v="5.56"/>
    <n v="5.56"/>
    <n v="5.56"/>
    <n v="5.56"/>
    <n v="5.56"/>
    <n v="5.56"/>
    <n v="5.56"/>
    <n v="5.56"/>
    <n v="5.56"/>
    <n v="5.56"/>
    <n v="5.56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42"/>
    <s v="Ryder Indy"/>
  </r>
  <r>
    <s v="FY24"/>
    <s v="Simon Yang"/>
    <m/>
    <m/>
    <m/>
    <m/>
    <n v="2020"/>
    <x v="1"/>
    <s v="Combo"/>
    <s v="NA"/>
    <s v="Black"/>
    <s v="S China"/>
    <s v="OTHERS"/>
    <n v="9.0299999999999994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n v="12800"/>
    <n v="2304"/>
    <n v="8960"/>
    <n v="1612.8"/>
    <n v="3840"/>
    <n v="691.19999999999993"/>
    <n v="11520"/>
    <n v="2073.6"/>
    <s v="0"/>
    <n v="0"/>
    <s v="0"/>
    <n v="0"/>
    <x v="143"/>
    <s v="Foxconn LH"/>
  </r>
  <r>
    <s v="FY24"/>
    <s v="Simon Yang"/>
    <m/>
    <m/>
    <m/>
    <m/>
    <n v="2020"/>
    <x v="1"/>
    <s v="Combo"/>
    <s v="NA"/>
    <s v="Black"/>
    <s v="S China"/>
    <s v="OTHERS"/>
    <n v="9.0299999999999994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0.18"/>
    <n v="0.18"/>
    <n v="0.18"/>
    <n v="0.18"/>
    <n v="0.18"/>
    <n v="0.18"/>
    <n v="0.18"/>
    <n v="0.18"/>
    <n v="0.18"/>
    <n v="0.18"/>
    <n v="0.18"/>
    <n v="0.18"/>
    <n v="0.18"/>
    <n v="2560"/>
    <n v="460.79999999999995"/>
    <n v="2560"/>
    <n v="460.79999999999995"/>
    <n v="6400"/>
    <n v="1152"/>
    <n v="0"/>
    <n v="0"/>
    <n v="6400"/>
    <n v="1152"/>
    <s v="0"/>
    <n v="0"/>
    <n v="2560"/>
    <n v="460.79999999999995"/>
    <n v="5120"/>
    <n v="921.59999999999991"/>
    <s v="0"/>
    <n v="0"/>
    <n v="3840"/>
    <n v="691.19999999999993"/>
    <n v="2560"/>
    <n v="460.79999999999995"/>
    <s v="0"/>
    <n v="0"/>
    <x v="144"/>
    <s v="Foxconn LH"/>
  </r>
  <r>
    <s v="FY24"/>
    <s v="Simon Yang"/>
    <m/>
    <m/>
    <m/>
    <m/>
    <n v="2020"/>
    <x v="1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n v="8.85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5120"/>
    <n v="921.59999999999991"/>
    <n v="16640"/>
    <n v="2995.2"/>
    <n v="3840"/>
    <n v="691.19999999999993"/>
    <n v="5120"/>
    <n v="921.59999999999991"/>
    <n v="7680"/>
    <n v="1382.3999999999999"/>
    <s v="0"/>
    <n v="0"/>
    <n v="5120"/>
    <n v="921.59999999999991"/>
    <n v="6400"/>
    <n v="1152"/>
    <n v="7680"/>
    <n v="1382.3999999999999"/>
    <n v="12800"/>
    <n v="2304"/>
    <n v="8960"/>
    <n v="1612.8"/>
    <x v="145"/>
    <s v="Foxconn LH"/>
  </r>
  <r>
    <s v="FY24"/>
    <s v="Simon Yang"/>
    <m/>
    <m/>
    <m/>
    <m/>
    <n v="2020"/>
    <x v="1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n v="8.85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46"/>
    <s v="Foxconn LH"/>
  </r>
  <r>
    <s v="FY24"/>
    <s v="Simon Yang"/>
    <m/>
    <m/>
    <m/>
    <m/>
    <n v="2020"/>
    <x v="1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n v="8.85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8960"/>
    <n v="1612.8"/>
    <n v="21760"/>
    <n v="3916.7999999999997"/>
    <n v="0"/>
    <n v="0"/>
    <n v="16640"/>
    <n v="2995.2"/>
    <n v="15360"/>
    <n v="2764.7999999999997"/>
    <n v="25600"/>
    <n v="4608"/>
    <s v="0"/>
    <n v="0"/>
    <n v="11520"/>
    <n v="2073.6"/>
    <n v="23040"/>
    <n v="4147.2"/>
    <n v="34560"/>
    <n v="6220.8"/>
    <s v="0"/>
    <n v="0"/>
    <x v="147"/>
    <s v="Foxconn LH"/>
  </r>
  <r>
    <s v="FY24"/>
    <s v="Simon Yang"/>
    <m/>
    <m/>
    <m/>
    <m/>
    <n v="2020"/>
    <x v="1"/>
    <s v="Combo"/>
    <s v="NA"/>
    <s v="Black"/>
    <s v="S China"/>
    <s v="OTHERS"/>
    <n v="9.1999999999999993"/>
    <n v="9"/>
    <n v="9"/>
    <n v="9"/>
    <n v="9"/>
    <n v="9"/>
    <n v="9"/>
    <n v="9"/>
    <n v="9"/>
    <n v="9"/>
    <n v="9"/>
    <n v="9"/>
    <n v="9"/>
    <n v="9"/>
    <n v="0.18"/>
    <n v="0.18"/>
    <n v="0.18"/>
    <n v="0.18"/>
    <n v="0.18"/>
    <n v="0.18"/>
    <n v="0.18"/>
    <n v="0.18"/>
    <n v="0.18"/>
    <n v="0.18"/>
    <n v="0.18"/>
    <n v="0.18"/>
    <n v="0.18"/>
    <n v="10240"/>
    <n v="1843.1999999999998"/>
    <n v="10240"/>
    <n v="1843.1999999999998"/>
    <n v="17920"/>
    <n v="3225.6"/>
    <n v="0"/>
    <n v="0"/>
    <n v="5120"/>
    <n v="921.59999999999991"/>
    <n v="8960"/>
    <n v="1612.8"/>
    <n v="6400"/>
    <n v="1152"/>
    <n v="3840"/>
    <n v="691.19999999999993"/>
    <s v="0"/>
    <n v="0"/>
    <s v="0"/>
    <n v="0"/>
    <s v="0"/>
    <n v="0"/>
    <s v="0"/>
    <n v="0"/>
    <x v="148"/>
    <s v="Foxconn LH"/>
  </r>
  <r>
    <s v="FY24"/>
    <s v="Simon Yang"/>
    <m/>
    <m/>
    <m/>
    <m/>
    <n v="2020"/>
    <x v="1"/>
    <s v="Combo"/>
    <s v="NA"/>
    <s v="Black"/>
    <s v="S China"/>
    <s v="OTHERS"/>
    <n v="9.1999999999999993"/>
    <n v="9"/>
    <n v="9"/>
    <n v="9"/>
    <n v="9"/>
    <n v="9"/>
    <n v="9"/>
    <n v="9"/>
    <n v="9"/>
    <n v="9"/>
    <n v="9"/>
    <n v="9"/>
    <n v="9"/>
    <n v="9"/>
    <n v="0.18"/>
    <n v="0.18"/>
    <n v="0.18"/>
    <n v="0.18"/>
    <n v="0.18"/>
    <n v="0.18"/>
    <n v="0.18"/>
    <n v="0.18"/>
    <n v="0.18"/>
    <n v="0.18"/>
    <n v="0.18"/>
    <n v="0.18"/>
    <n v="0.18"/>
    <n v="1280"/>
    <n v="230.39999999999998"/>
    <n v="0"/>
    <n v="0"/>
    <n v="2560"/>
    <n v="460.79999999999995"/>
    <n v="0"/>
    <n v="0"/>
    <n v="0"/>
    <n v="0"/>
    <s v="0"/>
    <n v="0"/>
    <n v="1280"/>
    <n v="230.39999999999998"/>
    <s v="0"/>
    <n v="0"/>
    <s v="0"/>
    <n v="0"/>
    <s v="0"/>
    <n v="0"/>
    <s v="0"/>
    <n v="0"/>
    <s v="0"/>
    <n v="0"/>
    <x v="149"/>
    <s v="Foxconn LH"/>
  </r>
  <r>
    <s v="FY24"/>
    <s v="Simon Yang"/>
    <m/>
    <m/>
    <m/>
    <m/>
    <n v="2020"/>
    <x v="1"/>
    <s v="Combo"/>
    <s v="NA"/>
    <s v="Black"/>
    <s v="S China"/>
    <s v="OTHERS"/>
    <n v="9.1999999999999993"/>
    <n v="8.86"/>
    <n v="8.86"/>
    <n v="8.86"/>
    <n v="8.86"/>
    <n v="8.86"/>
    <n v="8.86"/>
    <n v="8.86"/>
    <n v="8.86"/>
    <n v="8.86"/>
    <n v="8.86"/>
    <n v="8.86"/>
    <n v="8.86"/>
    <n v="8.86"/>
    <n v="0.18"/>
    <n v="0.18"/>
    <n v="0.18"/>
    <n v="0.18"/>
    <n v="0.18"/>
    <n v="0.18"/>
    <n v="0.18"/>
    <n v="0.18"/>
    <n v="0.18"/>
    <n v="0.18"/>
    <n v="0.18"/>
    <n v="0.18"/>
    <n v="0.18"/>
    <n v="9280"/>
    <n v="1670.3999999999999"/>
    <n v="4480"/>
    <n v="806.4"/>
    <s v="0"/>
    <n v="0"/>
    <n v="5760"/>
    <n v="1036.8"/>
    <n v="7680"/>
    <n v="1382.3999999999999"/>
    <n v="38080"/>
    <n v="6854.4"/>
    <n v="22080"/>
    <n v="3974.3999999999996"/>
    <s v="0"/>
    <n v="0"/>
    <s v="0"/>
    <n v="0"/>
    <s v="0"/>
    <n v="0"/>
    <s v="0"/>
    <n v="0"/>
    <s v="0"/>
    <n v="0"/>
    <x v="150"/>
    <s v="Foxconn Indy"/>
  </r>
  <r>
    <s v="FY24"/>
    <s v="Simon Yang"/>
    <m/>
    <m/>
    <m/>
    <m/>
    <n v="2020"/>
    <x v="1"/>
    <s v="Combo"/>
    <s v="NA"/>
    <s v="Black"/>
    <s v="S China"/>
    <s v="OTHERS"/>
    <n v="9.1999999999999993"/>
    <n v="9.02"/>
    <n v="9.02"/>
    <n v="9.02"/>
    <n v="9.02"/>
    <n v="9.02"/>
    <n v="9.02"/>
    <n v="9.02"/>
    <n v="9.02"/>
    <n v="9.02"/>
    <n v="9.02"/>
    <n v="9.02"/>
    <n v="9.02"/>
    <n v="9.02"/>
    <n v="0.18"/>
    <n v="0.18"/>
    <n v="0.18"/>
    <n v="0.18"/>
    <n v="0.18"/>
    <n v="0.18"/>
    <n v="0.18"/>
    <n v="0.18"/>
    <n v="0.18"/>
    <n v="0.18"/>
    <n v="0.18"/>
    <n v="0.18"/>
    <n v="0.18"/>
    <n v="0"/>
    <n v="0"/>
    <n v="6400"/>
    <n v="1152"/>
    <n v="5120"/>
    <n v="921.59999999999991"/>
    <n v="0"/>
    <n v="0"/>
    <n v="6400"/>
    <n v="1152"/>
    <n v="8960"/>
    <n v="1612.8"/>
    <s v="0"/>
    <n v="0"/>
    <s v="0"/>
    <n v="0"/>
    <s v="0"/>
    <n v="0"/>
    <s v="0"/>
    <n v="0"/>
    <s v="0"/>
    <n v="0"/>
    <s v="0"/>
    <n v="0"/>
    <x v="151"/>
    <s v="Foxconn LH"/>
  </r>
  <r>
    <s v="FY24"/>
    <s v="Simon Yang"/>
    <m/>
    <m/>
    <m/>
    <m/>
    <n v="2020"/>
    <x v="1"/>
    <s v="Combo"/>
    <s v="NA"/>
    <s v="Black"/>
    <s v="S China"/>
    <s v="OTHERS"/>
    <n v="9.1999999999999993"/>
    <n v="9.02"/>
    <n v="9.02"/>
    <n v="9.02"/>
    <n v="9.02"/>
    <n v="9.02"/>
    <n v="9.02"/>
    <n v="9.02"/>
    <n v="9.02"/>
    <n v="9.02"/>
    <n v="9.02"/>
    <n v="9.02"/>
    <n v="9.02"/>
    <n v="9.02"/>
    <n v="0.18"/>
    <n v="0.18"/>
    <n v="0.18"/>
    <n v="0.18"/>
    <n v="0.18"/>
    <n v="0.18"/>
    <n v="0.18"/>
    <n v="0.18"/>
    <n v="0.18"/>
    <n v="0.18"/>
    <n v="0.18"/>
    <n v="0.18"/>
    <n v="0.18"/>
    <n v="0"/>
    <n v="0"/>
    <n v="1280"/>
    <n v="230.39999999999998"/>
    <n v="1280"/>
    <n v="230.39999999999998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52"/>
    <s v="Foxconn LH"/>
  </r>
  <r>
    <s v="FY24"/>
    <s v="Simon Yang"/>
    <m/>
    <m/>
    <m/>
    <m/>
    <n v="2020"/>
    <x v="1"/>
    <s v="Combo"/>
    <s v="NA"/>
    <s v="Black"/>
    <s v="S China"/>
    <s v="OTHERS"/>
    <n v="9.1999999999999993"/>
    <n v="8.84"/>
    <n v="8.84"/>
    <n v="8.84"/>
    <n v="8.84"/>
    <n v="8.84"/>
    <n v="8.84"/>
    <n v="8.84"/>
    <n v="8.84"/>
    <n v="8.84"/>
    <n v="8.84"/>
    <n v="8.84"/>
    <n v="8.84"/>
    <n v="8.84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1280"/>
    <n v="230.39999999999998"/>
    <s v="0"/>
    <n v="0"/>
    <s v="0"/>
    <n v="0"/>
    <s v="0"/>
    <n v="0"/>
    <s v="0"/>
    <n v="0"/>
    <s v="0"/>
    <n v="0"/>
    <s v="0"/>
    <n v="0"/>
    <s v="0"/>
    <n v="0"/>
    <x v="153"/>
    <s v="Foxconn Indy"/>
  </r>
  <r>
    <s v="FY24"/>
    <s v="Simon Yang"/>
    <m/>
    <m/>
    <m/>
    <m/>
    <n v="2020"/>
    <x v="1"/>
    <s v="Combo"/>
    <s v="NA"/>
    <s v="Black"/>
    <s v="S China"/>
    <s v="OTHERS"/>
    <m/>
    <m/>
    <n v="8.86"/>
    <n v="8.86"/>
    <n v="8.86"/>
    <n v="8.86"/>
    <n v="8.86"/>
    <n v="8.86"/>
    <n v="8.86"/>
    <n v="8.86"/>
    <n v="8.86"/>
    <n v="8.86"/>
    <n v="8.86"/>
    <n v="8.86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6680"/>
    <n v="1202.3999999999999"/>
    <n v="26240"/>
    <n v="4723.2"/>
    <n v="6400"/>
    <n v="1152"/>
    <n v="13440"/>
    <n v="2419.1999999999998"/>
    <n v="4980"/>
    <n v="896.4"/>
    <x v="154"/>
    <s v="Foxconn Indy"/>
  </r>
  <r>
    <s v="FY24"/>
    <s v="Simon Yang"/>
    <m/>
    <m/>
    <m/>
    <m/>
    <n v="2020"/>
    <x v="1"/>
    <s v="Combo"/>
    <s v="NA"/>
    <s v="Black"/>
    <s v="S China"/>
    <s v="OTHERS"/>
    <m/>
    <m/>
    <n v="8.84"/>
    <n v="8.84"/>
    <n v="8.84"/>
    <n v="8.84"/>
    <n v="8.84"/>
    <n v="8.84"/>
    <n v="8.84"/>
    <n v="8.84"/>
    <n v="8.84"/>
    <n v="8.84"/>
    <n v="8.84"/>
    <n v="8.84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50"/>
    <n v="27"/>
    <n v="1130"/>
    <n v="203.4"/>
    <s v="0"/>
    <n v="0"/>
    <s v="0"/>
    <n v="0"/>
    <s v="0"/>
    <n v="0"/>
    <x v="155"/>
    <s v="Foxconn Indy"/>
  </r>
  <r>
    <s v="FY24"/>
    <s v="Simon Yang"/>
    <m/>
    <m/>
    <m/>
    <m/>
    <n v="2020"/>
    <x v="1"/>
    <s v="Combo"/>
    <s v="NA"/>
    <s v="Black"/>
    <s v="S China"/>
    <s v="OTHERS"/>
    <m/>
    <m/>
    <n v="9.02"/>
    <n v="9.02"/>
    <n v="9.02"/>
    <n v="9.02"/>
    <n v="9.02"/>
    <n v="9.02"/>
    <n v="9.02"/>
    <n v="9.02"/>
    <n v="9.02"/>
    <n v="9.02"/>
    <n v="9.02"/>
    <n v="9.02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6400"/>
    <n v="1152"/>
    <n v="3840"/>
    <n v="691.19999999999993"/>
    <n v="5120"/>
    <n v="921.59999999999991"/>
    <n v="8960"/>
    <n v="1612.8"/>
    <s v="0"/>
    <n v="0"/>
    <x v="156"/>
    <s v="Foxconn LH"/>
  </r>
  <r>
    <s v="FY24"/>
    <s v="Simon Yang"/>
    <m/>
    <m/>
    <m/>
    <m/>
    <n v="2020"/>
    <x v="1"/>
    <s v="Combo"/>
    <s v="NA"/>
    <s v="Black"/>
    <s v="S China"/>
    <s v="OTHERS"/>
    <m/>
    <m/>
    <n v="9.16"/>
    <n v="9.16"/>
    <n v="9.16"/>
    <n v="9.16"/>
    <n v="9.16"/>
    <n v="9.16"/>
    <n v="9.16"/>
    <n v="9.16"/>
    <n v="9.16"/>
    <n v="9.16"/>
    <n v="9.16"/>
    <n v="9.16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4000"/>
    <n v="2520"/>
    <n v="8200"/>
    <n v="1476"/>
    <n v="25800"/>
    <n v="4644"/>
    <n v="39000"/>
    <n v="7020"/>
    <n v="18000"/>
    <n v="3240"/>
    <x v="157"/>
    <s v="Flextronics CZ"/>
  </r>
  <r>
    <s v="FY24"/>
    <s v="Simon Yang"/>
    <m/>
    <m/>
    <m/>
    <m/>
    <n v="2020"/>
    <x v="1"/>
    <s v="Combo"/>
    <s v="NA"/>
    <s v="Black"/>
    <s v="S China"/>
    <s v="OTHERS"/>
    <m/>
    <m/>
    <n v="9"/>
    <n v="9"/>
    <n v="9"/>
    <n v="9"/>
    <n v="9"/>
    <n v="9"/>
    <n v="9"/>
    <n v="9"/>
    <n v="9"/>
    <n v="9"/>
    <n v="9"/>
    <n v="9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2560"/>
    <n v="460.79999999999995"/>
    <n v="8960"/>
    <n v="1612.8"/>
    <n v="5120"/>
    <n v="921.59999999999991"/>
    <n v="5120"/>
    <n v="921.59999999999991"/>
    <n v="2560"/>
    <n v="460.79999999999995"/>
    <x v="158"/>
    <s v="Foxconn LH"/>
  </r>
  <r>
    <s v="FY24"/>
    <s v="Simon Yang"/>
    <m/>
    <m/>
    <m/>
    <m/>
    <n v="2020"/>
    <x v="1"/>
    <s v="Combo"/>
    <s v="NA"/>
    <s v="Black"/>
    <s v="S China"/>
    <s v="OTHERS"/>
    <m/>
    <m/>
    <n v="9.02"/>
    <n v="9.02"/>
    <n v="9.02"/>
    <n v="9.02"/>
    <n v="9.02"/>
    <n v="9.02"/>
    <n v="9.02"/>
    <n v="9.02"/>
    <n v="9.02"/>
    <n v="9.02"/>
    <n v="9.02"/>
    <n v="9.02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280"/>
    <n v="230.39999999999998"/>
    <s v="0"/>
    <n v="0"/>
    <s v="0"/>
    <n v="0"/>
    <n v="1280"/>
    <n v="230.39999999999998"/>
    <n v="2560"/>
    <n v="460.79999999999995"/>
    <x v="159"/>
    <s v="Foxconn LH"/>
  </r>
  <r>
    <s v="FY24"/>
    <s v="Simon Yang"/>
    <m/>
    <m/>
    <m/>
    <m/>
    <n v="2020"/>
    <x v="2"/>
    <s v="Combo"/>
    <s v="NA"/>
    <s v="White"/>
    <s v="S China"/>
    <s v="OTHERS"/>
    <n v="10.99"/>
    <n v="10.77"/>
    <n v="10.77"/>
    <n v="10.77"/>
    <n v="10.77"/>
    <n v="10.77"/>
    <n v="10.77"/>
    <n v="10.77"/>
    <n v="10.77"/>
    <n v="10.77"/>
    <n v="10.77"/>
    <n v="10.77"/>
    <n v="10.77"/>
    <n v="10.77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2880"/>
    <n v="604.79999999999995"/>
    <s v="0"/>
    <n v="0"/>
    <n v="2880"/>
    <n v="604.79999999999995"/>
    <s v="0"/>
    <n v="0"/>
    <s v="0"/>
    <n v="0"/>
    <s v="0"/>
    <n v="0"/>
    <n v="2880"/>
    <n v="604.79999999999995"/>
    <s v="0"/>
    <n v="0"/>
    <x v="160"/>
    <s v="Foxconn LH"/>
  </r>
  <r>
    <s v="FY24"/>
    <s v="Simon Yang"/>
    <m/>
    <m/>
    <m/>
    <m/>
    <n v="2020"/>
    <x v="2"/>
    <s v="Combo"/>
    <s v="NA"/>
    <s v="White"/>
    <s v="S China"/>
    <s v="OTHERS"/>
    <n v="10.99"/>
    <n v="10.73"/>
    <n v="10.73"/>
    <n v="10.73"/>
    <n v="10.73"/>
    <n v="10.73"/>
    <n v="10.73"/>
    <n v="10.73"/>
    <n v="10.73"/>
    <n v="10.73"/>
    <n v="10.73"/>
    <n v="10.73"/>
    <n v="10.73"/>
    <n v="10.73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2880"/>
    <n v="604.79999999999995"/>
    <s v="0"/>
    <n v="0"/>
    <s v="0"/>
    <n v="0"/>
    <s v="0"/>
    <n v="0"/>
    <s v="0"/>
    <n v="0"/>
    <n v="2880"/>
    <n v="604.79999999999995"/>
    <n v="2880"/>
    <n v="604.79999999999995"/>
    <x v="161"/>
    <s v="Foxconn LH"/>
  </r>
  <r>
    <s v="FY24"/>
    <s v="Simon Yang"/>
    <m/>
    <m/>
    <m/>
    <m/>
    <n v="2021"/>
    <x v="3"/>
    <s v="NBL KB"/>
    <s v="NA"/>
    <s v="Black"/>
    <s v="S China"/>
    <s v="OTHERS"/>
    <n v="7.53"/>
    <n v="7.48"/>
    <n v="7.48"/>
    <n v="7.48"/>
    <n v="7.48"/>
    <n v="7.48"/>
    <n v="7.48"/>
    <n v="7.48"/>
    <n v="7.48"/>
    <n v="7.48"/>
    <n v="7.48"/>
    <n v="7.48"/>
    <n v="7.48"/>
    <n v="7.48"/>
    <n v="0.15"/>
    <n v="0.15"/>
    <n v="0.15"/>
    <n v="0.15"/>
    <n v="0.15"/>
    <n v="0.15"/>
    <n v="0.15"/>
    <n v="0.15"/>
    <n v="0.15"/>
    <n v="0.15"/>
    <n v="0.15"/>
    <n v="0.15"/>
    <n v="0.1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62"/>
    <s v="Foxconn LH"/>
  </r>
  <r>
    <s v="FY24"/>
    <s v="Simon Yang"/>
    <m/>
    <m/>
    <m/>
    <m/>
    <n v="2021"/>
    <x v="3"/>
    <s v="NBL KB"/>
    <s v="NA"/>
    <s v="Black"/>
    <s v="S China"/>
    <s v="OTHERS"/>
    <n v="7.53"/>
    <n v="7.46"/>
    <n v="7.46"/>
    <n v="7.46"/>
    <n v="7.46"/>
    <n v="7.46"/>
    <n v="7.46"/>
    <n v="7.46"/>
    <n v="7.46"/>
    <n v="7.46"/>
    <n v="7.46"/>
    <n v="7.46"/>
    <n v="7.46"/>
    <n v="7.46"/>
    <n v="0.15"/>
    <n v="0.15"/>
    <n v="0.15"/>
    <n v="0.15"/>
    <n v="0.15"/>
    <n v="0.15"/>
    <n v="0.15"/>
    <n v="0.15"/>
    <n v="0.15"/>
    <n v="0.15"/>
    <n v="0.15"/>
    <n v="0.15"/>
    <n v="0.15"/>
    <n v="0"/>
    <n v="0"/>
    <n v="0"/>
    <n v="0"/>
    <s v="0"/>
    <n v="0"/>
    <n v="0"/>
    <n v="0"/>
    <n v="4800"/>
    <n v="720"/>
    <s v="0"/>
    <n v="0"/>
    <s v="0"/>
    <n v="0"/>
    <s v="0"/>
    <n v="0"/>
    <s v="0"/>
    <n v="0"/>
    <s v="0"/>
    <n v="0"/>
    <n v="2400"/>
    <n v="360"/>
    <n v="1200"/>
    <n v="180"/>
    <x v="163"/>
    <s v="Foxconn LH"/>
  </r>
  <r>
    <s v="FY24"/>
    <s v="Simon Yang"/>
    <m/>
    <m/>
    <m/>
    <m/>
    <n v="2021"/>
    <x v="3"/>
    <s v="NBL KB"/>
    <s v="NA"/>
    <s v="Black"/>
    <s v="S China"/>
    <s v="OTHERS"/>
    <n v="7.53"/>
    <n v="7.4"/>
    <n v="7.4"/>
    <n v="7.4"/>
    <n v="7.4"/>
    <n v="7.4"/>
    <n v="7.4"/>
    <n v="7.4"/>
    <n v="7.4"/>
    <n v="7.4"/>
    <n v="7.4"/>
    <n v="7.4"/>
    <n v="7.4"/>
    <n v="7.4"/>
    <n v="0.15"/>
    <n v="0.15"/>
    <n v="0.15"/>
    <n v="0.15"/>
    <n v="0.15"/>
    <n v="0.15"/>
    <n v="0.15"/>
    <n v="0.15"/>
    <n v="0.15"/>
    <n v="0.15"/>
    <n v="0.15"/>
    <n v="0.15"/>
    <n v="0.15"/>
    <n v="1200"/>
    <n v="180"/>
    <n v="0"/>
    <n v="0"/>
    <s v="0"/>
    <n v="0"/>
    <n v="0"/>
    <n v="0"/>
    <n v="2400"/>
    <n v="360"/>
    <n v="1200"/>
    <n v="180"/>
    <s v="0"/>
    <n v="0"/>
    <s v="0"/>
    <n v="0"/>
    <n v="1200"/>
    <n v="180"/>
    <s v="0"/>
    <n v="0"/>
    <s v="0"/>
    <n v="0"/>
    <s v="0"/>
    <n v="0"/>
    <x v="164"/>
    <s v="Foxconn LH"/>
  </r>
  <r>
    <s v="FY24"/>
    <s v="Simon Yang"/>
    <m/>
    <m/>
    <m/>
    <m/>
    <n v="2021"/>
    <x v="3"/>
    <s v="NBL KB"/>
    <s v="NA"/>
    <s v="Black"/>
    <s v="S China"/>
    <s v="OTHERS"/>
    <n v="7.53"/>
    <n v="7.42"/>
    <n v="7.42"/>
    <n v="7.42"/>
    <n v="7.42"/>
    <n v="7.42"/>
    <n v="7.42"/>
    <n v="7.42"/>
    <n v="7.42"/>
    <n v="7.42"/>
    <n v="7.42"/>
    <n v="7.42"/>
    <n v="7.42"/>
    <n v="7.42"/>
    <n v="0.15"/>
    <n v="0.15"/>
    <n v="0.15"/>
    <n v="0.15"/>
    <n v="0.15"/>
    <n v="0.15"/>
    <n v="0.15"/>
    <n v="0.15"/>
    <n v="0.15"/>
    <n v="0.15"/>
    <n v="0.15"/>
    <n v="0.15"/>
    <n v="0.15"/>
    <n v="8400"/>
    <n v="1260"/>
    <n v="9600"/>
    <n v="1440"/>
    <n v="6000"/>
    <n v="900"/>
    <n v="0"/>
    <n v="0"/>
    <n v="15600"/>
    <n v="2340"/>
    <n v="33000"/>
    <n v="4950"/>
    <n v="28200"/>
    <n v="4230"/>
    <n v="13200"/>
    <n v="1980"/>
    <n v="3600"/>
    <n v="540"/>
    <n v="7200"/>
    <n v="1080"/>
    <n v="25200"/>
    <n v="3780"/>
    <n v="21600"/>
    <n v="3240"/>
    <x v="165"/>
    <s v="Foxconn LH"/>
  </r>
  <r>
    <s v="FY24"/>
    <s v="Simon Yang"/>
    <m/>
    <m/>
    <m/>
    <m/>
    <n v="2021"/>
    <x v="3"/>
    <s v="NBL KB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n v="7.92"/>
    <n v="7.92"/>
    <n v="7.92"/>
    <n v="0.15"/>
    <n v="0.15"/>
    <n v="0.15"/>
    <n v="0.15"/>
    <n v="0.15"/>
    <n v="0.15"/>
    <n v="0.15"/>
    <n v="0.15"/>
    <n v="0.15"/>
    <n v="0.15"/>
    <n v="0.15"/>
    <n v="0.15"/>
    <n v="0.15"/>
    <n v="0"/>
    <n v="0"/>
    <n v="1200"/>
    <n v="180"/>
    <s v="0"/>
    <n v="0"/>
    <n v="0"/>
    <n v="0"/>
    <n v="1200"/>
    <n v="180"/>
    <s v="0"/>
    <n v="0"/>
    <s v="0"/>
    <n v="0"/>
    <s v="0"/>
    <n v="0"/>
    <s v="0"/>
    <n v="0"/>
    <s v="0"/>
    <n v="0"/>
    <s v="0"/>
    <n v="0"/>
    <n v="1200"/>
    <n v="180"/>
    <x v="166"/>
    <s v="Foxconn LH"/>
  </r>
  <r>
    <s v="FY24"/>
    <s v="Simon Yang"/>
    <m/>
    <m/>
    <m/>
    <m/>
    <n v="2020"/>
    <x v="5"/>
    <s v="Combo"/>
    <s v="NA"/>
    <s v="Black"/>
    <s v="S China"/>
    <s v="OTHERS"/>
    <n v="4.99"/>
    <n v="4.99"/>
    <n v="4.99"/>
    <n v="4.99"/>
    <n v="4.99"/>
    <n v="4.99"/>
    <n v="4.99"/>
    <n v="4.99"/>
    <n v="4.99"/>
    <n v="4.99"/>
    <n v="4.99"/>
    <n v="4.99"/>
    <n v="4.99"/>
    <n v="4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10400"/>
    <n v="0"/>
    <n v="5200"/>
    <n v="0"/>
    <s v="0"/>
    <n v="0"/>
    <n v="5200"/>
    <n v="0"/>
    <s v="0"/>
    <n v="0"/>
    <n v="5200"/>
    <n v="0"/>
    <x v="167"/>
    <s v="Foxconn LH"/>
  </r>
  <r>
    <s v="FY24"/>
    <s v="Simon Yang"/>
    <m/>
    <m/>
    <m/>
    <m/>
    <n v="2020"/>
    <x v="5"/>
    <s v="Combo"/>
    <s v="NA"/>
    <s v="Black"/>
    <s v="S China"/>
    <s v="OTHERS"/>
    <n v="4.93"/>
    <n v="4.93"/>
    <n v="4.93"/>
    <n v="4.93"/>
    <n v="4.93"/>
    <n v="4.93"/>
    <n v="4.93"/>
    <n v="4.93"/>
    <n v="4.93"/>
    <n v="4.93"/>
    <n v="4.93"/>
    <n v="4.93"/>
    <n v="4.93"/>
    <n v="4.93"/>
    <n v="0"/>
    <n v="0"/>
    <n v="0"/>
    <n v="0"/>
    <n v="0"/>
    <n v="0"/>
    <n v="0"/>
    <n v="0"/>
    <n v="0"/>
    <n v="0"/>
    <n v="0"/>
    <n v="0"/>
    <n v="0"/>
    <n v="0"/>
    <n v="0"/>
    <n v="0"/>
    <n v="0"/>
    <n v="5200"/>
    <n v="0"/>
    <n v="0"/>
    <n v="0"/>
    <n v="0"/>
    <n v="0"/>
    <n v="10400"/>
    <n v="0"/>
    <n v="5200"/>
    <n v="0"/>
    <s v="0"/>
    <n v="0"/>
    <s v="0"/>
    <n v="0"/>
    <s v="0"/>
    <n v="0"/>
    <s v="0"/>
    <n v="0"/>
    <s v="0"/>
    <n v="0"/>
    <x v="168"/>
    <s v="HP India"/>
  </r>
  <r>
    <s v="FY24"/>
    <s v="Simon Yang"/>
    <m/>
    <m/>
    <m/>
    <m/>
    <n v="2020"/>
    <x v="5"/>
    <s v="Combo"/>
    <s v="NA"/>
    <s v="Black"/>
    <s v="S China"/>
    <s v="OTHERS"/>
    <n v="5.05"/>
    <n v="5.05"/>
    <n v="5.05"/>
    <n v="5.05"/>
    <n v="5.05"/>
    <n v="5.05"/>
    <n v="5.05"/>
    <n v="5.05"/>
    <n v="5.05"/>
    <n v="5.05"/>
    <n v="5.05"/>
    <n v="5.05"/>
    <n v="5.05"/>
    <n v="5.0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0400"/>
    <n v="0"/>
    <n v="5200"/>
    <n v="0"/>
    <s v="0"/>
    <n v="0"/>
    <x v="169"/>
    <s v="Foxconn LH"/>
  </r>
  <r>
    <s v="FY24"/>
    <s v="Simon Yang"/>
    <m/>
    <m/>
    <m/>
    <m/>
    <n v="2020"/>
    <x v="5"/>
    <s v="Combo"/>
    <s v="NA"/>
    <s v="Black"/>
    <s v="S China"/>
    <s v="OTHERS"/>
    <n v="5.03"/>
    <n v="5.03"/>
    <n v="5.03"/>
    <n v="5.03"/>
    <n v="5.03"/>
    <n v="5.03"/>
    <n v="5.03"/>
    <n v="5.03"/>
    <n v="5.03"/>
    <n v="5.03"/>
    <n v="5.03"/>
    <n v="5.03"/>
    <n v="5.03"/>
    <n v="5.03"/>
    <n v="0"/>
    <n v="0"/>
    <n v="0"/>
    <n v="0"/>
    <n v="0"/>
    <n v="0"/>
    <n v="0"/>
    <n v="0"/>
    <n v="0"/>
    <n v="0"/>
    <n v="0"/>
    <n v="0"/>
    <n v="0"/>
    <n v="0"/>
    <n v="0"/>
    <n v="0"/>
    <n v="0"/>
    <n v="5200"/>
    <n v="0"/>
    <n v="0"/>
    <n v="0"/>
    <n v="0"/>
    <n v="0"/>
    <s v="0"/>
    <n v="0"/>
    <n v="5200"/>
    <n v="0"/>
    <s v="0"/>
    <n v="0"/>
    <s v="0"/>
    <n v="0"/>
    <s v="0"/>
    <n v="0"/>
    <s v="0"/>
    <n v="0"/>
    <s v="0"/>
    <n v="0"/>
    <x v="170"/>
    <s v="Foxconn LH"/>
  </r>
  <r>
    <s v="FY24"/>
    <s v="Simon Yang"/>
    <m/>
    <m/>
    <m/>
    <m/>
    <n v="2020"/>
    <x v="5"/>
    <s v="Combo"/>
    <s v="NA"/>
    <s v="Black"/>
    <s v="S China"/>
    <s v="OTHERS"/>
    <n v="4.99"/>
    <n v="4.99"/>
    <n v="4.99"/>
    <n v="4.99"/>
    <n v="4.99"/>
    <n v="4.99"/>
    <n v="4.99"/>
    <n v="4.99"/>
    <n v="4.99"/>
    <n v="4.99"/>
    <n v="4.99"/>
    <n v="4.99"/>
    <n v="4.99"/>
    <n v="4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5200"/>
    <n v="0"/>
    <s v="0"/>
    <n v="0"/>
    <s v="0"/>
    <n v="0"/>
    <s v="0"/>
    <n v="0"/>
    <n v="4800"/>
    <n v="0"/>
    <n v="5200"/>
    <n v="0"/>
    <s v="0"/>
    <n v="0"/>
    <x v="171"/>
    <s v="Foxconn LH"/>
  </r>
  <r>
    <s v="FY24"/>
    <s v="Simon Yang"/>
    <m/>
    <m/>
    <m/>
    <m/>
    <n v="2022"/>
    <x v="7"/>
    <s v="NBL KB"/>
    <s v="NA"/>
    <s v="Black"/>
    <s v="S China"/>
    <s v="OTHERS"/>
    <n v="3.75"/>
    <n v="3.75"/>
    <n v="3.75"/>
    <n v="3.75"/>
    <n v="3.75"/>
    <n v="3.75"/>
    <n v="3.75"/>
    <n v="3.75"/>
    <n v="3.75"/>
    <n v="3.75"/>
    <n v="3.75"/>
    <n v="3.75"/>
    <n v="3.75"/>
    <n v="3.75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5600"/>
    <n v="1176"/>
    <s v="0"/>
    <n v="0"/>
    <n v="5600"/>
    <n v="1176"/>
    <s v="0"/>
    <n v="0"/>
    <s v="0"/>
    <n v="0"/>
    <n v="5600"/>
    <n v="1176"/>
    <s v="0"/>
    <n v="0"/>
    <x v="172"/>
    <s v="Foxconn LH"/>
  </r>
  <r>
    <s v="FY24"/>
    <s v="Simon Yang"/>
    <m/>
    <m/>
    <m/>
    <m/>
    <n v="2022"/>
    <x v="7"/>
    <s v="NBL KB"/>
    <s v="NA"/>
    <s v="Black"/>
    <s v="S China"/>
    <s v="OTHERS"/>
    <n v="3.69"/>
    <n v="3.69"/>
    <n v="3.69"/>
    <n v="3.69"/>
    <n v="3.69"/>
    <n v="3.69"/>
    <n v="3.69"/>
    <n v="3.69"/>
    <n v="3.69"/>
    <n v="3.69"/>
    <n v="3.69"/>
    <n v="3.69"/>
    <n v="3.69"/>
    <n v="3.69"/>
    <n v="0.21"/>
    <n v="0.21"/>
    <n v="0.21"/>
    <n v="0.21"/>
    <n v="0.21"/>
    <n v="0.21"/>
    <n v="0.21"/>
    <n v="0.21"/>
    <n v="0.21"/>
    <n v="0.21"/>
    <n v="0.21"/>
    <n v="0.21"/>
    <n v="0.21"/>
    <n v="5600"/>
    <n v="1176"/>
    <n v="0"/>
    <n v="0"/>
    <s v="0"/>
    <n v="0"/>
    <n v="0"/>
    <n v="0"/>
    <n v="5600"/>
    <n v="1176"/>
    <s v="0"/>
    <n v="0"/>
    <s v="0"/>
    <n v="0"/>
    <s v="0"/>
    <n v="0"/>
    <s v="0"/>
    <n v="0"/>
    <s v="0"/>
    <n v="0"/>
    <s v="0"/>
    <n v="0"/>
    <s v="0"/>
    <n v="0"/>
    <x v="173"/>
    <s v="HP India"/>
  </r>
  <r>
    <s v="FY24"/>
    <s v="Simon Yang"/>
    <m/>
    <m/>
    <m/>
    <m/>
    <n v="2022"/>
    <x v="7"/>
    <s v="NBL KB"/>
    <s v="NA"/>
    <s v="Black"/>
    <s v="S China"/>
    <s v="OTHERS"/>
    <n v="3.79"/>
    <n v="3.79"/>
    <n v="3.79"/>
    <n v="3.79"/>
    <n v="3.79"/>
    <n v="3.79"/>
    <n v="3.79"/>
    <n v="3.79"/>
    <n v="3.79"/>
    <n v="3.79"/>
    <n v="3.79"/>
    <n v="3.79"/>
    <n v="3.79"/>
    <n v="3.79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n v="5600"/>
    <n v="1176"/>
    <n v="0"/>
    <n v="0"/>
    <n v="0"/>
    <n v="0"/>
    <s v="0"/>
    <n v="0"/>
    <n v="5600"/>
    <n v="1176"/>
    <s v="0"/>
    <n v="0"/>
    <s v="0"/>
    <n v="0"/>
    <s v="0"/>
    <n v="0"/>
    <s v="0"/>
    <n v="0"/>
    <n v="5600"/>
    <n v="1176"/>
    <x v="174"/>
    <s v="Foxconn LH"/>
  </r>
  <r>
    <s v="FY24"/>
    <s v="Simon Yang"/>
    <m/>
    <m/>
    <m/>
    <m/>
    <n v="2022"/>
    <x v="7"/>
    <s v="NBL KB"/>
    <s v="NA"/>
    <s v="Black"/>
    <s v="S China"/>
    <s v="OTHERS"/>
    <n v="3.77"/>
    <n v="3.77"/>
    <n v="3.77"/>
    <n v="3.77"/>
    <n v="3.77"/>
    <n v="3.77"/>
    <n v="3.77"/>
    <n v="3.77"/>
    <n v="3.77"/>
    <n v="3.77"/>
    <n v="3.77"/>
    <n v="3.77"/>
    <n v="3.77"/>
    <n v="3.77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s v="0"/>
    <n v="0"/>
    <n v="10000"/>
    <n v="2100"/>
    <n v="5600"/>
    <n v="1176"/>
    <s v="0"/>
    <n v="0"/>
    <n v="5600"/>
    <n v="1176"/>
    <n v="5600"/>
    <n v="1176"/>
    <s v="0"/>
    <n v="0"/>
    <x v="175"/>
    <s v="Foxconn LH"/>
  </r>
  <r>
    <s v="FY24"/>
    <s v="Simon Yang"/>
    <m/>
    <m/>
    <m/>
    <m/>
    <n v="2023"/>
    <x v="24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5400"/>
    <n v="324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76"/>
    <s v="Foxconn LH"/>
  </r>
  <r>
    <s v="FY24"/>
    <s v="Simon Yang"/>
    <m/>
    <m/>
    <m/>
    <m/>
    <n v="2023"/>
    <x v="24"/>
    <s v="NBL KB"/>
    <s v="NA"/>
    <s v="Black"/>
    <s v="S China"/>
    <s v="OTHERS"/>
    <n v="6.6"/>
    <n v="6.6"/>
    <n v="6.6"/>
    <n v="6.6"/>
    <n v="6.6"/>
    <n v="6.6"/>
    <n v="6.6"/>
    <n v="6.6"/>
    <n v="6.6"/>
    <n v="6.6"/>
    <n v="6.6"/>
    <n v="6.6"/>
    <n v="6.6"/>
    <n v="6.6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n v="2700"/>
    <n v="162"/>
    <n v="2700"/>
    <n v="162"/>
    <n v="5400"/>
    <n v="324"/>
    <n v="2700"/>
    <n v="162"/>
    <x v="177"/>
    <s v="Flextronics CZ"/>
  </r>
  <r>
    <s v="FY24"/>
    <s v="Simon Yang"/>
    <m/>
    <m/>
    <m/>
    <m/>
    <n v="2023"/>
    <x v="24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78"/>
    <s v="Foxconn LH"/>
  </r>
  <r>
    <s v="FY24"/>
    <s v="Simon Yang"/>
    <m/>
    <m/>
    <m/>
    <m/>
    <n v="2023"/>
    <x v="24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79"/>
    <s v="Foxconn LH"/>
  </r>
  <r>
    <s v="FY24"/>
    <s v="Simon Yang"/>
    <m/>
    <m/>
    <m/>
    <m/>
    <n v="2023"/>
    <x v="24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80"/>
    <s v="Foxconn LH"/>
  </r>
  <r>
    <s v="FY24"/>
    <s v="Simon Yang"/>
    <m/>
    <m/>
    <m/>
    <m/>
    <n v="2023"/>
    <x v="24"/>
    <s v="NBL KB"/>
    <s v="NA"/>
    <s v="Black"/>
    <s v="S China"/>
    <s v="OTHERS"/>
    <n v="6.6"/>
    <n v="6.6"/>
    <n v="6.6"/>
    <n v="6.6"/>
    <n v="6.6"/>
    <n v="6.6"/>
    <n v="6.6"/>
    <n v="6.6"/>
    <n v="6.6"/>
    <n v="6.6"/>
    <n v="6.6"/>
    <n v="6.6"/>
    <n v="6.6"/>
    <n v="6.6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81"/>
    <s v="Flextronics CZ"/>
  </r>
  <r>
    <s v="FY24"/>
    <s v="Simon Yang"/>
    <m/>
    <m/>
    <m/>
    <m/>
    <n v="2020"/>
    <x v="10"/>
    <s v="Combo"/>
    <s v="NA"/>
    <s v="Black"/>
    <s v="S China"/>
    <s v="OTHERS"/>
    <n v="7.86"/>
    <n v="7.86"/>
    <n v="7.86"/>
    <n v="7.86"/>
    <n v="7.86"/>
    <n v="7.86"/>
    <n v="7.86"/>
    <n v="7.86"/>
    <n v="7.86"/>
    <n v="7.86"/>
    <n v="7.86"/>
    <n v="7.86"/>
    <n v="7.86"/>
    <n v="7.86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n v="5280"/>
    <n v="422.40000000000003"/>
    <n v="0"/>
    <n v="0"/>
    <n v="5280"/>
    <n v="422.40000000000003"/>
    <n v="5280"/>
    <n v="422.40000000000003"/>
    <n v="5280"/>
    <n v="422.40000000000003"/>
    <n v="5280"/>
    <n v="422.40000000000003"/>
    <n v="5280"/>
    <n v="422.40000000000003"/>
    <n v="5280"/>
    <n v="422.40000000000003"/>
    <s v="0"/>
    <n v="0"/>
    <n v="5280"/>
    <n v="422.40000000000003"/>
    <x v="182"/>
    <s v="Foxconn LH"/>
  </r>
  <r>
    <s v="FY24"/>
    <s v="Simon Yang"/>
    <m/>
    <m/>
    <m/>
    <m/>
    <n v="2020"/>
    <x v="10"/>
    <s v="Combo"/>
    <s v="NA"/>
    <s v="Black"/>
    <s v="S China"/>
    <s v="OTHERS"/>
    <n v="7.8"/>
    <n v="7.8"/>
    <n v="7.8"/>
    <n v="7.8"/>
    <n v="7.8"/>
    <n v="7.8"/>
    <n v="7.8"/>
    <n v="7.8"/>
    <n v="7.8"/>
    <n v="7.8"/>
    <n v="7.8"/>
    <n v="7.8"/>
    <n v="7.8"/>
    <n v="7.8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n v="5280"/>
    <n v="422.40000000000003"/>
    <n v="0"/>
    <n v="0"/>
    <n v="5280"/>
    <n v="422.40000000000003"/>
    <n v="5280"/>
    <n v="422.40000000000003"/>
    <n v="5280"/>
    <n v="422.40000000000003"/>
    <n v="5280"/>
    <n v="422.40000000000003"/>
    <n v="7920"/>
    <n v="633.6"/>
    <n v="2640"/>
    <n v="211.20000000000002"/>
    <n v="5280"/>
    <n v="422.40000000000003"/>
    <n v="4400"/>
    <n v="352"/>
    <x v="183"/>
    <s v="HP India"/>
  </r>
  <r>
    <s v="FY24"/>
    <s v="Simon Yang"/>
    <m/>
    <m/>
    <m/>
    <m/>
    <n v="2020"/>
    <x v="10"/>
    <s v="Combo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n v="7.92"/>
    <n v="7.92"/>
    <n v="7.92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s v="0"/>
    <n v="0"/>
    <n v="0"/>
    <n v="0"/>
    <n v="0"/>
    <n v="0"/>
    <s v="0"/>
    <n v="0"/>
    <n v="5280"/>
    <n v="422.40000000000003"/>
    <s v="0"/>
    <n v="0"/>
    <n v="5280"/>
    <n v="422.40000000000003"/>
    <n v="5280"/>
    <n v="422.40000000000003"/>
    <s v="0"/>
    <n v="0"/>
    <s v="0"/>
    <n v="0"/>
    <x v="184"/>
    <s v="Foxconn LH"/>
  </r>
  <r>
    <s v="FY24"/>
    <s v="Simon Yang"/>
    <m/>
    <m/>
    <m/>
    <m/>
    <n v="2020"/>
    <x v="10"/>
    <s v="Combo"/>
    <s v="NA"/>
    <s v="Black"/>
    <s v="S China"/>
    <s v="OTHERS"/>
    <n v="7.8"/>
    <n v="7.9"/>
    <n v="7.9"/>
    <n v="7.9"/>
    <n v="7.9"/>
    <n v="7.9"/>
    <n v="7.9"/>
    <n v="7.9"/>
    <n v="7.9"/>
    <n v="7.9"/>
    <n v="7.9"/>
    <n v="7.9"/>
    <n v="7.9"/>
    <n v="7.9"/>
    <n v="0.08"/>
    <n v="0.08"/>
    <n v="0.08"/>
    <n v="0.08"/>
    <n v="0.08"/>
    <n v="0.08"/>
    <n v="0.08"/>
    <n v="0.08"/>
    <n v="0.08"/>
    <n v="0.08"/>
    <n v="0.08"/>
    <n v="0.08"/>
    <n v="0.08"/>
    <n v="0"/>
    <n v="0"/>
    <n v="5280"/>
    <n v="422.40000000000003"/>
    <n v="5280"/>
    <n v="422.40000000000003"/>
    <n v="0"/>
    <n v="0"/>
    <n v="0"/>
    <n v="0"/>
    <n v="5280"/>
    <n v="422.40000000000003"/>
    <s v="0"/>
    <n v="0"/>
    <n v="5280"/>
    <n v="422.40000000000003"/>
    <s v="0"/>
    <n v="0"/>
    <n v="5280"/>
    <n v="422.40000000000003"/>
    <n v="0"/>
    <n v="0"/>
    <s v="0"/>
    <n v="0"/>
    <x v="185"/>
    <s v="Foxconn LH"/>
  </r>
  <r>
    <s v="FY24"/>
    <s v="Simon Yang"/>
    <m/>
    <m/>
    <m/>
    <m/>
    <n v="2020"/>
    <x v="10"/>
    <s v="Combo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n v="7.92"/>
    <n v="7.92"/>
    <n v="7.92"/>
    <n v="0.08"/>
    <n v="0.08"/>
    <n v="0.08"/>
    <n v="0.08"/>
    <n v="0.08"/>
    <n v="0.08"/>
    <n v="0.08"/>
    <n v="0.08"/>
    <n v="0.08"/>
    <n v="0.08"/>
    <n v="0.08"/>
    <n v="0.08"/>
    <n v="0.08"/>
    <n v="4720"/>
    <n v="377.6"/>
    <n v="0"/>
    <n v="0"/>
    <n v="5280"/>
    <n v="422.40000000000003"/>
    <n v="0"/>
    <n v="0"/>
    <n v="0"/>
    <n v="0"/>
    <n v="5280"/>
    <n v="422.40000000000003"/>
    <n v="15840"/>
    <n v="1267.2"/>
    <n v="10560"/>
    <n v="844.80000000000007"/>
    <s v="0"/>
    <n v="0"/>
    <s v="0"/>
    <n v="0"/>
    <s v="0"/>
    <n v="0"/>
    <s v="0"/>
    <n v="0"/>
    <x v="186"/>
    <s v="Foxconn LH"/>
  </r>
  <r>
    <s v="FY24"/>
    <s v="Allen Chen"/>
    <m/>
    <m/>
    <m/>
    <m/>
    <n v="2018"/>
    <x v="25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87"/>
    <s v="QUANTA"/>
  </r>
  <r>
    <s v="FY24"/>
    <s v="Allen Chen"/>
    <m/>
    <m/>
    <m/>
    <m/>
    <n v="2018"/>
    <x v="25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87"/>
    <s v="Compal"/>
  </r>
  <r>
    <s v="FY24"/>
    <s v="Allen Chen"/>
    <m/>
    <m/>
    <m/>
    <m/>
    <n v="2018"/>
    <x v="25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87"/>
    <s v="Wistron"/>
  </r>
  <r>
    <s v="FY24"/>
    <s v="Allen Chen"/>
    <m/>
    <m/>
    <m/>
    <m/>
    <n v="2018"/>
    <x v="17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33000"/>
    <n v="1650"/>
    <n v="3000"/>
    <n v="150"/>
    <n v="6000"/>
    <n v="300"/>
    <n v="0"/>
    <n v="0"/>
    <n v="0"/>
    <n v="0"/>
    <n v="6000"/>
    <n v="300"/>
    <n v="3000"/>
    <n v="150"/>
    <s v="0"/>
    <n v="0"/>
    <s v="0"/>
    <n v="0"/>
    <s v="0"/>
    <n v="0"/>
    <n v="3000"/>
    <n v="150"/>
    <n v="3000"/>
    <n v="150"/>
    <x v="188"/>
    <s v="QUANTA"/>
  </r>
  <r>
    <s v="FY24"/>
    <s v="Allen Chen"/>
    <m/>
    <m/>
    <m/>
    <m/>
    <n v="2016"/>
    <x v="8"/>
    <s v="Mouse"/>
    <s v="NA"/>
    <s v="Lavender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3000"/>
    <n v="150"/>
    <n v="0"/>
    <n v="0"/>
    <n v="3000"/>
    <n v="150"/>
    <s v="0"/>
    <n v="0"/>
    <s v="0"/>
    <n v="0"/>
    <s v="0"/>
    <n v="0"/>
    <s v="0"/>
    <n v="0"/>
    <s v="0"/>
    <n v="0"/>
    <s v="0"/>
    <n v="0"/>
    <s v="0"/>
    <n v="0"/>
    <x v="189"/>
    <s v="QUANTA"/>
  </r>
  <r>
    <s v="FY24"/>
    <s v="Allen Chen"/>
    <m/>
    <m/>
    <m/>
    <m/>
    <n v="2016"/>
    <x v="8"/>
    <s v="Mouse"/>
    <s v="NA"/>
    <s v="Lavender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3000"/>
    <n v="150"/>
    <n v="6000"/>
    <n v="300"/>
    <n v="0"/>
    <n v="0"/>
    <n v="3000"/>
    <n v="150"/>
    <s v="0"/>
    <n v="0"/>
    <s v="0"/>
    <n v="0"/>
    <s v="0"/>
    <n v="0"/>
    <s v="0"/>
    <n v="0"/>
    <s v="0"/>
    <n v="0"/>
    <s v="0"/>
    <n v="0"/>
    <s v="0"/>
    <n v="0"/>
    <x v="189"/>
    <s v="Inventec"/>
  </r>
  <r>
    <s v="FY24"/>
    <s v="Allen Chen"/>
    <m/>
    <m/>
    <m/>
    <m/>
    <n v="2016"/>
    <x v="8"/>
    <s v="Mouse"/>
    <s v="NA"/>
    <s v="Seafoam Teal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3000"/>
    <n v="15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0"/>
    <s v="QUANTA"/>
  </r>
  <r>
    <s v="FY24"/>
    <s v="Allen Chen"/>
    <m/>
    <m/>
    <m/>
    <m/>
    <n v="2016"/>
    <x v="8"/>
    <s v="Mouse"/>
    <s v="NA"/>
    <s v="Seafoam Teal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3000"/>
    <n v="150"/>
    <n v="3000"/>
    <n v="150"/>
    <n v="0"/>
    <n v="0"/>
    <n v="0"/>
    <n v="0"/>
    <n v="3000"/>
    <n v="150"/>
    <s v="0"/>
    <n v="0"/>
    <s v="0"/>
    <n v="0"/>
    <s v="0"/>
    <n v="0"/>
    <s v="0"/>
    <n v="0"/>
    <s v="0"/>
    <n v="0"/>
    <s v="0"/>
    <n v="0"/>
    <x v="190"/>
    <s v="Inventec"/>
  </r>
  <r>
    <s v="FY24"/>
    <s v="Allen Chen"/>
    <m/>
    <m/>
    <m/>
    <m/>
    <n v="2016"/>
    <x v="8"/>
    <s v="Mouse"/>
    <s v="NA"/>
    <s v="Moonlight Blue"/>
    <s v="S China"/>
    <s v="OTHERS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6000"/>
    <n v="300"/>
    <n v="0"/>
    <n v="0"/>
    <n v="0"/>
    <n v="0"/>
    <s v="0"/>
    <n v="0"/>
    <n v="3000"/>
    <n v="150"/>
    <s v="0"/>
    <n v="0"/>
    <s v="0"/>
    <n v="0"/>
    <s v="0"/>
    <n v="0"/>
    <n v="27000"/>
    <n v="1350"/>
    <s v="0"/>
    <n v="0"/>
    <x v="191"/>
    <s v="QUANTA"/>
  </r>
  <r>
    <s v="FY24"/>
    <s v="Allen Chen"/>
    <m/>
    <m/>
    <m/>
    <m/>
    <n v="2016"/>
    <x v="8"/>
    <s v="Mouse"/>
    <s v="NA"/>
    <s v="Moonlight Blue"/>
    <s v="S China"/>
    <s v="OTHERS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6000"/>
    <n v="300"/>
    <n v="0"/>
    <n v="0"/>
    <n v="0"/>
    <n v="0"/>
    <s v="0"/>
    <n v="0"/>
    <n v="5000"/>
    <n v="250"/>
    <s v="0"/>
    <n v="0"/>
    <s v="0"/>
    <n v="0"/>
    <n v="3000"/>
    <n v="150"/>
    <n v="6000"/>
    <n v="300"/>
    <n v="6000"/>
    <n v="300"/>
    <x v="191"/>
    <s v="Inventec"/>
  </r>
  <r>
    <s v="FY24"/>
    <s v="Allen Chen"/>
    <m/>
    <m/>
    <m/>
    <m/>
    <n v="2016"/>
    <x v="8"/>
    <s v="Mouse"/>
    <s v="NA"/>
    <s v="薰衣草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n v="0"/>
    <n v="0"/>
    <n v="5500"/>
    <n v="275"/>
    <s v="0"/>
    <n v="0"/>
    <s v="0"/>
    <n v="0"/>
    <m/>
    <n v="0"/>
    <m/>
    <n v="0"/>
    <s v="0"/>
    <m/>
    <x v="192"/>
    <s v="Inventec"/>
  </r>
  <r>
    <s v="FY24"/>
    <s v="Allen Chen"/>
    <m/>
    <m/>
    <m/>
    <m/>
    <n v="2016"/>
    <x v="8"/>
    <s v="Mouse"/>
    <s v="NA"/>
    <s v="薰衣草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000"/>
    <n v="150"/>
    <s v="0"/>
    <n v="0"/>
    <s v="0"/>
    <n v="0"/>
    <n v="0"/>
    <n v="0"/>
    <n v="3000"/>
    <n v="150"/>
    <s v="0"/>
    <n v="0"/>
    <x v="192"/>
    <s v="QUANTA"/>
  </r>
  <r>
    <s v="FY24"/>
    <s v="Allen Chen"/>
    <m/>
    <m/>
    <m/>
    <m/>
    <n v="2016"/>
    <x v="8"/>
    <s v="Mouse"/>
    <s v="NA"/>
    <s v="鑽石白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300"/>
    <n v="165"/>
    <s v="0"/>
    <n v="0"/>
    <s v="0"/>
    <n v="0"/>
    <n v="0"/>
    <n v="0"/>
    <n v="3000"/>
    <n v="150"/>
    <n v="3000"/>
    <n v="150"/>
    <x v="193"/>
    <s v="Inventec"/>
  </r>
  <r>
    <s v="FY24"/>
    <s v="Allen Chen"/>
    <m/>
    <m/>
    <m/>
    <m/>
    <n v="2016"/>
    <x v="8"/>
    <s v="Mouse"/>
    <s v="NA"/>
    <s v="鑽石白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000"/>
    <n v="150"/>
    <s v="0"/>
    <n v="0"/>
    <n v="0"/>
    <n v="0"/>
    <n v="0"/>
    <n v="0"/>
    <n v="9000"/>
    <n v="450"/>
    <s v="0"/>
    <n v="0"/>
    <x v="193"/>
    <s v="QUANTA"/>
  </r>
  <r>
    <s v="FY24"/>
    <s v="Allen Chen"/>
    <m/>
    <m/>
    <m/>
    <m/>
    <n v="2016"/>
    <x v="8"/>
    <s v="Mouse"/>
    <s v="NA"/>
    <s v="IMF款-日落紅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7000"/>
    <n v="350"/>
    <s v="0"/>
    <n v="0"/>
    <n v="3000"/>
    <n v="150"/>
    <s v="0"/>
    <n v="0"/>
    <n v="3000"/>
    <n v="150"/>
    <n v="3000"/>
    <n v="150"/>
    <x v="194"/>
    <s v="QUANTA"/>
  </r>
  <r>
    <s v="FY24"/>
    <s v="Allen Chen"/>
    <m/>
    <m/>
    <m/>
    <m/>
    <n v="2016"/>
    <x v="8"/>
    <s v="Mouse"/>
    <s v="NA"/>
    <s v="IMF款-日落紅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4000"/>
    <n v="200"/>
    <s v="0"/>
    <n v="0"/>
    <n v="0"/>
    <n v="0"/>
    <n v="9000"/>
    <n v="450"/>
    <n v="3000"/>
    <n v="150"/>
    <n v="3000"/>
    <n v="150"/>
    <x v="194"/>
    <s v="Inventec"/>
  </r>
  <r>
    <s v="FY24"/>
    <s v="Allen Chen"/>
    <m/>
    <m/>
    <m/>
    <m/>
    <n v="2016"/>
    <x v="8"/>
    <s v="Mouse"/>
    <s v="NA"/>
    <s v="IMF款-寶石綠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n v="3000"/>
    <n v="150"/>
    <s v="0"/>
    <n v="0"/>
    <n v="3000"/>
    <n v="150"/>
    <s v="0"/>
    <n v="0"/>
    <x v="195"/>
    <s v="QUANTA"/>
  </r>
  <r>
    <s v="FY24"/>
    <s v="Allen Chen"/>
    <m/>
    <m/>
    <m/>
    <m/>
    <n v="2016"/>
    <x v="8"/>
    <s v="Mouse"/>
    <s v="NA"/>
    <s v="IMF款-寶石綠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4200"/>
    <n v="210"/>
    <s v="0"/>
    <n v="0"/>
    <n v="0"/>
    <n v="0"/>
    <n v="3000"/>
    <n v="150"/>
    <n v="0"/>
    <n v="0"/>
    <n v="3000"/>
    <n v="150"/>
    <x v="195"/>
    <s v="Inventec"/>
  </r>
  <r>
    <s v="FY24"/>
    <s v="Allen Chen"/>
    <m/>
    <m/>
    <m/>
    <m/>
    <n v="2016"/>
    <x v="8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10800"/>
    <n v="540"/>
    <n v="18000"/>
    <n v="900"/>
    <n v="0"/>
    <n v="0"/>
    <n v="0"/>
    <n v="0"/>
    <s v="0"/>
    <n v="0"/>
    <s v="0"/>
    <n v="0"/>
    <s v="0"/>
    <n v="0"/>
    <n v="10800"/>
    <n v="540"/>
    <n v="7200"/>
    <n v="360"/>
    <n v="3600"/>
    <n v="180"/>
    <n v="3600"/>
    <n v="180"/>
    <x v="196"/>
    <s v="FOX CQ"/>
  </r>
  <r>
    <s v="FY24"/>
    <s v="Allen Chen"/>
    <m/>
    <m/>
    <m/>
    <m/>
    <n v="2016"/>
    <x v="8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6"/>
    <s v="QUANTA"/>
  </r>
  <r>
    <s v="FY24"/>
    <s v="Allen Chen"/>
    <m/>
    <m/>
    <m/>
    <m/>
    <n v="2016"/>
    <x v="8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6"/>
    <s v="Inventec"/>
  </r>
  <r>
    <s v="FY24"/>
    <s v="Allen Chen"/>
    <m/>
    <m/>
    <m/>
    <m/>
    <n v="2016"/>
    <x v="8"/>
    <s v="Mouse"/>
    <s v="NA"/>
    <s v="Rose Gold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7"/>
    <s v="QUANTA"/>
  </r>
  <r>
    <s v="FY24"/>
    <s v="Allen Chen"/>
    <m/>
    <m/>
    <m/>
    <m/>
    <n v="2016"/>
    <x v="8"/>
    <s v="Mouse"/>
    <s v="NA"/>
    <s v="Rose Gold"/>
    <s v="S China"/>
    <s v="OTHERS"/>
    <n v="5.74"/>
    <n v="5.74"/>
    <n v="5.74"/>
    <n v="5.74"/>
    <n v="5.74"/>
    <n v="5.74"/>
    <n v="5.74"/>
    <n v="5.74"/>
    <n v="5.74"/>
    <n v="5.74"/>
    <n v="5.74"/>
    <n v="5.74"/>
    <n v="5.74"/>
    <n v="5.74"/>
    <n v="0.05"/>
    <n v="0.05"/>
    <n v="0.05"/>
    <n v="0.05"/>
    <n v="0.05"/>
    <n v="0.05"/>
    <n v="0.05"/>
    <n v="0.05"/>
    <n v="0.05"/>
    <n v="0.05"/>
    <n v="0.05"/>
    <n v="0.05"/>
    <n v="0.05"/>
    <n v="1000"/>
    <n v="5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7"/>
    <s v="QUANTA"/>
  </r>
  <r>
    <s v="FY24"/>
    <s v="Allen Chen"/>
    <m/>
    <m/>
    <m/>
    <m/>
    <n v="2016"/>
    <x v="8"/>
    <s v="Mouse"/>
    <s v="NA"/>
    <s v="Rose Gold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7"/>
    <s v="Inventec"/>
  </r>
  <r>
    <s v="FY24"/>
    <s v="Allen Chen"/>
    <m/>
    <m/>
    <m/>
    <m/>
    <n v="2016"/>
    <x v="8"/>
    <s v="Mouse"/>
    <s v="NA"/>
    <s v="Ceramic White"/>
    <s v="S China"/>
    <s v="OTHERS"/>
    <n v="6.05"/>
    <n v="5.92"/>
    <n v="5.92"/>
    <n v="5.92"/>
    <n v="5.92"/>
    <n v="5.92"/>
    <n v="5.92"/>
    <n v="5.92"/>
    <n v="5.92"/>
    <n v="5.92"/>
    <n v="5.92"/>
    <n v="5.92"/>
    <n v="5.92"/>
    <n v="5.92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8"/>
    <s v="Ryder Indy"/>
  </r>
  <r>
    <s v="FY24"/>
    <s v="Allen Chen"/>
    <m/>
    <m/>
    <m/>
    <m/>
    <n v="2016"/>
    <x v="8"/>
    <s v="Mouse"/>
    <s v="NA"/>
    <s v="Ceramic White"/>
    <s v="S China"/>
    <s v="OTHERS"/>
    <n v="6.05"/>
    <n v="5.05"/>
    <n v="5.05"/>
    <n v="5.05"/>
    <n v="5.05"/>
    <n v="5.05"/>
    <n v="5.05"/>
    <n v="5.05"/>
    <n v="5.05"/>
    <n v="5.05"/>
    <n v="5.05"/>
    <n v="5.05"/>
    <n v="5.05"/>
    <n v="5.0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9"/>
    <s v="Ryder Indy"/>
  </r>
  <r>
    <s v="FY24"/>
    <s v="Allen Chen"/>
    <m/>
    <m/>
    <m/>
    <m/>
    <n v="2016"/>
    <x v="8"/>
    <s v="Mouse"/>
    <s v="NA"/>
    <s v="Ceramic White"/>
    <s v="S China"/>
    <s v="OTHERS"/>
    <n v="6.05"/>
    <n v="5.13"/>
    <n v="5.13"/>
    <n v="5.13"/>
    <n v="5.13"/>
    <n v="5.13"/>
    <n v="5.13"/>
    <n v="5.13"/>
    <n v="5.13"/>
    <n v="5.13"/>
    <n v="5.13"/>
    <n v="5.13"/>
    <n v="5.13"/>
    <n v="5.13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0"/>
    <s v="Ryder Indy"/>
  </r>
  <r>
    <s v="FY24"/>
    <s v="Allen Chen"/>
    <m/>
    <m/>
    <m/>
    <m/>
    <n v="2016"/>
    <x v="8"/>
    <s v="Mouse"/>
    <s v="NA"/>
    <s v="Ceramic White"/>
    <s v="S China"/>
    <s v="OTHERS"/>
    <n v="6.05"/>
    <n v="5.54"/>
    <n v="5.54"/>
    <n v="5.54"/>
    <n v="5.54"/>
    <n v="5.54"/>
    <n v="5.54"/>
    <n v="5.54"/>
    <n v="5.54"/>
    <n v="5.54"/>
    <n v="5.54"/>
    <n v="5.54"/>
    <n v="5.54"/>
    <n v="5.5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1"/>
    <s v="Ryder Indy"/>
  </r>
  <r>
    <s v="FY24"/>
    <s v="Allen Chen"/>
    <m/>
    <m/>
    <m/>
    <m/>
    <n v="2016"/>
    <x v="8"/>
    <s v="Mouse"/>
    <s v="NA"/>
    <s v="Ceramic White"/>
    <s v="S China"/>
    <s v="OTHERS"/>
    <n v="6.05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2"/>
    <s v="Ryder Indy"/>
  </r>
  <r>
    <s v="FY24"/>
    <s v="Allen Chen"/>
    <m/>
    <m/>
    <m/>
    <m/>
    <n v="2016"/>
    <x v="8"/>
    <s v="Mouse"/>
    <s v="NA"/>
    <s v="Ceramic White"/>
    <s v="S China"/>
    <s v="OTHERS"/>
    <n v="6.05"/>
    <n v="5.27"/>
    <n v="5.27"/>
    <n v="5.27"/>
    <n v="5.27"/>
    <n v="5.27"/>
    <n v="5.27"/>
    <n v="5.27"/>
    <n v="5.27"/>
    <n v="5.27"/>
    <n v="5.27"/>
    <n v="5.27"/>
    <n v="5.27"/>
    <n v="5.2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3"/>
    <s v="Ryder Indy"/>
  </r>
  <r>
    <s v="FY24"/>
    <s v="Allen Chen"/>
    <m/>
    <m/>
    <m/>
    <m/>
    <n v="2016"/>
    <x v="8"/>
    <s v="Mouse"/>
    <s v="NA"/>
    <s v="Black"/>
    <s v="S China"/>
    <s v="OTHERS"/>
    <n v="4.82"/>
    <n v="3.72"/>
    <n v="4.72"/>
    <n v="3.72"/>
    <n v="3.72"/>
    <n v="3.72"/>
    <n v="3.72"/>
    <n v="3.72"/>
    <n v="3.72"/>
    <n v="3.72"/>
    <n v="3.72"/>
    <n v="3.72"/>
    <n v="3.72"/>
    <n v="3.72"/>
    <n v="0.04"/>
    <n v="0.04"/>
    <n v="0.04"/>
    <n v="0.04"/>
    <n v="0.04"/>
    <n v="0.04"/>
    <n v="0.04"/>
    <n v="0.04"/>
    <n v="0.04"/>
    <n v="0.04"/>
    <n v="0.04"/>
    <n v="0.04"/>
    <n v="0.04"/>
    <n v="3600"/>
    <n v="144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197"/>
    <s v="QUANTA"/>
  </r>
  <r>
    <s v="FY24"/>
    <s v="Allen Chen"/>
    <m/>
    <m/>
    <m/>
    <m/>
    <n v="2016"/>
    <x v="18"/>
    <s v="Mouse"/>
    <s v="NA"/>
    <s v="Black"/>
    <s v="S China"/>
    <s v="OTHERS"/>
    <n v="4.87"/>
    <n v="3.87"/>
    <n v="3.87"/>
    <n v="3.87"/>
    <n v="3.87"/>
    <n v="3.87"/>
    <n v="3.87"/>
    <n v="3.87"/>
    <n v="3.87"/>
    <n v="3.87"/>
    <n v="3.87"/>
    <n v="3.87"/>
    <n v="3.87"/>
    <n v="3.87"/>
    <n v="0.04"/>
    <n v="0.04"/>
    <n v="0.04"/>
    <n v="0.04"/>
    <n v="0.04"/>
    <n v="0.04"/>
    <n v="0.04"/>
    <n v="0.04"/>
    <n v="0.04"/>
    <n v="0.04"/>
    <n v="0.04"/>
    <n v="0.04"/>
    <n v="0.04"/>
    <n v="0"/>
    <n v="0"/>
    <n v="0"/>
    <n v="0"/>
    <n v="3600"/>
    <n v="144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4"/>
    <s v="QUANTA"/>
  </r>
  <r>
    <s v="FY24"/>
    <s v="Allen Chen"/>
    <m/>
    <m/>
    <m/>
    <m/>
    <n v="2023"/>
    <x v="16"/>
    <s v="Mouse"/>
    <s v="NA"/>
    <s v="Black"/>
    <s v="S China"/>
    <s v="OTHERS"/>
    <n v="4.18"/>
    <n v="4.2199999999999989"/>
    <n v="4.2199999999999989"/>
    <n v="4.2199999999999989"/>
    <n v="4.2199999999999989"/>
    <n v="4.22"/>
    <n v="4.22"/>
    <n v="4.22"/>
    <n v="4.22"/>
    <n v="4.22"/>
    <n v="4.22"/>
    <n v="4.22"/>
    <n v="4.22"/>
    <n v="4.2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5"/>
    <s v="Ryder Indy"/>
  </r>
  <r>
    <s v="FY24"/>
    <s v="Allen Chen"/>
    <m/>
    <m/>
    <m/>
    <m/>
    <n v="2023"/>
    <x v="16"/>
    <s v="Mouse"/>
    <s v="NA"/>
    <s v="Pike silver"/>
    <s v="S China"/>
    <s v="OTHERS"/>
    <n v="4.7"/>
    <n v="4.7"/>
    <n v="4.7"/>
    <n v="4.7"/>
    <n v="4.7"/>
    <n v="4.7"/>
    <n v="4.7"/>
    <n v="4.7"/>
    <n v="4.7"/>
    <n v="4.7"/>
    <n v="4.7"/>
    <n v="4.7"/>
    <n v="4.7"/>
    <n v="4.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6"/>
    <s v="FOX CQ"/>
  </r>
  <r>
    <s v="FY24"/>
    <s v="Allen Chen"/>
    <m/>
    <m/>
    <m/>
    <m/>
    <n v="2023"/>
    <x v="16"/>
    <s v="Mouse"/>
    <s v="NA"/>
    <s v="Pike silver"/>
    <s v="S China"/>
    <s v="OTHERS"/>
    <n v="4.75"/>
    <n v="4.75"/>
    <n v="4.75"/>
    <n v="4.75"/>
    <n v="4.75"/>
    <n v="4.75"/>
    <n v="4.75"/>
    <n v="4.75"/>
    <n v="4.75"/>
    <n v="4.75"/>
    <n v="4.75"/>
    <n v="4.75"/>
    <n v="4.75"/>
    <n v="4.75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6"/>
    <s v="QUANTA"/>
  </r>
  <r>
    <s v="FY24"/>
    <s v="Allen Chen"/>
    <m/>
    <m/>
    <m/>
    <m/>
    <n v="2023"/>
    <x v="16"/>
    <s v="Mouse"/>
    <s v="NA"/>
    <s v="Pike silver"/>
    <s v="S China"/>
    <s v="OTHERS"/>
    <n v="4.7"/>
    <n v="4.7"/>
    <n v="4.7"/>
    <n v="4.7"/>
    <n v="4.7"/>
    <n v="4.7"/>
    <n v="4.7"/>
    <n v="4.7"/>
    <n v="4.7"/>
    <n v="4.7"/>
    <n v="4.7"/>
    <n v="4.7"/>
    <n v="4.7"/>
    <n v="4.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6"/>
    <s v="Inventec"/>
  </r>
  <r>
    <s v="FY24"/>
    <s v="Allen Chen"/>
    <m/>
    <m/>
    <m/>
    <m/>
    <n v="2023"/>
    <x v="16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07"/>
    <s v="FOX CQ"/>
  </r>
  <r>
    <s v="FY24"/>
    <s v="Allen Chen"/>
    <m/>
    <m/>
    <m/>
    <m/>
    <n v="2023"/>
    <x v="16"/>
    <s v="Mouse"/>
    <s v="NA"/>
    <s v="Black"/>
    <s v="S China"/>
    <s v="OTHERS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6000"/>
    <n v="0"/>
    <n v="12000"/>
    <n v="0"/>
    <n v="9000"/>
    <n v="0"/>
    <n v="3000"/>
    <n v="0"/>
    <n v="6000"/>
    <n v="0"/>
    <n v="6000"/>
    <n v="0"/>
    <n v="3000"/>
    <n v="0"/>
    <n v="3000"/>
    <n v="210.00000000000003"/>
    <n v="7200"/>
    <n v="504.00000000000006"/>
    <n v="9000"/>
    <n v="630.00000000000011"/>
    <n v="9000"/>
    <n v="630.00000000000011"/>
    <n v="3000"/>
    <n v="210.00000000000003"/>
    <x v="207"/>
    <s v="QUANTA"/>
  </r>
  <r>
    <s v="FY24"/>
    <s v="Allen Chen"/>
    <m/>
    <m/>
    <m/>
    <m/>
    <n v="2023"/>
    <x v="16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3000"/>
    <n v="0"/>
    <n v="3000"/>
    <n v="0"/>
    <n v="6000"/>
    <n v="0"/>
    <n v="3000"/>
    <n v="0"/>
    <n v="6000"/>
    <n v="0"/>
    <n v="3000"/>
    <n v="0"/>
    <s v="0"/>
    <n v="0"/>
    <n v="3000"/>
    <n v="210.00000000000003"/>
    <n v="3000"/>
    <n v="210.00000000000003"/>
    <n v="6000"/>
    <n v="420.00000000000006"/>
    <n v="3000"/>
    <n v="210.00000000000003"/>
    <n v="3000"/>
    <n v="210.00000000000003"/>
    <x v="207"/>
    <s v="Inventec"/>
  </r>
  <r>
    <s v="FY24"/>
    <s v="Allen Chen"/>
    <m/>
    <m/>
    <m/>
    <m/>
    <n v="2023"/>
    <x v="16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3000"/>
    <n v="0"/>
    <n v="3000"/>
    <n v="0"/>
    <n v="3000"/>
    <n v="0"/>
    <n v="3000"/>
    <n v="210.00000000000003"/>
    <n v="3000"/>
    <n v="210.00000000000003"/>
    <n v="3000"/>
    <n v="210.00000000000003"/>
    <n v="3000"/>
    <n v="210.00000000000003"/>
    <n v="3000"/>
    <n v="210.00000000000003"/>
    <x v="207"/>
    <s v="Compal"/>
  </r>
  <r>
    <s v="FY24"/>
    <s v="Allen Chen"/>
    <m/>
    <m/>
    <m/>
    <m/>
    <n v="2023"/>
    <x v="16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3000"/>
    <n v="0"/>
    <s v="0"/>
    <n v="0"/>
    <s v="0"/>
    <n v="0"/>
    <s v="0"/>
    <n v="0"/>
    <s v="0"/>
    <n v="0"/>
    <s v="0"/>
    <n v="0"/>
    <s v="0"/>
    <n v="0"/>
    <s v="0"/>
    <n v="0"/>
    <x v="207"/>
    <s v="Wistron"/>
  </r>
  <r>
    <s v="FY24"/>
    <s v="Allen Chen"/>
    <m/>
    <m/>
    <m/>
    <m/>
    <n v="2023"/>
    <x v="16"/>
    <s v="Mouse"/>
    <s v="NA"/>
    <s v="Black"/>
    <s v="S China"/>
    <s v="OTHERS"/>
    <m/>
    <m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400"/>
    <n v="168.00000000000003"/>
    <s v="0"/>
    <n v="0"/>
    <s v="0"/>
    <n v="0"/>
    <x v="207"/>
    <s v="HP Japan"/>
  </r>
  <r>
    <s v="FY24"/>
    <s v="Simon Yang"/>
    <m/>
    <m/>
    <m/>
    <m/>
    <n v="2020"/>
    <x v="1"/>
    <s v="Combo"/>
    <s v="NA"/>
    <s v="Black"/>
    <s v="S China"/>
    <s v="OTHERS"/>
    <n v="9.32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0.18"/>
    <n v="0.18"/>
    <n v="0.18"/>
    <n v="0.18"/>
    <n v="0.18"/>
    <n v="0.18"/>
    <n v="0.18"/>
    <n v="0.18"/>
    <n v="0.18"/>
    <n v="0.18"/>
    <n v="0.18"/>
    <n v="0.18"/>
    <n v="0.18"/>
    <n v="2160"/>
    <n v="388.8"/>
    <n v="3240"/>
    <n v="583.19999999999993"/>
    <n v="3240"/>
    <n v="583.19999999999993"/>
    <n v="3240"/>
    <n v="583.19999999999993"/>
    <n v="6480"/>
    <n v="1166.3999999999999"/>
    <n v="3240"/>
    <n v="583.19999999999993"/>
    <n v="9720"/>
    <n v="1749.6"/>
    <n v="2160"/>
    <n v="388.8"/>
    <n v="4320"/>
    <n v="777.6"/>
    <n v="4320"/>
    <n v="777.6"/>
    <n v="5400"/>
    <n v="972"/>
    <n v="3240"/>
    <n v="583.19999999999993"/>
    <x v="208"/>
    <s v="QUANTA"/>
  </r>
  <r>
    <s v="FY24"/>
    <s v="Simon Yang"/>
    <m/>
    <m/>
    <m/>
    <m/>
    <n v="2021"/>
    <x v="2"/>
    <s v="Combo"/>
    <s v="NA"/>
    <s v="White"/>
    <s v="S China"/>
    <s v="OTHERS"/>
    <n v="10.88"/>
    <n v="11.28"/>
    <n v="11.28"/>
    <n v="11.28"/>
    <n v="11.28"/>
    <n v="11.28"/>
    <n v="11.28"/>
    <n v="11.28"/>
    <n v="11.28"/>
    <n v="11.28"/>
    <n v="11.28"/>
    <n v="11.28"/>
    <n v="11.28"/>
    <n v="11.28"/>
    <n v="0.21"/>
    <n v="0.21"/>
    <n v="0.21"/>
    <n v="0.21"/>
    <n v="0.21"/>
    <n v="0.21"/>
    <n v="0.21"/>
    <n v="0.21"/>
    <n v="0.21"/>
    <n v="0.21"/>
    <n v="0.21"/>
    <n v="0.21"/>
    <n v="0.21"/>
    <n v="5040"/>
    <n v="1058.3999999999999"/>
    <n v="2520"/>
    <n v="529.19999999999993"/>
    <n v="2520"/>
    <n v="529.19999999999993"/>
    <n v="2520"/>
    <n v="529.19999999999993"/>
    <n v="5040"/>
    <n v="1058.3999999999999"/>
    <n v="2520"/>
    <n v="529.19999999999993"/>
    <n v="5040"/>
    <n v="1058.3999999999999"/>
    <s v="0"/>
    <n v="0"/>
    <n v="2520"/>
    <n v="529.19999999999993"/>
    <n v="2520"/>
    <n v="529.19999999999993"/>
    <n v="2520"/>
    <n v="529.19999999999993"/>
    <s v="0"/>
    <n v="0"/>
    <x v="209"/>
    <s v="QUANTA"/>
  </r>
  <r>
    <s v="FY24"/>
    <s v="Allen Chen"/>
    <m/>
    <m/>
    <m/>
    <m/>
    <n v="2020"/>
    <x v="22"/>
    <s v="Mouse"/>
    <s v="NA"/>
    <s v="Black"/>
    <s v="S China"/>
    <s v="OTHERS"/>
    <n v="1.61"/>
    <n v="1.61"/>
    <n v="1.61"/>
    <n v="1.61"/>
    <n v="1.61"/>
    <n v="1.61"/>
    <n v="1.61"/>
    <n v="1.61"/>
    <n v="1.61"/>
    <n v="1.61"/>
    <n v="1.61"/>
    <n v="1.61"/>
    <n v="1.61"/>
    <n v="1.61"/>
    <n v="0"/>
    <n v="0"/>
    <n v="0"/>
    <n v="0"/>
    <n v="0"/>
    <n v="0"/>
    <n v="0"/>
    <n v="0"/>
    <n v="0"/>
    <n v="0"/>
    <n v="0"/>
    <n v="0"/>
    <n v="0"/>
    <n v="6720"/>
    <n v="0"/>
    <n v="40320"/>
    <n v="0"/>
    <n v="33600"/>
    <n v="0"/>
    <n v="0"/>
    <n v="0"/>
    <n v="25920"/>
    <n v="0"/>
    <n v="31680"/>
    <n v="0"/>
    <n v="20160"/>
    <n v="0"/>
    <n v="13440"/>
    <n v="0"/>
    <s v="0"/>
    <n v="0"/>
    <n v="6720"/>
    <n v="0"/>
    <n v="6720"/>
    <n v="0"/>
    <s v="0"/>
    <n v="0"/>
    <x v="210"/>
    <s v="Foxconn CZ"/>
  </r>
  <r>
    <s v="FY24"/>
    <s v="Allen Chen"/>
    <m/>
    <m/>
    <m/>
    <m/>
    <n v="2020"/>
    <x v="26"/>
    <s v="Mouse"/>
    <s v="NA"/>
    <s v="Black"/>
    <s v="S China"/>
    <s v="OTHERS"/>
    <n v="1.65"/>
    <n v="1.65"/>
    <n v="1.65"/>
    <n v="1.65"/>
    <n v="1.65"/>
    <n v="1.65"/>
    <n v="1.65"/>
    <n v="1.65"/>
    <n v="1.65"/>
    <n v="1.65"/>
    <n v="1.65"/>
    <n v="1.65"/>
    <n v="1.65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11"/>
    <s v="HP India"/>
  </r>
  <r>
    <s v="FY24"/>
    <s v="Allen Chen"/>
    <m/>
    <m/>
    <m/>
    <m/>
    <n v="2020"/>
    <x v="27"/>
    <s v="Mouse"/>
    <s v="NA"/>
    <s v="Jack Black"/>
    <s v="S China"/>
    <s v="OTHERS"/>
    <n v="3.79"/>
    <n v="3.91"/>
    <n v="3.91"/>
    <n v="3.91"/>
    <n v="3.91"/>
    <n v="3.91"/>
    <n v="3.91"/>
    <n v="3.91"/>
    <n v="3.91"/>
    <n v="3.91"/>
    <n v="3.91"/>
    <n v="3.91"/>
    <n v="3.91"/>
    <n v="3.91"/>
    <n v="0"/>
    <n v="0"/>
    <n v="0"/>
    <n v="0"/>
    <n v="0"/>
    <n v="0"/>
    <n v="0"/>
    <n v="0"/>
    <n v="0"/>
    <n v="0"/>
    <n v="0"/>
    <n v="0"/>
    <n v="0"/>
    <n v="0"/>
    <n v="0"/>
    <n v="8640"/>
    <n v="0"/>
    <n v="37440"/>
    <n v="0"/>
    <n v="23040"/>
    <n v="0"/>
    <n v="28800"/>
    <n v="0"/>
    <n v="50320"/>
    <n v="0"/>
    <n v="14960"/>
    <n v="0"/>
    <s v="0"/>
    <n v="0"/>
    <s v="0"/>
    <n v="0"/>
    <s v="0"/>
    <n v="0"/>
    <s v="0"/>
    <n v="0"/>
    <s v="0"/>
    <n v="0"/>
    <x v="212"/>
    <s v="Foxconn CZ"/>
  </r>
  <r>
    <s v="FY24"/>
    <s v="Allen Chen"/>
    <m/>
    <m/>
    <m/>
    <m/>
    <n v="2020"/>
    <x v="27"/>
    <s v="Mouse"/>
    <s v="NA"/>
    <s v="Jack Black"/>
    <s v="S China"/>
    <s v="OTHERS"/>
    <n v="3.75"/>
    <n v="3.87"/>
    <n v="3.87"/>
    <n v="3.87"/>
    <n v="3.87"/>
    <n v="3.87"/>
    <n v="3.87"/>
    <n v="3.87"/>
    <n v="3.87"/>
    <n v="3.87"/>
    <n v="3.87"/>
    <n v="3.87"/>
    <n v="3.87"/>
    <n v="3.87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2880"/>
    <n v="0"/>
    <n v="8640"/>
    <n v="0"/>
    <s v="0"/>
    <n v="0"/>
    <n v="8640"/>
    <n v="0"/>
    <n v="8640"/>
    <n v="0"/>
    <s v="0"/>
    <n v="0"/>
    <n v="2880"/>
    <n v="0"/>
    <s v="0"/>
    <n v="0"/>
    <x v="213"/>
    <s v="HP India"/>
  </r>
  <r>
    <s v="FY24"/>
    <s v="Allen Chen"/>
    <m/>
    <m/>
    <m/>
    <m/>
    <n v="2023"/>
    <x v="21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320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14"/>
    <s v="Foxconn LH"/>
  </r>
  <r>
    <s v="FY24"/>
    <s v="Allen Chen"/>
    <m/>
    <m/>
    <m/>
    <m/>
    <n v="2023"/>
    <x v="21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3200"/>
    <n v="0"/>
    <n v="3200"/>
    <n v="0"/>
    <n v="0"/>
    <n v="0"/>
    <n v="6400"/>
    <n v="0"/>
    <n v="3200"/>
    <n v="0"/>
    <n v="6400"/>
    <n v="0"/>
    <s v="0"/>
    <n v="0"/>
    <s v="0"/>
    <n v="0"/>
    <s v="0"/>
    <n v="0"/>
    <s v="0"/>
    <n v="0"/>
    <s v="0"/>
    <n v="0"/>
    <x v="215"/>
    <s v="Foxconn CZ"/>
  </r>
  <r>
    <s v="FY24"/>
    <s v="Allen Chen"/>
    <m/>
    <m/>
    <m/>
    <m/>
    <n v="2023"/>
    <x v="21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16"/>
    <s v="HP India"/>
  </r>
  <r>
    <s v="FY24"/>
    <s v="Allen Chen"/>
    <m/>
    <m/>
    <m/>
    <m/>
    <n v="2023"/>
    <x v="21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640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17"/>
    <s v="Foxconn LH"/>
  </r>
  <r>
    <s v="FY24"/>
    <s v="Allen Chen"/>
    <m/>
    <m/>
    <m/>
    <m/>
    <n v="2023"/>
    <x v="21"/>
    <s v="Mouse"/>
    <s v="NA"/>
    <s v="Black"/>
    <s v="S China"/>
    <s v="OTHERS"/>
    <m/>
    <m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3200"/>
    <n v="0"/>
    <s v="0"/>
    <n v="0"/>
    <s v="0"/>
    <n v="0"/>
    <x v="218"/>
    <s v="Foxconn LH"/>
  </r>
  <r>
    <s v="FY24"/>
    <s v="Allen Chen"/>
    <m/>
    <m/>
    <m/>
    <m/>
    <n v="2023"/>
    <x v="21"/>
    <s v="Mouse"/>
    <s v="NA"/>
    <s v="Black"/>
    <s v="S China"/>
    <s v="OTHERS"/>
    <m/>
    <m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0"/>
    <n v="0"/>
    <n v="3200"/>
    <n v="0"/>
    <n v="3200"/>
    <n v="0"/>
    <x v="219"/>
    <s v="Foxconn CZ"/>
  </r>
  <r>
    <s v="FY24"/>
    <s v="Allen Chen"/>
    <m/>
    <m/>
    <m/>
    <m/>
    <n v="2020"/>
    <x v="28"/>
    <s v="Mouse"/>
    <s v="NA"/>
    <s v="Black"/>
    <s v="S China"/>
    <s v="OTHERS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20"/>
    <s v="Huaqin"/>
  </r>
  <r>
    <s v="FY24"/>
    <s v="Simon Yang"/>
    <m/>
    <m/>
    <m/>
    <m/>
    <n v="2018"/>
    <x v="29"/>
    <s v="NBL KB"/>
    <s v="NA"/>
    <s v="Black"/>
    <s v="S China"/>
    <s v="OTHERS"/>
    <n v="3.88"/>
    <n v="3.88"/>
    <n v="3.88"/>
    <n v="3.88"/>
    <n v="3.88"/>
    <n v="3.88"/>
    <n v="3.88"/>
    <n v="3.88"/>
    <n v="3.88"/>
    <n v="3.88"/>
    <n v="3.88"/>
    <n v="3.88"/>
    <n v="3.88"/>
    <n v="3.8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21"/>
    <s v="Huaqin"/>
  </r>
  <r>
    <s v="FY24"/>
    <m/>
    <m/>
    <m/>
    <m/>
    <m/>
    <n v="2021"/>
    <x v="30"/>
    <s v="Others"/>
    <s v="NA"/>
    <s v="Silver"/>
    <s v="S China"/>
    <s v="OTHERS"/>
    <n v="3.37"/>
    <n v="3.37"/>
    <n v="3.37"/>
    <n v="3.37"/>
    <n v="3.37"/>
    <n v="3.37"/>
    <n v="3.37"/>
    <n v="3.37"/>
    <n v="3.37"/>
    <n v="3.37"/>
    <n v="3.37"/>
    <n v="3.37"/>
    <n v="3.37"/>
    <n v="3.3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22"/>
    <s v="Darfon"/>
  </r>
  <r>
    <s v="FY24"/>
    <m/>
    <m/>
    <m/>
    <m/>
    <m/>
    <n v="2021"/>
    <x v="30"/>
    <s v="Others"/>
    <s v="NA"/>
    <s v="Silver"/>
    <s v="S China"/>
    <s v="OTHERS"/>
    <n v="3.26"/>
    <n v="3.26"/>
    <n v="3.26"/>
    <n v="3.26"/>
    <n v="3.26"/>
    <n v="3.26"/>
    <n v="3.26"/>
    <n v="3.26"/>
    <n v="3.26"/>
    <n v="3.26"/>
    <n v="3.26"/>
    <n v="3.26"/>
    <n v="3.26"/>
    <n v="3.26"/>
    <n v="0"/>
    <n v="0"/>
    <n v="0"/>
    <n v="0"/>
    <n v="0"/>
    <n v="0"/>
    <n v="0"/>
    <n v="0"/>
    <n v="0"/>
    <n v="0"/>
    <n v="0"/>
    <n v="0"/>
    <n v="0"/>
    <n v="2000"/>
    <n v="0"/>
    <n v="0"/>
    <n v="0"/>
    <s v="0"/>
    <n v="0"/>
    <n v="0"/>
    <n v="0"/>
    <n v="1000"/>
    <n v="0"/>
    <s v="0"/>
    <n v="0"/>
    <s v="0"/>
    <n v="0"/>
    <s v="0"/>
    <n v="0"/>
    <s v="0"/>
    <n v="0"/>
    <s v="0"/>
    <n v="0"/>
    <s v="0"/>
    <n v="0"/>
    <s v="0"/>
    <n v="0"/>
    <x v="223"/>
    <s v="Darfon"/>
  </r>
  <r>
    <s v="FY24"/>
    <s v="Simon Yang"/>
    <m/>
    <m/>
    <m/>
    <m/>
    <n v="2018"/>
    <x v="29"/>
    <s v="NBL KB"/>
    <s v="NA"/>
    <s v="Black"/>
    <s v="S China"/>
    <s v="OTHERS"/>
    <n v="3.65"/>
    <n v="3.65"/>
    <n v="3.65"/>
    <n v="3.65"/>
    <n v="3.65"/>
    <n v="3.65"/>
    <n v="3.65"/>
    <n v="3.65"/>
    <n v="3.65"/>
    <n v="3.65"/>
    <n v="3.65"/>
    <n v="3.65"/>
    <n v="3.65"/>
    <n v="3.6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1890"/>
    <n v="0"/>
    <n v="1890"/>
    <n v="0"/>
    <n v="7560"/>
    <n v="0"/>
    <s v="0"/>
    <n v="0"/>
    <s v="0"/>
    <n v="0"/>
    <n v="1890"/>
    <n v="0"/>
    <n v="1890"/>
    <n v="0"/>
    <n v="1890"/>
    <n v="0"/>
    <s v="0"/>
    <n v="0"/>
    <x v="224"/>
    <s v="Shanghai"/>
  </r>
  <r>
    <s v="FY24"/>
    <s v="Allen Chen"/>
    <m/>
    <m/>
    <m/>
    <m/>
    <n v="2023"/>
    <x v="31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n v="11.2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2880"/>
    <n v="0"/>
    <n v="1440"/>
    <n v="0"/>
    <n v="1440"/>
    <n v="648"/>
    <s v="0"/>
    <n v="0"/>
    <x v="225"/>
    <s v="Foxconn LH"/>
  </r>
  <r>
    <s v="FY24"/>
    <s v="Allen Chen"/>
    <m/>
    <m/>
    <m/>
    <m/>
    <n v="2023"/>
    <x v="31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n v="11.2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1440"/>
    <n v="0"/>
    <s v="0"/>
    <n v="0"/>
    <n v="1440"/>
    <n v="648"/>
    <s v="0"/>
    <n v="0"/>
    <x v="226"/>
    <s v="Foxconn CZ"/>
  </r>
  <r>
    <s v="FY24"/>
    <s v="Allen Chen"/>
    <m/>
    <m/>
    <m/>
    <m/>
    <n v="2023"/>
    <x v="31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n v="11.2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  <x v="227"/>
    <s v="Foxconn LH"/>
  </r>
  <r>
    <s v="FY24"/>
    <s v="Allen Chen"/>
    <m/>
    <m/>
    <m/>
    <m/>
    <n v="2023"/>
    <x v="31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n v="11.22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  <x v="228"/>
    <s v="Foxconn LH"/>
  </r>
  <r>
    <s v="FY24"/>
    <s v="Allen Chen"/>
    <m/>
    <m/>
    <m/>
    <m/>
    <n v="2023"/>
    <x v="31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n v="11.22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1440"/>
    <n v="0"/>
    <n v="14400"/>
    <n v="0"/>
    <s v="0"/>
    <n v="0"/>
    <s v="0"/>
    <n v="0"/>
    <x v="229"/>
    <s v="Foxconn CZ"/>
  </r>
  <r>
    <s v="FY24"/>
    <s v="Allen Chen"/>
    <m/>
    <m/>
    <m/>
    <m/>
    <n v="2023"/>
    <x v="31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n v="11.22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  <x v="230"/>
    <s v="Foxconn LH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040"/>
    <n v="1414.4"/>
    <s v="0"/>
    <n v="0"/>
    <x v="231"/>
    <s v="Foxconn LH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32"/>
    <s v="Foxconn LH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2080"/>
    <n v="2828.8"/>
    <x v="233"/>
    <s v="Flextronics CZ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040"/>
    <n v="1414.4"/>
    <x v="234"/>
    <s v="Foxconn LH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040"/>
    <n v="1414.4"/>
    <s v="0"/>
    <n v="0"/>
    <x v="235"/>
    <s v="Foxconn LH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36"/>
    <s v="Foxconn LH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6240"/>
    <n v="8486.4000000000015"/>
    <x v="237"/>
    <s v="Flextronics CZ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040"/>
    <n v="1414.4"/>
    <x v="238"/>
    <s v="Foxconn LH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  <x v="239"/>
    <s v="Foxconn LH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40"/>
    <s v="Foxconn LH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41"/>
    <s v="Foxconn LH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200"/>
    <n v="1128"/>
    <n v="1200"/>
    <n v="1128"/>
    <x v="242"/>
    <s v="Flextronics CZ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  <x v="243"/>
    <s v="Foxconn LH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200"/>
    <n v="1128"/>
    <s v="0"/>
    <n v="0"/>
    <x v="244"/>
    <s v="Foxconn LH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45"/>
    <s v="Foxconn LH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x v="246"/>
    <s v="Foxconn LH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4800"/>
    <n v="4512"/>
    <x v="247"/>
    <s v="Flextronics CZ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  <x v="248"/>
    <s v="Foxconn LH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s v="FY24"/>
    <s v="Allen Chen"/>
    <s v="Acrox"/>
    <s v="Peripheral"/>
    <s v="Peripheral"/>
    <s v="Peripherals"/>
    <n v="2018"/>
    <x v="0"/>
    <s v="Mouse"/>
    <s v="NA"/>
    <s v="Black"/>
    <s v="S China"/>
    <s v="OTHERS"/>
    <n v="1.8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</r>
  <r>
    <s v="FY24"/>
    <s v="Allen Chen"/>
    <m/>
    <m/>
    <m/>
    <m/>
    <n v="2018"/>
    <x v="0"/>
    <s v="Mouse"/>
    <s v="NA"/>
    <s v="Black"/>
    <s v="S China"/>
    <s v="OTHERS"/>
    <n v="1.8"/>
    <n v="1.79"/>
    <n v="1.79"/>
    <n v="1.79"/>
    <n v="1.79"/>
    <n v="1.79"/>
    <n v="1.79"/>
    <n v="1.79"/>
    <n v="1.79"/>
    <n v="1.79"/>
    <n v="1.79"/>
    <n v="1.79"/>
    <n v="1.79"/>
    <n v="1.79"/>
    <n v="0"/>
    <n v="0"/>
    <n v="0"/>
    <n v="0"/>
    <n v="0"/>
    <n v="0"/>
    <n v="0"/>
    <n v="0"/>
    <n v="0"/>
    <n v="0"/>
    <n v="0"/>
    <n v="0"/>
    <n v="0"/>
    <n v="6720"/>
    <n v="0"/>
    <n v="94080"/>
    <n v="0"/>
    <n v="6720"/>
    <n v="0"/>
    <n v="0"/>
    <n v="0"/>
    <n v="26880"/>
    <n v="0"/>
    <n v="32640"/>
    <n v="0"/>
    <s v="0"/>
    <n v="0"/>
    <n v="6720"/>
    <n v="0"/>
    <n v="6720"/>
    <n v="0"/>
    <n v="20160"/>
    <n v="0"/>
    <n v="6720"/>
    <n v="0"/>
    <n v="26880"/>
    <n v="0"/>
  </r>
  <r>
    <s v="FY24"/>
    <s v="Allen Chen"/>
    <m/>
    <m/>
    <m/>
    <m/>
    <n v="2018"/>
    <x v="0"/>
    <s v="Mouse"/>
    <s v="NA"/>
    <s v="Black"/>
    <s v="S China"/>
    <s v="OTHERS"/>
    <n v="1.8"/>
    <n v="2.04"/>
    <n v="2.04"/>
    <n v="2.04"/>
    <n v="2.04"/>
    <n v="2.04"/>
    <n v="2.04"/>
    <n v="2.04"/>
    <n v="2.04"/>
    <n v="2.04"/>
    <n v="2.04"/>
    <n v="2.04"/>
    <n v="2.04"/>
    <n v="2.04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2880"/>
    <n v="0"/>
    <n v="0"/>
    <n v="0"/>
    <n v="0"/>
    <n v="0"/>
    <s v="0"/>
    <n v="0"/>
    <s v="0"/>
    <n v="0"/>
    <n v="2880"/>
    <n v="0"/>
    <s v="0"/>
    <n v="0"/>
    <n v="2880"/>
    <n v="0"/>
    <s v="0"/>
    <n v="0"/>
  </r>
  <r>
    <s v="FY24"/>
    <s v="Simon Yang"/>
    <m/>
    <m/>
    <m/>
    <m/>
    <n v="2020"/>
    <x v="1"/>
    <s v="Combo"/>
    <s v="NA"/>
    <s v="Black"/>
    <s v="S China"/>
    <s v="OTHERS"/>
    <n v="9.1999999999999993"/>
    <n v="9.16"/>
    <n v="9.16"/>
    <n v="9.16"/>
    <n v="9.16"/>
    <n v="9.16"/>
    <n v="9.16"/>
    <n v="9.16"/>
    <n v="9.16"/>
    <n v="9.16"/>
    <n v="9.16"/>
    <n v="9.16"/>
    <n v="9.16"/>
    <n v="9.16"/>
    <n v="0.18"/>
    <n v="0.18"/>
    <n v="0.18"/>
    <n v="0.18"/>
    <n v="0.18"/>
    <n v="0.18"/>
    <n v="0.18"/>
    <n v="0.18"/>
    <n v="0.18"/>
    <n v="0.18"/>
    <n v="0.18"/>
    <n v="0.18"/>
    <n v="0.18"/>
    <n v="48000"/>
    <n v="8640"/>
    <n v="17000"/>
    <n v="3060"/>
    <n v="19600"/>
    <n v="3528"/>
    <n v="17400"/>
    <n v="3132"/>
    <n v="28500"/>
    <n v="5130"/>
    <n v="37000"/>
    <n v="6660"/>
    <n v="24120"/>
    <n v="4341.5999999999995"/>
    <n v="21880"/>
    <n v="3938.3999999999996"/>
    <s v="0"/>
    <n v="0"/>
    <s v="0"/>
    <n v="0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m/>
    <m/>
    <n v="9"/>
    <n v="9"/>
    <n v="9"/>
    <n v="9"/>
    <n v="9"/>
    <n v="9"/>
    <n v="9"/>
    <n v="9"/>
    <n v="9"/>
    <n v="9"/>
    <n v="9"/>
    <n v="9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s v="0"/>
    <n v="0"/>
    <n v="1280"/>
    <n v="230.39999999999998"/>
    <s v="0"/>
    <n v="0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n v="9.0299999999999994"/>
    <n v="9.01"/>
    <n v="9.01"/>
    <n v="9.01"/>
    <n v="9.01"/>
    <n v="9.01"/>
    <n v="9.01"/>
    <n v="9.01"/>
    <n v="9.01"/>
    <n v="9.01"/>
    <n v="9.01"/>
    <n v="9.01"/>
    <n v="9.01"/>
    <n v="9.01"/>
    <n v="0.18"/>
    <n v="0.18"/>
    <n v="0.18"/>
    <n v="0.18"/>
    <n v="0.18"/>
    <n v="0.18"/>
    <n v="0.18"/>
    <n v="0.18"/>
    <n v="0.18"/>
    <n v="0.18"/>
    <n v="0.18"/>
    <n v="0.18"/>
    <n v="0.18"/>
    <n v="28780"/>
    <n v="5180.3999999999996"/>
    <n v="14000"/>
    <n v="2520"/>
    <n v="43400"/>
    <n v="7812"/>
    <n v="23600"/>
    <n v="4248"/>
    <n v="18000"/>
    <n v="3240"/>
    <n v="29000"/>
    <n v="5220"/>
    <n v="15600"/>
    <n v="2808"/>
    <n v="33400"/>
    <n v="6012"/>
    <n v="25280"/>
    <n v="4550.3999999999996"/>
    <n v="21280"/>
    <n v="3830.3999999999996"/>
    <n v="47000"/>
    <n v="8460"/>
    <n v="23000"/>
    <n v="4140"/>
  </r>
  <r>
    <s v="FY24"/>
    <s v="Simon Yang"/>
    <m/>
    <m/>
    <m/>
    <m/>
    <n v="2020"/>
    <x v="2"/>
    <s v="Combo"/>
    <s v="NA"/>
    <s v="White"/>
    <s v="S China"/>
    <s v="OTHERS"/>
    <n v="10.99"/>
    <n v="10.92"/>
    <n v="10.92"/>
    <n v="10.92"/>
    <n v="10.92"/>
    <n v="10.92"/>
    <n v="10.92"/>
    <n v="10.92"/>
    <n v="10.92"/>
    <n v="10.92"/>
    <n v="10.92"/>
    <n v="10.92"/>
    <n v="10.92"/>
    <n v="10.92"/>
    <n v="0.21"/>
    <n v="0.21"/>
    <n v="0.21"/>
    <n v="0.21"/>
    <n v="0.21"/>
    <n v="0.21"/>
    <n v="0.21"/>
    <n v="0.21"/>
    <n v="0.21"/>
    <n v="0.21"/>
    <n v="0.21"/>
    <n v="0.21"/>
    <n v="0.21"/>
    <n v="10880"/>
    <n v="2284.7999999999997"/>
    <n v="0"/>
    <n v="0"/>
    <n v="5760"/>
    <n v="1209.5999999999999"/>
    <n v="2880"/>
    <n v="604.79999999999995"/>
    <n v="3880"/>
    <n v="814.8"/>
    <n v="16880"/>
    <n v="3544.7999999999997"/>
    <n v="10180"/>
    <n v="2137.7999999999997"/>
    <n v="5760"/>
    <n v="1209.5999999999999"/>
    <s v="0"/>
    <n v="0"/>
    <n v="5760"/>
    <n v="1209.5999999999999"/>
    <n v="10760"/>
    <n v="2259.6"/>
    <n v="5880"/>
    <n v="1234.8"/>
  </r>
  <r>
    <s v="FY24"/>
    <s v="Simon Yang"/>
    <m/>
    <m/>
    <m/>
    <m/>
    <n v="2021"/>
    <x v="3"/>
    <s v="NBL KB"/>
    <s v="NA"/>
    <s v="Black"/>
    <s v="S China"/>
    <s v="OTHERS"/>
    <n v="7.73"/>
    <n v="7.58"/>
    <n v="7.58"/>
    <n v="7.58"/>
    <n v="7.58"/>
    <n v="7.58"/>
    <n v="7.58"/>
    <n v="7.58"/>
    <n v="7.58"/>
    <n v="7.58"/>
    <n v="7.58"/>
    <n v="7.58"/>
    <n v="7.58"/>
    <n v="7.58"/>
    <n v="0.15"/>
    <n v="0.15"/>
    <n v="0.15"/>
    <n v="0.15"/>
    <n v="0.15"/>
    <n v="0.15"/>
    <n v="0.15"/>
    <n v="0.15"/>
    <n v="0.15"/>
    <n v="0.15"/>
    <n v="0.15"/>
    <n v="0.15"/>
    <n v="0.15"/>
    <n v="12480"/>
    <n v="1872"/>
    <n v="0"/>
    <n v="0"/>
    <n v="6080"/>
    <n v="912"/>
    <n v="5500"/>
    <n v="825"/>
    <n v="6840"/>
    <n v="1026"/>
    <n v="14280"/>
    <n v="2142"/>
    <s v="0"/>
    <n v="0"/>
    <s v="0"/>
    <n v="0"/>
    <s v="0"/>
    <n v="0"/>
    <n v="1280"/>
    <n v="192"/>
    <n v="4000"/>
    <n v="600"/>
    <n v="3840"/>
    <n v="576"/>
  </r>
  <r>
    <s v="FY24"/>
    <s v="Allen Chen"/>
    <m/>
    <m/>
    <m/>
    <m/>
    <n v="2020"/>
    <x v="4"/>
    <s v="Mouse"/>
    <s v="NA"/>
    <s v="Natural Silver"/>
    <s v="S China"/>
    <s v="OTHERS"/>
    <n v="30.5"/>
    <n v="30.52"/>
    <n v="30.52"/>
    <n v="30.52"/>
    <n v="30.52"/>
    <n v="30.52"/>
    <n v="30.52"/>
    <n v="30.52"/>
    <n v="30.52"/>
    <n v="30.52"/>
    <n v="30.52"/>
    <n v="30.52"/>
    <n v="30.45"/>
    <n v="30.45"/>
    <n v="0"/>
    <n v="0"/>
    <n v="0"/>
    <n v="0"/>
    <n v="0"/>
    <n v="0"/>
    <n v="0"/>
    <n v="0"/>
    <n v="0"/>
    <n v="0"/>
    <n v="0"/>
    <n v="7.0000000000000007E-2"/>
    <n v="7.0000000000000007E-2"/>
    <n v="1008"/>
    <n v="0"/>
    <n v="0"/>
    <n v="0"/>
    <s v="0"/>
    <n v="0"/>
    <n v="1008"/>
    <n v="0"/>
    <n v="0"/>
    <n v="0"/>
    <n v="1008"/>
    <n v="0"/>
    <s v="0"/>
    <n v="0"/>
    <n v="1008"/>
    <n v="0"/>
    <s v="0"/>
    <n v="0"/>
    <s v="0"/>
    <n v="0"/>
    <n v="1008"/>
    <n v="70.56"/>
    <s v="0"/>
    <n v="0"/>
  </r>
  <r>
    <s v="FY24"/>
    <s v="Allen Chen"/>
    <m/>
    <m/>
    <m/>
    <m/>
    <n v="2020"/>
    <x v="4"/>
    <s v="Mouse"/>
    <s v="NA"/>
    <s v="Nightfull black"/>
    <s v="S China"/>
    <s v="OTHERS"/>
    <n v="30.4"/>
    <n v="30.42"/>
    <n v="30.42"/>
    <n v="30.42"/>
    <n v="30.42"/>
    <n v="30.42"/>
    <n v="30.42"/>
    <n v="30.42"/>
    <n v="30.42"/>
    <n v="30.42"/>
    <n v="30.42"/>
    <n v="30.42"/>
    <n v="30.35"/>
    <n v="30.3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2016"/>
    <n v="0"/>
    <n v="1008"/>
    <n v="0"/>
    <n v="0"/>
    <n v="0"/>
    <n v="1008"/>
    <n v="0"/>
    <s v="0"/>
    <n v="0"/>
    <n v="1008"/>
    <n v="0"/>
    <s v="0"/>
    <n v="0"/>
    <n v="1008"/>
    <n v="0"/>
    <s v="0"/>
    <n v="0"/>
    <s v="0"/>
    <n v="0"/>
    <n v="1008"/>
    <n v="70.56"/>
  </r>
  <r>
    <s v="FY24"/>
    <s v="Allen Chen"/>
    <m/>
    <m/>
    <m/>
    <m/>
    <n v="2020"/>
    <x v="4"/>
    <s v="Mouse"/>
    <s v="NA"/>
    <s v="Natural Silver"/>
    <s v="S China"/>
    <s v="OTHERS"/>
    <n v="30.5"/>
    <n v="30.52"/>
    <n v="30.52"/>
    <n v="30.52"/>
    <n v="30.52"/>
    <n v="30.52"/>
    <n v="30.52"/>
    <n v="30.52"/>
    <n v="30.52"/>
    <n v="30.52"/>
    <n v="30.52"/>
    <n v="30.52"/>
    <n v="30.45"/>
    <n v="30.4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x v="5"/>
    <s v="Combo"/>
    <s v="NA"/>
    <s v="Black"/>
    <s v="S China"/>
    <s v="OTHERS"/>
    <n v="5.14"/>
    <n v="5.14"/>
    <n v="5.14"/>
    <n v="5.14"/>
    <n v="5.14"/>
    <n v="5.14"/>
    <n v="5.14"/>
    <n v="5.14"/>
    <n v="5.14"/>
    <n v="5.14"/>
    <n v="5.14"/>
    <n v="5.14"/>
    <n v="5.14"/>
    <n v="5.14"/>
    <n v="0"/>
    <n v="0"/>
    <n v="0"/>
    <n v="0"/>
    <n v="0"/>
    <n v="0"/>
    <n v="0"/>
    <n v="0"/>
    <n v="0"/>
    <n v="0"/>
    <n v="0"/>
    <n v="0"/>
    <n v="0"/>
    <n v="5600"/>
    <n v="0"/>
    <n v="7700"/>
    <n v="0"/>
    <n v="2700"/>
    <n v="0"/>
    <n v="5200"/>
    <n v="0"/>
    <n v="13800"/>
    <n v="0"/>
    <n v="15000"/>
    <n v="0"/>
    <n v="5200"/>
    <n v="0"/>
    <n v="17000"/>
    <n v="0"/>
    <s v="0"/>
    <n v="0"/>
    <n v="2600"/>
    <n v="0"/>
    <n v="7800"/>
    <n v="0"/>
    <n v="2600"/>
    <n v="0"/>
  </r>
  <r>
    <s v="FY24"/>
    <s v="Simon Yang"/>
    <m/>
    <m/>
    <m/>
    <m/>
    <n v="2020"/>
    <x v="6"/>
    <s v="Combo"/>
    <s v="NA"/>
    <s v="Black"/>
    <s v="S China"/>
    <s v="OTHERS"/>
    <n v="4.93"/>
    <n v="4.93"/>
    <n v="4.93"/>
    <n v="4.93"/>
    <n v="4.93"/>
    <n v="4.93"/>
    <n v="4.93"/>
    <n v="4.93"/>
    <n v="4.93"/>
    <n v="4.93"/>
    <n v="4.93"/>
    <n v="4.93"/>
    <n v="4.93"/>
    <n v="4.9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2"/>
    <x v="7"/>
    <s v="NBL KB"/>
    <s v="NA"/>
    <s v="Black"/>
    <s v="S China"/>
    <s v="OTHERS"/>
    <n v="3.9"/>
    <n v="3.9"/>
    <n v="3.9"/>
    <n v="3.9"/>
    <n v="3.9"/>
    <n v="3.9"/>
    <n v="3.9"/>
    <n v="3.9"/>
    <n v="3.9"/>
    <n v="3.9"/>
    <n v="3.9"/>
    <n v="3.9"/>
    <n v="3.9"/>
    <n v="3.9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5600"/>
    <n v="1176"/>
    <n v="5600"/>
    <n v="1176"/>
    <n v="2800"/>
    <n v="588"/>
    <n v="2800"/>
    <n v="588"/>
    <n v="5600"/>
    <n v="1176"/>
    <n v="5600"/>
    <n v="1176"/>
    <n v="8400"/>
    <n v="1764"/>
  </r>
  <r>
    <s v="FY24"/>
    <s v="Allen Chen"/>
    <m/>
    <m/>
    <m/>
    <m/>
    <n v="2016"/>
    <x v="8"/>
    <s v="Mouse"/>
    <s v="NA"/>
    <s v="Black"/>
    <s v="S China"/>
    <s v="OTHERS"/>
    <n v="5.3"/>
    <n v="4.79"/>
    <n v="4.79"/>
    <n v="4.79"/>
    <n v="4.79"/>
    <n v="4.79"/>
    <n v="4.79"/>
    <n v="4.79"/>
    <n v="4.79"/>
    <n v="4.79"/>
    <n v="4.79"/>
    <n v="4.79"/>
    <n v="4.79"/>
    <n v="4.79"/>
    <n v="0.05"/>
    <n v="0.05"/>
    <n v="0.05"/>
    <n v="0.05"/>
    <n v="0.05"/>
    <n v="0.05"/>
    <n v="0.05"/>
    <n v="0.05"/>
    <n v="0.05"/>
    <n v="0.05"/>
    <n v="0.05"/>
    <n v="0.05"/>
    <n v="0.05"/>
    <n v="0"/>
    <n v="0"/>
    <n v="12960"/>
    <n v="648"/>
    <n v="4320"/>
    <n v="216"/>
    <n v="0"/>
    <n v="0"/>
    <n v="8640"/>
    <n v="432"/>
    <n v="8640"/>
    <n v="432"/>
    <n v="8640"/>
    <n v="432"/>
    <n v="8640"/>
    <n v="432"/>
    <n v="4320"/>
    <n v="216"/>
    <s v="0"/>
    <n v="0"/>
    <n v="4320"/>
    <n v="216"/>
    <n v="4320"/>
    <n v="216"/>
  </r>
  <r>
    <s v="FY24"/>
    <s v="Allen Chen"/>
    <m/>
    <m/>
    <m/>
    <m/>
    <n v="2019"/>
    <x v="9"/>
    <s v="Mouse"/>
    <s v="NA"/>
    <s v="Black"/>
    <s v="S China"/>
    <s v="OTHERS"/>
    <n v="1.8"/>
    <n v="1.8"/>
    <n v="1.8"/>
    <n v="1.8"/>
    <n v="1.8"/>
    <n v="1.8"/>
    <n v="1.8"/>
    <n v="1.8"/>
    <n v="1.8"/>
    <n v="1.8"/>
    <n v="1.8"/>
    <n v="1.8"/>
    <n v="1.8"/>
    <n v="1.8"/>
    <n v="0"/>
    <n v="0"/>
    <n v="0"/>
    <n v="0"/>
    <n v="0"/>
    <n v="0"/>
    <n v="0"/>
    <n v="0"/>
    <n v="0"/>
    <n v="0"/>
    <n v="0"/>
    <n v="0"/>
    <n v="0"/>
    <n v="17280"/>
    <n v="0"/>
    <n v="33040"/>
    <n v="0"/>
    <n v="15920"/>
    <n v="0"/>
    <n v="0"/>
    <n v="0"/>
    <n v="37440"/>
    <n v="0"/>
    <n v="40320"/>
    <n v="0"/>
    <n v="20200"/>
    <n v="0"/>
    <n v="2880"/>
    <n v="0"/>
    <n v="5760"/>
    <n v="0"/>
    <n v="20160"/>
    <n v="0"/>
    <s v="0"/>
    <n v="0"/>
    <n v="17280"/>
    <n v="0"/>
  </r>
  <r>
    <s v="FY24"/>
    <s v="Simon Yang"/>
    <m/>
    <m/>
    <m/>
    <m/>
    <n v="2020"/>
    <x v="10"/>
    <s v="Combo"/>
    <s v="NA"/>
    <s v="Black"/>
    <s v="S China"/>
    <s v="OTHERS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0.08"/>
    <n v="0.08"/>
    <n v="0.08"/>
    <n v="0.08"/>
    <n v="0.08"/>
    <n v="0.08"/>
    <n v="0.08"/>
    <n v="0.08"/>
    <n v="0.08"/>
    <n v="0.08"/>
    <n v="0.08"/>
    <n v="0.08"/>
    <n v="0.08"/>
    <n v="7780"/>
    <n v="622.4"/>
    <n v="0"/>
    <n v="0"/>
    <n v="2500"/>
    <n v="200"/>
    <n v="0"/>
    <n v="0"/>
    <n v="0"/>
    <n v="0"/>
    <n v="7000"/>
    <n v="560"/>
    <n v="1000"/>
    <n v="80"/>
    <n v="16000"/>
    <n v="1280"/>
    <n v="25000"/>
    <n v="2000"/>
    <n v="11500"/>
    <n v="920"/>
    <n v="10560"/>
    <n v="844.80000000000007"/>
    <n v="5280"/>
    <n v="422.40000000000003"/>
  </r>
  <r>
    <s v="FY24"/>
    <s v="Allen Chen"/>
    <m/>
    <m/>
    <m/>
    <m/>
    <n v="2020"/>
    <x v="11"/>
    <s v="Mouse"/>
    <s v="NA"/>
    <s v="Nightfull black"/>
    <s v="S China"/>
    <s v="OTHERS"/>
    <n v="22.76"/>
    <n v="22.78"/>
    <n v="22.78"/>
    <n v="22.78"/>
    <n v="22.78"/>
    <n v="22.78"/>
    <n v="22.78"/>
    <n v="22.78"/>
    <n v="22.78"/>
    <n v="22.78"/>
    <n v="22.78"/>
    <n v="22.78"/>
    <n v="22.72"/>
    <n v="22.72"/>
    <n v="0"/>
    <n v="0"/>
    <n v="0"/>
    <n v="0"/>
    <n v="0"/>
    <n v="0"/>
    <n v="0"/>
    <n v="0"/>
    <n v="0"/>
    <n v="0"/>
    <n v="0"/>
    <n v="0.06"/>
    <n v="0.06"/>
    <n v="0"/>
    <n v="0"/>
    <n v="1008"/>
    <n v="0"/>
    <n v="2016"/>
    <n v="0"/>
    <n v="0"/>
    <n v="0"/>
    <n v="1008"/>
    <n v="0"/>
    <n v="1008"/>
    <n v="0"/>
    <n v="1008"/>
    <n v="0"/>
    <n v="1008"/>
    <n v="0"/>
    <n v="1008"/>
    <n v="0"/>
    <s v="0"/>
    <n v="0"/>
    <n v="0"/>
    <n v="0"/>
    <n v="1008"/>
    <n v="60.48"/>
  </r>
  <r>
    <s v="FY24"/>
    <s v="Allen Chen"/>
    <m/>
    <m/>
    <m/>
    <m/>
    <n v="2021"/>
    <x v="12"/>
    <s v="Mouse"/>
    <s v="NA"/>
    <s v="Black"/>
    <s v="S China"/>
    <s v="OTHERS"/>
    <n v="4.3099999999999996"/>
    <n v="4.43"/>
    <n v="4.43"/>
    <n v="4.43"/>
    <n v="4.43"/>
    <n v="4.43"/>
    <n v="4.43"/>
    <n v="4.43"/>
    <n v="4.43"/>
    <n v="4.43"/>
    <n v="4.43"/>
    <n v="4.43"/>
    <n v="22.72"/>
    <n v="4.43"/>
    <n v="0"/>
    <n v="0"/>
    <n v="0"/>
    <n v="0"/>
    <n v="0"/>
    <n v="0"/>
    <n v="0"/>
    <n v="0"/>
    <n v="0"/>
    <n v="0"/>
    <n v="0"/>
    <n v="0"/>
    <n v="0"/>
    <n v="11520"/>
    <n v="0"/>
    <n v="8640"/>
    <n v="0"/>
    <n v="8640"/>
    <n v="0"/>
    <n v="2880"/>
    <n v="0"/>
    <n v="6080"/>
    <n v="0"/>
    <n v="14720"/>
    <n v="0"/>
    <n v="11520"/>
    <n v="0"/>
    <s v="0"/>
    <n v="0"/>
    <s v="0"/>
    <n v="0"/>
    <s v="0"/>
    <n v="0"/>
    <s v="0"/>
    <n v="0"/>
    <s v="0"/>
    <n v="0"/>
  </r>
  <r>
    <s v="FY24"/>
    <s v="Simon Yang"/>
    <m/>
    <m/>
    <m/>
    <m/>
    <n v="2019"/>
    <x v="13"/>
    <s v="Combo"/>
    <s v="NA"/>
    <s v="Black"/>
    <s v="S China"/>
    <s v="OTHERS"/>
    <n v="10.14"/>
    <n v="10.31"/>
    <n v="10.31"/>
    <n v="10.31"/>
    <n v="10.31"/>
    <n v="10.31"/>
    <n v="10.31"/>
    <n v="10.31"/>
    <n v="10.31"/>
    <n v="10.31"/>
    <n v="10.31"/>
    <n v="10.31"/>
    <n v="22.78"/>
    <n v="10.31"/>
    <n v="0"/>
    <n v="0"/>
    <n v="0"/>
    <n v="0"/>
    <n v="0"/>
    <n v="0"/>
    <n v="0"/>
    <n v="0"/>
    <n v="0"/>
    <n v="0"/>
    <n v="0"/>
    <n v="0"/>
    <n v="0.06"/>
    <n v="0"/>
    <n v="0"/>
    <n v="0"/>
    <n v="0"/>
    <s v="0"/>
    <n v="0"/>
    <n v="0"/>
    <n v="0"/>
    <n v="0"/>
    <n v="0"/>
    <s v="0"/>
    <n v="0"/>
    <n v="100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x v="14"/>
    <s v="Mouse"/>
    <s v="NA"/>
    <s v="Black"/>
    <s v="S China"/>
    <s v="OTHERS"/>
    <n v="3.28"/>
    <n v="3.28"/>
    <n v="3.28"/>
    <n v="3.28"/>
    <n v="3.28"/>
    <n v="3.28"/>
    <n v="3.28"/>
    <n v="3.28"/>
    <n v="3.28"/>
    <n v="3.28"/>
    <n v="3.28"/>
    <n v="3.28"/>
    <n v="3.28"/>
    <n v="3.28"/>
    <n v="0"/>
    <n v="0"/>
    <n v="0"/>
    <n v="0"/>
    <n v="0"/>
    <n v="0"/>
    <n v="0"/>
    <n v="0"/>
    <n v="0"/>
    <n v="0"/>
    <n v="0"/>
    <n v="0"/>
    <n v="0"/>
    <n v="6720"/>
    <n v="0"/>
    <n v="60480"/>
    <n v="0"/>
    <s v="0"/>
    <n v="0"/>
    <n v="33600"/>
    <n v="0"/>
    <n v="40320"/>
    <n v="0"/>
    <n v="65280"/>
    <n v="0"/>
    <n v="22080"/>
    <n v="0"/>
    <n v="6720"/>
    <n v="0"/>
    <s v="0"/>
    <n v="0"/>
    <n v="25920"/>
    <n v="0"/>
    <n v="20160"/>
    <n v="0"/>
    <n v="13440"/>
    <n v="0"/>
  </r>
  <r>
    <s v="FY24"/>
    <s v="Allen Chen"/>
    <m/>
    <m/>
    <m/>
    <m/>
    <n v="2023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n v="1200"/>
    <n v="576"/>
    <n v="0"/>
    <n v="0"/>
    <n v="1200"/>
    <n v="576"/>
    <n v="3600"/>
    <n v="1728"/>
    <n v="2400"/>
    <n v="1152"/>
    <s v="0"/>
    <n v="0"/>
    <s v="0"/>
    <n v="0"/>
    <s v="0"/>
    <n v="0"/>
    <s v="0"/>
    <n v="0"/>
    <n v="1200"/>
    <n v="996"/>
  </r>
  <r>
    <s v="FY24"/>
    <s v="Allen Chen"/>
    <m/>
    <m/>
    <m/>
    <m/>
    <n v="2021"/>
    <x v="16"/>
    <s v="Mouse"/>
    <s v="NA"/>
    <s v="Pike silver"/>
    <s v="S China"/>
    <s v="OTHERS"/>
    <n v="4.57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2880"/>
    <n v="0"/>
    <n v="20160"/>
    <n v="0"/>
    <n v="14400"/>
    <n v="0"/>
    <n v="0"/>
    <n v="0"/>
    <n v="11520"/>
    <n v="0"/>
    <s v="0"/>
    <n v="0"/>
    <n v="2880"/>
    <n v="0"/>
    <n v="2880"/>
    <n v="201.60000000000002"/>
    <n v="2880"/>
    <n v="201.60000000000002"/>
    <n v="2880"/>
    <n v="201.60000000000002"/>
    <n v="2880"/>
    <n v="201.60000000000002"/>
    <n v="11520"/>
    <n v="806.40000000000009"/>
  </r>
  <r>
    <s v="FY24"/>
    <s v="Allen Chen"/>
    <m/>
    <m/>
    <m/>
    <m/>
    <n v="2018"/>
    <x v="17"/>
    <s v="Mouse"/>
    <s v="NA"/>
    <s v="Black"/>
    <s v="S China"/>
    <s v="OTHERS"/>
    <n v="4.82"/>
    <n v="4.82"/>
    <n v="4.82"/>
    <n v="4.82"/>
    <n v="4.82"/>
    <n v="4.82"/>
    <n v="4.82"/>
    <n v="4.82"/>
    <n v="4.82"/>
    <n v="4.82"/>
    <n v="4.82"/>
    <n v="4.82"/>
    <n v="4.82"/>
    <n v="4.82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8640"/>
    <n v="432"/>
    <n v="0"/>
    <n v="0"/>
    <n v="0"/>
    <n v="0"/>
    <s v="0"/>
    <n v="0"/>
    <s v="0"/>
    <n v="0"/>
    <n v="38880"/>
    <n v="1944"/>
    <n v="38880"/>
    <n v="1944"/>
    <s v="0"/>
    <n v="0"/>
    <n v="82080"/>
    <n v="4104"/>
    <s v="0"/>
    <n v="0"/>
  </r>
  <r>
    <s v="FY24"/>
    <s v="Allen Chen"/>
    <m/>
    <m/>
    <m/>
    <m/>
    <n v="2018"/>
    <x v="17"/>
    <s v="Mouse"/>
    <s v="NA"/>
    <s v="Blue"/>
    <s v="S China"/>
    <s v="OTHERS"/>
    <n v="5.05"/>
    <n v="5.05"/>
    <n v="5.05"/>
    <n v="5.05"/>
    <n v="5.05"/>
    <n v="5.05"/>
    <n v="5.05"/>
    <n v="5.05"/>
    <n v="5.05"/>
    <n v="5.05"/>
    <n v="5.05"/>
    <n v="5.05"/>
    <n v="5.05"/>
    <n v="5.05"/>
    <n v="0.05"/>
    <n v="0.05"/>
    <n v="0.05"/>
    <n v="0.05"/>
    <n v="0.05"/>
    <n v="0.05"/>
    <n v="0.05"/>
    <n v="0.05"/>
    <n v="0.05"/>
    <n v="0.05"/>
    <n v="0.05"/>
    <n v="0.05"/>
    <n v="0.05"/>
    <n v="0"/>
    <n v="0"/>
    <n v="2040"/>
    <n v="102"/>
    <n v="6600"/>
    <n v="330"/>
    <n v="0"/>
    <n v="0"/>
    <n v="0"/>
    <n v="0"/>
    <s v="0"/>
    <n v="0"/>
    <n v="4320"/>
    <n v="216"/>
    <n v="4320"/>
    <n v="216"/>
    <n v="4320"/>
    <n v="216"/>
    <s v="0"/>
    <n v="0"/>
    <n v="4320"/>
    <n v="216"/>
    <s v="0"/>
    <n v="0"/>
  </r>
  <r>
    <s v="FY24"/>
    <s v="Allen Chen"/>
    <m/>
    <m/>
    <m/>
    <m/>
    <n v="2018"/>
    <x v="17"/>
    <s v="Mouse"/>
    <s v="NA"/>
    <s v="Pike silver"/>
    <s v="S China"/>
    <s v="OTHERS"/>
    <n v="5.64"/>
    <n v="5.64"/>
    <n v="5.64"/>
    <n v="5.64"/>
    <n v="5.64"/>
    <n v="5.64"/>
    <n v="5.64"/>
    <n v="5.64"/>
    <n v="5.64"/>
    <n v="5.64"/>
    <n v="5.64"/>
    <n v="5.64"/>
    <n v="5.64"/>
    <n v="5.6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18"/>
    <s v="Mouse"/>
    <s v="NA"/>
    <s v="Empress red"/>
    <s v="S China"/>
    <s v="OTHERS"/>
    <n v="4.04"/>
    <n v="4.04"/>
    <n v="4.04"/>
    <n v="4.04"/>
    <n v="4.04"/>
    <n v="4.04"/>
    <n v="4.04"/>
    <n v="4.04"/>
    <n v="4.04"/>
    <n v="4.04"/>
    <n v="4.04"/>
    <n v="4.04"/>
    <n v="4.04"/>
    <n v="4.04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s v="0"/>
    <n v="0"/>
    <n v="0"/>
    <n v="0"/>
    <n v="4320"/>
    <n v="172.8"/>
    <n v="4320"/>
    <n v="172.8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9"/>
    <x v="19"/>
    <s v="Mouse"/>
    <s v="NA"/>
    <s v="Black"/>
    <s v="S China"/>
    <s v="OTHERS"/>
    <n v="2.04"/>
    <n v="1.99"/>
    <n v="1.99"/>
    <n v="1.99"/>
    <n v="1.99"/>
    <n v="1.99"/>
    <n v="1.99"/>
    <n v="1.99"/>
    <n v="1.99"/>
    <n v="1.99"/>
    <n v="1.99"/>
    <n v="1.99"/>
    <n v="1.99"/>
    <n v="1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8"/>
    <x v="17"/>
    <s v="Mouse"/>
    <s v="NA"/>
    <s v="Black"/>
    <s v="S China"/>
    <s v="OTHERS"/>
    <n v="4.54"/>
    <n v="4.54"/>
    <n v="4.54"/>
    <n v="4.54"/>
    <n v="4.54"/>
    <n v="4.54"/>
    <n v="4.54"/>
    <n v="4.54"/>
    <n v="4.54"/>
    <n v="4.54"/>
    <n v="4.54"/>
    <n v="4.54"/>
    <n v="4.54"/>
    <n v="4.54"/>
    <n v="0.05"/>
    <n v="0.05"/>
    <n v="0.05"/>
    <n v="0.05"/>
    <n v="0.05"/>
    <n v="0.05"/>
    <n v="0.05"/>
    <n v="0.05"/>
    <n v="0.05"/>
    <n v="0.05"/>
    <n v="0.05"/>
    <n v="0.05"/>
    <n v="0.05"/>
    <n v="8640"/>
    <n v="432"/>
    <n v="12960"/>
    <n v="648"/>
    <n v="4320"/>
    <n v="216"/>
    <n v="0"/>
    <n v="0"/>
    <n v="21600"/>
    <n v="1080"/>
    <n v="11520"/>
    <n v="576"/>
    <n v="8640"/>
    <n v="432"/>
    <s v="0"/>
    <n v="0"/>
    <s v="0"/>
    <n v="0"/>
    <n v="8640"/>
    <n v="432"/>
    <n v="4320"/>
    <n v="216"/>
    <n v="8640"/>
    <n v="432"/>
  </r>
  <r>
    <s v="FY24"/>
    <s v="Allen Chen"/>
    <m/>
    <m/>
    <m/>
    <m/>
    <n v="2018"/>
    <x v="17"/>
    <s v="Mouse"/>
    <s v="NA"/>
    <s v="Black"/>
    <s v="S China"/>
    <s v="OTHERS"/>
    <n v="4.96"/>
    <n v="5.14"/>
    <n v="5.14"/>
    <n v="5.14"/>
    <n v="5.14"/>
    <n v="5.14"/>
    <n v="5.14"/>
    <n v="5.14"/>
    <n v="5.14"/>
    <n v="5.14"/>
    <n v="5.14"/>
    <n v="5.14"/>
    <n v="5.14"/>
    <n v="5.14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8"/>
    <x v="17"/>
    <s v="Mouse"/>
    <s v="NA"/>
    <s v="Sred"/>
    <s v="S China"/>
    <s v="OTHERS"/>
    <n v="4.78"/>
    <n v="4.78"/>
    <n v="4.78"/>
    <n v="5.14"/>
    <n v="5.14"/>
    <n v="5.14"/>
    <n v="5.14"/>
    <n v="5.14"/>
    <n v="5.14"/>
    <n v="5.14"/>
    <n v="5.14"/>
    <n v="5.14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4320"/>
    <n v="216"/>
    <n v="0"/>
    <n v="0"/>
    <n v="0"/>
    <n v="0"/>
    <n v="1380"/>
    <n v="69"/>
    <n v="2760"/>
    <n v="138"/>
    <n v="1380"/>
    <n v="69"/>
    <s v="0"/>
    <n v="0"/>
    <s v="0"/>
    <n v="0"/>
    <s v="0"/>
    <n v="0"/>
    <n v="1380"/>
    <n v="69"/>
  </r>
  <r>
    <s v="FY24"/>
    <s v="Allen Chen"/>
    <m/>
    <m/>
    <m/>
    <m/>
    <n v="2018"/>
    <x v="17"/>
    <s v="Mouse"/>
    <s v="NA"/>
    <s v="Blue"/>
    <s v="S China"/>
    <s v="OTHERS"/>
    <n v="4.78"/>
    <n v="4.78"/>
    <n v="4.78"/>
    <n v="5.14"/>
    <n v="5.14"/>
    <n v="5.14"/>
    <n v="5.14"/>
    <n v="5.14"/>
    <n v="5.14"/>
    <n v="5.14"/>
    <n v="5.14"/>
    <n v="5.14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1380"/>
    <n v="69"/>
    <n v="4140"/>
    <n v="207"/>
    <n v="6900"/>
    <n v="345"/>
    <s v="0"/>
    <n v="0"/>
    <s v="0"/>
    <n v="0"/>
    <s v="0"/>
    <n v="0"/>
    <s v="0"/>
    <n v="0"/>
    <n v="1380"/>
    <n v="69"/>
  </r>
  <r>
    <s v="FY24"/>
    <s v="Allen Chen"/>
    <m/>
    <m/>
    <m/>
    <m/>
    <n v="2018"/>
    <x v="17"/>
    <s v="Mouse"/>
    <s v="NA"/>
    <s v="Snow White"/>
    <s v="S China"/>
    <s v="OTHERS"/>
    <n v="4.78"/>
    <n v="4.78"/>
    <n v="4.78"/>
    <n v="4.78"/>
    <n v="4.78"/>
    <n v="5.14"/>
    <n v="5.14"/>
    <n v="5.14"/>
    <n v="5.14"/>
    <n v="5.14"/>
    <n v="5.14"/>
    <n v="5.14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4320"/>
    <n v="216"/>
    <n v="4320"/>
    <n v="216"/>
    <n v="4320"/>
    <n v="216"/>
    <n v="0"/>
    <n v="0"/>
    <n v="5520"/>
    <n v="276"/>
    <n v="2760"/>
    <n v="138"/>
    <n v="1380"/>
    <n v="69"/>
    <s v="0"/>
    <n v="0"/>
    <n v="2760"/>
    <n v="138"/>
    <n v="1380"/>
    <n v="69"/>
    <s v="0"/>
    <n v="0"/>
    <n v="4140"/>
    <n v="207"/>
  </r>
  <r>
    <s v="FY24"/>
    <s v="Allen Chen"/>
    <m/>
    <m/>
    <m/>
    <m/>
    <n v="2023"/>
    <x v="20"/>
    <s v="Mouse"/>
    <s v="NA"/>
    <s v="Black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n v="4080"/>
    <n v="1224"/>
    <n v="2040"/>
    <n v="612"/>
    <n v="2040"/>
    <n v="612"/>
    <n v="4080"/>
    <n v="1224"/>
    <s v="0"/>
    <n v="0"/>
    <n v="2040"/>
    <n v="612"/>
  </r>
  <r>
    <s v="FY24"/>
    <s v="Allen Chen"/>
    <m/>
    <m/>
    <m/>
    <m/>
    <n v="2023"/>
    <x v="20"/>
    <s v="Mouse"/>
    <s v="NA"/>
    <s v="Black"/>
    <s v="S China"/>
    <s v="OTHERS"/>
    <n v="6.31"/>
    <n v="6.31"/>
    <n v="6.31"/>
    <n v="6.31"/>
    <n v="6.31"/>
    <n v="6.31"/>
    <n v="6.31"/>
    <n v="6.31"/>
    <n v="6.31"/>
    <n v="6.31"/>
    <n v="6.31"/>
    <n v="6.31"/>
    <n v="6.31"/>
    <n v="6.31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3060"/>
    <n v="918"/>
    <n v="6120"/>
    <n v="1836"/>
    <n v="2760"/>
    <n v="828"/>
    <n v="1020"/>
    <n v="306"/>
    <n v="2100"/>
    <n v="630"/>
    <n v="1080"/>
    <n v="324"/>
    <n v="1020"/>
    <n v="306"/>
  </r>
  <r>
    <s v="FY24"/>
    <s v="Allen Chen"/>
    <m/>
    <m/>
    <m/>
    <m/>
    <n v="2023"/>
    <x v="20"/>
    <s v="Mouse"/>
    <s v="NA"/>
    <s v="Black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2040"/>
    <n v="612"/>
    <n v="3060"/>
    <n v="918"/>
    <n v="2040"/>
    <n v="612"/>
    <n v="3060"/>
    <n v="918"/>
    <n v="6120"/>
    <n v="1836"/>
    <n v="2040"/>
    <n v="612"/>
    <n v="4080"/>
    <n v="1224"/>
    <n v="2040"/>
    <n v="612"/>
  </r>
  <r>
    <s v="FY24"/>
    <s v="Allen Chen"/>
    <m/>
    <m/>
    <m/>
    <m/>
    <n v="2023"/>
    <x v="20"/>
    <s v="Mouse"/>
    <s v="NA"/>
    <s v="Silver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2040"/>
    <n v="612"/>
    <n v="6120"/>
    <n v="1836"/>
    <n v="2040"/>
    <n v="612"/>
    <n v="3060"/>
    <n v="918"/>
    <s v="0"/>
    <n v="0"/>
    <s v="0"/>
    <n v="0"/>
    <s v="0"/>
    <n v="0"/>
  </r>
  <r>
    <s v="FY24"/>
    <s v="Allen Chen"/>
    <m/>
    <m/>
    <m/>
    <m/>
    <n v="2023"/>
    <x v="20"/>
    <s v="Mouse"/>
    <s v="NA"/>
    <s v="Silver"/>
    <s v="S China"/>
    <s v="OTHERS"/>
    <n v="6.31"/>
    <n v="6.31"/>
    <n v="6.31"/>
    <n v="6.31"/>
    <n v="6.31"/>
    <n v="6.31"/>
    <n v="6.31"/>
    <n v="6.31"/>
    <n v="6.31"/>
    <n v="6.31"/>
    <n v="6.31"/>
    <n v="6.31"/>
    <n v="6.31"/>
    <n v="6.31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2040"/>
    <n v="612"/>
    <n v="1200"/>
    <n v="360"/>
    <n v="3060"/>
    <n v="918"/>
    <n v="2040"/>
    <n v="612"/>
    <s v="0"/>
    <n v="0"/>
    <s v="0"/>
    <n v="0"/>
    <n v="1020"/>
    <n v="306"/>
    <n v="2040"/>
    <n v="612"/>
  </r>
  <r>
    <s v="FY24"/>
    <s v="Allen Chen"/>
    <m/>
    <m/>
    <m/>
    <m/>
    <n v="2023"/>
    <x v="20"/>
    <s v="Mouse"/>
    <s v="NA"/>
    <s v="Silver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2040"/>
    <n v="612"/>
    <n v="0"/>
    <n v="0"/>
    <s v="0"/>
    <n v="0"/>
    <n v="0"/>
    <n v="0"/>
    <n v="0"/>
    <n v="0"/>
    <s v="0"/>
    <n v="0"/>
    <s v="0"/>
    <n v="0"/>
    <s v="0"/>
    <n v="0"/>
    <n v="4080"/>
    <n v="1224"/>
    <n v="2040"/>
    <n v="612"/>
    <n v="2040"/>
    <n v="612"/>
    <n v="2040"/>
    <n v="612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1020"/>
    <n v="306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1020"/>
    <n v="306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1020"/>
    <n v="306"/>
    <n v="0"/>
    <n v="0"/>
    <n v="0"/>
    <n v="0"/>
    <s v="0"/>
    <n v="0"/>
    <s v="0"/>
    <n v="0"/>
    <s v="0"/>
    <n v="0"/>
    <s v="0"/>
    <n v="0"/>
    <n v="1020"/>
    <n v="306"/>
    <s v="0"/>
    <n v="0"/>
    <n v="1020"/>
    <n v="306"/>
  </r>
  <r>
    <s v="FY24"/>
    <s v="Allen Chen"/>
    <m/>
    <m/>
    <m/>
    <m/>
    <n v="2023"/>
    <x v="20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1020"/>
    <n v="306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1"/>
    <s v="Mouse"/>
    <s v="NA"/>
    <s v="Black"/>
    <s v="S China"/>
    <s v="OTHERS"/>
    <n v="5.51"/>
    <n v="5.51"/>
    <n v="5.51"/>
    <n v="5.51"/>
    <n v="5.51"/>
    <n v="5.51"/>
    <n v="5.51"/>
    <n v="5.51"/>
    <n v="5.51"/>
    <n v="5.51"/>
    <n v="5.51"/>
    <n v="5.51"/>
    <n v="5.51"/>
    <n v="5.51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3640"/>
    <n v="0"/>
    <n v="364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1"/>
    <s v="Mouse"/>
    <s v="NA"/>
    <s v="Black"/>
    <s v="S China"/>
    <s v="OTHERS"/>
    <n v="5.18"/>
    <n v="5.18"/>
    <n v="5.18"/>
    <n v="5.18"/>
    <n v="5.18"/>
    <n v="5.18"/>
    <n v="5.18"/>
    <n v="5.18"/>
    <n v="5.18"/>
    <n v="5.18"/>
    <n v="5.18"/>
    <n v="5.18"/>
    <n v="5.18"/>
    <n v="5.1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10920"/>
    <n v="0"/>
    <s v="0"/>
    <n v="0"/>
    <n v="9040"/>
    <n v="0"/>
    <s v="0"/>
    <n v="0"/>
    <n v="7280"/>
    <n v="0"/>
    <s v="0"/>
    <n v="0"/>
    <n v="7280"/>
    <n v="0"/>
  </r>
  <r>
    <s v="FY24"/>
    <s v="Allen Chen"/>
    <m/>
    <m/>
    <m/>
    <m/>
    <n v="2023"/>
    <x v="21"/>
    <s v="Mouse"/>
    <s v="NA"/>
    <s v="Black"/>
    <s v="S China"/>
    <s v="OTHERS"/>
    <n v="5.45"/>
    <n v="5.45"/>
    <n v="5.45"/>
    <n v="5.45"/>
    <n v="5.45"/>
    <n v="5.45"/>
    <n v="5.45"/>
    <n v="5.45"/>
    <n v="5.45"/>
    <n v="5.45"/>
    <n v="5.45"/>
    <n v="5.45"/>
    <n v="5.45"/>
    <n v="5.4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3640"/>
    <n v="0"/>
    <s v="0"/>
    <n v="0"/>
    <n v="3640"/>
    <n v="0"/>
    <n v="3640"/>
    <n v="0"/>
  </r>
  <r>
    <s v="FY24"/>
    <s v="Allen Chen"/>
    <m/>
    <m/>
    <m/>
    <m/>
    <n v="2023"/>
    <x v="21"/>
    <s v="Mouse"/>
    <s v="NA"/>
    <s v="Black"/>
    <s v="S China"/>
    <s v="OTHERS"/>
    <n v="5"/>
    <n v="5"/>
    <n v="5"/>
    <n v="5"/>
    <n v="5"/>
    <n v="5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2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200"/>
    <n v="576"/>
    <s v="0"/>
    <n v="0"/>
    <s v="0"/>
    <n v="0"/>
  </r>
  <r>
    <s v="FY24"/>
    <s v="Allen Chen"/>
    <m/>
    <m/>
    <m/>
    <m/>
    <n v="2023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n v="1200"/>
    <n v="576"/>
    <n v="0"/>
    <n v="0"/>
    <n v="0"/>
    <n v="0"/>
    <s v="0"/>
    <n v="0"/>
    <n v="1200"/>
    <n v="576"/>
    <s v="0"/>
    <n v="0"/>
    <s v="0"/>
    <n v="0"/>
    <s v="0"/>
    <n v="0"/>
    <n v="1200"/>
    <n v="996"/>
    <s v="0"/>
    <n v="0"/>
  </r>
  <r>
    <s v="FY24"/>
    <s v="Allen Chen"/>
    <m/>
    <m/>
    <m/>
    <m/>
    <n v="2023"/>
    <x v="15"/>
    <s v="Mouse"/>
    <s v="NA"/>
    <s v="Silver"/>
    <s v="S China"/>
    <s v="OTHERS"/>
    <n v="25.11"/>
    <n v="25.26"/>
    <n v="25.26"/>
    <n v="25.26"/>
    <n v="25.26"/>
    <n v="25.26"/>
    <n v="25.26"/>
    <n v="25.26"/>
    <n v="25.26"/>
    <n v="25.26"/>
    <n v="25.26"/>
    <n v="25.26"/>
    <n v="25.16"/>
    <n v="25.16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5"/>
    <s v="Mouse"/>
    <s v="NA"/>
    <s v="Silver"/>
    <s v="S China"/>
    <s v="OTHERS"/>
    <n v="25.11"/>
    <n v="25.26"/>
    <n v="25.26"/>
    <n v="25.26"/>
    <n v="25.26"/>
    <n v="25.26"/>
    <n v="25.26"/>
    <n v="25.26"/>
    <n v="25.26"/>
    <n v="25.26"/>
    <n v="25.26"/>
    <n v="25.26"/>
    <n v="25.16"/>
    <n v="25.16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n v="1200"/>
    <n v="576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2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2400"/>
    <n v="1152"/>
    <n v="2400"/>
    <n v="1152"/>
    <n v="0"/>
    <n v="0"/>
    <n v="0"/>
    <n v="0"/>
    <n v="2400"/>
    <n v="1152"/>
    <n v="1200"/>
    <n v="576"/>
    <n v="1200"/>
    <n v="576"/>
    <s v="0"/>
    <n v="0"/>
    <s v="0"/>
    <n v="0"/>
    <s v="0"/>
    <n v="0"/>
    <n v="1200"/>
    <n v="996"/>
  </r>
  <r>
    <s v="FY24"/>
    <s v="Allen Chen"/>
    <m/>
    <m/>
    <m/>
    <m/>
    <n v="2023"/>
    <x v="15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2400"/>
    <n v="1152"/>
    <n v="1200"/>
    <n v="576"/>
    <s v="0"/>
    <n v="0"/>
    <n v="0"/>
    <n v="0"/>
    <n v="2400"/>
    <n v="1152"/>
    <s v="0"/>
    <n v="0"/>
    <n v="1200"/>
    <n v="576"/>
    <s v="0"/>
    <n v="0"/>
    <n v="1200"/>
    <n v="576"/>
    <s v="0"/>
    <n v="0"/>
    <s v="0"/>
    <n v="0"/>
    <s v="0"/>
    <n v="0"/>
  </r>
  <r>
    <s v="FY24"/>
    <s v="Allen Chen"/>
    <m/>
    <m/>
    <m/>
    <m/>
    <n v="2023"/>
    <x v="15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n v="24.07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0"/>
    <n v="0"/>
    <n v="1200"/>
    <n v="57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5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n v="24.07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5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n v="24.07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Black"/>
    <s v="S China"/>
    <s v="OTHERS"/>
    <n v="5.3"/>
    <n v="5.42"/>
    <n v="5.42"/>
    <n v="5.42"/>
    <n v="5.42"/>
    <n v="5.42"/>
    <n v="5.42"/>
    <n v="5.42"/>
    <n v="5.42"/>
    <n v="5.42"/>
    <n v="5.42"/>
    <n v="5.42"/>
    <n v="5.24"/>
    <n v="5.24"/>
    <n v="0.05"/>
    <n v="0.05"/>
    <n v="0.05"/>
    <n v="0.05"/>
    <n v="0.05"/>
    <n v="0.05"/>
    <n v="0.05"/>
    <n v="0.05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1560"/>
    <n v="78"/>
    <n v="1560"/>
    <n v="78"/>
    <n v="1560"/>
    <n v="78"/>
    <n v="3120"/>
    <n v="436.80000000000007"/>
    <n v="3120"/>
    <n v="436.80000000000007"/>
    <n v="1560"/>
    <n v="218.40000000000003"/>
    <n v="1560"/>
    <n v="218.40000000000003"/>
    <s v="0"/>
    <n v="0"/>
  </r>
  <r>
    <s v="FY24"/>
    <s v="Allen Chen"/>
    <m/>
    <m/>
    <m/>
    <m/>
    <n v="2016"/>
    <x v="8"/>
    <s v="Mouse"/>
    <s v="NA"/>
    <s v="White"/>
    <s v="S China"/>
    <s v="OTHERS"/>
    <n v="5.2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8640"/>
    <n v="432"/>
    <n v="0"/>
    <n v="0"/>
    <n v="4320"/>
    <n v="216"/>
    <s v="0"/>
    <n v="0"/>
    <n v="4320"/>
    <n v="216"/>
    <n v="4320"/>
    <n v="216"/>
    <s v="0"/>
    <n v="0"/>
    <n v="4320"/>
    <n v="216"/>
    <n v="4320"/>
    <n v="216"/>
    <s v="0"/>
    <n v="0"/>
  </r>
  <r>
    <s v="FY24"/>
    <s v="Allen Chen"/>
    <m/>
    <m/>
    <m/>
    <m/>
    <n v="2016"/>
    <x v="8"/>
    <s v="Mouse"/>
    <s v="NA"/>
    <s v="White"/>
    <s v="S China"/>
    <s v="OTHERS"/>
    <n v="5.23"/>
    <n v="5.32"/>
    <n v="5.32"/>
    <n v="5.32"/>
    <n v="5.32"/>
    <n v="5.32"/>
    <n v="5.32"/>
    <n v="5.32"/>
    <n v="5.32"/>
    <n v="5.32"/>
    <n v="5.32"/>
    <n v="5.32"/>
    <n v="5.32"/>
    <n v="5.3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s v="0"/>
    <n v="0"/>
    <s v="0"/>
    <n v="0"/>
    <n v="1560"/>
    <n v="218.40000000000003"/>
    <s v="0"/>
    <n v="0"/>
    <s v="0"/>
    <n v="0"/>
    <n v="1560"/>
    <n v="218.40000000000003"/>
    <s v="0"/>
    <n v="0"/>
  </r>
  <r>
    <s v="FY24"/>
    <s v="Allen Chen"/>
    <m/>
    <m/>
    <m/>
    <m/>
    <n v="2016"/>
    <x v="8"/>
    <s v="Mouse"/>
    <s v="NA"/>
    <s v="Blue"/>
    <s v="S China"/>
    <s v="OTHERS"/>
    <n v="5.2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n v="4320"/>
    <n v="216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Red"/>
    <s v="S China"/>
    <s v="OTHERS"/>
    <n v="5.2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4320"/>
    <n v="216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Gold(painting)"/>
    <s v="S China"/>
    <s v="OTHERS"/>
    <n v="5.38"/>
    <n v="5.17"/>
    <n v="5.17"/>
    <n v="5.17"/>
    <n v="5.17"/>
    <n v="5.17"/>
    <n v="5.17"/>
    <n v="5.17"/>
    <n v="5.17"/>
    <n v="5.17"/>
    <n v="5.17"/>
    <n v="5.17"/>
    <n v="5.17"/>
    <n v="5.1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4320"/>
    <n v="216"/>
    <n v="0"/>
    <n v="0"/>
    <n v="0"/>
    <n v="0"/>
    <s v="0"/>
    <n v="0"/>
    <n v="4320"/>
    <n v="216"/>
    <s v="0"/>
    <n v="0"/>
    <s v="0"/>
    <n v="0"/>
    <n v="4320"/>
    <n v="216"/>
    <s v="0"/>
    <n v="0"/>
    <s v="0"/>
    <n v="0"/>
  </r>
  <r>
    <s v="FY24"/>
    <s v="Allen Chen"/>
    <m/>
    <m/>
    <m/>
    <m/>
    <n v="2016"/>
    <x v="8"/>
    <s v="Mouse"/>
    <s v="NA"/>
    <s v="Gold(painting)"/>
    <s v="S China"/>
    <s v="OTHERS"/>
    <n v="5.38"/>
    <n v="5.62"/>
    <n v="5.62"/>
    <n v="5.62"/>
    <n v="5.62"/>
    <n v="5.62"/>
    <n v="5.62"/>
    <n v="5.62"/>
    <n v="5.62"/>
    <n v="5.62"/>
    <n v="5.62"/>
    <n v="5.62"/>
    <n v="5.62"/>
    <n v="5.6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4680"/>
    <n v="655.20000000000005"/>
    <s v="0"/>
    <n v="0"/>
    <s v="0"/>
    <n v="0"/>
    <n v="3120"/>
    <n v="436.80000000000007"/>
    <s v="0"/>
    <n v="0"/>
    <n v="1560"/>
    <n v="218.40000000000003"/>
    <n v="1560"/>
    <n v="218.40000000000003"/>
    <s v="0"/>
    <n v="0"/>
  </r>
  <r>
    <s v="FY24"/>
    <s v="Allen Chen"/>
    <m/>
    <m/>
    <m/>
    <m/>
    <n v="2016"/>
    <x v="8"/>
    <s v="Mouse"/>
    <s v="NA"/>
    <s v="Silver(painting)"/>
    <s v="S China"/>
    <s v="OTHERS"/>
    <n v="5.72"/>
    <n v="5.17"/>
    <n v="5.17"/>
    <n v="5.17"/>
    <n v="5.17"/>
    <n v="5.17"/>
    <n v="5.17"/>
    <n v="5.17"/>
    <n v="5.17"/>
    <n v="5.17"/>
    <n v="5.17"/>
    <n v="5.17"/>
    <n v="5.17"/>
    <n v="5.17"/>
    <n v="0.05"/>
    <n v="0.05"/>
    <n v="0.05"/>
    <n v="0.05"/>
    <n v="0.05"/>
    <n v="0.05"/>
    <n v="0.05"/>
    <n v="0.05"/>
    <n v="0.05"/>
    <n v="0.05"/>
    <n v="0.05"/>
    <n v="0.05"/>
    <n v="0.05"/>
    <n v="0"/>
    <n v="0"/>
    <n v="17280"/>
    <n v="864"/>
    <n v="17280"/>
    <n v="864"/>
    <n v="0"/>
    <n v="0"/>
    <n v="8640"/>
    <n v="432"/>
    <s v="0"/>
    <n v="0"/>
    <n v="4320"/>
    <n v="216"/>
    <n v="4320"/>
    <n v="216"/>
    <s v="0"/>
    <n v="0"/>
    <n v="4320"/>
    <n v="216"/>
    <s v="0"/>
    <n v="0"/>
    <n v="4320"/>
    <n v="216"/>
  </r>
  <r>
    <s v="FY24"/>
    <s v="Allen Chen"/>
    <m/>
    <m/>
    <m/>
    <m/>
    <n v="2016"/>
    <x v="8"/>
    <s v="Mouse"/>
    <s v="NA"/>
    <s v="Silver(painting)"/>
    <s v="S China"/>
    <s v="OTHERS"/>
    <n v="5.72"/>
    <n v="5.62"/>
    <n v="5.62"/>
    <n v="5.62"/>
    <n v="5.62"/>
    <n v="5.62"/>
    <n v="5.62"/>
    <n v="5.62"/>
    <n v="5.62"/>
    <n v="5.62"/>
    <n v="5.62"/>
    <n v="5.62"/>
    <n v="5.62"/>
    <n v="5.6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n v="1560"/>
    <n v="218.40000000000003"/>
    <s v="0"/>
    <n v="0"/>
    <n v="6240"/>
    <n v="873.60000000000014"/>
    <n v="1560"/>
    <n v="218.40000000000003"/>
    <n v="1560"/>
    <n v="218.40000000000003"/>
    <n v="1560"/>
    <n v="218.40000000000003"/>
    <s v="0"/>
    <n v="0"/>
  </r>
  <r>
    <s v="FY24"/>
    <s v="Allen Chen"/>
    <m/>
    <m/>
    <m/>
    <m/>
    <n v="2016"/>
    <x v="8"/>
    <s v="Mouse"/>
    <s v="NA"/>
    <s v="Tranquil Pink(painting)"/>
    <s v="S China"/>
    <s v="OTHERS"/>
    <n v="5.62"/>
    <n v="5.59"/>
    <n v="5.59"/>
    <n v="5.59"/>
    <n v="5.59"/>
    <n v="5.59"/>
    <n v="5.59"/>
    <n v="5.59"/>
    <n v="5.59"/>
    <n v="5.59"/>
    <n v="5.59"/>
    <n v="5.59"/>
    <n v="5.59"/>
    <n v="5.59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n v="4320"/>
    <n v="216"/>
    <s v="0"/>
    <n v="0"/>
    <s v="0"/>
    <n v="0"/>
    <s v="0"/>
    <n v="0"/>
  </r>
  <r>
    <s v="FY24"/>
    <s v="Allen Chen"/>
    <m/>
    <m/>
    <m/>
    <m/>
    <n v="2016"/>
    <x v="8"/>
    <s v="Mouse"/>
    <s v="NA"/>
    <s v="Lumiere Blue"/>
    <s v="S China"/>
    <s v="OTHERS"/>
    <n v="5.110000000000000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Ceramic White"/>
    <s v="S China"/>
    <s v="OTHERS"/>
    <n v="5.39"/>
    <n v="5.81"/>
    <n v="5.81"/>
    <n v="5.81"/>
    <n v="5.81"/>
    <n v="5.81"/>
    <n v="5.81"/>
    <n v="5.81"/>
    <n v="5.81"/>
    <n v="5.81"/>
    <n v="5.81"/>
    <n v="5.81"/>
    <n v="5.81"/>
    <n v="5.81"/>
    <n v="0.05"/>
    <n v="0.05"/>
    <n v="0.05"/>
    <n v="0.05"/>
    <n v="0.05"/>
    <n v="0.05"/>
    <n v="0.05"/>
    <n v="0.05"/>
    <n v="0.05"/>
    <n v="0.05"/>
    <n v="0.05"/>
    <n v="0.05"/>
    <n v="0.05"/>
    <n v="4320"/>
    <n v="216"/>
    <n v="0"/>
    <n v="0"/>
    <n v="4320"/>
    <n v="216"/>
    <n v="0"/>
    <n v="0"/>
    <n v="4320"/>
    <n v="216"/>
    <s v="0"/>
    <n v="0"/>
    <s v="0"/>
    <n v="0"/>
    <n v="4320"/>
    <n v="216"/>
    <s v="0"/>
    <n v="0"/>
    <s v="0"/>
    <n v="0"/>
    <s v="0"/>
    <n v="0"/>
    <s v="0"/>
    <n v="0"/>
  </r>
  <r>
    <s v="FY24"/>
    <s v="Allen Chen"/>
    <m/>
    <m/>
    <m/>
    <m/>
    <n v="2016"/>
    <x v="18"/>
    <s v="Mouse"/>
    <s v="NA"/>
    <s v="Black"/>
    <s v="S China"/>
    <s v="OTHERS"/>
    <n v="3.75"/>
    <n v="3.75"/>
    <n v="3.75"/>
    <n v="3.75"/>
    <n v="3.75"/>
    <n v="3.75"/>
    <n v="3.75"/>
    <n v="3.75"/>
    <n v="3.75"/>
    <n v="3.75"/>
    <n v="3.75"/>
    <n v="3.75"/>
    <n v="3.75"/>
    <n v="3.75"/>
    <n v="0.04"/>
    <n v="0.04"/>
    <n v="0.04"/>
    <n v="0.04"/>
    <n v="0.04"/>
    <n v="0.04"/>
    <n v="0.04"/>
    <n v="0.04"/>
    <n v="0.04"/>
    <n v="0.04"/>
    <n v="0.04"/>
    <n v="0.04"/>
    <n v="0.04"/>
    <n v="4320"/>
    <n v="172.8"/>
    <n v="0"/>
    <n v="0"/>
    <s v="0"/>
    <n v="0"/>
    <n v="4320"/>
    <n v="172.8"/>
    <n v="0"/>
    <n v="0"/>
    <s v="0"/>
    <n v="0"/>
    <n v="8640"/>
    <n v="345.6"/>
    <n v="8640"/>
    <n v="345.6"/>
    <n v="8640"/>
    <n v="345.6"/>
    <n v="4320"/>
    <n v="172.8"/>
    <n v="4320"/>
    <n v="172.8"/>
    <n v="4320"/>
    <n v="172.8"/>
  </r>
  <r>
    <s v="FY24"/>
    <s v="Allen Chen"/>
    <m/>
    <m/>
    <m/>
    <m/>
    <n v="2016"/>
    <x v="18"/>
    <s v="Mouse"/>
    <s v="NA"/>
    <s v="Black"/>
    <s v="S China"/>
    <s v="OTHERS"/>
    <n v="3.88"/>
    <n v="3.88"/>
    <n v="3.88"/>
    <n v="3.88"/>
    <n v="3.88"/>
    <n v="3.88"/>
    <n v="3.88"/>
    <n v="3.88"/>
    <n v="3.88"/>
    <n v="3.88"/>
    <n v="3.88"/>
    <n v="3.88"/>
    <n v="3.88"/>
    <n v="3.88"/>
    <n v="0.04"/>
    <n v="0.04"/>
    <n v="0.04"/>
    <n v="0.04"/>
    <n v="0.04"/>
    <n v="0.04"/>
    <n v="0.04"/>
    <n v="0.04"/>
    <n v="0.04"/>
    <n v="0.04"/>
    <n v="0.04"/>
    <n v="0.04"/>
    <n v="0.04"/>
    <n v="12960"/>
    <n v="518.4"/>
    <n v="21600"/>
    <n v="864"/>
    <n v="34560"/>
    <n v="1382.4"/>
    <n v="0"/>
    <n v="0"/>
    <n v="25920"/>
    <n v="1036.8"/>
    <n v="17280"/>
    <n v="691.2"/>
    <n v="77760"/>
    <n v="3110.4"/>
    <s v="0"/>
    <n v="0"/>
    <s v="0"/>
    <n v="0"/>
    <n v="4320"/>
    <n v="172.8"/>
    <s v="0"/>
    <n v="0"/>
    <n v="21600"/>
    <n v="864"/>
  </r>
  <r>
    <s v="FY24"/>
    <s v="Allen Chen"/>
    <m/>
    <m/>
    <m/>
    <m/>
    <n v="2016"/>
    <x v="18"/>
    <s v="Mouse"/>
    <s v="NA"/>
    <s v="Black"/>
    <s v="S China"/>
    <s v="OTHERS"/>
    <n v="3.9"/>
    <n v="4.04"/>
    <n v="4.04"/>
    <n v="4.04"/>
    <n v="4.04"/>
    <n v="4.04"/>
    <n v="4.04"/>
    <n v="4.04"/>
    <n v="4.04"/>
    <n v="4.04"/>
    <n v="4.04"/>
    <n v="4.04"/>
    <n v="4.04"/>
    <n v="4.04"/>
    <n v="0.04"/>
    <n v="0.04"/>
    <n v="0.04"/>
    <n v="0.12"/>
    <n v="0.12"/>
    <n v="0.12"/>
    <n v="0.12"/>
    <n v="0.12"/>
    <n v="0.12"/>
    <n v="0.12"/>
    <n v="0.12"/>
    <n v="0.12"/>
    <n v="0.12"/>
    <n v="0"/>
    <n v="0"/>
    <n v="6720"/>
    <n v="268.8"/>
    <n v="11520"/>
    <n v="1382.3999999999999"/>
    <n v="0"/>
    <n v="0"/>
    <n v="2880"/>
    <n v="345.59999999999997"/>
    <s v="0"/>
    <n v="0"/>
    <s v="0"/>
    <n v="0"/>
    <s v="0"/>
    <n v="0"/>
    <n v="5760"/>
    <n v="691.19999999999993"/>
    <n v="2880"/>
    <n v="345.59999999999997"/>
    <n v="2880"/>
    <n v="345.59999999999997"/>
    <n v="5760"/>
    <n v="691.19999999999993"/>
  </r>
  <r>
    <s v="FY24"/>
    <s v="Allen Chen"/>
    <m/>
    <m/>
    <m/>
    <m/>
    <n v="2016"/>
    <x v="18"/>
    <s v="Mouse"/>
    <s v="NA"/>
    <s v="Empress red"/>
    <s v="S China"/>
    <s v="OTHERS"/>
    <n v="4.18"/>
    <n v="4.18"/>
    <n v="4.18"/>
    <n v="4.18"/>
    <n v="4.18"/>
    <n v="4.18"/>
    <n v="4.18"/>
    <n v="4.18"/>
    <n v="4.18"/>
    <n v="4.18"/>
    <n v="4.18"/>
    <n v="4.18"/>
    <n v="4.18"/>
    <n v="4.18"/>
    <n v="0.12"/>
    <n v="0.12"/>
    <n v="0.12"/>
    <n v="0.12"/>
    <n v="0.12"/>
    <n v="0.12"/>
    <n v="0.12"/>
    <n v="0.12"/>
    <n v="0.12"/>
    <n v="0.12"/>
    <n v="0.12"/>
    <n v="0.12"/>
    <n v="0.12"/>
    <n v="2880"/>
    <n v="345.59999999999997"/>
    <n v="0"/>
    <n v="0"/>
    <n v="5760"/>
    <n v="691.19999999999993"/>
    <n v="0"/>
    <n v="0"/>
    <n v="2880"/>
    <n v="345.59999999999997"/>
    <s v="0"/>
    <n v="0"/>
    <n v="8640"/>
    <n v="1036.8"/>
    <n v="5760"/>
    <n v="691.19999999999993"/>
    <s v="0"/>
    <n v="0"/>
    <n v="2880"/>
    <n v="345.59999999999997"/>
    <n v="5760"/>
    <n v="691.19999999999993"/>
    <n v="2880"/>
    <n v="345.59999999999997"/>
  </r>
  <r>
    <s v="FY24"/>
    <s v="Allen Chen"/>
    <m/>
    <m/>
    <m/>
    <m/>
    <n v="2016"/>
    <x v="18"/>
    <s v="Mouse"/>
    <s v="NA"/>
    <s v="Empress red"/>
    <s v="S China"/>
    <s v="OTHERS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0.04"/>
    <n v="0.04"/>
    <n v="0.04"/>
    <n v="0.04"/>
    <n v="0.04"/>
    <n v="0.04"/>
    <n v="0.04"/>
    <n v="0.04"/>
    <n v="0.12"/>
    <n v="0.12"/>
    <n v="0.12"/>
    <n v="0.12"/>
    <n v="0.12"/>
    <n v="0"/>
    <n v="0"/>
    <n v="0"/>
    <n v="0"/>
    <n v="2880"/>
    <n v="115.2"/>
    <n v="0"/>
    <n v="0"/>
    <n v="0"/>
    <n v="0"/>
    <s v="0"/>
    <n v="0"/>
    <s v="0"/>
    <n v="0"/>
    <s v="0"/>
    <n v="0"/>
    <n v="2880"/>
    <n v="345.59999999999997"/>
    <s v="0"/>
    <n v="0"/>
    <s v="0"/>
    <n v="0"/>
    <n v="2880"/>
    <n v="345.59999999999997"/>
  </r>
  <r>
    <s v="FY24"/>
    <s v="Allen Chen"/>
    <m/>
    <m/>
    <m/>
    <m/>
    <n v="2016"/>
    <x v="18"/>
    <s v="Mouse"/>
    <s v="NA"/>
    <s v="Silk Gold"/>
    <s v="S China"/>
    <s v="OTHERS"/>
    <n v="4.3899999999999997"/>
    <n v="4.53"/>
    <n v="4.53"/>
    <n v="4.53"/>
    <n v="4.53"/>
    <n v="4.53"/>
    <n v="4.53"/>
    <n v="4.53"/>
    <n v="4.53"/>
    <n v="4.53"/>
    <n v="4.53"/>
    <n v="4.53"/>
    <n v="4.53"/>
    <n v="4.53"/>
    <n v="0.12"/>
    <n v="0.12"/>
    <n v="0.12"/>
    <n v="0.12"/>
    <n v="0.12"/>
    <n v="0.12"/>
    <n v="0.12"/>
    <n v="0.12"/>
    <n v="0.12"/>
    <n v="0.12"/>
    <n v="0.12"/>
    <n v="0.12"/>
    <n v="0.12"/>
    <n v="2880"/>
    <n v="345.59999999999997"/>
    <n v="0"/>
    <n v="0"/>
    <n v="2880"/>
    <n v="345.59999999999997"/>
    <n v="2880"/>
    <n v="345.59999999999997"/>
    <n v="2880"/>
    <n v="345.59999999999997"/>
    <n v="2880"/>
    <n v="345.59999999999997"/>
    <n v="8640"/>
    <n v="1036.8"/>
    <n v="5760"/>
    <n v="691.19999999999993"/>
    <n v="2880"/>
    <n v="345.59999999999997"/>
    <n v="2880"/>
    <n v="345.59999999999997"/>
    <n v="8640"/>
    <n v="1036.8"/>
    <n v="2880"/>
    <n v="345.59999999999997"/>
  </r>
  <r>
    <s v="FY24"/>
    <s v="Allen Chen"/>
    <m/>
    <m/>
    <m/>
    <m/>
    <n v="2016"/>
    <x v="18"/>
    <s v="Mouse"/>
    <s v="NA"/>
    <s v="Silk Gold"/>
    <s v="S China"/>
    <s v="OTHERS"/>
    <n v="4.38"/>
    <n v="4.38"/>
    <n v="4.38"/>
    <n v="4.38"/>
    <n v="4.38"/>
    <n v="4.38"/>
    <n v="4.38"/>
    <n v="4.38"/>
    <n v="4.38"/>
    <n v="4.38"/>
    <n v="4.38"/>
    <n v="4.38"/>
    <n v="4.38"/>
    <n v="4.38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s v="0"/>
    <n v="0"/>
    <n v="0"/>
    <n v="0"/>
    <n v="0"/>
    <n v="0"/>
    <s v="0"/>
    <n v="0"/>
    <s v="0"/>
    <n v="0"/>
    <s v="0"/>
    <n v="0"/>
    <s v="0"/>
    <n v="0"/>
    <s v="0"/>
    <n v="0"/>
    <n v="4320"/>
    <n v="172.8"/>
    <s v="0"/>
    <n v="0"/>
  </r>
  <r>
    <s v="FY24"/>
    <s v="Allen Chen"/>
    <m/>
    <m/>
    <m/>
    <m/>
    <n v="2016"/>
    <x v="18"/>
    <s v="Mouse"/>
    <s v="NA"/>
    <s v="Pike silver"/>
    <s v="S China"/>
    <s v="OTHERS"/>
    <n v="4.3899999999999997"/>
    <n v="4.53"/>
    <n v="4.53"/>
    <n v="4.53"/>
    <n v="4.53"/>
    <n v="4.53"/>
    <n v="4.53"/>
    <n v="4.53"/>
    <n v="4.53"/>
    <n v="4.53"/>
    <n v="4.53"/>
    <n v="4.53"/>
    <n v="4.53"/>
    <n v="4.53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n v="2880"/>
    <n v="345.59999999999997"/>
    <n v="2880"/>
    <n v="345.59999999999997"/>
    <n v="5760"/>
    <n v="691.19999999999993"/>
    <n v="5760"/>
    <n v="691.19999999999993"/>
    <n v="8640"/>
    <n v="1036.8"/>
    <n v="5760"/>
    <n v="691.19999999999993"/>
    <n v="5760"/>
    <n v="691.19999999999993"/>
    <n v="11520"/>
    <n v="1382.3999999999999"/>
    <s v="0"/>
    <n v="0"/>
    <n v="5760"/>
    <n v="691.19999999999993"/>
  </r>
  <r>
    <s v="FY24"/>
    <s v="Allen Chen"/>
    <m/>
    <m/>
    <m/>
    <m/>
    <n v="2016"/>
    <x v="18"/>
    <s v="Mouse"/>
    <s v="NA"/>
    <s v="Pike silver"/>
    <s v="S China"/>
    <s v="OTHERS"/>
    <n v="4.38"/>
    <n v="4.38"/>
    <n v="4.38"/>
    <n v="4.38"/>
    <n v="4.38"/>
    <n v="4.38"/>
    <n v="4.38"/>
    <n v="4.38"/>
    <n v="4.38"/>
    <n v="4.38"/>
    <n v="4.38"/>
    <n v="4.38"/>
    <n v="4.38"/>
    <n v="4.38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n v="8640"/>
    <n v="345.6"/>
    <n v="0"/>
    <n v="0"/>
    <n v="4320"/>
    <n v="172.8"/>
    <n v="4320"/>
    <n v="172.8"/>
    <n v="8640"/>
    <n v="345.6"/>
    <s v="0"/>
    <n v="0"/>
    <n v="4320"/>
    <n v="172.8"/>
    <s v="0"/>
    <n v="0"/>
    <n v="4320"/>
    <n v="172.8"/>
    <s v="0"/>
    <n v="0"/>
  </r>
  <r>
    <s v="FY24"/>
    <s v="Allen Chen"/>
    <m/>
    <m/>
    <m/>
    <m/>
    <n v="2016"/>
    <x v="18"/>
    <s v="Mouse"/>
    <s v="NA"/>
    <s v="Pike silver"/>
    <s v="S China"/>
    <s v="OTHERS"/>
    <n v="4.16"/>
    <n v="4.3"/>
    <n v="4.3"/>
    <n v="4.3"/>
    <n v="4.3"/>
    <n v="4.3"/>
    <n v="4.3"/>
    <n v="4.3"/>
    <n v="4.3"/>
    <n v="4.3"/>
    <n v="4.3"/>
    <n v="4.3"/>
    <n v="4.3"/>
    <n v="4.3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18"/>
    <s v="Mouse"/>
    <s v="NA"/>
    <s v="Mrn Blue"/>
    <s v="S China"/>
    <s v="OTHERS"/>
    <n v="4.04"/>
    <n v="4.18"/>
    <n v="4.18"/>
    <n v="4.18"/>
    <n v="4.18"/>
    <n v="4.18"/>
    <n v="4.18"/>
    <n v="4.18"/>
    <n v="4.18"/>
    <n v="4.18"/>
    <n v="4.18"/>
    <n v="4.18"/>
    <n v="4.18"/>
    <n v="4.18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s v="0"/>
    <n v="0"/>
    <n v="0"/>
    <n v="0"/>
    <n v="0"/>
    <n v="0"/>
    <n v="5760"/>
    <n v="691.19999999999993"/>
    <n v="8640"/>
    <n v="1036.8"/>
    <s v="0"/>
    <n v="0"/>
    <n v="8640"/>
    <n v="1036.8"/>
    <n v="5760"/>
    <n v="691.19999999999993"/>
    <n v="2880"/>
    <n v="345.59999999999997"/>
    <s v="0"/>
    <n v="0"/>
  </r>
  <r>
    <s v="FY24"/>
    <s v="Allen Chen"/>
    <m/>
    <m/>
    <m/>
    <m/>
    <n v="2016"/>
    <x v="18"/>
    <s v="Mouse"/>
    <s v="NA"/>
    <s v="Mrn Blue"/>
    <s v="S China"/>
    <s v="OTHERS"/>
    <n v="4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n v="2880"/>
    <n v="345.59999999999997"/>
    <n v="0"/>
    <n v="0"/>
    <n v="0"/>
    <n v="0"/>
    <s v="0"/>
    <n v="0"/>
    <n v="2880"/>
    <n v="345.59999999999997"/>
    <s v="0"/>
    <n v="0"/>
    <n v="2880"/>
    <n v="345.59999999999997"/>
    <s v="0"/>
    <n v="0"/>
    <n v="2880"/>
    <n v="345.59999999999997"/>
    <s v="0"/>
    <n v="0"/>
  </r>
  <r>
    <s v="FY24"/>
    <s v="Allen Chen"/>
    <m/>
    <m/>
    <m/>
    <m/>
    <n v="2019"/>
    <x v="9"/>
    <s v="Mouse"/>
    <s v="NA"/>
    <s v="Black"/>
    <s v="S China"/>
    <s v="OTHERS"/>
    <n v="1.81"/>
    <n v="1.81"/>
    <n v="1.81"/>
    <n v="1.81"/>
    <n v="1.81"/>
    <n v="1.81"/>
    <n v="1.81"/>
    <n v="1.81"/>
    <n v="1.81"/>
    <n v="1.81"/>
    <n v="1.81"/>
    <n v="1.81"/>
    <n v="1.81"/>
    <n v="1.81"/>
    <n v="0"/>
    <n v="0"/>
    <n v="0"/>
    <n v="0"/>
    <n v="0"/>
    <n v="0"/>
    <n v="0"/>
    <n v="0"/>
    <n v="0"/>
    <n v="0"/>
    <n v="0"/>
    <n v="0"/>
    <n v="0"/>
    <n v="0"/>
    <n v="0"/>
    <n v="0"/>
    <n v="0"/>
    <n v="26880"/>
    <n v="0"/>
    <n v="0"/>
    <n v="0"/>
    <n v="0"/>
    <n v="0"/>
    <n v="6720"/>
    <n v="0"/>
    <n v="6720"/>
    <n v="0"/>
    <n v="13440"/>
    <n v="0"/>
    <n v="13440"/>
    <n v="0"/>
    <n v="13440"/>
    <n v="0"/>
    <n v="6720"/>
    <n v="0"/>
    <s v="0"/>
    <n v="0"/>
  </r>
  <r>
    <s v="FY24"/>
    <s v="Allen Chen"/>
    <m/>
    <m/>
    <m/>
    <m/>
    <n v="2019"/>
    <x v="9"/>
    <s v="Mouse"/>
    <s v="NA"/>
    <s v="Black"/>
    <s v="S China"/>
    <s v="OTHERS"/>
    <n v="1.72"/>
    <n v="1.72"/>
    <n v="1.72"/>
    <n v="1.72"/>
    <n v="1.72"/>
    <n v="1.72"/>
    <n v="1.72"/>
    <n v="1.72"/>
    <n v="1.72"/>
    <n v="1.72"/>
    <n v="1.72"/>
    <n v="1.72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6720"/>
    <n v="0"/>
    <n v="1344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9"/>
    <x v="9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2880"/>
    <n v="0"/>
    <n v="5760"/>
    <n v="0"/>
    <n v="8640"/>
    <n v="0"/>
    <n v="0"/>
    <n v="0"/>
    <n v="2880"/>
    <n v="0"/>
    <n v="2880"/>
    <n v="0"/>
    <n v="2880"/>
    <n v="0"/>
    <n v="5760"/>
    <n v="0"/>
    <n v="8640"/>
    <n v="0"/>
    <n v="2880"/>
    <n v="0"/>
    <n v="5760"/>
    <n v="0"/>
    <n v="14400"/>
    <n v="0"/>
  </r>
  <r>
    <s v="FY24"/>
    <s v="Allen Chen"/>
    <m/>
    <m/>
    <m/>
    <m/>
    <n v="2019"/>
    <x v="9"/>
    <s v="Mouse"/>
    <s v="NA"/>
    <s v="Black"/>
    <s v="S China"/>
    <s v="OTHERS"/>
    <n v="1.8"/>
    <n v="1.8"/>
    <n v="1.8"/>
    <n v="1.8"/>
    <n v="1.8"/>
    <n v="1.8"/>
    <n v="1.8"/>
    <n v="1.8"/>
    <n v="1.8"/>
    <n v="1.8"/>
    <n v="1.8"/>
    <n v="1.8"/>
    <n v="1.8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8640"/>
    <n v="0"/>
    <s v="0"/>
    <n v="0"/>
    <s v="0"/>
    <n v="0"/>
    <n v="14400"/>
    <n v="0"/>
    <s v="0"/>
    <n v="0"/>
    <s v="0"/>
    <n v="0"/>
    <s v="0"/>
    <n v="0"/>
    <n v="11520"/>
    <n v="0"/>
  </r>
  <r>
    <s v="FY24"/>
    <s v="Allen Chen"/>
    <m/>
    <m/>
    <m/>
    <m/>
    <n v="2023"/>
    <x v="9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9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2880"/>
    <n v="0"/>
    <n v="0"/>
    <n v="0"/>
    <n v="2880"/>
    <n v="0"/>
    <n v="288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9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</r>
  <r>
    <s v="FY24"/>
    <s v="Allen Chen"/>
    <m/>
    <m/>
    <m/>
    <m/>
    <n v="2023"/>
    <x v="9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0"/>
    <n v="0"/>
    <n v="0"/>
    <n v="0"/>
    <n v="35000"/>
    <n v="0"/>
    <m/>
    <n v="0"/>
    <m/>
    <n v="0"/>
    <m/>
    <n v="0"/>
    <s v="0"/>
    <n v="0"/>
  </r>
  <r>
    <s v="FY24"/>
    <s v="Allen Chen"/>
    <m/>
    <m/>
    <m/>
    <m/>
    <n v="2023"/>
    <x v="9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2880"/>
    <n v="0"/>
    <n v="2880"/>
    <n v="0"/>
    <n v="2880"/>
    <n v="0"/>
    <n v="2880"/>
    <n v="0"/>
  </r>
  <r>
    <s v="FY24"/>
    <s v="Allen Chen"/>
    <m/>
    <m/>
    <m/>
    <m/>
    <n v="2020"/>
    <x v="11"/>
    <s v="Mouse"/>
    <s v="NA"/>
    <s v="Nightfull black"/>
    <s v="S China"/>
    <s v="OTHERS"/>
    <n v="22.76"/>
    <n v="22.78"/>
    <n v="22.78"/>
    <n v="22.78"/>
    <n v="22.78"/>
    <n v="22.78"/>
    <n v="22.78"/>
    <n v="22.78"/>
    <n v="22.78"/>
    <n v="22.78"/>
    <n v="22.78"/>
    <n v="22.78"/>
    <n v="22.72"/>
    <n v="22.72"/>
    <n v="0"/>
    <n v="0"/>
    <n v="0"/>
    <n v="0"/>
    <n v="0"/>
    <n v="0"/>
    <n v="0"/>
    <n v="0"/>
    <n v="0"/>
    <n v="0"/>
    <n v="0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n v="1008"/>
    <n v="0"/>
    <s v="0"/>
    <n v="0"/>
    <s v="0"/>
    <n v="0"/>
    <s v="0"/>
    <n v="0"/>
  </r>
  <r>
    <s v="FY24"/>
    <s v="Allen Chen"/>
    <m/>
    <m/>
    <m/>
    <m/>
    <n v="2020"/>
    <x v="11"/>
    <s v="Mouse"/>
    <s v="NA"/>
    <s v="Nightfull black"/>
    <s v="S China"/>
    <s v="OTHERS"/>
    <n v="22.82"/>
    <n v="22.84"/>
    <n v="22.84"/>
    <n v="22.84"/>
    <n v="22.84"/>
    <n v="22.84"/>
    <n v="22.84"/>
    <n v="22.84"/>
    <n v="22.84"/>
    <n v="22.84"/>
    <n v="22.84"/>
    <n v="22.84"/>
    <n v="22.78"/>
    <n v="22.78"/>
    <n v="0"/>
    <n v="0"/>
    <n v="0"/>
    <n v="0"/>
    <n v="0"/>
    <n v="0"/>
    <n v="0"/>
    <n v="0"/>
    <n v="0"/>
    <n v="0"/>
    <n v="0"/>
    <n v="0.06"/>
    <n v="0.06"/>
    <n v="0"/>
    <n v="0"/>
    <n v="0"/>
    <n v="0"/>
    <n v="1008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x v="4"/>
    <s v="Mouse"/>
    <s v="NA"/>
    <s v="Nightfull black"/>
    <s v="S China"/>
    <s v="OTHERS"/>
    <n v="30.4"/>
    <n v="30.42"/>
    <n v="30.42"/>
    <n v="30.42"/>
    <n v="30.42"/>
    <n v="30.42"/>
    <n v="30.42"/>
    <n v="30.42"/>
    <n v="30.42"/>
    <n v="30.42"/>
    <n v="30.42"/>
    <n v="30.42"/>
    <n v="30.35"/>
    <n v="30.3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n v="1008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x v="4"/>
    <s v="Mouse"/>
    <s v="NA"/>
    <s v="Nightfull black"/>
    <s v="S China"/>
    <s v="OTHERS"/>
    <n v="30.46"/>
    <n v="30.48"/>
    <n v="30.48"/>
    <n v="30.48"/>
    <n v="30.48"/>
    <n v="30.48"/>
    <n v="30.48"/>
    <n v="30.48"/>
    <n v="30.48"/>
    <n v="30.48"/>
    <n v="30.48"/>
    <n v="30.48"/>
    <n v="30.41"/>
    <n v="30.41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x v="4"/>
    <s v="Mouse"/>
    <s v="NA"/>
    <s v="Natural Silver"/>
    <s v="S China"/>
    <s v="OTHERS"/>
    <n v="30.56"/>
    <n v="30.58"/>
    <n v="30.58"/>
    <n v="30.58"/>
    <n v="30.58"/>
    <n v="30.58"/>
    <n v="30.58"/>
    <n v="30.58"/>
    <n v="30.58"/>
    <n v="30.58"/>
    <n v="30.58"/>
    <n v="30.58"/>
    <n v="30.51"/>
    <n v="30.51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n v="1008"/>
    <n v="0"/>
    <s v="0"/>
    <n v="0"/>
    <s v="0"/>
    <n v="0"/>
    <s v="0"/>
    <n v="0"/>
    <s v="0"/>
    <n v="0"/>
  </r>
  <r>
    <s v="FY24"/>
    <s v="Allen Chen"/>
    <m/>
    <m/>
    <m/>
    <m/>
    <n v="2020"/>
    <x v="4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n v="30.35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x v="4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n v="30.35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x v="4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n v="30.35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x v="22"/>
    <s v="Mouse"/>
    <s v="NA"/>
    <s v="Black"/>
    <s v="S China"/>
    <s v="OTHERS"/>
    <n v="1.72"/>
    <n v="1.72"/>
    <n v="1.72"/>
    <n v="1.72"/>
    <n v="1.72"/>
    <n v="1.72"/>
    <n v="1.72"/>
    <n v="1.72"/>
    <n v="1.72"/>
    <n v="1.72"/>
    <n v="1.72"/>
    <n v="1.72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6720"/>
    <n v="0"/>
    <s v="0"/>
    <n v="0"/>
    <n v="13440"/>
    <n v="0"/>
    <n v="6720"/>
    <n v="0"/>
    <n v="26880"/>
    <n v="0"/>
    <n v="20160"/>
    <n v="0"/>
    <s v="0"/>
    <n v="0"/>
    <s v="0"/>
    <n v="0"/>
  </r>
  <r>
    <s v="FY24"/>
    <s v="Allen Chen"/>
    <m/>
    <m/>
    <m/>
    <m/>
    <n v="2020"/>
    <x v="22"/>
    <s v="Mouse"/>
    <s v="NA"/>
    <s v="Black"/>
    <s v="S China"/>
    <s v="OTHERS"/>
    <n v="1.66"/>
    <n v="1.66"/>
    <n v="1.66"/>
    <n v="1.66"/>
    <n v="1.66"/>
    <n v="1.66"/>
    <n v="1.66"/>
    <n v="1.66"/>
    <n v="1.66"/>
    <n v="1.66"/>
    <n v="1.66"/>
    <n v="1.66"/>
    <n v="1.66"/>
    <n v="1.66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6720"/>
    <n v="0"/>
    <s v="0"/>
    <n v="0"/>
    <s v="0"/>
    <n v="0"/>
    <s v="0"/>
    <n v="0"/>
    <s v="0"/>
    <n v="0"/>
    <s v="0"/>
    <n v="0"/>
    <n v="6720"/>
    <n v="0"/>
    <s v="0"/>
    <n v="0"/>
  </r>
  <r>
    <s v="FY24"/>
    <s v="Allen Chen"/>
    <m/>
    <m/>
    <m/>
    <m/>
    <n v="2020"/>
    <x v="22"/>
    <s v="Mouse"/>
    <s v="NA"/>
    <s v="Black"/>
    <s v="S China"/>
    <s v="OTHERS"/>
    <n v="1.65"/>
    <n v="1.65"/>
    <n v="1.65"/>
    <n v="1.65"/>
    <n v="1.65"/>
    <n v="1.65"/>
    <n v="1.65"/>
    <n v="1.65"/>
    <n v="1.65"/>
    <n v="1.65"/>
    <n v="1.65"/>
    <n v="1.65"/>
    <n v="1.65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0"/>
    <n v="0"/>
    <n v="6720"/>
    <n v="0"/>
    <n v="6720"/>
    <n v="0"/>
    <s v="0"/>
    <n v="0"/>
    <s v="0"/>
    <n v="0"/>
    <n v="6720"/>
    <n v="0"/>
    <s v="0"/>
    <n v="0"/>
    <s v="0"/>
    <n v="0"/>
  </r>
  <r>
    <s v="FY24"/>
    <s v="Allen Chen"/>
    <m/>
    <m/>
    <m/>
    <m/>
    <n v="2020"/>
    <x v="14"/>
    <s v="Mouse"/>
    <s v="NA"/>
    <s v="Black"/>
    <s v="S China"/>
    <s v="OTHERS"/>
    <n v="3.28"/>
    <n v="3.33"/>
    <n v="3.33"/>
    <n v="3.33"/>
    <n v="3.33"/>
    <n v="3.33"/>
    <n v="3.33"/>
    <n v="3.33"/>
    <n v="3.33"/>
    <n v="3.33"/>
    <n v="3.33"/>
    <n v="3.33"/>
    <n v="3.33"/>
    <n v="3.33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13440"/>
    <n v="0"/>
    <s v="0"/>
    <n v="0"/>
    <n v="6720"/>
    <n v="0"/>
    <n v="6720"/>
    <n v="0"/>
    <s v="0"/>
    <n v="0"/>
    <s v="0"/>
    <n v="0"/>
    <s v="0"/>
    <n v="0"/>
    <n v="13440"/>
    <n v="0"/>
  </r>
  <r>
    <s v="FY24"/>
    <s v="Allen Chen"/>
    <m/>
    <m/>
    <m/>
    <m/>
    <n v="2020"/>
    <x v="14"/>
    <s v="Mouse"/>
    <s v="NA"/>
    <s v="Black"/>
    <s v="S China"/>
    <s v="OTHERS"/>
    <n v="3.24"/>
    <n v="3.29"/>
    <n v="3.29"/>
    <n v="3.29"/>
    <n v="3.29"/>
    <n v="3.29"/>
    <n v="3.29"/>
    <n v="3.29"/>
    <n v="3.29"/>
    <n v="3.29"/>
    <n v="3.29"/>
    <n v="3.29"/>
    <n v="3.29"/>
    <n v="3.29"/>
    <n v="0"/>
    <n v="0"/>
    <n v="0"/>
    <n v="0"/>
    <n v="0"/>
    <n v="0"/>
    <n v="0"/>
    <n v="0"/>
    <n v="0"/>
    <n v="0"/>
    <n v="0"/>
    <n v="0"/>
    <n v="0"/>
    <n v="6720"/>
    <n v="0"/>
    <n v="6720"/>
    <n v="0"/>
    <n v="6720"/>
    <n v="0"/>
    <n v="0"/>
    <n v="0"/>
    <n v="6720"/>
    <n v="0"/>
    <n v="13440"/>
    <n v="0"/>
    <n v="6720"/>
    <n v="0"/>
    <n v="53760"/>
    <n v="0"/>
    <s v="0"/>
    <n v="0"/>
    <s v="0"/>
    <n v="0"/>
    <s v="0"/>
    <n v="0"/>
    <s v="0"/>
    <n v="0"/>
  </r>
  <r>
    <s v="FY24"/>
    <s v="Allen Chen"/>
    <m/>
    <m/>
    <m/>
    <m/>
    <n v="2020"/>
    <x v="14"/>
    <s v="Mouse"/>
    <s v="NA"/>
    <s v="Black"/>
    <s v="S China"/>
    <s v="OTHERS"/>
    <n v="3.28"/>
    <n v="3.28"/>
    <n v="3.28"/>
    <n v="3.28"/>
    <n v="3.28"/>
    <n v="3.28"/>
    <n v="3.28"/>
    <n v="3.28"/>
    <n v="3.28"/>
    <n v="3.28"/>
    <n v="3.28"/>
    <n v="3.28"/>
    <n v="3.28"/>
    <n v="3.2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6720"/>
    <n v="0"/>
    <n v="6720"/>
    <n v="0"/>
    <s v="0"/>
    <n v="0"/>
    <n v="6720"/>
    <n v="0"/>
    <s v="0"/>
    <n v="0"/>
    <s v="0"/>
    <n v="0"/>
    <n v="6720"/>
    <n v="0"/>
    <s v="0"/>
    <n v="0"/>
  </r>
  <r>
    <s v="FY24"/>
    <s v="Allen Chen"/>
    <m/>
    <m/>
    <m/>
    <m/>
    <n v="2020"/>
    <x v="14"/>
    <s v="Mouse"/>
    <s v="NA"/>
    <s v="Black"/>
    <s v="S China"/>
    <s v="OTHERS"/>
    <n v="3.25"/>
    <n v="3.25"/>
    <n v="3.25"/>
    <n v="3.25"/>
    <n v="3.25"/>
    <n v="3.25"/>
    <n v="3.25"/>
    <n v="3.25"/>
    <n v="3.25"/>
    <n v="3.25"/>
    <n v="3.25"/>
    <n v="3.25"/>
    <n v="3.25"/>
    <n v="3.2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x v="14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x v="14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x v="14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3600"/>
    <n v="0"/>
    <n v="3600"/>
    <n v="0"/>
    <n v="3600"/>
    <n v="0"/>
    <s v="0"/>
    <n v="0"/>
    <n v="3600"/>
    <n v="0"/>
    <n v="3600"/>
    <n v="0"/>
    <s v="0"/>
    <n v="0"/>
    <s v="0"/>
    <n v="0"/>
    <s v="0"/>
    <n v="0"/>
  </r>
  <r>
    <s v="FY24"/>
    <s v="Allen Chen"/>
    <m/>
    <m/>
    <m/>
    <m/>
    <n v="2020"/>
    <x v="14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x v="16"/>
    <s v="Mouse"/>
    <s v="NA"/>
    <s v="Black"/>
    <s v="S China"/>
    <s v="OTHERS"/>
    <n v="4.22"/>
    <n v="4.26"/>
    <n v="4.26"/>
    <n v="4.26"/>
    <n v="4.26"/>
    <n v="4.26"/>
    <n v="4.26"/>
    <n v="4.26"/>
    <n v="4.26"/>
    <n v="4.26"/>
    <n v="4.26"/>
    <n v="4.26"/>
    <n v="4.26"/>
    <n v="4.2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14400"/>
    <n v="0"/>
    <n v="20160"/>
    <n v="0"/>
    <n v="28800"/>
    <n v="0"/>
    <n v="0"/>
    <n v="0"/>
    <n v="11520"/>
    <n v="0"/>
    <n v="11520"/>
    <n v="0"/>
    <n v="8640"/>
    <n v="0"/>
    <n v="19480"/>
    <n v="1363.6000000000001"/>
    <n v="6160"/>
    <n v="431.20000000000005"/>
    <n v="7760"/>
    <n v="543.20000000000005"/>
    <n v="8640"/>
    <n v="604.80000000000007"/>
    <n v="11520"/>
    <n v="806.40000000000009"/>
  </r>
  <r>
    <s v="FY24"/>
    <s v="Allen Chen"/>
    <m/>
    <m/>
    <m/>
    <m/>
    <n v="2021"/>
    <x v="16"/>
    <s v="Mouse"/>
    <s v="NA"/>
    <s v="Black"/>
    <s v="S China"/>
    <s v="OTHERS"/>
    <n v="4.32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5760"/>
    <n v="0"/>
    <s v="0"/>
    <n v="0"/>
    <s v="0"/>
    <n v="0"/>
    <n v="2880"/>
    <n v="201.60000000000002"/>
    <n v="5760"/>
    <n v="403.20000000000005"/>
    <n v="11520"/>
    <n v="806.40000000000009"/>
    <s v="0"/>
    <n v="0"/>
    <s v="0"/>
    <n v="0"/>
  </r>
  <r>
    <s v="FY24"/>
    <s v="Allen Chen"/>
    <m/>
    <m/>
    <m/>
    <m/>
    <n v="2021"/>
    <x v="16"/>
    <s v="Mouse"/>
    <s v="NA"/>
    <s v="Black"/>
    <s v="S China"/>
    <s v="OTHERS"/>
    <n v="4.28"/>
    <n v="4.32"/>
    <n v="4.32"/>
    <n v="4.32"/>
    <n v="4.32"/>
    <n v="4.32"/>
    <n v="4.32"/>
    <n v="4.32"/>
    <n v="4.32"/>
    <n v="4.32"/>
    <n v="4.32"/>
    <n v="4.32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5760"/>
    <n v="0"/>
    <n v="0"/>
    <n v="0"/>
    <n v="5760"/>
    <n v="0"/>
    <n v="0"/>
    <n v="0"/>
    <n v="5760"/>
    <n v="0"/>
    <s v="0"/>
    <n v="0"/>
    <n v="5760"/>
    <n v="0"/>
    <n v="8640"/>
    <n v="604.80000000000007"/>
    <n v="5760"/>
    <n v="403.20000000000005"/>
    <n v="14400"/>
    <n v="1008.0000000000001"/>
    <n v="8640"/>
    <n v="604.80000000000007"/>
    <n v="11520"/>
    <n v="806.40000000000009"/>
  </r>
  <r>
    <s v="FY24"/>
    <s v="Allen Chen"/>
    <m/>
    <m/>
    <m/>
    <m/>
    <n v="2021"/>
    <x v="16"/>
    <s v="Mouse"/>
    <s v="NA"/>
    <s v="Pike silver"/>
    <s v="S China"/>
    <s v="OTHERS"/>
    <n v="4.63"/>
    <n v="4.67"/>
    <n v="4.67"/>
    <n v="4.67"/>
    <n v="4.67"/>
    <n v="4.67"/>
    <n v="4.67"/>
    <n v="4.67"/>
    <n v="4.67"/>
    <n v="4.67"/>
    <n v="4.67"/>
    <n v="4.67"/>
    <n v="4.67"/>
    <n v="4.6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x v="16"/>
    <s v="Mouse"/>
    <s v="NA"/>
    <s v="Pike silver"/>
    <s v="S China"/>
    <s v="OTHERS"/>
    <n v="4.67"/>
    <n v="4.71"/>
    <n v="4.71"/>
    <n v="4.71"/>
    <n v="4.71"/>
    <n v="4.71"/>
    <n v="4.71"/>
    <n v="4.71"/>
    <n v="4.71"/>
    <n v="4.71"/>
    <n v="4.71"/>
    <n v="4.71"/>
    <n v="4.71"/>
    <n v="4.7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2880"/>
    <n v="0"/>
    <n v="2880"/>
    <n v="0"/>
    <s v="0"/>
    <n v="0"/>
    <s v="0"/>
    <n v="0"/>
    <n v="2880"/>
    <n v="201.60000000000002"/>
    <s v="0"/>
    <n v="0"/>
    <n v="2880"/>
    <n v="201.60000000000002"/>
    <n v="2880"/>
    <n v="201.60000000000002"/>
    <n v="2880"/>
    <n v="201.60000000000002"/>
  </r>
  <r>
    <s v="FY24"/>
    <s v="Allen Chen"/>
    <m/>
    <m/>
    <m/>
    <m/>
    <n v="2021"/>
    <x v="16"/>
    <s v="Mouse"/>
    <s v="NA"/>
    <s v="Pike silver"/>
    <s v="S China"/>
    <s v="OTHERS"/>
    <n v="4.63"/>
    <n v="4.67"/>
    <n v="4.67"/>
    <n v="4.67"/>
    <n v="4.67"/>
    <n v="4.67"/>
    <n v="4.67"/>
    <n v="4.67"/>
    <n v="4.67"/>
    <n v="4.67"/>
    <n v="4.67"/>
    <n v="4.67"/>
    <n v="4.67"/>
    <n v="4.6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n v="2880"/>
    <n v="0"/>
    <n v="2880"/>
    <n v="201.60000000000002"/>
    <n v="5760"/>
    <n v="403.20000000000005"/>
    <n v="2880"/>
    <n v="201.60000000000002"/>
    <s v="0"/>
    <n v="0"/>
    <n v="2880"/>
    <n v="201.60000000000002"/>
  </r>
  <r>
    <s v="FY24"/>
    <s v="Allen Chen"/>
    <m/>
    <m/>
    <m/>
    <m/>
    <n v="2021"/>
    <x v="16"/>
    <s v="Mouse"/>
    <s v="NA"/>
    <s v="Red"/>
    <s v="S China"/>
    <s v="OTHERS"/>
    <n v="4.43"/>
    <n v="4.47"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x v="16"/>
    <s v="Mouse"/>
    <s v="NA"/>
    <s v="Red"/>
    <s v="S China"/>
    <s v="OTHERS"/>
    <n v="4.37"/>
    <n v="4.41"/>
    <n v="4.41"/>
    <n v="4.41"/>
    <n v="4.41"/>
    <n v="4.41"/>
    <n v="4.41"/>
    <n v="4.41"/>
    <n v="4.41"/>
    <n v="4.41"/>
    <n v="4.41"/>
    <n v="4.41"/>
    <n v="4.41"/>
    <n v="4.4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1440"/>
    <n v="0"/>
    <n v="4320"/>
    <n v="0"/>
    <n v="2880"/>
    <n v="0"/>
    <n v="0"/>
    <n v="0"/>
    <n v="2880"/>
    <n v="0"/>
    <n v="5760"/>
    <n v="0"/>
    <s v="0"/>
    <n v="0"/>
    <n v="2880"/>
    <n v="201.60000000000002"/>
    <n v="2880"/>
    <n v="201.60000000000002"/>
    <s v="0"/>
    <n v="0"/>
    <n v="2880"/>
    <n v="201.60000000000002"/>
    <s v="0"/>
    <n v="0"/>
  </r>
  <r>
    <s v="FY24"/>
    <s v="Allen Chen"/>
    <m/>
    <m/>
    <m/>
    <m/>
    <n v="2021"/>
    <x v="16"/>
    <s v="Mouse"/>
    <s v="NA"/>
    <s v="Red"/>
    <s v="S China"/>
    <s v="OTHERS"/>
    <n v="4.47"/>
    <n v="4.51"/>
    <n v="4.51"/>
    <n v="4.51"/>
    <n v="4.51"/>
    <n v="4.51"/>
    <n v="4.51"/>
    <n v="4.51"/>
    <n v="4.51"/>
    <n v="4.51"/>
    <n v="4.51"/>
    <n v="4.51"/>
    <n v="4.51"/>
    <n v="4.5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5760"/>
    <n v="0"/>
    <n v="0"/>
    <n v="0"/>
    <n v="0"/>
    <n v="0"/>
    <s v="0"/>
    <n v="0"/>
    <s v="0"/>
    <n v="0"/>
    <s v="0"/>
    <n v="0"/>
    <s v="0"/>
    <n v="0"/>
    <n v="2880"/>
    <n v="201.60000000000002"/>
    <s v="0"/>
    <n v="0"/>
    <s v="0"/>
    <n v="0"/>
  </r>
  <r>
    <s v="FY24"/>
    <s v="Allen Chen"/>
    <m/>
    <m/>
    <m/>
    <m/>
    <n v="2021"/>
    <x v="16"/>
    <s v="Mouse"/>
    <s v="NA"/>
    <s v="Red"/>
    <s v="S China"/>
    <s v="OTHERS"/>
    <n v="4.43"/>
    <n v="4.47"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6"/>
    <s v="Mouse"/>
    <s v="NA"/>
    <s v="White"/>
    <s v="S China"/>
    <s v="OTHERS"/>
    <n v="4.42"/>
    <n v="4.42"/>
    <n v="4.42"/>
    <n v="4.42"/>
    <n v="4.42"/>
    <n v="4.42"/>
    <n v="4.42"/>
    <n v="4.42"/>
    <n v="4.42"/>
    <n v="4.42"/>
    <n v="4.42"/>
    <n v="4.42"/>
    <n v="4.42"/>
    <n v="4.4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n v="2880"/>
    <n v="201.60000000000002"/>
    <n v="2880"/>
    <n v="201.60000000000002"/>
    <n v="2880"/>
    <n v="201.60000000000002"/>
    <s v="0"/>
    <n v="0"/>
  </r>
  <r>
    <s v="FY24"/>
    <s v="Allen Chen"/>
    <m/>
    <m/>
    <m/>
    <m/>
    <n v="2022"/>
    <x v="16"/>
    <s v="Mouse"/>
    <s v="NA"/>
    <s v="White"/>
    <s v="S China"/>
    <s v="OTHERS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"/>
    <n v="0"/>
    <n v="0"/>
    <n v="0"/>
    <n v="2880"/>
    <n v="0"/>
    <n v="576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6"/>
    <s v="Mouse"/>
    <s v="NA"/>
    <s v="White"/>
    <s v="S China"/>
    <s v="OTHERS"/>
    <n v="4.42"/>
    <n v="4.42"/>
    <n v="4.42"/>
    <n v="4.42"/>
    <n v="4.42"/>
    <n v="4.42"/>
    <n v="4.42"/>
    <n v="4.42"/>
    <n v="4.42"/>
    <n v="4.42"/>
    <n v="4.42"/>
    <n v="4.42"/>
    <n v="4.42"/>
    <n v="4.4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2880"/>
    <n v="0"/>
    <n v="0"/>
    <n v="0"/>
    <s v="0"/>
    <n v="0"/>
    <n v="0"/>
    <n v="0"/>
    <n v="0"/>
    <n v="0"/>
    <s v="0"/>
    <n v="0"/>
    <s v="0"/>
    <n v="0"/>
    <n v="2880"/>
    <n v="201.60000000000002"/>
    <s v="0"/>
    <n v="0"/>
    <s v="0"/>
    <n v="0"/>
    <n v="2880"/>
    <n v="201.60000000000002"/>
    <s v="0"/>
    <n v="0"/>
  </r>
  <r>
    <s v="FY24"/>
    <s v="Allen Chen"/>
    <m/>
    <m/>
    <m/>
    <m/>
    <n v="2023"/>
    <x v="16"/>
    <s v="Mouse"/>
    <s v="NA"/>
    <s v="Black"/>
    <s v="S China"/>
    <s v="OTHERS"/>
    <n v="4.26"/>
    <n v="4.26"/>
    <n v="4.26"/>
    <n v="4.26"/>
    <n v="4.26"/>
    <n v="4.26"/>
    <n v="4.26"/>
    <n v="4.26"/>
    <n v="4.26"/>
    <n v="4.26"/>
    <n v="4.26"/>
    <n v="4.26"/>
    <n v="4.26"/>
    <n v="4.2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n v="2880"/>
    <n v="0"/>
    <n v="2880"/>
    <n v="0"/>
    <n v="2880"/>
    <n v="201.60000000000002"/>
    <n v="6680"/>
    <n v="467.6"/>
    <s v="0"/>
    <n v="0"/>
    <n v="5760"/>
    <n v="403.20000000000005"/>
    <s v="0"/>
    <n v="0"/>
  </r>
  <r>
    <s v="FY24"/>
    <s v="Allen Chen"/>
    <m/>
    <m/>
    <m/>
    <m/>
    <n v="2023"/>
    <x v="16"/>
    <s v="Mouse"/>
    <s v="NA"/>
    <s v="Black"/>
    <s v="S China"/>
    <s v="OTHERS"/>
    <n v="4.32"/>
    <n v="4.32"/>
    <n v="4.32"/>
    <n v="4.32"/>
    <n v="4.32"/>
    <n v="4.32"/>
    <n v="4.32"/>
    <n v="4.32"/>
    <n v="4.32"/>
    <n v="4.32"/>
    <n v="4.32"/>
    <n v="4.32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0"/>
    <n v="0"/>
    <n v="5760"/>
    <n v="0"/>
    <n v="51840"/>
    <n v="0"/>
    <n v="5760"/>
    <n v="0"/>
    <s v="0"/>
    <n v="0"/>
    <n v="5760"/>
    <n v="403.20000000000005"/>
    <s v="0"/>
    <n v="0"/>
    <s v="0"/>
    <n v="0"/>
    <s v="0"/>
    <n v="0"/>
    <s v="0"/>
    <n v="0"/>
  </r>
  <r>
    <s v="FY24"/>
    <s v="Allen Chen"/>
    <m/>
    <m/>
    <m/>
    <m/>
    <n v="2023"/>
    <x v="16"/>
    <s v="Mouse"/>
    <s v="NA"/>
    <s v="Black"/>
    <s v="S China"/>
    <s v="OTHERS"/>
    <n v="4.32"/>
    <n v="4.32"/>
    <n v="4.32"/>
    <n v="4.32"/>
    <n v="4.32"/>
    <n v="4.32"/>
    <n v="4.32"/>
    <n v="4.32"/>
    <n v="4.32"/>
    <n v="4.32"/>
    <n v="4.32"/>
    <n v="4.32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n v="8640"/>
    <n v="604.80000000000007"/>
    <s v="0"/>
    <n v="0"/>
    <s v="0"/>
    <n v="0"/>
    <s v="0"/>
    <n v="0"/>
    <n v="2880"/>
    <n v="201.60000000000002"/>
  </r>
  <r>
    <s v="FY24"/>
    <s v="Allen Chen"/>
    <m/>
    <m/>
    <m/>
    <m/>
    <n v="2021"/>
    <x v="12"/>
    <s v="Mouse"/>
    <s v="NA"/>
    <s v="Black"/>
    <s v="S China"/>
    <s v="OTHERS"/>
    <n v="4.29"/>
    <n v="4.43"/>
    <n v="4.43"/>
    <n v="4.43"/>
    <n v="4.43"/>
    <n v="4.43"/>
    <n v="4.43"/>
    <n v="4.43"/>
    <n v="4.43"/>
    <n v="4.43"/>
    <n v="4.43"/>
    <n v="4.43"/>
    <n v="4.43"/>
    <n v="4.4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x v="12"/>
    <s v="Mouse"/>
    <s v="NA"/>
    <s v="Black"/>
    <s v="S China"/>
    <s v="OTHERS"/>
    <n v="4.49"/>
    <n v="4.49"/>
    <n v="4.49"/>
    <n v="4.49"/>
    <n v="4.49"/>
    <n v="4.49"/>
    <n v="4.49"/>
    <n v="4.49"/>
    <n v="4.49"/>
    <n v="4.49"/>
    <n v="4.49"/>
    <n v="4.49"/>
    <n v="4.49"/>
    <n v="4.49"/>
    <n v="0"/>
    <n v="0"/>
    <n v="0"/>
    <n v="0"/>
    <n v="0"/>
    <n v="0"/>
    <n v="0"/>
    <n v="0"/>
    <n v="0"/>
    <n v="0"/>
    <n v="0"/>
    <n v="0"/>
    <n v="0"/>
    <n v="8640"/>
    <n v="0"/>
    <n v="8640"/>
    <n v="0"/>
    <n v="11520"/>
    <n v="0"/>
    <n v="0"/>
    <n v="0"/>
    <n v="8640"/>
    <n v="0"/>
    <n v="2880"/>
    <n v="0"/>
    <n v="864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x v="12"/>
    <s v="Mouse"/>
    <s v="NA"/>
    <s v="Black"/>
    <s v="S China"/>
    <s v="OTHERS"/>
    <n v="4.3899999999999997"/>
    <n v="4.51"/>
    <n v="4.51"/>
    <n v="4.51"/>
    <n v="4.51"/>
    <n v="4.51"/>
    <n v="4.51"/>
    <n v="4.51"/>
    <n v="4.51"/>
    <n v="4.51"/>
    <n v="4.51"/>
    <n v="4.51"/>
    <n v="4.51"/>
    <n v="4.51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5760"/>
    <n v="0"/>
    <n v="864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x v="12"/>
    <s v="Mouse"/>
    <s v="NA"/>
    <s v="Black"/>
    <s v="S China"/>
    <s v="OTHERS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x v="12"/>
    <s v="Mouse"/>
    <s v="NA"/>
    <s v="Black"/>
    <s v="S China"/>
    <s v="OTHERS"/>
    <m/>
    <m/>
    <n v="4.43"/>
    <n v="4.43"/>
    <n v="4.43"/>
    <n v="4.43"/>
    <n v="4.43"/>
    <n v="4.43"/>
    <n v="4.43"/>
    <n v="4.43"/>
    <n v="4.43"/>
    <n v="4.43"/>
    <n v="4.43"/>
    <n v="4.4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8080"/>
    <n v="0"/>
    <n v="5760"/>
    <n v="0"/>
    <n v="2880"/>
    <n v="0"/>
    <n v="8640"/>
    <n v="0"/>
    <n v="8640"/>
    <n v="0"/>
  </r>
  <r>
    <s v="FY24"/>
    <s v="Allen Chen"/>
    <m/>
    <m/>
    <m/>
    <m/>
    <n v="2021"/>
    <x v="12"/>
    <s v="Mouse"/>
    <s v="NA"/>
    <s v="Black"/>
    <s v="S China"/>
    <s v="OTHERS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51"/>
    <n v="4.51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2880"/>
    <n v="0"/>
    <n v="2880"/>
    <n v="0"/>
    <n v="2880"/>
    <n v="0"/>
    <n v="2880"/>
    <n v="0"/>
    <n v="2880"/>
    <n v="0"/>
  </r>
  <r>
    <s v="FY24"/>
    <s v="Allen Chen"/>
    <m/>
    <m/>
    <m/>
    <m/>
    <n v="2021"/>
    <x v="12"/>
    <s v="Mouse"/>
    <s v="NA"/>
    <s v="Black"/>
    <s v="S China"/>
    <s v="OTHERS"/>
    <m/>
    <m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</r>
  <r>
    <s v="FY24"/>
    <s v="Allen Chen"/>
    <m/>
    <m/>
    <m/>
    <m/>
    <n v="2021"/>
    <x v="12"/>
    <s v="Mouse"/>
    <s v="NA"/>
    <s v="Black"/>
    <s v="S China"/>
    <s v="OTHERS"/>
    <m/>
    <m/>
    <n v="4.49"/>
    <n v="4.49"/>
    <n v="4.49"/>
    <n v="4.49"/>
    <n v="4.49"/>
    <n v="4.49"/>
    <n v="4.49"/>
    <n v="4.49"/>
    <n v="4.49"/>
    <n v="4.49"/>
    <n v="4.49"/>
    <n v="4.4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8640"/>
    <n v="0"/>
    <n v="8640"/>
    <n v="0"/>
    <n v="5760"/>
    <n v="0"/>
    <n v="5760"/>
    <n v="0"/>
    <n v="8640"/>
    <n v="0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s v="0"/>
    <n v="0"/>
    <s v="0"/>
    <n v="0"/>
    <n v="2880"/>
    <n v="0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x v="12"/>
    <s v="Mouse"/>
    <s v="NA"/>
    <s v="Black"/>
    <s v="S China"/>
    <s v="OTHERS"/>
    <m/>
    <m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n v="1440"/>
    <n v="0"/>
    <s v="0"/>
    <n v="0"/>
    <n v="2880"/>
    <n v="0"/>
  </r>
  <r>
    <s v="FY24"/>
    <s v="Allen Chen"/>
    <m/>
    <m/>
    <m/>
    <m/>
    <n v="2021"/>
    <x v="12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</r>
  <r>
    <s v="FY24"/>
    <s v="Allen Chen"/>
    <m/>
    <m/>
    <m/>
    <m/>
    <n v="2021"/>
    <x v="12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m/>
    <n v="0"/>
    <s v="0"/>
    <n v="0"/>
    <n v="5760"/>
    <n v="0"/>
  </r>
  <r>
    <s v="FY24"/>
    <s v="Allen Chen"/>
    <m/>
    <m/>
    <m/>
    <m/>
    <n v="2021"/>
    <x v="12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n v="0"/>
    <n v="0"/>
    <n v="2880"/>
    <n v="0"/>
    <n v="20160"/>
    <n v="0"/>
  </r>
  <r>
    <s v="FY24"/>
    <s v="Allen Chen"/>
    <m/>
    <m/>
    <m/>
    <m/>
    <n v="2021"/>
    <x v="12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m/>
    <n v="0"/>
    <s v="0"/>
    <n v="0"/>
    <n v="2880"/>
    <n v="0"/>
  </r>
  <r>
    <s v="FY24"/>
    <s v="Simon Yang"/>
    <m/>
    <m/>
    <m/>
    <m/>
    <n v="2019"/>
    <x v="13"/>
    <s v="Combo"/>
    <s v="NA"/>
    <s v="Black"/>
    <s v="S China"/>
    <s v="OTHERS"/>
    <n v="9.9600000000000009"/>
    <n v="10.23"/>
    <n v="10.23"/>
    <n v="10.23"/>
    <n v="10.23"/>
    <n v="10.23"/>
    <n v="10.23"/>
    <n v="10.23"/>
    <n v="10.23"/>
    <n v="10.23"/>
    <n v="10.23"/>
    <n v="10.23"/>
    <n v="10.23"/>
    <n v="10.23"/>
    <n v="0"/>
    <n v="0"/>
    <n v="0"/>
    <n v="0"/>
    <n v="0"/>
    <n v="0"/>
    <n v="0"/>
    <n v="0"/>
    <n v="0"/>
    <n v="0"/>
    <n v="0"/>
    <n v="0"/>
    <n v="0"/>
    <n v="10080"/>
    <n v="0"/>
    <n v="1280"/>
    <n v="0"/>
    <s v="0"/>
    <n v="0"/>
    <n v="0"/>
    <n v="0"/>
    <n v="0"/>
    <n v="0"/>
    <n v="12960"/>
    <n v="0"/>
    <n v="3200"/>
    <n v="0"/>
    <n v="7680"/>
    <n v="0"/>
    <n v="3840"/>
    <n v="0"/>
    <n v="1280"/>
    <n v="0"/>
    <n v="2560"/>
    <n v="0"/>
    <n v="2560"/>
    <n v="0"/>
  </r>
  <r>
    <s v="FY24"/>
    <s v="Simon Yang"/>
    <m/>
    <m/>
    <m/>
    <m/>
    <n v="2019"/>
    <x v="13"/>
    <s v="Combo"/>
    <s v="NA"/>
    <s v="Black"/>
    <s v="S China"/>
    <s v="OTHERS"/>
    <n v="9.9600000000000009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0"/>
    <n v="0"/>
    <n v="0"/>
    <n v="0"/>
    <n v="0"/>
    <n v="0"/>
    <n v="0"/>
    <n v="0"/>
    <n v="0"/>
    <n v="0"/>
    <n v="0"/>
    <n v="0"/>
    <n v="0"/>
    <n v="0"/>
    <n v="0"/>
    <n v="7200"/>
    <n v="0"/>
    <s v="0"/>
    <n v="0"/>
    <n v="0"/>
    <n v="0"/>
    <n v="7680"/>
    <n v="0"/>
    <s v="0"/>
    <n v="0"/>
    <s v="0"/>
    <n v="0"/>
    <n v="8960"/>
    <n v="0"/>
    <s v="0"/>
    <n v="0"/>
    <s v="0"/>
    <n v="0"/>
    <s v="0"/>
    <n v="0"/>
    <s v="0"/>
    <n v="0"/>
  </r>
  <r>
    <s v="FY24"/>
    <s v="Simon Yang"/>
    <m/>
    <m/>
    <m/>
    <m/>
    <n v="2019"/>
    <x v="13"/>
    <s v="Combo"/>
    <s v="NA"/>
    <s v="Black"/>
    <s v="S China"/>
    <s v="OTHERS"/>
    <n v="9.9600000000000009"/>
    <n v="10.27"/>
    <n v="10.27"/>
    <n v="10.27"/>
    <n v="10.27"/>
    <n v="10.27"/>
    <n v="10.27"/>
    <n v="10.27"/>
    <n v="10.27"/>
    <n v="10.27"/>
    <n v="10.27"/>
    <n v="10.27"/>
    <n v="10.27"/>
    <n v="10.2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1280"/>
    <n v="0"/>
    <s v="0"/>
    <n v="0"/>
    <s v="0"/>
    <n v="0"/>
    <s v="0"/>
    <n v="0"/>
    <s v="0"/>
    <n v="0"/>
    <s v="0"/>
    <n v="0"/>
    <n v="6400"/>
    <n v="0"/>
    <s v="0"/>
    <n v="0"/>
  </r>
  <r>
    <s v="FY24"/>
    <s v="Simon Yang"/>
    <m/>
    <m/>
    <m/>
    <m/>
    <n v="2020"/>
    <x v="23"/>
    <s v="Combo"/>
    <s v="NA"/>
    <s v="Black"/>
    <s v="S China"/>
    <s v="OTHERS"/>
    <n v="5.77"/>
    <n v="5.66"/>
    <n v="5.66"/>
    <n v="5.66"/>
    <n v="5.66"/>
    <n v="5.66"/>
    <n v="5.66"/>
    <n v="5.66"/>
    <n v="5.66"/>
    <n v="5.66"/>
    <n v="5.66"/>
    <n v="5.66"/>
    <n v="5.66"/>
    <n v="5.66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5760"/>
    <n v="0"/>
    <n v="4320"/>
    <n v="0"/>
    <s v="0"/>
    <n v="0"/>
    <n v="4320"/>
    <n v="0"/>
    <n v="4320"/>
    <n v="0"/>
    <n v="1440"/>
    <n v="0"/>
    <n v="4320"/>
    <n v="0"/>
    <n v="1440"/>
    <n v="0"/>
  </r>
  <r>
    <s v="FY24"/>
    <s v="Simon Yang"/>
    <m/>
    <m/>
    <m/>
    <m/>
    <n v="2020"/>
    <x v="23"/>
    <s v="Combo"/>
    <s v="NA"/>
    <s v="Black"/>
    <s v="S China"/>
    <s v="OTHERS"/>
    <n v="6.07"/>
    <n v="5.86"/>
    <n v="5.86"/>
    <n v="5.86"/>
    <n v="5.86"/>
    <n v="5.86"/>
    <n v="5.86"/>
    <n v="5.86"/>
    <n v="5.86"/>
    <n v="5.86"/>
    <n v="5.86"/>
    <n v="5.86"/>
    <n v="5.86"/>
    <n v="5.86"/>
    <n v="0"/>
    <n v="0"/>
    <n v="0"/>
    <n v="0"/>
    <n v="0"/>
    <n v="0"/>
    <n v="0"/>
    <n v="0"/>
    <n v="0"/>
    <n v="0"/>
    <n v="0"/>
    <n v="0"/>
    <n v="0"/>
    <n v="4320"/>
    <n v="0"/>
    <n v="1440"/>
    <n v="0"/>
    <n v="1440"/>
    <n v="0"/>
    <n v="1440"/>
    <n v="0"/>
    <n v="3440"/>
    <n v="0"/>
    <n v="4440"/>
    <n v="0"/>
    <s v="0"/>
    <n v="0"/>
    <n v="1440"/>
    <n v="0"/>
    <s v="0"/>
    <n v="0"/>
    <s v="0"/>
    <n v="0"/>
    <n v="2880"/>
    <n v="0"/>
    <n v="1440"/>
    <n v="0"/>
  </r>
  <r>
    <s v="FY24"/>
    <s v="Simon Yang"/>
    <m/>
    <m/>
    <m/>
    <m/>
    <n v="2020"/>
    <x v="23"/>
    <s v="Combo"/>
    <s v="NA"/>
    <s v="Black"/>
    <s v="S China"/>
    <s v="OTHERS"/>
    <n v="5.77"/>
    <n v="5.56"/>
    <n v="5.56"/>
    <n v="5.56"/>
    <n v="5.56"/>
    <n v="5.56"/>
    <n v="5.56"/>
    <n v="5.56"/>
    <n v="5.56"/>
    <n v="5.56"/>
    <n v="5.56"/>
    <n v="5.56"/>
    <n v="5.56"/>
    <n v="5.56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n v="9.0299999999999994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n v="12800"/>
    <n v="2304"/>
    <n v="8960"/>
    <n v="1612.8"/>
    <n v="3840"/>
    <n v="691.19999999999993"/>
    <n v="11520"/>
    <n v="2073.6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n v="9.0299999999999994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0.18"/>
    <n v="0.18"/>
    <n v="0.18"/>
    <n v="0.18"/>
    <n v="0.18"/>
    <n v="0.18"/>
    <n v="0.18"/>
    <n v="0.18"/>
    <n v="0.18"/>
    <n v="0.18"/>
    <n v="0.18"/>
    <n v="0.18"/>
    <n v="0.18"/>
    <n v="2560"/>
    <n v="460.79999999999995"/>
    <n v="2560"/>
    <n v="460.79999999999995"/>
    <n v="6400"/>
    <n v="1152"/>
    <n v="0"/>
    <n v="0"/>
    <n v="6400"/>
    <n v="1152"/>
    <s v="0"/>
    <n v="0"/>
    <n v="2560"/>
    <n v="460.79999999999995"/>
    <n v="5120"/>
    <n v="921.59999999999991"/>
    <s v="0"/>
    <n v="0"/>
    <n v="3840"/>
    <n v="691.19999999999993"/>
    <n v="2560"/>
    <n v="460.79999999999995"/>
    <s v="0"/>
    <n v="0"/>
  </r>
  <r>
    <s v="FY24"/>
    <s v="Simon Yang"/>
    <m/>
    <m/>
    <m/>
    <m/>
    <n v="2020"/>
    <x v="1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n v="8.85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5120"/>
    <n v="921.59999999999991"/>
    <n v="16640"/>
    <n v="2995.2"/>
    <n v="3840"/>
    <n v="691.19999999999993"/>
    <n v="5120"/>
    <n v="921.59999999999991"/>
    <n v="7680"/>
    <n v="1382.3999999999999"/>
    <s v="0"/>
    <n v="0"/>
    <n v="5120"/>
    <n v="921.59999999999991"/>
    <n v="6400"/>
    <n v="1152"/>
    <n v="7680"/>
    <n v="1382.3999999999999"/>
    <n v="12800"/>
    <n v="2304"/>
    <n v="8960"/>
    <n v="1612.8"/>
  </r>
  <r>
    <s v="FY24"/>
    <s v="Simon Yang"/>
    <m/>
    <m/>
    <m/>
    <m/>
    <n v="2020"/>
    <x v="1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n v="8.85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n v="8.85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8960"/>
    <n v="1612.8"/>
    <n v="21760"/>
    <n v="3916.7999999999997"/>
    <n v="0"/>
    <n v="0"/>
    <n v="16640"/>
    <n v="2995.2"/>
    <n v="15360"/>
    <n v="2764.7999999999997"/>
    <n v="25600"/>
    <n v="4608"/>
    <s v="0"/>
    <n v="0"/>
    <n v="11520"/>
    <n v="2073.6"/>
    <n v="23040"/>
    <n v="4147.2"/>
    <n v="34560"/>
    <n v="6220.8"/>
    <s v="0"/>
    <n v="0"/>
  </r>
  <r>
    <s v="FY24"/>
    <s v="Simon Yang"/>
    <m/>
    <m/>
    <m/>
    <m/>
    <n v="2020"/>
    <x v="1"/>
    <s v="Combo"/>
    <s v="NA"/>
    <s v="Black"/>
    <s v="S China"/>
    <s v="OTHERS"/>
    <n v="9.1999999999999993"/>
    <n v="9"/>
    <n v="9"/>
    <n v="9"/>
    <n v="9"/>
    <n v="9"/>
    <n v="9"/>
    <n v="9"/>
    <n v="9"/>
    <n v="9"/>
    <n v="9"/>
    <n v="9"/>
    <n v="9"/>
    <n v="9"/>
    <n v="0.18"/>
    <n v="0.18"/>
    <n v="0.18"/>
    <n v="0.18"/>
    <n v="0.18"/>
    <n v="0.18"/>
    <n v="0.18"/>
    <n v="0.18"/>
    <n v="0.18"/>
    <n v="0.18"/>
    <n v="0.18"/>
    <n v="0.18"/>
    <n v="0.18"/>
    <n v="10240"/>
    <n v="1843.1999999999998"/>
    <n v="10240"/>
    <n v="1843.1999999999998"/>
    <n v="17920"/>
    <n v="3225.6"/>
    <n v="0"/>
    <n v="0"/>
    <n v="5120"/>
    <n v="921.59999999999991"/>
    <n v="8960"/>
    <n v="1612.8"/>
    <n v="6400"/>
    <n v="1152"/>
    <n v="3840"/>
    <n v="691.19999999999993"/>
    <s v="0"/>
    <n v="0"/>
    <s v="0"/>
    <n v="0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n v="9.1999999999999993"/>
    <n v="9"/>
    <n v="9"/>
    <n v="9"/>
    <n v="9"/>
    <n v="9"/>
    <n v="9"/>
    <n v="9"/>
    <n v="9"/>
    <n v="9"/>
    <n v="9"/>
    <n v="9"/>
    <n v="9"/>
    <n v="9"/>
    <n v="0.18"/>
    <n v="0.18"/>
    <n v="0.18"/>
    <n v="0.18"/>
    <n v="0.18"/>
    <n v="0.18"/>
    <n v="0.18"/>
    <n v="0.18"/>
    <n v="0.18"/>
    <n v="0.18"/>
    <n v="0.18"/>
    <n v="0.18"/>
    <n v="0.18"/>
    <n v="1280"/>
    <n v="230.39999999999998"/>
    <n v="0"/>
    <n v="0"/>
    <n v="2560"/>
    <n v="460.79999999999995"/>
    <n v="0"/>
    <n v="0"/>
    <n v="0"/>
    <n v="0"/>
    <s v="0"/>
    <n v="0"/>
    <n v="1280"/>
    <n v="230.39999999999998"/>
    <s v="0"/>
    <n v="0"/>
    <s v="0"/>
    <n v="0"/>
    <s v="0"/>
    <n v="0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n v="9.1999999999999993"/>
    <n v="8.86"/>
    <n v="8.86"/>
    <n v="8.86"/>
    <n v="8.86"/>
    <n v="8.86"/>
    <n v="8.86"/>
    <n v="8.86"/>
    <n v="8.86"/>
    <n v="8.86"/>
    <n v="8.86"/>
    <n v="8.86"/>
    <n v="8.86"/>
    <n v="8.86"/>
    <n v="0.18"/>
    <n v="0.18"/>
    <n v="0.18"/>
    <n v="0.18"/>
    <n v="0.18"/>
    <n v="0.18"/>
    <n v="0.18"/>
    <n v="0.18"/>
    <n v="0.18"/>
    <n v="0.18"/>
    <n v="0.18"/>
    <n v="0.18"/>
    <n v="0.18"/>
    <n v="9280"/>
    <n v="1670.3999999999999"/>
    <n v="4480"/>
    <n v="806.4"/>
    <s v="0"/>
    <n v="0"/>
    <n v="5760"/>
    <n v="1036.8"/>
    <n v="7680"/>
    <n v="1382.3999999999999"/>
    <n v="38080"/>
    <n v="6854.4"/>
    <n v="22080"/>
    <n v="3974.3999999999996"/>
    <s v="0"/>
    <n v="0"/>
    <s v="0"/>
    <n v="0"/>
    <s v="0"/>
    <n v="0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n v="9.1999999999999993"/>
    <n v="9.02"/>
    <n v="9.02"/>
    <n v="9.02"/>
    <n v="9.02"/>
    <n v="9.02"/>
    <n v="9.02"/>
    <n v="9.02"/>
    <n v="9.02"/>
    <n v="9.02"/>
    <n v="9.02"/>
    <n v="9.02"/>
    <n v="9.02"/>
    <n v="9.02"/>
    <n v="0.18"/>
    <n v="0.18"/>
    <n v="0.18"/>
    <n v="0.18"/>
    <n v="0.18"/>
    <n v="0.18"/>
    <n v="0.18"/>
    <n v="0.18"/>
    <n v="0.18"/>
    <n v="0.18"/>
    <n v="0.18"/>
    <n v="0.18"/>
    <n v="0.18"/>
    <n v="0"/>
    <n v="0"/>
    <n v="6400"/>
    <n v="1152"/>
    <n v="5120"/>
    <n v="921.59999999999991"/>
    <n v="0"/>
    <n v="0"/>
    <n v="6400"/>
    <n v="1152"/>
    <n v="8960"/>
    <n v="1612.8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n v="9.1999999999999993"/>
    <n v="9.02"/>
    <n v="9.02"/>
    <n v="9.02"/>
    <n v="9.02"/>
    <n v="9.02"/>
    <n v="9.02"/>
    <n v="9.02"/>
    <n v="9.02"/>
    <n v="9.02"/>
    <n v="9.02"/>
    <n v="9.02"/>
    <n v="9.02"/>
    <n v="9.02"/>
    <n v="0.18"/>
    <n v="0.18"/>
    <n v="0.18"/>
    <n v="0.18"/>
    <n v="0.18"/>
    <n v="0.18"/>
    <n v="0.18"/>
    <n v="0.18"/>
    <n v="0.18"/>
    <n v="0.18"/>
    <n v="0.18"/>
    <n v="0.18"/>
    <n v="0.18"/>
    <n v="0"/>
    <n v="0"/>
    <n v="1280"/>
    <n v="230.39999999999998"/>
    <n v="1280"/>
    <n v="230.39999999999998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n v="9.1999999999999993"/>
    <n v="8.84"/>
    <n v="8.84"/>
    <n v="8.84"/>
    <n v="8.84"/>
    <n v="8.84"/>
    <n v="8.84"/>
    <n v="8.84"/>
    <n v="8.84"/>
    <n v="8.84"/>
    <n v="8.84"/>
    <n v="8.84"/>
    <n v="8.84"/>
    <n v="8.84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1280"/>
    <n v="230.39999999999998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m/>
    <m/>
    <n v="8.86"/>
    <n v="8.86"/>
    <n v="8.86"/>
    <n v="8.86"/>
    <n v="8.86"/>
    <n v="8.86"/>
    <n v="8.86"/>
    <n v="8.86"/>
    <n v="8.86"/>
    <n v="8.86"/>
    <n v="8.86"/>
    <n v="8.86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6680"/>
    <n v="1202.3999999999999"/>
    <n v="26240"/>
    <n v="4723.2"/>
    <n v="6400"/>
    <n v="1152"/>
    <n v="13440"/>
    <n v="2419.1999999999998"/>
    <n v="4980"/>
    <n v="896.4"/>
  </r>
  <r>
    <s v="FY24"/>
    <s v="Simon Yang"/>
    <m/>
    <m/>
    <m/>
    <m/>
    <n v="2020"/>
    <x v="1"/>
    <s v="Combo"/>
    <s v="NA"/>
    <s v="Black"/>
    <s v="S China"/>
    <s v="OTHERS"/>
    <m/>
    <m/>
    <n v="8.84"/>
    <n v="8.84"/>
    <n v="8.84"/>
    <n v="8.84"/>
    <n v="8.84"/>
    <n v="8.84"/>
    <n v="8.84"/>
    <n v="8.84"/>
    <n v="8.84"/>
    <n v="8.84"/>
    <n v="8.84"/>
    <n v="8.84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50"/>
    <n v="27"/>
    <n v="1130"/>
    <n v="203.4"/>
    <s v="0"/>
    <n v="0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m/>
    <m/>
    <n v="9.02"/>
    <n v="9.02"/>
    <n v="9.02"/>
    <n v="9.02"/>
    <n v="9.02"/>
    <n v="9.02"/>
    <n v="9.02"/>
    <n v="9.02"/>
    <n v="9.02"/>
    <n v="9.02"/>
    <n v="9.02"/>
    <n v="9.02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6400"/>
    <n v="1152"/>
    <n v="3840"/>
    <n v="691.19999999999993"/>
    <n v="5120"/>
    <n v="921.59999999999991"/>
    <n v="8960"/>
    <n v="1612.8"/>
    <s v="0"/>
    <n v="0"/>
  </r>
  <r>
    <s v="FY24"/>
    <s v="Simon Yang"/>
    <m/>
    <m/>
    <m/>
    <m/>
    <n v="2020"/>
    <x v="1"/>
    <s v="Combo"/>
    <s v="NA"/>
    <s v="Black"/>
    <s v="S China"/>
    <s v="OTHERS"/>
    <m/>
    <m/>
    <n v="9.16"/>
    <n v="9.16"/>
    <n v="9.16"/>
    <n v="9.16"/>
    <n v="9.16"/>
    <n v="9.16"/>
    <n v="9.16"/>
    <n v="9.16"/>
    <n v="9.16"/>
    <n v="9.16"/>
    <n v="9.16"/>
    <n v="9.16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4000"/>
    <n v="2520"/>
    <n v="8200"/>
    <n v="1476"/>
    <n v="25800"/>
    <n v="4644"/>
    <n v="39000"/>
    <n v="7020"/>
    <n v="18000"/>
    <n v="3240"/>
  </r>
  <r>
    <s v="FY24"/>
    <s v="Simon Yang"/>
    <m/>
    <m/>
    <m/>
    <m/>
    <n v="2020"/>
    <x v="1"/>
    <s v="Combo"/>
    <s v="NA"/>
    <s v="Black"/>
    <s v="S China"/>
    <s v="OTHERS"/>
    <m/>
    <m/>
    <n v="9"/>
    <n v="9"/>
    <n v="9"/>
    <n v="9"/>
    <n v="9"/>
    <n v="9"/>
    <n v="9"/>
    <n v="9"/>
    <n v="9"/>
    <n v="9"/>
    <n v="9"/>
    <n v="9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2560"/>
    <n v="460.79999999999995"/>
    <n v="8960"/>
    <n v="1612.8"/>
    <n v="5120"/>
    <n v="921.59999999999991"/>
    <n v="5120"/>
    <n v="921.59999999999991"/>
    <n v="2560"/>
    <n v="460.79999999999995"/>
  </r>
  <r>
    <s v="FY24"/>
    <s v="Simon Yang"/>
    <m/>
    <m/>
    <m/>
    <m/>
    <n v="2020"/>
    <x v="1"/>
    <s v="Combo"/>
    <s v="NA"/>
    <s v="Black"/>
    <s v="S China"/>
    <s v="OTHERS"/>
    <m/>
    <m/>
    <n v="9.02"/>
    <n v="9.02"/>
    <n v="9.02"/>
    <n v="9.02"/>
    <n v="9.02"/>
    <n v="9.02"/>
    <n v="9.02"/>
    <n v="9.02"/>
    <n v="9.02"/>
    <n v="9.02"/>
    <n v="9.02"/>
    <n v="9.02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280"/>
    <n v="230.39999999999998"/>
    <s v="0"/>
    <n v="0"/>
    <s v="0"/>
    <n v="0"/>
    <n v="1280"/>
    <n v="230.39999999999998"/>
    <n v="2560"/>
    <n v="460.79999999999995"/>
  </r>
  <r>
    <s v="FY24"/>
    <s v="Simon Yang"/>
    <m/>
    <m/>
    <m/>
    <m/>
    <n v="2020"/>
    <x v="2"/>
    <s v="Combo"/>
    <s v="NA"/>
    <s v="White"/>
    <s v="S China"/>
    <s v="OTHERS"/>
    <n v="10.99"/>
    <n v="10.77"/>
    <n v="10.77"/>
    <n v="10.77"/>
    <n v="10.77"/>
    <n v="10.77"/>
    <n v="10.77"/>
    <n v="10.77"/>
    <n v="10.77"/>
    <n v="10.77"/>
    <n v="10.77"/>
    <n v="10.77"/>
    <n v="10.77"/>
    <n v="10.77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2880"/>
    <n v="604.79999999999995"/>
    <s v="0"/>
    <n v="0"/>
    <n v="2880"/>
    <n v="604.79999999999995"/>
    <s v="0"/>
    <n v="0"/>
    <s v="0"/>
    <n v="0"/>
    <s v="0"/>
    <n v="0"/>
    <n v="2880"/>
    <n v="604.79999999999995"/>
    <s v="0"/>
    <n v="0"/>
  </r>
  <r>
    <s v="FY24"/>
    <s v="Simon Yang"/>
    <m/>
    <m/>
    <m/>
    <m/>
    <n v="2020"/>
    <x v="2"/>
    <s v="Combo"/>
    <s v="NA"/>
    <s v="White"/>
    <s v="S China"/>
    <s v="OTHERS"/>
    <n v="10.99"/>
    <n v="10.73"/>
    <n v="10.73"/>
    <n v="10.73"/>
    <n v="10.73"/>
    <n v="10.73"/>
    <n v="10.73"/>
    <n v="10.73"/>
    <n v="10.73"/>
    <n v="10.73"/>
    <n v="10.73"/>
    <n v="10.73"/>
    <n v="10.73"/>
    <n v="10.73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2880"/>
    <n v="604.79999999999995"/>
    <s v="0"/>
    <n v="0"/>
    <s v="0"/>
    <n v="0"/>
    <s v="0"/>
    <n v="0"/>
    <s v="0"/>
    <n v="0"/>
    <n v="2880"/>
    <n v="604.79999999999995"/>
    <n v="2880"/>
    <n v="604.79999999999995"/>
  </r>
  <r>
    <s v="FY24"/>
    <s v="Simon Yang"/>
    <m/>
    <m/>
    <m/>
    <m/>
    <n v="2021"/>
    <x v="3"/>
    <s v="NBL KB"/>
    <s v="NA"/>
    <s v="Black"/>
    <s v="S China"/>
    <s v="OTHERS"/>
    <n v="7.53"/>
    <n v="7.48"/>
    <n v="7.48"/>
    <n v="7.48"/>
    <n v="7.48"/>
    <n v="7.48"/>
    <n v="7.48"/>
    <n v="7.48"/>
    <n v="7.48"/>
    <n v="7.48"/>
    <n v="7.48"/>
    <n v="7.48"/>
    <n v="7.48"/>
    <n v="7.48"/>
    <n v="0.15"/>
    <n v="0.15"/>
    <n v="0.15"/>
    <n v="0.15"/>
    <n v="0.15"/>
    <n v="0.15"/>
    <n v="0.15"/>
    <n v="0.15"/>
    <n v="0.15"/>
    <n v="0.15"/>
    <n v="0.15"/>
    <n v="0.15"/>
    <n v="0.1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1"/>
    <x v="3"/>
    <s v="NBL KB"/>
    <s v="NA"/>
    <s v="Black"/>
    <s v="S China"/>
    <s v="OTHERS"/>
    <n v="7.53"/>
    <n v="7.46"/>
    <n v="7.46"/>
    <n v="7.46"/>
    <n v="7.46"/>
    <n v="7.46"/>
    <n v="7.46"/>
    <n v="7.46"/>
    <n v="7.46"/>
    <n v="7.46"/>
    <n v="7.46"/>
    <n v="7.46"/>
    <n v="7.46"/>
    <n v="7.46"/>
    <n v="0.15"/>
    <n v="0.15"/>
    <n v="0.15"/>
    <n v="0.15"/>
    <n v="0.15"/>
    <n v="0.15"/>
    <n v="0.15"/>
    <n v="0.15"/>
    <n v="0.15"/>
    <n v="0.15"/>
    <n v="0.15"/>
    <n v="0.15"/>
    <n v="0.15"/>
    <n v="0"/>
    <n v="0"/>
    <n v="0"/>
    <n v="0"/>
    <s v="0"/>
    <n v="0"/>
    <n v="0"/>
    <n v="0"/>
    <n v="4800"/>
    <n v="720"/>
    <s v="0"/>
    <n v="0"/>
    <s v="0"/>
    <n v="0"/>
    <s v="0"/>
    <n v="0"/>
    <s v="0"/>
    <n v="0"/>
    <s v="0"/>
    <n v="0"/>
    <n v="2400"/>
    <n v="360"/>
    <n v="1200"/>
    <n v="180"/>
  </r>
  <r>
    <s v="FY24"/>
    <s v="Simon Yang"/>
    <m/>
    <m/>
    <m/>
    <m/>
    <n v="2021"/>
    <x v="3"/>
    <s v="NBL KB"/>
    <s v="NA"/>
    <s v="Black"/>
    <s v="S China"/>
    <s v="OTHERS"/>
    <n v="7.53"/>
    <n v="7.4"/>
    <n v="7.4"/>
    <n v="7.4"/>
    <n v="7.4"/>
    <n v="7.4"/>
    <n v="7.4"/>
    <n v="7.4"/>
    <n v="7.4"/>
    <n v="7.4"/>
    <n v="7.4"/>
    <n v="7.4"/>
    <n v="7.4"/>
    <n v="7.4"/>
    <n v="0.15"/>
    <n v="0.15"/>
    <n v="0.15"/>
    <n v="0.15"/>
    <n v="0.15"/>
    <n v="0.15"/>
    <n v="0.15"/>
    <n v="0.15"/>
    <n v="0.15"/>
    <n v="0.15"/>
    <n v="0.15"/>
    <n v="0.15"/>
    <n v="0.15"/>
    <n v="1200"/>
    <n v="180"/>
    <n v="0"/>
    <n v="0"/>
    <s v="0"/>
    <n v="0"/>
    <n v="0"/>
    <n v="0"/>
    <n v="2400"/>
    <n v="360"/>
    <n v="1200"/>
    <n v="180"/>
    <s v="0"/>
    <n v="0"/>
    <s v="0"/>
    <n v="0"/>
    <n v="1200"/>
    <n v="180"/>
    <s v="0"/>
    <n v="0"/>
    <s v="0"/>
    <n v="0"/>
    <s v="0"/>
    <n v="0"/>
  </r>
  <r>
    <s v="FY24"/>
    <s v="Simon Yang"/>
    <m/>
    <m/>
    <m/>
    <m/>
    <n v="2021"/>
    <x v="3"/>
    <s v="NBL KB"/>
    <s v="NA"/>
    <s v="Black"/>
    <s v="S China"/>
    <s v="OTHERS"/>
    <n v="7.53"/>
    <n v="7.42"/>
    <n v="7.42"/>
    <n v="7.42"/>
    <n v="7.42"/>
    <n v="7.42"/>
    <n v="7.42"/>
    <n v="7.42"/>
    <n v="7.42"/>
    <n v="7.42"/>
    <n v="7.42"/>
    <n v="7.42"/>
    <n v="7.42"/>
    <n v="7.42"/>
    <n v="0.15"/>
    <n v="0.15"/>
    <n v="0.15"/>
    <n v="0.15"/>
    <n v="0.15"/>
    <n v="0.15"/>
    <n v="0.15"/>
    <n v="0.15"/>
    <n v="0.15"/>
    <n v="0.15"/>
    <n v="0.15"/>
    <n v="0.15"/>
    <n v="0.15"/>
    <n v="8400"/>
    <n v="1260"/>
    <n v="9600"/>
    <n v="1440"/>
    <n v="6000"/>
    <n v="900"/>
    <n v="0"/>
    <n v="0"/>
    <n v="15600"/>
    <n v="2340"/>
    <n v="33000"/>
    <n v="4950"/>
    <n v="28200"/>
    <n v="4230"/>
    <n v="13200"/>
    <n v="1980"/>
    <n v="3600"/>
    <n v="540"/>
    <n v="7200"/>
    <n v="1080"/>
    <n v="25200"/>
    <n v="3780"/>
    <n v="21600"/>
    <n v="3240"/>
  </r>
  <r>
    <s v="FY24"/>
    <s v="Simon Yang"/>
    <m/>
    <m/>
    <m/>
    <m/>
    <n v="2021"/>
    <x v="3"/>
    <s v="NBL KB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n v="7.92"/>
    <n v="7.92"/>
    <n v="7.92"/>
    <n v="0.15"/>
    <n v="0.15"/>
    <n v="0.15"/>
    <n v="0.15"/>
    <n v="0.15"/>
    <n v="0.15"/>
    <n v="0.15"/>
    <n v="0.15"/>
    <n v="0.15"/>
    <n v="0.15"/>
    <n v="0.15"/>
    <n v="0.15"/>
    <n v="0.15"/>
    <n v="0"/>
    <n v="0"/>
    <n v="1200"/>
    <n v="180"/>
    <s v="0"/>
    <n v="0"/>
    <n v="0"/>
    <n v="0"/>
    <n v="1200"/>
    <n v="180"/>
    <s v="0"/>
    <n v="0"/>
    <s v="0"/>
    <n v="0"/>
    <s v="0"/>
    <n v="0"/>
    <s v="0"/>
    <n v="0"/>
    <s v="0"/>
    <n v="0"/>
    <s v="0"/>
    <n v="0"/>
    <n v="1200"/>
    <n v="180"/>
  </r>
  <r>
    <s v="FY24"/>
    <s v="Simon Yang"/>
    <m/>
    <m/>
    <m/>
    <m/>
    <n v="2020"/>
    <x v="5"/>
    <s v="Combo"/>
    <s v="NA"/>
    <s v="Black"/>
    <s v="S China"/>
    <s v="OTHERS"/>
    <n v="4.99"/>
    <n v="4.99"/>
    <n v="4.99"/>
    <n v="4.99"/>
    <n v="4.99"/>
    <n v="4.99"/>
    <n v="4.99"/>
    <n v="4.99"/>
    <n v="4.99"/>
    <n v="4.99"/>
    <n v="4.99"/>
    <n v="4.99"/>
    <n v="4.99"/>
    <n v="4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10400"/>
    <n v="0"/>
    <n v="5200"/>
    <n v="0"/>
    <s v="0"/>
    <n v="0"/>
    <n v="5200"/>
    <n v="0"/>
    <s v="0"/>
    <n v="0"/>
    <n v="5200"/>
    <n v="0"/>
  </r>
  <r>
    <s v="FY24"/>
    <s v="Simon Yang"/>
    <m/>
    <m/>
    <m/>
    <m/>
    <n v="2020"/>
    <x v="5"/>
    <s v="Combo"/>
    <s v="NA"/>
    <s v="Black"/>
    <s v="S China"/>
    <s v="OTHERS"/>
    <n v="4.93"/>
    <n v="4.93"/>
    <n v="4.93"/>
    <n v="4.93"/>
    <n v="4.93"/>
    <n v="4.93"/>
    <n v="4.93"/>
    <n v="4.93"/>
    <n v="4.93"/>
    <n v="4.93"/>
    <n v="4.93"/>
    <n v="4.93"/>
    <n v="4.93"/>
    <n v="4.93"/>
    <n v="0"/>
    <n v="0"/>
    <n v="0"/>
    <n v="0"/>
    <n v="0"/>
    <n v="0"/>
    <n v="0"/>
    <n v="0"/>
    <n v="0"/>
    <n v="0"/>
    <n v="0"/>
    <n v="0"/>
    <n v="0"/>
    <n v="0"/>
    <n v="0"/>
    <n v="0"/>
    <n v="0"/>
    <n v="5200"/>
    <n v="0"/>
    <n v="0"/>
    <n v="0"/>
    <n v="0"/>
    <n v="0"/>
    <n v="10400"/>
    <n v="0"/>
    <n v="520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x v="5"/>
    <s v="Combo"/>
    <s v="NA"/>
    <s v="Black"/>
    <s v="S China"/>
    <s v="OTHERS"/>
    <n v="5.05"/>
    <n v="5.05"/>
    <n v="5.05"/>
    <n v="5.05"/>
    <n v="5.05"/>
    <n v="5.05"/>
    <n v="5.05"/>
    <n v="5.05"/>
    <n v="5.05"/>
    <n v="5.05"/>
    <n v="5.05"/>
    <n v="5.05"/>
    <n v="5.05"/>
    <n v="5.0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0400"/>
    <n v="0"/>
    <n v="5200"/>
    <n v="0"/>
    <s v="0"/>
    <n v="0"/>
  </r>
  <r>
    <s v="FY24"/>
    <s v="Simon Yang"/>
    <m/>
    <m/>
    <m/>
    <m/>
    <n v="2020"/>
    <x v="5"/>
    <s v="Combo"/>
    <s v="NA"/>
    <s v="Black"/>
    <s v="S China"/>
    <s v="OTHERS"/>
    <n v="5.03"/>
    <n v="5.03"/>
    <n v="5.03"/>
    <n v="5.03"/>
    <n v="5.03"/>
    <n v="5.03"/>
    <n v="5.03"/>
    <n v="5.03"/>
    <n v="5.03"/>
    <n v="5.03"/>
    <n v="5.03"/>
    <n v="5.03"/>
    <n v="5.03"/>
    <n v="5.03"/>
    <n v="0"/>
    <n v="0"/>
    <n v="0"/>
    <n v="0"/>
    <n v="0"/>
    <n v="0"/>
    <n v="0"/>
    <n v="0"/>
    <n v="0"/>
    <n v="0"/>
    <n v="0"/>
    <n v="0"/>
    <n v="0"/>
    <n v="0"/>
    <n v="0"/>
    <n v="0"/>
    <n v="0"/>
    <n v="5200"/>
    <n v="0"/>
    <n v="0"/>
    <n v="0"/>
    <n v="0"/>
    <n v="0"/>
    <s v="0"/>
    <n v="0"/>
    <n v="520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x v="5"/>
    <s v="Combo"/>
    <s v="NA"/>
    <s v="Black"/>
    <s v="S China"/>
    <s v="OTHERS"/>
    <n v="4.99"/>
    <n v="4.99"/>
    <n v="4.99"/>
    <n v="4.99"/>
    <n v="4.99"/>
    <n v="4.99"/>
    <n v="4.99"/>
    <n v="4.99"/>
    <n v="4.99"/>
    <n v="4.99"/>
    <n v="4.99"/>
    <n v="4.99"/>
    <n v="4.99"/>
    <n v="4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5200"/>
    <n v="0"/>
    <s v="0"/>
    <n v="0"/>
    <s v="0"/>
    <n v="0"/>
    <s v="0"/>
    <n v="0"/>
    <n v="4800"/>
    <n v="0"/>
    <n v="5200"/>
    <n v="0"/>
    <s v="0"/>
    <n v="0"/>
  </r>
  <r>
    <s v="FY24"/>
    <s v="Simon Yang"/>
    <m/>
    <m/>
    <m/>
    <m/>
    <n v="2022"/>
    <x v="7"/>
    <s v="NBL KB"/>
    <s v="NA"/>
    <s v="Black"/>
    <s v="S China"/>
    <s v="OTHERS"/>
    <n v="3.75"/>
    <n v="3.75"/>
    <n v="3.75"/>
    <n v="3.75"/>
    <n v="3.75"/>
    <n v="3.75"/>
    <n v="3.75"/>
    <n v="3.75"/>
    <n v="3.75"/>
    <n v="3.75"/>
    <n v="3.75"/>
    <n v="3.75"/>
    <n v="3.75"/>
    <n v="3.75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5600"/>
    <n v="1176"/>
    <s v="0"/>
    <n v="0"/>
    <n v="5600"/>
    <n v="1176"/>
    <s v="0"/>
    <n v="0"/>
    <s v="0"/>
    <n v="0"/>
    <n v="5600"/>
    <n v="1176"/>
    <s v="0"/>
    <n v="0"/>
  </r>
  <r>
    <s v="FY24"/>
    <s v="Simon Yang"/>
    <m/>
    <m/>
    <m/>
    <m/>
    <n v="2022"/>
    <x v="7"/>
    <s v="NBL KB"/>
    <s v="NA"/>
    <s v="Black"/>
    <s v="S China"/>
    <s v="OTHERS"/>
    <n v="3.69"/>
    <n v="3.69"/>
    <n v="3.69"/>
    <n v="3.69"/>
    <n v="3.69"/>
    <n v="3.69"/>
    <n v="3.69"/>
    <n v="3.69"/>
    <n v="3.69"/>
    <n v="3.69"/>
    <n v="3.69"/>
    <n v="3.69"/>
    <n v="3.69"/>
    <n v="3.69"/>
    <n v="0.21"/>
    <n v="0.21"/>
    <n v="0.21"/>
    <n v="0.21"/>
    <n v="0.21"/>
    <n v="0.21"/>
    <n v="0.21"/>
    <n v="0.21"/>
    <n v="0.21"/>
    <n v="0.21"/>
    <n v="0.21"/>
    <n v="0.21"/>
    <n v="0.21"/>
    <n v="5600"/>
    <n v="1176"/>
    <n v="0"/>
    <n v="0"/>
    <s v="0"/>
    <n v="0"/>
    <n v="0"/>
    <n v="0"/>
    <n v="5600"/>
    <n v="1176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2"/>
    <x v="7"/>
    <s v="NBL KB"/>
    <s v="NA"/>
    <s v="Black"/>
    <s v="S China"/>
    <s v="OTHERS"/>
    <n v="3.79"/>
    <n v="3.79"/>
    <n v="3.79"/>
    <n v="3.79"/>
    <n v="3.79"/>
    <n v="3.79"/>
    <n v="3.79"/>
    <n v="3.79"/>
    <n v="3.79"/>
    <n v="3.79"/>
    <n v="3.79"/>
    <n v="3.79"/>
    <n v="3.79"/>
    <n v="3.79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n v="5600"/>
    <n v="1176"/>
    <n v="0"/>
    <n v="0"/>
    <n v="0"/>
    <n v="0"/>
    <s v="0"/>
    <n v="0"/>
    <n v="5600"/>
    <n v="1176"/>
    <s v="0"/>
    <n v="0"/>
    <s v="0"/>
    <n v="0"/>
    <s v="0"/>
    <n v="0"/>
    <s v="0"/>
    <n v="0"/>
    <n v="5600"/>
    <n v="1176"/>
  </r>
  <r>
    <s v="FY24"/>
    <s v="Simon Yang"/>
    <m/>
    <m/>
    <m/>
    <m/>
    <n v="2022"/>
    <x v="7"/>
    <s v="NBL KB"/>
    <s v="NA"/>
    <s v="Black"/>
    <s v="S China"/>
    <s v="OTHERS"/>
    <n v="3.77"/>
    <n v="3.77"/>
    <n v="3.77"/>
    <n v="3.77"/>
    <n v="3.77"/>
    <n v="3.77"/>
    <n v="3.77"/>
    <n v="3.77"/>
    <n v="3.77"/>
    <n v="3.77"/>
    <n v="3.77"/>
    <n v="3.77"/>
    <n v="3.77"/>
    <n v="3.77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s v="0"/>
    <n v="0"/>
    <n v="10000"/>
    <n v="2100"/>
    <n v="5600"/>
    <n v="1176"/>
    <s v="0"/>
    <n v="0"/>
    <n v="5600"/>
    <n v="1176"/>
    <n v="5600"/>
    <n v="1176"/>
    <s v="0"/>
    <n v="0"/>
  </r>
  <r>
    <s v="FY24"/>
    <s v="Simon Yang"/>
    <m/>
    <m/>
    <m/>
    <m/>
    <n v="2023"/>
    <x v="24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5400"/>
    <n v="324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3"/>
    <x v="24"/>
    <s v="NBL KB"/>
    <s v="NA"/>
    <s v="Black"/>
    <s v="S China"/>
    <s v="OTHERS"/>
    <n v="6.6"/>
    <n v="6.6"/>
    <n v="6.6"/>
    <n v="6.6"/>
    <n v="6.6"/>
    <n v="6.6"/>
    <n v="6.6"/>
    <n v="6.6"/>
    <n v="6.6"/>
    <n v="6.6"/>
    <n v="6.6"/>
    <n v="6.6"/>
    <n v="6.6"/>
    <n v="6.6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n v="2700"/>
    <n v="162"/>
    <n v="2700"/>
    <n v="162"/>
    <n v="5400"/>
    <n v="324"/>
    <n v="2700"/>
    <n v="162"/>
  </r>
  <r>
    <s v="FY24"/>
    <s v="Simon Yang"/>
    <m/>
    <m/>
    <m/>
    <m/>
    <n v="2023"/>
    <x v="24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3"/>
    <x v="24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3"/>
    <x v="24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3"/>
    <x v="24"/>
    <s v="NBL KB"/>
    <s v="NA"/>
    <s v="Black"/>
    <s v="S China"/>
    <s v="OTHERS"/>
    <n v="6.6"/>
    <n v="6.6"/>
    <n v="6.6"/>
    <n v="6.6"/>
    <n v="6.6"/>
    <n v="6.6"/>
    <n v="6.6"/>
    <n v="6.6"/>
    <n v="6.6"/>
    <n v="6.6"/>
    <n v="6.6"/>
    <n v="6.6"/>
    <n v="6.6"/>
    <n v="6.6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20"/>
    <x v="10"/>
    <s v="Combo"/>
    <s v="NA"/>
    <s v="Black"/>
    <s v="S China"/>
    <s v="OTHERS"/>
    <n v="7.86"/>
    <n v="7.86"/>
    <n v="7.86"/>
    <n v="7.86"/>
    <n v="7.86"/>
    <n v="7.86"/>
    <n v="7.86"/>
    <n v="7.86"/>
    <n v="7.86"/>
    <n v="7.86"/>
    <n v="7.86"/>
    <n v="7.86"/>
    <n v="7.86"/>
    <n v="7.86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n v="5280"/>
    <n v="422.40000000000003"/>
    <n v="0"/>
    <n v="0"/>
    <n v="5280"/>
    <n v="422.40000000000003"/>
    <n v="5280"/>
    <n v="422.40000000000003"/>
    <n v="5280"/>
    <n v="422.40000000000003"/>
    <n v="5280"/>
    <n v="422.40000000000003"/>
    <n v="5280"/>
    <n v="422.40000000000003"/>
    <n v="5280"/>
    <n v="422.40000000000003"/>
    <s v="0"/>
    <n v="0"/>
    <n v="5280"/>
    <n v="422.40000000000003"/>
  </r>
  <r>
    <s v="FY24"/>
    <s v="Simon Yang"/>
    <m/>
    <m/>
    <m/>
    <m/>
    <n v="2020"/>
    <x v="10"/>
    <s v="Combo"/>
    <s v="NA"/>
    <s v="Black"/>
    <s v="S China"/>
    <s v="OTHERS"/>
    <n v="7.8"/>
    <n v="7.8"/>
    <n v="7.8"/>
    <n v="7.8"/>
    <n v="7.8"/>
    <n v="7.8"/>
    <n v="7.8"/>
    <n v="7.8"/>
    <n v="7.8"/>
    <n v="7.8"/>
    <n v="7.8"/>
    <n v="7.8"/>
    <n v="7.8"/>
    <n v="7.8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n v="5280"/>
    <n v="422.40000000000003"/>
    <n v="0"/>
    <n v="0"/>
    <n v="5280"/>
    <n v="422.40000000000003"/>
    <n v="5280"/>
    <n v="422.40000000000003"/>
    <n v="5280"/>
    <n v="422.40000000000003"/>
    <n v="5280"/>
    <n v="422.40000000000003"/>
    <n v="7920"/>
    <n v="633.6"/>
    <n v="2640"/>
    <n v="211.20000000000002"/>
    <n v="5280"/>
    <n v="422.40000000000003"/>
    <n v="4400"/>
    <n v="352"/>
  </r>
  <r>
    <s v="FY24"/>
    <s v="Simon Yang"/>
    <m/>
    <m/>
    <m/>
    <m/>
    <n v="2020"/>
    <x v="10"/>
    <s v="Combo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n v="7.92"/>
    <n v="7.92"/>
    <n v="7.92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s v="0"/>
    <n v="0"/>
    <n v="0"/>
    <n v="0"/>
    <n v="0"/>
    <n v="0"/>
    <s v="0"/>
    <n v="0"/>
    <n v="5280"/>
    <n v="422.40000000000003"/>
    <s v="0"/>
    <n v="0"/>
    <n v="5280"/>
    <n v="422.40000000000003"/>
    <n v="5280"/>
    <n v="422.40000000000003"/>
    <s v="0"/>
    <n v="0"/>
    <s v="0"/>
    <n v="0"/>
  </r>
  <r>
    <s v="FY24"/>
    <s v="Simon Yang"/>
    <m/>
    <m/>
    <m/>
    <m/>
    <n v="2020"/>
    <x v="10"/>
    <s v="Combo"/>
    <s v="NA"/>
    <s v="Black"/>
    <s v="S China"/>
    <s v="OTHERS"/>
    <n v="7.8"/>
    <n v="7.9"/>
    <n v="7.9"/>
    <n v="7.9"/>
    <n v="7.9"/>
    <n v="7.9"/>
    <n v="7.9"/>
    <n v="7.9"/>
    <n v="7.9"/>
    <n v="7.9"/>
    <n v="7.9"/>
    <n v="7.9"/>
    <n v="7.9"/>
    <n v="7.9"/>
    <n v="0.08"/>
    <n v="0.08"/>
    <n v="0.08"/>
    <n v="0.08"/>
    <n v="0.08"/>
    <n v="0.08"/>
    <n v="0.08"/>
    <n v="0.08"/>
    <n v="0.08"/>
    <n v="0.08"/>
    <n v="0.08"/>
    <n v="0.08"/>
    <n v="0.08"/>
    <n v="0"/>
    <n v="0"/>
    <n v="5280"/>
    <n v="422.40000000000003"/>
    <n v="5280"/>
    <n v="422.40000000000003"/>
    <n v="0"/>
    <n v="0"/>
    <n v="0"/>
    <n v="0"/>
    <n v="5280"/>
    <n v="422.40000000000003"/>
    <s v="0"/>
    <n v="0"/>
    <n v="5280"/>
    <n v="422.40000000000003"/>
    <s v="0"/>
    <n v="0"/>
    <n v="5280"/>
    <n v="422.40000000000003"/>
    <n v="0"/>
    <n v="0"/>
    <s v="0"/>
    <n v="0"/>
  </r>
  <r>
    <s v="FY24"/>
    <s v="Simon Yang"/>
    <m/>
    <m/>
    <m/>
    <m/>
    <n v="2020"/>
    <x v="10"/>
    <s v="Combo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n v="7.92"/>
    <n v="7.92"/>
    <n v="7.92"/>
    <n v="0.08"/>
    <n v="0.08"/>
    <n v="0.08"/>
    <n v="0.08"/>
    <n v="0.08"/>
    <n v="0.08"/>
    <n v="0.08"/>
    <n v="0.08"/>
    <n v="0.08"/>
    <n v="0.08"/>
    <n v="0.08"/>
    <n v="0.08"/>
    <n v="0.08"/>
    <n v="4720"/>
    <n v="377.6"/>
    <n v="0"/>
    <n v="0"/>
    <n v="5280"/>
    <n v="422.40000000000003"/>
    <n v="0"/>
    <n v="0"/>
    <n v="0"/>
    <n v="0"/>
    <n v="5280"/>
    <n v="422.40000000000003"/>
    <n v="15840"/>
    <n v="1267.2"/>
    <n v="10560"/>
    <n v="844.80000000000007"/>
    <s v="0"/>
    <n v="0"/>
    <s v="0"/>
    <n v="0"/>
    <s v="0"/>
    <n v="0"/>
    <s v="0"/>
    <n v="0"/>
  </r>
  <r>
    <s v="FY24"/>
    <s v="Allen Chen"/>
    <m/>
    <m/>
    <m/>
    <m/>
    <n v="2018"/>
    <x v="25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8"/>
    <x v="25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8"/>
    <x v="25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8"/>
    <x v="17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33000"/>
    <n v="1650"/>
    <n v="3000"/>
    <n v="150"/>
    <n v="6000"/>
    <n v="300"/>
    <n v="0"/>
    <n v="0"/>
    <n v="0"/>
    <n v="0"/>
    <n v="6000"/>
    <n v="300"/>
    <n v="3000"/>
    <n v="150"/>
    <s v="0"/>
    <n v="0"/>
    <s v="0"/>
    <n v="0"/>
    <s v="0"/>
    <n v="0"/>
    <n v="3000"/>
    <n v="150"/>
    <n v="3000"/>
    <n v="150"/>
  </r>
  <r>
    <s v="FY24"/>
    <s v="Allen Chen"/>
    <m/>
    <m/>
    <m/>
    <m/>
    <n v="2016"/>
    <x v="8"/>
    <s v="Mouse"/>
    <s v="NA"/>
    <s v="Lavender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3000"/>
    <n v="150"/>
    <n v="0"/>
    <n v="0"/>
    <n v="3000"/>
    <n v="15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Lavender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3000"/>
    <n v="150"/>
    <n v="6000"/>
    <n v="300"/>
    <n v="0"/>
    <n v="0"/>
    <n v="3000"/>
    <n v="15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Seafoam Teal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3000"/>
    <n v="15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Seafoam Teal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3000"/>
    <n v="150"/>
    <n v="3000"/>
    <n v="150"/>
    <n v="0"/>
    <n v="0"/>
    <n v="0"/>
    <n v="0"/>
    <n v="3000"/>
    <n v="15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Moonlight Blue"/>
    <s v="S China"/>
    <s v="OTHERS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6000"/>
    <n v="300"/>
    <n v="0"/>
    <n v="0"/>
    <n v="0"/>
    <n v="0"/>
    <s v="0"/>
    <n v="0"/>
    <n v="3000"/>
    <n v="150"/>
    <s v="0"/>
    <n v="0"/>
    <s v="0"/>
    <n v="0"/>
    <s v="0"/>
    <n v="0"/>
    <n v="27000"/>
    <n v="1350"/>
    <s v="0"/>
    <n v="0"/>
  </r>
  <r>
    <s v="FY24"/>
    <s v="Allen Chen"/>
    <m/>
    <m/>
    <m/>
    <m/>
    <n v="2016"/>
    <x v="8"/>
    <s v="Mouse"/>
    <s v="NA"/>
    <s v="Moonlight Blue"/>
    <s v="S China"/>
    <s v="OTHERS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6000"/>
    <n v="300"/>
    <n v="0"/>
    <n v="0"/>
    <n v="0"/>
    <n v="0"/>
    <s v="0"/>
    <n v="0"/>
    <n v="5000"/>
    <n v="250"/>
    <s v="0"/>
    <n v="0"/>
    <s v="0"/>
    <n v="0"/>
    <n v="3000"/>
    <n v="150"/>
    <n v="6000"/>
    <n v="300"/>
    <n v="6000"/>
    <n v="300"/>
  </r>
  <r>
    <s v="FY24"/>
    <s v="Allen Chen"/>
    <m/>
    <m/>
    <m/>
    <m/>
    <n v="2016"/>
    <x v="8"/>
    <s v="Mouse"/>
    <s v="NA"/>
    <s v="薰衣草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n v="0"/>
    <n v="0"/>
    <n v="5500"/>
    <n v="275"/>
    <s v="0"/>
    <n v="0"/>
    <s v="0"/>
    <n v="0"/>
    <m/>
    <n v="0"/>
    <m/>
    <n v="0"/>
    <s v="0"/>
    <m/>
  </r>
  <r>
    <s v="FY24"/>
    <s v="Allen Chen"/>
    <m/>
    <m/>
    <m/>
    <m/>
    <n v="2016"/>
    <x v="8"/>
    <s v="Mouse"/>
    <s v="NA"/>
    <s v="薰衣草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000"/>
    <n v="150"/>
    <s v="0"/>
    <n v="0"/>
    <s v="0"/>
    <n v="0"/>
    <n v="0"/>
    <n v="0"/>
    <n v="3000"/>
    <n v="150"/>
    <s v="0"/>
    <n v="0"/>
  </r>
  <r>
    <s v="FY24"/>
    <s v="Allen Chen"/>
    <m/>
    <m/>
    <m/>
    <m/>
    <n v="2016"/>
    <x v="8"/>
    <s v="Mouse"/>
    <s v="NA"/>
    <s v="鑽石白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300"/>
    <n v="165"/>
    <s v="0"/>
    <n v="0"/>
    <s v="0"/>
    <n v="0"/>
    <n v="0"/>
    <n v="0"/>
    <n v="3000"/>
    <n v="150"/>
    <n v="3000"/>
    <n v="150"/>
  </r>
  <r>
    <s v="FY24"/>
    <s v="Allen Chen"/>
    <m/>
    <m/>
    <m/>
    <m/>
    <n v="2016"/>
    <x v="8"/>
    <s v="Mouse"/>
    <s v="NA"/>
    <s v="鑽石白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000"/>
    <n v="150"/>
    <s v="0"/>
    <n v="0"/>
    <n v="0"/>
    <n v="0"/>
    <n v="0"/>
    <n v="0"/>
    <n v="9000"/>
    <n v="450"/>
    <s v="0"/>
    <n v="0"/>
  </r>
  <r>
    <s v="FY24"/>
    <s v="Allen Chen"/>
    <m/>
    <m/>
    <m/>
    <m/>
    <n v="2016"/>
    <x v="8"/>
    <s v="Mouse"/>
    <s v="NA"/>
    <s v="IMF款-日落紅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7000"/>
    <n v="350"/>
    <s v="0"/>
    <n v="0"/>
    <n v="3000"/>
    <n v="150"/>
    <s v="0"/>
    <n v="0"/>
    <n v="3000"/>
    <n v="150"/>
    <n v="3000"/>
    <n v="150"/>
  </r>
  <r>
    <s v="FY24"/>
    <s v="Allen Chen"/>
    <m/>
    <m/>
    <m/>
    <m/>
    <n v="2016"/>
    <x v="8"/>
    <s v="Mouse"/>
    <s v="NA"/>
    <s v="IMF款-日落紅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4000"/>
    <n v="200"/>
    <s v="0"/>
    <n v="0"/>
    <n v="0"/>
    <n v="0"/>
    <n v="9000"/>
    <n v="450"/>
    <n v="3000"/>
    <n v="150"/>
    <n v="3000"/>
    <n v="150"/>
  </r>
  <r>
    <s v="FY24"/>
    <s v="Allen Chen"/>
    <m/>
    <m/>
    <m/>
    <m/>
    <n v="2016"/>
    <x v="8"/>
    <s v="Mouse"/>
    <s v="NA"/>
    <s v="IMF款-寶石綠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n v="3000"/>
    <n v="150"/>
    <s v="0"/>
    <n v="0"/>
    <n v="3000"/>
    <n v="150"/>
    <s v="0"/>
    <n v="0"/>
  </r>
  <r>
    <s v="FY24"/>
    <s v="Allen Chen"/>
    <m/>
    <m/>
    <m/>
    <m/>
    <n v="2016"/>
    <x v="8"/>
    <s v="Mouse"/>
    <s v="NA"/>
    <s v="IMF款-寶石綠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4200"/>
    <n v="210"/>
    <s v="0"/>
    <n v="0"/>
    <n v="0"/>
    <n v="0"/>
    <n v="3000"/>
    <n v="150"/>
    <n v="0"/>
    <n v="0"/>
    <n v="3000"/>
    <n v="150"/>
  </r>
  <r>
    <s v="FY24"/>
    <s v="Allen Chen"/>
    <m/>
    <m/>
    <m/>
    <m/>
    <n v="2016"/>
    <x v="8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10800"/>
    <n v="540"/>
    <n v="18000"/>
    <n v="900"/>
    <n v="0"/>
    <n v="0"/>
    <n v="0"/>
    <n v="0"/>
    <s v="0"/>
    <n v="0"/>
    <s v="0"/>
    <n v="0"/>
    <s v="0"/>
    <n v="0"/>
    <n v="10800"/>
    <n v="540"/>
    <n v="7200"/>
    <n v="360"/>
    <n v="3600"/>
    <n v="180"/>
    <n v="3600"/>
    <n v="180"/>
  </r>
  <r>
    <s v="FY24"/>
    <s v="Allen Chen"/>
    <m/>
    <m/>
    <m/>
    <m/>
    <n v="2016"/>
    <x v="8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Rose Gold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Rose Gold"/>
    <s v="S China"/>
    <s v="OTHERS"/>
    <n v="5.74"/>
    <n v="5.74"/>
    <n v="5.74"/>
    <n v="5.74"/>
    <n v="5.74"/>
    <n v="5.74"/>
    <n v="5.74"/>
    <n v="5.74"/>
    <n v="5.74"/>
    <n v="5.74"/>
    <n v="5.74"/>
    <n v="5.74"/>
    <n v="5.74"/>
    <n v="5.74"/>
    <n v="0.05"/>
    <n v="0.05"/>
    <n v="0.05"/>
    <n v="0.05"/>
    <n v="0.05"/>
    <n v="0.05"/>
    <n v="0.05"/>
    <n v="0.05"/>
    <n v="0.05"/>
    <n v="0.05"/>
    <n v="0.05"/>
    <n v="0.05"/>
    <n v="0.05"/>
    <n v="1000"/>
    <n v="5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Rose Gold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Ceramic White"/>
    <s v="S China"/>
    <s v="OTHERS"/>
    <n v="6.05"/>
    <n v="5.92"/>
    <n v="5.92"/>
    <n v="5.92"/>
    <n v="5.92"/>
    <n v="5.92"/>
    <n v="5.92"/>
    <n v="5.92"/>
    <n v="5.92"/>
    <n v="5.92"/>
    <n v="5.92"/>
    <n v="5.92"/>
    <n v="5.92"/>
    <n v="5.92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Ceramic White"/>
    <s v="S China"/>
    <s v="OTHERS"/>
    <n v="6.05"/>
    <n v="5.05"/>
    <n v="5.05"/>
    <n v="5.05"/>
    <n v="5.05"/>
    <n v="5.05"/>
    <n v="5.05"/>
    <n v="5.05"/>
    <n v="5.05"/>
    <n v="5.05"/>
    <n v="5.05"/>
    <n v="5.05"/>
    <n v="5.05"/>
    <n v="5.0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Ceramic White"/>
    <s v="S China"/>
    <s v="OTHERS"/>
    <n v="6.05"/>
    <n v="5.13"/>
    <n v="5.13"/>
    <n v="5.13"/>
    <n v="5.13"/>
    <n v="5.13"/>
    <n v="5.13"/>
    <n v="5.13"/>
    <n v="5.13"/>
    <n v="5.13"/>
    <n v="5.13"/>
    <n v="5.13"/>
    <n v="5.13"/>
    <n v="5.13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Ceramic White"/>
    <s v="S China"/>
    <s v="OTHERS"/>
    <n v="6.05"/>
    <n v="5.54"/>
    <n v="5.54"/>
    <n v="5.54"/>
    <n v="5.54"/>
    <n v="5.54"/>
    <n v="5.54"/>
    <n v="5.54"/>
    <n v="5.54"/>
    <n v="5.54"/>
    <n v="5.54"/>
    <n v="5.54"/>
    <n v="5.54"/>
    <n v="5.5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Ceramic White"/>
    <s v="S China"/>
    <s v="OTHERS"/>
    <n v="6.05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Ceramic White"/>
    <s v="S China"/>
    <s v="OTHERS"/>
    <n v="6.05"/>
    <n v="5.27"/>
    <n v="5.27"/>
    <n v="5.27"/>
    <n v="5.27"/>
    <n v="5.27"/>
    <n v="5.27"/>
    <n v="5.27"/>
    <n v="5.27"/>
    <n v="5.27"/>
    <n v="5.27"/>
    <n v="5.27"/>
    <n v="5.27"/>
    <n v="5.2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8"/>
    <s v="Mouse"/>
    <s v="NA"/>
    <s v="Black"/>
    <s v="S China"/>
    <s v="OTHERS"/>
    <n v="4.82"/>
    <n v="3.72"/>
    <n v="4.72"/>
    <n v="3.72"/>
    <n v="3.72"/>
    <n v="3.72"/>
    <n v="3.72"/>
    <n v="3.72"/>
    <n v="3.72"/>
    <n v="3.72"/>
    <n v="3.72"/>
    <n v="3.72"/>
    <n v="3.72"/>
    <n v="3.72"/>
    <n v="0.04"/>
    <n v="0.04"/>
    <n v="0.04"/>
    <n v="0.04"/>
    <n v="0.04"/>
    <n v="0.04"/>
    <n v="0.04"/>
    <n v="0.04"/>
    <n v="0.04"/>
    <n v="0.04"/>
    <n v="0.04"/>
    <n v="0.04"/>
    <n v="0.04"/>
    <n v="3600"/>
    <n v="144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16"/>
    <x v="18"/>
    <s v="Mouse"/>
    <s v="NA"/>
    <s v="Black"/>
    <s v="S China"/>
    <s v="OTHERS"/>
    <n v="4.87"/>
    <n v="3.87"/>
    <n v="3.87"/>
    <n v="3.87"/>
    <n v="3.87"/>
    <n v="3.87"/>
    <n v="3.87"/>
    <n v="3.87"/>
    <n v="3.87"/>
    <n v="3.87"/>
    <n v="3.87"/>
    <n v="3.87"/>
    <n v="3.87"/>
    <n v="3.87"/>
    <n v="0.04"/>
    <n v="0.04"/>
    <n v="0.04"/>
    <n v="0.04"/>
    <n v="0.04"/>
    <n v="0.04"/>
    <n v="0.04"/>
    <n v="0.04"/>
    <n v="0.04"/>
    <n v="0.04"/>
    <n v="0.04"/>
    <n v="0.04"/>
    <n v="0.04"/>
    <n v="0"/>
    <n v="0"/>
    <n v="0"/>
    <n v="0"/>
    <n v="3600"/>
    <n v="144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6"/>
    <s v="Mouse"/>
    <s v="NA"/>
    <s v="Black"/>
    <s v="S China"/>
    <s v="OTHERS"/>
    <n v="4.18"/>
    <n v="4.2199999999999989"/>
    <n v="4.2199999999999989"/>
    <n v="4.2199999999999989"/>
    <n v="4.2199999999999989"/>
    <n v="4.22"/>
    <n v="4.22"/>
    <n v="4.22"/>
    <n v="4.22"/>
    <n v="4.22"/>
    <n v="4.22"/>
    <n v="4.22"/>
    <n v="4.22"/>
    <n v="4.2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6"/>
    <s v="Mouse"/>
    <s v="NA"/>
    <s v="Pike silver"/>
    <s v="S China"/>
    <s v="OTHERS"/>
    <n v="4.7"/>
    <n v="4.7"/>
    <n v="4.7"/>
    <n v="4.7"/>
    <n v="4.7"/>
    <n v="4.7"/>
    <n v="4.7"/>
    <n v="4.7"/>
    <n v="4.7"/>
    <n v="4.7"/>
    <n v="4.7"/>
    <n v="4.7"/>
    <n v="4.7"/>
    <n v="4.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6"/>
    <s v="Mouse"/>
    <s v="NA"/>
    <s v="Pike silver"/>
    <s v="S China"/>
    <s v="OTHERS"/>
    <n v="4.75"/>
    <n v="4.75"/>
    <n v="4.75"/>
    <n v="4.75"/>
    <n v="4.75"/>
    <n v="4.75"/>
    <n v="4.75"/>
    <n v="4.75"/>
    <n v="4.75"/>
    <n v="4.75"/>
    <n v="4.75"/>
    <n v="4.75"/>
    <n v="4.75"/>
    <n v="4.75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6"/>
    <s v="Mouse"/>
    <s v="NA"/>
    <s v="Pike silver"/>
    <s v="S China"/>
    <s v="OTHERS"/>
    <n v="4.7"/>
    <n v="4.7"/>
    <n v="4.7"/>
    <n v="4.7"/>
    <n v="4.7"/>
    <n v="4.7"/>
    <n v="4.7"/>
    <n v="4.7"/>
    <n v="4.7"/>
    <n v="4.7"/>
    <n v="4.7"/>
    <n v="4.7"/>
    <n v="4.7"/>
    <n v="4.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6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6"/>
    <s v="Mouse"/>
    <s v="NA"/>
    <s v="Black"/>
    <s v="S China"/>
    <s v="OTHERS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6000"/>
    <n v="0"/>
    <n v="12000"/>
    <n v="0"/>
    <n v="9000"/>
    <n v="0"/>
    <n v="3000"/>
    <n v="0"/>
    <n v="6000"/>
    <n v="0"/>
    <n v="6000"/>
    <n v="0"/>
    <n v="3000"/>
    <n v="0"/>
    <n v="3000"/>
    <n v="210.00000000000003"/>
    <n v="7200"/>
    <n v="504.00000000000006"/>
    <n v="9000"/>
    <n v="630.00000000000011"/>
    <n v="9000"/>
    <n v="630.00000000000011"/>
    <n v="3000"/>
    <n v="210.00000000000003"/>
  </r>
  <r>
    <s v="FY24"/>
    <s v="Allen Chen"/>
    <m/>
    <m/>
    <m/>
    <m/>
    <n v="2023"/>
    <x v="16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3000"/>
    <n v="0"/>
    <n v="3000"/>
    <n v="0"/>
    <n v="6000"/>
    <n v="0"/>
    <n v="3000"/>
    <n v="0"/>
    <n v="6000"/>
    <n v="0"/>
    <n v="3000"/>
    <n v="0"/>
    <s v="0"/>
    <n v="0"/>
    <n v="3000"/>
    <n v="210.00000000000003"/>
    <n v="3000"/>
    <n v="210.00000000000003"/>
    <n v="6000"/>
    <n v="420.00000000000006"/>
    <n v="3000"/>
    <n v="210.00000000000003"/>
    <n v="3000"/>
    <n v="210.00000000000003"/>
  </r>
  <r>
    <s v="FY24"/>
    <s v="Allen Chen"/>
    <m/>
    <m/>
    <m/>
    <m/>
    <n v="2023"/>
    <x v="16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3000"/>
    <n v="0"/>
    <n v="3000"/>
    <n v="0"/>
    <n v="3000"/>
    <n v="0"/>
    <n v="3000"/>
    <n v="210.00000000000003"/>
    <n v="3000"/>
    <n v="210.00000000000003"/>
    <n v="3000"/>
    <n v="210.00000000000003"/>
    <n v="3000"/>
    <n v="210.00000000000003"/>
    <n v="3000"/>
    <n v="210.00000000000003"/>
  </r>
  <r>
    <s v="FY24"/>
    <s v="Allen Chen"/>
    <m/>
    <m/>
    <m/>
    <m/>
    <n v="2023"/>
    <x v="16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300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16"/>
    <s v="Mouse"/>
    <s v="NA"/>
    <s v="Black"/>
    <s v="S China"/>
    <s v="OTHERS"/>
    <m/>
    <m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400"/>
    <n v="168.00000000000003"/>
    <s v="0"/>
    <n v="0"/>
    <s v="0"/>
    <n v="0"/>
  </r>
  <r>
    <s v="FY24"/>
    <s v="Simon Yang"/>
    <m/>
    <m/>
    <m/>
    <m/>
    <n v="2020"/>
    <x v="1"/>
    <s v="Combo"/>
    <s v="NA"/>
    <s v="Black"/>
    <s v="S China"/>
    <s v="OTHERS"/>
    <n v="9.32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0.18"/>
    <n v="0.18"/>
    <n v="0.18"/>
    <n v="0.18"/>
    <n v="0.18"/>
    <n v="0.18"/>
    <n v="0.18"/>
    <n v="0.18"/>
    <n v="0.18"/>
    <n v="0.18"/>
    <n v="0.18"/>
    <n v="0.18"/>
    <n v="0.18"/>
    <n v="2160"/>
    <n v="388.8"/>
    <n v="3240"/>
    <n v="583.19999999999993"/>
    <n v="3240"/>
    <n v="583.19999999999993"/>
    <n v="3240"/>
    <n v="583.19999999999993"/>
    <n v="6480"/>
    <n v="1166.3999999999999"/>
    <n v="3240"/>
    <n v="583.19999999999993"/>
    <n v="9720"/>
    <n v="1749.6"/>
    <n v="2160"/>
    <n v="388.8"/>
    <n v="4320"/>
    <n v="777.6"/>
    <n v="4320"/>
    <n v="777.6"/>
    <n v="5400"/>
    <n v="972"/>
    <n v="3240"/>
    <n v="583.19999999999993"/>
  </r>
  <r>
    <s v="FY24"/>
    <s v="Simon Yang"/>
    <m/>
    <m/>
    <m/>
    <m/>
    <n v="2021"/>
    <x v="2"/>
    <s v="Combo"/>
    <s v="NA"/>
    <s v="White"/>
    <s v="S China"/>
    <s v="OTHERS"/>
    <n v="10.88"/>
    <n v="11.28"/>
    <n v="11.28"/>
    <n v="11.28"/>
    <n v="11.28"/>
    <n v="11.28"/>
    <n v="11.28"/>
    <n v="11.28"/>
    <n v="11.28"/>
    <n v="11.28"/>
    <n v="11.28"/>
    <n v="11.28"/>
    <n v="11.28"/>
    <n v="11.28"/>
    <n v="0.21"/>
    <n v="0.21"/>
    <n v="0.21"/>
    <n v="0.21"/>
    <n v="0.21"/>
    <n v="0.21"/>
    <n v="0.21"/>
    <n v="0.21"/>
    <n v="0.21"/>
    <n v="0.21"/>
    <n v="0.21"/>
    <n v="0.21"/>
    <n v="0.21"/>
    <n v="5040"/>
    <n v="1058.3999999999999"/>
    <n v="2520"/>
    <n v="529.19999999999993"/>
    <n v="2520"/>
    <n v="529.19999999999993"/>
    <n v="2520"/>
    <n v="529.19999999999993"/>
    <n v="5040"/>
    <n v="1058.3999999999999"/>
    <n v="2520"/>
    <n v="529.19999999999993"/>
    <n v="5040"/>
    <n v="1058.3999999999999"/>
    <s v="0"/>
    <n v="0"/>
    <n v="2520"/>
    <n v="529.19999999999993"/>
    <n v="2520"/>
    <n v="529.19999999999993"/>
    <n v="2520"/>
    <n v="529.19999999999993"/>
    <s v="0"/>
    <n v="0"/>
  </r>
  <r>
    <s v="FY24"/>
    <s v="Allen Chen"/>
    <m/>
    <m/>
    <m/>
    <m/>
    <n v="2020"/>
    <x v="22"/>
    <s v="Mouse"/>
    <s v="NA"/>
    <s v="Black"/>
    <s v="S China"/>
    <s v="OTHERS"/>
    <n v="1.61"/>
    <n v="1.61"/>
    <n v="1.61"/>
    <n v="1.61"/>
    <n v="1.61"/>
    <n v="1.61"/>
    <n v="1.61"/>
    <n v="1.61"/>
    <n v="1.61"/>
    <n v="1.61"/>
    <n v="1.61"/>
    <n v="1.61"/>
    <n v="1.61"/>
    <n v="1.61"/>
    <n v="0"/>
    <n v="0"/>
    <n v="0"/>
    <n v="0"/>
    <n v="0"/>
    <n v="0"/>
    <n v="0"/>
    <n v="0"/>
    <n v="0"/>
    <n v="0"/>
    <n v="0"/>
    <n v="0"/>
    <n v="0"/>
    <n v="6720"/>
    <n v="0"/>
    <n v="40320"/>
    <n v="0"/>
    <n v="33600"/>
    <n v="0"/>
    <n v="0"/>
    <n v="0"/>
    <n v="25920"/>
    <n v="0"/>
    <n v="31680"/>
    <n v="0"/>
    <n v="20160"/>
    <n v="0"/>
    <n v="13440"/>
    <n v="0"/>
    <s v="0"/>
    <n v="0"/>
    <n v="6720"/>
    <n v="0"/>
    <n v="6720"/>
    <n v="0"/>
    <s v="0"/>
    <n v="0"/>
  </r>
  <r>
    <s v="FY24"/>
    <s v="Allen Chen"/>
    <m/>
    <m/>
    <m/>
    <m/>
    <n v="2020"/>
    <x v="26"/>
    <s v="Mouse"/>
    <s v="NA"/>
    <s v="Black"/>
    <s v="S China"/>
    <s v="OTHERS"/>
    <n v="1.65"/>
    <n v="1.65"/>
    <n v="1.65"/>
    <n v="1.65"/>
    <n v="1.65"/>
    <n v="1.65"/>
    <n v="1.65"/>
    <n v="1.65"/>
    <n v="1.65"/>
    <n v="1.65"/>
    <n v="1.65"/>
    <n v="1.65"/>
    <n v="1.65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x v="27"/>
    <s v="Mouse"/>
    <s v="NA"/>
    <s v="Jack Black"/>
    <s v="S China"/>
    <s v="OTHERS"/>
    <n v="3.79"/>
    <n v="3.91"/>
    <n v="3.91"/>
    <n v="3.91"/>
    <n v="3.91"/>
    <n v="3.91"/>
    <n v="3.91"/>
    <n v="3.91"/>
    <n v="3.91"/>
    <n v="3.91"/>
    <n v="3.91"/>
    <n v="3.91"/>
    <n v="3.91"/>
    <n v="3.91"/>
    <n v="0"/>
    <n v="0"/>
    <n v="0"/>
    <n v="0"/>
    <n v="0"/>
    <n v="0"/>
    <n v="0"/>
    <n v="0"/>
    <n v="0"/>
    <n v="0"/>
    <n v="0"/>
    <n v="0"/>
    <n v="0"/>
    <n v="0"/>
    <n v="0"/>
    <n v="8640"/>
    <n v="0"/>
    <n v="37440"/>
    <n v="0"/>
    <n v="23040"/>
    <n v="0"/>
    <n v="28800"/>
    <n v="0"/>
    <n v="50320"/>
    <n v="0"/>
    <n v="14960"/>
    <n v="0"/>
    <s v="0"/>
    <n v="0"/>
    <s v="0"/>
    <n v="0"/>
    <s v="0"/>
    <n v="0"/>
    <s v="0"/>
    <n v="0"/>
    <s v="0"/>
    <n v="0"/>
  </r>
  <r>
    <s v="FY24"/>
    <s v="Allen Chen"/>
    <m/>
    <m/>
    <m/>
    <m/>
    <n v="2020"/>
    <x v="27"/>
    <s v="Mouse"/>
    <s v="NA"/>
    <s v="Jack Black"/>
    <s v="S China"/>
    <s v="OTHERS"/>
    <n v="3.75"/>
    <n v="3.87"/>
    <n v="3.87"/>
    <n v="3.87"/>
    <n v="3.87"/>
    <n v="3.87"/>
    <n v="3.87"/>
    <n v="3.87"/>
    <n v="3.87"/>
    <n v="3.87"/>
    <n v="3.87"/>
    <n v="3.87"/>
    <n v="3.87"/>
    <n v="3.87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2880"/>
    <n v="0"/>
    <n v="8640"/>
    <n v="0"/>
    <s v="0"/>
    <n v="0"/>
    <n v="8640"/>
    <n v="0"/>
    <n v="8640"/>
    <n v="0"/>
    <s v="0"/>
    <n v="0"/>
    <n v="2880"/>
    <n v="0"/>
    <s v="0"/>
    <n v="0"/>
  </r>
  <r>
    <s v="FY24"/>
    <s v="Allen Chen"/>
    <m/>
    <m/>
    <m/>
    <m/>
    <n v="2023"/>
    <x v="21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320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1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3200"/>
    <n v="0"/>
    <n v="3200"/>
    <n v="0"/>
    <n v="0"/>
    <n v="0"/>
    <n v="6400"/>
    <n v="0"/>
    <n v="3200"/>
    <n v="0"/>
    <n v="640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1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1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640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21"/>
    <s v="Mouse"/>
    <s v="NA"/>
    <s v="Black"/>
    <s v="S China"/>
    <s v="OTHERS"/>
    <m/>
    <m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3200"/>
    <n v="0"/>
    <s v="0"/>
    <n v="0"/>
    <s v="0"/>
    <n v="0"/>
  </r>
  <r>
    <s v="FY24"/>
    <s v="Allen Chen"/>
    <m/>
    <m/>
    <m/>
    <m/>
    <n v="2023"/>
    <x v="21"/>
    <s v="Mouse"/>
    <s v="NA"/>
    <s v="Black"/>
    <s v="S China"/>
    <s v="OTHERS"/>
    <m/>
    <m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0"/>
    <n v="0"/>
    <n v="3200"/>
    <n v="0"/>
    <n v="3200"/>
    <n v="0"/>
  </r>
  <r>
    <s v="FY24"/>
    <s v="Allen Chen"/>
    <m/>
    <m/>
    <m/>
    <m/>
    <n v="2020"/>
    <x v="28"/>
    <s v="Mouse"/>
    <s v="NA"/>
    <s v="Black"/>
    <s v="S China"/>
    <s v="OTHERS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18"/>
    <x v="29"/>
    <s v="NBL KB"/>
    <s v="NA"/>
    <s v="Black"/>
    <s v="S China"/>
    <s v="OTHERS"/>
    <n v="3.88"/>
    <n v="3.88"/>
    <n v="3.88"/>
    <n v="3.88"/>
    <n v="3.88"/>
    <n v="3.88"/>
    <n v="3.88"/>
    <n v="3.88"/>
    <n v="3.88"/>
    <n v="3.88"/>
    <n v="3.88"/>
    <n v="3.88"/>
    <n v="3.88"/>
    <n v="3.8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m/>
    <m/>
    <m/>
    <m/>
    <m/>
    <n v="2021"/>
    <x v="30"/>
    <s v="Others"/>
    <s v="NA"/>
    <s v="Silver"/>
    <s v="S China"/>
    <s v="OTHERS"/>
    <n v="3.37"/>
    <n v="3.37"/>
    <n v="3.37"/>
    <n v="3.37"/>
    <n v="3.37"/>
    <n v="3.37"/>
    <n v="3.37"/>
    <n v="3.37"/>
    <n v="3.37"/>
    <n v="3.37"/>
    <n v="3.37"/>
    <n v="3.37"/>
    <n v="3.37"/>
    <n v="3.3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m/>
    <m/>
    <m/>
    <m/>
    <m/>
    <n v="2021"/>
    <x v="30"/>
    <s v="Others"/>
    <s v="NA"/>
    <s v="Silver"/>
    <s v="S China"/>
    <s v="OTHERS"/>
    <n v="3.26"/>
    <n v="3.26"/>
    <n v="3.26"/>
    <n v="3.26"/>
    <n v="3.26"/>
    <n v="3.26"/>
    <n v="3.26"/>
    <n v="3.26"/>
    <n v="3.26"/>
    <n v="3.26"/>
    <n v="3.26"/>
    <n v="3.26"/>
    <n v="3.26"/>
    <n v="3.26"/>
    <n v="0"/>
    <n v="0"/>
    <n v="0"/>
    <n v="0"/>
    <n v="0"/>
    <n v="0"/>
    <n v="0"/>
    <n v="0"/>
    <n v="0"/>
    <n v="0"/>
    <n v="0"/>
    <n v="0"/>
    <n v="0"/>
    <n v="2000"/>
    <n v="0"/>
    <n v="0"/>
    <n v="0"/>
    <s v="0"/>
    <n v="0"/>
    <n v="0"/>
    <n v="0"/>
    <n v="1000"/>
    <n v="0"/>
    <s v="0"/>
    <n v="0"/>
    <s v="0"/>
    <n v="0"/>
    <s v="0"/>
    <n v="0"/>
    <s v="0"/>
    <n v="0"/>
    <s v="0"/>
    <n v="0"/>
    <s v="0"/>
    <n v="0"/>
    <s v="0"/>
    <n v="0"/>
  </r>
  <r>
    <s v="FY24"/>
    <s v="Simon Yang"/>
    <m/>
    <m/>
    <m/>
    <m/>
    <n v="2018"/>
    <x v="29"/>
    <s v="NBL KB"/>
    <s v="NA"/>
    <s v="Black"/>
    <s v="S China"/>
    <s v="OTHERS"/>
    <n v="3.65"/>
    <n v="3.65"/>
    <n v="3.65"/>
    <n v="3.65"/>
    <n v="3.65"/>
    <n v="3.65"/>
    <n v="3.65"/>
    <n v="3.65"/>
    <n v="3.65"/>
    <n v="3.65"/>
    <n v="3.65"/>
    <n v="3.65"/>
    <n v="3.65"/>
    <n v="3.6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1890"/>
    <n v="0"/>
    <n v="1890"/>
    <n v="0"/>
    <n v="7560"/>
    <n v="0"/>
    <s v="0"/>
    <n v="0"/>
    <s v="0"/>
    <n v="0"/>
    <n v="1890"/>
    <n v="0"/>
    <n v="1890"/>
    <n v="0"/>
    <n v="1890"/>
    <n v="0"/>
    <s v="0"/>
    <n v="0"/>
  </r>
  <r>
    <s v="FY24"/>
    <s v="Allen Chen"/>
    <m/>
    <m/>
    <m/>
    <m/>
    <n v="2023"/>
    <x v="31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n v="11.2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2880"/>
    <n v="0"/>
    <n v="1440"/>
    <n v="0"/>
    <n v="1440"/>
    <n v="648"/>
    <s v="0"/>
    <n v="0"/>
  </r>
  <r>
    <s v="FY24"/>
    <s v="Allen Chen"/>
    <m/>
    <m/>
    <m/>
    <m/>
    <n v="2023"/>
    <x v="31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n v="11.2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1440"/>
    <n v="0"/>
    <s v="0"/>
    <n v="0"/>
    <n v="1440"/>
    <n v="648"/>
    <s v="0"/>
    <n v="0"/>
  </r>
  <r>
    <s v="FY24"/>
    <s v="Allen Chen"/>
    <m/>
    <m/>
    <m/>
    <m/>
    <n v="2023"/>
    <x v="31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n v="11.2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</r>
  <r>
    <s v="FY24"/>
    <s v="Allen Chen"/>
    <m/>
    <m/>
    <m/>
    <m/>
    <n v="2023"/>
    <x v="31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n v="11.22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</r>
  <r>
    <s v="FY24"/>
    <s v="Allen Chen"/>
    <m/>
    <m/>
    <m/>
    <m/>
    <n v="2023"/>
    <x v="31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n v="11.22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1440"/>
    <n v="0"/>
    <n v="14400"/>
    <n v="0"/>
    <s v="0"/>
    <n v="0"/>
    <s v="0"/>
    <n v="0"/>
  </r>
  <r>
    <s v="FY24"/>
    <s v="Allen Chen"/>
    <m/>
    <m/>
    <m/>
    <m/>
    <n v="2023"/>
    <x v="31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n v="11.22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040"/>
    <n v="1414.4"/>
    <s v="0"/>
    <n v="0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2080"/>
    <n v="2828.8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040"/>
    <n v="1414.4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040"/>
    <n v="1414.4"/>
    <s v="0"/>
    <n v="0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6240"/>
    <n v="8486.4000000000015"/>
  </r>
  <r>
    <s v="FY24"/>
    <s v="Allen Chen"/>
    <m/>
    <m/>
    <m/>
    <m/>
    <n v="2023"/>
    <x v="32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040"/>
    <n v="1414.4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200"/>
    <n v="1128"/>
    <n v="1200"/>
    <n v="1128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200"/>
    <n v="1128"/>
    <s v="0"/>
    <n v="0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4800"/>
    <n v="4512"/>
  </r>
  <r>
    <s v="FY24"/>
    <s v="Allen Chen"/>
    <m/>
    <m/>
    <m/>
    <m/>
    <n v="2023"/>
    <x v="33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">
  <r>
    <s v="FY24"/>
    <s v="Allen Chen"/>
    <s v="Acrox"/>
    <s v="Peripheral"/>
    <s v="Peripheral"/>
    <s v="Peripherals"/>
    <n v="2018"/>
    <s v="Bogota"/>
    <s v="Mouse"/>
    <s v="NA"/>
    <s v="Black"/>
    <s v="S China"/>
    <s v="OTHERS"/>
    <n v="1.8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  <s v="4QM14AA#UUF"/>
    <s v="Foxconn LH"/>
    <s v="APJ"/>
  </r>
  <r>
    <s v="FY24"/>
    <s v="Allen Chen"/>
    <m/>
    <m/>
    <m/>
    <m/>
    <n v="2018"/>
    <s v="Bogota"/>
    <s v="Mouse"/>
    <s v="NA"/>
    <s v="Black"/>
    <s v="S China"/>
    <s v="OTHERS"/>
    <n v="1.8"/>
    <n v="1.79"/>
    <n v="1.79"/>
    <n v="1.79"/>
    <n v="1.79"/>
    <n v="1.79"/>
    <n v="1.79"/>
    <n v="1.79"/>
    <n v="1.79"/>
    <n v="1.79"/>
    <n v="1.79"/>
    <n v="1.79"/>
    <n v="1.79"/>
    <n v="1.79"/>
    <n v="0"/>
    <n v="0"/>
    <n v="0"/>
    <n v="0"/>
    <n v="0"/>
    <n v="0"/>
    <n v="0"/>
    <n v="0"/>
    <n v="0"/>
    <n v="0"/>
    <n v="0"/>
    <n v="0"/>
    <n v="0"/>
    <n v="6720"/>
    <n v="0"/>
    <n v="94080"/>
    <n v="0"/>
    <n v="6720"/>
    <n v="0"/>
    <n v="0"/>
    <n v="0"/>
    <n v="26880"/>
    <n v="0"/>
    <n v="32640"/>
    <n v="0"/>
    <s v="0"/>
    <n v="0"/>
    <n v="6720"/>
    <n v="0"/>
    <n v="6720"/>
    <n v="0"/>
    <n v="20160"/>
    <n v="0"/>
    <n v="6720"/>
    <n v="0"/>
    <n v="26880"/>
    <n v="0"/>
    <s v="4QM14AA#ABB"/>
    <s v="Foxconn CZ"/>
    <s v="EMEA"/>
  </r>
  <r>
    <s v="FY24"/>
    <s v="Allen Chen"/>
    <m/>
    <m/>
    <m/>
    <m/>
    <n v="2018"/>
    <s v="Bogota"/>
    <s v="Mouse"/>
    <s v="NA"/>
    <s v="Black"/>
    <s v="S China"/>
    <s v="OTHERS"/>
    <n v="1.8"/>
    <n v="2.04"/>
    <n v="2.04"/>
    <n v="2.04"/>
    <n v="2.04"/>
    <n v="2.04"/>
    <n v="2.04"/>
    <n v="2.04"/>
    <n v="2.04"/>
    <n v="2.04"/>
    <n v="2.04"/>
    <n v="2.04"/>
    <n v="2.04"/>
    <n v="2.04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2880"/>
    <n v="0"/>
    <n v="0"/>
    <n v="0"/>
    <n v="0"/>
    <n v="0"/>
    <s v="0"/>
    <n v="0"/>
    <s v="0"/>
    <n v="0"/>
    <n v="2880"/>
    <n v="0"/>
    <s v="0"/>
    <n v="0"/>
    <n v="2880"/>
    <n v="0"/>
    <s v="0"/>
    <n v="0"/>
    <s v="4QM14AA#ABL"/>
    <s v="Foxconn LH"/>
    <s v="NA/LA"/>
  </r>
  <r>
    <s v="FY24"/>
    <s v="Simon Yang"/>
    <m/>
    <m/>
    <m/>
    <m/>
    <n v="2020"/>
    <s v="Brac"/>
    <s v="Combo"/>
    <s v="NA"/>
    <s v="Black"/>
    <s v="S China"/>
    <s v="OTHERS"/>
    <n v="9.1999999999999993"/>
    <n v="9.16"/>
    <n v="9.16"/>
    <n v="9.16"/>
    <n v="9.16"/>
    <n v="9.16"/>
    <n v="9.16"/>
    <n v="9.16"/>
    <n v="9.16"/>
    <n v="9.16"/>
    <n v="9.16"/>
    <n v="9.16"/>
    <n v="9.16"/>
    <n v="9.16"/>
    <n v="0.18"/>
    <n v="0.18"/>
    <n v="0.18"/>
    <n v="0.18"/>
    <n v="0.18"/>
    <n v="0.18"/>
    <n v="0.18"/>
    <n v="0.18"/>
    <n v="0.18"/>
    <n v="0.18"/>
    <n v="0.18"/>
    <n v="0.18"/>
    <n v="0.18"/>
    <n v="48000"/>
    <n v="8640"/>
    <n v="17000"/>
    <n v="3060"/>
    <n v="19600"/>
    <n v="3528"/>
    <n v="17400"/>
    <n v="3132"/>
    <n v="28500"/>
    <n v="5130"/>
    <n v="37000"/>
    <n v="6660"/>
    <n v="24120"/>
    <n v="4341.5999999999995"/>
    <n v="21880"/>
    <n v="3938.3999999999996"/>
    <s v="0"/>
    <n v="0"/>
    <s v="0"/>
    <n v="0"/>
    <s v="0"/>
    <n v="0"/>
    <s v="0"/>
    <n v="0"/>
    <s v="1Y4D0AA#AC3"/>
    <s v="Flextronics CZ"/>
    <s v="EMEA"/>
  </r>
  <r>
    <s v="FY24"/>
    <s v="Simon Yang"/>
    <m/>
    <m/>
    <m/>
    <m/>
    <n v="2020"/>
    <s v="Brac"/>
    <s v="Combo"/>
    <s v="NA"/>
    <s v="Black"/>
    <s v="S China"/>
    <s v="OTHERS"/>
    <m/>
    <m/>
    <n v="9"/>
    <n v="9"/>
    <n v="9"/>
    <n v="9"/>
    <n v="9"/>
    <n v="9"/>
    <n v="9"/>
    <n v="9"/>
    <n v="9"/>
    <n v="9"/>
    <n v="9"/>
    <n v="9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s v="0"/>
    <n v="0"/>
    <n v="1280"/>
    <n v="230.39999999999998"/>
    <s v="0"/>
    <n v="0"/>
    <s v="0"/>
    <n v="0"/>
    <s v="0"/>
    <n v="0"/>
    <s v="1Y4D0UT#AB1"/>
    <s v="Foxconn LH"/>
    <s v="APJ"/>
  </r>
  <r>
    <s v="FY24"/>
    <s v="Simon Yang"/>
    <m/>
    <m/>
    <m/>
    <m/>
    <n v="2020"/>
    <s v="Brac"/>
    <s v="Combo"/>
    <s v="NA"/>
    <s v="Black"/>
    <s v="S China"/>
    <s v="OTHERS"/>
    <n v="9.0299999999999994"/>
    <n v="9.01"/>
    <n v="9.01"/>
    <n v="9.01"/>
    <n v="9.01"/>
    <n v="9.01"/>
    <n v="9.01"/>
    <n v="9.01"/>
    <n v="9.01"/>
    <n v="9.01"/>
    <n v="9.01"/>
    <n v="9.01"/>
    <n v="9.01"/>
    <n v="9.01"/>
    <n v="0.18"/>
    <n v="0.18"/>
    <n v="0.18"/>
    <n v="0.18"/>
    <n v="0.18"/>
    <n v="0.18"/>
    <n v="0.18"/>
    <n v="0.18"/>
    <n v="0.18"/>
    <n v="0.18"/>
    <n v="0.18"/>
    <n v="0.18"/>
    <n v="0.18"/>
    <n v="28780"/>
    <n v="5180.3999999999996"/>
    <n v="14000"/>
    <n v="2520"/>
    <n v="43400"/>
    <n v="7812"/>
    <n v="23600"/>
    <n v="4248"/>
    <n v="18000"/>
    <n v="3240"/>
    <n v="29000"/>
    <n v="5220"/>
    <n v="15600"/>
    <n v="2808"/>
    <n v="33400"/>
    <n v="6012"/>
    <n v="25280"/>
    <n v="4550.3999999999996"/>
    <n v="21280"/>
    <n v="3830.3999999999996"/>
    <n v="47000"/>
    <n v="8460"/>
    <n v="23000"/>
    <n v="4140"/>
    <s v="18H24AA#AC3"/>
    <s v="Flextronics CZ"/>
    <s v="EMEA"/>
  </r>
  <r>
    <s v="FY24"/>
    <s v="Simon Yang"/>
    <m/>
    <m/>
    <m/>
    <m/>
    <n v="2020"/>
    <s v="BracWhiteComb"/>
    <s v="Combo"/>
    <s v="NA"/>
    <s v="White"/>
    <s v="S China"/>
    <s v="OTHERS"/>
    <n v="10.99"/>
    <n v="10.92"/>
    <n v="10.92"/>
    <n v="10.92"/>
    <n v="10.92"/>
    <n v="10.92"/>
    <n v="10.92"/>
    <n v="10.92"/>
    <n v="10.92"/>
    <n v="10.92"/>
    <n v="10.92"/>
    <n v="10.92"/>
    <n v="10.92"/>
    <n v="10.92"/>
    <n v="0.21"/>
    <n v="0.21"/>
    <n v="0.21"/>
    <n v="0.21"/>
    <n v="0.21"/>
    <n v="0.21"/>
    <n v="0.21"/>
    <n v="0.21"/>
    <n v="0.21"/>
    <n v="0.21"/>
    <n v="0.21"/>
    <n v="0.21"/>
    <n v="0.21"/>
    <n v="10880"/>
    <n v="2284.7999999999997"/>
    <n v="0"/>
    <n v="0"/>
    <n v="5760"/>
    <n v="1209.5999999999999"/>
    <n v="2880"/>
    <n v="604.79999999999995"/>
    <n v="3880"/>
    <n v="814.8"/>
    <n v="16880"/>
    <n v="3544.7999999999997"/>
    <n v="10180"/>
    <n v="2137.7999999999997"/>
    <n v="5760"/>
    <n v="1209.5999999999999"/>
    <s v="0"/>
    <n v="0"/>
    <n v="5760"/>
    <n v="1209.5999999999999"/>
    <n v="10760"/>
    <n v="2259.6"/>
    <n v="5880"/>
    <n v="1234.8"/>
    <s v="3L1F0AA#AC3"/>
    <s v="Flextronics CZ"/>
    <s v="EMEA"/>
  </r>
  <r>
    <s v="FY24"/>
    <s v="Simon Yang"/>
    <m/>
    <m/>
    <m/>
    <m/>
    <n v="2021"/>
    <s v="BracWLKB"/>
    <s v="NBL KB"/>
    <s v="NA"/>
    <s v="Black"/>
    <s v="S China"/>
    <s v="OTHERS"/>
    <n v="7.73"/>
    <n v="7.58"/>
    <n v="7.58"/>
    <n v="7.58"/>
    <n v="7.58"/>
    <n v="7.58"/>
    <n v="7.58"/>
    <n v="7.58"/>
    <n v="7.58"/>
    <n v="7.58"/>
    <n v="7.58"/>
    <n v="7.58"/>
    <n v="7.58"/>
    <n v="7.58"/>
    <n v="0.15"/>
    <n v="0.15"/>
    <n v="0.15"/>
    <n v="0.15"/>
    <n v="0.15"/>
    <n v="0.15"/>
    <n v="0.15"/>
    <n v="0.15"/>
    <n v="0.15"/>
    <n v="0.15"/>
    <n v="0.15"/>
    <n v="0.15"/>
    <n v="0.15"/>
    <n v="12480"/>
    <n v="1872"/>
    <n v="0"/>
    <n v="0"/>
    <n v="6080"/>
    <n v="912"/>
    <n v="5500"/>
    <n v="825"/>
    <n v="6840"/>
    <n v="1026"/>
    <n v="14280"/>
    <n v="2142"/>
    <s v="0"/>
    <n v="0"/>
    <s v="0"/>
    <n v="0"/>
    <s v="0"/>
    <n v="0"/>
    <n v="1280"/>
    <n v="192"/>
    <n v="4000"/>
    <n v="600"/>
    <n v="3840"/>
    <n v="576"/>
    <s v="3L1E7AA#AC3"/>
    <s v="Flextronics CZ"/>
    <s v="EMEA"/>
  </r>
  <r>
    <s v="FY24"/>
    <s v="Allen Chen"/>
    <m/>
    <m/>
    <m/>
    <m/>
    <n v="2020"/>
    <s v="Brain"/>
    <s v="Mouse"/>
    <s v="NA"/>
    <s v="Natural Silver"/>
    <s v="S China"/>
    <s v="OTHERS"/>
    <n v="30.5"/>
    <n v="30.52"/>
    <n v="30.52"/>
    <n v="30.52"/>
    <n v="30.52"/>
    <n v="30.52"/>
    <n v="30.52"/>
    <n v="30.52"/>
    <n v="30.52"/>
    <n v="30.52"/>
    <n v="30.52"/>
    <n v="30.52"/>
    <n v="30.45"/>
    <n v="30.45"/>
    <n v="0"/>
    <n v="0"/>
    <n v="0"/>
    <n v="0"/>
    <n v="0"/>
    <n v="0"/>
    <n v="0"/>
    <n v="0"/>
    <n v="0"/>
    <n v="0"/>
    <n v="0"/>
    <n v="7.0000000000000007E-2"/>
    <n v="7.0000000000000007E-2"/>
    <n v="1008"/>
    <n v="0"/>
    <n v="0"/>
    <n v="0"/>
    <s v="0"/>
    <n v="0"/>
    <n v="1008"/>
    <n v="0"/>
    <n v="0"/>
    <n v="0"/>
    <n v="1008"/>
    <n v="0"/>
    <s v="0"/>
    <n v="0"/>
    <n v="1008"/>
    <n v="0"/>
    <s v="0"/>
    <n v="0"/>
    <s v="0"/>
    <n v="0"/>
    <n v="1008"/>
    <n v="70.56"/>
    <s v="0"/>
    <n v="0"/>
    <s v="1D0K9AA#ABB"/>
    <s v="Foxconn CZ"/>
    <s v="EMEA"/>
  </r>
  <r>
    <s v="FY24"/>
    <s v="Allen Chen"/>
    <m/>
    <m/>
    <m/>
    <m/>
    <n v="2020"/>
    <s v="Brain"/>
    <s v="Mouse"/>
    <s v="NA"/>
    <s v="Nightfull black"/>
    <s v="S China"/>
    <s v="OTHERS"/>
    <n v="30.4"/>
    <n v="30.42"/>
    <n v="30.42"/>
    <n v="30.42"/>
    <n v="30.42"/>
    <n v="30.42"/>
    <n v="30.42"/>
    <n v="30.42"/>
    <n v="30.42"/>
    <n v="30.42"/>
    <n v="30.42"/>
    <n v="30.42"/>
    <n v="30.35"/>
    <n v="30.3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2016"/>
    <n v="0"/>
    <n v="1008"/>
    <n v="0"/>
    <n v="0"/>
    <n v="0"/>
    <n v="1008"/>
    <n v="0"/>
    <s v="0"/>
    <n v="0"/>
    <n v="1008"/>
    <n v="0"/>
    <s v="0"/>
    <n v="0"/>
    <n v="1008"/>
    <n v="0"/>
    <s v="0"/>
    <n v="0"/>
    <s v="0"/>
    <n v="0"/>
    <n v="1008"/>
    <n v="70.56"/>
    <s v="1D0K8AA#AC3"/>
    <s v="Foxconn CZ"/>
    <s v="EMEA"/>
  </r>
  <r>
    <s v="FY24"/>
    <s v="Allen Chen"/>
    <m/>
    <m/>
    <m/>
    <m/>
    <n v="2020"/>
    <s v="Brain"/>
    <s v="Mouse"/>
    <s v="NA"/>
    <s v="Natural Silver"/>
    <s v="S China"/>
    <s v="OTHERS"/>
    <n v="30.5"/>
    <n v="30.52"/>
    <n v="30.52"/>
    <n v="30.52"/>
    <n v="30.52"/>
    <n v="30.52"/>
    <n v="30.52"/>
    <n v="30.52"/>
    <n v="30.52"/>
    <n v="30.52"/>
    <n v="30.52"/>
    <n v="30.52"/>
    <n v="30.45"/>
    <n v="30.4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1D0K9AA#ABL"/>
    <s v="Ryder Indy"/>
    <s v="NA/LA"/>
  </r>
  <r>
    <s v="FY24"/>
    <s v="Simon Yang"/>
    <m/>
    <m/>
    <m/>
    <m/>
    <n v="2020"/>
    <s v="Elephanta"/>
    <s v="Combo"/>
    <s v="NA"/>
    <s v="Black"/>
    <s v="S China"/>
    <s v="OTHERS"/>
    <n v="5.14"/>
    <n v="5.14"/>
    <n v="5.14"/>
    <n v="5.14"/>
    <n v="5.14"/>
    <n v="5.14"/>
    <n v="5.14"/>
    <n v="5.14"/>
    <n v="5.14"/>
    <n v="5.14"/>
    <n v="5.14"/>
    <n v="5.14"/>
    <n v="5.14"/>
    <n v="5.14"/>
    <n v="0"/>
    <n v="0"/>
    <n v="0"/>
    <n v="0"/>
    <n v="0"/>
    <n v="0"/>
    <n v="0"/>
    <n v="0"/>
    <n v="0"/>
    <n v="0"/>
    <n v="0"/>
    <n v="0"/>
    <n v="0"/>
    <n v="5600"/>
    <n v="0"/>
    <n v="7700"/>
    <n v="0"/>
    <n v="2700"/>
    <n v="0"/>
    <n v="5200"/>
    <n v="0"/>
    <n v="13800"/>
    <n v="0"/>
    <n v="15000"/>
    <n v="0"/>
    <n v="5200"/>
    <n v="0"/>
    <n v="17000"/>
    <n v="0"/>
    <s v="0"/>
    <n v="0"/>
    <n v="2600"/>
    <n v="0"/>
    <n v="7800"/>
    <n v="0"/>
    <n v="2600"/>
    <n v="0"/>
    <s v="240J7AA#AC3"/>
    <s v="Flextronics CZ"/>
    <s v="EMEA"/>
  </r>
  <r>
    <s v="FY24"/>
    <s v="Simon Yang"/>
    <m/>
    <m/>
    <m/>
    <m/>
    <n v="2020"/>
    <s v="ElephantaBPS"/>
    <s v="Combo"/>
    <s v="NA"/>
    <s v="Black"/>
    <s v="S China"/>
    <s v="OTHERS"/>
    <n v="4.93"/>
    <n v="4.93"/>
    <n v="4.93"/>
    <n v="4.93"/>
    <n v="4.93"/>
    <n v="4.93"/>
    <n v="4.93"/>
    <n v="4.93"/>
    <n v="4.93"/>
    <n v="4.93"/>
    <n v="4.93"/>
    <n v="4.93"/>
    <n v="4.93"/>
    <n v="4.9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5B8C0AA#ACJ"/>
    <s v="HP India"/>
    <s v="APJ"/>
  </r>
  <r>
    <s v="FY24"/>
    <s v="Simon Yang"/>
    <m/>
    <m/>
    <m/>
    <m/>
    <n v="2022"/>
    <s v="ElephantaKB"/>
    <s v="NBL KB"/>
    <s v="NA"/>
    <s v="Black"/>
    <s v="S China"/>
    <s v="OTHERS"/>
    <n v="3.9"/>
    <n v="3.9"/>
    <n v="3.9"/>
    <n v="3.9"/>
    <n v="3.9"/>
    <n v="3.9"/>
    <n v="3.9"/>
    <n v="3.9"/>
    <n v="3.9"/>
    <n v="3.9"/>
    <n v="3.9"/>
    <n v="3.9"/>
    <n v="3.9"/>
    <n v="3.9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5600"/>
    <n v="1176"/>
    <n v="5600"/>
    <n v="1176"/>
    <n v="2800"/>
    <n v="588"/>
    <n v="2800"/>
    <n v="588"/>
    <n v="5600"/>
    <n v="1176"/>
    <n v="5600"/>
    <n v="1176"/>
    <n v="8400"/>
    <n v="1764"/>
    <s v="664R5AA#AC3"/>
    <s v="Flextronics CZ"/>
    <s v="EMEA"/>
  </r>
  <r>
    <s v="FY24"/>
    <s v="Allen Chen"/>
    <m/>
    <m/>
    <m/>
    <m/>
    <n v="2016"/>
    <s v="Gadget"/>
    <s v="Mouse"/>
    <s v="NA"/>
    <s v="Black"/>
    <s v="S China"/>
    <s v="OTHERS"/>
    <n v="5.3"/>
    <n v="4.79"/>
    <n v="4.79"/>
    <n v="4.79"/>
    <n v="4.79"/>
    <n v="4.79"/>
    <n v="4.79"/>
    <n v="4.79"/>
    <n v="4.79"/>
    <n v="4.79"/>
    <n v="4.79"/>
    <n v="4.79"/>
    <n v="4.79"/>
    <n v="4.79"/>
    <n v="0.05"/>
    <n v="0.05"/>
    <n v="0.05"/>
    <n v="0.05"/>
    <n v="0.05"/>
    <n v="0.05"/>
    <n v="0.05"/>
    <n v="0.05"/>
    <n v="0.05"/>
    <n v="0.05"/>
    <n v="0.05"/>
    <n v="0.05"/>
    <n v="0.05"/>
    <n v="0"/>
    <n v="0"/>
    <n v="12960"/>
    <n v="648"/>
    <n v="4320"/>
    <n v="216"/>
    <n v="0"/>
    <n v="0"/>
    <n v="8640"/>
    <n v="432"/>
    <n v="8640"/>
    <n v="432"/>
    <n v="8640"/>
    <n v="432"/>
    <n v="8640"/>
    <n v="432"/>
    <n v="4320"/>
    <n v="216"/>
    <s v="0"/>
    <n v="0"/>
    <n v="4320"/>
    <n v="216"/>
    <n v="4320"/>
    <n v="216"/>
    <s v="V0L79AA#ABB"/>
    <s v="Foxconn CZ"/>
    <s v="EMEA"/>
  </r>
  <r>
    <s v="FY24"/>
    <s v="Allen Chen"/>
    <m/>
    <m/>
    <m/>
    <m/>
    <n v="2019"/>
    <s v="Galapagos"/>
    <s v="Mouse"/>
    <s v="NA"/>
    <s v="Black"/>
    <s v="S China"/>
    <s v="OTHERS"/>
    <n v="1.8"/>
    <n v="1.8"/>
    <n v="1.8"/>
    <n v="1.8"/>
    <n v="1.8"/>
    <n v="1.8"/>
    <n v="1.8"/>
    <n v="1.8"/>
    <n v="1.8"/>
    <n v="1.8"/>
    <n v="1.8"/>
    <n v="1.8"/>
    <n v="1.8"/>
    <n v="1.8"/>
    <n v="0"/>
    <n v="0"/>
    <n v="0"/>
    <n v="0"/>
    <n v="0"/>
    <n v="0"/>
    <n v="0"/>
    <n v="0"/>
    <n v="0"/>
    <n v="0"/>
    <n v="0"/>
    <n v="0"/>
    <n v="0"/>
    <n v="17280"/>
    <n v="0"/>
    <n v="33040"/>
    <n v="0"/>
    <n v="15920"/>
    <n v="0"/>
    <n v="0"/>
    <n v="0"/>
    <n v="37440"/>
    <n v="0"/>
    <n v="40320"/>
    <n v="0"/>
    <n v="20200"/>
    <n v="0"/>
    <n v="2880"/>
    <n v="0"/>
    <n v="5760"/>
    <n v="0"/>
    <n v="20160"/>
    <n v="0"/>
    <s v="0"/>
    <n v="0"/>
    <n v="17280"/>
    <n v="0"/>
    <s v="6VY96AA#ABB"/>
    <s v="Foxconn CZ"/>
    <s v="EMEA"/>
  </r>
  <r>
    <s v="FY24"/>
    <s v="Simon Yang"/>
    <m/>
    <m/>
    <m/>
    <m/>
    <n v="2020"/>
    <s v="Havelock"/>
    <s v="Combo"/>
    <s v="NA"/>
    <s v="Black"/>
    <s v="S China"/>
    <s v="OTHERS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8.0500000000000007"/>
    <n v="0.08"/>
    <n v="0.08"/>
    <n v="0.08"/>
    <n v="0.08"/>
    <n v="0.08"/>
    <n v="0.08"/>
    <n v="0.08"/>
    <n v="0.08"/>
    <n v="0.08"/>
    <n v="0.08"/>
    <n v="0.08"/>
    <n v="0.08"/>
    <n v="0.08"/>
    <n v="7780"/>
    <n v="622.4"/>
    <n v="0"/>
    <n v="0"/>
    <n v="2500"/>
    <n v="200"/>
    <n v="0"/>
    <n v="0"/>
    <n v="0"/>
    <n v="0"/>
    <n v="7000"/>
    <n v="560"/>
    <n v="1000"/>
    <n v="80"/>
    <n v="16000"/>
    <n v="1280"/>
    <n v="25000"/>
    <n v="2000"/>
    <n v="11500"/>
    <n v="920"/>
    <n v="10560"/>
    <n v="844.80000000000007"/>
    <n v="5280"/>
    <n v="422.40000000000003"/>
    <s v="2V9E6AA#AC3"/>
    <s v="Flextronics CZ"/>
    <s v="EMEA"/>
  </r>
  <r>
    <s v="FY24"/>
    <s v="Allen Chen"/>
    <m/>
    <m/>
    <m/>
    <m/>
    <n v="2020"/>
    <s v="Jerry"/>
    <s v="Mouse"/>
    <s v="NA"/>
    <s v="Nightfull black"/>
    <s v="S China"/>
    <s v="OTHERS"/>
    <n v="22.76"/>
    <n v="22.78"/>
    <n v="22.78"/>
    <n v="22.78"/>
    <n v="22.78"/>
    <n v="22.78"/>
    <n v="22.78"/>
    <n v="22.78"/>
    <n v="22.78"/>
    <n v="22.78"/>
    <n v="22.78"/>
    <n v="22.78"/>
    <n v="22.72"/>
    <n v="22.72"/>
    <n v="0"/>
    <n v="0"/>
    <n v="0"/>
    <n v="0"/>
    <n v="0"/>
    <n v="0"/>
    <n v="0"/>
    <n v="0"/>
    <n v="0"/>
    <n v="0"/>
    <n v="0"/>
    <n v="0.06"/>
    <n v="0.06"/>
    <n v="0"/>
    <n v="0"/>
    <n v="1008"/>
    <n v="0"/>
    <n v="2016"/>
    <n v="0"/>
    <n v="0"/>
    <n v="0"/>
    <n v="1008"/>
    <n v="0"/>
    <n v="1008"/>
    <n v="0"/>
    <n v="1008"/>
    <n v="0"/>
    <n v="1008"/>
    <n v="0"/>
    <n v="1008"/>
    <n v="0"/>
    <s v="0"/>
    <n v="0"/>
    <n v="0"/>
    <n v="0"/>
    <n v="1008"/>
    <n v="60.48"/>
    <s v="1D0K2AA#AC3"/>
    <s v="Foxconn CZ"/>
    <s v="EMEA"/>
  </r>
  <r>
    <s v="FY24"/>
    <s v="Allen Chen"/>
    <m/>
    <m/>
    <m/>
    <m/>
    <n v="2021"/>
    <s v="KentingPlus"/>
    <s v="Mouse"/>
    <s v="NA"/>
    <s v="Black"/>
    <s v="S China"/>
    <s v="OTHERS"/>
    <n v="4.3099999999999996"/>
    <n v="4.43"/>
    <n v="4.43"/>
    <n v="4.43"/>
    <n v="4.43"/>
    <n v="4.43"/>
    <n v="4.43"/>
    <n v="4.43"/>
    <n v="4.43"/>
    <n v="4.43"/>
    <n v="4.43"/>
    <n v="4.43"/>
    <n v="22.72"/>
    <n v="4.43"/>
    <n v="0"/>
    <n v="0"/>
    <n v="0"/>
    <n v="0"/>
    <n v="0"/>
    <n v="0"/>
    <n v="0"/>
    <n v="0"/>
    <n v="0"/>
    <n v="0"/>
    <n v="0"/>
    <n v="0"/>
    <n v="0"/>
    <n v="11520"/>
    <n v="0"/>
    <n v="8640"/>
    <n v="0"/>
    <n v="8640"/>
    <n v="0"/>
    <n v="2880"/>
    <n v="0"/>
    <n v="6080"/>
    <n v="0"/>
    <n v="14720"/>
    <n v="0"/>
    <n v="11520"/>
    <n v="0"/>
    <s v="0"/>
    <n v="0"/>
    <s v="0"/>
    <n v="0"/>
    <s v="0"/>
    <n v="0"/>
    <s v="0"/>
    <n v="0"/>
    <s v="0"/>
    <n v="0"/>
    <s v="4E407AA#AC3"/>
    <s v="Foxconn CZ"/>
    <s v="EMEA"/>
  </r>
  <r>
    <s v="FY24"/>
    <s v="Simon Yang"/>
    <m/>
    <m/>
    <m/>
    <m/>
    <n v="2019"/>
    <s v="KingKong"/>
    <s v="Combo"/>
    <s v="NA"/>
    <s v="Black"/>
    <s v="S China"/>
    <s v="OTHERS"/>
    <n v="10.14"/>
    <n v="10.31"/>
    <n v="10.31"/>
    <n v="10.31"/>
    <n v="10.31"/>
    <n v="10.31"/>
    <n v="10.31"/>
    <n v="10.31"/>
    <n v="10.31"/>
    <n v="10.31"/>
    <n v="10.31"/>
    <n v="10.31"/>
    <n v="22.78"/>
    <n v="10.31"/>
    <n v="0"/>
    <n v="0"/>
    <n v="0"/>
    <n v="0"/>
    <n v="0"/>
    <n v="0"/>
    <n v="0"/>
    <n v="0"/>
    <n v="0"/>
    <n v="0"/>
    <n v="0"/>
    <n v="0"/>
    <n v="0.06"/>
    <n v="0"/>
    <n v="0"/>
    <n v="0"/>
    <n v="0"/>
    <s v="0"/>
    <n v="0"/>
    <n v="0"/>
    <n v="0"/>
    <n v="0"/>
    <n v="0"/>
    <s v="0"/>
    <n v="0"/>
    <n v="1000"/>
    <n v="0"/>
    <s v="0"/>
    <n v="0"/>
    <s v="0"/>
    <n v="0"/>
    <s v="0"/>
    <n v="0"/>
    <s v="0"/>
    <n v="0"/>
    <s v="0"/>
    <n v="0"/>
    <s v="3ML04AA#AC3"/>
    <s v="Flextronics CZ"/>
    <s v="EMEA"/>
  </r>
  <r>
    <s v="FY24"/>
    <s v="Allen Chen"/>
    <m/>
    <m/>
    <m/>
    <m/>
    <n v="2020"/>
    <s v="Kitkat"/>
    <s v="Mouse"/>
    <s v="NA"/>
    <s v="Black"/>
    <s v="S China"/>
    <s v="OTHERS"/>
    <n v="3.28"/>
    <n v="3.28"/>
    <n v="3.28"/>
    <n v="3.28"/>
    <n v="3.28"/>
    <n v="3.28"/>
    <n v="3.28"/>
    <n v="3.28"/>
    <n v="3.28"/>
    <n v="3.28"/>
    <n v="3.28"/>
    <n v="3.28"/>
    <n v="3.28"/>
    <n v="3.28"/>
    <n v="0"/>
    <n v="0"/>
    <n v="0"/>
    <n v="0"/>
    <n v="0"/>
    <n v="0"/>
    <n v="0"/>
    <n v="0"/>
    <n v="0"/>
    <n v="0"/>
    <n v="0"/>
    <n v="0"/>
    <n v="0"/>
    <n v="6720"/>
    <n v="0"/>
    <n v="60480"/>
    <n v="0"/>
    <s v="0"/>
    <n v="0"/>
    <n v="33600"/>
    <n v="0"/>
    <n v="40320"/>
    <n v="0"/>
    <n v="65280"/>
    <n v="0"/>
    <n v="22080"/>
    <n v="0"/>
    <n v="6720"/>
    <n v="0"/>
    <s v="0"/>
    <n v="0"/>
    <n v="25920"/>
    <n v="0"/>
    <n v="20160"/>
    <n v="0"/>
    <n v="13440"/>
    <n v="0"/>
    <s v="2S9L1AA#ABB"/>
    <s v="Foxconn CZ"/>
    <s v="EMEA"/>
  </r>
  <r>
    <s v="FY24"/>
    <s v="Allen Chen"/>
    <m/>
    <m/>
    <m/>
    <m/>
    <n v="2023"/>
    <s v="Mickey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n v="1200"/>
    <n v="576"/>
    <n v="0"/>
    <n v="0"/>
    <n v="1200"/>
    <n v="576"/>
    <n v="3600"/>
    <n v="1728"/>
    <n v="2400"/>
    <n v="1152"/>
    <s v="0"/>
    <n v="0"/>
    <s v="0"/>
    <n v="0"/>
    <s v="0"/>
    <n v="0"/>
    <s v="0"/>
    <n v="0"/>
    <n v="1200"/>
    <n v="996"/>
    <s v="6E6F0AA#ABB"/>
    <s v="Foxconn CZ"/>
    <s v="EMEA"/>
  </r>
  <r>
    <s v="FY24"/>
    <s v="Allen Chen"/>
    <m/>
    <m/>
    <m/>
    <m/>
    <n v="2021"/>
    <s v="MilkaB"/>
    <s v="Mouse"/>
    <s v="NA"/>
    <s v="Pike silver"/>
    <s v="S China"/>
    <s v="OTHERS"/>
    <n v="4.57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4.61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2880"/>
    <n v="0"/>
    <n v="20160"/>
    <n v="0"/>
    <n v="14400"/>
    <n v="0"/>
    <n v="0"/>
    <n v="0"/>
    <n v="11520"/>
    <n v="0"/>
    <s v="0"/>
    <n v="0"/>
    <n v="2880"/>
    <n v="0"/>
    <n v="2880"/>
    <n v="201.60000000000002"/>
    <n v="2880"/>
    <n v="201.60000000000002"/>
    <n v="2880"/>
    <n v="201.60000000000002"/>
    <n v="2880"/>
    <n v="201.60000000000002"/>
    <n v="11520"/>
    <n v="806.40000000000009"/>
    <s v="43N04AA#ABB"/>
    <s v="Foxconn CZ"/>
    <s v="EMEA"/>
  </r>
  <r>
    <s v="FY24"/>
    <s v="Allen Chen"/>
    <m/>
    <m/>
    <m/>
    <m/>
    <n v="2018"/>
    <s v="Moscow1BlueLed"/>
    <s v="Mouse"/>
    <s v="NA"/>
    <s v="Black"/>
    <s v="S China"/>
    <s v="OTHERS"/>
    <n v="4.82"/>
    <n v="4.82"/>
    <n v="4.82"/>
    <n v="4.82"/>
    <n v="4.82"/>
    <n v="4.82"/>
    <n v="4.82"/>
    <n v="4.82"/>
    <n v="4.82"/>
    <n v="4.82"/>
    <n v="4.82"/>
    <n v="4.82"/>
    <n v="4.82"/>
    <n v="4.82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8640"/>
    <n v="432"/>
    <n v="0"/>
    <n v="0"/>
    <n v="0"/>
    <n v="0"/>
    <s v="0"/>
    <n v="0"/>
    <s v="0"/>
    <n v="0"/>
    <n v="38880"/>
    <n v="1944"/>
    <n v="38880"/>
    <n v="1944"/>
    <s v="0"/>
    <n v="0"/>
    <n v="82080"/>
    <n v="4104"/>
    <s v="0"/>
    <n v="0"/>
    <s v="683N7AA#ABL"/>
    <s v="Ryder Indy"/>
    <s v="NA"/>
  </r>
  <r>
    <s v="FY24"/>
    <s v="Allen Chen"/>
    <m/>
    <m/>
    <m/>
    <m/>
    <n v="2018"/>
    <s v="Moscow1BlueLed"/>
    <s v="Mouse"/>
    <s v="NA"/>
    <s v="Blue"/>
    <s v="S China"/>
    <s v="OTHERS"/>
    <n v="5.05"/>
    <n v="5.05"/>
    <n v="5.05"/>
    <n v="5.05"/>
    <n v="5.05"/>
    <n v="5.05"/>
    <n v="5.05"/>
    <n v="5.05"/>
    <n v="5.05"/>
    <n v="5.05"/>
    <n v="5.05"/>
    <n v="5.05"/>
    <n v="5.05"/>
    <n v="5.05"/>
    <n v="0.05"/>
    <n v="0.05"/>
    <n v="0.05"/>
    <n v="0.05"/>
    <n v="0.05"/>
    <n v="0.05"/>
    <n v="0.05"/>
    <n v="0.05"/>
    <n v="0.05"/>
    <n v="0.05"/>
    <n v="0.05"/>
    <n v="0.05"/>
    <n v="0.05"/>
    <n v="0"/>
    <n v="0"/>
    <n v="2040"/>
    <n v="102"/>
    <n v="6600"/>
    <n v="330"/>
    <n v="0"/>
    <n v="0"/>
    <n v="0"/>
    <n v="0"/>
    <s v="0"/>
    <n v="0"/>
    <n v="4320"/>
    <n v="216"/>
    <n v="4320"/>
    <n v="216"/>
    <n v="4320"/>
    <n v="216"/>
    <s v="0"/>
    <n v="0"/>
    <n v="4320"/>
    <n v="216"/>
    <s v="0"/>
    <n v="0"/>
    <s v="683N8AA#ABL"/>
    <s v="Ryder Indy"/>
    <s v="NA"/>
  </r>
  <r>
    <s v="FY24"/>
    <s v="Allen Chen"/>
    <m/>
    <m/>
    <m/>
    <m/>
    <n v="2018"/>
    <s v="Moscow1BlueLed"/>
    <s v="Mouse"/>
    <s v="NA"/>
    <s v="Pike silver"/>
    <s v="S China"/>
    <s v="OTHERS"/>
    <n v="5.64"/>
    <n v="5.64"/>
    <n v="5.64"/>
    <n v="5.64"/>
    <n v="5.64"/>
    <n v="5.64"/>
    <n v="5.64"/>
    <n v="5.64"/>
    <n v="5.64"/>
    <n v="5.64"/>
    <n v="5.64"/>
    <n v="5.64"/>
    <n v="5.64"/>
    <n v="5.6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683N9AA#ABL"/>
    <s v="Ryder Indy"/>
    <s v="NA"/>
  </r>
  <r>
    <s v="FY24"/>
    <s v="Allen Chen"/>
    <m/>
    <m/>
    <m/>
    <m/>
    <n v="2016"/>
    <s v="Oman"/>
    <s v="Mouse"/>
    <s v="NA"/>
    <s v="Empress red"/>
    <s v="S China"/>
    <s v="OTHERS"/>
    <n v="4.04"/>
    <n v="4.04"/>
    <n v="4.04"/>
    <n v="4.04"/>
    <n v="4.04"/>
    <n v="4.04"/>
    <n v="4.04"/>
    <n v="4.04"/>
    <n v="4.04"/>
    <n v="4.04"/>
    <n v="4.04"/>
    <n v="4.04"/>
    <n v="4.04"/>
    <n v="4.04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s v="0"/>
    <n v="0"/>
    <n v="0"/>
    <n v="0"/>
    <n v="4320"/>
    <n v="172.8"/>
    <n v="4320"/>
    <n v="172.8"/>
    <s v="0"/>
    <n v="0"/>
    <s v="0"/>
    <n v="0"/>
    <s v="0"/>
    <n v="0"/>
    <s v="0"/>
    <n v="0"/>
    <s v="0"/>
    <n v="0"/>
    <s v="0"/>
    <n v="0"/>
    <s v="2HU82AA#ABB"/>
    <s v="Foxconn CZ"/>
    <s v="EMEA"/>
  </r>
  <r>
    <s v="FY24"/>
    <s v="Allen Chen"/>
    <m/>
    <m/>
    <m/>
    <m/>
    <n v="2019"/>
    <s v="Brazilia"/>
    <s v="Mouse"/>
    <s v="NA"/>
    <s v="Black"/>
    <s v="S China"/>
    <s v="OTHERS"/>
    <n v="2.04"/>
    <n v="1.99"/>
    <n v="1.99"/>
    <n v="1.99"/>
    <n v="1.99"/>
    <n v="1.99"/>
    <n v="1.99"/>
    <n v="1.99"/>
    <n v="1.99"/>
    <n v="1.99"/>
    <n v="1.99"/>
    <n v="1.99"/>
    <n v="1.99"/>
    <n v="1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H2C21AA#ACJ"/>
    <s v="HP India"/>
    <s v="APJ"/>
  </r>
  <r>
    <s v="FY24"/>
    <s v="Allen Chen"/>
    <m/>
    <m/>
    <m/>
    <m/>
    <n v="2018"/>
    <s v="Moscow1BlueLed"/>
    <s v="Mouse"/>
    <s v="NA"/>
    <s v="Black"/>
    <s v="S China"/>
    <s v="OTHERS"/>
    <n v="4.54"/>
    <n v="4.54"/>
    <n v="4.54"/>
    <n v="4.54"/>
    <n v="4.54"/>
    <n v="4.54"/>
    <n v="4.54"/>
    <n v="4.54"/>
    <n v="4.54"/>
    <n v="4.54"/>
    <n v="4.54"/>
    <n v="4.54"/>
    <n v="4.54"/>
    <n v="4.54"/>
    <n v="0.05"/>
    <n v="0.05"/>
    <n v="0.05"/>
    <n v="0.05"/>
    <n v="0.05"/>
    <n v="0.05"/>
    <n v="0.05"/>
    <n v="0.05"/>
    <n v="0.05"/>
    <n v="0.05"/>
    <n v="0.05"/>
    <n v="0.05"/>
    <n v="0.05"/>
    <n v="8640"/>
    <n v="432"/>
    <n v="12960"/>
    <n v="648"/>
    <n v="4320"/>
    <n v="216"/>
    <n v="0"/>
    <n v="0"/>
    <n v="21600"/>
    <n v="1080"/>
    <n v="11520"/>
    <n v="576"/>
    <n v="8640"/>
    <n v="432"/>
    <s v="0"/>
    <n v="0"/>
    <s v="0"/>
    <n v="0"/>
    <n v="8640"/>
    <n v="432"/>
    <n v="4320"/>
    <n v="216"/>
    <n v="8640"/>
    <n v="432"/>
    <s v="3FV66AA#ABB"/>
    <s v="Foxconn CZ"/>
    <s v="EMEA"/>
  </r>
  <r>
    <s v="FY24"/>
    <s v="Allen Chen"/>
    <m/>
    <m/>
    <m/>
    <m/>
    <n v="2018"/>
    <s v="Moscow1BlueLed"/>
    <s v="Mouse"/>
    <s v="NA"/>
    <s v="Black"/>
    <s v="S China"/>
    <s v="OTHERS"/>
    <n v="4.96"/>
    <n v="5.14"/>
    <n v="5.14"/>
    <n v="5.14"/>
    <n v="5.14"/>
    <n v="5.14"/>
    <n v="5.14"/>
    <n v="5.14"/>
    <n v="5.14"/>
    <n v="5.14"/>
    <n v="5.14"/>
    <n v="5.14"/>
    <n v="5.14"/>
    <n v="5.14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3FV66AA#UUF"/>
    <s v="Foxconn LH"/>
    <s v="APJ"/>
  </r>
  <r>
    <s v="FY24"/>
    <s v="Allen Chen"/>
    <m/>
    <m/>
    <m/>
    <m/>
    <n v="2018"/>
    <s v="Moscow1BlueLed"/>
    <s v="Mouse"/>
    <s v="NA"/>
    <s v="Sred"/>
    <s v="S China"/>
    <s v="OTHERS"/>
    <n v="4.78"/>
    <n v="4.78"/>
    <n v="4.78"/>
    <n v="5.14"/>
    <n v="5.14"/>
    <n v="5.14"/>
    <n v="5.14"/>
    <n v="5.14"/>
    <n v="5.14"/>
    <n v="5.14"/>
    <n v="5.14"/>
    <n v="5.14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4320"/>
    <n v="216"/>
    <n v="0"/>
    <n v="0"/>
    <n v="0"/>
    <n v="0"/>
    <n v="1380"/>
    <n v="69"/>
    <n v="2760"/>
    <n v="138"/>
    <n v="1380"/>
    <n v="69"/>
    <s v="0"/>
    <n v="0"/>
    <s v="0"/>
    <n v="0"/>
    <s v="0"/>
    <n v="0"/>
    <n v="1380"/>
    <n v="69"/>
    <s v="7KX10AA#ABB"/>
    <s v="Foxconn CZ"/>
    <s v="EMEA"/>
  </r>
  <r>
    <s v="FY24"/>
    <s v="Allen Chen"/>
    <m/>
    <m/>
    <m/>
    <m/>
    <n v="2018"/>
    <s v="Moscow1BlueLed"/>
    <s v="Mouse"/>
    <s v="NA"/>
    <s v="Blue"/>
    <s v="S China"/>
    <s v="OTHERS"/>
    <n v="4.78"/>
    <n v="4.78"/>
    <n v="4.78"/>
    <n v="5.14"/>
    <n v="5.14"/>
    <n v="5.14"/>
    <n v="5.14"/>
    <n v="5.14"/>
    <n v="5.14"/>
    <n v="5.14"/>
    <n v="5.14"/>
    <n v="5.14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1380"/>
    <n v="69"/>
    <n v="4140"/>
    <n v="207"/>
    <n v="6900"/>
    <n v="345"/>
    <s v="0"/>
    <n v="0"/>
    <s v="0"/>
    <n v="0"/>
    <s v="0"/>
    <n v="0"/>
    <s v="0"/>
    <n v="0"/>
    <n v="1380"/>
    <n v="69"/>
    <s v="7KX11AA#ABB"/>
    <s v="Foxconn CZ"/>
    <s v="EMEA"/>
  </r>
  <r>
    <s v="FY24"/>
    <s v="Allen Chen"/>
    <m/>
    <m/>
    <m/>
    <m/>
    <n v="2018"/>
    <s v="Moscow1BlueLed"/>
    <s v="Mouse"/>
    <s v="NA"/>
    <s v="Snow White"/>
    <s v="S China"/>
    <s v="OTHERS"/>
    <n v="4.78"/>
    <n v="4.78"/>
    <n v="4.78"/>
    <n v="4.78"/>
    <n v="4.78"/>
    <n v="5.14"/>
    <n v="5.14"/>
    <n v="5.14"/>
    <n v="5.14"/>
    <n v="5.14"/>
    <n v="5.14"/>
    <n v="5.14"/>
    <n v="5.14"/>
    <n v="5.14"/>
    <n v="0.05"/>
    <n v="0.05"/>
    <n v="0.05"/>
    <n v="0.05"/>
    <n v="0.05"/>
    <n v="0.05"/>
    <n v="0.05"/>
    <n v="0.05"/>
    <n v="0.05"/>
    <n v="0.05"/>
    <n v="0.05"/>
    <n v="0.05"/>
    <n v="0.05"/>
    <n v="4320"/>
    <n v="216"/>
    <n v="4320"/>
    <n v="216"/>
    <n v="4320"/>
    <n v="216"/>
    <n v="0"/>
    <n v="0"/>
    <n v="5520"/>
    <n v="276"/>
    <n v="2760"/>
    <n v="138"/>
    <n v="1380"/>
    <n v="69"/>
    <s v="0"/>
    <n v="0"/>
    <n v="2760"/>
    <n v="138"/>
    <n v="1380"/>
    <n v="69"/>
    <s v="0"/>
    <n v="0"/>
    <n v="4140"/>
    <n v="207"/>
    <s v="7KX12AA#ABB"/>
    <s v="Foxconn CZ"/>
    <s v="EMEA"/>
  </r>
  <r>
    <s v="FY24"/>
    <s v="Allen Chen"/>
    <m/>
    <m/>
    <m/>
    <m/>
    <n v="2023"/>
    <s v="Gadget dual"/>
    <s v="Mouse"/>
    <s v="NA"/>
    <s v="Black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n v="4080"/>
    <n v="1224"/>
    <n v="2040"/>
    <n v="612"/>
    <n v="2040"/>
    <n v="612"/>
    <n v="4080"/>
    <n v="1224"/>
    <s v="0"/>
    <n v="0"/>
    <n v="2040"/>
    <n v="612"/>
    <s v="758A8AA#ABA"/>
    <s v="Foxconn LH"/>
    <s v="NA/LA"/>
  </r>
  <r>
    <s v="FY24"/>
    <s v="Allen Chen"/>
    <m/>
    <m/>
    <m/>
    <m/>
    <n v="2023"/>
    <s v="Gadget dual"/>
    <s v="Mouse"/>
    <s v="NA"/>
    <s v="Black"/>
    <s v="S China"/>
    <s v="OTHERS"/>
    <n v="6.31"/>
    <n v="6.31"/>
    <n v="6.31"/>
    <n v="6.31"/>
    <n v="6.31"/>
    <n v="6.31"/>
    <n v="6.31"/>
    <n v="6.31"/>
    <n v="6.31"/>
    <n v="6.31"/>
    <n v="6.31"/>
    <n v="6.31"/>
    <n v="6.31"/>
    <n v="6.31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3060"/>
    <n v="918"/>
    <n v="6120"/>
    <n v="1836"/>
    <n v="2760"/>
    <n v="828"/>
    <n v="1020"/>
    <n v="306"/>
    <n v="2100"/>
    <n v="630"/>
    <n v="1080"/>
    <n v="324"/>
    <n v="1020"/>
    <n v="306"/>
    <s v="758A8AA#ABB"/>
    <s v="Foxconn CZ"/>
    <s v="EMEA"/>
  </r>
  <r>
    <s v="FY24"/>
    <s v="Allen Chen"/>
    <m/>
    <m/>
    <m/>
    <m/>
    <n v="2023"/>
    <s v="Gadget dual"/>
    <s v="Mouse"/>
    <s v="NA"/>
    <s v="Black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2040"/>
    <n v="612"/>
    <n v="3060"/>
    <n v="918"/>
    <n v="2040"/>
    <n v="612"/>
    <n v="3060"/>
    <n v="918"/>
    <n v="6120"/>
    <n v="1836"/>
    <n v="2040"/>
    <n v="612"/>
    <n v="4080"/>
    <n v="1224"/>
    <n v="2040"/>
    <n v="612"/>
    <s v="758A8AA#UUF"/>
    <s v="Foxconn LH"/>
    <s v="APJ"/>
  </r>
  <r>
    <s v="FY24"/>
    <s v="Allen Chen"/>
    <m/>
    <m/>
    <m/>
    <m/>
    <n v="2023"/>
    <s v="Gadget dual"/>
    <s v="Mouse"/>
    <s v="NA"/>
    <s v="Silver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2040"/>
    <n v="612"/>
    <n v="6120"/>
    <n v="1836"/>
    <n v="2040"/>
    <n v="612"/>
    <n v="3060"/>
    <n v="918"/>
    <s v="0"/>
    <n v="0"/>
    <s v="0"/>
    <n v="0"/>
    <s v="0"/>
    <n v="0"/>
    <s v="758A9AA#ABA"/>
    <s v="Foxconn LH"/>
    <s v="NA/LA"/>
  </r>
  <r>
    <s v="FY24"/>
    <s v="Allen Chen"/>
    <m/>
    <m/>
    <m/>
    <m/>
    <n v="2023"/>
    <s v="Gadget dual"/>
    <s v="Mouse"/>
    <s v="NA"/>
    <s v="Silver"/>
    <s v="S China"/>
    <s v="OTHERS"/>
    <n v="6.31"/>
    <n v="6.31"/>
    <n v="6.31"/>
    <n v="6.31"/>
    <n v="6.31"/>
    <n v="6.31"/>
    <n v="6.31"/>
    <n v="6.31"/>
    <n v="6.31"/>
    <n v="6.31"/>
    <n v="6.31"/>
    <n v="6.31"/>
    <n v="6.31"/>
    <n v="6.31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2040"/>
    <n v="612"/>
    <n v="1200"/>
    <n v="360"/>
    <n v="3060"/>
    <n v="918"/>
    <n v="2040"/>
    <n v="612"/>
    <s v="0"/>
    <n v="0"/>
    <s v="0"/>
    <n v="0"/>
    <n v="1020"/>
    <n v="306"/>
    <n v="2040"/>
    <n v="612"/>
    <s v="758A9AA#ABB"/>
    <s v="Foxconn CZ"/>
    <s v="EMEA"/>
  </r>
  <r>
    <s v="FY24"/>
    <s v="Allen Chen"/>
    <m/>
    <m/>
    <m/>
    <m/>
    <n v="2023"/>
    <s v="Gadget dual"/>
    <s v="Mouse"/>
    <s v="NA"/>
    <s v="Silver"/>
    <s v="S China"/>
    <s v="OTHERS"/>
    <n v="6.27"/>
    <n v="6.27"/>
    <n v="6.27"/>
    <n v="6.27"/>
    <n v="6.27"/>
    <n v="6.27"/>
    <n v="6.27"/>
    <n v="6.27"/>
    <n v="6.27"/>
    <n v="6.27"/>
    <n v="6.27"/>
    <n v="6.27"/>
    <n v="6.27"/>
    <n v="6.27"/>
    <n v="0.3"/>
    <n v="0.3"/>
    <n v="0.3"/>
    <n v="0.3"/>
    <n v="0.3"/>
    <n v="0.3"/>
    <n v="0.3"/>
    <n v="0.3"/>
    <n v="0.3"/>
    <n v="0.3"/>
    <n v="0.3"/>
    <n v="0.3"/>
    <n v="0.3"/>
    <n v="2040"/>
    <n v="612"/>
    <n v="0"/>
    <n v="0"/>
    <s v="0"/>
    <n v="0"/>
    <n v="0"/>
    <n v="0"/>
    <n v="0"/>
    <n v="0"/>
    <s v="0"/>
    <n v="0"/>
    <s v="0"/>
    <n v="0"/>
    <s v="0"/>
    <n v="0"/>
    <n v="4080"/>
    <n v="1224"/>
    <n v="2040"/>
    <n v="612"/>
    <n v="2040"/>
    <n v="612"/>
    <n v="2040"/>
    <n v="612"/>
    <s v="758A9AA#UUF"/>
    <s v="Foxconn LH"/>
    <s v="APJ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72845-A21"/>
    <s v="QUANTA"/>
    <s v="DIB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72845-A21"/>
    <s v="Inventec"/>
    <s v="DIB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72845-A21"/>
    <s v="Compal"/>
    <s v="DIB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72845-A21"/>
    <s v="Wistron"/>
    <s v="DIB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72845-371"/>
    <s v="QUANTA"/>
    <s v="DIB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72845-371"/>
    <s v="Inventec"/>
    <s v="DIB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72845-371"/>
    <s v="Compal"/>
    <s v="DIB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72845-371"/>
    <s v="Wistron"/>
    <s v="DIB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0"/>
    <n v="0"/>
    <n v="1020"/>
    <n v="306"/>
    <s v="0"/>
    <n v="0"/>
    <s v="0"/>
    <n v="0"/>
    <s v="0"/>
    <n v="0"/>
    <s v="0"/>
    <n v="0"/>
    <s v="0"/>
    <n v="0"/>
    <s v="0"/>
    <n v="0"/>
    <s v="N72845-001"/>
    <s v="QUANTA"/>
    <s v="DIB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1020"/>
    <n v="306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72845-001"/>
    <s v="Inventec"/>
    <s v="DIB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n v="1020"/>
    <n v="306"/>
    <n v="0"/>
    <n v="0"/>
    <n v="0"/>
    <n v="0"/>
    <s v="0"/>
    <n v="0"/>
    <s v="0"/>
    <n v="0"/>
    <s v="0"/>
    <n v="0"/>
    <s v="0"/>
    <n v="0"/>
    <n v="1020"/>
    <n v="306"/>
    <s v="0"/>
    <n v="0"/>
    <n v="1020"/>
    <n v="306"/>
    <s v="N72845-001"/>
    <s v="Compal"/>
    <s v="DIB"/>
  </r>
  <r>
    <s v="FY24"/>
    <s v="Allen Chen"/>
    <m/>
    <m/>
    <m/>
    <m/>
    <n v="2023"/>
    <s v="Gadget dual"/>
    <s v="Mouse"/>
    <s v="NA"/>
    <s v="Silver"/>
    <s v="S China"/>
    <s v="OTHERS"/>
    <n v="6.75"/>
    <n v="6.75"/>
    <n v="6.75"/>
    <n v="6.75"/>
    <n v="6.75"/>
    <n v="6.75"/>
    <n v="6.75"/>
    <n v="6.75"/>
    <n v="6.75"/>
    <n v="6.75"/>
    <n v="6.75"/>
    <n v="6.75"/>
    <n v="6.75"/>
    <n v="6.75"/>
    <n v="0.3"/>
    <n v="0.3"/>
    <n v="0.3"/>
    <n v="0.3"/>
    <n v="0.3"/>
    <n v="0.3"/>
    <n v="0.3"/>
    <n v="0.3"/>
    <n v="0.3"/>
    <n v="0.3"/>
    <n v="0.3"/>
    <n v="0.3"/>
    <n v="0.3"/>
    <n v="0"/>
    <n v="0"/>
    <n v="0"/>
    <n v="0"/>
    <s v="0"/>
    <n v="0"/>
    <n v="0"/>
    <n v="0"/>
    <n v="1020"/>
    <n v="306"/>
    <s v="0"/>
    <n v="0"/>
    <s v="0"/>
    <n v="0"/>
    <s v="0"/>
    <n v="0"/>
    <s v="0"/>
    <n v="0"/>
    <s v="0"/>
    <n v="0"/>
    <s v="0"/>
    <n v="0"/>
    <s v="0"/>
    <n v="0"/>
    <s v="N72845-001"/>
    <s v="Wistron"/>
    <s v="DIB"/>
  </r>
  <r>
    <s v="FY24"/>
    <s v="Allen Chen"/>
    <m/>
    <m/>
    <m/>
    <m/>
    <n v="2023"/>
    <s v="Sochi"/>
    <s v="Mouse"/>
    <s v="NA"/>
    <s v="Black"/>
    <s v="S China"/>
    <s v="OTHERS"/>
    <n v="5.51"/>
    <n v="5.51"/>
    <n v="5.51"/>
    <n v="5.51"/>
    <n v="5.51"/>
    <n v="5.51"/>
    <n v="5.51"/>
    <n v="5.51"/>
    <n v="5.51"/>
    <n v="5.51"/>
    <n v="5.51"/>
    <n v="5.51"/>
    <n v="5.51"/>
    <n v="5.51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3640"/>
    <n v="0"/>
    <n v="3640"/>
    <n v="0"/>
    <s v="0"/>
    <n v="0"/>
    <s v="0"/>
    <n v="0"/>
    <s v="0"/>
    <n v="0"/>
    <s v="0"/>
    <n v="0"/>
    <s v="0"/>
    <n v="0"/>
    <s v="0"/>
    <n v="0"/>
    <s v="6V2J7AA#ABL"/>
    <s v="Foxconn LH"/>
    <s v="NA/LA"/>
  </r>
  <r>
    <s v="FY24"/>
    <s v="Allen Chen"/>
    <m/>
    <m/>
    <m/>
    <m/>
    <n v="2023"/>
    <s v="Sochi"/>
    <s v="Mouse"/>
    <s v="NA"/>
    <s v="Black"/>
    <s v="S China"/>
    <s v="OTHERS"/>
    <n v="5.18"/>
    <n v="5.18"/>
    <n v="5.18"/>
    <n v="5.18"/>
    <n v="5.18"/>
    <n v="5.18"/>
    <n v="5.18"/>
    <n v="5.18"/>
    <n v="5.18"/>
    <n v="5.18"/>
    <n v="5.18"/>
    <n v="5.18"/>
    <n v="5.18"/>
    <n v="5.1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10920"/>
    <n v="0"/>
    <s v="0"/>
    <n v="0"/>
    <n v="9040"/>
    <n v="0"/>
    <s v="0"/>
    <n v="0"/>
    <n v="7280"/>
    <n v="0"/>
    <s v="0"/>
    <n v="0"/>
    <n v="7280"/>
    <n v="0"/>
    <s v="6V2J7AA#ABB"/>
    <s v="Foxconn CZ"/>
    <s v="EMEA"/>
  </r>
  <r>
    <s v="FY24"/>
    <s v="Allen Chen"/>
    <m/>
    <m/>
    <m/>
    <m/>
    <n v="2023"/>
    <s v="Sochi"/>
    <s v="Mouse"/>
    <s v="NA"/>
    <s v="Black"/>
    <s v="S China"/>
    <s v="OTHERS"/>
    <n v="5.45"/>
    <n v="5.45"/>
    <n v="5.45"/>
    <n v="5.45"/>
    <n v="5.45"/>
    <n v="5.45"/>
    <n v="5.45"/>
    <n v="5.45"/>
    <n v="5.45"/>
    <n v="5.45"/>
    <n v="5.45"/>
    <n v="5.45"/>
    <n v="5.45"/>
    <n v="5.4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3640"/>
    <n v="0"/>
    <s v="0"/>
    <n v="0"/>
    <n v="3640"/>
    <n v="0"/>
    <n v="3640"/>
    <n v="0"/>
    <s v="6V2J7AA#UUF"/>
    <s v="Foxconn LH"/>
    <s v="APJ"/>
  </r>
  <r>
    <s v="FY24"/>
    <s v="Allen Chen"/>
    <m/>
    <m/>
    <m/>
    <m/>
    <n v="2023"/>
    <s v="Sochi"/>
    <s v="Mouse"/>
    <s v="NA"/>
    <s v="Black"/>
    <s v="S China"/>
    <s v="OTHERS"/>
    <n v="5"/>
    <n v="5"/>
    <n v="5"/>
    <n v="5"/>
    <n v="5"/>
    <n v="5"/>
    <n v="5"/>
    <n v="5"/>
    <n v="5"/>
    <n v="5"/>
    <n v="5"/>
    <n v="5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6V2J7AA#ACJ"/>
    <s v="HP India"/>
    <s v="APJ"/>
  </r>
  <r>
    <s v="FY24"/>
    <s v="Allen Chen"/>
    <m/>
    <m/>
    <m/>
    <m/>
    <n v="2022"/>
    <s v="Mickey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200"/>
    <n v="576"/>
    <s v="0"/>
    <n v="0"/>
    <s v="0"/>
    <n v="0"/>
    <s v="6E6F0AA#ABL"/>
    <s v="Foxconn LH"/>
    <s v="NA/LA"/>
  </r>
  <r>
    <s v="FY24"/>
    <s v="Allen Chen"/>
    <m/>
    <m/>
    <m/>
    <m/>
    <n v="2023"/>
    <s v="Mickey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n v="1200"/>
    <n v="576"/>
    <n v="0"/>
    <n v="0"/>
    <n v="0"/>
    <n v="0"/>
    <s v="0"/>
    <n v="0"/>
    <n v="1200"/>
    <n v="576"/>
    <s v="0"/>
    <n v="0"/>
    <s v="0"/>
    <n v="0"/>
    <s v="0"/>
    <n v="0"/>
    <n v="1200"/>
    <n v="996"/>
    <s v="0"/>
    <n v="0"/>
    <s v="6E6F0AA#UUF"/>
    <s v="Foxconn LH"/>
    <s v="APJ"/>
  </r>
  <r>
    <s v="FY24"/>
    <s v="Allen Chen"/>
    <m/>
    <m/>
    <m/>
    <m/>
    <n v="2023"/>
    <s v="Mickey"/>
    <s v="Mouse"/>
    <s v="NA"/>
    <s v="Silver"/>
    <s v="S China"/>
    <s v="OTHERS"/>
    <n v="25.11"/>
    <n v="25.26"/>
    <n v="25.26"/>
    <n v="25.26"/>
    <n v="25.26"/>
    <n v="25.26"/>
    <n v="25.26"/>
    <n v="25.26"/>
    <n v="25.26"/>
    <n v="25.26"/>
    <n v="25.26"/>
    <n v="25.26"/>
    <n v="25.16"/>
    <n v="25.16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6E6F1AA#ABL"/>
    <s v="Foxconn LH"/>
    <s v="NA/LA"/>
  </r>
  <r>
    <s v="FY24"/>
    <s v="Allen Chen"/>
    <m/>
    <m/>
    <m/>
    <m/>
    <n v="2023"/>
    <s v="Mickey"/>
    <s v="Mouse"/>
    <s v="NA"/>
    <s v="Silver"/>
    <s v="S China"/>
    <s v="OTHERS"/>
    <n v="25.11"/>
    <n v="25.26"/>
    <n v="25.26"/>
    <n v="25.26"/>
    <n v="25.26"/>
    <n v="25.26"/>
    <n v="25.26"/>
    <n v="25.26"/>
    <n v="25.26"/>
    <n v="25.26"/>
    <n v="25.26"/>
    <n v="25.26"/>
    <n v="25.16"/>
    <n v="25.16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n v="1200"/>
    <n v="576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6E6F1AA#UUF"/>
    <s v="Foxconn LH"/>
    <s v="APJ"/>
  </r>
  <r>
    <s v="FY24"/>
    <s v="Allen Chen"/>
    <m/>
    <m/>
    <m/>
    <m/>
    <n v="2022"/>
    <s v="Mickey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6E6F2AA#ABL"/>
    <s v="Foxconn LH"/>
    <s v="NA/LA"/>
  </r>
  <r>
    <s v="FY24"/>
    <s v="Allen Chen"/>
    <m/>
    <m/>
    <m/>
    <m/>
    <n v="2023"/>
    <s v="Mickey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0"/>
    <n v="0"/>
    <n v="2400"/>
    <n v="1152"/>
    <n v="2400"/>
    <n v="1152"/>
    <n v="0"/>
    <n v="0"/>
    <n v="0"/>
    <n v="0"/>
    <n v="2400"/>
    <n v="1152"/>
    <n v="1200"/>
    <n v="576"/>
    <n v="1200"/>
    <n v="576"/>
    <s v="0"/>
    <n v="0"/>
    <s v="0"/>
    <n v="0"/>
    <s v="0"/>
    <n v="0"/>
    <n v="1200"/>
    <n v="996"/>
    <s v="6E6F2AA#ABB"/>
    <s v="Foxconn CZ"/>
    <s v="EMEA"/>
  </r>
  <r>
    <s v="FY24"/>
    <s v="Allen Chen"/>
    <m/>
    <m/>
    <m/>
    <m/>
    <n v="2023"/>
    <s v="Mickey"/>
    <s v="Mouse"/>
    <s v="NA"/>
    <s v="Black"/>
    <s v="S China"/>
    <s v="OTHERS"/>
    <n v="24.16"/>
    <n v="24.31"/>
    <n v="24.31"/>
    <n v="24.31"/>
    <n v="24.31"/>
    <n v="24.31"/>
    <n v="24.31"/>
    <n v="24.31"/>
    <n v="24.31"/>
    <n v="24.31"/>
    <n v="24.31"/>
    <n v="24.31"/>
    <n v="24.21"/>
    <n v="24.21"/>
    <n v="0.48"/>
    <n v="0.48"/>
    <n v="0.48"/>
    <n v="0.48"/>
    <n v="0.48"/>
    <n v="0.48"/>
    <n v="0.48"/>
    <n v="0.48"/>
    <n v="0.48"/>
    <n v="0.48"/>
    <n v="0.48"/>
    <n v="0.83"/>
    <n v="0.83"/>
    <n v="2400"/>
    <n v="1152"/>
    <n v="1200"/>
    <n v="576"/>
    <s v="0"/>
    <n v="0"/>
    <n v="0"/>
    <n v="0"/>
    <n v="2400"/>
    <n v="1152"/>
    <s v="0"/>
    <n v="0"/>
    <n v="1200"/>
    <n v="576"/>
    <s v="0"/>
    <n v="0"/>
    <n v="1200"/>
    <n v="576"/>
    <s v="0"/>
    <n v="0"/>
    <s v="0"/>
    <n v="0"/>
    <s v="0"/>
    <n v="0"/>
    <s v="6E6F2AA#UUF"/>
    <s v="Foxconn LH"/>
    <s v="APJ"/>
  </r>
  <r>
    <s v="FY24"/>
    <s v="Allen Chen"/>
    <m/>
    <m/>
    <m/>
    <m/>
    <n v="2023"/>
    <s v="Mickey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n v="24.07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0"/>
    <n v="0"/>
    <n v="1200"/>
    <n v="57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61958-001"/>
    <s v="Inventec"/>
    <s v="DIB"/>
  </r>
  <r>
    <s v="FY24"/>
    <s v="Allen Chen"/>
    <m/>
    <m/>
    <m/>
    <m/>
    <n v="2023"/>
    <s v="Mickey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n v="24.07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61958-371"/>
    <s v="Inventec"/>
    <s v="DIB"/>
  </r>
  <r>
    <s v="FY24"/>
    <s v="Allen Chen"/>
    <m/>
    <m/>
    <m/>
    <m/>
    <n v="2023"/>
    <s v="Mickey"/>
    <s v="Mouse"/>
    <s v="NA"/>
    <s v="Black"/>
    <s v="S China"/>
    <s v="OTHERS"/>
    <n v="24.07"/>
    <n v="24.07"/>
    <n v="24.07"/>
    <n v="24.07"/>
    <n v="24.07"/>
    <n v="24.07"/>
    <n v="24.07"/>
    <n v="24.07"/>
    <n v="24.07"/>
    <n v="24.07"/>
    <n v="24.07"/>
    <n v="24.07"/>
    <n v="23.97"/>
    <n v="23.97"/>
    <n v="0.48"/>
    <n v="0.48"/>
    <n v="0.48"/>
    <n v="0.48"/>
    <n v="0.48"/>
    <n v="0.48"/>
    <n v="0.48"/>
    <n v="0.48"/>
    <n v="0.48"/>
    <n v="0.48"/>
    <n v="0.48"/>
    <n v="0.83"/>
    <n v="0.83"/>
    <n v="1200"/>
    <n v="576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61958-A21"/>
    <s v="Inventec"/>
    <s v="DIB"/>
  </r>
  <r>
    <s v="FY24"/>
    <s v="Allen Chen"/>
    <m/>
    <m/>
    <m/>
    <m/>
    <n v="2016"/>
    <s v="Gadget"/>
    <s v="Mouse"/>
    <s v="NA"/>
    <s v="Black"/>
    <s v="S China"/>
    <s v="OTHERS"/>
    <n v="5.3"/>
    <n v="5.42"/>
    <n v="5.42"/>
    <n v="5.42"/>
    <n v="5.42"/>
    <n v="5.42"/>
    <n v="5.42"/>
    <n v="5.42"/>
    <n v="5.42"/>
    <n v="5.42"/>
    <n v="5.42"/>
    <n v="5.42"/>
    <n v="5.24"/>
    <n v="5.24"/>
    <n v="0.05"/>
    <n v="0.05"/>
    <n v="0.05"/>
    <n v="0.05"/>
    <n v="0.05"/>
    <n v="0.05"/>
    <n v="0.05"/>
    <n v="0.05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1560"/>
    <n v="78"/>
    <n v="1560"/>
    <n v="78"/>
    <n v="1560"/>
    <n v="78"/>
    <n v="3120"/>
    <n v="436.80000000000007"/>
    <n v="3120"/>
    <n v="436.80000000000007"/>
    <n v="1560"/>
    <n v="218.40000000000003"/>
    <n v="1560"/>
    <n v="218.40000000000003"/>
    <s v="0"/>
    <n v="0"/>
    <s v="V0L79AA#UUF"/>
    <s v="Foxconn LH"/>
    <s v="APJ"/>
  </r>
  <r>
    <s v="FY24"/>
    <s v="Allen Chen"/>
    <m/>
    <m/>
    <m/>
    <m/>
    <n v="2016"/>
    <s v="Gadget"/>
    <s v="Mouse"/>
    <s v="NA"/>
    <s v="White"/>
    <s v="S China"/>
    <s v="OTHERS"/>
    <n v="5.2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8640"/>
    <n v="432"/>
    <n v="0"/>
    <n v="0"/>
    <n v="4320"/>
    <n v="216"/>
    <s v="0"/>
    <n v="0"/>
    <n v="4320"/>
    <n v="216"/>
    <n v="4320"/>
    <n v="216"/>
    <s v="0"/>
    <n v="0"/>
    <n v="4320"/>
    <n v="216"/>
    <n v="4320"/>
    <n v="216"/>
    <s v="0"/>
    <n v="0"/>
    <s v="V0L80AA#ABB"/>
    <s v="Foxconn CZ"/>
    <s v="EMEA"/>
  </r>
  <r>
    <s v="FY24"/>
    <s v="Allen Chen"/>
    <m/>
    <m/>
    <m/>
    <m/>
    <n v="2016"/>
    <s v="Gadget"/>
    <s v="Mouse"/>
    <s v="NA"/>
    <s v="White"/>
    <s v="S China"/>
    <s v="OTHERS"/>
    <n v="5.23"/>
    <n v="5.32"/>
    <n v="5.32"/>
    <n v="5.32"/>
    <n v="5.32"/>
    <n v="5.32"/>
    <n v="5.32"/>
    <n v="5.32"/>
    <n v="5.32"/>
    <n v="5.32"/>
    <n v="5.32"/>
    <n v="5.32"/>
    <n v="5.32"/>
    <n v="5.3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s v="0"/>
    <n v="0"/>
    <s v="0"/>
    <n v="0"/>
    <n v="1560"/>
    <n v="218.40000000000003"/>
    <s v="0"/>
    <n v="0"/>
    <s v="0"/>
    <n v="0"/>
    <n v="1560"/>
    <n v="218.40000000000003"/>
    <s v="0"/>
    <n v="0"/>
    <s v="V0L80AA#UUF"/>
    <s v="Foxconn LH"/>
    <s v="APJ"/>
  </r>
  <r>
    <s v="FY24"/>
    <s v="Allen Chen"/>
    <m/>
    <m/>
    <m/>
    <m/>
    <n v="2016"/>
    <s v="Gadget"/>
    <s v="Mouse"/>
    <s v="NA"/>
    <s v="Blue"/>
    <s v="S China"/>
    <s v="OTHERS"/>
    <n v="5.2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n v="4320"/>
    <n v="216"/>
    <s v="0"/>
    <n v="0"/>
    <s v="0"/>
    <n v="0"/>
    <s v="0"/>
    <n v="0"/>
    <s v="0"/>
    <n v="0"/>
    <s v="V0L81AA#ABB"/>
    <s v="Foxconn CZ"/>
    <s v="EMEA"/>
  </r>
  <r>
    <s v="FY24"/>
    <s v="Allen Chen"/>
    <m/>
    <m/>
    <m/>
    <m/>
    <n v="2016"/>
    <s v="Gadget"/>
    <s v="Mouse"/>
    <s v="NA"/>
    <s v="Red"/>
    <s v="S China"/>
    <s v="OTHERS"/>
    <n v="5.2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4320"/>
    <n v="216"/>
    <s v="0"/>
    <n v="0"/>
    <s v="0"/>
    <n v="0"/>
    <s v="0"/>
    <n v="0"/>
    <s v="0"/>
    <n v="0"/>
    <s v="0"/>
    <n v="0"/>
    <s v="0"/>
    <n v="0"/>
    <s v="0"/>
    <n v="0"/>
    <s v="V0L82AA#ABB"/>
    <s v="Foxconn CZ"/>
    <s v="EMEA"/>
  </r>
  <r>
    <s v="FY24"/>
    <s v="Allen Chen"/>
    <m/>
    <m/>
    <m/>
    <m/>
    <n v="2016"/>
    <s v="Gadget"/>
    <s v="Mouse"/>
    <s v="NA"/>
    <s v="Gold(painting)"/>
    <s v="S China"/>
    <s v="OTHERS"/>
    <n v="5.38"/>
    <n v="5.17"/>
    <n v="5.17"/>
    <n v="5.17"/>
    <n v="5.17"/>
    <n v="5.17"/>
    <n v="5.17"/>
    <n v="5.17"/>
    <n v="5.17"/>
    <n v="5.17"/>
    <n v="5.17"/>
    <n v="5.17"/>
    <n v="5.17"/>
    <n v="5.1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4320"/>
    <n v="216"/>
    <n v="0"/>
    <n v="0"/>
    <n v="0"/>
    <n v="0"/>
    <s v="0"/>
    <n v="0"/>
    <n v="4320"/>
    <n v="216"/>
    <s v="0"/>
    <n v="0"/>
    <s v="0"/>
    <n v="0"/>
    <n v="4320"/>
    <n v="216"/>
    <s v="0"/>
    <n v="0"/>
    <s v="0"/>
    <n v="0"/>
    <s v="X7Q43AA#ABB"/>
    <s v="Foxconn CZ"/>
    <s v="EMEA"/>
  </r>
  <r>
    <s v="FY24"/>
    <s v="Allen Chen"/>
    <m/>
    <m/>
    <m/>
    <m/>
    <n v="2016"/>
    <s v="Gadget"/>
    <s v="Mouse"/>
    <s v="NA"/>
    <s v="Gold(painting)"/>
    <s v="S China"/>
    <s v="OTHERS"/>
    <n v="5.38"/>
    <n v="5.62"/>
    <n v="5.62"/>
    <n v="5.62"/>
    <n v="5.62"/>
    <n v="5.62"/>
    <n v="5.62"/>
    <n v="5.62"/>
    <n v="5.62"/>
    <n v="5.62"/>
    <n v="5.62"/>
    <n v="5.62"/>
    <n v="5.62"/>
    <n v="5.6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4680"/>
    <n v="655.20000000000005"/>
    <s v="0"/>
    <n v="0"/>
    <s v="0"/>
    <n v="0"/>
    <n v="3120"/>
    <n v="436.80000000000007"/>
    <s v="0"/>
    <n v="0"/>
    <n v="1560"/>
    <n v="218.40000000000003"/>
    <n v="1560"/>
    <n v="218.40000000000003"/>
    <s v="0"/>
    <n v="0"/>
    <s v="X7Q43AA#UUF"/>
    <s v="Foxconn LH"/>
    <s v="APJ"/>
  </r>
  <r>
    <s v="FY24"/>
    <s v="Allen Chen"/>
    <m/>
    <m/>
    <m/>
    <m/>
    <n v="2016"/>
    <s v="Gadget"/>
    <s v="Mouse"/>
    <s v="NA"/>
    <s v="Silver(painting)"/>
    <s v="S China"/>
    <s v="OTHERS"/>
    <n v="5.72"/>
    <n v="5.17"/>
    <n v="5.17"/>
    <n v="5.17"/>
    <n v="5.17"/>
    <n v="5.17"/>
    <n v="5.17"/>
    <n v="5.17"/>
    <n v="5.17"/>
    <n v="5.17"/>
    <n v="5.17"/>
    <n v="5.17"/>
    <n v="5.17"/>
    <n v="5.17"/>
    <n v="0.05"/>
    <n v="0.05"/>
    <n v="0.05"/>
    <n v="0.05"/>
    <n v="0.05"/>
    <n v="0.05"/>
    <n v="0.05"/>
    <n v="0.05"/>
    <n v="0.05"/>
    <n v="0.05"/>
    <n v="0.05"/>
    <n v="0.05"/>
    <n v="0.05"/>
    <n v="0"/>
    <n v="0"/>
    <n v="17280"/>
    <n v="864"/>
    <n v="17280"/>
    <n v="864"/>
    <n v="0"/>
    <n v="0"/>
    <n v="8640"/>
    <n v="432"/>
    <s v="0"/>
    <n v="0"/>
    <n v="4320"/>
    <n v="216"/>
    <n v="4320"/>
    <n v="216"/>
    <s v="0"/>
    <n v="0"/>
    <n v="4320"/>
    <n v="216"/>
    <s v="0"/>
    <n v="0"/>
    <n v="4320"/>
    <n v="216"/>
    <s v="X7Q44AA#ABB"/>
    <s v="Foxconn CZ"/>
    <s v="EMEA"/>
  </r>
  <r>
    <s v="FY24"/>
    <s v="Allen Chen"/>
    <m/>
    <m/>
    <m/>
    <m/>
    <n v="2016"/>
    <s v="Gadget"/>
    <s v="Mouse"/>
    <s v="NA"/>
    <s v="Silver(painting)"/>
    <s v="S China"/>
    <s v="OTHERS"/>
    <n v="5.72"/>
    <n v="5.62"/>
    <n v="5.62"/>
    <n v="5.62"/>
    <n v="5.62"/>
    <n v="5.62"/>
    <n v="5.62"/>
    <n v="5.62"/>
    <n v="5.62"/>
    <n v="5.62"/>
    <n v="5.62"/>
    <n v="5.62"/>
    <n v="5.62"/>
    <n v="5.62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.14000000000000001"/>
    <n v="0"/>
    <n v="0"/>
    <n v="0"/>
    <n v="0"/>
    <s v="0"/>
    <n v="0"/>
    <n v="0"/>
    <n v="0"/>
    <n v="0"/>
    <n v="0"/>
    <n v="1560"/>
    <n v="218.40000000000003"/>
    <s v="0"/>
    <n v="0"/>
    <n v="6240"/>
    <n v="873.60000000000014"/>
    <n v="1560"/>
    <n v="218.40000000000003"/>
    <n v="1560"/>
    <n v="218.40000000000003"/>
    <n v="1560"/>
    <n v="218.40000000000003"/>
    <s v="0"/>
    <n v="0"/>
    <s v="X7Q44AA#UUF"/>
    <s v="Foxconn LH"/>
    <s v="APJ"/>
  </r>
  <r>
    <s v="FY24"/>
    <s v="Allen Chen"/>
    <m/>
    <m/>
    <m/>
    <m/>
    <n v="2016"/>
    <s v="Gadget"/>
    <s v="Mouse"/>
    <s v="NA"/>
    <s v="Tranquil Pink(painting)"/>
    <s v="S China"/>
    <s v="OTHERS"/>
    <n v="5.62"/>
    <n v="5.59"/>
    <n v="5.59"/>
    <n v="5.59"/>
    <n v="5.59"/>
    <n v="5.59"/>
    <n v="5.59"/>
    <n v="5.59"/>
    <n v="5.59"/>
    <n v="5.59"/>
    <n v="5.59"/>
    <n v="5.59"/>
    <n v="5.59"/>
    <n v="5.59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n v="4320"/>
    <n v="216"/>
    <s v="0"/>
    <n v="0"/>
    <s v="0"/>
    <n v="0"/>
    <s v="0"/>
    <n v="0"/>
    <s v="4VY82AA#ABB"/>
    <s v="Foxconn CZ"/>
    <s v="EMEA"/>
  </r>
  <r>
    <s v="FY24"/>
    <s v="Allen Chen"/>
    <m/>
    <m/>
    <m/>
    <m/>
    <n v="2016"/>
    <s v="Gadget"/>
    <s v="Mouse"/>
    <s v="NA"/>
    <s v="Lumiere Blue"/>
    <s v="S China"/>
    <s v="OTHERS"/>
    <n v="5.1100000000000003"/>
    <n v="4.87"/>
    <n v="4.87"/>
    <n v="4.87"/>
    <n v="4.87"/>
    <n v="4.87"/>
    <n v="4.87"/>
    <n v="4.87"/>
    <n v="4.87"/>
    <n v="4.87"/>
    <n v="4.87"/>
    <n v="4.87"/>
    <n v="4.87"/>
    <n v="4.87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7UH88AA#ABB"/>
    <s v="Foxconn CZ"/>
    <s v="EMEA"/>
  </r>
  <r>
    <s v="FY24"/>
    <s v="Allen Chen"/>
    <m/>
    <m/>
    <m/>
    <m/>
    <n v="2016"/>
    <s v="Gadget"/>
    <s v="Mouse"/>
    <s v="NA"/>
    <s v="Ceramic White"/>
    <s v="S China"/>
    <s v="OTHERS"/>
    <n v="5.39"/>
    <n v="5.81"/>
    <n v="5.81"/>
    <n v="5.81"/>
    <n v="5.81"/>
    <n v="5.81"/>
    <n v="5.81"/>
    <n v="5.81"/>
    <n v="5.81"/>
    <n v="5.81"/>
    <n v="5.81"/>
    <n v="5.81"/>
    <n v="5.81"/>
    <n v="5.81"/>
    <n v="0.05"/>
    <n v="0.05"/>
    <n v="0.05"/>
    <n v="0.05"/>
    <n v="0.05"/>
    <n v="0.05"/>
    <n v="0.05"/>
    <n v="0.05"/>
    <n v="0.05"/>
    <n v="0.05"/>
    <n v="0.05"/>
    <n v="0.05"/>
    <n v="0.05"/>
    <n v="4320"/>
    <n v="216"/>
    <n v="0"/>
    <n v="0"/>
    <n v="4320"/>
    <n v="216"/>
    <n v="0"/>
    <n v="0"/>
    <n v="4320"/>
    <n v="216"/>
    <s v="0"/>
    <n v="0"/>
    <s v="0"/>
    <n v="0"/>
    <n v="4320"/>
    <n v="216"/>
    <s v="0"/>
    <n v="0"/>
    <s v="0"/>
    <n v="0"/>
    <s v="0"/>
    <n v="0"/>
    <s v="0"/>
    <n v="0"/>
    <s v="171D8AA#ABB"/>
    <s v="Foxconn CZ"/>
    <s v="EMEA"/>
  </r>
  <r>
    <s v="FY24"/>
    <s v="Allen Chen"/>
    <m/>
    <m/>
    <m/>
    <m/>
    <n v="2016"/>
    <s v="Oman"/>
    <s v="Mouse"/>
    <s v="NA"/>
    <s v="Black"/>
    <s v="S China"/>
    <s v="OTHERS"/>
    <n v="3.75"/>
    <n v="3.75"/>
    <n v="3.75"/>
    <n v="3.75"/>
    <n v="3.75"/>
    <n v="3.75"/>
    <n v="3.75"/>
    <n v="3.75"/>
    <n v="3.75"/>
    <n v="3.75"/>
    <n v="3.75"/>
    <n v="3.75"/>
    <n v="3.75"/>
    <n v="3.75"/>
    <n v="0.04"/>
    <n v="0.04"/>
    <n v="0.04"/>
    <n v="0.04"/>
    <n v="0.04"/>
    <n v="0.04"/>
    <n v="0.04"/>
    <n v="0.04"/>
    <n v="0.04"/>
    <n v="0.04"/>
    <n v="0.04"/>
    <n v="0.04"/>
    <n v="0.04"/>
    <n v="4320"/>
    <n v="172.8"/>
    <n v="0"/>
    <n v="0"/>
    <s v="0"/>
    <n v="0"/>
    <n v="4320"/>
    <n v="172.8"/>
    <n v="0"/>
    <n v="0"/>
    <s v="0"/>
    <n v="0"/>
    <n v="8640"/>
    <n v="345.6"/>
    <n v="8640"/>
    <n v="345.6"/>
    <n v="8640"/>
    <n v="345.6"/>
    <n v="4320"/>
    <n v="172.8"/>
    <n v="4320"/>
    <n v="172.8"/>
    <n v="4320"/>
    <n v="172.8"/>
    <s v="X6W31AA#ABL"/>
    <s v="Foxconn LH"/>
    <s v="NA/LA"/>
  </r>
  <r>
    <s v="FY24"/>
    <s v="Allen Chen"/>
    <m/>
    <m/>
    <m/>
    <m/>
    <n v="2016"/>
    <s v="Oman"/>
    <s v="Mouse"/>
    <s v="NA"/>
    <s v="Black"/>
    <s v="S China"/>
    <s v="OTHERS"/>
    <n v="3.88"/>
    <n v="3.88"/>
    <n v="3.88"/>
    <n v="3.88"/>
    <n v="3.88"/>
    <n v="3.88"/>
    <n v="3.88"/>
    <n v="3.88"/>
    <n v="3.88"/>
    <n v="3.88"/>
    <n v="3.88"/>
    <n v="3.88"/>
    <n v="3.88"/>
    <n v="3.88"/>
    <n v="0.04"/>
    <n v="0.04"/>
    <n v="0.04"/>
    <n v="0.04"/>
    <n v="0.04"/>
    <n v="0.04"/>
    <n v="0.04"/>
    <n v="0.04"/>
    <n v="0.04"/>
    <n v="0.04"/>
    <n v="0.04"/>
    <n v="0.04"/>
    <n v="0.04"/>
    <n v="12960"/>
    <n v="518.4"/>
    <n v="21600"/>
    <n v="864"/>
    <n v="34560"/>
    <n v="1382.4"/>
    <n v="0"/>
    <n v="0"/>
    <n v="25920"/>
    <n v="1036.8"/>
    <n v="17280"/>
    <n v="691.2"/>
    <n v="77760"/>
    <n v="3110.4"/>
    <s v="0"/>
    <n v="0"/>
    <s v="0"/>
    <n v="0"/>
    <n v="4320"/>
    <n v="172.8"/>
    <s v="0"/>
    <n v="0"/>
    <n v="21600"/>
    <n v="864"/>
    <s v="X6W31AA#ABB"/>
    <s v="Foxconn CZ"/>
    <s v="EMEA"/>
  </r>
  <r>
    <s v="FY24"/>
    <s v="Allen Chen"/>
    <m/>
    <m/>
    <m/>
    <m/>
    <n v="2016"/>
    <s v="Oman"/>
    <s v="Mouse"/>
    <s v="NA"/>
    <s v="Black"/>
    <s v="S China"/>
    <s v="OTHERS"/>
    <n v="3.9"/>
    <n v="4.04"/>
    <n v="4.04"/>
    <n v="4.04"/>
    <n v="4.04"/>
    <n v="4.04"/>
    <n v="4.04"/>
    <n v="4.04"/>
    <n v="4.04"/>
    <n v="4.04"/>
    <n v="4.04"/>
    <n v="4.04"/>
    <n v="4.04"/>
    <n v="4.04"/>
    <n v="0.04"/>
    <n v="0.04"/>
    <n v="0.04"/>
    <n v="0.12"/>
    <n v="0.12"/>
    <n v="0.12"/>
    <n v="0.12"/>
    <n v="0.12"/>
    <n v="0.12"/>
    <n v="0.12"/>
    <n v="0.12"/>
    <n v="0.12"/>
    <n v="0.12"/>
    <n v="0"/>
    <n v="0"/>
    <n v="6720"/>
    <n v="268.8"/>
    <n v="11520"/>
    <n v="1382.3999999999999"/>
    <n v="0"/>
    <n v="0"/>
    <n v="2880"/>
    <n v="345.59999999999997"/>
    <s v="0"/>
    <n v="0"/>
    <s v="0"/>
    <n v="0"/>
    <s v="0"/>
    <n v="0"/>
    <n v="5760"/>
    <n v="691.19999999999993"/>
    <n v="2880"/>
    <n v="345.59999999999997"/>
    <n v="2880"/>
    <n v="345.59999999999997"/>
    <n v="5760"/>
    <n v="691.19999999999993"/>
    <s v="X6W31AA#UUF"/>
    <s v="Foxconn LH"/>
    <s v="APJ"/>
  </r>
  <r>
    <s v="FY24"/>
    <s v="Allen Chen"/>
    <m/>
    <m/>
    <m/>
    <m/>
    <n v="2016"/>
    <s v="Oman"/>
    <s v="Mouse"/>
    <s v="NA"/>
    <s v="Empress red"/>
    <s v="S China"/>
    <s v="OTHERS"/>
    <n v="4.18"/>
    <n v="4.18"/>
    <n v="4.18"/>
    <n v="4.18"/>
    <n v="4.18"/>
    <n v="4.18"/>
    <n v="4.18"/>
    <n v="4.18"/>
    <n v="4.18"/>
    <n v="4.18"/>
    <n v="4.18"/>
    <n v="4.18"/>
    <n v="4.18"/>
    <n v="4.18"/>
    <n v="0.12"/>
    <n v="0.12"/>
    <n v="0.12"/>
    <n v="0.12"/>
    <n v="0.12"/>
    <n v="0.12"/>
    <n v="0.12"/>
    <n v="0.12"/>
    <n v="0.12"/>
    <n v="0.12"/>
    <n v="0.12"/>
    <n v="0.12"/>
    <n v="0.12"/>
    <n v="2880"/>
    <n v="345.59999999999997"/>
    <n v="0"/>
    <n v="0"/>
    <n v="5760"/>
    <n v="691.19999999999993"/>
    <n v="0"/>
    <n v="0"/>
    <n v="2880"/>
    <n v="345.59999999999997"/>
    <s v="0"/>
    <n v="0"/>
    <n v="8640"/>
    <n v="1036.8"/>
    <n v="5760"/>
    <n v="691.19999999999993"/>
    <s v="0"/>
    <n v="0"/>
    <n v="2880"/>
    <n v="345.59999999999997"/>
    <n v="5760"/>
    <n v="691.19999999999993"/>
    <n v="2880"/>
    <n v="345.59999999999997"/>
    <s v="2HU82AA#ABL"/>
    <s v="Foxconn LH"/>
    <s v="NA/LA"/>
  </r>
  <r>
    <s v="FY24"/>
    <s v="Allen Chen"/>
    <m/>
    <m/>
    <m/>
    <m/>
    <n v="2016"/>
    <s v="Oman"/>
    <s v="Mouse"/>
    <s v="NA"/>
    <s v="Empress red"/>
    <s v="S China"/>
    <s v="OTHERS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0.04"/>
    <n v="0.04"/>
    <n v="0.04"/>
    <n v="0.04"/>
    <n v="0.04"/>
    <n v="0.04"/>
    <n v="0.04"/>
    <n v="0.04"/>
    <n v="0.12"/>
    <n v="0.12"/>
    <n v="0.12"/>
    <n v="0.12"/>
    <n v="0.12"/>
    <n v="0"/>
    <n v="0"/>
    <n v="0"/>
    <n v="0"/>
    <n v="2880"/>
    <n v="115.2"/>
    <n v="0"/>
    <n v="0"/>
    <n v="0"/>
    <n v="0"/>
    <s v="0"/>
    <n v="0"/>
    <s v="0"/>
    <n v="0"/>
    <s v="0"/>
    <n v="0"/>
    <n v="2880"/>
    <n v="345.59999999999997"/>
    <s v="0"/>
    <n v="0"/>
    <s v="0"/>
    <n v="0"/>
    <n v="2880"/>
    <n v="345.59999999999997"/>
    <s v="2HU82AA#UUF"/>
    <s v="Foxconn LH"/>
    <s v="APJ"/>
  </r>
  <r>
    <s v="FY24"/>
    <s v="Allen Chen"/>
    <m/>
    <m/>
    <m/>
    <m/>
    <n v="2016"/>
    <s v="Oman"/>
    <s v="Mouse"/>
    <s v="NA"/>
    <s v="Silk Gold"/>
    <s v="S China"/>
    <s v="OTHERS"/>
    <n v="4.3899999999999997"/>
    <n v="4.53"/>
    <n v="4.53"/>
    <n v="4.53"/>
    <n v="4.53"/>
    <n v="4.53"/>
    <n v="4.53"/>
    <n v="4.53"/>
    <n v="4.53"/>
    <n v="4.53"/>
    <n v="4.53"/>
    <n v="4.53"/>
    <n v="4.53"/>
    <n v="4.53"/>
    <n v="0.12"/>
    <n v="0.12"/>
    <n v="0.12"/>
    <n v="0.12"/>
    <n v="0.12"/>
    <n v="0.12"/>
    <n v="0.12"/>
    <n v="0.12"/>
    <n v="0.12"/>
    <n v="0.12"/>
    <n v="0.12"/>
    <n v="0.12"/>
    <n v="0.12"/>
    <n v="2880"/>
    <n v="345.59999999999997"/>
    <n v="0"/>
    <n v="0"/>
    <n v="2880"/>
    <n v="345.59999999999997"/>
    <n v="2880"/>
    <n v="345.59999999999997"/>
    <n v="2880"/>
    <n v="345.59999999999997"/>
    <n v="2880"/>
    <n v="345.59999999999997"/>
    <n v="8640"/>
    <n v="1036.8"/>
    <n v="5760"/>
    <n v="691.19999999999993"/>
    <n v="2880"/>
    <n v="345.59999999999997"/>
    <n v="2880"/>
    <n v="345.59999999999997"/>
    <n v="8640"/>
    <n v="1036.8"/>
    <n v="2880"/>
    <n v="345.59999999999997"/>
    <s v="2HU83AA#ABL"/>
    <s v="Foxconn LH"/>
    <s v="NA/LA"/>
  </r>
  <r>
    <s v="FY24"/>
    <s v="Allen Chen"/>
    <m/>
    <m/>
    <m/>
    <m/>
    <n v="2016"/>
    <s v="Oman"/>
    <s v="Mouse"/>
    <s v="NA"/>
    <s v="Silk Gold"/>
    <s v="S China"/>
    <s v="OTHERS"/>
    <n v="4.38"/>
    <n v="4.38"/>
    <n v="4.38"/>
    <n v="4.38"/>
    <n v="4.38"/>
    <n v="4.38"/>
    <n v="4.38"/>
    <n v="4.38"/>
    <n v="4.38"/>
    <n v="4.38"/>
    <n v="4.38"/>
    <n v="4.38"/>
    <n v="4.38"/>
    <n v="4.38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s v="0"/>
    <n v="0"/>
    <n v="0"/>
    <n v="0"/>
    <n v="0"/>
    <n v="0"/>
    <s v="0"/>
    <n v="0"/>
    <s v="0"/>
    <n v="0"/>
    <s v="0"/>
    <n v="0"/>
    <s v="0"/>
    <n v="0"/>
    <s v="0"/>
    <n v="0"/>
    <n v="4320"/>
    <n v="172.8"/>
    <s v="0"/>
    <n v="0"/>
    <s v="2HU83AA#ABB"/>
    <s v="Foxconn CZ"/>
    <s v="EMEA"/>
  </r>
  <r>
    <s v="FY24"/>
    <s v="Allen Chen"/>
    <m/>
    <m/>
    <m/>
    <m/>
    <n v="2016"/>
    <s v="Oman"/>
    <s v="Mouse"/>
    <s v="NA"/>
    <s v="Pike silver"/>
    <s v="S China"/>
    <s v="OTHERS"/>
    <n v="4.3899999999999997"/>
    <n v="4.53"/>
    <n v="4.53"/>
    <n v="4.53"/>
    <n v="4.53"/>
    <n v="4.53"/>
    <n v="4.53"/>
    <n v="4.53"/>
    <n v="4.53"/>
    <n v="4.53"/>
    <n v="4.53"/>
    <n v="4.53"/>
    <n v="4.53"/>
    <n v="4.53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n v="2880"/>
    <n v="345.59999999999997"/>
    <n v="2880"/>
    <n v="345.59999999999997"/>
    <n v="5760"/>
    <n v="691.19999999999993"/>
    <n v="5760"/>
    <n v="691.19999999999993"/>
    <n v="8640"/>
    <n v="1036.8"/>
    <n v="5760"/>
    <n v="691.19999999999993"/>
    <n v="5760"/>
    <n v="691.19999999999993"/>
    <n v="11520"/>
    <n v="1382.3999999999999"/>
    <s v="0"/>
    <n v="0"/>
    <n v="5760"/>
    <n v="691.19999999999993"/>
    <s v="2HU84AA#ABL"/>
    <s v="Foxconn LH"/>
    <s v="NA/LA"/>
  </r>
  <r>
    <s v="FY24"/>
    <s v="Allen Chen"/>
    <m/>
    <m/>
    <m/>
    <m/>
    <n v="2016"/>
    <s v="Oman"/>
    <s v="Mouse"/>
    <s v="NA"/>
    <s v="Pike silver"/>
    <s v="S China"/>
    <s v="OTHERS"/>
    <n v="4.38"/>
    <n v="4.38"/>
    <n v="4.38"/>
    <n v="4.38"/>
    <n v="4.38"/>
    <n v="4.38"/>
    <n v="4.38"/>
    <n v="4.38"/>
    <n v="4.38"/>
    <n v="4.38"/>
    <n v="4.38"/>
    <n v="4.38"/>
    <n v="4.38"/>
    <n v="4.38"/>
    <n v="0.04"/>
    <n v="0.04"/>
    <n v="0.04"/>
    <n v="0.04"/>
    <n v="0.04"/>
    <n v="0.04"/>
    <n v="0.04"/>
    <n v="0.04"/>
    <n v="0.04"/>
    <n v="0.04"/>
    <n v="0.04"/>
    <n v="0.04"/>
    <n v="0.04"/>
    <n v="0"/>
    <n v="0"/>
    <n v="4320"/>
    <n v="172.8"/>
    <n v="8640"/>
    <n v="345.6"/>
    <n v="0"/>
    <n v="0"/>
    <n v="4320"/>
    <n v="172.8"/>
    <n v="4320"/>
    <n v="172.8"/>
    <n v="8640"/>
    <n v="345.6"/>
    <s v="0"/>
    <n v="0"/>
    <n v="4320"/>
    <n v="172.8"/>
    <s v="0"/>
    <n v="0"/>
    <n v="4320"/>
    <n v="172.8"/>
    <s v="0"/>
    <n v="0"/>
    <s v="2HU84AA#ABB"/>
    <s v="Foxconn CZ"/>
    <s v="EMEA"/>
  </r>
  <r>
    <s v="FY24"/>
    <s v="Allen Chen"/>
    <m/>
    <m/>
    <m/>
    <m/>
    <n v="2016"/>
    <s v="Oman"/>
    <s v="Mouse"/>
    <s v="NA"/>
    <s v="Pike silver"/>
    <s v="S China"/>
    <s v="OTHERS"/>
    <n v="4.16"/>
    <n v="4.3"/>
    <n v="4.3"/>
    <n v="4.3"/>
    <n v="4.3"/>
    <n v="4.3"/>
    <n v="4.3"/>
    <n v="4.3"/>
    <n v="4.3"/>
    <n v="4.3"/>
    <n v="4.3"/>
    <n v="4.3"/>
    <n v="4.3"/>
    <n v="4.3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2HU84AA#UUF"/>
    <s v="Foxconn LH"/>
    <s v="APJ"/>
  </r>
  <r>
    <s v="FY24"/>
    <s v="Allen Chen"/>
    <m/>
    <m/>
    <m/>
    <m/>
    <n v="2016"/>
    <s v="Oman"/>
    <s v="Mouse"/>
    <s v="NA"/>
    <s v="Mrn Blue"/>
    <s v="S China"/>
    <s v="OTHERS"/>
    <n v="4.04"/>
    <n v="4.18"/>
    <n v="4.18"/>
    <n v="4.18"/>
    <n v="4.18"/>
    <n v="4.18"/>
    <n v="4.18"/>
    <n v="4.18"/>
    <n v="4.18"/>
    <n v="4.18"/>
    <n v="4.18"/>
    <n v="4.18"/>
    <n v="4.18"/>
    <n v="4.18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s v="0"/>
    <n v="0"/>
    <n v="0"/>
    <n v="0"/>
    <n v="0"/>
    <n v="0"/>
    <n v="5760"/>
    <n v="691.19999999999993"/>
    <n v="8640"/>
    <n v="1036.8"/>
    <s v="0"/>
    <n v="0"/>
    <n v="8640"/>
    <n v="1036.8"/>
    <n v="5760"/>
    <n v="691.19999999999993"/>
    <n v="2880"/>
    <n v="345.59999999999997"/>
    <s v="0"/>
    <n v="0"/>
    <s v="2HU85AA#ABL"/>
    <s v="Foxconn LH"/>
    <s v="NA/LA"/>
  </r>
  <r>
    <s v="FY24"/>
    <s v="Allen Chen"/>
    <m/>
    <m/>
    <m/>
    <m/>
    <n v="2016"/>
    <s v="Oman"/>
    <s v="Mouse"/>
    <s v="NA"/>
    <s v="Mrn Blue"/>
    <s v="S China"/>
    <s v="OTHERS"/>
    <n v="4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4.1399999999999997"/>
    <n v="0.12"/>
    <n v="0.12"/>
    <n v="0.12"/>
    <n v="0.12"/>
    <n v="0.12"/>
    <n v="0.12"/>
    <n v="0.12"/>
    <n v="0.12"/>
    <n v="0.12"/>
    <n v="0.12"/>
    <n v="0.12"/>
    <n v="0.12"/>
    <n v="0.12"/>
    <n v="0"/>
    <n v="0"/>
    <n v="0"/>
    <n v="0"/>
    <n v="2880"/>
    <n v="345.59999999999997"/>
    <n v="0"/>
    <n v="0"/>
    <n v="0"/>
    <n v="0"/>
    <s v="0"/>
    <n v="0"/>
    <n v="2880"/>
    <n v="345.59999999999997"/>
    <s v="0"/>
    <n v="0"/>
    <n v="2880"/>
    <n v="345.59999999999997"/>
    <s v="0"/>
    <n v="0"/>
    <n v="2880"/>
    <n v="345.59999999999997"/>
    <s v="0"/>
    <n v="0"/>
    <s v="2HU85AA#UUF"/>
    <s v="Foxconn LH"/>
    <s v="APJ"/>
  </r>
  <r>
    <s v="FY24"/>
    <s v="Allen Chen"/>
    <m/>
    <m/>
    <m/>
    <m/>
    <n v="2019"/>
    <s v="Galapagos"/>
    <s v="Mouse"/>
    <s v="NA"/>
    <s v="Black"/>
    <s v="S China"/>
    <s v="OTHERS"/>
    <n v="1.81"/>
    <n v="1.81"/>
    <n v="1.81"/>
    <n v="1.81"/>
    <n v="1.81"/>
    <n v="1.81"/>
    <n v="1.81"/>
    <n v="1.81"/>
    <n v="1.81"/>
    <n v="1.81"/>
    <n v="1.81"/>
    <n v="1.81"/>
    <n v="1.81"/>
    <n v="1.81"/>
    <n v="0"/>
    <n v="0"/>
    <n v="0"/>
    <n v="0"/>
    <n v="0"/>
    <n v="0"/>
    <n v="0"/>
    <n v="0"/>
    <n v="0"/>
    <n v="0"/>
    <n v="0"/>
    <n v="0"/>
    <n v="0"/>
    <n v="0"/>
    <n v="0"/>
    <n v="0"/>
    <n v="0"/>
    <n v="26880"/>
    <n v="0"/>
    <n v="0"/>
    <n v="0"/>
    <n v="0"/>
    <n v="0"/>
    <n v="6720"/>
    <n v="0"/>
    <n v="6720"/>
    <n v="0"/>
    <n v="13440"/>
    <n v="0"/>
    <n v="13440"/>
    <n v="0"/>
    <n v="13440"/>
    <n v="0"/>
    <n v="6720"/>
    <n v="0"/>
    <s v="0"/>
    <n v="0"/>
    <s v="6VY96AA#ABM"/>
    <s v="Foxconn LH"/>
    <s v="LA"/>
  </r>
  <r>
    <s v="FY24"/>
    <s v="Allen Chen"/>
    <m/>
    <m/>
    <m/>
    <m/>
    <n v="2019"/>
    <s v="Galapagos"/>
    <s v="Mouse"/>
    <s v="NA"/>
    <s v="Black"/>
    <s v="S China"/>
    <s v="OTHERS"/>
    <n v="1.72"/>
    <n v="1.72"/>
    <n v="1.72"/>
    <n v="1.72"/>
    <n v="1.72"/>
    <n v="1.72"/>
    <n v="1.72"/>
    <n v="1.72"/>
    <n v="1.72"/>
    <n v="1.72"/>
    <n v="1.72"/>
    <n v="1.72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6720"/>
    <n v="0"/>
    <n v="13440"/>
    <n v="0"/>
    <s v="0"/>
    <n v="0"/>
    <s v="0"/>
    <n v="0"/>
    <s v="0"/>
    <n v="0"/>
    <s v="0"/>
    <n v="0"/>
    <s v="0"/>
    <n v="0"/>
    <s v="0"/>
    <n v="0"/>
    <s v="6VY96AA#ACJ"/>
    <s v="HP India"/>
    <s v="APJ"/>
  </r>
  <r>
    <s v="FY24"/>
    <s v="Allen Chen"/>
    <m/>
    <m/>
    <m/>
    <m/>
    <n v="2019"/>
    <s v="Galapagos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2880"/>
    <n v="0"/>
    <n v="5760"/>
    <n v="0"/>
    <n v="8640"/>
    <n v="0"/>
    <n v="0"/>
    <n v="0"/>
    <n v="2880"/>
    <n v="0"/>
    <n v="2880"/>
    <n v="0"/>
    <n v="2880"/>
    <n v="0"/>
    <n v="5760"/>
    <n v="0"/>
    <n v="8640"/>
    <n v="0"/>
    <n v="2880"/>
    <n v="0"/>
    <n v="5760"/>
    <n v="0"/>
    <n v="14400"/>
    <n v="0"/>
    <s v="6VY96AA#UUF"/>
    <s v="Foxconn LH"/>
    <s v="APJ"/>
  </r>
  <r>
    <s v="FY24"/>
    <s v="Allen Chen"/>
    <m/>
    <m/>
    <m/>
    <m/>
    <n v="2019"/>
    <s v="Galapagos"/>
    <s v="Mouse"/>
    <s v="NA"/>
    <s v="Black"/>
    <s v="S China"/>
    <s v="OTHERS"/>
    <n v="1.8"/>
    <n v="1.8"/>
    <n v="1.8"/>
    <n v="1.8"/>
    <n v="1.8"/>
    <n v="1.8"/>
    <n v="1.8"/>
    <n v="1.8"/>
    <n v="1.8"/>
    <n v="1.8"/>
    <n v="1.8"/>
    <n v="1.8"/>
    <n v="1.8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8640"/>
    <n v="0"/>
    <s v="0"/>
    <n v="0"/>
    <s v="0"/>
    <n v="0"/>
    <n v="14400"/>
    <n v="0"/>
    <s v="0"/>
    <n v="0"/>
    <s v="0"/>
    <n v="0"/>
    <s v="0"/>
    <n v="0"/>
    <n v="11520"/>
    <n v="0"/>
    <s v="6VY96AA#ABA"/>
    <s v="Ryder Indy"/>
    <s v="NA"/>
  </r>
  <r>
    <s v="FY24"/>
    <s v="Allen Chen"/>
    <m/>
    <m/>
    <m/>
    <m/>
    <n v="2023"/>
    <s v="Galapagos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822M9AA#ABA"/>
    <s v="Foxconn LH"/>
    <s v="NA/LA"/>
  </r>
  <r>
    <s v="FY24"/>
    <s v="Allen Chen"/>
    <m/>
    <m/>
    <m/>
    <m/>
    <n v="2023"/>
    <s v="Galapagos"/>
    <s v="Mouse"/>
    <s v="NA"/>
    <s v="Black"/>
    <s v="S China"/>
    <s v="OTHERS"/>
    <n v="1.89"/>
    <n v="1.89"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2880"/>
    <n v="0"/>
    <n v="0"/>
    <n v="0"/>
    <n v="2880"/>
    <n v="0"/>
    <n v="2880"/>
    <n v="0"/>
    <s v="0"/>
    <n v="0"/>
    <s v="0"/>
    <n v="0"/>
    <s v="0"/>
    <n v="0"/>
    <s v="0"/>
    <n v="0"/>
    <s v="0"/>
    <n v="0"/>
    <s v="822M9AA#UUF"/>
    <s v="Foxconn LH"/>
    <s v="APJ"/>
  </r>
  <r>
    <s v="FY24"/>
    <s v="Allen Chen"/>
    <m/>
    <m/>
    <m/>
    <m/>
    <n v="2023"/>
    <s v="Galapagos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  <s v="822M9UT#ABA"/>
    <s v="Foxconn LH"/>
    <s v="NA/LA"/>
  </r>
  <r>
    <s v="FY24"/>
    <s v="Allen Chen"/>
    <m/>
    <m/>
    <m/>
    <m/>
    <n v="2023"/>
    <s v="Galapagos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0"/>
    <n v="0"/>
    <n v="0"/>
    <n v="0"/>
    <n v="35000"/>
    <n v="0"/>
    <m/>
    <n v="0"/>
    <m/>
    <n v="0"/>
    <m/>
    <n v="0"/>
    <s v="0"/>
    <n v="0"/>
    <s v="822M9UT#ABB"/>
    <s v="Foxconn CZ"/>
    <s v="EMEA"/>
  </r>
  <r>
    <s v="FY24"/>
    <s v="Allen Chen"/>
    <m/>
    <m/>
    <m/>
    <m/>
    <n v="2023"/>
    <s v="Galapagos"/>
    <s v="Mouse"/>
    <s v="NA"/>
    <s v="Black"/>
    <s v="S China"/>
    <s v="OTHERS"/>
    <m/>
    <m/>
    <n v="1.89"/>
    <n v="1.89"/>
    <n v="1.89"/>
    <n v="1.89"/>
    <n v="1.89"/>
    <n v="1.89"/>
    <n v="1.89"/>
    <n v="1.89"/>
    <n v="1.89"/>
    <n v="1.89"/>
    <n v="1.8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2880"/>
    <n v="0"/>
    <n v="2880"/>
    <n v="0"/>
    <n v="2880"/>
    <n v="0"/>
    <n v="2880"/>
    <n v="0"/>
    <s v="822M9UT#UUF"/>
    <s v="Foxconn LH"/>
    <s v="APJ"/>
  </r>
  <r>
    <s v="FY24"/>
    <s v="Allen Chen"/>
    <m/>
    <m/>
    <m/>
    <m/>
    <n v="2020"/>
    <s v="Jerry"/>
    <s v="Mouse"/>
    <s v="NA"/>
    <s v="Nightfull black"/>
    <s v="S China"/>
    <s v="OTHERS"/>
    <n v="22.76"/>
    <n v="22.78"/>
    <n v="22.78"/>
    <n v="22.78"/>
    <n v="22.78"/>
    <n v="22.78"/>
    <n v="22.78"/>
    <n v="22.78"/>
    <n v="22.78"/>
    <n v="22.78"/>
    <n v="22.78"/>
    <n v="22.78"/>
    <n v="22.72"/>
    <n v="22.72"/>
    <n v="0"/>
    <n v="0"/>
    <n v="0"/>
    <n v="0"/>
    <n v="0"/>
    <n v="0"/>
    <n v="0"/>
    <n v="0"/>
    <n v="0"/>
    <n v="0"/>
    <n v="0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n v="1008"/>
    <n v="0"/>
    <s v="0"/>
    <n v="0"/>
    <s v="0"/>
    <n v="0"/>
    <s v="0"/>
    <n v="0"/>
    <s v="1D0K2AA#ABA"/>
    <s v="Foxconn Indy"/>
    <s v="NA/LA"/>
  </r>
  <r>
    <s v="FY24"/>
    <s v="Allen Chen"/>
    <m/>
    <m/>
    <m/>
    <m/>
    <n v="2020"/>
    <s v="Jerry"/>
    <s v="Mouse"/>
    <s v="NA"/>
    <s v="Nightfull black"/>
    <s v="S China"/>
    <s v="OTHERS"/>
    <n v="22.82"/>
    <n v="22.84"/>
    <n v="22.84"/>
    <n v="22.84"/>
    <n v="22.84"/>
    <n v="22.84"/>
    <n v="22.84"/>
    <n v="22.84"/>
    <n v="22.84"/>
    <n v="22.84"/>
    <n v="22.84"/>
    <n v="22.84"/>
    <n v="22.78"/>
    <n v="22.78"/>
    <n v="0"/>
    <n v="0"/>
    <n v="0"/>
    <n v="0"/>
    <n v="0"/>
    <n v="0"/>
    <n v="0"/>
    <n v="0"/>
    <n v="0"/>
    <n v="0"/>
    <n v="0"/>
    <n v="0.06"/>
    <n v="0.06"/>
    <n v="0"/>
    <n v="0"/>
    <n v="0"/>
    <n v="0"/>
    <n v="1008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1D0K2AA#UUF"/>
    <s v="Foxconn LH"/>
    <s v="APJ"/>
  </r>
  <r>
    <s v="FY24"/>
    <s v="Allen Chen"/>
    <m/>
    <m/>
    <m/>
    <m/>
    <n v="2020"/>
    <s v="Brain"/>
    <s v="Mouse"/>
    <s v="NA"/>
    <s v="Nightfull black"/>
    <s v="S China"/>
    <s v="OTHERS"/>
    <n v="30.4"/>
    <n v="30.42"/>
    <n v="30.42"/>
    <n v="30.42"/>
    <n v="30.42"/>
    <n v="30.42"/>
    <n v="30.42"/>
    <n v="30.42"/>
    <n v="30.42"/>
    <n v="30.42"/>
    <n v="30.42"/>
    <n v="30.42"/>
    <n v="30.35"/>
    <n v="30.35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n v="1008"/>
    <n v="0"/>
    <s v="0"/>
    <n v="0"/>
    <s v="0"/>
    <n v="0"/>
    <s v="0"/>
    <n v="0"/>
    <s v="0"/>
    <n v="0"/>
    <s v="0"/>
    <n v="0"/>
    <s v="1D0K8AA#ABA"/>
    <s v="Foxconn Indy"/>
    <s v="NA/LA"/>
  </r>
  <r>
    <s v="FY24"/>
    <s v="Allen Chen"/>
    <m/>
    <m/>
    <m/>
    <m/>
    <n v="2020"/>
    <s v="Brain"/>
    <s v="Mouse"/>
    <s v="NA"/>
    <s v="Nightfull black"/>
    <s v="S China"/>
    <s v="OTHERS"/>
    <n v="30.46"/>
    <n v="30.48"/>
    <n v="30.48"/>
    <n v="30.48"/>
    <n v="30.48"/>
    <n v="30.48"/>
    <n v="30.48"/>
    <n v="30.48"/>
    <n v="30.48"/>
    <n v="30.48"/>
    <n v="30.48"/>
    <n v="30.48"/>
    <n v="30.41"/>
    <n v="30.41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1D0K8AA#UUF"/>
    <s v="Foxconn LH"/>
    <s v="APJ"/>
  </r>
  <r>
    <s v="FY24"/>
    <s v="Allen Chen"/>
    <m/>
    <m/>
    <m/>
    <m/>
    <n v="2020"/>
    <s v="Brain"/>
    <s v="Mouse"/>
    <s v="NA"/>
    <s v="Natural Silver"/>
    <s v="S China"/>
    <s v="OTHERS"/>
    <n v="30.56"/>
    <n v="30.58"/>
    <n v="30.58"/>
    <n v="30.58"/>
    <n v="30.58"/>
    <n v="30.58"/>
    <n v="30.58"/>
    <n v="30.58"/>
    <n v="30.58"/>
    <n v="30.58"/>
    <n v="30.58"/>
    <n v="30.58"/>
    <n v="30.51"/>
    <n v="30.51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n v="1008"/>
    <n v="0"/>
    <s v="0"/>
    <n v="0"/>
    <s v="0"/>
    <n v="0"/>
    <s v="0"/>
    <n v="0"/>
    <s v="0"/>
    <n v="0"/>
    <s v="1D0K9AA#UUF"/>
    <s v="Foxconn LH"/>
    <s v="APJ"/>
  </r>
  <r>
    <s v="FY24"/>
    <s v="Allen Chen"/>
    <m/>
    <m/>
    <m/>
    <m/>
    <n v="2020"/>
    <s v="Brain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n v="30.35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62007-001"/>
    <s v="Inventec"/>
    <s v="DIB"/>
  </r>
  <r>
    <s v="FY24"/>
    <s v="Allen Chen"/>
    <m/>
    <m/>
    <m/>
    <m/>
    <n v="2020"/>
    <s v="Brain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n v="30.35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62007-371"/>
    <s v="Inventec"/>
    <s v="DIB"/>
  </r>
  <r>
    <s v="FY24"/>
    <s v="Allen Chen"/>
    <m/>
    <m/>
    <m/>
    <m/>
    <n v="2020"/>
    <s v="Brain"/>
    <s v="Mouse"/>
    <s v="NA"/>
    <s v="Nightfull black"/>
    <s v="S China"/>
    <s v="OTHERS"/>
    <n v="30.35"/>
    <n v="30.35"/>
    <n v="30.35"/>
    <n v="30.35"/>
    <n v="30.35"/>
    <n v="30.35"/>
    <n v="30.35"/>
    <n v="30.35"/>
    <n v="30.35"/>
    <n v="30.35"/>
    <n v="30.35"/>
    <n v="30.35"/>
    <n v="30.28"/>
    <n v="30.28"/>
    <n v="0"/>
    <n v="0"/>
    <n v="0"/>
    <n v="0"/>
    <n v="0"/>
    <n v="0"/>
    <n v="0"/>
    <n v="0"/>
    <n v="0"/>
    <n v="0"/>
    <n v="0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62007-A21"/>
    <s v="Inventec"/>
    <s v="DIB"/>
  </r>
  <r>
    <s v="FY24"/>
    <s v="Allen Chen"/>
    <m/>
    <m/>
    <m/>
    <m/>
    <n v="2020"/>
    <s v="Oreo"/>
    <s v="Mouse"/>
    <s v="NA"/>
    <s v="Black"/>
    <s v="S China"/>
    <s v="OTHERS"/>
    <n v="1.72"/>
    <n v="1.72"/>
    <n v="1.72"/>
    <n v="1.72"/>
    <n v="1.72"/>
    <n v="1.72"/>
    <n v="1.72"/>
    <n v="1.72"/>
    <n v="1.72"/>
    <n v="1.72"/>
    <n v="1.72"/>
    <n v="1.72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6720"/>
    <n v="0"/>
    <s v="0"/>
    <n v="0"/>
    <n v="13440"/>
    <n v="0"/>
    <n v="6720"/>
    <n v="0"/>
    <n v="26880"/>
    <n v="0"/>
    <n v="20160"/>
    <n v="0"/>
    <s v="0"/>
    <n v="0"/>
    <s v="0"/>
    <n v="0"/>
    <s v="240J6AA#ABM"/>
    <s v="Foxconn LH"/>
    <s v="LA"/>
  </r>
  <r>
    <s v="FY24"/>
    <s v="Allen Chen"/>
    <m/>
    <m/>
    <m/>
    <m/>
    <n v="2020"/>
    <s v="Oreo"/>
    <s v="Mouse"/>
    <s v="NA"/>
    <s v="Black"/>
    <s v="S China"/>
    <s v="OTHERS"/>
    <n v="1.66"/>
    <n v="1.66"/>
    <n v="1.66"/>
    <n v="1.66"/>
    <n v="1.66"/>
    <n v="1.66"/>
    <n v="1.66"/>
    <n v="1.66"/>
    <n v="1.66"/>
    <n v="1.66"/>
    <n v="1.66"/>
    <n v="1.66"/>
    <n v="1.66"/>
    <n v="1.66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6720"/>
    <n v="0"/>
    <s v="0"/>
    <n v="0"/>
    <s v="0"/>
    <n v="0"/>
    <s v="0"/>
    <n v="0"/>
    <s v="0"/>
    <n v="0"/>
    <s v="0"/>
    <n v="0"/>
    <n v="6720"/>
    <n v="0"/>
    <s v="0"/>
    <n v="0"/>
    <s v="240J6AA#UUF"/>
    <s v="Foxconn LH"/>
    <s v="APJ"/>
  </r>
  <r>
    <s v="FY24"/>
    <s v="Allen Chen"/>
    <m/>
    <m/>
    <m/>
    <m/>
    <n v="2020"/>
    <s v="Oreo"/>
    <s v="Mouse"/>
    <s v="NA"/>
    <s v="Black"/>
    <s v="S China"/>
    <s v="OTHERS"/>
    <n v="1.65"/>
    <n v="1.65"/>
    <n v="1.65"/>
    <n v="1.65"/>
    <n v="1.65"/>
    <n v="1.65"/>
    <n v="1.65"/>
    <n v="1.65"/>
    <n v="1.65"/>
    <n v="1.65"/>
    <n v="1.65"/>
    <n v="1.65"/>
    <n v="1.65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0"/>
    <n v="0"/>
    <n v="6720"/>
    <n v="0"/>
    <n v="6720"/>
    <n v="0"/>
    <s v="0"/>
    <n v="0"/>
    <s v="0"/>
    <n v="0"/>
    <n v="6720"/>
    <n v="0"/>
    <s v="0"/>
    <n v="0"/>
    <s v="0"/>
    <n v="0"/>
    <s v="240J6AA#ACJ"/>
    <s v="HP India"/>
    <s v="APJ"/>
  </r>
  <r>
    <s v="FY24"/>
    <s v="Allen Chen"/>
    <m/>
    <m/>
    <m/>
    <m/>
    <n v="2020"/>
    <s v="Kitkat"/>
    <s v="Mouse"/>
    <s v="NA"/>
    <s v="Black"/>
    <s v="S China"/>
    <s v="OTHERS"/>
    <n v="3.28"/>
    <n v="3.33"/>
    <n v="3.33"/>
    <n v="3.33"/>
    <n v="3.33"/>
    <n v="3.33"/>
    <n v="3.33"/>
    <n v="3.33"/>
    <n v="3.33"/>
    <n v="3.33"/>
    <n v="3.33"/>
    <n v="3.33"/>
    <n v="3.33"/>
    <n v="3.33"/>
    <n v="0"/>
    <n v="0"/>
    <n v="0"/>
    <n v="0"/>
    <n v="0"/>
    <n v="0"/>
    <n v="0"/>
    <n v="0"/>
    <n v="0"/>
    <n v="0"/>
    <n v="0"/>
    <n v="0"/>
    <n v="0"/>
    <n v="0"/>
    <n v="0"/>
    <n v="0"/>
    <n v="0"/>
    <n v="6720"/>
    <n v="0"/>
    <n v="0"/>
    <n v="0"/>
    <n v="13440"/>
    <n v="0"/>
    <s v="0"/>
    <n v="0"/>
    <n v="6720"/>
    <n v="0"/>
    <n v="6720"/>
    <n v="0"/>
    <s v="0"/>
    <n v="0"/>
    <s v="0"/>
    <n v="0"/>
    <s v="0"/>
    <n v="0"/>
    <n v="13440"/>
    <n v="0"/>
    <s v="2S9L1AA#ABM"/>
    <s v="Foxconn LH"/>
    <s v="LA"/>
  </r>
  <r>
    <s v="FY24"/>
    <s v="Allen Chen"/>
    <m/>
    <m/>
    <m/>
    <m/>
    <n v="2020"/>
    <s v="Kitkat"/>
    <s v="Mouse"/>
    <s v="NA"/>
    <s v="Black"/>
    <s v="S China"/>
    <s v="OTHERS"/>
    <n v="3.24"/>
    <n v="3.29"/>
    <n v="3.29"/>
    <n v="3.29"/>
    <n v="3.29"/>
    <n v="3.29"/>
    <n v="3.29"/>
    <n v="3.29"/>
    <n v="3.29"/>
    <n v="3.29"/>
    <n v="3.29"/>
    <n v="3.29"/>
    <n v="3.29"/>
    <n v="3.29"/>
    <n v="0"/>
    <n v="0"/>
    <n v="0"/>
    <n v="0"/>
    <n v="0"/>
    <n v="0"/>
    <n v="0"/>
    <n v="0"/>
    <n v="0"/>
    <n v="0"/>
    <n v="0"/>
    <n v="0"/>
    <n v="0"/>
    <n v="6720"/>
    <n v="0"/>
    <n v="6720"/>
    <n v="0"/>
    <n v="6720"/>
    <n v="0"/>
    <n v="0"/>
    <n v="0"/>
    <n v="6720"/>
    <n v="0"/>
    <n v="13440"/>
    <n v="0"/>
    <n v="6720"/>
    <n v="0"/>
    <n v="53760"/>
    <n v="0"/>
    <s v="0"/>
    <n v="0"/>
    <s v="0"/>
    <n v="0"/>
    <s v="0"/>
    <n v="0"/>
    <s v="0"/>
    <n v="0"/>
    <s v="2S9L1AA#UUF"/>
    <s v="Foxconn LH"/>
    <s v="APJ"/>
  </r>
  <r>
    <s v="FY24"/>
    <s v="Allen Chen"/>
    <m/>
    <m/>
    <m/>
    <m/>
    <n v="2020"/>
    <s v="Kitkat"/>
    <s v="Mouse"/>
    <s v="NA"/>
    <s v="Black"/>
    <s v="S China"/>
    <s v="OTHERS"/>
    <n v="3.28"/>
    <n v="3.28"/>
    <n v="3.28"/>
    <n v="3.28"/>
    <n v="3.28"/>
    <n v="3.28"/>
    <n v="3.28"/>
    <n v="3.28"/>
    <n v="3.28"/>
    <n v="3.28"/>
    <n v="3.28"/>
    <n v="3.28"/>
    <n v="3.28"/>
    <n v="3.2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6720"/>
    <n v="0"/>
    <n v="6720"/>
    <n v="0"/>
    <s v="0"/>
    <n v="0"/>
    <n v="6720"/>
    <n v="0"/>
    <s v="0"/>
    <n v="0"/>
    <s v="0"/>
    <n v="0"/>
    <n v="6720"/>
    <n v="0"/>
    <s v="0"/>
    <n v="0"/>
    <s v="2S9L1AA#ACJ"/>
    <s v="HP India"/>
    <s v="APJ"/>
  </r>
  <r>
    <s v="FY24"/>
    <s v="Allen Chen"/>
    <m/>
    <m/>
    <m/>
    <m/>
    <n v="2020"/>
    <s v="Kitkat"/>
    <s v="Mouse"/>
    <s v="NA"/>
    <s v="Black"/>
    <s v="S China"/>
    <s v="OTHERS"/>
    <n v="3.25"/>
    <n v="3.25"/>
    <n v="3.25"/>
    <n v="3.25"/>
    <n v="3.25"/>
    <n v="3.25"/>
    <n v="3.25"/>
    <n v="3.25"/>
    <n v="3.25"/>
    <n v="3.25"/>
    <n v="3.25"/>
    <n v="3.25"/>
    <n v="3.25"/>
    <n v="3.2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2S9L1AA#ABL"/>
    <s v="Ryder Indy"/>
    <s v="NA"/>
  </r>
  <r>
    <s v="FY24"/>
    <s v="Allen Chen"/>
    <m/>
    <m/>
    <m/>
    <m/>
    <n v="2020"/>
    <s v="Kitkat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20172-A21"/>
    <s v="QUANTA"/>
    <s v="DIB"/>
  </r>
  <r>
    <s v="FY24"/>
    <s v="Allen Chen"/>
    <m/>
    <m/>
    <m/>
    <m/>
    <n v="2020"/>
    <s v="Kitkat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20172-371"/>
    <s v="QUANTA"/>
    <s v="DIB"/>
  </r>
  <r>
    <s v="FY24"/>
    <s v="Allen Chen"/>
    <m/>
    <m/>
    <m/>
    <m/>
    <n v="2020"/>
    <s v="Kitkat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3600"/>
    <n v="0"/>
    <n v="3600"/>
    <n v="0"/>
    <n v="3600"/>
    <n v="0"/>
    <s v="0"/>
    <n v="0"/>
    <n v="3600"/>
    <n v="0"/>
    <n v="3600"/>
    <n v="0"/>
    <s v="0"/>
    <n v="0"/>
    <s v="0"/>
    <n v="0"/>
    <s v="0"/>
    <n v="0"/>
    <s v="N20172-001"/>
    <s v="QUANTA"/>
    <s v="DIB"/>
  </r>
  <r>
    <s v="FY24"/>
    <s v="Allen Chen"/>
    <m/>
    <m/>
    <m/>
    <m/>
    <n v="2020"/>
    <s v="Kitkat"/>
    <s v="Mouse"/>
    <s v="NA"/>
    <s v="Black"/>
    <s v="S China"/>
    <s v="OTHERS"/>
    <n v="3.85"/>
    <n v="3.85"/>
    <n v="3.85"/>
    <n v="3.85"/>
    <n v="3.85"/>
    <n v="3.85"/>
    <n v="3.85"/>
    <n v="3.85"/>
    <n v="3.85"/>
    <n v="3.85"/>
    <n v="3.85"/>
    <n v="3.85"/>
    <n v="3.85"/>
    <n v="3.8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20172-001"/>
    <s v="Inventec"/>
    <s v="DIB"/>
  </r>
  <r>
    <s v="FY24"/>
    <s v="Allen Chen"/>
    <m/>
    <m/>
    <m/>
    <m/>
    <n v="2021"/>
    <s v="MilkaB"/>
    <s v="Mouse"/>
    <s v="NA"/>
    <s v="Black"/>
    <s v="S China"/>
    <s v="OTHERS"/>
    <n v="4.22"/>
    <n v="4.26"/>
    <n v="4.26"/>
    <n v="4.26"/>
    <n v="4.26"/>
    <n v="4.26"/>
    <n v="4.26"/>
    <n v="4.26"/>
    <n v="4.26"/>
    <n v="4.26"/>
    <n v="4.26"/>
    <n v="4.26"/>
    <n v="4.26"/>
    <n v="4.2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14400"/>
    <n v="0"/>
    <n v="20160"/>
    <n v="0"/>
    <n v="28800"/>
    <n v="0"/>
    <n v="0"/>
    <n v="0"/>
    <n v="11520"/>
    <n v="0"/>
    <n v="11520"/>
    <n v="0"/>
    <n v="8640"/>
    <n v="0"/>
    <n v="19480"/>
    <n v="1363.6000000000001"/>
    <n v="6160"/>
    <n v="431.20000000000005"/>
    <n v="7760"/>
    <n v="543.20000000000005"/>
    <n v="8640"/>
    <n v="604.80000000000007"/>
    <n v="11520"/>
    <n v="806.40000000000009"/>
    <s v="3V0G9AA#ABB"/>
    <s v="Foxconn CZ"/>
    <s v="EMEA"/>
  </r>
  <r>
    <s v="FY24"/>
    <s v="Allen Chen"/>
    <m/>
    <m/>
    <m/>
    <m/>
    <n v="2021"/>
    <s v="MilkaB"/>
    <s v="Mouse"/>
    <s v="NA"/>
    <s v="Black"/>
    <s v="S China"/>
    <s v="OTHERS"/>
    <n v="4.32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5760"/>
    <n v="0"/>
    <s v="0"/>
    <n v="0"/>
    <s v="0"/>
    <n v="0"/>
    <n v="2880"/>
    <n v="201.60000000000002"/>
    <n v="5760"/>
    <n v="403.20000000000005"/>
    <n v="11520"/>
    <n v="806.40000000000009"/>
    <s v="0"/>
    <n v="0"/>
    <s v="0"/>
    <n v="0"/>
    <s v="3V0G9AA#ABM"/>
    <s v="Foxconn LH"/>
    <s v="LA"/>
  </r>
  <r>
    <s v="FY24"/>
    <s v="Allen Chen"/>
    <m/>
    <m/>
    <m/>
    <m/>
    <n v="2021"/>
    <s v="MilkaB"/>
    <s v="Mouse"/>
    <s v="NA"/>
    <s v="Black"/>
    <s v="S China"/>
    <s v="OTHERS"/>
    <n v="4.28"/>
    <n v="4.32"/>
    <n v="4.32"/>
    <n v="4.32"/>
    <n v="4.32"/>
    <n v="4.32"/>
    <n v="4.32"/>
    <n v="4.32"/>
    <n v="4.32"/>
    <n v="4.32"/>
    <n v="4.32"/>
    <n v="4.32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5760"/>
    <n v="0"/>
    <n v="0"/>
    <n v="0"/>
    <n v="5760"/>
    <n v="0"/>
    <n v="0"/>
    <n v="0"/>
    <n v="5760"/>
    <n v="0"/>
    <s v="0"/>
    <n v="0"/>
    <n v="5760"/>
    <n v="0"/>
    <n v="8640"/>
    <n v="604.80000000000007"/>
    <n v="5760"/>
    <n v="403.20000000000005"/>
    <n v="14400"/>
    <n v="1008.0000000000001"/>
    <n v="8640"/>
    <n v="604.80000000000007"/>
    <n v="11520"/>
    <n v="806.40000000000009"/>
    <s v="3V0G9AA#UUF"/>
    <s v="Foxconn LH"/>
    <s v="APJ"/>
  </r>
  <r>
    <s v="FY24"/>
    <s v="Allen Chen"/>
    <m/>
    <m/>
    <m/>
    <m/>
    <n v="2021"/>
    <s v="MilkaB"/>
    <s v="Mouse"/>
    <s v="NA"/>
    <s v="Pike silver"/>
    <s v="S China"/>
    <s v="OTHERS"/>
    <n v="4.63"/>
    <n v="4.67"/>
    <n v="4.67"/>
    <n v="4.67"/>
    <n v="4.67"/>
    <n v="4.67"/>
    <n v="4.67"/>
    <n v="4.67"/>
    <n v="4.67"/>
    <n v="4.67"/>
    <n v="4.67"/>
    <n v="4.67"/>
    <n v="4.67"/>
    <n v="4.6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  <s v="43N04AA#ABA"/>
    <s v="Foxconn LH"/>
    <s v="NA"/>
  </r>
  <r>
    <s v="FY24"/>
    <s v="Allen Chen"/>
    <m/>
    <m/>
    <m/>
    <m/>
    <n v="2021"/>
    <s v="MilkaB"/>
    <s v="Mouse"/>
    <s v="NA"/>
    <s v="Pike silver"/>
    <s v="S China"/>
    <s v="OTHERS"/>
    <n v="4.67"/>
    <n v="4.71"/>
    <n v="4.71"/>
    <n v="4.71"/>
    <n v="4.71"/>
    <n v="4.71"/>
    <n v="4.71"/>
    <n v="4.71"/>
    <n v="4.71"/>
    <n v="4.71"/>
    <n v="4.71"/>
    <n v="4.71"/>
    <n v="4.71"/>
    <n v="4.7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2880"/>
    <n v="0"/>
    <n v="2880"/>
    <n v="0"/>
    <s v="0"/>
    <n v="0"/>
    <s v="0"/>
    <n v="0"/>
    <n v="2880"/>
    <n v="201.60000000000002"/>
    <s v="0"/>
    <n v="0"/>
    <n v="2880"/>
    <n v="201.60000000000002"/>
    <n v="2880"/>
    <n v="201.60000000000002"/>
    <n v="2880"/>
    <n v="201.60000000000002"/>
    <s v="43N04AA#ABM"/>
    <s v="Foxconn LH"/>
    <s v="LA"/>
  </r>
  <r>
    <s v="FY24"/>
    <s v="Allen Chen"/>
    <m/>
    <m/>
    <m/>
    <m/>
    <n v="2021"/>
    <s v="MilkaB"/>
    <s v="Mouse"/>
    <s v="NA"/>
    <s v="Pike silver"/>
    <s v="S China"/>
    <s v="OTHERS"/>
    <n v="4.63"/>
    <n v="4.67"/>
    <n v="4.67"/>
    <n v="4.67"/>
    <n v="4.67"/>
    <n v="4.67"/>
    <n v="4.67"/>
    <n v="4.67"/>
    <n v="4.67"/>
    <n v="4.67"/>
    <n v="4.67"/>
    <n v="4.67"/>
    <n v="4.67"/>
    <n v="4.6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n v="2880"/>
    <n v="0"/>
    <n v="2880"/>
    <n v="201.60000000000002"/>
    <n v="5760"/>
    <n v="403.20000000000005"/>
    <n v="2880"/>
    <n v="201.60000000000002"/>
    <s v="0"/>
    <n v="0"/>
    <n v="2880"/>
    <n v="201.60000000000002"/>
    <s v="43N04AA#UUF"/>
    <s v="Foxconn LH"/>
    <s v="APJ"/>
  </r>
  <r>
    <s v="FY24"/>
    <s v="Allen Chen"/>
    <m/>
    <m/>
    <m/>
    <m/>
    <n v="2021"/>
    <s v="MilkaB"/>
    <s v="Mouse"/>
    <s v="NA"/>
    <s v="Red"/>
    <s v="S China"/>
    <s v="OTHERS"/>
    <n v="4.43"/>
    <n v="4.47"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43N05AA#ABA"/>
    <s v="Foxconn LH"/>
    <s v="NA"/>
  </r>
  <r>
    <s v="FY24"/>
    <s v="Allen Chen"/>
    <m/>
    <m/>
    <m/>
    <m/>
    <n v="2021"/>
    <s v="MilkaB"/>
    <s v="Mouse"/>
    <s v="NA"/>
    <s v="Red"/>
    <s v="S China"/>
    <s v="OTHERS"/>
    <n v="4.37"/>
    <n v="4.41"/>
    <n v="4.41"/>
    <n v="4.41"/>
    <n v="4.41"/>
    <n v="4.41"/>
    <n v="4.41"/>
    <n v="4.41"/>
    <n v="4.41"/>
    <n v="4.41"/>
    <n v="4.41"/>
    <n v="4.41"/>
    <n v="4.41"/>
    <n v="4.4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1440"/>
    <n v="0"/>
    <n v="4320"/>
    <n v="0"/>
    <n v="2880"/>
    <n v="0"/>
    <n v="0"/>
    <n v="0"/>
    <n v="2880"/>
    <n v="0"/>
    <n v="5760"/>
    <n v="0"/>
    <s v="0"/>
    <n v="0"/>
    <n v="2880"/>
    <n v="201.60000000000002"/>
    <n v="2880"/>
    <n v="201.60000000000002"/>
    <s v="0"/>
    <n v="0"/>
    <n v="2880"/>
    <n v="201.60000000000002"/>
    <s v="0"/>
    <n v="0"/>
    <s v="43N05AA#ABB"/>
    <s v="Foxconn CZ"/>
    <s v="EMEA"/>
  </r>
  <r>
    <s v="FY24"/>
    <s v="Allen Chen"/>
    <m/>
    <m/>
    <m/>
    <m/>
    <n v="2021"/>
    <s v="MilkaB"/>
    <s v="Mouse"/>
    <s v="NA"/>
    <s v="Red"/>
    <s v="S China"/>
    <s v="OTHERS"/>
    <n v="4.47"/>
    <n v="4.51"/>
    <n v="4.51"/>
    <n v="4.51"/>
    <n v="4.51"/>
    <n v="4.51"/>
    <n v="4.51"/>
    <n v="4.51"/>
    <n v="4.51"/>
    <n v="4.51"/>
    <n v="4.51"/>
    <n v="4.51"/>
    <n v="4.51"/>
    <n v="4.51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5760"/>
    <n v="0"/>
    <n v="0"/>
    <n v="0"/>
    <n v="0"/>
    <n v="0"/>
    <s v="0"/>
    <n v="0"/>
    <s v="0"/>
    <n v="0"/>
    <s v="0"/>
    <n v="0"/>
    <s v="0"/>
    <n v="0"/>
    <n v="2880"/>
    <n v="201.60000000000002"/>
    <s v="0"/>
    <n v="0"/>
    <s v="0"/>
    <n v="0"/>
    <s v="43N05AA#ABM"/>
    <s v="Foxconn LH"/>
    <s v="LA"/>
  </r>
  <r>
    <s v="FY24"/>
    <s v="Allen Chen"/>
    <m/>
    <m/>
    <m/>
    <m/>
    <n v="2021"/>
    <s v="MilkaB"/>
    <s v="Mouse"/>
    <s v="NA"/>
    <s v="Red"/>
    <s v="S China"/>
    <s v="OTHERS"/>
    <n v="4.43"/>
    <n v="4.47"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43N05AA#UUF"/>
    <s v="Foxconn LH"/>
    <s v="APJ"/>
  </r>
  <r>
    <s v="FY24"/>
    <s v="Allen Chen"/>
    <m/>
    <m/>
    <m/>
    <m/>
    <n v="2023"/>
    <s v="MilkaB"/>
    <s v="Mouse"/>
    <s v="NA"/>
    <s v="White"/>
    <s v="S China"/>
    <s v="OTHERS"/>
    <n v="4.42"/>
    <n v="4.42"/>
    <n v="4.42"/>
    <n v="4.42"/>
    <n v="4.42"/>
    <n v="4.42"/>
    <n v="4.42"/>
    <n v="4.42"/>
    <n v="4.42"/>
    <n v="4.42"/>
    <n v="4.42"/>
    <n v="4.42"/>
    <n v="4.42"/>
    <n v="4.4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n v="2880"/>
    <n v="201.60000000000002"/>
    <n v="2880"/>
    <n v="201.60000000000002"/>
    <n v="2880"/>
    <n v="201.60000000000002"/>
    <s v="0"/>
    <n v="0"/>
    <s v="793F9AA#ABA"/>
    <s v="Foxconn LH"/>
    <s v="NA/LA"/>
  </r>
  <r>
    <s v="FY24"/>
    <s v="Allen Chen"/>
    <m/>
    <m/>
    <m/>
    <m/>
    <n v="2022"/>
    <s v="MilkaB"/>
    <s v="Mouse"/>
    <s v="NA"/>
    <s v="White"/>
    <s v="S China"/>
    <s v="OTHERS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4.3600000000000003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"/>
    <n v="0"/>
    <n v="0"/>
    <n v="0"/>
    <n v="2880"/>
    <n v="0"/>
    <n v="5760"/>
    <n v="0"/>
    <s v="0"/>
    <n v="0"/>
    <s v="0"/>
    <n v="0"/>
    <s v="0"/>
    <n v="0"/>
    <s v="0"/>
    <n v="0"/>
    <s v="0"/>
    <n v="0"/>
    <s v="0"/>
    <n v="0"/>
    <s v="793F9AA#ABB"/>
    <s v="Foxconn CZ"/>
    <s v="EMEA"/>
  </r>
  <r>
    <s v="FY24"/>
    <s v="Allen Chen"/>
    <m/>
    <m/>
    <m/>
    <m/>
    <n v="2023"/>
    <s v="MilkaB"/>
    <s v="Mouse"/>
    <s v="NA"/>
    <s v="White"/>
    <s v="S China"/>
    <s v="OTHERS"/>
    <n v="4.42"/>
    <n v="4.42"/>
    <n v="4.42"/>
    <n v="4.42"/>
    <n v="4.42"/>
    <n v="4.42"/>
    <n v="4.42"/>
    <n v="4.42"/>
    <n v="4.42"/>
    <n v="4.42"/>
    <n v="4.42"/>
    <n v="4.42"/>
    <n v="4.42"/>
    <n v="4.4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2880"/>
    <n v="0"/>
    <n v="0"/>
    <n v="0"/>
    <s v="0"/>
    <n v="0"/>
    <n v="0"/>
    <n v="0"/>
    <n v="0"/>
    <n v="0"/>
    <s v="0"/>
    <n v="0"/>
    <s v="0"/>
    <n v="0"/>
    <n v="2880"/>
    <n v="201.60000000000002"/>
    <s v="0"/>
    <n v="0"/>
    <s v="0"/>
    <n v="0"/>
    <n v="2880"/>
    <n v="201.60000000000002"/>
    <s v="0"/>
    <n v="0"/>
    <s v="793F9AA#UUF"/>
    <s v="Foxconn LH"/>
    <s v="APJ"/>
  </r>
  <r>
    <s v="FY24"/>
    <s v="Allen Chen"/>
    <m/>
    <m/>
    <m/>
    <m/>
    <n v="2023"/>
    <s v="MilkaB"/>
    <s v="Mouse"/>
    <s v="NA"/>
    <s v="Black"/>
    <s v="S China"/>
    <s v="OTHERS"/>
    <n v="4.26"/>
    <n v="4.26"/>
    <n v="4.26"/>
    <n v="4.26"/>
    <n v="4.26"/>
    <n v="4.26"/>
    <n v="4.26"/>
    <n v="4.26"/>
    <n v="4.26"/>
    <n v="4.26"/>
    <n v="4.26"/>
    <n v="4.26"/>
    <n v="4.26"/>
    <n v="4.2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n v="2880"/>
    <n v="0"/>
    <n v="2880"/>
    <n v="0"/>
    <n v="2880"/>
    <n v="201.60000000000002"/>
    <n v="6680"/>
    <n v="467.6"/>
    <s v="0"/>
    <n v="0"/>
    <n v="5760"/>
    <n v="403.20000000000005"/>
    <s v="0"/>
    <n v="0"/>
    <s v="81S67AA#ABB"/>
    <s v="Foxconn CZ"/>
    <s v="EMEA"/>
  </r>
  <r>
    <s v="FY24"/>
    <s v="Allen Chen"/>
    <m/>
    <m/>
    <m/>
    <m/>
    <n v="2023"/>
    <s v="MilkaB"/>
    <s v="Mouse"/>
    <s v="NA"/>
    <s v="Black"/>
    <s v="S China"/>
    <s v="OTHERS"/>
    <n v="4.32"/>
    <n v="4.32"/>
    <n v="4.32"/>
    <n v="4.32"/>
    <n v="4.32"/>
    <n v="4.32"/>
    <n v="4.32"/>
    <n v="4.32"/>
    <n v="4.32"/>
    <n v="4.32"/>
    <n v="4.32"/>
    <n v="4.32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n v="28800"/>
    <n v="0"/>
    <n v="5760"/>
    <n v="0"/>
    <n v="51840"/>
    <n v="0"/>
    <n v="5760"/>
    <n v="0"/>
    <s v="0"/>
    <n v="0"/>
    <n v="5760"/>
    <n v="403.20000000000005"/>
    <s v="0"/>
    <n v="0"/>
    <s v="0"/>
    <n v="0"/>
    <s v="0"/>
    <n v="0"/>
    <s v="0"/>
    <n v="0"/>
    <s v="81S67AA#UUF"/>
    <s v="Foxconn LH"/>
    <s v="APJ"/>
  </r>
  <r>
    <s v="FY24"/>
    <s v="Allen Chen"/>
    <m/>
    <m/>
    <m/>
    <m/>
    <n v="2023"/>
    <s v="MilkaB"/>
    <s v="Mouse"/>
    <s v="NA"/>
    <s v="Black"/>
    <s v="S China"/>
    <s v="OTHERS"/>
    <n v="4.32"/>
    <n v="4.32"/>
    <n v="4.32"/>
    <n v="4.32"/>
    <n v="4.32"/>
    <n v="4.32"/>
    <n v="4.32"/>
    <n v="4.32"/>
    <n v="4.32"/>
    <n v="4.32"/>
    <n v="4.32"/>
    <n v="4.32"/>
    <n v="4.32"/>
    <n v="4.3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n v="8640"/>
    <n v="604.80000000000007"/>
    <s v="0"/>
    <n v="0"/>
    <s v="0"/>
    <n v="0"/>
    <s v="0"/>
    <n v="0"/>
    <n v="2880"/>
    <n v="201.60000000000002"/>
    <s v="81S67UT#UUF"/>
    <s v="Foxconn LH"/>
    <s v="APJ"/>
  </r>
  <r>
    <s v="FY24"/>
    <s v="Allen Chen"/>
    <m/>
    <m/>
    <m/>
    <m/>
    <n v="2021"/>
    <s v="KentingPlus"/>
    <s v="Mouse"/>
    <s v="NA"/>
    <s v="Black"/>
    <s v="S China"/>
    <s v="OTHERS"/>
    <n v="4.29"/>
    <n v="4.43"/>
    <n v="4.43"/>
    <n v="4.43"/>
    <n v="4.43"/>
    <n v="4.43"/>
    <n v="4.43"/>
    <n v="4.43"/>
    <n v="4.43"/>
    <n v="4.43"/>
    <n v="4.43"/>
    <n v="4.43"/>
    <n v="4.43"/>
    <n v="4.4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4E407AA#ACJ"/>
    <s v="HP India"/>
    <s v="APJ"/>
  </r>
  <r>
    <s v="FY24"/>
    <s v="Allen Chen"/>
    <m/>
    <m/>
    <m/>
    <m/>
    <n v="2021"/>
    <s v="KentingPlus"/>
    <s v="Mouse"/>
    <s v="NA"/>
    <s v="Black"/>
    <s v="S China"/>
    <s v="OTHERS"/>
    <n v="4.49"/>
    <n v="4.49"/>
    <n v="4.49"/>
    <n v="4.49"/>
    <n v="4.49"/>
    <n v="4.49"/>
    <n v="4.49"/>
    <n v="4.49"/>
    <n v="4.49"/>
    <n v="4.49"/>
    <n v="4.49"/>
    <n v="4.49"/>
    <n v="4.49"/>
    <n v="4.49"/>
    <n v="0"/>
    <n v="0"/>
    <n v="0"/>
    <n v="0"/>
    <n v="0"/>
    <n v="0"/>
    <n v="0"/>
    <n v="0"/>
    <n v="0"/>
    <n v="0"/>
    <n v="0"/>
    <n v="0"/>
    <n v="0"/>
    <n v="8640"/>
    <n v="0"/>
    <n v="8640"/>
    <n v="0"/>
    <n v="11520"/>
    <n v="0"/>
    <n v="0"/>
    <n v="0"/>
    <n v="8640"/>
    <n v="0"/>
    <n v="2880"/>
    <n v="0"/>
    <n v="8640"/>
    <n v="0"/>
    <s v="0"/>
    <n v="0"/>
    <s v="0"/>
    <n v="0"/>
    <s v="0"/>
    <n v="0"/>
    <s v="0"/>
    <n v="0"/>
    <s v="0"/>
    <n v="0"/>
    <s v="4E407AA#UUF"/>
    <s v="Foxconn LH"/>
    <s v="APJ"/>
  </r>
  <r>
    <s v="FY24"/>
    <s v="Allen Chen"/>
    <m/>
    <m/>
    <m/>
    <m/>
    <n v="2021"/>
    <s v="KentingPlus"/>
    <s v="Mouse"/>
    <s v="NA"/>
    <s v="Black"/>
    <s v="S China"/>
    <s v="OTHERS"/>
    <n v="4.3899999999999997"/>
    <n v="4.51"/>
    <n v="4.51"/>
    <n v="4.51"/>
    <n v="4.51"/>
    <n v="4.51"/>
    <n v="4.51"/>
    <n v="4.51"/>
    <n v="4.51"/>
    <n v="4.51"/>
    <n v="4.51"/>
    <n v="4.51"/>
    <n v="4.51"/>
    <n v="4.51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5760"/>
    <n v="0"/>
    <n v="8640"/>
    <n v="0"/>
    <s v="0"/>
    <n v="0"/>
    <s v="0"/>
    <n v="0"/>
    <s v="0"/>
    <n v="0"/>
    <s v="0"/>
    <n v="0"/>
    <s v="0"/>
    <n v="0"/>
    <s v="0"/>
    <n v="0"/>
    <s v="4E407AA#ABM"/>
    <s v="Foxconn LH"/>
    <s v="LA"/>
  </r>
  <r>
    <s v="FY24"/>
    <s v="Allen Chen"/>
    <m/>
    <m/>
    <m/>
    <m/>
    <n v="2021"/>
    <s v="KentingPlus"/>
    <s v="Mouse"/>
    <s v="NA"/>
    <s v="Black"/>
    <s v="S China"/>
    <s v="OTHERS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4E407AA#ABL"/>
    <s v="Ryder Indy"/>
    <s v="NA/LA"/>
  </r>
  <r>
    <s v="FY24"/>
    <s v="Allen Chen"/>
    <m/>
    <m/>
    <m/>
    <m/>
    <n v="2021"/>
    <s v="KentingPlus"/>
    <s v="Mouse"/>
    <s v="NA"/>
    <s v="Black"/>
    <s v="S China"/>
    <s v="OTHERS"/>
    <m/>
    <m/>
    <n v="4.43"/>
    <n v="4.43"/>
    <n v="4.43"/>
    <n v="4.43"/>
    <n v="4.43"/>
    <n v="4.43"/>
    <n v="4.43"/>
    <n v="4.43"/>
    <n v="4.43"/>
    <n v="4.43"/>
    <n v="4.43"/>
    <n v="4.4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8080"/>
    <n v="0"/>
    <n v="5760"/>
    <n v="0"/>
    <n v="2880"/>
    <n v="0"/>
    <n v="8640"/>
    <n v="0"/>
    <n v="8640"/>
    <n v="0"/>
    <s v="4E407UT#AC3"/>
    <s v="Foxconn CZ"/>
    <s v="EMEA"/>
  </r>
  <r>
    <s v="FY24"/>
    <s v="Allen Chen"/>
    <m/>
    <m/>
    <m/>
    <m/>
    <n v="2021"/>
    <s v="KentingPlus"/>
    <s v="Mouse"/>
    <s v="NA"/>
    <s v="Black"/>
    <s v="S China"/>
    <s v="OTHERS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51"/>
    <n v="4.51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2880"/>
    <n v="0"/>
    <n v="2880"/>
    <n v="0"/>
    <n v="2880"/>
    <n v="0"/>
    <n v="2880"/>
    <n v="0"/>
    <n v="2880"/>
    <n v="0"/>
    <s v="4E407UT#ABM"/>
    <s v="Foxconn LH"/>
    <s v="LA"/>
  </r>
  <r>
    <s v="FY24"/>
    <s v="Allen Chen"/>
    <m/>
    <m/>
    <m/>
    <m/>
    <n v="2021"/>
    <s v="KentingPlus"/>
    <s v="Mouse"/>
    <s v="NA"/>
    <s v="Black"/>
    <s v="S China"/>
    <s v="OTHERS"/>
    <m/>
    <m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4.389999999999999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  <s v="4E407UT#ABL"/>
    <s v="Ryder Indy"/>
    <s v="NA"/>
  </r>
  <r>
    <s v="FY24"/>
    <s v="Allen Chen"/>
    <m/>
    <m/>
    <m/>
    <m/>
    <n v="2021"/>
    <s v="KentingPlus"/>
    <s v="Mouse"/>
    <s v="NA"/>
    <s v="Black"/>
    <s v="S China"/>
    <s v="OTHERS"/>
    <m/>
    <m/>
    <n v="4.49"/>
    <n v="4.49"/>
    <n v="4.49"/>
    <n v="4.49"/>
    <n v="4.49"/>
    <n v="4.49"/>
    <n v="4.49"/>
    <n v="4.49"/>
    <n v="4.49"/>
    <n v="4.49"/>
    <n v="4.49"/>
    <n v="4.4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n v="8640"/>
    <n v="0"/>
    <n v="8640"/>
    <n v="0"/>
    <n v="5760"/>
    <n v="0"/>
    <n v="5760"/>
    <n v="0"/>
    <n v="8640"/>
    <n v="0"/>
    <s v="4E407UT#UUF"/>
    <s v="Foxconn LH"/>
    <s v="APJ"/>
  </r>
  <r>
    <s v="FY24"/>
    <s v="Allen Chen"/>
    <m/>
    <m/>
    <m/>
    <m/>
    <n v="2021"/>
    <s v="KentingPlus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s v="0"/>
    <n v="0"/>
    <s v="0"/>
    <n v="0"/>
    <n v="2880"/>
    <n v="0"/>
    <s v="N61962-371"/>
    <s v="QUANTA"/>
    <s v="DIB"/>
  </r>
  <r>
    <s v="FY24"/>
    <s v="Allen Chen"/>
    <m/>
    <m/>
    <m/>
    <m/>
    <n v="2021"/>
    <s v="KentingPlus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61962-371"/>
    <s v="Inventec"/>
    <s v="DIB"/>
  </r>
  <r>
    <s v="FY24"/>
    <s v="Allen Chen"/>
    <m/>
    <m/>
    <m/>
    <m/>
    <n v="2021"/>
    <s v="KentingPlus"/>
    <s v="Mouse"/>
    <s v="NA"/>
    <s v="Black"/>
    <s v="S China"/>
    <s v="OTHERS"/>
    <m/>
    <m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n v="0"/>
    <n v="0"/>
    <n v="2880"/>
    <n v="0"/>
    <s v="0"/>
    <n v="0"/>
    <s v="0"/>
    <n v="0"/>
    <s v="N61962-371"/>
    <s v="Compal"/>
    <s v="DIB"/>
  </r>
  <r>
    <s v="FY24"/>
    <s v="Allen Chen"/>
    <m/>
    <m/>
    <m/>
    <m/>
    <n v="2021"/>
    <s v="KentingPlus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61962-001"/>
    <s v="QUANTA"/>
    <s v="DIB"/>
  </r>
  <r>
    <s v="FY24"/>
    <s v="Allen Chen"/>
    <m/>
    <m/>
    <m/>
    <m/>
    <n v="2021"/>
    <s v="KentingPlus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61962-001"/>
    <s v="Inventec"/>
    <s v="DIB"/>
  </r>
  <r>
    <s v="FY24"/>
    <s v="Allen Chen"/>
    <m/>
    <m/>
    <m/>
    <m/>
    <n v="2021"/>
    <s v="KentingPlus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0"/>
    <n v="0"/>
    <s v="0"/>
    <n v="0"/>
    <s v="0"/>
    <n v="0"/>
    <s v="0"/>
    <n v="0"/>
    <s v="0"/>
    <n v="0"/>
    <n v="1440"/>
    <n v="0"/>
    <s v="0"/>
    <n v="0"/>
    <n v="2880"/>
    <n v="0"/>
    <s v="N61962-A21"/>
    <s v="QUANTA"/>
    <s v="DIB"/>
  </r>
  <r>
    <s v="FY24"/>
    <s v="Allen Chen"/>
    <m/>
    <m/>
    <m/>
    <m/>
    <n v="2021"/>
    <s v="KentingPlus"/>
    <s v="Mouse"/>
    <s v="NA"/>
    <s v="Black"/>
    <s v="S China"/>
    <s v="OTHERS"/>
    <n v="4.63"/>
    <n v="4.63"/>
    <n v="4.63"/>
    <n v="4.63"/>
    <n v="4.63"/>
    <n v="4.63"/>
    <n v="4.63"/>
    <n v="4.63"/>
    <n v="4.63"/>
    <n v="4.63"/>
    <n v="4.63"/>
    <n v="4.63"/>
    <n v="4.63"/>
    <n v="4.63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2880"/>
    <n v="0"/>
    <s v="0"/>
    <n v="0"/>
    <s v="0"/>
    <n v="0"/>
    <s v="0"/>
    <n v="0"/>
    <s v="0"/>
    <n v="0"/>
    <s v="0"/>
    <n v="0"/>
    <s v="N61962-A21"/>
    <s v="Inventec"/>
    <s v="DIB"/>
  </r>
  <r>
    <s v="FY24"/>
    <s v="Allen Chen"/>
    <m/>
    <m/>
    <m/>
    <m/>
    <n v="2021"/>
    <s v="KentingPlus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m/>
    <n v="0"/>
    <s v="0"/>
    <n v="0"/>
    <n v="5760"/>
    <n v="0"/>
    <s v="AJ7C2AA#ABA"/>
    <s v="Foxconn LH"/>
    <s v="NA/LA"/>
  </r>
  <r>
    <s v="FY24"/>
    <s v="Allen Chen"/>
    <m/>
    <m/>
    <m/>
    <m/>
    <n v="2021"/>
    <s v="KentingPlus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n v="0"/>
    <n v="0"/>
    <n v="2880"/>
    <n v="0"/>
    <n v="20160"/>
    <n v="0"/>
    <s v="AJ7C2AA#ABB"/>
    <s v="Foxconn CZ"/>
    <s v="EMEA"/>
  </r>
  <r>
    <s v="FY24"/>
    <s v="Allen Chen"/>
    <m/>
    <m/>
    <m/>
    <m/>
    <n v="2021"/>
    <s v="KentingPlus"/>
    <s v="Mouse"/>
    <s v="NA"/>
    <s v="Black"/>
    <s v="S China"/>
    <s v="OTHERS"/>
    <m/>
    <m/>
    <n v="4.47"/>
    <n v="4.47"/>
    <n v="4.47"/>
    <n v="4.47"/>
    <n v="4.47"/>
    <n v="4.47"/>
    <n v="4.47"/>
    <n v="4.47"/>
    <n v="4.47"/>
    <n v="4.47"/>
    <n v="4.47"/>
    <n v="4.47"/>
    <n v="0"/>
    <n v="0"/>
    <n v="0"/>
    <n v="0"/>
    <n v="0"/>
    <n v="0"/>
    <n v="0"/>
    <n v="0"/>
    <n v="0"/>
    <n v="0"/>
    <n v="0"/>
    <n v="0"/>
    <n v="0"/>
    <n v="0"/>
    <n v="0"/>
    <n v="0"/>
    <m/>
    <s v="0"/>
    <n v="0"/>
    <n v="0"/>
    <n v="0"/>
    <n v="0"/>
    <n v="0"/>
    <s v="0"/>
    <n v="0"/>
    <s v="0"/>
    <n v="0"/>
    <s v="0"/>
    <n v="0"/>
    <s v="0"/>
    <n v="0"/>
    <m/>
    <n v="0"/>
    <s v="0"/>
    <n v="0"/>
    <n v="2880"/>
    <n v="0"/>
    <s v="AJ7C2AA#UUF"/>
    <s v="Foxconn LH"/>
    <s v="APJ"/>
  </r>
  <r>
    <s v="FY24"/>
    <s v="Simon Yang"/>
    <m/>
    <m/>
    <m/>
    <m/>
    <n v="2019"/>
    <s v="KingKong"/>
    <s v="Combo"/>
    <s v="NA"/>
    <s v="Black"/>
    <s v="S China"/>
    <s v="OTHERS"/>
    <n v="9.9600000000000009"/>
    <n v="10.23"/>
    <n v="10.23"/>
    <n v="10.23"/>
    <n v="10.23"/>
    <n v="10.23"/>
    <n v="10.23"/>
    <n v="10.23"/>
    <n v="10.23"/>
    <n v="10.23"/>
    <n v="10.23"/>
    <n v="10.23"/>
    <n v="10.23"/>
    <n v="10.23"/>
    <n v="0"/>
    <n v="0"/>
    <n v="0"/>
    <n v="0"/>
    <n v="0"/>
    <n v="0"/>
    <n v="0"/>
    <n v="0"/>
    <n v="0"/>
    <n v="0"/>
    <n v="0"/>
    <n v="0"/>
    <n v="0"/>
    <n v="10080"/>
    <n v="0"/>
    <n v="1280"/>
    <n v="0"/>
    <s v="0"/>
    <n v="0"/>
    <n v="0"/>
    <n v="0"/>
    <n v="0"/>
    <n v="0"/>
    <n v="12960"/>
    <n v="0"/>
    <n v="3200"/>
    <n v="0"/>
    <n v="7680"/>
    <n v="0"/>
    <n v="3840"/>
    <n v="0"/>
    <n v="1280"/>
    <n v="0"/>
    <n v="2560"/>
    <n v="0"/>
    <n v="2560"/>
    <n v="0"/>
    <s v="3ML04AA#UUF"/>
    <s v="Foxconn LH"/>
    <s v="APJ"/>
  </r>
  <r>
    <s v="FY24"/>
    <s v="Simon Yang"/>
    <m/>
    <m/>
    <m/>
    <m/>
    <n v="2019"/>
    <s v="KingKong"/>
    <s v="Combo"/>
    <s v="NA"/>
    <s v="Black"/>
    <s v="S China"/>
    <s v="OTHERS"/>
    <n v="9.9600000000000009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10.130000000000001"/>
    <n v="0"/>
    <n v="0"/>
    <n v="0"/>
    <n v="0"/>
    <n v="0"/>
    <n v="0"/>
    <n v="0"/>
    <n v="0"/>
    <n v="0"/>
    <n v="0"/>
    <n v="0"/>
    <n v="0"/>
    <n v="0"/>
    <n v="0"/>
    <n v="0"/>
    <n v="7200"/>
    <n v="0"/>
    <s v="0"/>
    <n v="0"/>
    <n v="0"/>
    <n v="0"/>
    <n v="7680"/>
    <n v="0"/>
    <s v="0"/>
    <n v="0"/>
    <s v="0"/>
    <n v="0"/>
    <n v="8960"/>
    <n v="0"/>
    <s v="0"/>
    <n v="0"/>
    <s v="0"/>
    <n v="0"/>
    <s v="0"/>
    <n v="0"/>
    <s v="0"/>
    <n v="0"/>
    <s v="3ML04AA#ABL"/>
    <s v="Ryder Indy"/>
    <s v="NA"/>
  </r>
  <r>
    <s v="FY24"/>
    <s v="Simon Yang"/>
    <m/>
    <m/>
    <m/>
    <m/>
    <n v="2019"/>
    <s v="KingKong"/>
    <s v="Combo"/>
    <s v="NA"/>
    <s v="Black"/>
    <s v="S China"/>
    <s v="OTHERS"/>
    <n v="9.9600000000000009"/>
    <n v="10.27"/>
    <n v="10.27"/>
    <n v="10.27"/>
    <n v="10.27"/>
    <n v="10.27"/>
    <n v="10.27"/>
    <n v="10.27"/>
    <n v="10.27"/>
    <n v="10.27"/>
    <n v="10.27"/>
    <n v="10.27"/>
    <n v="10.27"/>
    <n v="10.2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1280"/>
    <n v="0"/>
    <s v="0"/>
    <n v="0"/>
    <s v="0"/>
    <n v="0"/>
    <s v="0"/>
    <n v="0"/>
    <s v="0"/>
    <n v="0"/>
    <s v="0"/>
    <n v="0"/>
    <n v="6400"/>
    <n v="0"/>
    <s v="0"/>
    <n v="0"/>
    <s v="3ML04AA#ABM"/>
    <s v="Foxconn LH"/>
    <s v="LA"/>
  </r>
  <r>
    <s v="FY24"/>
    <s v="Simon Yang"/>
    <m/>
    <m/>
    <m/>
    <m/>
    <n v="2020"/>
    <s v="Capri"/>
    <s v="Combo"/>
    <s v="NA"/>
    <s v="Black"/>
    <s v="S China"/>
    <s v="OTHERS"/>
    <n v="5.77"/>
    <n v="5.66"/>
    <n v="5.66"/>
    <n v="5.66"/>
    <n v="5.66"/>
    <n v="5.66"/>
    <n v="5.66"/>
    <n v="5.66"/>
    <n v="5.66"/>
    <n v="5.66"/>
    <n v="5.66"/>
    <n v="5.66"/>
    <n v="5.66"/>
    <n v="5.66"/>
    <n v="0"/>
    <n v="0"/>
    <n v="0"/>
    <n v="0"/>
    <n v="0"/>
    <n v="0"/>
    <n v="0"/>
    <n v="0"/>
    <n v="0"/>
    <n v="0"/>
    <n v="0"/>
    <n v="0"/>
    <n v="0"/>
    <n v="2880"/>
    <n v="0"/>
    <n v="0"/>
    <n v="0"/>
    <s v="0"/>
    <n v="0"/>
    <n v="0"/>
    <n v="0"/>
    <n v="5760"/>
    <n v="0"/>
    <n v="4320"/>
    <n v="0"/>
    <s v="0"/>
    <n v="0"/>
    <n v="4320"/>
    <n v="0"/>
    <n v="4320"/>
    <n v="0"/>
    <n v="1440"/>
    <n v="0"/>
    <n v="4320"/>
    <n v="0"/>
    <n v="1440"/>
    <n v="0"/>
    <s v="9DF28AA#UUF"/>
    <s v="Foxconn LH"/>
    <s v="APJ"/>
  </r>
  <r>
    <s v="FY24"/>
    <s v="Simon Yang"/>
    <m/>
    <m/>
    <m/>
    <m/>
    <n v="2020"/>
    <s v="Capri"/>
    <s v="Combo"/>
    <s v="NA"/>
    <s v="Black"/>
    <s v="S China"/>
    <s v="OTHERS"/>
    <n v="6.07"/>
    <n v="5.86"/>
    <n v="5.86"/>
    <n v="5.86"/>
    <n v="5.86"/>
    <n v="5.86"/>
    <n v="5.86"/>
    <n v="5.86"/>
    <n v="5.86"/>
    <n v="5.86"/>
    <n v="5.86"/>
    <n v="5.86"/>
    <n v="5.86"/>
    <n v="5.86"/>
    <n v="0"/>
    <n v="0"/>
    <n v="0"/>
    <n v="0"/>
    <n v="0"/>
    <n v="0"/>
    <n v="0"/>
    <n v="0"/>
    <n v="0"/>
    <n v="0"/>
    <n v="0"/>
    <n v="0"/>
    <n v="0"/>
    <n v="4320"/>
    <n v="0"/>
    <n v="1440"/>
    <n v="0"/>
    <n v="1440"/>
    <n v="0"/>
    <n v="1440"/>
    <n v="0"/>
    <n v="3440"/>
    <n v="0"/>
    <n v="4440"/>
    <n v="0"/>
    <s v="0"/>
    <n v="0"/>
    <n v="1440"/>
    <n v="0"/>
    <s v="0"/>
    <n v="0"/>
    <s v="0"/>
    <n v="0"/>
    <n v="2880"/>
    <n v="0"/>
    <n v="1440"/>
    <n v="0"/>
    <s v="9DF28AA#AC3"/>
    <s v="Flextronics CZ"/>
    <s v="EMEA"/>
  </r>
  <r>
    <s v="FY24"/>
    <s v="Simon Yang"/>
    <m/>
    <m/>
    <m/>
    <m/>
    <n v="2020"/>
    <s v="Capri"/>
    <s v="Combo"/>
    <s v="NA"/>
    <s v="Black"/>
    <s v="S China"/>
    <s v="OTHERS"/>
    <n v="5.77"/>
    <n v="5.56"/>
    <n v="5.56"/>
    <n v="5.56"/>
    <n v="5.56"/>
    <n v="5.56"/>
    <n v="5.56"/>
    <n v="5.56"/>
    <n v="5.56"/>
    <n v="5.56"/>
    <n v="5.56"/>
    <n v="5.56"/>
    <n v="5.56"/>
    <n v="5.56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9DF28AA#ABL"/>
    <s v="Ryder Indy"/>
    <s v="NA"/>
  </r>
  <r>
    <s v="FY24"/>
    <s v="Simon Yang"/>
    <m/>
    <m/>
    <m/>
    <m/>
    <n v="2020"/>
    <s v="Brac"/>
    <s v="Combo"/>
    <s v="NA"/>
    <s v="Black"/>
    <s v="S China"/>
    <s v="OTHERS"/>
    <n v="9.0299999999999994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n v="12800"/>
    <n v="2304"/>
    <n v="8960"/>
    <n v="1612.8"/>
    <n v="3840"/>
    <n v="691.19999999999993"/>
    <n v="11520"/>
    <n v="2073.6"/>
    <s v="0"/>
    <n v="0"/>
    <s v="0"/>
    <n v="0"/>
    <s v="18H24AA#AC4"/>
    <s v="Foxconn LH"/>
    <s v="LA"/>
  </r>
  <r>
    <s v="FY24"/>
    <s v="Simon Yang"/>
    <m/>
    <m/>
    <m/>
    <m/>
    <n v="2020"/>
    <s v="Brac"/>
    <s v="Combo"/>
    <s v="NA"/>
    <s v="Black"/>
    <s v="S China"/>
    <s v="OTHERS"/>
    <n v="9.0299999999999994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8.8699999999999992"/>
    <n v="0.18"/>
    <n v="0.18"/>
    <n v="0.18"/>
    <n v="0.18"/>
    <n v="0.18"/>
    <n v="0.18"/>
    <n v="0.18"/>
    <n v="0.18"/>
    <n v="0.18"/>
    <n v="0.18"/>
    <n v="0.18"/>
    <n v="0.18"/>
    <n v="0.18"/>
    <n v="2560"/>
    <n v="460.79999999999995"/>
    <n v="2560"/>
    <n v="460.79999999999995"/>
    <n v="6400"/>
    <n v="1152"/>
    <n v="0"/>
    <n v="0"/>
    <n v="6400"/>
    <n v="1152"/>
    <s v="0"/>
    <n v="0"/>
    <n v="2560"/>
    <n v="460.79999999999995"/>
    <n v="5120"/>
    <n v="921.59999999999991"/>
    <s v="0"/>
    <n v="0"/>
    <n v="3840"/>
    <n v="691.19999999999993"/>
    <n v="2560"/>
    <n v="460.79999999999995"/>
    <s v="0"/>
    <n v="0"/>
    <s v="18H24AA#ABM"/>
    <s v="Foxconn LH"/>
    <s v="LA"/>
  </r>
  <r>
    <s v="FY24"/>
    <s v="Simon Yang"/>
    <m/>
    <m/>
    <m/>
    <m/>
    <n v="2020"/>
    <s v="Brac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n v="8.85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5120"/>
    <n v="921.59999999999991"/>
    <n v="16640"/>
    <n v="2995.2"/>
    <n v="3840"/>
    <n v="691.19999999999993"/>
    <n v="5120"/>
    <n v="921.59999999999991"/>
    <n v="7680"/>
    <n v="1382.3999999999999"/>
    <s v="0"/>
    <n v="0"/>
    <n v="5120"/>
    <n v="921.59999999999991"/>
    <n v="6400"/>
    <n v="1152"/>
    <n v="7680"/>
    <n v="1382.3999999999999"/>
    <n v="12800"/>
    <n v="2304"/>
    <n v="8960"/>
    <n v="1612.8"/>
    <s v="18H24AA#UUF"/>
    <s v="Foxconn LH"/>
    <s v="APJ"/>
  </r>
  <r>
    <s v="FY24"/>
    <s v="Simon Yang"/>
    <m/>
    <m/>
    <m/>
    <m/>
    <n v="2020"/>
    <s v="Brac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n v="8.85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18H24AA#AB1"/>
    <s v="Foxconn LH"/>
    <s v="APJ"/>
  </r>
  <r>
    <s v="FY24"/>
    <s v="Simon Yang"/>
    <m/>
    <m/>
    <m/>
    <m/>
    <n v="2020"/>
    <s v="Brac"/>
    <s v="Combo"/>
    <s v="NA"/>
    <s v="Black"/>
    <s v="S China"/>
    <s v="OTHERS"/>
    <n v="9.0299999999999994"/>
    <n v="8.85"/>
    <n v="8.85"/>
    <n v="8.85"/>
    <n v="8.85"/>
    <n v="8.85"/>
    <n v="8.85"/>
    <n v="8.85"/>
    <n v="8.85"/>
    <n v="8.85"/>
    <n v="8.85"/>
    <n v="8.85"/>
    <n v="8.85"/>
    <n v="8.85"/>
    <n v="0.18"/>
    <n v="0.18"/>
    <n v="0.18"/>
    <n v="0.18"/>
    <n v="0.18"/>
    <n v="0.18"/>
    <n v="0.18"/>
    <n v="0.18"/>
    <n v="0.18"/>
    <n v="0.18"/>
    <n v="0.18"/>
    <n v="0.18"/>
    <n v="0.18"/>
    <n v="0"/>
    <n v="0"/>
    <n v="8960"/>
    <n v="1612.8"/>
    <n v="21760"/>
    <n v="3916.7999999999997"/>
    <n v="0"/>
    <n v="0"/>
    <n v="16640"/>
    <n v="2995.2"/>
    <n v="15360"/>
    <n v="2764.7999999999997"/>
    <n v="25600"/>
    <n v="4608"/>
    <s v="0"/>
    <n v="0"/>
    <n v="11520"/>
    <n v="2073.6"/>
    <n v="23040"/>
    <n v="4147.2"/>
    <n v="34560"/>
    <n v="6220.8"/>
    <s v="0"/>
    <n v="0"/>
    <s v="18H24AA#ABA"/>
    <s v="Foxconn LH"/>
    <s v="NA"/>
  </r>
  <r>
    <s v="FY24"/>
    <s v="Simon Yang"/>
    <m/>
    <m/>
    <m/>
    <m/>
    <n v="2020"/>
    <s v="Brac"/>
    <s v="Combo"/>
    <s v="NA"/>
    <s v="Black"/>
    <s v="S China"/>
    <s v="OTHERS"/>
    <n v="9.1999999999999993"/>
    <n v="9"/>
    <n v="9"/>
    <n v="9"/>
    <n v="9"/>
    <n v="9"/>
    <n v="9"/>
    <n v="9"/>
    <n v="9"/>
    <n v="9"/>
    <n v="9"/>
    <n v="9"/>
    <n v="9"/>
    <n v="9"/>
    <n v="0.18"/>
    <n v="0.18"/>
    <n v="0.18"/>
    <n v="0.18"/>
    <n v="0.18"/>
    <n v="0.18"/>
    <n v="0.18"/>
    <n v="0.18"/>
    <n v="0.18"/>
    <n v="0.18"/>
    <n v="0.18"/>
    <n v="0.18"/>
    <n v="0.18"/>
    <n v="10240"/>
    <n v="1843.1999999999998"/>
    <n v="10240"/>
    <n v="1843.1999999999998"/>
    <n v="17920"/>
    <n v="3225.6"/>
    <n v="0"/>
    <n v="0"/>
    <n v="5120"/>
    <n v="921.59999999999991"/>
    <n v="8960"/>
    <n v="1612.8"/>
    <n v="6400"/>
    <n v="1152"/>
    <n v="3840"/>
    <n v="691.19999999999993"/>
    <s v="0"/>
    <n v="0"/>
    <s v="0"/>
    <n v="0"/>
    <s v="0"/>
    <n v="0"/>
    <s v="0"/>
    <n v="0"/>
    <s v="1Y4D0AA#UUF"/>
    <s v="Foxconn LH"/>
    <s v="APJ"/>
  </r>
  <r>
    <s v="FY24"/>
    <s v="Simon Yang"/>
    <m/>
    <m/>
    <m/>
    <m/>
    <n v="2020"/>
    <s v="Brac"/>
    <s v="Combo"/>
    <s v="NA"/>
    <s v="Black"/>
    <s v="S China"/>
    <s v="OTHERS"/>
    <n v="9.1999999999999993"/>
    <n v="9"/>
    <n v="9"/>
    <n v="9"/>
    <n v="9"/>
    <n v="9"/>
    <n v="9"/>
    <n v="9"/>
    <n v="9"/>
    <n v="9"/>
    <n v="9"/>
    <n v="9"/>
    <n v="9"/>
    <n v="9"/>
    <n v="0.18"/>
    <n v="0.18"/>
    <n v="0.18"/>
    <n v="0.18"/>
    <n v="0.18"/>
    <n v="0.18"/>
    <n v="0.18"/>
    <n v="0.18"/>
    <n v="0.18"/>
    <n v="0.18"/>
    <n v="0.18"/>
    <n v="0.18"/>
    <n v="0.18"/>
    <n v="1280"/>
    <n v="230.39999999999998"/>
    <n v="0"/>
    <n v="0"/>
    <n v="2560"/>
    <n v="460.79999999999995"/>
    <n v="0"/>
    <n v="0"/>
    <n v="0"/>
    <n v="0"/>
    <s v="0"/>
    <n v="0"/>
    <n v="1280"/>
    <n v="230.39999999999998"/>
    <s v="0"/>
    <n v="0"/>
    <s v="0"/>
    <n v="0"/>
    <s v="0"/>
    <n v="0"/>
    <s v="0"/>
    <n v="0"/>
    <s v="0"/>
    <n v="0"/>
    <s v="1Y4D0AA#AB1"/>
    <s v="Foxconn LH"/>
    <s v="APJ"/>
  </r>
  <r>
    <s v="FY24"/>
    <s v="Simon Yang"/>
    <m/>
    <m/>
    <m/>
    <m/>
    <n v="2020"/>
    <s v="Brac"/>
    <s v="Combo"/>
    <s v="NA"/>
    <s v="Black"/>
    <s v="S China"/>
    <s v="OTHERS"/>
    <n v="9.1999999999999993"/>
    <n v="8.86"/>
    <n v="8.86"/>
    <n v="8.86"/>
    <n v="8.86"/>
    <n v="8.86"/>
    <n v="8.86"/>
    <n v="8.86"/>
    <n v="8.86"/>
    <n v="8.86"/>
    <n v="8.86"/>
    <n v="8.86"/>
    <n v="8.86"/>
    <n v="8.86"/>
    <n v="0.18"/>
    <n v="0.18"/>
    <n v="0.18"/>
    <n v="0.18"/>
    <n v="0.18"/>
    <n v="0.18"/>
    <n v="0.18"/>
    <n v="0.18"/>
    <n v="0.18"/>
    <n v="0.18"/>
    <n v="0.18"/>
    <n v="0.18"/>
    <n v="0.18"/>
    <n v="9280"/>
    <n v="1670.3999999999999"/>
    <n v="4480"/>
    <n v="806.4"/>
    <s v="0"/>
    <n v="0"/>
    <n v="5760"/>
    <n v="1036.8"/>
    <n v="7680"/>
    <n v="1382.3999999999999"/>
    <n v="38080"/>
    <n v="6854.4"/>
    <n v="22080"/>
    <n v="3974.3999999999996"/>
    <s v="0"/>
    <n v="0"/>
    <s v="0"/>
    <n v="0"/>
    <s v="0"/>
    <n v="0"/>
    <s v="0"/>
    <n v="0"/>
    <s v="0"/>
    <n v="0"/>
    <s v="1Y4D0AA#ABA"/>
    <s v="Foxconn Indy"/>
    <s v="NA"/>
  </r>
  <r>
    <s v="FY24"/>
    <s v="Simon Yang"/>
    <m/>
    <m/>
    <m/>
    <m/>
    <n v="2020"/>
    <s v="Brac"/>
    <s v="Combo"/>
    <s v="NA"/>
    <s v="Black"/>
    <s v="S China"/>
    <s v="OTHERS"/>
    <n v="9.1999999999999993"/>
    <n v="9.02"/>
    <n v="9.02"/>
    <n v="9.02"/>
    <n v="9.02"/>
    <n v="9.02"/>
    <n v="9.02"/>
    <n v="9.02"/>
    <n v="9.02"/>
    <n v="9.02"/>
    <n v="9.02"/>
    <n v="9.02"/>
    <n v="9.02"/>
    <n v="9.02"/>
    <n v="0.18"/>
    <n v="0.18"/>
    <n v="0.18"/>
    <n v="0.18"/>
    <n v="0.18"/>
    <n v="0.18"/>
    <n v="0.18"/>
    <n v="0.18"/>
    <n v="0.18"/>
    <n v="0.18"/>
    <n v="0.18"/>
    <n v="0.18"/>
    <n v="0.18"/>
    <n v="0"/>
    <n v="0"/>
    <n v="6400"/>
    <n v="1152"/>
    <n v="5120"/>
    <n v="921.59999999999991"/>
    <n v="0"/>
    <n v="0"/>
    <n v="6400"/>
    <n v="1152"/>
    <n v="8960"/>
    <n v="1612.8"/>
    <s v="0"/>
    <n v="0"/>
    <s v="0"/>
    <n v="0"/>
    <s v="0"/>
    <n v="0"/>
    <s v="0"/>
    <n v="0"/>
    <s v="0"/>
    <n v="0"/>
    <s v="0"/>
    <n v="0"/>
    <s v="1Y4D0AA#ABM"/>
    <s v="Foxconn LH"/>
    <s v="LA"/>
  </r>
  <r>
    <s v="FY24"/>
    <s v="Simon Yang"/>
    <m/>
    <m/>
    <m/>
    <m/>
    <n v="2020"/>
    <s v="Brac"/>
    <s v="Combo"/>
    <s v="NA"/>
    <s v="Black"/>
    <s v="S China"/>
    <s v="OTHERS"/>
    <n v="9.1999999999999993"/>
    <n v="9.02"/>
    <n v="9.02"/>
    <n v="9.02"/>
    <n v="9.02"/>
    <n v="9.02"/>
    <n v="9.02"/>
    <n v="9.02"/>
    <n v="9.02"/>
    <n v="9.02"/>
    <n v="9.02"/>
    <n v="9.02"/>
    <n v="9.02"/>
    <n v="9.02"/>
    <n v="0.18"/>
    <n v="0.18"/>
    <n v="0.18"/>
    <n v="0.18"/>
    <n v="0.18"/>
    <n v="0.18"/>
    <n v="0.18"/>
    <n v="0.18"/>
    <n v="0.18"/>
    <n v="0.18"/>
    <n v="0.18"/>
    <n v="0.18"/>
    <n v="0.18"/>
    <n v="0"/>
    <n v="0"/>
    <n v="1280"/>
    <n v="230.39999999999998"/>
    <n v="1280"/>
    <n v="230.39999999999998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1Y4D0AA#AC4"/>
    <s v="Foxconn LH"/>
    <s v="LA"/>
  </r>
  <r>
    <s v="FY24"/>
    <s v="Simon Yang"/>
    <m/>
    <m/>
    <m/>
    <m/>
    <n v="2020"/>
    <s v="Brac"/>
    <s v="Combo"/>
    <s v="NA"/>
    <s v="Black"/>
    <s v="S China"/>
    <s v="OTHERS"/>
    <n v="9.1999999999999993"/>
    <n v="8.84"/>
    <n v="8.84"/>
    <n v="8.84"/>
    <n v="8.84"/>
    <n v="8.84"/>
    <n v="8.84"/>
    <n v="8.84"/>
    <n v="8.84"/>
    <n v="8.84"/>
    <n v="8.84"/>
    <n v="8.84"/>
    <n v="8.84"/>
    <n v="8.84"/>
    <n v="0.18"/>
    <n v="0.18"/>
    <n v="0.18"/>
    <n v="0.18"/>
    <n v="0.18"/>
    <n v="0.18"/>
    <n v="0.18"/>
    <n v="0.18"/>
    <n v="0.18"/>
    <n v="0.18"/>
    <n v="0.18"/>
    <n v="0.18"/>
    <n v="0.18"/>
    <n v="0"/>
    <n v="0"/>
    <n v="0"/>
    <n v="0"/>
    <s v="0"/>
    <n v="0"/>
    <n v="0"/>
    <n v="0"/>
    <n v="1280"/>
    <n v="230.39999999999998"/>
    <s v="0"/>
    <n v="0"/>
    <s v="0"/>
    <n v="0"/>
    <s v="0"/>
    <n v="0"/>
    <s v="0"/>
    <n v="0"/>
    <s v="0"/>
    <n v="0"/>
    <s v="0"/>
    <n v="0"/>
    <s v="0"/>
    <n v="0"/>
    <s v="1Y4D0AA#ABC"/>
    <s v="Foxconn Indy"/>
    <s v="NA"/>
  </r>
  <r>
    <s v="FY24"/>
    <s v="Simon Yang"/>
    <m/>
    <m/>
    <m/>
    <m/>
    <n v="2020"/>
    <s v="Brac"/>
    <s v="Combo"/>
    <s v="NA"/>
    <s v="Black"/>
    <s v="S China"/>
    <s v="OTHERS"/>
    <m/>
    <m/>
    <n v="8.86"/>
    <n v="8.86"/>
    <n v="8.86"/>
    <n v="8.86"/>
    <n v="8.86"/>
    <n v="8.86"/>
    <n v="8.86"/>
    <n v="8.86"/>
    <n v="8.86"/>
    <n v="8.86"/>
    <n v="8.86"/>
    <n v="8.86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6680"/>
    <n v="1202.3999999999999"/>
    <n v="26240"/>
    <n v="4723.2"/>
    <n v="6400"/>
    <n v="1152"/>
    <n v="13440"/>
    <n v="2419.1999999999998"/>
    <n v="4980"/>
    <n v="896.4"/>
    <s v="1Y4D0UT#ABA"/>
    <s v="Foxconn Indy"/>
    <s v="NA"/>
  </r>
  <r>
    <s v="FY24"/>
    <s v="Simon Yang"/>
    <m/>
    <m/>
    <m/>
    <m/>
    <n v="2020"/>
    <s v="Brac"/>
    <s v="Combo"/>
    <s v="NA"/>
    <s v="Black"/>
    <s v="S China"/>
    <s v="OTHERS"/>
    <m/>
    <m/>
    <n v="8.84"/>
    <n v="8.84"/>
    <n v="8.84"/>
    <n v="8.84"/>
    <n v="8.84"/>
    <n v="8.84"/>
    <n v="8.84"/>
    <n v="8.84"/>
    <n v="8.84"/>
    <n v="8.84"/>
    <n v="8.84"/>
    <n v="8.84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50"/>
    <n v="27"/>
    <n v="1130"/>
    <n v="203.4"/>
    <s v="0"/>
    <n v="0"/>
    <s v="0"/>
    <n v="0"/>
    <s v="0"/>
    <n v="0"/>
    <s v="1Y4D0UT#ABC"/>
    <s v="Foxconn Indy"/>
    <s v="NA"/>
  </r>
  <r>
    <s v="FY24"/>
    <s v="Simon Yang"/>
    <m/>
    <m/>
    <m/>
    <m/>
    <n v="2020"/>
    <s v="Brac"/>
    <s v="Combo"/>
    <s v="NA"/>
    <s v="Black"/>
    <s v="S China"/>
    <s v="OTHERS"/>
    <m/>
    <m/>
    <n v="9.02"/>
    <n v="9.02"/>
    <n v="9.02"/>
    <n v="9.02"/>
    <n v="9.02"/>
    <n v="9.02"/>
    <n v="9.02"/>
    <n v="9.02"/>
    <n v="9.02"/>
    <n v="9.02"/>
    <n v="9.02"/>
    <n v="9.02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6400"/>
    <n v="1152"/>
    <n v="3840"/>
    <n v="691.19999999999993"/>
    <n v="5120"/>
    <n v="921.59999999999991"/>
    <n v="8960"/>
    <n v="1612.8"/>
    <s v="0"/>
    <n v="0"/>
    <s v="1Y4D0UT#ABM"/>
    <s v="Foxconn LH"/>
    <s v="LA"/>
  </r>
  <r>
    <s v="FY24"/>
    <s v="Simon Yang"/>
    <m/>
    <m/>
    <m/>
    <m/>
    <n v="2020"/>
    <s v="Brac"/>
    <s v="Combo"/>
    <s v="NA"/>
    <s v="Black"/>
    <s v="S China"/>
    <s v="OTHERS"/>
    <m/>
    <m/>
    <n v="9.16"/>
    <n v="9.16"/>
    <n v="9.16"/>
    <n v="9.16"/>
    <n v="9.16"/>
    <n v="9.16"/>
    <n v="9.16"/>
    <n v="9.16"/>
    <n v="9.16"/>
    <n v="9.16"/>
    <n v="9.16"/>
    <n v="9.16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4000"/>
    <n v="2520"/>
    <n v="8200"/>
    <n v="1476"/>
    <n v="25800"/>
    <n v="4644"/>
    <n v="39000"/>
    <n v="7020"/>
    <n v="18000"/>
    <n v="3240"/>
    <s v="1Y4D0UT#AC3"/>
    <s v="Flextronics CZ"/>
    <s v="EMEA"/>
  </r>
  <r>
    <s v="FY24"/>
    <s v="Simon Yang"/>
    <m/>
    <m/>
    <m/>
    <m/>
    <n v="2020"/>
    <s v="Brac"/>
    <s v="Combo"/>
    <s v="NA"/>
    <s v="Black"/>
    <s v="S China"/>
    <s v="OTHERS"/>
    <m/>
    <m/>
    <n v="9"/>
    <n v="9"/>
    <n v="9"/>
    <n v="9"/>
    <n v="9"/>
    <n v="9"/>
    <n v="9"/>
    <n v="9"/>
    <n v="9"/>
    <n v="9"/>
    <n v="9"/>
    <n v="9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2560"/>
    <n v="460.79999999999995"/>
    <n v="8960"/>
    <n v="1612.8"/>
    <n v="5120"/>
    <n v="921.59999999999991"/>
    <n v="5120"/>
    <n v="921.59999999999991"/>
    <n v="2560"/>
    <n v="460.79999999999995"/>
    <s v="1Y4D0UT#UUF"/>
    <s v="Foxconn LH"/>
    <s v="APJ"/>
  </r>
  <r>
    <s v="FY24"/>
    <s v="Simon Yang"/>
    <m/>
    <m/>
    <m/>
    <m/>
    <n v="2020"/>
    <s v="Brac"/>
    <s v="Combo"/>
    <s v="NA"/>
    <s v="Black"/>
    <s v="S China"/>
    <s v="OTHERS"/>
    <m/>
    <m/>
    <n v="9.02"/>
    <n v="9.02"/>
    <n v="9.02"/>
    <n v="9.02"/>
    <n v="9.02"/>
    <n v="9.02"/>
    <n v="9.02"/>
    <n v="9.02"/>
    <n v="9.02"/>
    <n v="9.02"/>
    <n v="9.02"/>
    <n v="9.02"/>
    <m/>
    <m/>
    <m/>
    <m/>
    <m/>
    <m/>
    <m/>
    <m/>
    <n v="0.18"/>
    <n v="0.18"/>
    <n v="0.18"/>
    <n v="0.18"/>
    <n v="0.18"/>
    <n v="0"/>
    <n v="0"/>
    <n v="0"/>
    <n v="0"/>
    <s v="0"/>
    <n v="0"/>
    <n v="0"/>
    <n v="0"/>
    <n v="0"/>
    <n v="0"/>
    <s v="0"/>
    <n v="0"/>
    <s v="0"/>
    <n v="0"/>
    <n v="1280"/>
    <n v="230.39999999999998"/>
    <s v="0"/>
    <n v="0"/>
    <s v="0"/>
    <n v="0"/>
    <n v="1280"/>
    <n v="230.39999999999998"/>
    <n v="2560"/>
    <n v="460.79999999999995"/>
    <s v="1Y4D0UT#AC4"/>
    <s v="Foxconn LH"/>
    <s v="LA"/>
  </r>
  <r>
    <s v="FY24"/>
    <s v="Simon Yang"/>
    <m/>
    <m/>
    <m/>
    <m/>
    <n v="2020"/>
    <s v="BracWhiteComb"/>
    <s v="Combo"/>
    <s v="NA"/>
    <s v="White"/>
    <s v="S China"/>
    <s v="OTHERS"/>
    <n v="10.99"/>
    <n v="10.77"/>
    <n v="10.77"/>
    <n v="10.77"/>
    <n v="10.77"/>
    <n v="10.77"/>
    <n v="10.77"/>
    <n v="10.77"/>
    <n v="10.77"/>
    <n v="10.77"/>
    <n v="10.77"/>
    <n v="10.77"/>
    <n v="10.77"/>
    <n v="10.77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2880"/>
    <n v="604.79999999999995"/>
    <s v="0"/>
    <n v="0"/>
    <n v="2880"/>
    <n v="604.79999999999995"/>
    <s v="0"/>
    <n v="0"/>
    <s v="0"/>
    <n v="0"/>
    <s v="0"/>
    <n v="0"/>
    <n v="2880"/>
    <n v="604.79999999999995"/>
    <s v="0"/>
    <n v="0"/>
    <s v="3L1F0AA#ABM"/>
    <s v="Foxconn LH"/>
    <s v="LA"/>
  </r>
  <r>
    <s v="FY24"/>
    <s v="Simon Yang"/>
    <m/>
    <m/>
    <m/>
    <m/>
    <n v="2020"/>
    <s v="BracWhiteComb"/>
    <s v="Combo"/>
    <s v="NA"/>
    <s v="White"/>
    <s v="S China"/>
    <s v="OTHERS"/>
    <n v="10.99"/>
    <n v="10.73"/>
    <n v="10.73"/>
    <n v="10.73"/>
    <n v="10.73"/>
    <n v="10.73"/>
    <n v="10.73"/>
    <n v="10.73"/>
    <n v="10.73"/>
    <n v="10.73"/>
    <n v="10.73"/>
    <n v="10.73"/>
    <n v="10.73"/>
    <n v="10.73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2880"/>
    <n v="604.79999999999995"/>
    <s v="0"/>
    <n v="0"/>
    <s v="0"/>
    <n v="0"/>
    <s v="0"/>
    <n v="0"/>
    <s v="0"/>
    <n v="0"/>
    <n v="2880"/>
    <n v="604.79999999999995"/>
    <n v="2880"/>
    <n v="604.79999999999995"/>
    <s v="3L1F0AA#UUF"/>
    <s v="Foxconn LH"/>
    <s v="APJ"/>
  </r>
  <r>
    <s v="FY24"/>
    <s v="Simon Yang"/>
    <m/>
    <m/>
    <m/>
    <m/>
    <n v="2021"/>
    <s v="BracWLKB"/>
    <s v="NBL KB"/>
    <s v="NA"/>
    <s v="Black"/>
    <s v="S China"/>
    <s v="OTHERS"/>
    <n v="7.53"/>
    <n v="7.48"/>
    <n v="7.48"/>
    <n v="7.48"/>
    <n v="7.48"/>
    <n v="7.48"/>
    <n v="7.48"/>
    <n v="7.48"/>
    <n v="7.48"/>
    <n v="7.48"/>
    <n v="7.48"/>
    <n v="7.48"/>
    <n v="7.48"/>
    <n v="7.48"/>
    <n v="0.15"/>
    <n v="0.15"/>
    <n v="0.15"/>
    <n v="0.15"/>
    <n v="0.15"/>
    <n v="0.15"/>
    <n v="0.15"/>
    <n v="0.15"/>
    <n v="0.15"/>
    <n v="0.15"/>
    <n v="0.15"/>
    <n v="0.15"/>
    <n v="0.1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3L1E7AA#AC4"/>
    <s v="Foxconn LH"/>
    <s v="LA"/>
  </r>
  <r>
    <s v="FY24"/>
    <s v="Simon Yang"/>
    <m/>
    <m/>
    <m/>
    <m/>
    <n v="2021"/>
    <s v="BracWLKB"/>
    <s v="NBL KB"/>
    <s v="NA"/>
    <s v="Black"/>
    <s v="S China"/>
    <s v="OTHERS"/>
    <n v="7.53"/>
    <n v="7.46"/>
    <n v="7.46"/>
    <n v="7.46"/>
    <n v="7.46"/>
    <n v="7.46"/>
    <n v="7.46"/>
    <n v="7.46"/>
    <n v="7.46"/>
    <n v="7.46"/>
    <n v="7.46"/>
    <n v="7.46"/>
    <n v="7.46"/>
    <n v="7.46"/>
    <n v="0.15"/>
    <n v="0.15"/>
    <n v="0.15"/>
    <n v="0.15"/>
    <n v="0.15"/>
    <n v="0.15"/>
    <n v="0.15"/>
    <n v="0.15"/>
    <n v="0.15"/>
    <n v="0.15"/>
    <n v="0.15"/>
    <n v="0.15"/>
    <n v="0.15"/>
    <n v="0"/>
    <n v="0"/>
    <n v="0"/>
    <n v="0"/>
    <s v="0"/>
    <n v="0"/>
    <n v="0"/>
    <n v="0"/>
    <n v="4800"/>
    <n v="720"/>
    <s v="0"/>
    <n v="0"/>
    <s v="0"/>
    <n v="0"/>
    <s v="0"/>
    <n v="0"/>
    <s v="0"/>
    <n v="0"/>
    <s v="0"/>
    <n v="0"/>
    <n v="2400"/>
    <n v="360"/>
    <n v="1200"/>
    <n v="180"/>
    <s v="3L1E7AA#ABM"/>
    <s v="Foxconn LH"/>
    <s v="LA"/>
  </r>
  <r>
    <s v="FY24"/>
    <s v="Simon Yang"/>
    <m/>
    <m/>
    <m/>
    <m/>
    <n v="2021"/>
    <s v="BracWLKB"/>
    <s v="NBL KB"/>
    <s v="NA"/>
    <s v="Black"/>
    <s v="S China"/>
    <s v="OTHERS"/>
    <n v="7.53"/>
    <n v="7.4"/>
    <n v="7.4"/>
    <n v="7.4"/>
    <n v="7.4"/>
    <n v="7.4"/>
    <n v="7.4"/>
    <n v="7.4"/>
    <n v="7.4"/>
    <n v="7.4"/>
    <n v="7.4"/>
    <n v="7.4"/>
    <n v="7.4"/>
    <n v="7.4"/>
    <n v="0.15"/>
    <n v="0.15"/>
    <n v="0.15"/>
    <n v="0.15"/>
    <n v="0.15"/>
    <n v="0.15"/>
    <n v="0.15"/>
    <n v="0.15"/>
    <n v="0.15"/>
    <n v="0.15"/>
    <n v="0.15"/>
    <n v="0.15"/>
    <n v="0.15"/>
    <n v="1200"/>
    <n v="180"/>
    <n v="0"/>
    <n v="0"/>
    <s v="0"/>
    <n v="0"/>
    <n v="0"/>
    <n v="0"/>
    <n v="2400"/>
    <n v="360"/>
    <n v="1200"/>
    <n v="180"/>
    <s v="0"/>
    <n v="0"/>
    <s v="0"/>
    <n v="0"/>
    <n v="1200"/>
    <n v="180"/>
    <s v="0"/>
    <n v="0"/>
    <s v="0"/>
    <n v="0"/>
    <s v="0"/>
    <n v="0"/>
    <s v="3L1E7AA#UUF"/>
    <s v="Foxconn LH"/>
    <s v="APJ"/>
  </r>
  <r>
    <s v="FY24"/>
    <s v="Simon Yang"/>
    <m/>
    <m/>
    <m/>
    <m/>
    <n v="2021"/>
    <s v="BracWLKB"/>
    <s v="NBL KB"/>
    <s v="NA"/>
    <s v="Black"/>
    <s v="S China"/>
    <s v="OTHERS"/>
    <n v="7.53"/>
    <n v="7.42"/>
    <n v="7.42"/>
    <n v="7.42"/>
    <n v="7.42"/>
    <n v="7.42"/>
    <n v="7.42"/>
    <n v="7.42"/>
    <n v="7.42"/>
    <n v="7.42"/>
    <n v="7.42"/>
    <n v="7.42"/>
    <n v="7.42"/>
    <n v="7.42"/>
    <n v="0.15"/>
    <n v="0.15"/>
    <n v="0.15"/>
    <n v="0.15"/>
    <n v="0.15"/>
    <n v="0.15"/>
    <n v="0.15"/>
    <n v="0.15"/>
    <n v="0.15"/>
    <n v="0.15"/>
    <n v="0.15"/>
    <n v="0.15"/>
    <n v="0.15"/>
    <n v="8400"/>
    <n v="1260"/>
    <n v="9600"/>
    <n v="1440"/>
    <n v="6000"/>
    <n v="900"/>
    <n v="0"/>
    <n v="0"/>
    <n v="15600"/>
    <n v="2340"/>
    <n v="33000"/>
    <n v="4950"/>
    <n v="28200"/>
    <n v="4230"/>
    <n v="13200"/>
    <n v="1980"/>
    <n v="3600"/>
    <n v="540"/>
    <n v="7200"/>
    <n v="1080"/>
    <n v="25200"/>
    <n v="3780"/>
    <n v="21600"/>
    <n v="3240"/>
    <s v="3L1E7AA#ABA"/>
    <s v="Foxconn LH"/>
    <s v="NA"/>
  </r>
  <r>
    <s v="FY24"/>
    <s v="Simon Yang"/>
    <m/>
    <m/>
    <m/>
    <m/>
    <n v="2021"/>
    <s v="BracWLKB"/>
    <s v="NBL KB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n v="7.92"/>
    <n v="7.92"/>
    <n v="7.92"/>
    <n v="0.15"/>
    <n v="0.15"/>
    <n v="0.15"/>
    <n v="0.15"/>
    <n v="0.15"/>
    <n v="0.15"/>
    <n v="0.15"/>
    <n v="0.15"/>
    <n v="0.15"/>
    <n v="0.15"/>
    <n v="0.15"/>
    <n v="0.15"/>
    <n v="0.15"/>
    <n v="0"/>
    <n v="0"/>
    <n v="1200"/>
    <n v="180"/>
    <s v="0"/>
    <n v="0"/>
    <n v="0"/>
    <n v="0"/>
    <n v="1200"/>
    <n v="180"/>
    <s v="0"/>
    <n v="0"/>
    <s v="0"/>
    <n v="0"/>
    <s v="0"/>
    <n v="0"/>
    <s v="0"/>
    <n v="0"/>
    <s v="0"/>
    <n v="0"/>
    <s v="0"/>
    <n v="0"/>
    <n v="1200"/>
    <n v="180"/>
    <s v="3L1E7AA#ABJ"/>
    <s v="Foxconn LH"/>
    <s v="APJ"/>
  </r>
  <r>
    <s v="FY24"/>
    <s v="Simon Yang"/>
    <m/>
    <m/>
    <m/>
    <m/>
    <n v="2020"/>
    <s v="Elephanta"/>
    <s v="Combo"/>
    <s v="NA"/>
    <s v="Black"/>
    <s v="S China"/>
    <s v="OTHERS"/>
    <n v="4.99"/>
    <n v="4.99"/>
    <n v="4.99"/>
    <n v="4.99"/>
    <n v="4.99"/>
    <n v="4.99"/>
    <n v="4.99"/>
    <n v="4.99"/>
    <n v="4.99"/>
    <n v="4.99"/>
    <n v="4.99"/>
    <n v="4.99"/>
    <n v="4.99"/>
    <n v="4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n v="10400"/>
    <n v="0"/>
    <n v="5200"/>
    <n v="0"/>
    <s v="0"/>
    <n v="0"/>
    <n v="5200"/>
    <n v="0"/>
    <s v="0"/>
    <n v="0"/>
    <n v="5200"/>
    <n v="0"/>
    <s v="240J7AA#UUF"/>
    <s v="Foxconn LH"/>
    <s v="APJ"/>
  </r>
  <r>
    <s v="FY24"/>
    <s v="Simon Yang"/>
    <m/>
    <m/>
    <m/>
    <m/>
    <n v="2020"/>
    <s v="Elephanta"/>
    <s v="Combo"/>
    <s v="NA"/>
    <s v="Black"/>
    <s v="S China"/>
    <s v="OTHERS"/>
    <n v="4.93"/>
    <n v="4.93"/>
    <n v="4.93"/>
    <n v="4.93"/>
    <n v="4.93"/>
    <n v="4.93"/>
    <n v="4.93"/>
    <n v="4.93"/>
    <n v="4.93"/>
    <n v="4.93"/>
    <n v="4.93"/>
    <n v="4.93"/>
    <n v="4.93"/>
    <n v="4.93"/>
    <n v="0"/>
    <n v="0"/>
    <n v="0"/>
    <n v="0"/>
    <n v="0"/>
    <n v="0"/>
    <n v="0"/>
    <n v="0"/>
    <n v="0"/>
    <n v="0"/>
    <n v="0"/>
    <n v="0"/>
    <n v="0"/>
    <n v="0"/>
    <n v="0"/>
    <n v="0"/>
    <n v="0"/>
    <n v="5200"/>
    <n v="0"/>
    <n v="0"/>
    <n v="0"/>
    <n v="0"/>
    <n v="0"/>
    <n v="10400"/>
    <n v="0"/>
    <n v="5200"/>
    <n v="0"/>
    <s v="0"/>
    <n v="0"/>
    <s v="0"/>
    <n v="0"/>
    <s v="0"/>
    <n v="0"/>
    <s v="0"/>
    <n v="0"/>
    <s v="0"/>
    <n v="0"/>
    <s v="240J7AA#ACJ"/>
    <s v="HP India"/>
    <s v="APJ"/>
  </r>
  <r>
    <s v="FY24"/>
    <s v="Simon Yang"/>
    <m/>
    <m/>
    <m/>
    <m/>
    <n v="2020"/>
    <s v="Elephanta"/>
    <s v="Combo"/>
    <s v="NA"/>
    <s v="Black"/>
    <s v="S China"/>
    <s v="OTHERS"/>
    <n v="5.05"/>
    <n v="5.05"/>
    <n v="5.05"/>
    <n v="5.05"/>
    <n v="5.05"/>
    <n v="5.05"/>
    <n v="5.05"/>
    <n v="5.05"/>
    <n v="5.05"/>
    <n v="5.05"/>
    <n v="5.05"/>
    <n v="5.05"/>
    <n v="5.05"/>
    <n v="5.0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0400"/>
    <n v="0"/>
    <n v="5200"/>
    <n v="0"/>
    <s v="0"/>
    <n v="0"/>
    <s v="240J7AA#AC4"/>
    <s v="Foxconn LH"/>
    <s v="LA"/>
  </r>
  <r>
    <s v="FY24"/>
    <s v="Simon Yang"/>
    <m/>
    <m/>
    <m/>
    <m/>
    <n v="2020"/>
    <s v="Elephanta"/>
    <s v="Combo"/>
    <s v="NA"/>
    <s v="Black"/>
    <s v="S China"/>
    <s v="OTHERS"/>
    <n v="5.03"/>
    <n v="5.03"/>
    <n v="5.03"/>
    <n v="5.03"/>
    <n v="5.03"/>
    <n v="5.03"/>
    <n v="5.03"/>
    <n v="5.03"/>
    <n v="5.03"/>
    <n v="5.03"/>
    <n v="5.03"/>
    <n v="5.03"/>
    <n v="5.03"/>
    <n v="5.03"/>
    <n v="0"/>
    <n v="0"/>
    <n v="0"/>
    <n v="0"/>
    <n v="0"/>
    <n v="0"/>
    <n v="0"/>
    <n v="0"/>
    <n v="0"/>
    <n v="0"/>
    <n v="0"/>
    <n v="0"/>
    <n v="0"/>
    <n v="0"/>
    <n v="0"/>
    <n v="0"/>
    <n v="0"/>
    <n v="5200"/>
    <n v="0"/>
    <n v="0"/>
    <n v="0"/>
    <n v="0"/>
    <n v="0"/>
    <s v="0"/>
    <n v="0"/>
    <n v="5200"/>
    <n v="0"/>
    <s v="0"/>
    <n v="0"/>
    <s v="0"/>
    <n v="0"/>
    <s v="0"/>
    <n v="0"/>
    <s v="0"/>
    <n v="0"/>
    <s v="0"/>
    <n v="0"/>
    <s v="240J7AA#ABM"/>
    <s v="Foxconn LH"/>
    <s v="LA"/>
  </r>
  <r>
    <s v="FY24"/>
    <s v="Simon Yang"/>
    <m/>
    <m/>
    <m/>
    <m/>
    <n v="2020"/>
    <s v="Elephanta"/>
    <s v="Combo"/>
    <s v="NA"/>
    <s v="Black"/>
    <s v="S China"/>
    <s v="OTHERS"/>
    <n v="4.99"/>
    <n v="4.99"/>
    <n v="4.99"/>
    <n v="4.99"/>
    <n v="4.99"/>
    <n v="4.99"/>
    <n v="4.99"/>
    <n v="4.99"/>
    <n v="4.99"/>
    <n v="4.99"/>
    <n v="4.99"/>
    <n v="4.99"/>
    <n v="4.99"/>
    <n v="4.99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n v="5200"/>
    <n v="0"/>
    <s v="0"/>
    <n v="0"/>
    <s v="0"/>
    <n v="0"/>
    <s v="0"/>
    <n v="0"/>
    <n v="4800"/>
    <n v="0"/>
    <n v="5200"/>
    <n v="0"/>
    <s v="0"/>
    <n v="0"/>
    <s v="240J7AA#ABL"/>
    <s v="Foxconn LH"/>
    <s v="NA"/>
  </r>
  <r>
    <s v="FY24"/>
    <s v="Simon Yang"/>
    <m/>
    <m/>
    <m/>
    <m/>
    <n v="2022"/>
    <s v="ElephantaKB"/>
    <s v="NBL KB"/>
    <s v="NA"/>
    <s v="Black"/>
    <s v="S China"/>
    <s v="OTHERS"/>
    <n v="3.75"/>
    <n v="3.75"/>
    <n v="3.75"/>
    <n v="3.75"/>
    <n v="3.75"/>
    <n v="3.75"/>
    <n v="3.75"/>
    <n v="3.75"/>
    <n v="3.75"/>
    <n v="3.75"/>
    <n v="3.75"/>
    <n v="3.75"/>
    <n v="3.75"/>
    <n v="3.75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n v="5600"/>
    <n v="1176"/>
    <s v="0"/>
    <n v="0"/>
    <n v="5600"/>
    <n v="1176"/>
    <s v="0"/>
    <n v="0"/>
    <s v="0"/>
    <n v="0"/>
    <n v="5600"/>
    <n v="1176"/>
    <s v="0"/>
    <n v="0"/>
    <s v="664R5AA#UUF"/>
    <s v="Foxconn LH"/>
    <s v="APJ"/>
  </r>
  <r>
    <s v="FY24"/>
    <s v="Simon Yang"/>
    <m/>
    <m/>
    <m/>
    <m/>
    <n v="2022"/>
    <s v="ElephantaKB"/>
    <s v="NBL KB"/>
    <s v="NA"/>
    <s v="Black"/>
    <s v="S China"/>
    <s v="OTHERS"/>
    <n v="3.69"/>
    <n v="3.69"/>
    <n v="3.69"/>
    <n v="3.69"/>
    <n v="3.69"/>
    <n v="3.69"/>
    <n v="3.69"/>
    <n v="3.69"/>
    <n v="3.69"/>
    <n v="3.69"/>
    <n v="3.69"/>
    <n v="3.69"/>
    <n v="3.69"/>
    <n v="3.69"/>
    <n v="0.21"/>
    <n v="0.21"/>
    <n v="0.21"/>
    <n v="0.21"/>
    <n v="0.21"/>
    <n v="0.21"/>
    <n v="0.21"/>
    <n v="0.21"/>
    <n v="0.21"/>
    <n v="0.21"/>
    <n v="0.21"/>
    <n v="0.21"/>
    <n v="0.21"/>
    <n v="5600"/>
    <n v="1176"/>
    <n v="0"/>
    <n v="0"/>
    <s v="0"/>
    <n v="0"/>
    <n v="0"/>
    <n v="0"/>
    <n v="5600"/>
    <n v="1176"/>
    <s v="0"/>
    <n v="0"/>
    <s v="0"/>
    <n v="0"/>
    <s v="0"/>
    <n v="0"/>
    <s v="0"/>
    <n v="0"/>
    <s v="0"/>
    <n v="0"/>
    <s v="0"/>
    <n v="0"/>
    <s v="0"/>
    <n v="0"/>
    <s v="664R5AA#ACJ"/>
    <s v="HP India"/>
    <s v="APJ"/>
  </r>
  <r>
    <s v="FY24"/>
    <s v="Simon Yang"/>
    <m/>
    <m/>
    <m/>
    <m/>
    <n v="2022"/>
    <s v="ElephantaKB"/>
    <s v="NBL KB"/>
    <s v="NA"/>
    <s v="Black"/>
    <s v="S China"/>
    <s v="OTHERS"/>
    <n v="3.79"/>
    <n v="3.79"/>
    <n v="3.79"/>
    <n v="3.79"/>
    <n v="3.79"/>
    <n v="3.79"/>
    <n v="3.79"/>
    <n v="3.79"/>
    <n v="3.79"/>
    <n v="3.79"/>
    <n v="3.79"/>
    <n v="3.79"/>
    <n v="3.79"/>
    <n v="3.79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n v="5600"/>
    <n v="1176"/>
    <n v="0"/>
    <n v="0"/>
    <n v="0"/>
    <n v="0"/>
    <s v="0"/>
    <n v="0"/>
    <n v="5600"/>
    <n v="1176"/>
    <s v="0"/>
    <n v="0"/>
    <s v="0"/>
    <n v="0"/>
    <s v="0"/>
    <n v="0"/>
    <s v="0"/>
    <n v="0"/>
    <n v="5600"/>
    <n v="1176"/>
    <s v="664R5AA#ABM"/>
    <s v="Foxconn LH"/>
    <s v="LA"/>
  </r>
  <r>
    <s v="FY24"/>
    <s v="Simon Yang"/>
    <m/>
    <m/>
    <m/>
    <m/>
    <n v="2022"/>
    <s v="ElephantaKB"/>
    <s v="NBL KB"/>
    <s v="NA"/>
    <s v="Black"/>
    <s v="S China"/>
    <s v="OTHERS"/>
    <n v="3.77"/>
    <n v="3.77"/>
    <n v="3.77"/>
    <n v="3.77"/>
    <n v="3.77"/>
    <n v="3.77"/>
    <n v="3.77"/>
    <n v="3.77"/>
    <n v="3.77"/>
    <n v="3.77"/>
    <n v="3.77"/>
    <n v="3.77"/>
    <n v="3.77"/>
    <n v="3.77"/>
    <n v="0.21"/>
    <n v="0.21"/>
    <n v="0.21"/>
    <n v="0.21"/>
    <n v="0.21"/>
    <n v="0.21"/>
    <n v="0.21"/>
    <n v="0.21"/>
    <n v="0.21"/>
    <n v="0.21"/>
    <n v="0.21"/>
    <n v="0.21"/>
    <n v="0.21"/>
    <n v="0"/>
    <n v="0"/>
    <n v="0"/>
    <n v="0"/>
    <s v="0"/>
    <n v="0"/>
    <n v="0"/>
    <n v="0"/>
    <n v="0"/>
    <n v="0"/>
    <s v="0"/>
    <n v="0"/>
    <n v="10000"/>
    <n v="2100"/>
    <n v="5600"/>
    <n v="1176"/>
    <s v="0"/>
    <n v="0"/>
    <n v="5600"/>
    <n v="1176"/>
    <n v="5600"/>
    <n v="1176"/>
    <s v="0"/>
    <n v="0"/>
    <s v="664R5AA#ABL"/>
    <s v="Foxconn LH"/>
    <s v="NA"/>
  </r>
  <r>
    <s v="FY24"/>
    <s v="Simon Yang"/>
    <m/>
    <m/>
    <m/>
    <m/>
    <n v="2023"/>
    <s v="Havelock KB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5400"/>
    <n v="324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805T2AA#ABA"/>
    <s v="Foxconn LH"/>
    <s v="NA"/>
  </r>
  <r>
    <s v="FY24"/>
    <s v="Simon Yang"/>
    <m/>
    <m/>
    <m/>
    <m/>
    <n v="2023"/>
    <s v="Havelock KB"/>
    <s v="NBL KB"/>
    <s v="NA"/>
    <s v="Black"/>
    <s v="S China"/>
    <s v="OTHERS"/>
    <n v="6.6"/>
    <n v="6.6"/>
    <n v="6.6"/>
    <n v="6.6"/>
    <n v="6.6"/>
    <n v="6.6"/>
    <n v="6.6"/>
    <n v="6.6"/>
    <n v="6.6"/>
    <n v="6.6"/>
    <n v="6.6"/>
    <n v="6.6"/>
    <n v="6.6"/>
    <n v="6.6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n v="2700"/>
    <n v="162"/>
    <n v="2700"/>
    <n v="162"/>
    <n v="5400"/>
    <n v="324"/>
    <n v="2700"/>
    <n v="162"/>
    <s v="805T2AA#AC3"/>
    <s v="Flextronics CZ"/>
    <s v="EMEA"/>
  </r>
  <r>
    <s v="FY24"/>
    <s v="Simon Yang"/>
    <m/>
    <m/>
    <m/>
    <m/>
    <n v="2023"/>
    <s v="Havelock KB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805T2AA#ABM"/>
    <s v="Foxconn LH"/>
    <s v="LA"/>
  </r>
  <r>
    <s v="FY24"/>
    <s v="Simon Yang"/>
    <m/>
    <m/>
    <m/>
    <m/>
    <n v="2023"/>
    <s v="Havelock KB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805T2AA#UUF"/>
    <s v="Foxconn LH"/>
    <s v="APJ"/>
  </r>
  <r>
    <s v="FY24"/>
    <s v="Simon Yang"/>
    <m/>
    <m/>
    <m/>
    <m/>
    <n v="2023"/>
    <s v="Havelock KB"/>
    <s v="NBL KB"/>
    <s v="NA"/>
    <s v="Black"/>
    <s v="S China"/>
    <s v="OTHERS"/>
    <n v="6.35"/>
    <n v="6.35"/>
    <n v="6.35"/>
    <n v="6.35"/>
    <n v="6.35"/>
    <n v="6.35"/>
    <n v="6.35"/>
    <n v="6.35"/>
    <n v="6.35"/>
    <n v="6.35"/>
    <n v="6.35"/>
    <n v="6.35"/>
    <n v="6.35"/>
    <n v="6.35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805T1AA#ABA"/>
    <s v="Foxconn LH"/>
    <s v="NA"/>
  </r>
  <r>
    <s v="FY24"/>
    <s v="Simon Yang"/>
    <m/>
    <m/>
    <m/>
    <m/>
    <n v="2023"/>
    <s v="Havelock KB"/>
    <s v="NBL KB"/>
    <s v="NA"/>
    <s v="Black"/>
    <s v="S China"/>
    <s v="OTHERS"/>
    <n v="6.6"/>
    <n v="6.6"/>
    <n v="6.6"/>
    <n v="6.6"/>
    <n v="6.6"/>
    <n v="6.6"/>
    <n v="6.6"/>
    <n v="6.6"/>
    <n v="6.6"/>
    <n v="6.6"/>
    <n v="6.6"/>
    <n v="6.6"/>
    <n v="6.6"/>
    <n v="6.6"/>
    <n v="0.06"/>
    <n v="0.06"/>
    <n v="0.06"/>
    <n v="0.06"/>
    <n v="0.06"/>
    <n v="0.06"/>
    <n v="0.06"/>
    <n v="0.06"/>
    <n v="0.06"/>
    <n v="0.06"/>
    <n v="0.06"/>
    <n v="0.06"/>
    <n v="0.0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805T1AA#AC3"/>
    <s v="Flextronics CZ"/>
    <s v="EMEA"/>
  </r>
  <r>
    <s v="FY24"/>
    <s v="Simon Yang"/>
    <m/>
    <m/>
    <m/>
    <m/>
    <n v="2020"/>
    <s v="Havelock"/>
    <s v="Combo"/>
    <s v="NA"/>
    <s v="Black"/>
    <s v="S China"/>
    <s v="OTHERS"/>
    <n v="7.86"/>
    <n v="7.86"/>
    <n v="7.86"/>
    <n v="7.86"/>
    <n v="7.86"/>
    <n v="7.86"/>
    <n v="7.86"/>
    <n v="7.86"/>
    <n v="7.86"/>
    <n v="7.86"/>
    <n v="7.86"/>
    <n v="7.86"/>
    <n v="7.86"/>
    <n v="7.86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n v="5280"/>
    <n v="422.40000000000003"/>
    <n v="0"/>
    <n v="0"/>
    <n v="5280"/>
    <n v="422.40000000000003"/>
    <n v="5280"/>
    <n v="422.40000000000003"/>
    <n v="5280"/>
    <n v="422.40000000000003"/>
    <n v="5280"/>
    <n v="422.40000000000003"/>
    <n v="5280"/>
    <n v="422.40000000000003"/>
    <n v="5280"/>
    <n v="422.40000000000003"/>
    <s v="0"/>
    <n v="0"/>
    <n v="5280"/>
    <n v="422.40000000000003"/>
    <s v="2V9E6AA#UUF"/>
    <s v="Foxconn LH"/>
    <s v="APJ"/>
  </r>
  <r>
    <s v="FY24"/>
    <s v="Simon Yang"/>
    <m/>
    <m/>
    <m/>
    <m/>
    <n v="2020"/>
    <s v="Havelock"/>
    <s v="Combo"/>
    <s v="NA"/>
    <s v="Black"/>
    <s v="S China"/>
    <s v="OTHERS"/>
    <n v="7.8"/>
    <n v="7.8"/>
    <n v="7.8"/>
    <n v="7.8"/>
    <n v="7.8"/>
    <n v="7.8"/>
    <n v="7.8"/>
    <n v="7.8"/>
    <n v="7.8"/>
    <n v="7.8"/>
    <n v="7.8"/>
    <n v="7.8"/>
    <n v="7.8"/>
    <n v="7.8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n v="5280"/>
    <n v="422.40000000000003"/>
    <n v="0"/>
    <n v="0"/>
    <n v="5280"/>
    <n v="422.40000000000003"/>
    <n v="5280"/>
    <n v="422.40000000000003"/>
    <n v="5280"/>
    <n v="422.40000000000003"/>
    <n v="5280"/>
    <n v="422.40000000000003"/>
    <n v="7920"/>
    <n v="633.6"/>
    <n v="2640"/>
    <n v="211.20000000000002"/>
    <n v="5280"/>
    <n v="422.40000000000003"/>
    <n v="4400"/>
    <n v="352"/>
    <s v="2V9E6AA#ACJ"/>
    <s v="HP India"/>
    <s v="APJ"/>
  </r>
  <r>
    <s v="FY24"/>
    <s v="Simon Yang"/>
    <m/>
    <m/>
    <m/>
    <m/>
    <n v="2020"/>
    <s v="Havelock"/>
    <s v="Combo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n v="7.92"/>
    <n v="7.92"/>
    <n v="7.92"/>
    <n v="0.08"/>
    <n v="0.08"/>
    <n v="0.08"/>
    <n v="0.08"/>
    <n v="0.08"/>
    <n v="0.08"/>
    <n v="0.08"/>
    <n v="0.08"/>
    <n v="0.08"/>
    <n v="0.08"/>
    <n v="0.08"/>
    <n v="0.08"/>
    <n v="0.08"/>
    <n v="0"/>
    <n v="0"/>
    <n v="0"/>
    <n v="0"/>
    <s v="0"/>
    <n v="0"/>
    <n v="0"/>
    <n v="0"/>
    <n v="0"/>
    <n v="0"/>
    <s v="0"/>
    <n v="0"/>
    <n v="5280"/>
    <n v="422.40000000000003"/>
    <s v="0"/>
    <n v="0"/>
    <n v="5280"/>
    <n v="422.40000000000003"/>
    <n v="5280"/>
    <n v="422.40000000000003"/>
    <s v="0"/>
    <n v="0"/>
    <s v="0"/>
    <n v="0"/>
    <s v="2V9E6AA#AC4"/>
    <s v="Foxconn LH"/>
    <s v="LA"/>
  </r>
  <r>
    <s v="FY24"/>
    <s v="Simon Yang"/>
    <m/>
    <m/>
    <m/>
    <m/>
    <n v="2020"/>
    <s v="Havelock"/>
    <s v="Combo"/>
    <s v="NA"/>
    <s v="Black"/>
    <s v="S China"/>
    <s v="OTHERS"/>
    <n v="7.8"/>
    <n v="7.9"/>
    <n v="7.9"/>
    <n v="7.9"/>
    <n v="7.9"/>
    <n v="7.9"/>
    <n v="7.9"/>
    <n v="7.9"/>
    <n v="7.9"/>
    <n v="7.9"/>
    <n v="7.9"/>
    <n v="7.9"/>
    <n v="7.9"/>
    <n v="7.9"/>
    <n v="0.08"/>
    <n v="0.08"/>
    <n v="0.08"/>
    <n v="0.08"/>
    <n v="0.08"/>
    <n v="0.08"/>
    <n v="0.08"/>
    <n v="0.08"/>
    <n v="0.08"/>
    <n v="0.08"/>
    <n v="0.08"/>
    <n v="0.08"/>
    <n v="0.08"/>
    <n v="0"/>
    <n v="0"/>
    <n v="5280"/>
    <n v="422.40000000000003"/>
    <n v="5280"/>
    <n v="422.40000000000003"/>
    <n v="0"/>
    <n v="0"/>
    <n v="0"/>
    <n v="0"/>
    <n v="5280"/>
    <n v="422.40000000000003"/>
    <s v="0"/>
    <n v="0"/>
    <n v="5280"/>
    <n v="422.40000000000003"/>
    <s v="0"/>
    <n v="0"/>
    <n v="5280"/>
    <n v="422.40000000000003"/>
    <n v="0"/>
    <n v="0"/>
    <s v="0"/>
    <n v="0"/>
    <s v="2V9E6AA#ABM"/>
    <s v="Foxconn LH"/>
    <s v="LA"/>
  </r>
  <r>
    <s v="FY24"/>
    <s v="Simon Yang"/>
    <m/>
    <m/>
    <m/>
    <m/>
    <n v="2020"/>
    <s v="Havelock"/>
    <s v="Combo"/>
    <s v="NA"/>
    <s v="Black"/>
    <s v="S China"/>
    <s v="OTHERS"/>
    <n v="7.92"/>
    <n v="7.92"/>
    <n v="7.92"/>
    <n v="7.92"/>
    <n v="7.92"/>
    <n v="7.92"/>
    <n v="7.92"/>
    <n v="7.92"/>
    <n v="7.92"/>
    <n v="7.92"/>
    <n v="7.92"/>
    <n v="7.92"/>
    <n v="7.92"/>
    <n v="7.92"/>
    <n v="0.08"/>
    <n v="0.08"/>
    <n v="0.08"/>
    <n v="0.08"/>
    <n v="0.08"/>
    <n v="0.08"/>
    <n v="0.08"/>
    <n v="0.08"/>
    <n v="0.08"/>
    <n v="0.08"/>
    <n v="0.08"/>
    <n v="0.08"/>
    <n v="0.08"/>
    <n v="4720"/>
    <n v="377.6"/>
    <n v="0"/>
    <n v="0"/>
    <n v="5280"/>
    <n v="422.40000000000003"/>
    <n v="0"/>
    <n v="0"/>
    <n v="0"/>
    <n v="0"/>
    <n v="5280"/>
    <n v="422.40000000000003"/>
    <n v="15840"/>
    <n v="1267.2"/>
    <n v="10560"/>
    <n v="844.80000000000007"/>
    <s v="0"/>
    <n v="0"/>
    <s v="0"/>
    <n v="0"/>
    <s v="0"/>
    <n v="0"/>
    <s v="0"/>
    <n v="0"/>
    <s v="2V9E6AA#ABL"/>
    <s v="Foxconn LH"/>
    <s v="NA"/>
  </r>
  <r>
    <s v="FY24"/>
    <s v="Allen Chen"/>
    <m/>
    <m/>
    <m/>
    <m/>
    <n v="2018"/>
    <s v="Moscow blue LED refresh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M03085-001"/>
    <s v="QUANTA"/>
    <s v="DIB"/>
  </r>
  <r>
    <s v="FY24"/>
    <s v="Allen Chen"/>
    <m/>
    <m/>
    <m/>
    <m/>
    <n v="2018"/>
    <s v="Moscow blue LED refresh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M03085-001"/>
    <s v="Compal"/>
    <s v="DIB"/>
  </r>
  <r>
    <s v="FY24"/>
    <s v="Allen Chen"/>
    <m/>
    <m/>
    <m/>
    <m/>
    <n v="2018"/>
    <s v="Moscow blue LED refresh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M03085-001"/>
    <s v="Wistron"/>
    <s v="DIB"/>
  </r>
  <r>
    <s v="FY24"/>
    <s v="Allen Chen"/>
    <m/>
    <m/>
    <m/>
    <m/>
    <n v="2018"/>
    <s v="Moscow1BlueLed"/>
    <s v="Mouse"/>
    <s v="NA"/>
    <s v="Black"/>
    <s v="S China"/>
    <s v="OTHERS"/>
    <n v="4.66"/>
    <n v="4.66"/>
    <n v="4.66"/>
    <n v="4.66"/>
    <n v="4.66"/>
    <n v="4.66"/>
    <n v="4.66"/>
    <n v="4.66"/>
    <n v="4.66"/>
    <n v="4.66"/>
    <n v="4.66"/>
    <n v="4.66"/>
    <n v="4.66"/>
    <n v="4.66"/>
    <n v="0.05"/>
    <n v="0.05"/>
    <n v="0.05"/>
    <n v="0.05"/>
    <n v="0.05"/>
    <n v="0.05"/>
    <n v="0.05"/>
    <n v="0.05"/>
    <n v="0.05"/>
    <n v="0.05"/>
    <n v="0.05"/>
    <n v="0.05"/>
    <n v="0.05"/>
    <n v="33000"/>
    <n v="1650"/>
    <n v="3000"/>
    <n v="150"/>
    <n v="6000"/>
    <n v="300"/>
    <n v="0"/>
    <n v="0"/>
    <n v="0"/>
    <n v="0"/>
    <n v="6000"/>
    <n v="300"/>
    <n v="3000"/>
    <n v="150"/>
    <s v="0"/>
    <n v="0"/>
    <s v="0"/>
    <n v="0"/>
    <s v="0"/>
    <n v="0"/>
    <n v="3000"/>
    <n v="150"/>
    <n v="3000"/>
    <n v="150"/>
    <s v="L13998-002"/>
    <s v="QUANTA"/>
    <s v="DIB"/>
  </r>
  <r>
    <s v="FY24"/>
    <s v="Allen Chen"/>
    <m/>
    <m/>
    <m/>
    <m/>
    <n v="2016"/>
    <s v="Gadget"/>
    <s v="Mouse"/>
    <s v="NA"/>
    <s v="Lavender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3000"/>
    <n v="150"/>
    <n v="0"/>
    <n v="0"/>
    <n v="3000"/>
    <n v="150"/>
    <s v="0"/>
    <n v="0"/>
    <s v="0"/>
    <n v="0"/>
    <s v="0"/>
    <n v="0"/>
    <s v="0"/>
    <n v="0"/>
    <s v="0"/>
    <n v="0"/>
    <s v="0"/>
    <n v="0"/>
    <s v="0"/>
    <n v="0"/>
    <s v="N43864-001"/>
    <s v="QUANTA"/>
    <s v="DIB"/>
  </r>
  <r>
    <s v="FY24"/>
    <s v="Allen Chen"/>
    <m/>
    <m/>
    <m/>
    <m/>
    <n v="2016"/>
    <s v="Gadget"/>
    <s v="Mouse"/>
    <s v="NA"/>
    <s v="Lavender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3000"/>
    <n v="150"/>
    <n v="6000"/>
    <n v="300"/>
    <n v="0"/>
    <n v="0"/>
    <n v="3000"/>
    <n v="150"/>
    <s v="0"/>
    <n v="0"/>
    <s v="0"/>
    <n v="0"/>
    <s v="0"/>
    <n v="0"/>
    <s v="0"/>
    <n v="0"/>
    <s v="0"/>
    <n v="0"/>
    <s v="0"/>
    <n v="0"/>
    <s v="0"/>
    <n v="0"/>
    <s v="N43864-001"/>
    <s v="Inventec"/>
    <s v="DIB"/>
  </r>
  <r>
    <s v="FY24"/>
    <s v="Allen Chen"/>
    <m/>
    <m/>
    <m/>
    <m/>
    <n v="2016"/>
    <s v="Gadget"/>
    <s v="Mouse"/>
    <s v="NA"/>
    <s v="Seafoam Teal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3000"/>
    <n v="15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43866-001"/>
    <s v="QUANTA"/>
    <s v="DIB"/>
  </r>
  <r>
    <s v="FY24"/>
    <s v="Allen Chen"/>
    <m/>
    <m/>
    <m/>
    <m/>
    <n v="2016"/>
    <s v="Gadget"/>
    <s v="Mouse"/>
    <s v="NA"/>
    <s v="Seafoam Teal"/>
    <s v="S China"/>
    <s v="OTHERS"/>
    <n v="7.45"/>
    <n v="7.45"/>
    <n v="8.4499999999999993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3000"/>
    <n v="150"/>
    <n v="3000"/>
    <n v="150"/>
    <n v="0"/>
    <n v="0"/>
    <n v="0"/>
    <n v="0"/>
    <n v="3000"/>
    <n v="150"/>
    <s v="0"/>
    <n v="0"/>
    <s v="0"/>
    <n v="0"/>
    <s v="0"/>
    <n v="0"/>
    <s v="0"/>
    <n v="0"/>
    <s v="0"/>
    <n v="0"/>
    <s v="0"/>
    <n v="0"/>
    <s v="N43866-001"/>
    <s v="Inventec"/>
    <s v="DIB"/>
  </r>
  <r>
    <s v="FY24"/>
    <s v="Allen Chen"/>
    <m/>
    <m/>
    <m/>
    <m/>
    <n v="2016"/>
    <s v="Gadget"/>
    <s v="Mouse"/>
    <s v="NA"/>
    <s v="Moonlight Blue"/>
    <s v="S China"/>
    <s v="OTHERS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n v="6000"/>
    <n v="300"/>
    <n v="0"/>
    <n v="0"/>
    <n v="0"/>
    <n v="0"/>
    <s v="0"/>
    <n v="0"/>
    <n v="3000"/>
    <n v="150"/>
    <s v="0"/>
    <n v="0"/>
    <s v="0"/>
    <n v="0"/>
    <s v="0"/>
    <n v="0"/>
    <n v="27000"/>
    <n v="1350"/>
    <s v="0"/>
    <n v="0"/>
    <s v="N38404-001"/>
    <s v="QUANTA"/>
    <s v="DIB"/>
  </r>
  <r>
    <s v="FY24"/>
    <s v="Allen Chen"/>
    <m/>
    <m/>
    <m/>
    <m/>
    <n v="2016"/>
    <s v="Gadget"/>
    <s v="Mouse"/>
    <s v="NA"/>
    <s v="Moonlight Blue"/>
    <s v="S China"/>
    <s v="OTHERS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5.1100000000000003"/>
    <n v="0.05"/>
    <n v="0.05"/>
    <n v="0.05"/>
    <n v="0.05"/>
    <n v="0.05"/>
    <n v="0.05"/>
    <n v="0.05"/>
    <n v="0.05"/>
    <n v="0.05"/>
    <n v="0.05"/>
    <n v="0.05"/>
    <n v="0.05"/>
    <n v="0.05"/>
    <n v="3000"/>
    <n v="150"/>
    <n v="0"/>
    <n v="0"/>
    <n v="6000"/>
    <n v="300"/>
    <n v="0"/>
    <n v="0"/>
    <n v="0"/>
    <n v="0"/>
    <s v="0"/>
    <n v="0"/>
    <n v="5000"/>
    <n v="250"/>
    <s v="0"/>
    <n v="0"/>
    <s v="0"/>
    <n v="0"/>
    <n v="3000"/>
    <n v="150"/>
    <n v="6000"/>
    <n v="300"/>
    <n v="6000"/>
    <n v="300"/>
    <s v="N38404-001"/>
    <s v="Inventec"/>
    <s v="DIB"/>
  </r>
  <r>
    <s v="FY24"/>
    <s v="Allen Chen"/>
    <m/>
    <m/>
    <m/>
    <m/>
    <n v="2016"/>
    <s v="Gadget"/>
    <s v="Mouse"/>
    <s v="NA"/>
    <s v="薰衣草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n v="0"/>
    <n v="0"/>
    <n v="5500"/>
    <n v="275"/>
    <s v="0"/>
    <n v="0"/>
    <s v="0"/>
    <n v="0"/>
    <m/>
    <n v="0"/>
    <m/>
    <n v="0"/>
    <s v="0"/>
    <m/>
    <s v="N87312-001"/>
    <s v="Inventec"/>
    <s v="DIB"/>
  </r>
  <r>
    <s v="FY24"/>
    <s v="Allen Chen"/>
    <m/>
    <m/>
    <m/>
    <m/>
    <n v="2016"/>
    <s v="Gadget"/>
    <s v="Mouse"/>
    <s v="NA"/>
    <s v="薰衣草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000"/>
    <n v="150"/>
    <s v="0"/>
    <n v="0"/>
    <s v="0"/>
    <n v="0"/>
    <n v="0"/>
    <n v="0"/>
    <n v="3000"/>
    <n v="150"/>
    <s v="0"/>
    <n v="0"/>
    <s v="N87312-001"/>
    <s v="QUANTA"/>
    <s v="DIB"/>
  </r>
  <r>
    <s v="FY24"/>
    <s v="Allen Chen"/>
    <m/>
    <m/>
    <m/>
    <m/>
    <n v="2016"/>
    <s v="Gadget"/>
    <s v="Mouse"/>
    <s v="NA"/>
    <s v="鑽石白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300"/>
    <n v="165"/>
    <s v="0"/>
    <n v="0"/>
    <s v="0"/>
    <n v="0"/>
    <n v="0"/>
    <n v="0"/>
    <n v="3000"/>
    <n v="150"/>
    <n v="3000"/>
    <n v="150"/>
    <s v="N87314-001"/>
    <s v="Inventec"/>
    <s v="DIB"/>
  </r>
  <r>
    <s v="FY24"/>
    <s v="Allen Chen"/>
    <m/>
    <m/>
    <m/>
    <m/>
    <n v="2016"/>
    <s v="Gadget"/>
    <s v="Mouse"/>
    <s v="NA"/>
    <s v="鑽石白(噴漆)"/>
    <s v="S China"/>
    <s v="OTHERS"/>
    <m/>
    <m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3000"/>
    <n v="150"/>
    <s v="0"/>
    <n v="0"/>
    <n v="0"/>
    <n v="0"/>
    <n v="0"/>
    <n v="0"/>
    <n v="9000"/>
    <n v="450"/>
    <s v="0"/>
    <n v="0"/>
    <s v="N87314-001"/>
    <s v="QUANTA"/>
    <s v="DIB"/>
  </r>
  <r>
    <s v="FY24"/>
    <s v="Allen Chen"/>
    <m/>
    <m/>
    <m/>
    <m/>
    <n v="2016"/>
    <s v="Gadget"/>
    <s v="Mouse"/>
    <s v="NA"/>
    <s v="IMF款-日落紅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7000"/>
    <n v="350"/>
    <s v="0"/>
    <n v="0"/>
    <n v="3000"/>
    <n v="150"/>
    <s v="0"/>
    <n v="0"/>
    <n v="3000"/>
    <n v="150"/>
    <n v="3000"/>
    <n v="150"/>
    <s v="N87318-001"/>
    <s v="QUANTA"/>
    <s v="DIB"/>
  </r>
  <r>
    <s v="FY24"/>
    <s v="Allen Chen"/>
    <m/>
    <m/>
    <m/>
    <m/>
    <n v="2016"/>
    <s v="Gadget"/>
    <s v="Mouse"/>
    <s v="NA"/>
    <s v="IMF款-日落紅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4000"/>
    <n v="200"/>
    <s v="0"/>
    <n v="0"/>
    <n v="0"/>
    <n v="0"/>
    <n v="9000"/>
    <n v="450"/>
    <n v="3000"/>
    <n v="150"/>
    <n v="3000"/>
    <n v="150"/>
    <s v="N87318-001"/>
    <s v="Inventec"/>
    <s v="DIB"/>
  </r>
  <r>
    <s v="FY24"/>
    <s v="Allen Chen"/>
    <m/>
    <m/>
    <m/>
    <m/>
    <n v="2016"/>
    <s v="Gadget"/>
    <s v="Mouse"/>
    <s v="NA"/>
    <s v="IMF款-寶石綠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n v="3000"/>
    <n v="150"/>
    <s v="0"/>
    <n v="0"/>
    <n v="3000"/>
    <n v="150"/>
    <s v="0"/>
    <n v="0"/>
    <s v="N87316-001"/>
    <s v="QUANTA"/>
    <s v="DIB"/>
  </r>
  <r>
    <s v="FY24"/>
    <s v="Allen Chen"/>
    <m/>
    <m/>
    <m/>
    <m/>
    <n v="2016"/>
    <s v="Gadget"/>
    <s v="Mouse"/>
    <s v="NA"/>
    <s v="IMF款-寶石綠"/>
    <s v="S China"/>
    <s v="OTHERS"/>
    <m/>
    <m/>
    <n v="7.45"/>
    <n v="7.45"/>
    <n v="7.45"/>
    <n v="7.45"/>
    <n v="7.45"/>
    <n v="7.45"/>
    <n v="7.45"/>
    <n v="7.45"/>
    <n v="7.45"/>
    <n v="7.45"/>
    <n v="7.45"/>
    <n v="7.4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n v="4200"/>
    <n v="210"/>
    <s v="0"/>
    <n v="0"/>
    <n v="0"/>
    <n v="0"/>
    <n v="3000"/>
    <n v="150"/>
    <n v="0"/>
    <n v="0"/>
    <n v="3000"/>
    <n v="150"/>
    <s v="N87316-001"/>
    <s v="Inventec"/>
    <s v="DIB"/>
  </r>
  <r>
    <s v="FY24"/>
    <s v="Allen Chen"/>
    <m/>
    <m/>
    <m/>
    <m/>
    <n v="2016"/>
    <s v="Gadget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10800"/>
    <n v="540"/>
    <n v="18000"/>
    <n v="900"/>
    <n v="0"/>
    <n v="0"/>
    <n v="0"/>
    <n v="0"/>
    <s v="0"/>
    <n v="0"/>
    <s v="0"/>
    <n v="0"/>
    <s v="0"/>
    <n v="0"/>
    <n v="10800"/>
    <n v="540"/>
    <n v="7200"/>
    <n v="360"/>
    <n v="3600"/>
    <n v="180"/>
    <n v="3600"/>
    <n v="180"/>
    <s v="M49894-001"/>
    <s v="FOX CQ"/>
    <s v="DIB"/>
  </r>
  <r>
    <s v="FY24"/>
    <s v="Allen Chen"/>
    <m/>
    <m/>
    <m/>
    <m/>
    <n v="2016"/>
    <s v="Gadget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M49894-001"/>
    <s v="QUANTA"/>
    <s v="DIB"/>
  </r>
  <r>
    <s v="FY24"/>
    <s v="Allen Chen"/>
    <m/>
    <m/>
    <m/>
    <m/>
    <n v="2016"/>
    <s v="Gadget"/>
    <s v="Mouse"/>
    <s v="NA"/>
    <s v="NSilver(painting)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M49894-001"/>
    <s v="Inventec"/>
    <s v="DIB"/>
  </r>
  <r>
    <s v="FY24"/>
    <s v="Allen Chen"/>
    <m/>
    <m/>
    <m/>
    <m/>
    <n v="2016"/>
    <s v="Gadget"/>
    <s v="Mouse"/>
    <s v="NA"/>
    <s v="Rose Gold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L77930-001"/>
    <s v="QUANTA"/>
    <s v="DIB"/>
  </r>
  <r>
    <s v="FY24"/>
    <s v="Allen Chen"/>
    <m/>
    <m/>
    <m/>
    <m/>
    <n v="2016"/>
    <s v="Gadget"/>
    <s v="Mouse"/>
    <s v="NA"/>
    <s v="Rose Gold"/>
    <s v="S China"/>
    <s v="OTHERS"/>
    <n v="5.74"/>
    <n v="5.74"/>
    <n v="5.74"/>
    <n v="5.74"/>
    <n v="5.74"/>
    <n v="5.74"/>
    <n v="5.74"/>
    <n v="5.74"/>
    <n v="5.74"/>
    <n v="5.74"/>
    <n v="5.74"/>
    <n v="5.74"/>
    <n v="5.74"/>
    <n v="5.74"/>
    <n v="0.05"/>
    <n v="0.05"/>
    <n v="0.05"/>
    <n v="0.05"/>
    <n v="0.05"/>
    <n v="0.05"/>
    <n v="0.05"/>
    <n v="0.05"/>
    <n v="0.05"/>
    <n v="0.05"/>
    <n v="0.05"/>
    <n v="0.05"/>
    <n v="0.05"/>
    <n v="1000"/>
    <n v="5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L77930-001"/>
    <s v="QUANTA"/>
    <s v="DIB"/>
  </r>
  <r>
    <s v="FY24"/>
    <s v="Allen Chen"/>
    <m/>
    <m/>
    <m/>
    <m/>
    <n v="2016"/>
    <s v="Gadget"/>
    <s v="Mouse"/>
    <s v="NA"/>
    <s v="Rose Gold"/>
    <s v="S China"/>
    <s v="OTHERS"/>
    <n v="5.24"/>
    <n v="5.24"/>
    <n v="5.24"/>
    <n v="5.24"/>
    <n v="5.24"/>
    <n v="5.24"/>
    <n v="5.24"/>
    <n v="5.24"/>
    <n v="5.24"/>
    <n v="5.24"/>
    <n v="5.24"/>
    <n v="5.24"/>
    <n v="5.24"/>
    <n v="5.2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L77930-001"/>
    <s v="Inventec"/>
    <s v="DIB"/>
  </r>
  <r>
    <s v="FY24"/>
    <s v="Allen Chen"/>
    <m/>
    <m/>
    <m/>
    <m/>
    <n v="2016"/>
    <s v="Gadget"/>
    <s v="Mouse"/>
    <s v="NA"/>
    <s v="Ceramic White"/>
    <s v="S China"/>
    <s v="OTHERS"/>
    <n v="6.05"/>
    <n v="5.92"/>
    <n v="5.92"/>
    <n v="5.92"/>
    <n v="5.92"/>
    <n v="5.92"/>
    <n v="5.92"/>
    <n v="5.92"/>
    <n v="5.92"/>
    <n v="5.92"/>
    <n v="5.92"/>
    <n v="5.92"/>
    <n v="5.92"/>
    <n v="5.92"/>
    <n v="0.05"/>
    <n v="0.05"/>
    <n v="0.05"/>
    <n v="0.05"/>
    <n v="0.05"/>
    <n v="0.05"/>
    <n v="0.05"/>
    <n v="0.05"/>
    <n v="0.05"/>
    <n v="0.05"/>
    <n v="0.05"/>
    <n v="0.05"/>
    <n v="0.05"/>
    <n v="0"/>
    <n v="0"/>
    <n v="4320"/>
    <n v="216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681S1AA#ABL"/>
    <s v="Ryder Indy"/>
    <s v="NA/LA"/>
  </r>
  <r>
    <s v="FY24"/>
    <s v="Allen Chen"/>
    <m/>
    <m/>
    <m/>
    <m/>
    <n v="2016"/>
    <s v="Gadget"/>
    <s v="Mouse"/>
    <s v="NA"/>
    <s v="Ceramic White"/>
    <s v="S China"/>
    <s v="OTHERS"/>
    <n v="6.05"/>
    <n v="5.05"/>
    <n v="5.05"/>
    <n v="5.05"/>
    <n v="5.05"/>
    <n v="5.05"/>
    <n v="5.05"/>
    <n v="5.05"/>
    <n v="5.05"/>
    <n v="5.05"/>
    <n v="5.05"/>
    <n v="5.05"/>
    <n v="5.05"/>
    <n v="5.05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681R7AA#ABL"/>
    <s v="Ryder Indy"/>
    <s v="NA/LA"/>
  </r>
  <r>
    <s v="FY24"/>
    <s v="Allen Chen"/>
    <m/>
    <m/>
    <m/>
    <m/>
    <n v="2016"/>
    <s v="Gadget"/>
    <s v="Mouse"/>
    <s v="NA"/>
    <s v="Ceramic White"/>
    <s v="S China"/>
    <s v="OTHERS"/>
    <n v="6.05"/>
    <n v="5.13"/>
    <n v="5.13"/>
    <n v="5.13"/>
    <n v="5.13"/>
    <n v="5.13"/>
    <n v="5.13"/>
    <n v="5.13"/>
    <n v="5.13"/>
    <n v="5.13"/>
    <n v="5.13"/>
    <n v="5.13"/>
    <n v="5.13"/>
    <n v="5.13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681R8AA#ABL"/>
    <s v="Ryder Indy"/>
    <s v="NA/LA"/>
  </r>
  <r>
    <s v="FY24"/>
    <s v="Allen Chen"/>
    <m/>
    <m/>
    <m/>
    <m/>
    <n v="2016"/>
    <s v="Gadget"/>
    <s v="Mouse"/>
    <s v="NA"/>
    <s v="Ceramic White"/>
    <s v="S China"/>
    <s v="OTHERS"/>
    <n v="6.05"/>
    <n v="5.54"/>
    <n v="5.54"/>
    <n v="5.54"/>
    <n v="5.54"/>
    <n v="5.54"/>
    <n v="5.54"/>
    <n v="5.54"/>
    <n v="5.54"/>
    <n v="5.54"/>
    <n v="5.54"/>
    <n v="5.54"/>
    <n v="5.54"/>
    <n v="5.5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681R9AA#ABL"/>
    <s v="Ryder Indy"/>
    <s v="NA/LA"/>
  </r>
  <r>
    <s v="FY24"/>
    <s v="Allen Chen"/>
    <m/>
    <m/>
    <m/>
    <m/>
    <n v="2016"/>
    <s v="Gadget"/>
    <s v="Mouse"/>
    <s v="NA"/>
    <s v="Ceramic White"/>
    <s v="S China"/>
    <s v="OTHERS"/>
    <n v="6.05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4.9800000000000004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681S0AA#ABL"/>
    <s v="Ryder Indy"/>
    <s v="NA/LA"/>
  </r>
  <r>
    <s v="FY24"/>
    <s v="Allen Chen"/>
    <m/>
    <m/>
    <m/>
    <m/>
    <n v="2016"/>
    <s v="Gadget"/>
    <s v="Mouse"/>
    <s v="NA"/>
    <s v="Ceramic White"/>
    <s v="S China"/>
    <s v="OTHERS"/>
    <n v="6.05"/>
    <n v="5.27"/>
    <n v="5.27"/>
    <n v="5.27"/>
    <n v="5.27"/>
    <n v="5.27"/>
    <n v="5.27"/>
    <n v="5.27"/>
    <n v="5.27"/>
    <n v="5.27"/>
    <n v="5.27"/>
    <n v="5.27"/>
    <n v="5.27"/>
    <n v="5.27"/>
    <n v="0.05"/>
    <n v="0.05"/>
    <n v="0.05"/>
    <n v="0.05"/>
    <n v="0.05"/>
    <n v="0.05"/>
    <n v="0.05"/>
    <n v="0.05"/>
    <n v="0.05"/>
    <n v="0.05"/>
    <n v="0.05"/>
    <n v="0.05"/>
    <n v="0.0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66Z09AA#ABL"/>
    <s v="Ryder Indy"/>
    <s v="NA/LA"/>
  </r>
  <r>
    <s v="FY24"/>
    <s v="Allen Chen"/>
    <m/>
    <m/>
    <m/>
    <m/>
    <n v="2016"/>
    <s v="Gadget"/>
    <s v="Mouse"/>
    <s v="NA"/>
    <s v="Black"/>
    <s v="S China"/>
    <s v="OTHERS"/>
    <n v="4.82"/>
    <n v="3.72"/>
    <n v="4.72"/>
    <n v="3.72"/>
    <n v="3.72"/>
    <n v="3.72"/>
    <n v="3.72"/>
    <n v="3.72"/>
    <n v="3.72"/>
    <n v="3.72"/>
    <n v="3.72"/>
    <n v="3.72"/>
    <n v="3.72"/>
    <n v="3.72"/>
    <n v="0.04"/>
    <n v="0.04"/>
    <n v="0.04"/>
    <n v="0.04"/>
    <n v="0.04"/>
    <n v="0.04"/>
    <n v="0.04"/>
    <n v="0.04"/>
    <n v="0.04"/>
    <n v="0.04"/>
    <n v="0.04"/>
    <n v="0.04"/>
    <n v="0.04"/>
    <n v="3600"/>
    <n v="144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L77930-001"/>
    <s v="QUANTA"/>
    <s v="DIB"/>
  </r>
  <r>
    <s v="FY24"/>
    <s v="Allen Chen"/>
    <m/>
    <m/>
    <m/>
    <m/>
    <n v="2016"/>
    <s v="Oman"/>
    <s v="Mouse"/>
    <s v="NA"/>
    <s v="Black"/>
    <s v="S China"/>
    <s v="OTHERS"/>
    <n v="4.87"/>
    <n v="3.87"/>
    <n v="3.87"/>
    <n v="3.87"/>
    <n v="3.87"/>
    <n v="3.87"/>
    <n v="3.87"/>
    <n v="3.87"/>
    <n v="3.87"/>
    <n v="3.87"/>
    <n v="3.87"/>
    <n v="3.87"/>
    <n v="3.87"/>
    <n v="3.87"/>
    <n v="0.04"/>
    <n v="0.04"/>
    <n v="0.04"/>
    <n v="0.04"/>
    <n v="0.04"/>
    <n v="0.04"/>
    <n v="0.04"/>
    <n v="0.04"/>
    <n v="0.04"/>
    <n v="0.04"/>
    <n v="0.04"/>
    <n v="0.04"/>
    <n v="0.04"/>
    <n v="0"/>
    <n v="0"/>
    <n v="0"/>
    <n v="0"/>
    <n v="3600"/>
    <n v="144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M53402-001"/>
    <s v="QUANTA"/>
    <s v="DIB"/>
  </r>
  <r>
    <s v="FY24"/>
    <s v="Allen Chen"/>
    <m/>
    <m/>
    <m/>
    <m/>
    <n v="2023"/>
    <s v="MilkaB"/>
    <s v="Mouse"/>
    <s v="NA"/>
    <s v="Black"/>
    <s v="S China"/>
    <s v="OTHERS"/>
    <n v="4.18"/>
    <n v="4.2199999999999989"/>
    <n v="4.2199999999999989"/>
    <n v="4.2199999999999989"/>
    <n v="4.2199999999999989"/>
    <n v="4.22"/>
    <n v="4.22"/>
    <n v="4.22"/>
    <n v="4.22"/>
    <n v="4.22"/>
    <n v="4.22"/>
    <n v="4.22"/>
    <n v="4.22"/>
    <n v="4.22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3V0G9AA#ABA"/>
    <s v="Ryder Indy"/>
    <s v="NA"/>
  </r>
  <r>
    <s v="FY24"/>
    <s v="Allen Chen"/>
    <m/>
    <m/>
    <m/>
    <m/>
    <n v="2023"/>
    <s v="MilkaB"/>
    <s v="Mouse"/>
    <s v="NA"/>
    <s v="Pike silver"/>
    <s v="S China"/>
    <s v="OTHERS"/>
    <n v="4.7"/>
    <n v="4.7"/>
    <n v="4.7"/>
    <n v="4.7"/>
    <n v="4.7"/>
    <n v="4.7"/>
    <n v="4.7"/>
    <n v="4.7"/>
    <n v="4.7"/>
    <n v="4.7"/>
    <n v="4.7"/>
    <n v="4.7"/>
    <n v="4.7"/>
    <n v="4.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37103-001"/>
    <s v="FOX CQ"/>
    <s v="DIB"/>
  </r>
  <r>
    <s v="FY24"/>
    <s v="Allen Chen"/>
    <m/>
    <m/>
    <m/>
    <m/>
    <n v="2023"/>
    <s v="MilkaB"/>
    <s v="Mouse"/>
    <s v="NA"/>
    <s v="Pike silver"/>
    <s v="S China"/>
    <s v="OTHERS"/>
    <n v="4.75"/>
    <n v="4.75"/>
    <n v="4.75"/>
    <n v="4.75"/>
    <n v="4.75"/>
    <n v="4.75"/>
    <n v="4.75"/>
    <n v="4.75"/>
    <n v="4.75"/>
    <n v="4.75"/>
    <n v="4.75"/>
    <n v="4.75"/>
    <n v="4.75"/>
    <n v="4.75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37103-001"/>
    <s v="QUANTA"/>
    <s v="DIB"/>
  </r>
  <r>
    <s v="FY24"/>
    <s v="Allen Chen"/>
    <m/>
    <m/>
    <m/>
    <m/>
    <n v="2023"/>
    <s v="MilkaB"/>
    <s v="Mouse"/>
    <s v="NA"/>
    <s v="Pike silver"/>
    <s v="S China"/>
    <s v="OTHERS"/>
    <n v="4.7"/>
    <n v="4.7"/>
    <n v="4.7"/>
    <n v="4.7"/>
    <n v="4.7"/>
    <n v="4.7"/>
    <n v="4.7"/>
    <n v="4.7"/>
    <n v="4.7"/>
    <n v="4.7"/>
    <n v="4.7"/>
    <n v="4.7"/>
    <n v="4.7"/>
    <n v="4.7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37103-001"/>
    <s v="Inventec"/>
    <s v="DIB"/>
  </r>
  <r>
    <s v="FY24"/>
    <s v="Allen Chen"/>
    <m/>
    <m/>
    <m/>
    <m/>
    <n v="2023"/>
    <s v="MilkaB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N37102-001"/>
    <s v="FOX CQ"/>
    <s v="DIB"/>
  </r>
  <r>
    <s v="FY24"/>
    <s v="Allen Chen"/>
    <m/>
    <m/>
    <m/>
    <m/>
    <n v="2023"/>
    <s v="MilkaB"/>
    <s v="Mouse"/>
    <s v="NA"/>
    <s v="Black"/>
    <s v="S China"/>
    <s v="OTHERS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4.4000000000000004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6000"/>
    <n v="0"/>
    <n v="12000"/>
    <n v="0"/>
    <n v="9000"/>
    <n v="0"/>
    <n v="3000"/>
    <n v="0"/>
    <n v="6000"/>
    <n v="0"/>
    <n v="6000"/>
    <n v="0"/>
    <n v="3000"/>
    <n v="0"/>
    <n v="3000"/>
    <n v="210.00000000000003"/>
    <n v="7200"/>
    <n v="504.00000000000006"/>
    <n v="9000"/>
    <n v="630.00000000000011"/>
    <n v="9000"/>
    <n v="630.00000000000011"/>
    <n v="3000"/>
    <n v="210.00000000000003"/>
    <s v="N37102-001"/>
    <s v="QUANTA"/>
    <s v="DIB"/>
  </r>
  <r>
    <s v="FY24"/>
    <s v="Allen Chen"/>
    <m/>
    <m/>
    <m/>
    <m/>
    <n v="2023"/>
    <s v="MilkaB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3000"/>
    <n v="0"/>
    <n v="3000"/>
    <n v="0"/>
    <n v="6000"/>
    <n v="0"/>
    <n v="3000"/>
    <n v="0"/>
    <n v="6000"/>
    <n v="0"/>
    <n v="3000"/>
    <n v="0"/>
    <s v="0"/>
    <n v="0"/>
    <n v="3000"/>
    <n v="210.00000000000003"/>
    <n v="3000"/>
    <n v="210.00000000000003"/>
    <n v="6000"/>
    <n v="420.00000000000006"/>
    <n v="3000"/>
    <n v="210.00000000000003"/>
    <n v="3000"/>
    <n v="210.00000000000003"/>
    <s v="N37102-001"/>
    <s v="Inventec"/>
    <s v="DIB"/>
  </r>
  <r>
    <s v="FY24"/>
    <s v="Allen Chen"/>
    <m/>
    <m/>
    <m/>
    <m/>
    <n v="2023"/>
    <s v="MilkaB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3000"/>
    <n v="0"/>
    <n v="3000"/>
    <n v="0"/>
    <n v="3000"/>
    <n v="0"/>
    <n v="3000"/>
    <n v="210.00000000000003"/>
    <n v="3000"/>
    <n v="210.00000000000003"/>
    <n v="3000"/>
    <n v="210.00000000000003"/>
    <n v="3000"/>
    <n v="210.00000000000003"/>
    <n v="3000"/>
    <n v="210.00000000000003"/>
    <s v="N37102-001"/>
    <s v="Compal"/>
    <s v="DIB"/>
  </r>
  <r>
    <s v="FY24"/>
    <s v="Allen Chen"/>
    <m/>
    <m/>
    <m/>
    <m/>
    <n v="2023"/>
    <s v="MilkaB"/>
    <s v="Mouse"/>
    <s v="NA"/>
    <s v="Black"/>
    <s v="S China"/>
    <s v="OTHERS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3000"/>
    <n v="0"/>
    <s v="0"/>
    <n v="0"/>
    <s v="0"/>
    <n v="0"/>
    <s v="0"/>
    <n v="0"/>
    <s v="0"/>
    <n v="0"/>
    <s v="0"/>
    <n v="0"/>
    <s v="0"/>
    <n v="0"/>
    <s v="0"/>
    <n v="0"/>
    <s v="N37102-001"/>
    <s v="Wistron"/>
    <s v="DIB"/>
  </r>
  <r>
    <s v="FY24"/>
    <s v="Allen Chen"/>
    <m/>
    <m/>
    <m/>
    <m/>
    <n v="2023"/>
    <s v="MilkaB"/>
    <s v="Mouse"/>
    <s v="NA"/>
    <s v="Black"/>
    <s v="S China"/>
    <s v="OTHERS"/>
    <m/>
    <m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4.3499999999999996"/>
    <n v="0"/>
    <n v="0"/>
    <n v="0"/>
    <n v="0"/>
    <n v="0"/>
    <n v="0"/>
    <n v="0"/>
    <n v="0"/>
    <n v="7.0000000000000007E-2"/>
    <n v="7.0000000000000007E-2"/>
    <n v="7.0000000000000007E-2"/>
    <n v="7.0000000000000007E-2"/>
    <n v="7.0000000000000007E-2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2400"/>
    <n v="168.00000000000003"/>
    <s v="0"/>
    <n v="0"/>
    <s v="0"/>
    <n v="0"/>
    <s v="N37102-001"/>
    <s v="HP Japan"/>
    <s v="DIB"/>
  </r>
  <r>
    <s v="FY24"/>
    <s v="Simon Yang"/>
    <m/>
    <m/>
    <m/>
    <m/>
    <n v="2020"/>
    <s v="Brac"/>
    <s v="Combo"/>
    <s v="NA"/>
    <s v="Black"/>
    <s v="S China"/>
    <s v="OTHERS"/>
    <n v="9.32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9.7200000000000006"/>
    <n v="0.18"/>
    <n v="0.18"/>
    <n v="0.18"/>
    <n v="0.18"/>
    <n v="0.18"/>
    <n v="0.18"/>
    <n v="0.18"/>
    <n v="0.18"/>
    <n v="0.18"/>
    <n v="0.18"/>
    <n v="0.18"/>
    <n v="0.18"/>
    <n v="0.18"/>
    <n v="2160"/>
    <n v="388.8"/>
    <n v="3240"/>
    <n v="583.19999999999993"/>
    <n v="3240"/>
    <n v="583.19999999999993"/>
    <n v="3240"/>
    <n v="583.19999999999993"/>
    <n v="6480"/>
    <n v="1166.3999999999999"/>
    <n v="3240"/>
    <n v="583.19999999999993"/>
    <n v="9720"/>
    <n v="1749.6"/>
    <n v="2160"/>
    <n v="388.8"/>
    <n v="4320"/>
    <n v="777.6"/>
    <n v="4320"/>
    <n v="777.6"/>
    <n v="5400"/>
    <n v="972"/>
    <n v="3240"/>
    <n v="583.19999999999993"/>
    <s v="M40045-161"/>
    <s v="QUANTA"/>
    <s v="DIB"/>
  </r>
  <r>
    <s v="FY24"/>
    <s v="Simon Yang"/>
    <m/>
    <m/>
    <m/>
    <m/>
    <n v="2021"/>
    <s v="BracWhiteComb"/>
    <s v="Combo"/>
    <s v="NA"/>
    <s v="White"/>
    <s v="S China"/>
    <s v="OTHERS"/>
    <n v="10.88"/>
    <n v="11.28"/>
    <n v="11.28"/>
    <n v="11.28"/>
    <n v="11.28"/>
    <n v="11.28"/>
    <n v="11.28"/>
    <n v="11.28"/>
    <n v="11.28"/>
    <n v="11.28"/>
    <n v="11.28"/>
    <n v="11.28"/>
    <n v="11.28"/>
    <n v="11.28"/>
    <n v="0.21"/>
    <n v="0.21"/>
    <n v="0.21"/>
    <n v="0.21"/>
    <n v="0.21"/>
    <n v="0.21"/>
    <n v="0.21"/>
    <n v="0.21"/>
    <n v="0.21"/>
    <n v="0.21"/>
    <n v="0.21"/>
    <n v="0.21"/>
    <n v="0.21"/>
    <n v="5040"/>
    <n v="1058.3999999999999"/>
    <n v="2520"/>
    <n v="529.19999999999993"/>
    <n v="2520"/>
    <n v="529.19999999999993"/>
    <n v="2520"/>
    <n v="529.19999999999993"/>
    <n v="5040"/>
    <n v="1058.3999999999999"/>
    <n v="2520"/>
    <n v="529.19999999999993"/>
    <n v="5040"/>
    <n v="1058.3999999999999"/>
    <s v="0"/>
    <n v="0"/>
    <n v="2520"/>
    <n v="529.19999999999993"/>
    <n v="2520"/>
    <n v="529.19999999999993"/>
    <n v="2520"/>
    <n v="529.19999999999993"/>
    <s v="0"/>
    <n v="0"/>
    <s v="M40043-161"/>
    <s v="QUANTA"/>
    <s v="DIB"/>
  </r>
  <r>
    <s v="FY24"/>
    <s v="Allen Chen"/>
    <m/>
    <m/>
    <m/>
    <m/>
    <n v="2020"/>
    <s v="Oreo"/>
    <s v="Mouse"/>
    <s v="NA"/>
    <s v="Black"/>
    <s v="S China"/>
    <s v="OTHERS"/>
    <n v="1.61"/>
    <n v="1.61"/>
    <n v="1.61"/>
    <n v="1.61"/>
    <n v="1.61"/>
    <n v="1.61"/>
    <n v="1.61"/>
    <n v="1.61"/>
    <n v="1.61"/>
    <n v="1.61"/>
    <n v="1.61"/>
    <n v="1.61"/>
    <n v="1.61"/>
    <n v="1.61"/>
    <n v="0"/>
    <n v="0"/>
    <n v="0"/>
    <n v="0"/>
    <n v="0"/>
    <n v="0"/>
    <n v="0"/>
    <n v="0"/>
    <n v="0"/>
    <n v="0"/>
    <n v="0"/>
    <n v="0"/>
    <n v="0"/>
    <n v="6720"/>
    <n v="0"/>
    <n v="40320"/>
    <n v="0"/>
    <n v="33600"/>
    <n v="0"/>
    <n v="0"/>
    <n v="0"/>
    <n v="25920"/>
    <n v="0"/>
    <n v="31680"/>
    <n v="0"/>
    <n v="20160"/>
    <n v="0"/>
    <n v="13440"/>
    <n v="0"/>
    <s v="0"/>
    <n v="0"/>
    <n v="6720"/>
    <n v="0"/>
    <n v="6720"/>
    <n v="0"/>
    <s v="0"/>
    <n v="0"/>
    <s v="240J6AA#ABB"/>
    <s v="Foxconn CZ"/>
    <s v="EMEA"/>
  </r>
  <r>
    <s v="FY24"/>
    <s v="Allen Chen"/>
    <m/>
    <m/>
    <m/>
    <m/>
    <n v="2020"/>
    <s v="OreoBPS"/>
    <s v="Mouse"/>
    <s v="NA"/>
    <s v="Black"/>
    <s v="S China"/>
    <s v="OTHERS"/>
    <n v="1.65"/>
    <n v="1.65"/>
    <n v="1.65"/>
    <n v="1.65"/>
    <n v="1.65"/>
    <n v="1.65"/>
    <n v="1.65"/>
    <n v="1.65"/>
    <n v="1.65"/>
    <n v="1.65"/>
    <n v="1.65"/>
    <n v="1.65"/>
    <n v="1.65"/>
    <n v="1.6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5B8B7AA#ACJ"/>
    <s v="HP India"/>
    <s v="APJ"/>
  </r>
  <r>
    <s v="FY24"/>
    <s v="Allen Chen"/>
    <m/>
    <m/>
    <m/>
    <m/>
    <n v="2020"/>
    <s v="Kenting"/>
    <s v="Mouse"/>
    <s v="NA"/>
    <s v="Jack Black"/>
    <s v="S China"/>
    <s v="OTHERS"/>
    <n v="3.79"/>
    <n v="3.91"/>
    <n v="3.91"/>
    <n v="3.91"/>
    <n v="3.91"/>
    <n v="3.91"/>
    <n v="3.91"/>
    <n v="3.91"/>
    <n v="3.91"/>
    <n v="3.91"/>
    <n v="3.91"/>
    <n v="3.91"/>
    <n v="3.91"/>
    <n v="3.91"/>
    <n v="0"/>
    <n v="0"/>
    <n v="0"/>
    <n v="0"/>
    <n v="0"/>
    <n v="0"/>
    <n v="0"/>
    <n v="0"/>
    <n v="0"/>
    <n v="0"/>
    <n v="0"/>
    <n v="0"/>
    <n v="0"/>
    <n v="0"/>
    <n v="0"/>
    <n v="8640"/>
    <n v="0"/>
    <n v="37440"/>
    <n v="0"/>
    <n v="23040"/>
    <n v="0"/>
    <n v="28800"/>
    <n v="0"/>
    <n v="50320"/>
    <n v="0"/>
    <n v="14960"/>
    <n v="0"/>
    <s v="0"/>
    <n v="0"/>
    <s v="0"/>
    <n v="0"/>
    <s v="0"/>
    <n v="0"/>
    <s v="0"/>
    <n v="0"/>
    <s v="0"/>
    <n v="0"/>
    <s v="6VY95AA#ABB"/>
    <s v="Foxconn CZ"/>
    <s v="EMEA"/>
  </r>
  <r>
    <s v="FY24"/>
    <s v="Allen Chen"/>
    <m/>
    <m/>
    <m/>
    <m/>
    <n v="2020"/>
    <s v="Kenting"/>
    <s v="Mouse"/>
    <s v="NA"/>
    <s v="Jack Black"/>
    <s v="S China"/>
    <s v="OTHERS"/>
    <n v="3.75"/>
    <n v="3.87"/>
    <n v="3.87"/>
    <n v="3.87"/>
    <n v="3.87"/>
    <n v="3.87"/>
    <n v="3.87"/>
    <n v="3.87"/>
    <n v="3.87"/>
    <n v="3.87"/>
    <n v="3.87"/>
    <n v="3.87"/>
    <n v="3.87"/>
    <n v="3.87"/>
    <n v="0"/>
    <n v="0"/>
    <n v="0"/>
    <n v="0"/>
    <n v="0"/>
    <n v="0"/>
    <n v="0"/>
    <n v="0"/>
    <n v="0"/>
    <n v="0"/>
    <n v="0"/>
    <n v="0"/>
    <n v="0"/>
    <n v="0"/>
    <n v="0"/>
    <n v="0"/>
    <n v="0"/>
    <n v="2880"/>
    <n v="0"/>
    <n v="0"/>
    <n v="0"/>
    <n v="2880"/>
    <n v="0"/>
    <n v="8640"/>
    <n v="0"/>
    <s v="0"/>
    <n v="0"/>
    <n v="8640"/>
    <n v="0"/>
    <n v="8640"/>
    <n v="0"/>
    <s v="0"/>
    <n v="0"/>
    <n v="2880"/>
    <n v="0"/>
    <s v="0"/>
    <n v="0"/>
    <s v="6VY95AA#ACJ"/>
    <s v="HP India"/>
    <s v="APJ"/>
  </r>
  <r>
    <s v="FY24"/>
    <s v="Allen Chen"/>
    <m/>
    <m/>
    <m/>
    <m/>
    <n v="2023"/>
    <s v="Sochi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320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8R3U1AA#ABA"/>
    <s v="Foxconn LH"/>
    <s v="NA/LA"/>
  </r>
  <r>
    <s v="FY24"/>
    <s v="Allen Chen"/>
    <m/>
    <m/>
    <m/>
    <m/>
    <n v="2023"/>
    <s v="Sochi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3200"/>
    <n v="0"/>
    <n v="3200"/>
    <n v="0"/>
    <n v="0"/>
    <n v="0"/>
    <n v="6400"/>
    <n v="0"/>
    <n v="3200"/>
    <n v="0"/>
    <n v="6400"/>
    <n v="0"/>
    <s v="0"/>
    <n v="0"/>
    <s v="0"/>
    <n v="0"/>
    <s v="0"/>
    <n v="0"/>
    <s v="0"/>
    <n v="0"/>
    <s v="0"/>
    <n v="0"/>
    <s v="8R3U1AA#ABB"/>
    <s v="Foxconn CZ"/>
    <s v="EMEA"/>
  </r>
  <r>
    <s v="FY24"/>
    <s v="Allen Chen"/>
    <m/>
    <m/>
    <m/>
    <m/>
    <n v="2023"/>
    <s v="Sochi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8R3U1AA#ACJ"/>
    <s v="HP India"/>
    <s v="APJ"/>
  </r>
  <r>
    <s v="FY24"/>
    <s v="Allen Chen"/>
    <m/>
    <m/>
    <m/>
    <m/>
    <n v="2023"/>
    <s v="Sochi"/>
    <s v="Mouse"/>
    <s v="NA"/>
    <s v="Black"/>
    <s v="S China"/>
    <s v="OTHERS"/>
    <n v="5.4"/>
    <n v="5.4"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640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8R3U1AA#UUF"/>
    <s v="Foxconn LH"/>
    <s v="APJ"/>
  </r>
  <r>
    <s v="FY24"/>
    <s v="Allen Chen"/>
    <m/>
    <m/>
    <m/>
    <m/>
    <n v="2023"/>
    <s v="Sochi"/>
    <s v="Mouse"/>
    <s v="NA"/>
    <s v="Black"/>
    <s v="S China"/>
    <s v="OTHERS"/>
    <m/>
    <m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3200"/>
    <n v="0"/>
    <s v="0"/>
    <n v="0"/>
    <s v="0"/>
    <n v="0"/>
    <s v="8R3U1UT#ABA"/>
    <s v="Foxconn LH"/>
    <s v="NA/LA"/>
  </r>
  <r>
    <s v="FY24"/>
    <s v="Allen Chen"/>
    <m/>
    <m/>
    <m/>
    <m/>
    <n v="2023"/>
    <s v="Sochi"/>
    <s v="Mouse"/>
    <s v="NA"/>
    <s v="Black"/>
    <s v="S China"/>
    <s v="OTHERS"/>
    <m/>
    <m/>
    <n v="5.4"/>
    <n v="5.4"/>
    <n v="5.4"/>
    <n v="5.4"/>
    <n v="5.4"/>
    <n v="5.4"/>
    <n v="5.4"/>
    <n v="5.4"/>
    <n v="5.4"/>
    <n v="5.4"/>
    <n v="5.4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n v="0"/>
    <n v="0"/>
    <n v="0"/>
    <n v="0"/>
    <n v="3200"/>
    <n v="0"/>
    <n v="3200"/>
    <n v="0"/>
    <s v="8R3U1UT#ABB"/>
    <s v="Foxconn CZ"/>
    <s v="EMEA"/>
  </r>
  <r>
    <s v="FY24"/>
    <s v="Allen Chen"/>
    <m/>
    <m/>
    <m/>
    <m/>
    <n v="2020"/>
    <s v="Jaipur"/>
    <s v="Mouse"/>
    <s v="NA"/>
    <s v="Black"/>
    <s v="S China"/>
    <s v="OTHERS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850633-001"/>
    <s v="Huaqin"/>
    <s v="DIB"/>
  </r>
  <r>
    <s v="FY24"/>
    <s v="Simon Yang"/>
    <m/>
    <m/>
    <m/>
    <m/>
    <n v="2018"/>
    <s v="Nanjing"/>
    <s v="NBL KB"/>
    <s v="NA"/>
    <s v="Black"/>
    <s v="S China"/>
    <s v="OTHERS"/>
    <n v="3.88"/>
    <n v="3.88"/>
    <n v="3.88"/>
    <n v="3.88"/>
    <n v="3.88"/>
    <n v="3.88"/>
    <n v="3.88"/>
    <n v="3.88"/>
    <n v="3.88"/>
    <n v="3.88"/>
    <n v="3.88"/>
    <n v="3.88"/>
    <n v="3.88"/>
    <n v="3.88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L07896-DB1"/>
    <s v="Huaqin"/>
    <s v="DIB"/>
  </r>
  <r>
    <s v="FY24"/>
    <m/>
    <m/>
    <m/>
    <m/>
    <m/>
    <n v="2021"/>
    <s v="Ivy dongle"/>
    <s v="Others"/>
    <s v="NA"/>
    <s v="Silver"/>
    <s v="S China"/>
    <s v="OTHERS"/>
    <n v="3.37"/>
    <n v="3.37"/>
    <n v="3.37"/>
    <n v="3.37"/>
    <n v="3.37"/>
    <n v="3.37"/>
    <n v="3.37"/>
    <n v="3.37"/>
    <n v="3.37"/>
    <n v="3.37"/>
    <n v="3.37"/>
    <n v="3.37"/>
    <n v="3.37"/>
    <n v="3.37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6E+P8C01.011"/>
    <s v="Darfon"/>
    <s v="DIB"/>
  </r>
  <r>
    <s v="FY24"/>
    <m/>
    <m/>
    <m/>
    <m/>
    <m/>
    <n v="2021"/>
    <s v="Ivy dongle"/>
    <s v="Others"/>
    <s v="NA"/>
    <s v="Silver"/>
    <s v="S China"/>
    <s v="OTHERS"/>
    <n v="3.26"/>
    <n v="3.26"/>
    <n v="3.26"/>
    <n v="3.26"/>
    <n v="3.26"/>
    <n v="3.26"/>
    <n v="3.26"/>
    <n v="3.26"/>
    <n v="3.26"/>
    <n v="3.26"/>
    <n v="3.26"/>
    <n v="3.26"/>
    <n v="3.26"/>
    <n v="3.26"/>
    <n v="0"/>
    <n v="0"/>
    <n v="0"/>
    <n v="0"/>
    <n v="0"/>
    <n v="0"/>
    <n v="0"/>
    <n v="0"/>
    <n v="0"/>
    <n v="0"/>
    <n v="0"/>
    <n v="0"/>
    <n v="0"/>
    <n v="2000"/>
    <n v="0"/>
    <n v="0"/>
    <n v="0"/>
    <s v="0"/>
    <n v="0"/>
    <n v="0"/>
    <n v="0"/>
    <n v="1000"/>
    <n v="0"/>
    <s v="0"/>
    <n v="0"/>
    <s v="0"/>
    <n v="0"/>
    <s v="0"/>
    <n v="0"/>
    <s v="0"/>
    <n v="0"/>
    <s v="0"/>
    <n v="0"/>
    <s v="0"/>
    <n v="0"/>
    <s v="0"/>
    <n v="0"/>
    <s v="6E+P8C01.001"/>
    <s v="Darfon"/>
    <s v="DIB"/>
  </r>
  <r>
    <s v="FY24"/>
    <s v="Simon Yang"/>
    <m/>
    <m/>
    <m/>
    <m/>
    <n v="2018"/>
    <s v="Nanjing"/>
    <s v="NBL KB"/>
    <s v="NA"/>
    <s v="Black"/>
    <s v="S China"/>
    <s v="OTHERS"/>
    <n v="3.65"/>
    <n v="3.65"/>
    <n v="3.65"/>
    <n v="3.65"/>
    <n v="3.65"/>
    <n v="3.65"/>
    <n v="3.65"/>
    <n v="3.65"/>
    <n v="3.65"/>
    <n v="3.65"/>
    <n v="3.65"/>
    <n v="3.65"/>
    <n v="3.65"/>
    <n v="3.65"/>
    <n v="0"/>
    <n v="0"/>
    <n v="0"/>
    <n v="0"/>
    <n v="0"/>
    <n v="0"/>
    <n v="0"/>
    <n v="0"/>
    <n v="0"/>
    <n v="0"/>
    <n v="0"/>
    <n v="0"/>
    <n v="0"/>
    <n v="0"/>
    <n v="0"/>
    <n v="0"/>
    <n v="0"/>
    <s v="0"/>
    <n v="0"/>
    <n v="1890"/>
    <n v="0"/>
    <n v="1890"/>
    <n v="0"/>
    <n v="7560"/>
    <n v="0"/>
    <s v="0"/>
    <n v="0"/>
    <s v="0"/>
    <n v="0"/>
    <n v="1890"/>
    <n v="0"/>
    <n v="1890"/>
    <n v="0"/>
    <n v="1890"/>
    <n v="0"/>
    <s v="0"/>
    <n v="0"/>
    <s v="2UN30AA#AB2"/>
    <s v="Shanghai"/>
    <s v="APJ"/>
  </r>
  <r>
    <s v="FY24"/>
    <s v="Allen Chen"/>
    <m/>
    <m/>
    <m/>
    <m/>
    <n v="2023"/>
    <s v="Buble 2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n v="11.2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2880"/>
    <n v="0"/>
    <n v="1440"/>
    <n v="0"/>
    <n v="1440"/>
    <n v="648"/>
    <s v="0"/>
    <n v="0"/>
    <s v="9C2F6AA#ABA"/>
    <s v="Foxconn LH"/>
    <s v="NA/LA"/>
  </r>
  <r>
    <s v="FY24"/>
    <s v="Allen Chen"/>
    <m/>
    <m/>
    <m/>
    <m/>
    <n v="2023"/>
    <s v="Buble 2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n v="11.2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1440"/>
    <n v="0"/>
    <s v="0"/>
    <n v="0"/>
    <n v="1440"/>
    <n v="648"/>
    <s v="0"/>
    <n v="0"/>
    <s v="9C2F6AA#ABB"/>
    <s v="Foxconn CZ"/>
    <s v="EMEA"/>
  </r>
  <r>
    <s v="FY24"/>
    <s v="Allen Chen"/>
    <m/>
    <m/>
    <m/>
    <m/>
    <n v="2023"/>
    <s v="Buble 2"/>
    <s v="Mouse"/>
    <s v="NA"/>
    <s v="Black"/>
    <s v="S China"/>
    <s v="OTHERS"/>
    <m/>
    <m/>
    <n v="11.2"/>
    <n v="11.2"/>
    <n v="11.2"/>
    <n v="11.2"/>
    <n v="11.2"/>
    <n v="11.2"/>
    <n v="11.2"/>
    <n v="11.2"/>
    <n v="11.2"/>
    <n v="11.2"/>
    <n v="11.2"/>
    <n v="11.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  <s v="9C2F6AA#UUF"/>
    <s v="Foxconn LH"/>
    <s v="APJ"/>
  </r>
  <r>
    <s v="FY24"/>
    <s v="Allen Chen"/>
    <m/>
    <m/>
    <m/>
    <m/>
    <n v="2023"/>
    <s v="Buble 2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n v="11.22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  <s v="9C2F7AA#ABA"/>
    <s v="Foxconn LH"/>
    <s v="NA/LA"/>
  </r>
  <r>
    <s v="FY24"/>
    <s v="Allen Chen"/>
    <m/>
    <m/>
    <m/>
    <m/>
    <n v="2023"/>
    <s v="Buble 2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n v="11.22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n v="1440"/>
    <n v="0"/>
    <n v="14400"/>
    <n v="0"/>
    <s v="0"/>
    <n v="0"/>
    <s v="0"/>
    <n v="0"/>
    <s v="9C2F7AA#ABB"/>
    <s v="Foxconn CZ"/>
    <s v="EMEA"/>
  </r>
  <r>
    <s v="FY24"/>
    <s v="Allen Chen"/>
    <m/>
    <m/>
    <m/>
    <m/>
    <n v="2023"/>
    <s v="Buble 2"/>
    <s v="Mouse"/>
    <s v="NA"/>
    <s v="Black"/>
    <s v="S China"/>
    <s v="OTHERS"/>
    <m/>
    <m/>
    <n v="11.22"/>
    <n v="11.22"/>
    <n v="11.22"/>
    <n v="11.22"/>
    <n v="11.22"/>
    <n v="11.22"/>
    <n v="11.22"/>
    <n v="11.22"/>
    <n v="11.22"/>
    <n v="11.22"/>
    <n v="11.22"/>
    <n v="11.22"/>
    <n v="0"/>
    <n v="0"/>
    <n v="0"/>
    <n v="0"/>
    <n v="0"/>
    <n v="0"/>
    <n v="0"/>
    <n v="0"/>
    <n v="0"/>
    <n v="0"/>
    <n v="0"/>
    <n v="0.45"/>
    <n v="0.45"/>
    <n v="0"/>
    <n v="0"/>
    <n v="0"/>
    <n v="0"/>
    <s v="0"/>
    <n v="0"/>
    <n v="0"/>
    <n v="0"/>
    <n v="0"/>
    <n v="0"/>
    <s v="0"/>
    <n v="0"/>
    <s v="0"/>
    <n v="0"/>
    <s v="0"/>
    <n v="0"/>
    <s v="0"/>
    <n v="0"/>
    <n v="1440"/>
    <n v="0"/>
    <s v="0"/>
    <n v="0"/>
    <s v="0"/>
    <n v="0"/>
    <s v="9C2F7AA#UUF"/>
    <s v="Foxconn LH"/>
    <s v="APJ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040"/>
    <n v="1414.4"/>
    <s v="0"/>
    <n v="0"/>
    <s v="9T5A9AA#ABA"/>
    <s v="Foxconn LH"/>
    <s v="NA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9T5A9AA#ABJ"/>
    <s v="Foxconn LH"/>
    <s v="APJ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2080"/>
    <n v="2828.8"/>
    <s v="9T5A9AA#AC3"/>
    <s v="Flextronics CZ"/>
    <s v="EMEA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1"/>
    <n v="29.21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040"/>
    <n v="1414.4"/>
    <s v="9T5A9AA#UUF"/>
    <s v="Foxconn LH"/>
    <s v="APJ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040"/>
    <n v="1414.4"/>
    <s v="0"/>
    <n v="0"/>
    <s v="9T5B0UT#ABA"/>
    <s v="Foxconn LH"/>
    <s v="NA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9T5B0UT#ABJ"/>
    <s v="Foxconn LH"/>
    <s v="APJ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6240"/>
    <n v="8486.4000000000015"/>
    <s v="9T5B0UT#AC3"/>
    <s v="Flextronics CZ"/>
    <s v="EMEA"/>
  </r>
  <r>
    <s v="FY24"/>
    <s v="Allen Chen"/>
    <m/>
    <m/>
    <m/>
    <m/>
    <n v="2023"/>
    <s v="Jazz"/>
    <s v="Combo"/>
    <s v="NA"/>
    <s v="Black"/>
    <s v="S China"/>
    <s v="OTHERS"/>
    <m/>
    <m/>
    <n v="0"/>
    <n v="0"/>
    <n v="0"/>
    <n v="0"/>
    <n v="0"/>
    <n v="0"/>
    <n v="0"/>
    <n v="0"/>
    <n v="0"/>
    <n v="0"/>
    <n v="29.26"/>
    <n v="29.26"/>
    <n v="0"/>
    <n v="0"/>
    <n v="0"/>
    <n v="0"/>
    <n v="0"/>
    <n v="0"/>
    <n v="0"/>
    <n v="0"/>
    <n v="0"/>
    <n v="0"/>
    <n v="0"/>
    <n v="1.36"/>
    <n v="1.36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040"/>
    <n v="1414.4"/>
    <s v="9T5B0UT#UUF"/>
    <s v="Foxconn LH"/>
    <s v="APJ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  <s v="9T5B1AA#ABA"/>
    <s v="Foxconn LH"/>
    <s v="NA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9T5B1AA#ABJ"/>
    <s v="Foxconn LH"/>
    <s v="APJ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9T5B1AA#ABM"/>
    <s v="Foxconn LH"/>
    <s v="LA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200"/>
    <n v="1128"/>
    <n v="1200"/>
    <n v="1128"/>
    <s v="9T5B1AA#AC3"/>
    <s v="Flextronics CZ"/>
    <s v="EMEA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1"/>
    <n v="20.91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  <s v="9T5B1AA#UUF"/>
    <s v="Foxconn LH"/>
    <s v="APJ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n v="1200"/>
    <n v="1128"/>
    <s v="0"/>
    <n v="0"/>
    <s v="9T5B2AA#ABA"/>
    <s v="Foxconn LH"/>
    <s v="NA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9T5B2AA#ABJ"/>
    <s v="Foxconn LH"/>
    <s v="APJ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s v="0"/>
    <n v="0"/>
    <s v="9T5B2AA#ABM"/>
    <s v="Foxconn LH"/>
    <s v="LA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4800"/>
    <n v="4512"/>
    <s v="9T5B2AA#AC3"/>
    <s v="Flextronics CZ"/>
    <s v="EMEA"/>
  </r>
  <r>
    <s v="FY24"/>
    <s v="Allen Chen"/>
    <m/>
    <m/>
    <m/>
    <m/>
    <n v="2023"/>
    <s v="Jazz KB"/>
    <s v="NBL KB"/>
    <s v="NA"/>
    <s v="Black"/>
    <s v="S China"/>
    <s v="OTHERS"/>
    <m/>
    <m/>
    <n v="0"/>
    <n v="0"/>
    <n v="0"/>
    <n v="0"/>
    <n v="0"/>
    <n v="0"/>
    <n v="0"/>
    <n v="0"/>
    <n v="0"/>
    <n v="0"/>
    <n v="20.96"/>
    <n v="20.96"/>
    <n v="0"/>
    <n v="0"/>
    <n v="0"/>
    <n v="0"/>
    <n v="0"/>
    <n v="0"/>
    <n v="0"/>
    <n v="0"/>
    <n v="0"/>
    <n v="0"/>
    <n v="0"/>
    <n v="0.94"/>
    <n v="0.94"/>
    <n v="0"/>
    <n v="0"/>
    <n v="0"/>
    <n v="0"/>
    <s v="0"/>
    <n v="0"/>
    <n v="0"/>
    <n v="0"/>
    <n v="0"/>
    <n v="0"/>
    <s v="0"/>
    <n v="0"/>
    <s v="0"/>
    <n v="0"/>
    <s v="0"/>
    <n v="0"/>
    <s v="0"/>
    <n v="0"/>
    <s v="0"/>
    <n v="0"/>
    <s v="0"/>
    <n v="0"/>
    <n v="1200"/>
    <n v="1128"/>
    <s v="9T5B2AA#UUF"/>
    <s v="Foxconn LH"/>
    <s v="APJ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37784.5600000005"/>
    <m/>
    <n v="2786280.96"/>
    <m/>
    <n v="3925223.959999999"/>
    <m/>
    <n v="1008146.66"/>
    <m/>
    <n v="3558601.1"/>
    <m/>
    <n v="4370145.4000000004"/>
    <m/>
    <n v="3967566.36"/>
    <m/>
    <n v="3511636.439999999"/>
    <m/>
    <n v="2750885.94"/>
    <m/>
    <n v="3071729.0999999992"/>
    <m/>
    <n v="4225467.5"/>
    <m/>
    <n v="3052487.3599999989"/>
    <m/>
    <n v="38865955.339999996"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3E0DA-53F8-4C21-B738-A3BD609BCB14}" name="樞紐分析表16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E31" firstHeaderRow="2" firstDataRow="2" firstDataCol="4"/>
  <pivotFields count="6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3">
        <item h="1" x="0"/>
        <item x="1"/>
        <item h="1" m="1" x="34"/>
        <item h="1" m="1" x="35"/>
        <item h="1" x="4"/>
        <item h="1" x="19"/>
        <item h="1" x="31"/>
        <item h="1" x="23"/>
        <item h="1" x="5"/>
        <item h="1" m="1" x="36"/>
        <item h="1" m="1" x="37"/>
        <item h="1" x="8"/>
        <item h="1" x="20"/>
        <item h="1" x="9"/>
        <item h="1" x="10"/>
        <item h="1" x="24"/>
        <item h="1" x="30"/>
        <item h="1" x="28"/>
        <item h="1" x="32"/>
        <item h="1" x="11"/>
        <item h="1" x="27"/>
        <item h="1" m="1" x="38"/>
        <item h="1" x="13"/>
        <item h="1" x="14"/>
        <item h="1" x="15"/>
        <item h="1" m="1" x="39"/>
        <item h="1" m="1" x="40"/>
        <item h="1" x="29"/>
        <item h="1" x="18"/>
        <item h="1" x="22"/>
        <item h="1" m="1" x="41"/>
        <item h="1" x="21"/>
        <item h="1" x="2"/>
        <item h="1" x="3"/>
        <item h="1" x="6"/>
        <item h="1" x="7"/>
        <item h="1" x="12"/>
        <item h="1" x="16"/>
        <item h="1" x="17"/>
        <item h="1" x="25"/>
        <item h="1" x="26"/>
        <item h="1" x="3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4">
        <item x="132"/>
        <item x="123"/>
        <item x="59"/>
        <item x="58"/>
        <item x="52"/>
        <item x="1"/>
        <item x="14"/>
        <item x="51"/>
        <item x="53"/>
        <item x="26"/>
        <item x="0"/>
        <item x="2"/>
        <item x="126"/>
        <item x="62"/>
        <item x="128"/>
        <item x="19"/>
        <item x="61"/>
        <item x="60"/>
        <item x="127"/>
        <item x="129"/>
        <item x="96"/>
        <item x="114"/>
        <item x="44"/>
        <item x="98"/>
        <item x="97"/>
        <item x="63"/>
        <item x="115"/>
        <item x="45"/>
        <item x="12"/>
        <item x="124"/>
        <item x="25"/>
        <item x="47"/>
        <item x="46"/>
        <item x="116"/>
        <item x="64"/>
        <item x="50"/>
        <item x="66"/>
        <item x="119"/>
        <item x="65"/>
        <item x="49"/>
        <item x="74"/>
        <item x="120"/>
        <item x="70"/>
        <item x="72"/>
        <item x="17"/>
        <item x="69"/>
        <item x="73"/>
        <item x="71"/>
        <item x="48"/>
        <item x="27"/>
        <item x="21"/>
        <item x="75"/>
        <item x="104"/>
        <item x="67"/>
        <item x="117"/>
        <item x="68"/>
        <item x="118"/>
        <item x="13"/>
        <item x="22"/>
        <item x="38"/>
        <item x="11"/>
        <item x="112"/>
        <item x="94"/>
        <item x="34"/>
        <item x="95"/>
        <item x="23"/>
        <item x="106"/>
        <item x="110"/>
        <item x="10"/>
        <item x="40"/>
        <item x="32"/>
        <item x="107"/>
        <item x="113"/>
        <item x="39"/>
        <item x="125"/>
        <item x="37"/>
        <item x="33"/>
        <item x="31"/>
        <item x="111"/>
        <item x="81"/>
        <item x="42"/>
        <item x="41"/>
        <item x="24"/>
        <item x="79"/>
        <item x="108"/>
        <item x="43"/>
        <item x="80"/>
        <item x="109"/>
        <item x="28"/>
        <item x="29"/>
        <item x="99"/>
        <item x="100"/>
        <item x="30"/>
        <item x="91"/>
        <item x="92"/>
        <item x="105"/>
        <item x="90"/>
        <item x="89"/>
        <item x="7"/>
        <item x="102"/>
        <item x="101"/>
        <item x="103"/>
        <item x="93"/>
        <item x="15"/>
        <item x="86"/>
        <item x="83"/>
        <item x="84"/>
        <item x="82"/>
        <item x="4"/>
        <item x="5"/>
        <item x="85"/>
        <item x="3"/>
        <item x="121"/>
        <item x="77"/>
        <item x="76"/>
        <item x="78"/>
        <item x="18"/>
        <item x="88"/>
        <item x="87"/>
        <item x="6"/>
        <item x="130"/>
        <item x="131"/>
        <item x="122"/>
        <item x="16"/>
        <item x="54"/>
        <item x="36"/>
        <item x="20"/>
        <item x="35"/>
        <item x="57"/>
        <item x="9"/>
        <item x="55"/>
        <item x="8"/>
        <item x="5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49">
        <item x="67"/>
        <item x="146"/>
        <item x="147"/>
        <item x="144"/>
        <item x="5"/>
        <item x="143"/>
        <item x="145"/>
        <item x="89"/>
        <item x="17"/>
        <item x="90"/>
        <item x="91"/>
        <item x="9"/>
        <item x="92"/>
        <item x="8"/>
        <item x="10"/>
        <item x="93"/>
        <item x="149"/>
        <item x="150"/>
        <item x="153"/>
        <item x="151"/>
        <item x="3"/>
        <item x="152"/>
        <item x="148"/>
        <item x="4"/>
        <item x="154"/>
        <item x="155"/>
        <item x="156"/>
        <item x="157"/>
        <item x="159"/>
        <item x="158"/>
        <item x="210"/>
        <item x="97"/>
        <item x="99"/>
        <item x="98"/>
        <item x="171"/>
        <item x="170"/>
        <item x="11"/>
        <item x="169"/>
        <item x="168"/>
        <item x="167"/>
        <item x="26"/>
        <item x="71"/>
        <item x="72"/>
        <item x="74"/>
        <item x="73"/>
        <item x="76"/>
        <item x="75"/>
        <item x="77"/>
        <item x="78"/>
        <item x="79"/>
        <item x="20"/>
        <item x="103"/>
        <item x="100"/>
        <item x="102"/>
        <item x="101"/>
        <item x="224"/>
        <item x="186"/>
        <item x="185"/>
        <item x="16"/>
        <item x="184"/>
        <item x="183"/>
        <item x="182"/>
        <item x="28"/>
        <item x="29"/>
        <item x="165"/>
        <item x="166"/>
        <item x="163"/>
        <item x="7"/>
        <item x="162"/>
        <item x="164"/>
        <item x="160"/>
        <item x="6"/>
        <item x="161"/>
        <item x="138"/>
        <item x="139"/>
        <item x="19"/>
        <item x="137"/>
        <item x="205"/>
        <item x="107"/>
        <item x="108"/>
        <item x="109"/>
        <item x="110"/>
        <item x="22"/>
        <item x="111"/>
        <item x="112"/>
        <item x="113"/>
        <item x="114"/>
        <item x="115"/>
        <item x="116"/>
        <item x="126"/>
        <item x="125"/>
        <item x="18"/>
        <item x="123"/>
        <item x="124"/>
        <item x="129"/>
        <item x="128"/>
        <item x="127"/>
        <item x="130"/>
        <item x="1"/>
        <item x="2"/>
        <item x="0"/>
        <item x="65"/>
        <item x="211"/>
        <item x="12"/>
        <item x="175"/>
        <item x="174"/>
        <item x="13"/>
        <item x="173"/>
        <item x="172"/>
        <item x="203"/>
        <item x="199"/>
        <item x="200"/>
        <item x="201"/>
        <item x="202"/>
        <item x="198"/>
        <item x="23"/>
        <item x="24"/>
        <item x="25"/>
        <item x="223"/>
        <item x="222"/>
        <item x="21"/>
        <item x="46"/>
        <item x="47"/>
        <item x="48"/>
        <item x="49"/>
        <item x="51"/>
        <item x="50"/>
        <item x="52"/>
        <item x="43"/>
        <item x="42"/>
        <item x="45"/>
        <item x="44"/>
        <item x="212"/>
        <item x="213"/>
        <item x="83"/>
        <item x="15"/>
        <item x="80"/>
        <item x="81"/>
        <item x="82"/>
        <item x="33"/>
        <item x="34"/>
        <item x="35"/>
        <item x="36"/>
        <item x="37"/>
        <item x="38"/>
        <item x="117"/>
        <item x="118"/>
        <item x="119"/>
        <item x="30"/>
        <item x="31"/>
        <item x="32"/>
        <item x="66"/>
        <item x="180"/>
        <item x="181"/>
        <item x="176"/>
        <item x="178"/>
        <item x="177"/>
        <item x="179"/>
        <item x="120"/>
        <item x="121"/>
        <item x="122"/>
        <item x="84"/>
        <item x="85"/>
        <item x="86"/>
        <item x="87"/>
        <item x="88"/>
        <item x="220"/>
        <item x="214"/>
        <item x="215"/>
        <item x="216"/>
        <item x="217"/>
        <item x="218"/>
        <item x="219"/>
        <item x="225"/>
        <item x="226"/>
        <item x="227"/>
        <item x="228"/>
        <item x="229"/>
        <item x="230"/>
        <item x="142"/>
        <item x="141"/>
        <item x="14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34"/>
        <item x="135"/>
        <item x="136"/>
        <item x="27"/>
        <item x="221"/>
        <item x="188"/>
        <item x="197"/>
        <item x="187"/>
        <item x="209"/>
        <item x="208"/>
        <item x="196"/>
        <item x="204"/>
        <item x="106"/>
        <item x="105"/>
        <item x="104"/>
        <item x="207"/>
        <item x="206"/>
        <item x="191"/>
        <item x="189"/>
        <item x="190"/>
        <item x="53"/>
        <item x="54"/>
        <item x="55"/>
        <item x="132"/>
        <item x="131"/>
        <item x="133"/>
        <item x="94"/>
        <item x="95"/>
        <item x="96"/>
        <item x="41"/>
        <item x="40"/>
        <item x="39"/>
        <item x="192"/>
        <item x="193"/>
        <item x="195"/>
        <item x="194"/>
        <item x="14"/>
        <item x="56"/>
        <item x="57"/>
        <item x="58"/>
        <item x="59"/>
        <item x="60"/>
        <item x="69"/>
        <item x="68"/>
        <item x="70"/>
        <item x="61"/>
        <item x="62"/>
        <item x="63"/>
        <item x="64"/>
      </items>
    </pivotField>
    <pivotField axis="axisRow" compact="0" outline="0" showAll="0">
      <items count="16">
        <item x="7"/>
        <item x="13"/>
        <item x="2"/>
        <item x="10"/>
        <item x="1"/>
        <item x="9"/>
        <item x="0"/>
        <item x="4"/>
        <item x="11"/>
        <item x="12"/>
        <item x="6"/>
        <item x="5"/>
        <item x="3"/>
        <item x="14"/>
        <item x="8"/>
        <item t="default"/>
      </items>
    </pivotField>
    <pivotField compact="0" outline="0" showAll="0"/>
  </pivotFields>
  <rowFields count="4">
    <field x="7"/>
    <field x="65"/>
    <field x="64"/>
    <field x="24"/>
  </rowFields>
  <rowItems count="27">
    <i>
      <x v="1"/>
      <x v="2"/>
      <x v="4"/>
      <x v="109"/>
    </i>
    <i r="2">
      <x v="20"/>
      <x v="111"/>
    </i>
    <i r="2">
      <x v="27"/>
      <x v="111"/>
    </i>
    <i t="default" r="1">
      <x v="2"/>
    </i>
    <i r="1">
      <x v="5"/>
      <x v="17"/>
      <x v="106"/>
    </i>
    <i r="2">
      <x v="18"/>
      <x v="104"/>
    </i>
    <i r="2">
      <x v="24"/>
      <x v="106"/>
    </i>
    <i r="2">
      <x v="25"/>
      <x v="104"/>
    </i>
    <i t="default" r="1">
      <x v="5"/>
    </i>
    <i r="1">
      <x v="6"/>
      <x v="1"/>
      <x v="105"/>
    </i>
    <i r="2">
      <x v="2"/>
      <x v="105"/>
    </i>
    <i r="2">
      <x v="3"/>
      <x v="107"/>
    </i>
    <i r="2">
      <x v="5"/>
      <x v="107"/>
    </i>
    <i r="2">
      <x v="6"/>
      <x v="105"/>
    </i>
    <i r="2">
      <x v="16"/>
      <x v="108"/>
    </i>
    <i r="2">
      <x v="19"/>
      <x v="110"/>
    </i>
    <i r="2">
      <x v="21"/>
      <x v="110"/>
    </i>
    <i r="2">
      <x v="22"/>
      <x v="108"/>
    </i>
    <i r="2">
      <x v="23"/>
      <x v="108"/>
    </i>
    <i r="2">
      <x v="26"/>
      <x v="110"/>
    </i>
    <i r="2">
      <x v="28"/>
      <x v="110"/>
    </i>
    <i r="2">
      <x v="29"/>
      <x v="108"/>
    </i>
    <i t="default" r="1">
      <x v="6"/>
    </i>
    <i r="1">
      <x v="11"/>
      <x v="209"/>
      <x v="112"/>
    </i>
    <i t="default" r="1">
      <x v="11"/>
    </i>
    <i t="default">
      <x v="1"/>
    </i>
    <i t="grand">
      <x/>
    </i>
  </rowItems>
  <colItems count="1">
    <i/>
  </colItems>
  <dataFields count="1">
    <dataField name="加總 - Aug Q'ty" fld="58" baseField="24" baseItem="105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5A3D9-C0EF-44B4-8404-B4645E4D8241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20" firstHeaderRow="1" firstDataRow="1" firstDataCol="0"/>
  <pivotFields count="6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898BE-FA63-4BA4-94D3-0ACAE0325205}" name="樞紐分析表4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4" firstHeaderRow="1" firstDataRow="1" firstDataCol="0"/>
  <pivotFields count="6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加總 - Jul Q'ty" fld="56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17C94-8B02-423A-930D-E32A94776C01}" name="樞紐分析表4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4" firstHeaderRow="1" firstDataRow="1" firstDataCol="0"/>
  <pivotFields count="6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加總 - Aug Q'ty" fld="58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30D15-3FF4-4D70-A629-1917983AD2B4}" name="樞紐分析表8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38" firstHeaderRow="1" firstDataRow="1" firstDataCol="1"/>
  <pivotFields count="64"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46">
        <item x="0"/>
        <item x="1"/>
        <item m="1" x="37"/>
        <item m="1" x="38"/>
        <item x="4"/>
        <item x="19"/>
        <item x="31"/>
        <item x="23"/>
        <item x="5"/>
        <item m="1" x="39"/>
        <item m="1" x="40"/>
        <item x="8"/>
        <item x="20"/>
        <item x="9"/>
        <item x="10"/>
        <item x="24"/>
        <item x="30"/>
        <item x="28"/>
        <item x="32"/>
        <item x="33"/>
        <item x="11"/>
        <item x="27"/>
        <item m="1" x="41"/>
        <item x="13"/>
        <item x="14"/>
        <item x="15"/>
        <item m="1" x="42"/>
        <item m="1" x="43"/>
        <item x="29"/>
        <item x="18"/>
        <item x="22"/>
        <item m="1" x="44"/>
        <item x="21"/>
        <item x="2"/>
        <item x="3"/>
        <item x="6"/>
        <item x="7"/>
        <item x="12"/>
        <item x="16"/>
        <item x="17"/>
        <item m="1" x="34"/>
        <item m="1" x="35"/>
        <item m="1" x="36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7" showAll="0"/>
    <pivotField numFmtId="17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8"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35">
    <i>
      <x/>
    </i>
    <i>
      <x v="1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3"/>
    </i>
    <i>
      <x v="44"/>
    </i>
    <i t="grand">
      <x/>
    </i>
  </rowItems>
  <colItems count="1">
    <i/>
  </colItems>
  <dataFields count="1">
    <dataField name="加總 - Sep Rebate Amount" fld="61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5914D-F511-46E0-A177-2F9BB835F955}" name="樞紐分析表10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25" firstHeaderRow="1" firstDataRow="1" firstDataCol="1" rowPageCount="1" colPageCount="1"/>
  <pivotFields count="66"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5">
        <item h="1" x="0"/>
        <item x="1"/>
        <item h="1" x="2"/>
        <item h="1" x="3"/>
        <item h="1" x="4"/>
        <item h="1" x="19"/>
        <item h="1" x="31"/>
        <item h="1" x="23"/>
        <item h="1" x="5"/>
        <item h="1" x="6"/>
        <item h="1" x="7"/>
        <item h="1" x="8"/>
        <item h="1" x="20"/>
        <item h="1" x="9"/>
        <item h="1" x="10"/>
        <item h="1" x="24"/>
        <item h="1" x="30"/>
        <item h="1" x="28"/>
        <item h="1" x="32"/>
        <item h="1" x="33"/>
        <item h="1" x="11"/>
        <item h="1" x="27"/>
        <item h="1" x="12"/>
        <item h="1" x="13"/>
        <item h="1" x="14"/>
        <item h="1" x="15"/>
        <item h="1" x="16"/>
        <item h="1" x="25"/>
        <item h="1" x="17"/>
        <item h="1" x="29"/>
        <item h="1" x="18"/>
        <item h="1" x="22"/>
        <item h="1" x="26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7" showAll="0"/>
    <pivotField numFmtId="17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8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50">
        <item x="67"/>
        <item x="146"/>
        <item x="147"/>
        <item x="144"/>
        <item x="5"/>
        <item x="143"/>
        <item x="145"/>
        <item x="89"/>
        <item x="17"/>
        <item x="90"/>
        <item x="91"/>
        <item x="9"/>
        <item x="92"/>
        <item x="8"/>
        <item x="10"/>
        <item x="93"/>
        <item x="149"/>
        <item x="150"/>
        <item x="153"/>
        <item x="151"/>
        <item x="3"/>
        <item x="152"/>
        <item x="148"/>
        <item x="4"/>
        <item x="154"/>
        <item x="155"/>
        <item x="156"/>
        <item x="157"/>
        <item x="159"/>
        <item x="158"/>
        <item x="210"/>
        <item x="97"/>
        <item x="99"/>
        <item x="98"/>
        <item x="171"/>
        <item x="170"/>
        <item x="11"/>
        <item x="169"/>
        <item x="168"/>
        <item x="167"/>
        <item x="26"/>
        <item x="71"/>
        <item x="72"/>
        <item x="74"/>
        <item x="73"/>
        <item x="76"/>
        <item x="75"/>
        <item x="77"/>
        <item x="78"/>
        <item x="79"/>
        <item x="20"/>
        <item x="103"/>
        <item x="100"/>
        <item x="102"/>
        <item x="101"/>
        <item x="224"/>
        <item x="186"/>
        <item x="185"/>
        <item x="16"/>
        <item x="184"/>
        <item x="183"/>
        <item x="182"/>
        <item x="28"/>
        <item x="29"/>
        <item x="165"/>
        <item x="166"/>
        <item x="163"/>
        <item x="7"/>
        <item x="162"/>
        <item x="164"/>
        <item x="160"/>
        <item x="6"/>
        <item x="161"/>
        <item x="138"/>
        <item x="139"/>
        <item x="19"/>
        <item x="137"/>
        <item x="205"/>
        <item x="107"/>
        <item x="108"/>
        <item x="109"/>
        <item x="110"/>
        <item x="22"/>
        <item x="111"/>
        <item x="112"/>
        <item x="113"/>
        <item x="114"/>
        <item x="115"/>
        <item x="116"/>
        <item x="126"/>
        <item x="125"/>
        <item x="18"/>
        <item x="123"/>
        <item x="124"/>
        <item x="129"/>
        <item x="128"/>
        <item x="127"/>
        <item x="130"/>
        <item x="1"/>
        <item x="2"/>
        <item x="0"/>
        <item x="65"/>
        <item x="211"/>
        <item x="12"/>
        <item x="175"/>
        <item x="174"/>
        <item x="13"/>
        <item x="173"/>
        <item x="172"/>
        <item x="203"/>
        <item x="199"/>
        <item x="200"/>
        <item x="201"/>
        <item x="202"/>
        <item x="198"/>
        <item x="23"/>
        <item x="24"/>
        <item x="25"/>
        <item x="223"/>
        <item x="222"/>
        <item x="21"/>
        <item x="46"/>
        <item x="47"/>
        <item x="48"/>
        <item x="49"/>
        <item x="51"/>
        <item x="50"/>
        <item x="52"/>
        <item x="43"/>
        <item x="42"/>
        <item x="45"/>
        <item x="44"/>
        <item x="212"/>
        <item x="213"/>
        <item x="83"/>
        <item x="15"/>
        <item x="80"/>
        <item x="81"/>
        <item x="82"/>
        <item x="33"/>
        <item x="34"/>
        <item x="35"/>
        <item x="36"/>
        <item x="37"/>
        <item x="38"/>
        <item x="117"/>
        <item x="118"/>
        <item x="119"/>
        <item x="30"/>
        <item x="31"/>
        <item x="32"/>
        <item x="66"/>
        <item x="180"/>
        <item x="181"/>
        <item x="176"/>
        <item x="178"/>
        <item x="177"/>
        <item x="179"/>
        <item x="120"/>
        <item x="121"/>
        <item x="122"/>
        <item x="84"/>
        <item x="85"/>
        <item x="86"/>
        <item x="87"/>
        <item x="88"/>
        <item x="220"/>
        <item x="214"/>
        <item x="215"/>
        <item x="216"/>
        <item x="217"/>
        <item x="218"/>
        <item x="219"/>
        <item x="225"/>
        <item x="226"/>
        <item x="227"/>
        <item x="228"/>
        <item x="229"/>
        <item x="230"/>
        <item x="142"/>
        <item x="141"/>
        <item x="14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34"/>
        <item x="135"/>
        <item x="136"/>
        <item x="27"/>
        <item x="221"/>
        <item x="188"/>
        <item x="197"/>
        <item x="187"/>
        <item x="209"/>
        <item x="208"/>
        <item x="196"/>
        <item x="204"/>
        <item x="106"/>
        <item x="105"/>
        <item x="104"/>
        <item x="207"/>
        <item x="206"/>
        <item x="191"/>
        <item x="189"/>
        <item x="190"/>
        <item x="53"/>
        <item x="54"/>
        <item x="55"/>
        <item x="132"/>
        <item x="131"/>
        <item x="133"/>
        <item x="94"/>
        <item x="95"/>
        <item x="96"/>
        <item x="41"/>
        <item x="40"/>
        <item x="39"/>
        <item x="192"/>
        <item x="193"/>
        <item x="195"/>
        <item x="194"/>
        <item x="14"/>
        <item x="56"/>
        <item x="57"/>
        <item x="58"/>
        <item x="59"/>
        <item x="60"/>
        <item x="69"/>
        <item x="68"/>
        <item x="70"/>
        <item x="61"/>
        <item x="62"/>
        <item x="63"/>
        <item x="64"/>
        <item t="default"/>
      </items>
    </pivotField>
    <pivotField showAll="0"/>
  </pivotFields>
  <rowFields count="1">
    <field x="64"/>
  </rowFields>
  <rowItems count="22">
    <i>
      <x v="1"/>
    </i>
    <i>
      <x v="2"/>
    </i>
    <i>
      <x v="3"/>
    </i>
    <i>
      <x v="4"/>
    </i>
    <i>
      <x v="5"/>
    </i>
    <i>
      <x v="6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209"/>
    </i>
    <i t="grand">
      <x/>
    </i>
  </rowItems>
  <colItems count="1">
    <i/>
  </colItems>
  <pageFields count="1">
    <pageField fld="7" hier="-1"/>
  </pageFields>
  <dataFields count="1">
    <dataField name="加總 - Sep Rebate Amount" fld="61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A5C99-3444-41C0-8281-B87E151EDD23}" name="樞紐分析表5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4" firstHeaderRow="1" firstDataRow="1" firstDataCol="0"/>
  <pivotFields count="6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加總 - Nov Q'ty" fld="40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DDD40-1466-4508-9961-6C189B743357}" name="樞紐分析表16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38" firstHeaderRow="1" firstDataRow="1" firstDataCol="1"/>
  <pivotFields count="67">
    <pivotField showAll="0"/>
    <pivotField showAll="0"/>
    <pivotField showAll="0"/>
    <pivotField showAll="0"/>
    <pivotField showAll="0"/>
    <pivotField showAll="0"/>
    <pivotField showAll="0"/>
    <pivotField axis="axisRow" showAll="0">
      <items count="43">
        <item x="0"/>
        <item x="1"/>
        <item m="1" x="34"/>
        <item m="1" x="35"/>
        <item x="4"/>
        <item x="19"/>
        <item x="31"/>
        <item x="23"/>
        <item x="5"/>
        <item m="1" x="36"/>
        <item m="1" x="37"/>
        <item x="8"/>
        <item x="20"/>
        <item x="9"/>
        <item x="10"/>
        <item x="24"/>
        <item x="30"/>
        <item x="28"/>
        <item x="32"/>
        <item x="11"/>
        <item x="27"/>
        <item m="1" x="38"/>
        <item x="13"/>
        <item x="14"/>
        <item x="15"/>
        <item m="1" x="39"/>
        <item m="1" x="40"/>
        <item x="29"/>
        <item x="18"/>
        <item x="22"/>
        <item m="1" x="41"/>
        <item x="21"/>
        <item x="2"/>
        <item x="3"/>
        <item x="6"/>
        <item x="7"/>
        <item x="12"/>
        <item x="16"/>
        <item x="17"/>
        <item x="25"/>
        <item x="26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5">
    <i>
      <x/>
    </i>
    <i>
      <x v="1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Worksheet1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Relationship Id="rId9" Type="http://schemas.openxmlformats.org/officeDocument/2006/relationships/image" Target="../media/image3.emf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1A0A-B23E-48F2-8FE2-6F18731E110E}">
  <dimension ref="A3:E31"/>
  <sheetViews>
    <sheetView topLeftCell="A13" workbookViewId="0">
      <selection activeCell="F14" sqref="F14:F26"/>
    </sheetView>
  </sheetViews>
  <sheetFormatPr defaultRowHeight="16.2"/>
  <cols>
    <col min="1" max="1" width="24.33203125" bestFit="1" customWidth="1"/>
    <col min="2" max="2" width="21.33203125" bestFit="1" customWidth="1"/>
    <col min="3" max="3" width="19.33203125" bestFit="1" customWidth="1"/>
    <col min="4" max="4" width="19.44140625" bestFit="1" customWidth="1"/>
    <col min="5" max="5" width="13.109375" bestFit="1" customWidth="1"/>
    <col min="6" max="6" width="17.33203125" bestFit="1" customWidth="1"/>
    <col min="7" max="7" width="14.33203125" bestFit="1" customWidth="1"/>
    <col min="8" max="8" width="15.109375" bestFit="1" customWidth="1"/>
    <col min="9" max="10" width="11.77734375" bestFit="1" customWidth="1"/>
    <col min="11" max="11" width="8.21875" bestFit="1" customWidth="1"/>
    <col min="12" max="13" width="13.109375" bestFit="1" customWidth="1"/>
    <col min="14" max="14" width="12.109375" bestFit="1" customWidth="1"/>
    <col min="15" max="15" width="10.44140625" bestFit="1" customWidth="1"/>
    <col min="17" max="17" width="15.109375" bestFit="1" customWidth="1"/>
  </cols>
  <sheetData>
    <row r="3" spans="1:5">
      <c r="A3" s="152" t="s">
        <v>4</v>
      </c>
    </row>
    <row r="4" spans="1:5">
      <c r="A4" s="152" t="s">
        <v>0</v>
      </c>
      <c r="B4" s="152" t="s">
        <v>1</v>
      </c>
      <c r="C4" s="152" t="s">
        <v>2</v>
      </c>
      <c r="D4" s="152" t="s">
        <v>3</v>
      </c>
      <c r="E4" t="s">
        <v>1309</v>
      </c>
    </row>
    <row r="5" spans="1:5">
      <c r="A5" t="s">
        <v>5</v>
      </c>
      <c r="B5" t="s">
        <v>6</v>
      </c>
      <c r="C5" t="s">
        <v>7</v>
      </c>
      <c r="D5">
        <v>9.01</v>
      </c>
      <c r="E5">
        <v>21280</v>
      </c>
    </row>
    <row r="6" spans="1:5">
      <c r="C6" t="s">
        <v>8</v>
      </c>
      <c r="D6">
        <v>9.16</v>
      </c>
      <c r="E6">
        <v>0</v>
      </c>
    </row>
    <row r="7" spans="1:5">
      <c r="C7" t="s">
        <v>9</v>
      </c>
      <c r="D7">
        <v>9.16</v>
      </c>
      <c r="E7">
        <v>25800</v>
      </c>
    </row>
    <row r="8" spans="1:5">
      <c r="B8" t="s">
        <v>10</v>
      </c>
      <c r="E8">
        <v>47080</v>
      </c>
    </row>
    <row r="9" spans="1:5">
      <c r="B9" t="s">
        <v>11</v>
      </c>
      <c r="C9" t="s">
        <v>12</v>
      </c>
      <c r="D9">
        <v>8.86</v>
      </c>
      <c r="E9">
        <v>0</v>
      </c>
    </row>
    <row r="10" spans="1:5">
      <c r="C10" t="s">
        <v>13</v>
      </c>
      <c r="D10">
        <v>8.84</v>
      </c>
      <c r="E10">
        <v>0</v>
      </c>
    </row>
    <row r="11" spans="1:5">
      <c r="C11" t="s">
        <v>14</v>
      </c>
      <c r="D11">
        <v>8.86</v>
      </c>
      <c r="E11">
        <v>6400</v>
      </c>
    </row>
    <row r="12" spans="1:5">
      <c r="C12" t="s">
        <v>15</v>
      </c>
      <c r="D12">
        <v>8.84</v>
      </c>
      <c r="E12">
        <v>0</v>
      </c>
    </row>
    <row r="13" spans="1:5">
      <c r="B13" t="s">
        <v>16</v>
      </c>
      <c r="E13">
        <v>6400</v>
      </c>
    </row>
    <row r="14" spans="1:5">
      <c r="B14" t="s">
        <v>17</v>
      </c>
      <c r="C14" t="s">
        <v>18</v>
      </c>
      <c r="D14">
        <v>8.85</v>
      </c>
      <c r="E14">
        <v>0</v>
      </c>
    </row>
    <row r="15" spans="1:5">
      <c r="C15" t="s">
        <v>19</v>
      </c>
      <c r="D15">
        <v>8.85</v>
      </c>
      <c r="E15">
        <v>23040</v>
      </c>
    </row>
    <row r="16" spans="1:5">
      <c r="C16" t="s">
        <v>20</v>
      </c>
      <c r="D16">
        <v>8.8699999999999992</v>
      </c>
      <c r="E16">
        <v>3840</v>
      </c>
    </row>
    <row r="17" spans="1:5">
      <c r="C17" t="s">
        <v>21</v>
      </c>
      <c r="D17">
        <v>8.8699999999999992</v>
      </c>
      <c r="E17">
        <v>11520</v>
      </c>
    </row>
    <row r="18" spans="1:5">
      <c r="C18" t="s">
        <v>22</v>
      </c>
      <c r="D18">
        <v>8.85</v>
      </c>
      <c r="E18">
        <v>7680</v>
      </c>
    </row>
    <row r="19" spans="1:5">
      <c r="C19" t="s">
        <v>23</v>
      </c>
      <c r="D19">
        <v>9</v>
      </c>
      <c r="E19">
        <v>0</v>
      </c>
    </row>
    <row r="20" spans="1:5">
      <c r="C20" t="s">
        <v>24</v>
      </c>
      <c r="D20">
        <v>9.02</v>
      </c>
      <c r="E20">
        <v>0</v>
      </c>
    </row>
    <row r="21" spans="1:5">
      <c r="C21" t="s">
        <v>25</v>
      </c>
      <c r="D21">
        <v>9.02</v>
      </c>
      <c r="E21">
        <v>0</v>
      </c>
    </row>
    <row r="22" spans="1:5">
      <c r="C22" t="s">
        <v>26</v>
      </c>
      <c r="D22">
        <v>9</v>
      </c>
      <c r="E22">
        <v>0</v>
      </c>
    </row>
    <row r="23" spans="1:5">
      <c r="C23" t="s">
        <v>27</v>
      </c>
      <c r="D23">
        <v>9</v>
      </c>
      <c r="E23">
        <v>0</v>
      </c>
    </row>
    <row r="24" spans="1:5">
      <c r="C24" t="s">
        <v>28</v>
      </c>
      <c r="D24">
        <v>9.02</v>
      </c>
      <c r="E24">
        <v>5120</v>
      </c>
    </row>
    <row r="25" spans="1:5">
      <c r="C25" t="s">
        <v>29</v>
      </c>
      <c r="D25">
        <v>9.02</v>
      </c>
      <c r="E25">
        <v>0</v>
      </c>
    </row>
    <row r="26" spans="1:5">
      <c r="C26" t="s">
        <v>30</v>
      </c>
      <c r="D26">
        <v>9</v>
      </c>
      <c r="E26">
        <v>5120</v>
      </c>
    </row>
    <row r="27" spans="1:5">
      <c r="B27" t="s">
        <v>31</v>
      </c>
      <c r="E27">
        <v>56320</v>
      </c>
    </row>
    <row r="28" spans="1:5">
      <c r="B28" t="s">
        <v>32</v>
      </c>
      <c r="C28" t="s">
        <v>33</v>
      </c>
      <c r="D28">
        <v>9.7200000000000006</v>
      </c>
      <c r="E28">
        <v>4320</v>
      </c>
    </row>
    <row r="29" spans="1:5">
      <c r="B29" t="s">
        <v>34</v>
      </c>
      <c r="E29">
        <v>4320</v>
      </c>
    </row>
    <row r="30" spans="1:5">
      <c r="A30" t="s">
        <v>35</v>
      </c>
      <c r="E30">
        <v>114120</v>
      </c>
    </row>
    <row r="31" spans="1:5">
      <c r="A31" t="s">
        <v>36</v>
      </c>
      <c r="E31">
        <v>114120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6914-B7C3-4D81-977E-F6553FB32D4B}">
  <dimension ref="A1:E57"/>
  <sheetViews>
    <sheetView topLeftCell="A15" zoomScale="115" zoomScaleNormal="115" workbookViewId="0">
      <selection activeCell="C18" sqref="C18"/>
    </sheetView>
  </sheetViews>
  <sheetFormatPr defaultRowHeight="16.2"/>
  <cols>
    <col min="1" max="1" width="8.6640625" style="183"/>
    <col min="2" max="2" width="46.33203125" customWidth="1"/>
    <col min="3" max="3" width="114.44140625" customWidth="1"/>
    <col min="4" max="4" width="21.109375" customWidth="1"/>
    <col min="6" max="6" width="22.33203125" bestFit="1" customWidth="1"/>
  </cols>
  <sheetData>
    <row r="1" spans="1:3">
      <c r="A1" s="180" t="s">
        <v>830</v>
      </c>
      <c r="B1" s="181" t="s">
        <v>831</v>
      </c>
      <c r="C1" s="182" t="s">
        <v>832</v>
      </c>
    </row>
    <row r="2" spans="1:3" s="49" customFormat="1">
      <c r="A2" s="187">
        <v>1</v>
      </c>
      <c r="B2" s="155" t="s">
        <v>833</v>
      </c>
      <c r="C2" s="188"/>
    </row>
    <row r="3" spans="1:3" s="49" customFormat="1">
      <c r="A3" s="187">
        <v>2</v>
      </c>
      <c r="B3" s="155" t="s">
        <v>834</v>
      </c>
      <c r="C3" s="188"/>
    </row>
    <row r="4" spans="1:3" s="49" customFormat="1">
      <c r="A4" s="189">
        <v>3</v>
      </c>
      <c r="B4" s="190" t="s">
        <v>835</v>
      </c>
      <c r="C4" s="191"/>
    </row>
    <row r="5" spans="1:3">
      <c r="A5" s="277">
        <v>4</v>
      </c>
      <c r="B5" s="280" t="s">
        <v>836</v>
      </c>
      <c r="C5" s="192" t="s">
        <v>837</v>
      </c>
    </row>
    <row r="6" spans="1:3">
      <c r="A6" s="278"/>
      <c r="B6" s="281"/>
      <c r="C6" s="188" t="s">
        <v>838</v>
      </c>
    </row>
    <row r="7" spans="1:3">
      <c r="A7" s="278"/>
      <c r="B7" s="281"/>
      <c r="C7" s="188" t="s">
        <v>37</v>
      </c>
    </row>
    <row r="8" spans="1:3">
      <c r="A8" s="278"/>
      <c r="B8" s="281"/>
      <c r="C8" s="193" t="s">
        <v>871</v>
      </c>
    </row>
    <row r="9" spans="1:3">
      <c r="A9" s="278"/>
      <c r="B9" s="281"/>
      <c r="C9" s="188" t="s">
        <v>839</v>
      </c>
    </row>
    <row r="10" spans="1:3">
      <c r="A10" s="278"/>
      <c r="B10" s="281"/>
      <c r="C10" s="188" t="s">
        <v>840</v>
      </c>
    </row>
    <row r="11" spans="1:3">
      <c r="A11" s="278"/>
      <c r="B11" s="281"/>
      <c r="C11" s="188" t="s">
        <v>841</v>
      </c>
    </row>
    <row r="12" spans="1:3" ht="90">
      <c r="A12" s="278"/>
      <c r="B12" s="281"/>
      <c r="C12" s="197" t="s">
        <v>842</v>
      </c>
    </row>
    <row r="13" spans="1:3">
      <c r="A13" s="278"/>
      <c r="B13" s="281"/>
      <c r="C13" s="188" t="s">
        <v>843</v>
      </c>
    </row>
    <row r="14" spans="1:3">
      <c r="A14" s="278"/>
      <c r="B14" s="281"/>
      <c r="C14" s="193" t="s">
        <v>866</v>
      </c>
    </row>
    <row r="15" spans="1:3" ht="240">
      <c r="A15" s="278"/>
      <c r="B15" s="281"/>
      <c r="C15" s="196" t="s">
        <v>865</v>
      </c>
    </row>
    <row r="16" spans="1:3">
      <c r="A16" s="278"/>
      <c r="B16" s="281"/>
      <c r="C16" s="188" t="s">
        <v>844</v>
      </c>
    </row>
    <row r="17" spans="1:5">
      <c r="A17" s="278"/>
      <c r="B17" s="281"/>
      <c r="C17" s="188" t="s">
        <v>845</v>
      </c>
    </row>
    <row r="18" spans="1:5">
      <c r="A18" s="278"/>
      <c r="B18" s="281"/>
      <c r="C18" s="188" t="s">
        <v>846</v>
      </c>
    </row>
    <row r="19" spans="1:5">
      <c r="A19" s="278"/>
      <c r="B19" s="281"/>
      <c r="C19" s="188" t="s">
        <v>847</v>
      </c>
    </row>
    <row r="20" spans="1:5" s="49" customFormat="1">
      <c r="A20" s="278"/>
      <c r="B20" s="281"/>
      <c r="C20" s="188" t="s">
        <v>848</v>
      </c>
    </row>
    <row r="21" spans="1:5">
      <c r="A21" s="278"/>
      <c r="B21" s="281"/>
      <c r="C21" s="188" t="s">
        <v>849</v>
      </c>
    </row>
    <row r="22" spans="1:5">
      <c r="A22" s="278"/>
      <c r="B22" s="281"/>
      <c r="C22" s="188" t="s">
        <v>850</v>
      </c>
    </row>
    <row r="23" spans="1:5">
      <c r="A23" s="278"/>
      <c r="B23" s="281"/>
      <c r="C23" s="283"/>
    </row>
    <row r="24" spans="1:5">
      <c r="A24" s="278"/>
      <c r="B24" s="281"/>
      <c r="C24" s="283"/>
      <c r="D24" s="184"/>
      <c r="E24" s="184"/>
    </row>
    <row r="25" spans="1:5">
      <c r="A25" s="278"/>
      <c r="B25" s="281"/>
      <c r="C25" s="283"/>
      <c r="D25" s="184"/>
      <c r="E25" s="184"/>
    </row>
    <row r="26" spans="1:5">
      <c r="A26" s="279"/>
      <c r="B26" s="282"/>
      <c r="C26" s="284"/>
    </row>
    <row r="27" spans="1:5" s="49" customFormat="1">
      <c r="A27" s="189">
        <v>5</v>
      </c>
      <c r="B27" s="190" t="s">
        <v>851</v>
      </c>
      <c r="C27" s="191"/>
    </row>
    <row r="28" spans="1:5" s="49" customFormat="1" ht="19.95" customHeight="1">
      <c r="A28" s="189">
        <v>6</v>
      </c>
      <c r="B28" s="285" t="s">
        <v>852</v>
      </c>
      <c r="C28" s="286"/>
    </row>
    <row r="29" spans="1:5" s="49" customFormat="1">
      <c r="A29" s="189">
        <v>7</v>
      </c>
      <c r="B29" s="190" t="s">
        <v>853</v>
      </c>
      <c r="C29" s="191"/>
    </row>
    <row r="30" spans="1:5" s="49" customFormat="1">
      <c r="A30" s="189">
        <v>8</v>
      </c>
      <c r="B30" s="190" t="s">
        <v>854</v>
      </c>
      <c r="C30" s="191"/>
    </row>
    <row r="31" spans="1:5" s="49" customFormat="1">
      <c r="A31" s="195">
        <v>9</v>
      </c>
      <c r="B31" s="194" t="s">
        <v>855</v>
      </c>
      <c r="C31" s="191"/>
    </row>
    <row r="32" spans="1:5">
      <c r="B32" s="185"/>
    </row>
    <row r="33" spans="2:2">
      <c r="B33" s="185"/>
    </row>
    <row r="34" spans="2:2">
      <c r="B34" s="185"/>
    </row>
    <row r="35" spans="2:2">
      <c r="B35" s="185"/>
    </row>
    <row r="36" spans="2:2">
      <c r="B36" s="185"/>
    </row>
    <row r="37" spans="2:2">
      <c r="B37" s="185"/>
    </row>
    <row r="38" spans="2:2">
      <c r="B38" s="185"/>
    </row>
    <row r="39" spans="2:2">
      <c r="B39" s="185"/>
    </row>
    <row r="40" spans="2:2">
      <c r="B40" s="185"/>
    </row>
    <row r="41" spans="2:2">
      <c r="B41" s="185"/>
    </row>
    <row r="43" spans="2:2">
      <c r="B43" s="60"/>
    </row>
    <row r="44" spans="2:2">
      <c r="B44" s="60"/>
    </row>
    <row r="45" spans="2:2">
      <c r="B45" s="60"/>
    </row>
    <row r="46" spans="2:2">
      <c r="B46" s="185"/>
    </row>
    <row r="51" spans="1:4">
      <c r="B51" s="185"/>
    </row>
    <row r="52" spans="1:4">
      <c r="B52" s="185"/>
    </row>
    <row r="53" spans="1:4">
      <c r="B53" s="185"/>
    </row>
    <row r="54" spans="1:4">
      <c r="B54" s="42"/>
    </row>
    <row r="55" spans="1:4">
      <c r="B55" s="41"/>
    </row>
    <row r="56" spans="1:4">
      <c r="B56" s="41"/>
    </row>
    <row r="57" spans="1:4">
      <c r="A57" s="186"/>
      <c r="B57" s="41"/>
      <c r="C57" s="41"/>
      <c r="D57" s="41"/>
    </row>
  </sheetData>
  <mergeCells count="4">
    <mergeCell ref="A5:A26"/>
    <mergeCell ref="B5:B26"/>
    <mergeCell ref="C23:C26"/>
    <mergeCell ref="B28:C28"/>
  </mergeCells>
  <phoneticPr fontId="4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7409" r:id="rId4">
          <objectPr defaultSize="0" r:id="rId5">
            <anchor moveWithCells="1">
              <from>
                <xdr:col>1</xdr:col>
                <xdr:colOff>472440</xdr:colOff>
                <xdr:row>11</xdr:row>
                <xdr:rowOff>647700</xdr:rowOff>
              </from>
              <to>
                <xdr:col>1</xdr:col>
                <xdr:colOff>1386840</xdr:colOff>
                <xdr:row>12</xdr:row>
                <xdr:rowOff>190500</xdr:rowOff>
              </to>
            </anchor>
          </objectPr>
        </oleObject>
      </mc:Choice>
      <mc:Fallback>
        <oleObject progId="Worksheet" dvAspect="DVASPECT_ICON" shapeId="17409" r:id="rId4"/>
      </mc:Fallback>
    </mc:AlternateContent>
    <mc:AlternateContent xmlns:mc="http://schemas.openxmlformats.org/markup-compatibility/2006">
      <mc:Choice Requires="x14">
        <oleObject progId="Worksheet" dvAspect="DVASPECT_ICON" shapeId="17410" r:id="rId6">
          <objectPr defaultSize="0" r:id="rId7">
            <anchor moveWithCells="1">
              <from>
                <xdr:col>1</xdr:col>
                <xdr:colOff>1866900</xdr:colOff>
                <xdr:row>11</xdr:row>
                <xdr:rowOff>640080</xdr:rowOff>
              </from>
              <to>
                <xdr:col>1</xdr:col>
                <xdr:colOff>2247900</xdr:colOff>
                <xdr:row>13</xdr:row>
                <xdr:rowOff>60960</xdr:rowOff>
              </to>
            </anchor>
          </objectPr>
        </oleObject>
      </mc:Choice>
      <mc:Fallback>
        <oleObject progId="Worksheet" dvAspect="DVASPECT_ICON" shapeId="17410" r:id="rId6"/>
      </mc:Fallback>
    </mc:AlternateContent>
    <mc:AlternateContent xmlns:mc="http://schemas.openxmlformats.org/markup-compatibility/2006">
      <mc:Choice Requires="x14">
        <oleObject progId="Packager Shell Object" dvAspect="DVASPECT_ICON" shapeId="17412" r:id="rId8">
          <objectPr defaultSize="0" autoPict="0" r:id="rId9">
            <anchor moveWithCells="1">
              <from>
                <xdr:col>1</xdr:col>
                <xdr:colOff>175260</xdr:colOff>
                <xdr:row>9</xdr:row>
                <xdr:rowOff>53340</xdr:rowOff>
              </from>
              <to>
                <xdr:col>1</xdr:col>
                <xdr:colOff>3352800</xdr:colOff>
                <xdr:row>11</xdr:row>
                <xdr:rowOff>137160</xdr:rowOff>
              </to>
            </anchor>
          </objectPr>
        </oleObject>
      </mc:Choice>
      <mc:Fallback>
        <oleObject progId="Packager Shell Object" dvAspect="DVASPECT_ICON" shapeId="17412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2:H28"/>
  <sheetViews>
    <sheetView zoomScale="80" zoomScaleNormal="80" workbookViewId="0">
      <selection activeCell="F18" activeCellId="2" sqref="F4 F11 F18"/>
    </sheetView>
  </sheetViews>
  <sheetFormatPr defaultRowHeight="16.2"/>
  <cols>
    <col min="2" max="2" width="16.33203125" customWidth="1"/>
    <col min="3" max="3" width="17.21875" customWidth="1"/>
    <col min="4" max="4" width="14.33203125" customWidth="1"/>
    <col min="5" max="5" width="12.33203125" customWidth="1"/>
    <col min="6" max="6" width="18.33203125" customWidth="1"/>
  </cols>
  <sheetData>
    <row r="2" spans="2:8" ht="16.8" thickBot="1"/>
    <row r="3" spans="2:8" ht="16.8" thickBot="1">
      <c r="B3" s="56" t="s">
        <v>870</v>
      </c>
      <c r="C3" s="51" t="s">
        <v>873</v>
      </c>
      <c r="D3" s="51" t="s">
        <v>39</v>
      </c>
      <c r="E3" s="52" t="s">
        <v>40</v>
      </c>
      <c r="F3" s="51" t="s">
        <v>41</v>
      </c>
      <c r="H3" s="57"/>
    </row>
    <row r="4" spans="2:8" ht="16.8" thickBot="1">
      <c r="B4" s="50" t="s">
        <v>42</v>
      </c>
      <c r="C4" s="51">
        <f>'FY24'!AP1</f>
        <v>36153.599999999999</v>
      </c>
      <c r="D4" s="51">
        <f>'FY24'!AR1</f>
        <v>24589.200000000001</v>
      </c>
      <c r="E4" s="52">
        <f>'FY24'!AT1</f>
        <v>45935.6</v>
      </c>
      <c r="F4" s="51">
        <f>SUM(C4:E4)</f>
        <v>106678.39999999999</v>
      </c>
    </row>
    <row r="5" spans="2:8" ht="16.8" thickBot="1">
      <c r="B5" s="50" t="s">
        <v>43</v>
      </c>
      <c r="C5" s="51"/>
      <c r="D5" s="51"/>
      <c r="E5" s="52"/>
      <c r="F5" s="51">
        <f>SUM(C5:E5)</f>
        <v>0</v>
      </c>
    </row>
    <row r="6" spans="2:8" ht="16.8" thickBot="1">
      <c r="B6" s="53" t="s">
        <v>44</v>
      </c>
      <c r="C6" s="54"/>
      <c r="D6" s="54"/>
      <c r="E6" s="55"/>
      <c r="F6" s="51">
        <f>SUM(C6:E6)</f>
        <v>0</v>
      </c>
      <c r="H6" t="s">
        <v>45</v>
      </c>
    </row>
    <row r="7" spans="2:8" ht="16.8" thickBot="1">
      <c r="B7" s="50" t="s">
        <v>46</v>
      </c>
      <c r="C7" s="51">
        <f>SUM(C4:C6)</f>
        <v>36153.599999999999</v>
      </c>
      <c r="D7" s="51">
        <f>SUM(D4:D6)</f>
        <v>24589.200000000001</v>
      </c>
      <c r="E7" s="51">
        <f>SUM(E4:E6)</f>
        <v>45935.6</v>
      </c>
      <c r="F7" s="51">
        <f>SUM(F4:F6)</f>
        <v>106678.39999999999</v>
      </c>
    </row>
    <row r="8" spans="2:8">
      <c r="H8" t="s">
        <v>47</v>
      </c>
    </row>
    <row r="9" spans="2:8" ht="16.8" thickBot="1"/>
    <row r="10" spans="2:8" ht="16.8" thickBot="1">
      <c r="B10" s="56" t="s">
        <v>870</v>
      </c>
      <c r="C10" s="51" t="s">
        <v>48</v>
      </c>
      <c r="D10" s="51" t="s">
        <v>49</v>
      </c>
      <c r="E10" s="52" t="s">
        <v>50</v>
      </c>
      <c r="F10" s="51" t="s">
        <v>51</v>
      </c>
      <c r="H10" t="s">
        <v>52</v>
      </c>
    </row>
    <row r="11" spans="2:8" ht="16.8" thickBot="1">
      <c r="B11" s="50" t="s">
        <v>42</v>
      </c>
      <c r="C11" s="51">
        <f>'FY24'!AV1</f>
        <v>12514.2</v>
      </c>
      <c r="D11" s="51">
        <f>'FY24'!AX1</f>
        <v>37755</v>
      </c>
      <c r="E11" s="52">
        <f>'FY24'!AZ1</f>
        <v>54170.000000000015</v>
      </c>
      <c r="F11" s="51">
        <f>SUM(C11:E11)</f>
        <v>104439.20000000001</v>
      </c>
    </row>
    <row r="12" spans="2:8" ht="16.8" thickBot="1">
      <c r="B12" s="50" t="s">
        <v>43</v>
      </c>
      <c r="C12" s="51"/>
      <c r="D12" s="51"/>
      <c r="E12" s="52"/>
      <c r="F12" s="51">
        <f>SUM(C12:E12)</f>
        <v>0</v>
      </c>
      <c r="H12" t="s">
        <v>53</v>
      </c>
    </row>
    <row r="13" spans="2:8" ht="16.8" thickBot="1">
      <c r="B13" s="53" t="s">
        <v>44</v>
      </c>
      <c r="C13" s="54"/>
      <c r="D13" s="54"/>
      <c r="E13" s="55"/>
      <c r="F13" s="51">
        <f>SUM(C13:E13)</f>
        <v>0</v>
      </c>
    </row>
    <row r="14" spans="2:8" ht="16.8" thickBot="1">
      <c r="B14" s="50" t="s">
        <v>46</v>
      </c>
      <c r="C14" s="51">
        <f>SUM(C11:C13)</f>
        <v>12514.2</v>
      </c>
      <c r="D14" s="51">
        <f>SUM(D11:D13)</f>
        <v>37755</v>
      </c>
      <c r="E14" s="51">
        <f>SUM(E11:E13)</f>
        <v>54170.000000000015</v>
      </c>
      <c r="F14" s="51">
        <f>SUM(F11:F13)</f>
        <v>104439.20000000001</v>
      </c>
      <c r="H14" t="s">
        <v>54</v>
      </c>
    </row>
    <row r="15" spans="2:8">
      <c r="H15" t="s">
        <v>55</v>
      </c>
    </row>
    <row r="16" spans="2:8" ht="16.8" thickBot="1"/>
    <row r="17" spans="2:8" ht="16.8" thickBot="1">
      <c r="B17" s="56" t="s">
        <v>870</v>
      </c>
      <c r="C17" s="51" t="s">
        <v>56</v>
      </c>
      <c r="D17" s="51" t="s">
        <v>57</v>
      </c>
      <c r="E17" s="52" t="s">
        <v>58</v>
      </c>
      <c r="F17" s="51" t="s">
        <v>59</v>
      </c>
      <c r="H17" t="s">
        <v>60</v>
      </c>
    </row>
    <row r="18" spans="2:8" ht="16.8" thickBot="1">
      <c r="B18" s="50" t="s">
        <v>42</v>
      </c>
      <c r="C18" s="51">
        <f>'FY24'!BB1</f>
        <v>58734.600000000006</v>
      </c>
      <c r="D18" s="51">
        <f>'FY24'!BD1</f>
        <v>46686</v>
      </c>
      <c r="E18" s="52">
        <f>'FY24'!BF1</f>
        <v>40968.199999999997</v>
      </c>
      <c r="F18" s="51">
        <f>SUM(C18:E18)</f>
        <v>146388.79999999999</v>
      </c>
    </row>
    <row r="19" spans="2:8" ht="16.8" thickBot="1">
      <c r="B19" s="50" t="s">
        <v>43</v>
      </c>
      <c r="C19" s="51"/>
      <c r="D19" s="51"/>
      <c r="E19" s="52"/>
      <c r="F19" s="51">
        <f>SUM(C19:E19)</f>
        <v>0</v>
      </c>
    </row>
    <row r="20" spans="2:8" ht="16.8" thickBot="1">
      <c r="B20" s="53" t="s">
        <v>44</v>
      </c>
      <c r="C20" s="54"/>
      <c r="D20" s="54"/>
      <c r="E20" s="55"/>
      <c r="F20" s="51">
        <f>SUM(C20:E20)</f>
        <v>0</v>
      </c>
    </row>
    <row r="21" spans="2:8" ht="16.8" thickBot="1">
      <c r="B21" s="50" t="s">
        <v>46</v>
      </c>
      <c r="C21" s="51">
        <f>SUM(C18:C20)</f>
        <v>58734.600000000006</v>
      </c>
      <c r="D21" s="51">
        <f>SUM(D18:D20)</f>
        <v>46686</v>
      </c>
      <c r="E21" s="51">
        <f>SUM(E18:E20)</f>
        <v>40968.199999999997</v>
      </c>
      <c r="F21" s="51">
        <f>SUM(F18:F20)</f>
        <v>146388.79999999999</v>
      </c>
    </row>
    <row r="23" spans="2:8" ht="16.8" thickBot="1"/>
    <row r="24" spans="2:8" ht="16.8" thickBot="1">
      <c r="B24" s="56" t="s">
        <v>870</v>
      </c>
      <c r="C24" s="51" t="s">
        <v>61</v>
      </c>
      <c r="D24" s="51" t="s">
        <v>62</v>
      </c>
      <c r="E24" s="52" t="s">
        <v>63</v>
      </c>
      <c r="F24" s="51" t="s">
        <v>64</v>
      </c>
    </row>
    <row r="25" spans="2:8" ht="16.8" thickBot="1">
      <c r="B25" s="50" t="s">
        <v>42</v>
      </c>
      <c r="C25" s="51">
        <f>'FY24'!BH1</f>
        <v>43588.599999999991</v>
      </c>
      <c r="D25" s="51">
        <f>'FY24'!BJ1</f>
        <v>70368.159999999989</v>
      </c>
      <c r="E25" s="52">
        <f>'FY24'!BL1</f>
        <v>59608.44</v>
      </c>
      <c r="F25" s="51">
        <f>SUM(C25:E25)</f>
        <v>173565.19999999998</v>
      </c>
    </row>
    <row r="26" spans="2:8" ht="16.8" thickBot="1">
      <c r="B26" s="50" t="s">
        <v>43</v>
      </c>
      <c r="C26" s="51"/>
      <c r="D26" s="51"/>
      <c r="E26" s="52"/>
      <c r="F26" s="51"/>
    </row>
    <row r="27" spans="2:8" ht="16.8" thickBot="1">
      <c r="B27" s="53" t="s">
        <v>44</v>
      </c>
      <c r="C27" s="54"/>
      <c r="D27" s="54"/>
      <c r="E27" s="55"/>
      <c r="F27" s="54"/>
    </row>
    <row r="28" spans="2:8" ht="16.8" thickBot="1">
      <c r="B28" s="50" t="s">
        <v>46</v>
      </c>
      <c r="C28" s="51">
        <f>SUM(C25:C27)</f>
        <v>43588.599999999991</v>
      </c>
      <c r="D28" s="51">
        <f>SUM(D25:D27)</f>
        <v>70368.159999999989</v>
      </c>
      <c r="E28" s="51">
        <f>SUM(E25:E27)</f>
        <v>59608.44</v>
      </c>
      <c r="F28" s="51">
        <f>SUM(F25:F27)</f>
        <v>173565.19999999998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H28"/>
  <sheetViews>
    <sheetView topLeftCell="A9" zoomScale="80" zoomScaleNormal="80" workbookViewId="0">
      <selection activeCell="F42" sqref="F42"/>
    </sheetView>
  </sheetViews>
  <sheetFormatPr defaultRowHeight="16.2"/>
  <cols>
    <col min="2" max="2" width="21.33203125" customWidth="1"/>
    <col min="3" max="3" width="17.21875" customWidth="1"/>
    <col min="4" max="4" width="14.33203125" customWidth="1"/>
    <col min="5" max="5" width="12.33203125" customWidth="1"/>
    <col min="6" max="6" width="18.33203125" customWidth="1"/>
  </cols>
  <sheetData>
    <row r="2" spans="2:8" ht="16.8" thickBot="1"/>
    <row r="3" spans="2:8" ht="16.8" thickBot="1">
      <c r="B3" s="56" t="s">
        <v>38</v>
      </c>
      <c r="C3" s="51" t="s">
        <v>65</v>
      </c>
      <c r="D3" s="51" t="s">
        <v>66</v>
      </c>
      <c r="E3" s="52" t="s">
        <v>67</v>
      </c>
      <c r="F3" s="51" t="s">
        <v>41</v>
      </c>
      <c r="H3" s="57"/>
    </row>
    <row r="4" spans="2:8" ht="16.8" thickBot="1">
      <c r="B4" s="50" t="s">
        <v>42</v>
      </c>
      <c r="C4" s="51">
        <f>'FY23'!AO1</f>
        <v>13543.840000000002</v>
      </c>
      <c r="D4" s="51">
        <f>'FY23'!AQ1</f>
        <v>4205.76</v>
      </c>
      <c r="E4" s="52">
        <f>'FY23'!AS1</f>
        <v>18630.439999999999</v>
      </c>
      <c r="F4" s="51">
        <f>SUM(C4:E4)</f>
        <v>36380.04</v>
      </c>
    </row>
    <row r="5" spans="2:8" ht="16.8" thickBot="1">
      <c r="B5" s="50" t="s">
        <v>43</v>
      </c>
      <c r="C5" s="51"/>
      <c r="D5" s="51"/>
      <c r="E5" s="52"/>
      <c r="F5" s="51">
        <f>SUM(C5:E5)</f>
        <v>0</v>
      </c>
    </row>
    <row r="6" spans="2:8" ht="16.8" thickBot="1">
      <c r="B6" s="53" t="s">
        <v>44</v>
      </c>
      <c r="C6" s="54"/>
      <c r="D6" s="54"/>
      <c r="E6" s="55"/>
      <c r="F6" s="51">
        <f>SUM(C6:E6)</f>
        <v>0</v>
      </c>
      <c r="H6" t="s">
        <v>45</v>
      </c>
    </row>
    <row r="7" spans="2:8" ht="16.8" thickBot="1">
      <c r="B7" s="50" t="s">
        <v>46</v>
      </c>
      <c r="C7" s="51">
        <f>SUM(C4:C6)</f>
        <v>13543.840000000002</v>
      </c>
      <c r="D7" s="51">
        <f>SUM(D4:D6)</f>
        <v>4205.76</v>
      </c>
      <c r="E7" s="51">
        <f>SUM(E4:E6)</f>
        <v>18630.439999999999</v>
      </c>
      <c r="F7" s="51">
        <f>SUM(F4:F6)</f>
        <v>36380.04</v>
      </c>
    </row>
    <row r="8" spans="2:8">
      <c r="H8" t="s">
        <v>47</v>
      </c>
    </row>
    <row r="9" spans="2:8" ht="16.8" thickBot="1"/>
    <row r="10" spans="2:8" ht="16.8" thickBot="1">
      <c r="B10" s="56" t="s">
        <v>38</v>
      </c>
      <c r="C10" s="51" t="s">
        <v>68</v>
      </c>
      <c r="D10" s="51" t="s">
        <v>69</v>
      </c>
      <c r="E10" s="52" t="s">
        <v>70</v>
      </c>
      <c r="F10" s="51" t="s">
        <v>51</v>
      </c>
      <c r="H10" t="s">
        <v>52</v>
      </c>
    </row>
    <row r="11" spans="2:8" ht="16.8" thickBot="1">
      <c r="B11" s="50" t="s">
        <v>42</v>
      </c>
      <c r="C11" s="51">
        <f>'FY23'!AU1</f>
        <v>11427.599999999999</v>
      </c>
      <c r="D11" s="51">
        <f>'FY23'!AW1</f>
        <v>16572.599999999999</v>
      </c>
      <c r="E11" s="52">
        <f>'FY23'!AY1</f>
        <v>10147</v>
      </c>
      <c r="F11" s="51">
        <f>SUM(C11:E11)</f>
        <v>38147.199999999997</v>
      </c>
    </row>
    <row r="12" spans="2:8" ht="16.8" thickBot="1">
      <c r="B12" s="50" t="s">
        <v>43</v>
      </c>
      <c r="C12" s="51"/>
      <c r="D12" s="51"/>
      <c r="E12" s="52"/>
      <c r="F12" s="51">
        <f>SUM(C12:E12)</f>
        <v>0</v>
      </c>
      <c r="H12" t="s">
        <v>53</v>
      </c>
    </row>
    <row r="13" spans="2:8" ht="16.8" thickBot="1">
      <c r="B13" s="53" t="s">
        <v>44</v>
      </c>
      <c r="C13" s="54"/>
      <c r="D13" s="54"/>
      <c r="E13" s="55"/>
      <c r="F13" s="51">
        <f>SUM(C13:E13)</f>
        <v>0</v>
      </c>
    </row>
    <row r="14" spans="2:8" ht="16.8" thickBot="1">
      <c r="B14" s="50" t="s">
        <v>46</v>
      </c>
      <c r="C14" s="51">
        <f>SUM(C11:C13)</f>
        <v>11427.599999999999</v>
      </c>
      <c r="D14" s="51">
        <f>SUM(D11:D13)</f>
        <v>16572.599999999999</v>
      </c>
      <c r="E14" s="51">
        <f>SUM(E11:E13)</f>
        <v>10147</v>
      </c>
      <c r="F14" s="51">
        <f>SUM(F11:F13)</f>
        <v>38147.199999999997</v>
      </c>
      <c r="H14" t="s">
        <v>54</v>
      </c>
    </row>
    <row r="15" spans="2:8">
      <c r="H15" t="s">
        <v>55</v>
      </c>
    </row>
    <row r="16" spans="2:8" ht="16.8" thickBot="1"/>
    <row r="17" spans="2:8" ht="16.8" thickBot="1">
      <c r="B17" s="56" t="s">
        <v>38</v>
      </c>
      <c r="C17" s="51" t="s">
        <v>71</v>
      </c>
      <c r="D17" s="51" t="s">
        <v>72</v>
      </c>
      <c r="E17" s="52" t="s">
        <v>73</v>
      </c>
      <c r="F17" s="51" t="s">
        <v>59</v>
      </c>
      <c r="H17" t="s">
        <v>60</v>
      </c>
    </row>
    <row r="18" spans="2:8" ht="16.8" thickBot="1">
      <c r="B18" s="50" t="s">
        <v>42</v>
      </c>
      <c r="C18" s="51">
        <f>'FY23'!BA1</f>
        <v>15430.799999999997</v>
      </c>
      <c r="D18" s="51">
        <f>'FY23'!BC1</f>
        <v>9727.4</v>
      </c>
      <c r="E18" s="52">
        <f>'FY23'!BE1</f>
        <v>18492.200000000004</v>
      </c>
      <c r="F18" s="51">
        <f>SUM(C18:E18)</f>
        <v>43650.400000000001</v>
      </c>
    </row>
    <row r="19" spans="2:8" ht="16.8" thickBot="1">
      <c r="B19" s="50" t="s">
        <v>43</v>
      </c>
      <c r="C19" s="51"/>
      <c r="D19" s="51"/>
      <c r="E19" s="52"/>
      <c r="F19" s="51">
        <f>SUM(C19:E19)</f>
        <v>0</v>
      </c>
    </row>
    <row r="20" spans="2:8" ht="16.8" thickBot="1">
      <c r="B20" s="53" t="s">
        <v>44</v>
      </c>
      <c r="C20" s="54"/>
      <c r="D20" s="54"/>
      <c r="E20" s="55"/>
      <c r="F20" s="51">
        <f>SUM(C20:E20)</f>
        <v>0</v>
      </c>
    </row>
    <row r="21" spans="2:8" ht="16.8" thickBot="1">
      <c r="B21" s="50" t="s">
        <v>46</v>
      </c>
      <c r="C21" s="51">
        <f>SUM(C18:C20)</f>
        <v>15430.799999999997</v>
      </c>
      <c r="D21" s="51">
        <f>SUM(D18:D20)</f>
        <v>9727.4</v>
      </c>
      <c r="E21" s="51">
        <f>SUM(E18:E20)</f>
        <v>18492.200000000004</v>
      </c>
      <c r="F21" s="51">
        <f>SUM(F18:F20)</f>
        <v>43650.400000000001</v>
      </c>
    </row>
    <row r="23" spans="2:8" ht="16.8" thickBot="1"/>
    <row r="24" spans="2:8" ht="16.8" thickBot="1">
      <c r="B24" s="56" t="s">
        <v>38</v>
      </c>
      <c r="C24" s="51" t="s">
        <v>74</v>
      </c>
      <c r="D24" s="51" t="s">
        <v>75</v>
      </c>
      <c r="E24" s="52" t="s">
        <v>76</v>
      </c>
      <c r="F24" s="51" t="s">
        <v>64</v>
      </c>
    </row>
    <row r="25" spans="2:8" ht="16.8" thickBot="1">
      <c r="B25" s="50" t="s">
        <v>42</v>
      </c>
      <c r="C25" s="51">
        <f>'FY23'!BG1</f>
        <v>15672.2</v>
      </c>
      <c r="D25" s="51">
        <f>'FY23'!BI1</f>
        <v>8242</v>
      </c>
      <c r="E25" s="52">
        <f>'FY23'!BK1</f>
        <v>6241.2</v>
      </c>
      <c r="F25" s="51">
        <f>SUM(C25:E25)</f>
        <v>30155.4</v>
      </c>
    </row>
    <row r="26" spans="2:8" ht="16.8" thickBot="1">
      <c r="B26" s="50" t="s">
        <v>43</v>
      </c>
      <c r="C26" s="51"/>
      <c r="D26" s="51"/>
      <c r="E26" s="52"/>
      <c r="F26" s="51">
        <f>SUM(C26:E26)</f>
        <v>0</v>
      </c>
    </row>
    <row r="27" spans="2:8" ht="16.8" thickBot="1">
      <c r="B27" s="53" t="s">
        <v>44</v>
      </c>
      <c r="C27" s="54"/>
      <c r="D27" s="54"/>
      <c r="E27" s="55"/>
      <c r="F27" s="51">
        <f>SUM(C27:E27)</f>
        <v>0</v>
      </c>
    </row>
    <row r="28" spans="2:8" ht="16.8" thickBot="1">
      <c r="B28" s="50" t="s">
        <v>46</v>
      </c>
      <c r="C28" s="51">
        <f>SUM(C25:C27)</f>
        <v>15672.2</v>
      </c>
      <c r="D28" s="51">
        <f>SUM(D25:D27)</f>
        <v>8242</v>
      </c>
      <c r="E28" s="51">
        <f>SUM(E25:E27)</f>
        <v>6241.2</v>
      </c>
      <c r="F28" s="51">
        <f>SUM(F25:F27)</f>
        <v>30155.4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3:G143"/>
  <sheetViews>
    <sheetView topLeftCell="A122" zoomScale="60" zoomScaleNormal="60" workbookViewId="0">
      <selection activeCell="C3" sqref="C3:C286"/>
    </sheetView>
  </sheetViews>
  <sheetFormatPr defaultRowHeight="16.2"/>
  <cols>
    <col min="1" max="1" width="2.33203125" customWidth="1"/>
    <col min="2" max="2" width="26.33203125" customWidth="1"/>
    <col min="3" max="3" width="22.33203125" customWidth="1"/>
    <col min="4" max="4" width="20.33203125" customWidth="1"/>
    <col min="5" max="5" width="14.33203125" customWidth="1"/>
    <col min="6" max="7" width="18.33203125" customWidth="1"/>
  </cols>
  <sheetData>
    <row r="3" spans="2:7" ht="16.8" thickBot="1">
      <c r="B3" s="24" t="s">
        <v>77</v>
      </c>
      <c r="C3" s="25"/>
      <c r="D3" s="25"/>
      <c r="E3" s="25"/>
      <c r="F3" s="25"/>
      <c r="G3" s="25"/>
    </row>
    <row r="4" spans="2:7" ht="29.4" thickBot="1">
      <c r="B4" s="26"/>
      <c r="C4" s="27" t="s">
        <v>78</v>
      </c>
      <c r="D4" s="36">
        <v>44866</v>
      </c>
      <c r="E4" s="36">
        <v>44896</v>
      </c>
      <c r="F4" s="36">
        <v>44927</v>
      </c>
      <c r="G4" s="28" t="s">
        <v>79</v>
      </c>
    </row>
    <row r="5" spans="2:7" ht="16.8" thickBot="1">
      <c r="B5" s="287" t="s">
        <v>80</v>
      </c>
      <c r="C5" s="30" t="s">
        <v>81</v>
      </c>
      <c r="D5" s="30"/>
      <c r="E5" s="30"/>
      <c r="F5" s="30"/>
      <c r="G5" s="30"/>
    </row>
    <row r="6" spans="2:7" ht="16.8" thickBot="1">
      <c r="B6" s="288"/>
      <c r="C6" s="30" t="s">
        <v>82</v>
      </c>
      <c r="D6" s="30"/>
      <c r="E6" s="30"/>
      <c r="F6" s="30"/>
      <c r="G6" s="30"/>
    </row>
    <row r="7" spans="2:7" ht="16.8" thickBot="1">
      <c r="B7" s="288"/>
      <c r="C7" s="30" t="s">
        <v>83</v>
      </c>
      <c r="D7" s="30"/>
      <c r="E7" s="30"/>
      <c r="F7" s="30"/>
      <c r="G7" s="30"/>
    </row>
    <row r="8" spans="2:7" ht="16.8" thickBot="1">
      <c r="B8" s="288"/>
      <c r="C8" s="30" t="s">
        <v>84</v>
      </c>
      <c r="D8" s="30"/>
      <c r="E8" s="30"/>
      <c r="F8" s="30"/>
      <c r="G8" s="30"/>
    </row>
    <row r="9" spans="2:7" ht="16.8" thickBot="1">
      <c r="B9" s="288"/>
      <c r="C9" s="30" t="s">
        <v>85</v>
      </c>
      <c r="D9" s="30"/>
      <c r="E9" s="30"/>
      <c r="F9" s="30"/>
      <c r="G9" s="30"/>
    </row>
    <row r="10" spans="2:7" ht="16.8" thickBot="1">
      <c r="B10" s="288"/>
      <c r="C10" s="30" t="s">
        <v>86</v>
      </c>
      <c r="D10" s="30"/>
      <c r="E10" s="30"/>
      <c r="F10" s="30"/>
      <c r="G10" s="30"/>
    </row>
    <row r="11" spans="2:7" ht="16.8" thickBot="1">
      <c r="B11" s="288"/>
      <c r="C11" s="30" t="s">
        <v>87</v>
      </c>
      <c r="D11" s="30"/>
      <c r="E11" s="30"/>
      <c r="F11" s="30"/>
      <c r="G11" s="30"/>
    </row>
    <row r="12" spans="2:7" ht="16.8" thickBot="1">
      <c r="B12" s="288"/>
      <c r="C12" s="30" t="s">
        <v>88</v>
      </c>
      <c r="D12" s="30"/>
      <c r="E12" s="30"/>
      <c r="F12" s="30"/>
      <c r="G12" s="30"/>
    </row>
    <row r="13" spans="2:7" ht="16.8" thickBot="1">
      <c r="B13" s="288"/>
      <c r="C13" s="30" t="s">
        <v>89</v>
      </c>
      <c r="D13" s="30"/>
      <c r="E13" s="30"/>
      <c r="F13" s="30"/>
      <c r="G13" s="30"/>
    </row>
    <row r="14" spans="2:7" ht="16.8" thickBot="1">
      <c r="B14" s="288"/>
      <c r="C14" s="30" t="s">
        <v>90</v>
      </c>
      <c r="D14" s="31"/>
      <c r="E14" s="30"/>
      <c r="F14" s="30"/>
      <c r="G14" s="30"/>
    </row>
    <row r="15" spans="2:7" ht="16.8" thickBot="1">
      <c r="B15" s="288"/>
      <c r="C15" s="29" t="s">
        <v>91</v>
      </c>
      <c r="D15" s="32"/>
      <c r="E15" s="30"/>
      <c r="F15" s="30"/>
      <c r="G15" s="30"/>
    </row>
    <row r="16" spans="2:7" ht="16.8" thickBot="1">
      <c r="B16" s="289"/>
      <c r="C16" s="33" t="s">
        <v>92</v>
      </c>
      <c r="D16" s="30"/>
      <c r="E16" s="30"/>
      <c r="F16" s="30"/>
      <c r="G16" s="30"/>
    </row>
    <row r="17" spans="2:7" ht="16.8" thickBot="1">
      <c r="B17" s="290" t="s">
        <v>93</v>
      </c>
      <c r="C17" s="30" t="s">
        <v>94</v>
      </c>
      <c r="D17" s="30"/>
      <c r="E17" s="30"/>
      <c r="F17" s="30"/>
      <c r="G17" s="30"/>
    </row>
    <row r="18" spans="2:7" ht="16.8" thickBot="1">
      <c r="B18" s="291"/>
      <c r="C18" s="30" t="s">
        <v>88</v>
      </c>
      <c r="D18" s="30"/>
      <c r="E18" s="30"/>
      <c r="F18" s="30"/>
      <c r="G18" s="30"/>
    </row>
    <row r="19" spans="2:7" ht="16.8" thickBot="1">
      <c r="B19" s="291"/>
      <c r="C19" s="30" t="s">
        <v>95</v>
      </c>
      <c r="D19" s="30"/>
      <c r="E19" s="30"/>
      <c r="F19" s="30"/>
      <c r="G19" s="30"/>
    </row>
    <row r="20" spans="2:7" ht="16.8" thickBot="1">
      <c r="B20" s="291"/>
      <c r="C20" s="30" t="s">
        <v>96</v>
      </c>
      <c r="D20" s="30"/>
      <c r="E20" s="30"/>
      <c r="F20" s="30"/>
      <c r="G20" s="30"/>
    </row>
    <row r="21" spans="2:7" ht="16.8" thickBot="1">
      <c r="B21" s="291"/>
      <c r="C21" s="30" t="s">
        <v>97</v>
      </c>
      <c r="D21" s="31"/>
      <c r="E21" s="31"/>
      <c r="F21" s="31"/>
      <c r="G21" s="30"/>
    </row>
    <row r="22" spans="2:7" ht="16.8" thickBot="1">
      <c r="B22" s="291"/>
      <c r="C22" s="30" t="s">
        <v>98</v>
      </c>
      <c r="D22" s="31"/>
      <c r="E22" s="31"/>
      <c r="F22" s="30"/>
      <c r="G22" s="30"/>
    </row>
    <row r="23" spans="2:7" ht="16.8" thickBot="1">
      <c r="B23" s="291"/>
      <c r="C23" s="30" t="s">
        <v>99</v>
      </c>
      <c r="D23" s="30"/>
      <c r="E23" s="31"/>
      <c r="F23" s="30"/>
      <c r="G23" s="30"/>
    </row>
    <row r="24" spans="2:7" ht="16.8" thickBot="1">
      <c r="B24" s="291"/>
      <c r="C24" s="30" t="s">
        <v>91</v>
      </c>
      <c r="D24" s="30"/>
      <c r="E24" s="31"/>
      <c r="F24" s="30"/>
      <c r="G24" s="30"/>
    </row>
    <row r="25" spans="2:7" ht="16.8" thickBot="1">
      <c r="B25" s="292"/>
      <c r="C25" s="30" t="s">
        <v>92</v>
      </c>
      <c r="D25" s="30"/>
      <c r="E25" s="31"/>
      <c r="F25" s="31"/>
      <c r="G25" s="30"/>
    </row>
    <row r="26" spans="2:7" ht="16.8" thickBot="1">
      <c r="B26" s="25"/>
      <c r="C26" s="25"/>
      <c r="D26" s="25"/>
      <c r="E26" s="25"/>
      <c r="F26" s="25"/>
      <c r="G26" s="34"/>
    </row>
    <row r="27" spans="2:7">
      <c r="B27" s="25"/>
      <c r="C27" s="25"/>
      <c r="D27" s="25"/>
      <c r="E27" s="25"/>
      <c r="F27" s="25"/>
      <c r="G27" s="25"/>
    </row>
    <row r="28" spans="2:7" ht="16.8" thickBot="1">
      <c r="B28" s="24" t="s">
        <v>77</v>
      </c>
      <c r="C28" s="25"/>
      <c r="D28" s="25"/>
      <c r="E28" s="25"/>
      <c r="F28" s="25"/>
      <c r="G28" s="25"/>
    </row>
    <row r="29" spans="2:7" ht="29.4" thickBot="1">
      <c r="B29" s="43"/>
      <c r="C29" s="27" t="s">
        <v>100</v>
      </c>
      <c r="D29" s="36">
        <v>44866</v>
      </c>
      <c r="E29" s="36">
        <v>44896</v>
      </c>
      <c r="F29" s="36">
        <v>44927</v>
      </c>
      <c r="G29" s="28" t="s">
        <v>79</v>
      </c>
    </row>
    <row r="30" spans="2:7" ht="16.8" thickBot="1">
      <c r="B30" s="293" t="s">
        <v>101</v>
      </c>
      <c r="C30" s="30" t="s">
        <v>102</v>
      </c>
      <c r="D30" s="30">
        <v>13543.84</v>
      </c>
      <c r="E30" s="30">
        <v>4205.76</v>
      </c>
      <c r="F30" s="30">
        <v>18630.439999999999</v>
      </c>
      <c r="G30" s="30">
        <v>36380.039999999994</v>
      </c>
    </row>
    <row r="31" spans="2:7" ht="16.8" thickBot="1">
      <c r="B31" s="293"/>
      <c r="C31" s="30" t="s">
        <v>103</v>
      </c>
      <c r="D31" s="30"/>
      <c r="E31" s="30"/>
      <c r="F31" s="30"/>
      <c r="G31" s="30"/>
    </row>
    <row r="32" spans="2:7" ht="16.8" thickBot="1">
      <c r="B32" s="293"/>
      <c r="C32" s="30" t="s">
        <v>104</v>
      </c>
      <c r="D32" s="30"/>
      <c r="E32" s="30"/>
      <c r="F32" s="30"/>
      <c r="G32" s="30"/>
    </row>
    <row r="33" spans="2:7" ht="16.8" thickBot="1">
      <c r="B33" s="293"/>
      <c r="C33" s="30" t="s">
        <v>105</v>
      </c>
      <c r="D33" s="30"/>
      <c r="E33" s="30"/>
      <c r="F33" s="30"/>
      <c r="G33" s="30"/>
    </row>
    <row r="34" spans="2:7" ht="16.8" thickBot="1">
      <c r="B34" s="293"/>
      <c r="C34" s="30" t="s">
        <v>106</v>
      </c>
      <c r="D34" s="30"/>
      <c r="E34" s="30"/>
      <c r="F34" s="30"/>
      <c r="G34" s="30"/>
    </row>
    <row r="35" spans="2:7" ht="16.8" thickBot="1">
      <c r="B35" s="293"/>
      <c r="C35" s="30" t="s">
        <v>107</v>
      </c>
      <c r="D35" s="30"/>
      <c r="E35" s="30"/>
      <c r="F35" s="30"/>
      <c r="G35" s="30"/>
    </row>
    <row r="36" spans="2:7" ht="16.8" thickBot="1">
      <c r="B36" s="25"/>
      <c r="C36" s="25"/>
      <c r="D36" s="25"/>
      <c r="E36" s="25"/>
      <c r="F36" s="34" t="s">
        <v>108</v>
      </c>
      <c r="G36" s="35"/>
    </row>
    <row r="39" spans="2:7" ht="16.8" thickBot="1">
      <c r="B39" s="24" t="s">
        <v>109</v>
      </c>
      <c r="C39" s="25"/>
      <c r="D39" s="25"/>
      <c r="E39" s="25"/>
      <c r="F39" s="25"/>
      <c r="G39" s="25"/>
    </row>
    <row r="40" spans="2:7" ht="29.4" thickBot="1">
      <c r="B40" s="26"/>
      <c r="C40" s="27" t="s">
        <v>78</v>
      </c>
      <c r="D40" s="36">
        <v>44958</v>
      </c>
      <c r="E40" s="36">
        <v>44986</v>
      </c>
      <c r="F40" s="36">
        <v>45017</v>
      </c>
      <c r="G40" s="28" t="s">
        <v>110</v>
      </c>
    </row>
    <row r="41" spans="2:7" ht="16.8" thickBot="1">
      <c r="B41" s="287" t="s">
        <v>80</v>
      </c>
      <c r="C41" s="30" t="s">
        <v>81</v>
      </c>
      <c r="D41" s="30"/>
      <c r="E41" s="30"/>
      <c r="F41" s="30"/>
      <c r="G41" s="30"/>
    </row>
    <row r="42" spans="2:7" ht="16.8" thickBot="1">
      <c r="B42" s="288"/>
      <c r="C42" s="30" t="s">
        <v>82</v>
      </c>
      <c r="D42" s="30"/>
      <c r="E42" s="30"/>
      <c r="F42" s="30"/>
      <c r="G42" s="30"/>
    </row>
    <row r="43" spans="2:7" ht="16.8" thickBot="1">
      <c r="B43" s="288"/>
      <c r="C43" s="30" t="s">
        <v>83</v>
      </c>
      <c r="D43" s="30"/>
      <c r="E43" s="30"/>
      <c r="F43" s="30"/>
      <c r="G43" s="30"/>
    </row>
    <row r="44" spans="2:7" ht="16.8" thickBot="1">
      <c r="B44" s="288"/>
      <c r="C44" s="30" t="s">
        <v>84</v>
      </c>
      <c r="D44" s="30"/>
      <c r="E44" s="30"/>
      <c r="F44" s="30"/>
      <c r="G44" s="30"/>
    </row>
    <row r="45" spans="2:7" ht="16.8" thickBot="1">
      <c r="B45" s="288"/>
      <c r="C45" s="30" t="s">
        <v>85</v>
      </c>
      <c r="D45" s="30"/>
      <c r="E45" s="30"/>
      <c r="F45" s="30"/>
      <c r="G45" s="30"/>
    </row>
    <row r="46" spans="2:7" ht="16.8" thickBot="1">
      <c r="B46" s="288"/>
      <c r="C46" s="30" t="s">
        <v>86</v>
      </c>
      <c r="D46" s="30"/>
      <c r="E46" s="30"/>
      <c r="F46" s="30"/>
      <c r="G46" s="30"/>
    </row>
    <row r="47" spans="2:7" ht="16.8" thickBot="1">
      <c r="B47" s="288"/>
      <c r="C47" s="30" t="s">
        <v>87</v>
      </c>
      <c r="D47" s="30"/>
      <c r="E47" s="30"/>
      <c r="F47" s="30"/>
      <c r="G47" s="30"/>
    </row>
    <row r="48" spans="2:7" ht="16.8" thickBot="1">
      <c r="B48" s="288"/>
      <c r="C48" s="30" t="s">
        <v>88</v>
      </c>
      <c r="D48" s="30"/>
      <c r="E48" s="30"/>
      <c r="F48" s="30"/>
      <c r="G48" s="30"/>
    </row>
    <row r="49" spans="2:7" ht="16.8" thickBot="1">
      <c r="B49" s="288"/>
      <c r="C49" s="30" t="s">
        <v>89</v>
      </c>
      <c r="D49" s="30"/>
      <c r="E49" s="30"/>
      <c r="F49" s="30"/>
      <c r="G49" s="30"/>
    </row>
    <row r="50" spans="2:7" ht="16.8" thickBot="1">
      <c r="B50" s="288"/>
      <c r="C50" s="30" t="s">
        <v>90</v>
      </c>
      <c r="D50" s="31"/>
      <c r="E50" s="30"/>
      <c r="F50" s="30"/>
      <c r="G50" s="30"/>
    </row>
    <row r="51" spans="2:7" ht="16.8" thickBot="1">
      <c r="B51" s="288"/>
      <c r="C51" s="29" t="s">
        <v>91</v>
      </c>
      <c r="D51" s="32"/>
      <c r="E51" s="30"/>
      <c r="F51" s="30"/>
      <c r="G51" s="30"/>
    </row>
    <row r="52" spans="2:7" ht="16.8" thickBot="1">
      <c r="B52" s="289"/>
      <c r="C52" s="33" t="s">
        <v>92</v>
      </c>
      <c r="D52" s="30"/>
      <c r="E52" s="30"/>
      <c r="F52" s="30"/>
      <c r="G52" s="30"/>
    </row>
    <row r="53" spans="2:7" ht="16.8" thickBot="1">
      <c r="B53" s="290" t="s">
        <v>93</v>
      </c>
      <c r="C53" s="30" t="s">
        <v>94</v>
      </c>
      <c r="D53" s="30"/>
      <c r="E53" s="30"/>
      <c r="F53" s="30"/>
      <c r="G53" s="30"/>
    </row>
    <row r="54" spans="2:7" ht="16.8" thickBot="1">
      <c r="B54" s="291"/>
      <c r="C54" s="30" t="s">
        <v>88</v>
      </c>
      <c r="D54" s="30"/>
      <c r="E54" s="30"/>
      <c r="F54" s="30"/>
      <c r="G54" s="30"/>
    </row>
    <row r="55" spans="2:7" ht="16.8" thickBot="1">
      <c r="B55" s="291"/>
      <c r="C55" s="30" t="s">
        <v>95</v>
      </c>
      <c r="D55" s="30"/>
      <c r="E55" s="30"/>
      <c r="F55" s="30"/>
      <c r="G55" s="30"/>
    </row>
    <row r="56" spans="2:7" ht="16.8" thickBot="1">
      <c r="B56" s="291"/>
      <c r="C56" s="30" t="s">
        <v>96</v>
      </c>
      <c r="D56" s="30"/>
      <c r="E56" s="30"/>
      <c r="F56" s="30"/>
      <c r="G56" s="30"/>
    </row>
    <row r="57" spans="2:7" ht="16.8" thickBot="1">
      <c r="B57" s="291"/>
      <c r="C57" s="30" t="s">
        <v>97</v>
      </c>
      <c r="D57" s="31"/>
      <c r="E57" s="31"/>
      <c r="F57" s="31"/>
      <c r="G57" s="30"/>
    </row>
    <row r="58" spans="2:7" ht="16.8" thickBot="1">
      <c r="B58" s="291"/>
      <c r="C58" s="30" t="s">
        <v>98</v>
      </c>
      <c r="D58" s="31"/>
      <c r="E58" s="31"/>
      <c r="F58" s="30"/>
      <c r="G58" s="30"/>
    </row>
    <row r="59" spans="2:7" ht="16.8" thickBot="1">
      <c r="B59" s="291"/>
      <c r="C59" s="30" t="s">
        <v>99</v>
      </c>
      <c r="D59" s="30"/>
      <c r="E59" s="31"/>
      <c r="F59" s="30"/>
      <c r="G59" s="30"/>
    </row>
    <row r="60" spans="2:7" ht="16.8" thickBot="1">
      <c r="B60" s="291"/>
      <c r="C60" s="30" t="s">
        <v>91</v>
      </c>
      <c r="D60" s="30"/>
      <c r="E60" s="31"/>
      <c r="F60" s="30"/>
      <c r="G60" s="30"/>
    </row>
    <row r="61" spans="2:7" ht="16.8" thickBot="1">
      <c r="B61" s="292"/>
      <c r="C61" s="30" t="s">
        <v>92</v>
      </c>
      <c r="D61" s="30"/>
      <c r="E61" s="31"/>
      <c r="F61" s="31"/>
      <c r="G61" s="30"/>
    </row>
    <row r="62" spans="2:7" ht="16.8" thickBot="1">
      <c r="B62" s="25"/>
      <c r="C62" s="25"/>
      <c r="D62" s="25"/>
      <c r="E62" s="25"/>
      <c r="F62" s="25"/>
      <c r="G62" s="34"/>
    </row>
    <row r="63" spans="2:7">
      <c r="B63" s="25"/>
      <c r="C63" s="25"/>
      <c r="D63" s="25"/>
      <c r="E63" s="25"/>
      <c r="F63" s="25"/>
      <c r="G63" s="25"/>
    </row>
    <row r="64" spans="2:7" ht="16.8" thickBot="1">
      <c r="B64" s="24" t="s">
        <v>109</v>
      </c>
      <c r="C64" s="25"/>
      <c r="D64" s="25"/>
      <c r="E64" s="25"/>
      <c r="F64" s="25"/>
      <c r="G64" s="25"/>
    </row>
    <row r="65" spans="2:7" ht="29.4" thickBot="1">
      <c r="B65" s="26"/>
      <c r="C65" s="27" t="s">
        <v>100</v>
      </c>
      <c r="D65" s="36">
        <v>44958</v>
      </c>
      <c r="E65" s="36">
        <v>44986</v>
      </c>
      <c r="F65" s="36">
        <v>45017</v>
      </c>
      <c r="G65" s="28" t="s">
        <v>110</v>
      </c>
    </row>
    <row r="66" spans="2:7" ht="16.8" thickBot="1">
      <c r="B66" s="293" t="s">
        <v>101</v>
      </c>
      <c r="C66" s="30" t="s">
        <v>102</v>
      </c>
      <c r="D66" s="30">
        <v>11427.6</v>
      </c>
      <c r="E66" s="30">
        <v>16572.599999999999</v>
      </c>
      <c r="F66" s="30">
        <v>10147</v>
      </c>
      <c r="G66" s="30">
        <v>38147.199999999997</v>
      </c>
    </row>
    <row r="67" spans="2:7" ht="16.8" thickBot="1">
      <c r="B67" s="293" t="s">
        <v>101</v>
      </c>
      <c r="C67" s="30" t="s">
        <v>103</v>
      </c>
      <c r="D67" s="30"/>
      <c r="E67" s="30"/>
      <c r="F67" s="30"/>
      <c r="G67" s="30"/>
    </row>
    <row r="68" spans="2:7" ht="16.8" thickBot="1">
      <c r="B68" s="293"/>
      <c r="C68" s="30" t="s">
        <v>104</v>
      </c>
      <c r="D68" s="30"/>
      <c r="E68" s="30"/>
      <c r="F68" s="30"/>
      <c r="G68" s="30"/>
    </row>
    <row r="69" spans="2:7" ht="16.8" thickBot="1">
      <c r="B69" s="293"/>
      <c r="C69" s="30" t="s">
        <v>105</v>
      </c>
      <c r="D69" s="30"/>
      <c r="E69" s="30"/>
      <c r="F69" s="30"/>
      <c r="G69" s="30"/>
    </row>
    <row r="70" spans="2:7" ht="16.8" thickBot="1">
      <c r="B70" s="293"/>
      <c r="C70" s="30" t="s">
        <v>106</v>
      </c>
      <c r="D70" s="30"/>
      <c r="E70" s="30"/>
      <c r="F70" s="30"/>
      <c r="G70" s="30"/>
    </row>
    <row r="71" spans="2:7" ht="16.8" thickBot="1">
      <c r="B71" s="293"/>
      <c r="C71" s="30" t="s">
        <v>107</v>
      </c>
      <c r="D71" s="30"/>
      <c r="E71" s="30"/>
      <c r="F71" s="30"/>
      <c r="G71" s="30"/>
    </row>
    <row r="72" spans="2:7" ht="16.8" thickBot="1">
      <c r="B72" s="25"/>
      <c r="C72" s="25"/>
      <c r="D72" s="25"/>
      <c r="E72" s="25"/>
      <c r="F72" s="34" t="s">
        <v>108</v>
      </c>
      <c r="G72" s="35"/>
    </row>
    <row r="75" spans="2:7" ht="16.8" thickBot="1">
      <c r="B75" s="24" t="s">
        <v>111</v>
      </c>
      <c r="C75" s="25"/>
      <c r="D75" s="25"/>
      <c r="E75" s="25"/>
      <c r="F75" s="25"/>
      <c r="G75" s="25"/>
    </row>
    <row r="76" spans="2:7" ht="29.4" thickBot="1">
      <c r="B76" s="26"/>
      <c r="C76" s="27" t="s">
        <v>78</v>
      </c>
      <c r="D76" s="36">
        <v>45047</v>
      </c>
      <c r="E76" s="36">
        <v>45078</v>
      </c>
      <c r="F76" s="36">
        <v>45108</v>
      </c>
      <c r="G76" s="28" t="s">
        <v>112</v>
      </c>
    </row>
    <row r="77" spans="2:7" ht="16.8" thickBot="1">
      <c r="B77" s="287" t="s">
        <v>80</v>
      </c>
      <c r="C77" s="30" t="s">
        <v>81</v>
      </c>
      <c r="D77" s="30"/>
      <c r="E77" s="30"/>
      <c r="F77" s="30"/>
      <c r="G77" s="30"/>
    </row>
    <row r="78" spans="2:7" ht="16.8" thickBot="1">
      <c r="B78" s="288"/>
      <c r="C78" s="30" t="s">
        <v>82</v>
      </c>
      <c r="D78" s="30"/>
      <c r="E78" s="30"/>
      <c r="F78" s="30"/>
      <c r="G78" s="30"/>
    </row>
    <row r="79" spans="2:7" ht="16.8" thickBot="1">
      <c r="B79" s="288"/>
      <c r="C79" s="30" t="s">
        <v>83</v>
      </c>
      <c r="D79" s="30"/>
      <c r="E79" s="30"/>
      <c r="F79" s="30"/>
      <c r="G79" s="30"/>
    </row>
    <row r="80" spans="2:7" ht="16.8" thickBot="1">
      <c r="B80" s="288"/>
      <c r="C80" s="30" t="s">
        <v>84</v>
      </c>
      <c r="D80" s="30"/>
      <c r="E80" s="30"/>
      <c r="F80" s="30"/>
      <c r="G80" s="30"/>
    </row>
    <row r="81" spans="2:7" ht="16.8" thickBot="1">
      <c r="B81" s="288"/>
      <c r="C81" s="30" t="s">
        <v>85</v>
      </c>
      <c r="D81" s="30"/>
      <c r="E81" s="30"/>
      <c r="F81" s="30"/>
      <c r="G81" s="30"/>
    </row>
    <row r="82" spans="2:7" ht="16.8" thickBot="1">
      <c r="B82" s="288"/>
      <c r="C82" s="30" t="s">
        <v>86</v>
      </c>
      <c r="D82" s="30"/>
      <c r="E82" s="30"/>
      <c r="F82" s="30"/>
      <c r="G82" s="30"/>
    </row>
    <row r="83" spans="2:7" ht="16.8" thickBot="1">
      <c r="B83" s="288"/>
      <c r="C83" s="30" t="s">
        <v>87</v>
      </c>
      <c r="D83" s="30"/>
      <c r="E83" s="30"/>
      <c r="F83" s="30"/>
      <c r="G83" s="30"/>
    </row>
    <row r="84" spans="2:7" ht="16.8" thickBot="1">
      <c r="B84" s="288"/>
      <c r="C84" s="30" t="s">
        <v>88</v>
      </c>
      <c r="D84" s="30"/>
      <c r="E84" s="30"/>
      <c r="F84" s="30"/>
      <c r="G84" s="30"/>
    </row>
    <row r="85" spans="2:7" ht="16.8" thickBot="1">
      <c r="B85" s="288"/>
      <c r="C85" s="30" t="s">
        <v>89</v>
      </c>
      <c r="D85" s="30"/>
      <c r="E85" s="30"/>
      <c r="F85" s="30"/>
      <c r="G85" s="30"/>
    </row>
    <row r="86" spans="2:7" ht="16.8" thickBot="1">
      <c r="B86" s="288"/>
      <c r="C86" s="30" t="s">
        <v>90</v>
      </c>
      <c r="D86" s="31"/>
      <c r="E86" s="30"/>
      <c r="F86" s="30"/>
      <c r="G86" s="30"/>
    </row>
    <row r="87" spans="2:7" ht="16.8" thickBot="1">
      <c r="B87" s="288"/>
      <c r="C87" s="29" t="s">
        <v>91</v>
      </c>
      <c r="D87" s="32"/>
      <c r="E87" s="30"/>
      <c r="F87" s="30"/>
      <c r="G87" s="30"/>
    </row>
    <row r="88" spans="2:7" ht="16.8" thickBot="1">
      <c r="B88" s="289"/>
      <c r="C88" s="33" t="s">
        <v>92</v>
      </c>
      <c r="D88" s="30"/>
      <c r="E88" s="30"/>
      <c r="F88" s="30"/>
      <c r="G88" s="30"/>
    </row>
    <row r="89" spans="2:7" ht="16.8" thickBot="1">
      <c r="B89" s="290" t="s">
        <v>93</v>
      </c>
      <c r="C89" s="30" t="s">
        <v>94</v>
      </c>
      <c r="D89" s="30"/>
      <c r="E89" s="30"/>
      <c r="F89" s="30"/>
      <c r="G89" s="30"/>
    </row>
    <row r="90" spans="2:7" ht="16.8" thickBot="1">
      <c r="B90" s="291"/>
      <c r="C90" s="30" t="s">
        <v>88</v>
      </c>
      <c r="D90" s="30"/>
      <c r="E90" s="30"/>
      <c r="F90" s="30"/>
      <c r="G90" s="30"/>
    </row>
    <row r="91" spans="2:7" ht="16.8" thickBot="1">
      <c r="B91" s="291"/>
      <c r="C91" s="30" t="s">
        <v>95</v>
      </c>
      <c r="D91" s="30"/>
      <c r="E91" s="30"/>
      <c r="F91" s="30"/>
      <c r="G91" s="30"/>
    </row>
    <row r="92" spans="2:7" ht="16.8" thickBot="1">
      <c r="B92" s="291"/>
      <c r="C92" s="30" t="s">
        <v>96</v>
      </c>
      <c r="D92" s="30"/>
      <c r="E92" s="30"/>
      <c r="F92" s="30"/>
      <c r="G92" s="30"/>
    </row>
    <row r="93" spans="2:7" ht="16.8" thickBot="1">
      <c r="B93" s="291"/>
      <c r="C93" s="30" t="s">
        <v>97</v>
      </c>
      <c r="D93" s="31"/>
      <c r="E93" s="31"/>
      <c r="F93" s="31"/>
      <c r="G93" s="30"/>
    </row>
    <row r="94" spans="2:7" ht="16.8" thickBot="1">
      <c r="B94" s="291"/>
      <c r="C94" s="30" t="s">
        <v>98</v>
      </c>
      <c r="D94" s="31"/>
      <c r="E94" s="31"/>
      <c r="F94" s="30"/>
      <c r="G94" s="30"/>
    </row>
    <row r="95" spans="2:7" ht="16.8" thickBot="1">
      <c r="B95" s="291"/>
      <c r="C95" s="30" t="s">
        <v>99</v>
      </c>
      <c r="D95" s="30"/>
      <c r="E95" s="31"/>
      <c r="F95" s="30"/>
      <c r="G95" s="30"/>
    </row>
    <row r="96" spans="2:7" ht="16.8" thickBot="1">
      <c r="B96" s="291"/>
      <c r="C96" s="30" t="s">
        <v>91</v>
      </c>
      <c r="D96" s="30"/>
      <c r="E96" s="31"/>
      <c r="F96" s="30"/>
      <c r="G96" s="30"/>
    </row>
    <row r="97" spans="2:7" ht="16.8" thickBot="1">
      <c r="B97" s="292"/>
      <c r="C97" s="30" t="s">
        <v>92</v>
      </c>
      <c r="D97" s="30"/>
      <c r="E97" s="31"/>
      <c r="F97" s="31"/>
      <c r="G97" s="30"/>
    </row>
    <row r="98" spans="2:7" ht="16.8" thickBot="1">
      <c r="B98" s="25"/>
      <c r="C98" s="25"/>
      <c r="D98" s="25"/>
      <c r="E98" s="25"/>
      <c r="F98" s="25"/>
      <c r="G98" s="34"/>
    </row>
    <row r="99" spans="2:7">
      <c r="B99" s="25"/>
      <c r="C99" s="25"/>
      <c r="D99" s="25"/>
      <c r="E99" s="25"/>
      <c r="F99" s="25"/>
      <c r="G99" s="25"/>
    </row>
    <row r="100" spans="2:7" ht="16.8" thickBot="1">
      <c r="B100" s="24" t="s">
        <v>111</v>
      </c>
      <c r="C100" s="25"/>
      <c r="D100" s="25"/>
      <c r="E100" s="25"/>
      <c r="F100" s="25"/>
      <c r="G100" s="25"/>
    </row>
    <row r="101" spans="2:7" ht="29.4" thickBot="1">
      <c r="B101" s="43"/>
      <c r="C101" s="27" t="s">
        <v>100</v>
      </c>
      <c r="D101" s="36">
        <v>45047</v>
      </c>
      <c r="E101" s="36">
        <v>45078</v>
      </c>
      <c r="F101" s="36">
        <v>45108</v>
      </c>
      <c r="G101" s="28" t="s">
        <v>112</v>
      </c>
    </row>
    <row r="102" spans="2:7" ht="16.8" thickBot="1">
      <c r="B102" s="293" t="s">
        <v>101</v>
      </c>
      <c r="C102" s="30" t="s">
        <v>102</v>
      </c>
      <c r="D102" s="30">
        <f>'FY23'!BA1</f>
        <v>15430.799999999997</v>
      </c>
      <c r="E102" s="30">
        <f>'FY23'!BC1</f>
        <v>9727.4</v>
      </c>
      <c r="F102" s="30">
        <f>'FY23'!BE1</f>
        <v>18492.200000000004</v>
      </c>
      <c r="G102" s="30">
        <f>D102+E102+F102</f>
        <v>43650.400000000001</v>
      </c>
    </row>
    <row r="103" spans="2:7" ht="16.8" thickBot="1">
      <c r="B103" s="293"/>
      <c r="C103" s="30" t="s">
        <v>103</v>
      </c>
      <c r="D103" s="30"/>
      <c r="E103" s="30"/>
      <c r="F103" s="30"/>
      <c r="G103" s="30"/>
    </row>
    <row r="104" spans="2:7" ht="16.8" thickBot="1">
      <c r="B104" s="293"/>
      <c r="C104" s="30" t="s">
        <v>104</v>
      </c>
      <c r="D104" s="30"/>
      <c r="E104" s="30"/>
      <c r="F104" s="30"/>
      <c r="G104" s="30"/>
    </row>
    <row r="105" spans="2:7" ht="16.8" thickBot="1">
      <c r="B105" s="293"/>
      <c r="C105" s="30" t="s">
        <v>105</v>
      </c>
      <c r="D105" s="30"/>
      <c r="E105" s="30"/>
      <c r="F105" s="30"/>
      <c r="G105" s="30"/>
    </row>
    <row r="106" spans="2:7" ht="16.8" thickBot="1">
      <c r="B106" s="293"/>
      <c r="C106" s="30" t="s">
        <v>106</v>
      </c>
      <c r="D106" s="30"/>
      <c r="E106" s="30"/>
      <c r="F106" s="30"/>
      <c r="G106" s="30"/>
    </row>
    <row r="107" spans="2:7" ht="16.8" thickBot="1">
      <c r="B107" s="293"/>
      <c r="C107" s="30" t="s">
        <v>107</v>
      </c>
      <c r="D107" s="30"/>
      <c r="E107" s="30"/>
      <c r="F107" s="30"/>
      <c r="G107" s="30"/>
    </row>
    <row r="108" spans="2:7" ht="16.8" thickBot="1">
      <c r="B108" s="25"/>
      <c r="C108" s="25"/>
      <c r="D108" s="25"/>
      <c r="E108" s="25"/>
      <c r="F108" s="34" t="s">
        <v>108</v>
      </c>
      <c r="G108" s="35"/>
    </row>
    <row r="110" spans="2:7" ht="16.8" thickBot="1">
      <c r="B110" s="24" t="s">
        <v>113</v>
      </c>
      <c r="C110" s="25"/>
      <c r="D110" s="25"/>
      <c r="E110" s="25"/>
      <c r="F110" s="25"/>
      <c r="G110" s="25"/>
    </row>
    <row r="111" spans="2:7" ht="29.4" thickBot="1">
      <c r="B111" s="26"/>
      <c r="C111" s="27" t="s">
        <v>78</v>
      </c>
      <c r="D111" s="36">
        <v>45139</v>
      </c>
      <c r="E111" s="36">
        <v>45170</v>
      </c>
      <c r="F111" s="36">
        <v>45200</v>
      </c>
      <c r="G111" s="28" t="s">
        <v>114</v>
      </c>
    </row>
    <row r="112" spans="2:7" ht="16.8" thickBot="1">
      <c r="B112" s="287" t="s">
        <v>80</v>
      </c>
      <c r="C112" s="30" t="s">
        <v>81</v>
      </c>
      <c r="D112" s="30"/>
      <c r="E112" s="30"/>
      <c r="F112" s="30"/>
      <c r="G112" s="30"/>
    </row>
    <row r="113" spans="2:7" ht="16.8" thickBot="1">
      <c r="B113" s="288"/>
      <c r="C113" s="30" t="s">
        <v>82</v>
      </c>
      <c r="D113" s="30"/>
      <c r="E113" s="30"/>
      <c r="F113" s="30"/>
      <c r="G113" s="30"/>
    </row>
    <row r="114" spans="2:7" ht="16.8" thickBot="1">
      <c r="B114" s="288"/>
      <c r="C114" s="30" t="s">
        <v>83</v>
      </c>
      <c r="D114" s="30"/>
      <c r="E114" s="30"/>
      <c r="F114" s="30"/>
      <c r="G114" s="30"/>
    </row>
    <row r="115" spans="2:7" ht="16.8" thickBot="1">
      <c r="B115" s="288"/>
      <c r="C115" s="30" t="s">
        <v>84</v>
      </c>
      <c r="D115" s="30"/>
      <c r="E115" s="30"/>
      <c r="F115" s="30"/>
      <c r="G115" s="30"/>
    </row>
    <row r="116" spans="2:7" ht="16.8" thickBot="1">
      <c r="B116" s="288"/>
      <c r="C116" s="30" t="s">
        <v>85</v>
      </c>
      <c r="D116" s="30"/>
      <c r="E116" s="30"/>
      <c r="F116" s="30"/>
      <c r="G116" s="30"/>
    </row>
    <row r="117" spans="2:7" ht="16.8" thickBot="1">
      <c r="B117" s="288"/>
      <c r="C117" s="30" t="s">
        <v>86</v>
      </c>
      <c r="D117" s="30"/>
      <c r="E117" s="30"/>
      <c r="F117" s="30"/>
      <c r="G117" s="30"/>
    </row>
    <row r="118" spans="2:7" ht="16.8" thickBot="1">
      <c r="B118" s="288"/>
      <c r="C118" s="30" t="s">
        <v>87</v>
      </c>
      <c r="D118" s="30"/>
      <c r="E118" s="30"/>
      <c r="F118" s="30"/>
      <c r="G118" s="30"/>
    </row>
    <row r="119" spans="2:7" ht="16.8" thickBot="1">
      <c r="B119" s="288"/>
      <c r="C119" s="30" t="s">
        <v>88</v>
      </c>
      <c r="D119" s="30"/>
      <c r="E119" s="30"/>
      <c r="F119" s="30"/>
      <c r="G119" s="30"/>
    </row>
    <row r="120" spans="2:7" ht="16.8" thickBot="1">
      <c r="B120" s="288"/>
      <c r="C120" s="30" t="s">
        <v>89</v>
      </c>
      <c r="D120" s="30"/>
      <c r="E120" s="30"/>
      <c r="F120" s="30"/>
      <c r="G120" s="30"/>
    </row>
    <row r="121" spans="2:7" ht="16.8" thickBot="1">
      <c r="B121" s="288"/>
      <c r="C121" s="30" t="s">
        <v>90</v>
      </c>
      <c r="D121" s="31"/>
      <c r="E121" s="30"/>
      <c r="F121" s="30"/>
      <c r="G121" s="30"/>
    </row>
    <row r="122" spans="2:7" ht="16.8" thickBot="1">
      <c r="B122" s="288"/>
      <c r="C122" s="29" t="s">
        <v>91</v>
      </c>
      <c r="D122" s="32"/>
      <c r="E122" s="30"/>
      <c r="F122" s="30"/>
      <c r="G122" s="30"/>
    </row>
    <row r="123" spans="2:7" ht="16.8" thickBot="1">
      <c r="B123" s="289"/>
      <c r="C123" s="33" t="s">
        <v>92</v>
      </c>
      <c r="D123" s="30"/>
      <c r="E123" s="30"/>
      <c r="F123" s="30"/>
      <c r="G123" s="30"/>
    </row>
    <row r="124" spans="2:7" ht="16.8" thickBot="1">
      <c r="B124" s="290" t="s">
        <v>93</v>
      </c>
      <c r="C124" s="30" t="s">
        <v>94</v>
      </c>
      <c r="D124" s="30"/>
      <c r="E124" s="30"/>
      <c r="F124" s="30"/>
      <c r="G124" s="30"/>
    </row>
    <row r="125" spans="2:7" ht="16.8" thickBot="1">
      <c r="B125" s="291"/>
      <c r="C125" s="30" t="s">
        <v>88</v>
      </c>
      <c r="D125" s="30"/>
      <c r="E125" s="30"/>
      <c r="F125" s="30"/>
      <c r="G125" s="30"/>
    </row>
    <row r="126" spans="2:7" ht="16.8" thickBot="1">
      <c r="B126" s="291"/>
      <c r="C126" s="30" t="s">
        <v>95</v>
      </c>
      <c r="D126" s="30"/>
      <c r="E126" s="30"/>
      <c r="F126" s="30"/>
      <c r="G126" s="30"/>
    </row>
    <row r="127" spans="2:7" ht="16.8" thickBot="1">
      <c r="B127" s="291"/>
      <c r="C127" s="30" t="s">
        <v>96</v>
      </c>
      <c r="D127" s="30"/>
      <c r="E127" s="30"/>
      <c r="F127" s="30"/>
      <c r="G127" s="30"/>
    </row>
    <row r="128" spans="2:7" ht="16.8" thickBot="1">
      <c r="B128" s="291"/>
      <c r="C128" s="30" t="s">
        <v>97</v>
      </c>
      <c r="D128" s="31"/>
      <c r="E128" s="31"/>
      <c r="F128" s="31"/>
      <c r="G128" s="30"/>
    </row>
    <row r="129" spans="2:7" ht="16.8" thickBot="1">
      <c r="B129" s="291"/>
      <c r="C129" s="30" t="s">
        <v>98</v>
      </c>
      <c r="D129" s="31"/>
      <c r="E129" s="31"/>
      <c r="F129" s="30"/>
      <c r="G129" s="30"/>
    </row>
    <row r="130" spans="2:7" ht="16.8" thickBot="1">
      <c r="B130" s="291"/>
      <c r="C130" s="30" t="s">
        <v>99</v>
      </c>
      <c r="D130" s="30"/>
      <c r="E130" s="31"/>
      <c r="F130" s="30"/>
      <c r="G130" s="30"/>
    </row>
    <row r="131" spans="2:7" ht="16.8" thickBot="1">
      <c r="B131" s="291"/>
      <c r="C131" s="30" t="s">
        <v>91</v>
      </c>
      <c r="D131" s="30"/>
      <c r="E131" s="31"/>
      <c r="F131" s="30"/>
      <c r="G131" s="30"/>
    </row>
    <row r="132" spans="2:7" ht="16.8" thickBot="1">
      <c r="B132" s="292"/>
      <c r="C132" s="30" t="s">
        <v>92</v>
      </c>
      <c r="D132" s="30"/>
      <c r="E132" s="31"/>
      <c r="F132" s="31"/>
      <c r="G132" s="30"/>
    </row>
    <row r="133" spans="2:7" ht="16.8" thickBot="1">
      <c r="B133" s="25"/>
      <c r="C133" s="25"/>
      <c r="D133" s="25"/>
      <c r="E133" s="25"/>
      <c r="F133" s="25"/>
      <c r="G133" s="34"/>
    </row>
    <row r="134" spans="2:7">
      <c r="B134" s="25"/>
      <c r="C134" s="25"/>
      <c r="D134" s="25"/>
      <c r="E134" s="25"/>
      <c r="F134" s="25"/>
      <c r="G134" s="25"/>
    </row>
    <row r="135" spans="2:7" ht="16.8" thickBot="1">
      <c r="B135" s="24" t="s">
        <v>113</v>
      </c>
      <c r="C135" s="25"/>
      <c r="D135" s="25"/>
      <c r="E135" s="25"/>
      <c r="F135" s="25"/>
      <c r="G135" s="25"/>
    </row>
    <row r="136" spans="2:7" ht="29.4" thickBot="1">
      <c r="B136" s="43"/>
      <c r="C136" s="27" t="s">
        <v>100</v>
      </c>
      <c r="D136" s="36">
        <v>45139</v>
      </c>
      <c r="E136" s="36">
        <v>45170</v>
      </c>
      <c r="F136" s="36">
        <v>45200</v>
      </c>
      <c r="G136" s="28" t="s">
        <v>114</v>
      </c>
    </row>
    <row r="137" spans="2:7" ht="16.8" thickBot="1">
      <c r="B137" s="293" t="s">
        <v>101</v>
      </c>
      <c r="C137" s="30" t="s">
        <v>102</v>
      </c>
      <c r="D137" s="30">
        <f>'FY23'!BG1</f>
        <v>15672.2</v>
      </c>
      <c r="E137" s="30">
        <f>'FY23'!BI1</f>
        <v>8242</v>
      </c>
      <c r="F137" s="30">
        <f>'FY23'!BK1</f>
        <v>6241.2</v>
      </c>
      <c r="G137" s="30">
        <f>D137+E137+F137</f>
        <v>30155.4</v>
      </c>
    </row>
    <row r="138" spans="2:7" ht="16.8" thickBot="1">
      <c r="B138" s="293"/>
      <c r="C138" s="30" t="s">
        <v>103</v>
      </c>
      <c r="D138" s="30"/>
      <c r="E138" s="30"/>
      <c r="F138" s="30"/>
      <c r="G138" s="30"/>
    </row>
    <row r="139" spans="2:7" ht="16.8" thickBot="1">
      <c r="B139" s="293"/>
      <c r="C139" s="30" t="s">
        <v>104</v>
      </c>
      <c r="D139" s="30"/>
      <c r="E139" s="30"/>
      <c r="F139" s="30"/>
      <c r="G139" s="30"/>
    </row>
    <row r="140" spans="2:7" ht="16.8" thickBot="1">
      <c r="B140" s="293"/>
      <c r="C140" s="30" t="s">
        <v>105</v>
      </c>
      <c r="D140" s="30"/>
      <c r="E140" s="30"/>
      <c r="F140" s="30"/>
      <c r="G140" s="30"/>
    </row>
    <row r="141" spans="2:7" ht="16.8" thickBot="1">
      <c r="B141" s="293"/>
      <c r="C141" s="30" t="s">
        <v>106</v>
      </c>
      <c r="D141" s="30"/>
      <c r="E141" s="30"/>
      <c r="F141" s="30"/>
      <c r="G141" s="30"/>
    </row>
    <row r="142" spans="2:7" ht="16.8" thickBot="1">
      <c r="B142" s="293"/>
      <c r="C142" s="30" t="s">
        <v>107</v>
      </c>
      <c r="D142" s="30"/>
      <c r="E142" s="30"/>
      <c r="F142" s="30"/>
      <c r="G142" s="30"/>
    </row>
    <row r="143" spans="2:7" ht="16.8" thickBot="1">
      <c r="B143" s="25"/>
      <c r="C143" s="25"/>
      <c r="D143" s="25"/>
      <c r="E143" s="25"/>
      <c r="F143" s="34" t="s">
        <v>108</v>
      </c>
      <c r="G143" s="35"/>
    </row>
  </sheetData>
  <mergeCells count="12">
    <mergeCell ref="B137:B142"/>
    <mergeCell ref="B89:B97"/>
    <mergeCell ref="B112:B123"/>
    <mergeCell ref="B124:B132"/>
    <mergeCell ref="B30:B35"/>
    <mergeCell ref="B66:B71"/>
    <mergeCell ref="B102:B107"/>
    <mergeCell ref="B5:B16"/>
    <mergeCell ref="B17:B25"/>
    <mergeCell ref="B41:B52"/>
    <mergeCell ref="B53:B61"/>
    <mergeCell ref="B77:B88"/>
  </mergeCells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BN226"/>
  <sheetViews>
    <sheetView zoomScale="60" zoomScaleNormal="60" workbookViewId="0">
      <pane xSplit="8" ySplit="2" topLeftCell="BC3" activePane="bottomRight" state="frozen"/>
      <selection activeCell="H28" sqref="H28"/>
      <selection pane="topRight" activeCell="H28" sqref="H28"/>
      <selection pane="bottomLeft" activeCell="H28" sqref="H28"/>
      <selection pane="bottomRight" activeCell="H28" sqref="H28"/>
    </sheetView>
  </sheetViews>
  <sheetFormatPr defaultColWidth="9" defaultRowHeight="14.4"/>
  <cols>
    <col min="1" max="1" width="9" style="94"/>
    <col min="2" max="2" width="10" style="1" customWidth="1"/>
    <col min="3" max="3" width="9" style="1" customWidth="1"/>
    <col min="4" max="4" width="21.77734375" style="1" customWidth="1"/>
    <col min="5" max="5" width="20.33203125" style="1" customWidth="1"/>
    <col min="6" max="6" width="12.109375" style="1" customWidth="1"/>
    <col min="7" max="7" width="8.77734375" style="1" customWidth="1"/>
    <col min="8" max="8" width="16.33203125" style="1" customWidth="1"/>
    <col min="9" max="9" width="12.33203125" style="1" customWidth="1"/>
    <col min="10" max="10" width="8.33203125" style="21" customWidth="1"/>
    <col min="11" max="11" width="10" style="1" customWidth="1"/>
    <col min="12" max="12" width="29.77734375" style="1" customWidth="1"/>
    <col min="13" max="13" width="14.33203125" style="16" customWidth="1"/>
    <col min="14" max="27" width="11.33203125" style="16" customWidth="1"/>
    <col min="28" max="39" width="11.33203125" style="69" customWidth="1"/>
    <col min="40" max="40" width="13.33203125" style="73" customWidth="1"/>
    <col min="41" max="41" width="13.33203125" style="72" customWidth="1"/>
    <col min="42" max="42" width="13.33203125" style="73" customWidth="1"/>
    <col min="43" max="43" width="13.33203125" style="72" customWidth="1"/>
    <col min="44" max="44" width="13.33203125" style="73" customWidth="1"/>
    <col min="45" max="45" width="13.33203125" style="72" customWidth="1"/>
    <col min="46" max="46" width="13.33203125" style="71" customWidth="1"/>
    <col min="47" max="47" width="13.33203125" style="69" customWidth="1"/>
    <col min="48" max="48" width="13.33203125" style="71" customWidth="1"/>
    <col min="49" max="49" width="13.33203125" style="69" customWidth="1"/>
    <col min="50" max="50" width="13.33203125" style="71" customWidth="1"/>
    <col min="51" max="51" width="13.33203125" style="69" customWidth="1"/>
    <col min="52" max="52" width="13.33203125" style="70" customWidth="1"/>
    <col min="53" max="53" width="13.33203125" style="69" customWidth="1"/>
    <col min="54" max="54" width="13.33203125" style="70" customWidth="1"/>
    <col min="55" max="55" width="13.33203125" style="69" customWidth="1"/>
    <col min="56" max="56" width="13.33203125" style="70" customWidth="1"/>
    <col min="57" max="57" width="13.33203125" style="69" customWidth="1"/>
    <col min="58" max="58" width="13.33203125" style="71" customWidth="1"/>
    <col min="59" max="59" width="13.33203125" style="69" customWidth="1"/>
    <col min="60" max="60" width="13.33203125" style="71" customWidth="1"/>
    <col min="61" max="61" width="13.33203125" style="69" customWidth="1"/>
    <col min="62" max="62" width="13.33203125" style="70" customWidth="1"/>
    <col min="63" max="63" width="13.33203125" style="69" customWidth="1"/>
    <col min="64" max="64" width="9" style="1" customWidth="1"/>
    <col min="65" max="65" width="32.33203125" style="1" bestFit="1" customWidth="1"/>
    <col min="66" max="16384" width="9" style="1"/>
  </cols>
  <sheetData>
    <row r="1" spans="1:66" s="2" customFormat="1" ht="86.85" customHeight="1" thickBot="1">
      <c r="A1" s="92"/>
      <c r="B1" s="37"/>
      <c r="C1" s="37"/>
      <c r="D1" s="37" t="s">
        <v>115</v>
      </c>
      <c r="E1" s="23" t="s">
        <v>116</v>
      </c>
      <c r="F1" s="8"/>
      <c r="G1" s="20" t="s">
        <v>117</v>
      </c>
      <c r="H1" s="18" t="s">
        <v>118</v>
      </c>
      <c r="I1" s="22" t="s">
        <v>119</v>
      </c>
      <c r="J1" s="22" t="s">
        <v>120</v>
      </c>
      <c r="K1" s="133" t="s">
        <v>120</v>
      </c>
      <c r="L1" s="39" t="s">
        <v>121</v>
      </c>
      <c r="M1" s="22" t="s">
        <v>122</v>
      </c>
      <c r="N1" s="91"/>
      <c r="AB1" s="72"/>
      <c r="AC1" s="72"/>
      <c r="AD1" s="72"/>
      <c r="AE1" s="69"/>
      <c r="AF1" s="69"/>
      <c r="AG1" s="69"/>
      <c r="AH1" s="69"/>
      <c r="AI1" s="69"/>
      <c r="AJ1" s="69"/>
      <c r="AK1" s="69"/>
      <c r="AL1" s="69"/>
      <c r="AM1" s="69"/>
      <c r="AN1" s="73"/>
      <c r="AO1" s="72">
        <f>SUM(AO3:AO1028)</f>
        <v>13543.840000000002</v>
      </c>
      <c r="AP1" s="73"/>
      <c r="AQ1" s="72">
        <f>SUM(AQ3:AQ1028)</f>
        <v>4205.76</v>
      </c>
      <c r="AR1" s="73"/>
      <c r="AS1" s="72">
        <f>SUM(AS3:AS1028)</f>
        <v>18630.439999999999</v>
      </c>
      <c r="AT1" s="71"/>
      <c r="AU1" s="69">
        <f>SUM(AU3:AU1028)</f>
        <v>11427.599999999999</v>
      </c>
      <c r="AV1" s="90"/>
      <c r="AW1" s="69">
        <f>SUM(AW3:AW1028)</f>
        <v>16572.599999999999</v>
      </c>
      <c r="AX1" s="71"/>
      <c r="AY1" s="69">
        <f>SUM(AY3:AY1028)</f>
        <v>10147</v>
      </c>
      <c r="AZ1" s="70"/>
      <c r="BA1" s="69">
        <f>SUM(BA3:BA1028)</f>
        <v>15430.799999999997</v>
      </c>
      <c r="BB1" s="70"/>
      <c r="BC1" s="69">
        <f>SUM(BC3:BC1028)</f>
        <v>9727.4</v>
      </c>
      <c r="BD1" s="70"/>
      <c r="BE1" s="69">
        <f>SUM(BE3:BE1028)</f>
        <v>18492.200000000004</v>
      </c>
      <c r="BF1" s="71"/>
      <c r="BG1" s="69">
        <f>SUM(BG3:BG1028)</f>
        <v>15672.2</v>
      </c>
      <c r="BH1" s="71"/>
      <c r="BI1" s="69">
        <f>SUM(BI3:BI1028)</f>
        <v>8242</v>
      </c>
      <c r="BJ1" s="70"/>
      <c r="BK1" s="69">
        <f>SUM(BK3:BK1028)</f>
        <v>6241.2</v>
      </c>
    </row>
    <row r="2" spans="1:66" s="7" customFormat="1" ht="104.85" customHeight="1" thickBot="1">
      <c r="A2" s="59" t="s">
        <v>123</v>
      </c>
      <c r="B2" s="120" t="s">
        <v>124</v>
      </c>
      <c r="C2" s="117" t="s">
        <v>125</v>
      </c>
      <c r="D2" s="38" t="s">
        <v>126</v>
      </c>
      <c r="E2" s="9" t="s">
        <v>78</v>
      </c>
      <c r="F2" s="9" t="s">
        <v>127</v>
      </c>
      <c r="G2" s="19" t="s">
        <v>128</v>
      </c>
      <c r="H2" s="12" t="s">
        <v>0</v>
      </c>
      <c r="I2" s="66" t="s">
        <v>129</v>
      </c>
      <c r="J2" s="67" t="s">
        <v>130</v>
      </c>
      <c r="K2" s="66" t="s">
        <v>131</v>
      </c>
      <c r="L2" s="66" t="s">
        <v>132</v>
      </c>
      <c r="M2" s="68" t="s">
        <v>133</v>
      </c>
      <c r="N2" s="61" t="s">
        <v>134</v>
      </c>
      <c r="O2" s="118" t="s">
        <v>135</v>
      </c>
      <c r="P2" s="118" t="s">
        <v>136</v>
      </c>
      <c r="Q2" s="118" t="s">
        <v>137</v>
      </c>
      <c r="R2" s="118" t="s">
        <v>138</v>
      </c>
      <c r="S2" s="118" t="s">
        <v>139</v>
      </c>
      <c r="T2" s="118" t="s">
        <v>140</v>
      </c>
      <c r="U2" s="118" t="s">
        <v>141</v>
      </c>
      <c r="V2" s="118" t="s">
        <v>142</v>
      </c>
      <c r="W2" s="118" t="s">
        <v>143</v>
      </c>
      <c r="X2" s="118" t="s">
        <v>3</v>
      </c>
      <c r="Y2" s="118" t="s">
        <v>144</v>
      </c>
      <c r="Z2" s="118" t="s">
        <v>145</v>
      </c>
      <c r="AA2" s="61" t="s">
        <v>146</v>
      </c>
      <c r="AB2" s="46" t="s">
        <v>147</v>
      </c>
      <c r="AC2" s="46" t="s">
        <v>148</v>
      </c>
      <c r="AD2" s="46" t="s">
        <v>149</v>
      </c>
      <c r="AE2" s="46" t="s">
        <v>150</v>
      </c>
      <c r="AF2" s="46" t="s">
        <v>151</v>
      </c>
      <c r="AG2" s="46" t="s">
        <v>152</v>
      </c>
      <c r="AH2" s="46" t="s">
        <v>153</v>
      </c>
      <c r="AI2" s="46" t="s">
        <v>154</v>
      </c>
      <c r="AJ2" s="46" t="s">
        <v>155</v>
      </c>
      <c r="AK2" s="46" t="s">
        <v>156</v>
      </c>
      <c r="AL2" s="46" t="s">
        <v>157</v>
      </c>
      <c r="AM2" s="46" t="s">
        <v>158</v>
      </c>
      <c r="AN2" s="63" t="s">
        <v>159</v>
      </c>
      <c r="AO2" s="44" t="s">
        <v>160</v>
      </c>
      <c r="AP2" s="63" t="s">
        <v>161</v>
      </c>
      <c r="AQ2" s="44" t="s">
        <v>162</v>
      </c>
      <c r="AR2" s="44" t="s">
        <v>163</v>
      </c>
      <c r="AS2" s="44" t="s">
        <v>164</v>
      </c>
      <c r="AT2" s="62" t="s">
        <v>165</v>
      </c>
      <c r="AU2" s="47" t="s">
        <v>166</v>
      </c>
      <c r="AV2" s="62" t="s">
        <v>167</v>
      </c>
      <c r="AW2" s="47" t="s">
        <v>168</v>
      </c>
      <c r="AX2" s="47" t="s">
        <v>169</v>
      </c>
      <c r="AY2" s="47" t="s">
        <v>170</v>
      </c>
      <c r="AZ2" s="64" t="s">
        <v>171</v>
      </c>
      <c r="BA2" s="48" t="s">
        <v>172</v>
      </c>
      <c r="BB2" s="64" t="s">
        <v>173</v>
      </c>
      <c r="BC2" s="48" t="s">
        <v>174</v>
      </c>
      <c r="BD2" s="48" t="s">
        <v>175</v>
      </c>
      <c r="BE2" s="48" t="s">
        <v>176</v>
      </c>
      <c r="BF2" s="65" t="s">
        <v>177</v>
      </c>
      <c r="BG2" s="45" t="s">
        <v>178</v>
      </c>
      <c r="BH2" s="65" t="s">
        <v>179</v>
      </c>
      <c r="BI2" s="45" t="s">
        <v>180</v>
      </c>
      <c r="BJ2" s="45" t="s">
        <v>181</v>
      </c>
      <c r="BK2" s="45" t="s">
        <v>182</v>
      </c>
      <c r="BL2" s="119" t="s">
        <v>2</v>
      </c>
      <c r="BM2" s="119" t="s">
        <v>1</v>
      </c>
      <c r="BN2" s="7" t="s">
        <v>183</v>
      </c>
    </row>
    <row r="3" spans="1:66" ht="15.75" customHeight="1" thickBot="1">
      <c r="A3" s="93" t="s">
        <v>123</v>
      </c>
      <c r="B3" s="121" t="s">
        <v>184</v>
      </c>
      <c r="C3" s="298" t="s">
        <v>185</v>
      </c>
      <c r="D3" s="294" t="s">
        <v>186</v>
      </c>
      <c r="E3" s="294" t="s">
        <v>186</v>
      </c>
      <c r="F3" s="296" t="s">
        <v>187</v>
      </c>
      <c r="G3" s="89">
        <v>2018</v>
      </c>
      <c r="H3" s="87" t="s">
        <v>188</v>
      </c>
      <c r="I3" s="87" t="s">
        <v>189</v>
      </c>
      <c r="J3" s="88" t="s">
        <v>190</v>
      </c>
      <c r="K3" s="135" t="s">
        <v>191</v>
      </c>
      <c r="L3" s="87" t="s">
        <v>192</v>
      </c>
      <c r="M3" s="14" t="s">
        <v>193</v>
      </c>
      <c r="N3" s="86">
        <v>1.86</v>
      </c>
      <c r="O3" s="86">
        <v>1.86</v>
      </c>
      <c r="P3" s="86">
        <v>1.86</v>
      </c>
      <c r="Q3" s="86">
        <v>1.86</v>
      </c>
      <c r="R3" s="86">
        <v>1.86</v>
      </c>
      <c r="S3" s="86">
        <v>1.86</v>
      </c>
      <c r="T3" s="86">
        <v>1.86</v>
      </c>
      <c r="U3" s="86">
        <v>1.86</v>
      </c>
      <c r="V3" s="86">
        <v>1.86</v>
      </c>
      <c r="W3" s="86">
        <v>1.86</v>
      </c>
      <c r="X3" s="86">
        <v>1.86</v>
      </c>
      <c r="Y3" s="86">
        <v>1.86</v>
      </c>
      <c r="Z3" s="86">
        <v>1.86</v>
      </c>
      <c r="AA3" s="14">
        <v>0</v>
      </c>
      <c r="AB3" s="84">
        <v>0</v>
      </c>
      <c r="AC3" s="84">
        <v>0</v>
      </c>
      <c r="AD3" s="84">
        <v>0</v>
      </c>
      <c r="AE3" s="69">
        <v>0</v>
      </c>
      <c r="AF3" s="69">
        <v>0</v>
      </c>
      <c r="AG3" s="69">
        <v>0</v>
      </c>
      <c r="AH3" s="69">
        <v>0</v>
      </c>
      <c r="AI3" s="69">
        <v>0</v>
      </c>
      <c r="AJ3" s="69">
        <v>0</v>
      </c>
      <c r="AK3" s="69">
        <v>0</v>
      </c>
      <c r="AL3" s="69">
        <v>0</v>
      </c>
      <c r="AM3" s="69">
        <v>0</v>
      </c>
      <c r="AN3" s="85">
        <v>5760</v>
      </c>
      <c r="AO3" s="95">
        <f>AB3*AN3</f>
        <v>0</v>
      </c>
      <c r="AP3" s="85">
        <v>0</v>
      </c>
      <c r="AQ3" s="95">
        <f>AC3*AP3</f>
        <v>0</v>
      </c>
      <c r="AR3" s="85">
        <v>0</v>
      </c>
      <c r="AS3" s="96">
        <f>AD3*AR3</f>
        <v>0</v>
      </c>
      <c r="AT3" s="79">
        <v>0</v>
      </c>
      <c r="AU3" s="97">
        <f>AE3*AT3</f>
        <v>0</v>
      </c>
      <c r="AV3" s="80">
        <v>5760</v>
      </c>
      <c r="AW3" s="97">
        <f>AF3*AV3</f>
        <v>0</v>
      </c>
      <c r="AX3" s="80">
        <v>2880</v>
      </c>
      <c r="AY3" s="97">
        <f>AG3*AX3</f>
        <v>0</v>
      </c>
      <c r="AZ3" s="74">
        <v>2880</v>
      </c>
      <c r="BA3" s="97">
        <f>AH3*AZ3</f>
        <v>0</v>
      </c>
      <c r="BB3" s="74">
        <v>11520</v>
      </c>
      <c r="BC3" s="97">
        <f>AI3*BB3</f>
        <v>0</v>
      </c>
      <c r="BD3" s="74">
        <v>0</v>
      </c>
      <c r="BE3" s="97">
        <f>AJ3*BD3</f>
        <v>0</v>
      </c>
      <c r="BF3" s="73">
        <v>5760</v>
      </c>
      <c r="BG3" s="97">
        <f>AK3*BF3</f>
        <v>0</v>
      </c>
      <c r="BH3" s="70">
        <v>0</v>
      </c>
      <c r="BI3" s="97">
        <f>AL3*BH3</f>
        <v>0</v>
      </c>
      <c r="BJ3" s="73">
        <v>0</v>
      </c>
      <c r="BK3" s="97">
        <f>AM3*BJ3</f>
        <v>0</v>
      </c>
      <c r="BL3" s="127"/>
      <c r="BM3" s="130" t="s">
        <v>194</v>
      </c>
    </row>
    <row r="4" spans="1:66" ht="15.75" customHeight="1" thickBot="1">
      <c r="A4" s="93" t="s">
        <v>123</v>
      </c>
      <c r="B4" s="122" t="s">
        <v>184</v>
      </c>
      <c r="C4" s="299"/>
      <c r="D4" s="295"/>
      <c r="E4" s="295"/>
      <c r="F4" s="297"/>
      <c r="G4" s="78">
        <v>2018</v>
      </c>
      <c r="H4" s="76" t="s">
        <v>195</v>
      </c>
      <c r="I4" s="76" t="s">
        <v>196</v>
      </c>
      <c r="J4" s="77" t="s">
        <v>197</v>
      </c>
      <c r="K4" s="81" t="s">
        <v>191</v>
      </c>
      <c r="L4" s="76" t="s">
        <v>192</v>
      </c>
      <c r="M4" s="13" t="s">
        <v>193</v>
      </c>
      <c r="N4" s="75">
        <v>2</v>
      </c>
      <c r="O4" s="75">
        <v>2</v>
      </c>
      <c r="P4" s="75">
        <v>2</v>
      </c>
      <c r="Q4" s="75">
        <v>2</v>
      </c>
      <c r="R4" s="75">
        <v>2</v>
      </c>
      <c r="S4" s="75">
        <v>2</v>
      </c>
      <c r="T4" s="75">
        <v>2</v>
      </c>
      <c r="U4" s="75">
        <v>2</v>
      </c>
      <c r="V4" s="75">
        <v>2</v>
      </c>
      <c r="W4" s="75">
        <v>2</v>
      </c>
      <c r="X4" s="75">
        <v>2</v>
      </c>
      <c r="Y4" s="75">
        <v>2</v>
      </c>
      <c r="Z4" s="75">
        <v>2</v>
      </c>
      <c r="AA4" s="13">
        <v>0</v>
      </c>
      <c r="AB4" s="72">
        <v>0</v>
      </c>
      <c r="AC4" s="72">
        <v>0</v>
      </c>
      <c r="AD4" s="72">
        <v>0</v>
      </c>
      <c r="AE4" s="69">
        <v>0</v>
      </c>
      <c r="AF4" s="69">
        <v>0</v>
      </c>
      <c r="AG4" s="69">
        <v>0</v>
      </c>
      <c r="AH4" s="69">
        <v>0</v>
      </c>
      <c r="AI4" s="69">
        <v>0</v>
      </c>
      <c r="AJ4" s="69">
        <v>0</v>
      </c>
      <c r="AK4" s="69">
        <v>0</v>
      </c>
      <c r="AL4" s="69">
        <v>0</v>
      </c>
      <c r="AM4" s="69">
        <v>0</v>
      </c>
      <c r="AN4" s="73">
        <v>2880</v>
      </c>
      <c r="AO4" s="95">
        <f t="shared" ref="AO4:AO68" si="0">AB4*AN4</f>
        <v>0</v>
      </c>
      <c r="AP4" s="73">
        <v>0</v>
      </c>
      <c r="AQ4" s="95">
        <f t="shared" ref="AQ4:AQ68" si="1">AC4*AP4</f>
        <v>0</v>
      </c>
      <c r="AR4" s="73">
        <v>5760</v>
      </c>
      <c r="AS4" s="96">
        <f t="shared" ref="AS4:AS68" si="2">AD4*AR4</f>
        <v>0</v>
      </c>
      <c r="AT4" s="80">
        <v>2880</v>
      </c>
      <c r="AU4" s="97">
        <f t="shared" ref="AU4:AU68" si="3">AE4*AT4</f>
        <v>0</v>
      </c>
      <c r="AV4" s="80">
        <v>14400</v>
      </c>
      <c r="AW4" s="97">
        <f t="shared" ref="AW4:AW68" si="4">AF4*AV4</f>
        <v>0</v>
      </c>
      <c r="AX4" s="80">
        <v>0</v>
      </c>
      <c r="AY4" s="97">
        <f t="shared" ref="AY4:AY68" si="5">AG4*AX4</f>
        <v>0</v>
      </c>
      <c r="AZ4" s="74">
        <v>8640</v>
      </c>
      <c r="BA4" s="97">
        <f t="shared" ref="BA4:BA68" si="6">AH4*AZ4</f>
        <v>0</v>
      </c>
      <c r="BB4" s="74">
        <v>0</v>
      </c>
      <c r="BC4" s="97">
        <f t="shared" ref="BC4:BC68" si="7">AI4*BB4</f>
        <v>0</v>
      </c>
      <c r="BD4" s="74">
        <v>2880</v>
      </c>
      <c r="BE4" s="97">
        <f t="shared" ref="BE4:BE68" si="8">AJ4*BD4</f>
        <v>0</v>
      </c>
      <c r="BF4" s="70">
        <v>0</v>
      </c>
      <c r="BG4" s="97">
        <f t="shared" ref="BG4:BG68" si="9">AK4*BF4</f>
        <v>0</v>
      </c>
      <c r="BH4" s="73">
        <v>0</v>
      </c>
      <c r="BI4" s="97">
        <f t="shared" ref="BI4:BI68" si="10">AL4*BH4</f>
        <v>0</v>
      </c>
      <c r="BJ4" s="70">
        <v>2880</v>
      </c>
      <c r="BK4" s="97">
        <f t="shared" ref="BK4:BK68" si="11">AM4*BJ4</f>
        <v>0</v>
      </c>
      <c r="BL4" s="128"/>
      <c r="BM4" s="131" t="s">
        <v>198</v>
      </c>
    </row>
    <row r="5" spans="1:66" ht="15.75" customHeight="1" thickBot="1">
      <c r="A5" s="93" t="s">
        <v>123</v>
      </c>
      <c r="B5" s="122" t="s">
        <v>199</v>
      </c>
      <c r="C5" s="299"/>
      <c r="D5" s="295"/>
      <c r="E5" s="295"/>
      <c r="F5" s="297"/>
      <c r="G5" s="78">
        <v>2020</v>
      </c>
      <c r="H5" s="76" t="s">
        <v>200</v>
      </c>
      <c r="I5" s="76" t="s">
        <v>201</v>
      </c>
      <c r="J5" s="77" t="s">
        <v>197</v>
      </c>
      <c r="K5" s="81" t="s">
        <v>191</v>
      </c>
      <c r="L5" s="76" t="s">
        <v>192</v>
      </c>
      <c r="M5" s="13" t="s">
        <v>193</v>
      </c>
      <c r="N5" s="75">
        <v>8.85</v>
      </c>
      <c r="O5" s="75">
        <v>8.85</v>
      </c>
      <c r="P5" s="75">
        <v>8.85</v>
      </c>
      <c r="Q5" s="75">
        <v>8.85</v>
      </c>
      <c r="R5" s="75">
        <v>8.85</v>
      </c>
      <c r="S5" s="75">
        <v>8.85</v>
      </c>
      <c r="T5" s="75">
        <v>8.85</v>
      </c>
      <c r="U5" s="75">
        <v>8.85</v>
      </c>
      <c r="V5" s="75">
        <v>8.85</v>
      </c>
      <c r="W5" s="75">
        <v>8.85</v>
      </c>
      <c r="X5" s="75">
        <v>8.85</v>
      </c>
      <c r="Y5" s="75">
        <v>8.85</v>
      </c>
      <c r="Z5" s="75">
        <v>8.85</v>
      </c>
      <c r="AA5" s="13">
        <v>0</v>
      </c>
      <c r="AB5" s="72">
        <v>0</v>
      </c>
      <c r="AC5" s="72">
        <v>0</v>
      </c>
      <c r="AD5" s="72">
        <v>0</v>
      </c>
      <c r="AE5" s="69">
        <v>0</v>
      </c>
      <c r="AF5" s="69">
        <v>0</v>
      </c>
      <c r="AG5" s="69">
        <v>0</v>
      </c>
      <c r="AH5" s="69">
        <v>0</v>
      </c>
      <c r="AI5" s="69">
        <v>0</v>
      </c>
      <c r="AJ5" s="69">
        <v>0</v>
      </c>
      <c r="AK5" s="69">
        <v>0</v>
      </c>
      <c r="AL5" s="69">
        <v>0</v>
      </c>
      <c r="AM5" s="69">
        <v>0</v>
      </c>
      <c r="AN5" s="73">
        <v>8960</v>
      </c>
      <c r="AO5" s="95">
        <f t="shared" si="0"/>
        <v>0</v>
      </c>
      <c r="AP5" s="73">
        <v>0</v>
      </c>
      <c r="AQ5" s="95">
        <f t="shared" si="1"/>
        <v>0</v>
      </c>
      <c r="AR5" s="73">
        <v>0</v>
      </c>
      <c r="AS5" s="96">
        <f t="shared" si="2"/>
        <v>0</v>
      </c>
      <c r="AT5" s="80">
        <v>2560</v>
      </c>
      <c r="AU5" s="97">
        <f t="shared" si="3"/>
        <v>0</v>
      </c>
      <c r="AV5" s="80">
        <v>1280</v>
      </c>
      <c r="AW5" s="97">
        <f t="shared" si="4"/>
        <v>0</v>
      </c>
      <c r="AX5" s="80">
        <v>0</v>
      </c>
      <c r="AY5" s="97">
        <f t="shared" si="5"/>
        <v>0</v>
      </c>
      <c r="AZ5" s="70">
        <v>1280</v>
      </c>
      <c r="BA5" s="97">
        <f t="shared" si="6"/>
        <v>0</v>
      </c>
      <c r="BB5" s="70">
        <v>2560</v>
      </c>
      <c r="BC5" s="97">
        <f t="shared" si="7"/>
        <v>0</v>
      </c>
      <c r="BD5" s="70">
        <v>32000</v>
      </c>
      <c r="BE5" s="97">
        <f t="shared" si="8"/>
        <v>0</v>
      </c>
      <c r="BF5" s="73">
        <v>0</v>
      </c>
      <c r="BG5" s="97">
        <f t="shared" si="9"/>
        <v>0</v>
      </c>
      <c r="BH5" s="73">
        <v>0</v>
      </c>
      <c r="BI5" s="97">
        <f t="shared" si="10"/>
        <v>0</v>
      </c>
      <c r="BJ5" s="73">
        <v>1280</v>
      </c>
      <c r="BK5" s="97">
        <f t="shared" si="11"/>
        <v>0</v>
      </c>
      <c r="BL5" s="128"/>
      <c r="BM5" s="131" t="s">
        <v>202</v>
      </c>
    </row>
    <row r="6" spans="1:66" ht="15.75" customHeight="1" thickBot="1">
      <c r="A6" s="93" t="s">
        <v>123</v>
      </c>
      <c r="B6" s="122" t="s">
        <v>199</v>
      </c>
      <c r="C6" s="299"/>
      <c r="D6" s="295"/>
      <c r="E6" s="295"/>
      <c r="F6" s="297"/>
      <c r="G6" s="78">
        <v>2020</v>
      </c>
      <c r="H6" s="76" t="s">
        <v>200</v>
      </c>
      <c r="I6" s="76" t="s">
        <v>201</v>
      </c>
      <c r="J6" s="77" t="s">
        <v>197</v>
      </c>
      <c r="K6" s="81" t="s">
        <v>191</v>
      </c>
      <c r="L6" s="76" t="s">
        <v>192</v>
      </c>
      <c r="M6" s="13" t="s">
        <v>193</v>
      </c>
      <c r="N6" s="75">
        <v>9</v>
      </c>
      <c r="O6" s="75">
        <v>9</v>
      </c>
      <c r="P6" s="75">
        <v>9</v>
      </c>
      <c r="Q6" s="75">
        <v>9</v>
      </c>
      <c r="R6" s="75">
        <v>9</v>
      </c>
      <c r="S6" s="75">
        <v>9</v>
      </c>
      <c r="T6" s="75">
        <v>9</v>
      </c>
      <c r="U6" s="75">
        <v>9</v>
      </c>
      <c r="V6" s="75">
        <v>9</v>
      </c>
      <c r="W6" s="75">
        <v>9</v>
      </c>
      <c r="X6" s="75">
        <v>9</v>
      </c>
      <c r="Y6" s="75">
        <v>9</v>
      </c>
      <c r="Z6" s="75">
        <v>9</v>
      </c>
      <c r="AA6" s="13">
        <v>0</v>
      </c>
      <c r="AB6" s="72">
        <v>0</v>
      </c>
      <c r="AC6" s="72">
        <v>0</v>
      </c>
      <c r="AD6" s="72">
        <v>0</v>
      </c>
      <c r="AE6" s="69">
        <v>0</v>
      </c>
      <c r="AF6" s="69">
        <v>0</v>
      </c>
      <c r="AG6" s="69">
        <v>0</v>
      </c>
      <c r="AH6" s="69">
        <v>0</v>
      </c>
      <c r="AI6" s="69">
        <v>0</v>
      </c>
      <c r="AJ6" s="69">
        <v>0</v>
      </c>
      <c r="AK6" s="69">
        <v>0</v>
      </c>
      <c r="AL6" s="69">
        <v>0</v>
      </c>
      <c r="AM6" s="69">
        <v>0</v>
      </c>
      <c r="AN6" s="73">
        <v>20480</v>
      </c>
      <c r="AO6" s="95">
        <f t="shared" si="0"/>
        <v>0</v>
      </c>
      <c r="AP6" s="73">
        <v>33280</v>
      </c>
      <c r="AQ6" s="95">
        <f t="shared" si="1"/>
        <v>0</v>
      </c>
      <c r="AR6" s="73">
        <v>28160</v>
      </c>
      <c r="AS6" s="96">
        <f t="shared" si="2"/>
        <v>0</v>
      </c>
      <c r="AT6" s="80">
        <v>24320</v>
      </c>
      <c r="AU6" s="97">
        <f t="shared" si="3"/>
        <v>0</v>
      </c>
      <c r="AV6" s="80">
        <v>8960</v>
      </c>
      <c r="AW6" s="97">
        <f t="shared" si="4"/>
        <v>0</v>
      </c>
      <c r="AX6" s="80">
        <v>0</v>
      </c>
      <c r="AY6" s="97">
        <f t="shared" si="5"/>
        <v>0</v>
      </c>
      <c r="AZ6" s="73">
        <v>0</v>
      </c>
      <c r="BA6" s="97">
        <f t="shared" si="6"/>
        <v>0</v>
      </c>
      <c r="BB6" s="73">
        <v>0</v>
      </c>
      <c r="BC6" s="97">
        <f t="shared" si="7"/>
        <v>0</v>
      </c>
      <c r="BD6" s="73">
        <v>2560</v>
      </c>
      <c r="BE6" s="97">
        <f t="shared" si="8"/>
        <v>0</v>
      </c>
      <c r="BF6" s="73">
        <v>7680</v>
      </c>
      <c r="BG6" s="97">
        <f t="shared" si="9"/>
        <v>0</v>
      </c>
      <c r="BH6" s="70">
        <v>10240</v>
      </c>
      <c r="BI6" s="97">
        <f t="shared" si="10"/>
        <v>0</v>
      </c>
      <c r="BJ6" s="73">
        <v>1280</v>
      </c>
      <c r="BK6" s="97">
        <f t="shared" si="11"/>
        <v>0</v>
      </c>
      <c r="BL6" s="128"/>
      <c r="BM6" s="131" t="s">
        <v>203</v>
      </c>
    </row>
    <row r="7" spans="1:66" ht="15.75" customHeight="1" thickBot="1">
      <c r="A7" s="93" t="s">
        <v>123</v>
      </c>
      <c r="B7" s="122" t="s">
        <v>199</v>
      </c>
      <c r="C7" s="299"/>
      <c r="D7" s="295"/>
      <c r="E7" s="295"/>
      <c r="F7" s="297"/>
      <c r="G7" s="78">
        <v>2020</v>
      </c>
      <c r="H7" s="76" t="s">
        <v>200</v>
      </c>
      <c r="I7" s="76" t="s">
        <v>201</v>
      </c>
      <c r="J7" s="77" t="s">
        <v>197</v>
      </c>
      <c r="K7" s="81" t="s">
        <v>191</v>
      </c>
      <c r="L7" s="76" t="s">
        <v>192</v>
      </c>
      <c r="M7" s="13" t="s">
        <v>193</v>
      </c>
      <c r="N7" s="75">
        <v>9.7200000000000006</v>
      </c>
      <c r="O7" s="75">
        <v>9.7200000000000006</v>
      </c>
      <c r="P7" s="75">
        <v>9.7200000000000006</v>
      </c>
      <c r="Q7" s="75">
        <v>9.7200000000000006</v>
      </c>
      <c r="R7" s="75">
        <v>9.7200000000000006</v>
      </c>
      <c r="S7" s="75">
        <v>9.7200000000000006</v>
      </c>
      <c r="T7" s="75">
        <v>9.7200000000000006</v>
      </c>
      <c r="U7" s="75">
        <v>9.7200000000000006</v>
      </c>
      <c r="V7" s="75">
        <v>9.7200000000000006</v>
      </c>
      <c r="W7" s="75">
        <v>9.7200000000000006</v>
      </c>
      <c r="X7" s="75">
        <v>9.7200000000000006</v>
      </c>
      <c r="Y7" s="75">
        <v>9.7200000000000006</v>
      </c>
      <c r="Z7" s="75">
        <v>9.7200000000000006</v>
      </c>
      <c r="AA7" s="13">
        <v>0</v>
      </c>
      <c r="AB7" s="72">
        <v>0</v>
      </c>
      <c r="AC7" s="72">
        <v>0</v>
      </c>
      <c r="AD7" s="72">
        <v>0</v>
      </c>
      <c r="AE7" s="69">
        <v>0</v>
      </c>
      <c r="AF7" s="69">
        <v>0</v>
      </c>
      <c r="AG7" s="69">
        <v>0</v>
      </c>
      <c r="AH7" s="69">
        <v>0</v>
      </c>
      <c r="AI7" s="69">
        <v>0</v>
      </c>
      <c r="AJ7" s="69">
        <v>0</v>
      </c>
      <c r="AK7" s="69">
        <v>0</v>
      </c>
      <c r="AL7" s="69">
        <v>0</v>
      </c>
      <c r="AM7" s="69">
        <v>0</v>
      </c>
      <c r="AN7" s="73">
        <v>1360</v>
      </c>
      <c r="AO7" s="95">
        <f t="shared" si="0"/>
        <v>0</v>
      </c>
      <c r="AP7" s="73">
        <v>10190</v>
      </c>
      <c r="AQ7" s="95">
        <f t="shared" si="1"/>
        <v>0</v>
      </c>
      <c r="AR7" s="73">
        <v>6480</v>
      </c>
      <c r="AS7" s="96">
        <f t="shared" si="2"/>
        <v>0</v>
      </c>
      <c r="AT7" s="80">
        <v>1080</v>
      </c>
      <c r="AU7" s="97">
        <f t="shared" si="3"/>
        <v>0</v>
      </c>
      <c r="AV7" s="80">
        <v>2160</v>
      </c>
      <c r="AW7" s="97">
        <f t="shared" si="4"/>
        <v>0</v>
      </c>
      <c r="AX7" s="80">
        <v>1080</v>
      </c>
      <c r="AY7" s="97">
        <f t="shared" si="5"/>
        <v>0</v>
      </c>
      <c r="AZ7" s="73">
        <v>4320</v>
      </c>
      <c r="BA7" s="97">
        <f t="shared" si="6"/>
        <v>0</v>
      </c>
      <c r="BB7" s="73">
        <v>8640</v>
      </c>
      <c r="BC7" s="97">
        <f t="shared" si="7"/>
        <v>0</v>
      </c>
      <c r="BD7" s="73">
        <v>3240</v>
      </c>
      <c r="BE7" s="97">
        <f t="shared" si="8"/>
        <v>0</v>
      </c>
      <c r="BF7" s="73">
        <v>3240</v>
      </c>
      <c r="BG7" s="97">
        <f t="shared" si="9"/>
        <v>0</v>
      </c>
      <c r="BH7" s="73">
        <v>4320</v>
      </c>
      <c r="BI7" s="97">
        <f t="shared" si="10"/>
        <v>0</v>
      </c>
      <c r="BJ7" s="70">
        <v>2160</v>
      </c>
      <c r="BK7" s="97">
        <f t="shared" si="11"/>
        <v>0</v>
      </c>
      <c r="BL7" s="128"/>
      <c r="BM7" s="131" t="s">
        <v>204</v>
      </c>
    </row>
    <row r="8" spans="1:66" ht="15.75" customHeight="1" thickBot="1">
      <c r="A8" s="93" t="s">
        <v>123</v>
      </c>
      <c r="B8" s="122" t="s">
        <v>199</v>
      </c>
      <c r="C8" s="299"/>
      <c r="D8" s="295"/>
      <c r="E8" s="295"/>
      <c r="F8" s="297"/>
      <c r="G8" s="78">
        <v>2020</v>
      </c>
      <c r="H8" s="76" t="s">
        <v>200</v>
      </c>
      <c r="I8" s="76" t="s">
        <v>201</v>
      </c>
      <c r="J8" s="77" t="s">
        <v>197</v>
      </c>
      <c r="K8" s="81" t="s">
        <v>191</v>
      </c>
      <c r="L8" s="76" t="s">
        <v>192</v>
      </c>
      <c r="M8" s="13" t="s">
        <v>193</v>
      </c>
      <c r="N8" s="75">
        <v>9.16</v>
      </c>
      <c r="O8" s="75">
        <v>9.16</v>
      </c>
      <c r="P8" s="75">
        <v>9.16</v>
      </c>
      <c r="Q8" s="75">
        <v>9.16</v>
      </c>
      <c r="R8" s="75">
        <v>9.16</v>
      </c>
      <c r="S8" s="75">
        <v>9.16</v>
      </c>
      <c r="T8" s="75">
        <v>9.16</v>
      </c>
      <c r="U8" s="75">
        <v>9.16</v>
      </c>
      <c r="V8" s="75">
        <v>9.16</v>
      </c>
      <c r="W8" s="75">
        <v>9.16</v>
      </c>
      <c r="X8" s="75">
        <v>9.16</v>
      </c>
      <c r="Y8" s="75">
        <v>9.16</v>
      </c>
      <c r="Z8" s="75">
        <v>9.16</v>
      </c>
      <c r="AA8" s="13">
        <v>0</v>
      </c>
      <c r="AB8" s="72">
        <v>0</v>
      </c>
      <c r="AC8" s="72">
        <v>0</v>
      </c>
      <c r="AD8" s="72">
        <v>0</v>
      </c>
      <c r="AE8" s="69">
        <v>0</v>
      </c>
      <c r="AF8" s="69">
        <v>0</v>
      </c>
      <c r="AG8" s="69">
        <v>0</v>
      </c>
      <c r="AH8" s="69">
        <v>0</v>
      </c>
      <c r="AI8" s="69">
        <v>0</v>
      </c>
      <c r="AJ8" s="69">
        <v>0</v>
      </c>
      <c r="AK8" s="69">
        <v>0</v>
      </c>
      <c r="AL8" s="69">
        <v>0</v>
      </c>
      <c r="AM8" s="69">
        <v>0</v>
      </c>
      <c r="AN8" s="73">
        <v>9300</v>
      </c>
      <c r="AO8" s="95">
        <f t="shared" si="0"/>
        <v>0</v>
      </c>
      <c r="AP8" s="73">
        <v>19000</v>
      </c>
      <c r="AQ8" s="95">
        <f t="shared" si="1"/>
        <v>0</v>
      </c>
      <c r="AR8" s="73">
        <v>28000</v>
      </c>
      <c r="AS8" s="96">
        <f t="shared" si="2"/>
        <v>0</v>
      </c>
      <c r="AT8" s="79">
        <v>0</v>
      </c>
      <c r="AU8" s="97">
        <f t="shared" si="3"/>
        <v>0</v>
      </c>
      <c r="AV8" s="80">
        <v>22000</v>
      </c>
      <c r="AW8" s="97">
        <f t="shared" si="4"/>
        <v>0</v>
      </c>
      <c r="AX8" s="80">
        <v>11500</v>
      </c>
      <c r="AY8" s="97">
        <f t="shared" si="5"/>
        <v>0</v>
      </c>
      <c r="AZ8" s="71">
        <v>32000</v>
      </c>
      <c r="BA8" s="97">
        <f t="shared" si="6"/>
        <v>0</v>
      </c>
      <c r="BB8" s="71">
        <v>25000</v>
      </c>
      <c r="BC8" s="97">
        <f t="shared" si="7"/>
        <v>0</v>
      </c>
      <c r="BD8" s="71">
        <v>12060</v>
      </c>
      <c r="BE8" s="97">
        <f t="shared" si="8"/>
        <v>0</v>
      </c>
      <c r="BF8" s="70">
        <v>19000</v>
      </c>
      <c r="BG8" s="97">
        <f t="shared" si="9"/>
        <v>0</v>
      </c>
      <c r="BH8" s="70">
        <v>23000</v>
      </c>
      <c r="BI8" s="97">
        <f t="shared" si="10"/>
        <v>0</v>
      </c>
      <c r="BJ8" s="73">
        <v>27800</v>
      </c>
      <c r="BK8" s="97">
        <f t="shared" si="11"/>
        <v>0</v>
      </c>
      <c r="BL8" s="128"/>
      <c r="BM8" s="131" t="s">
        <v>205</v>
      </c>
    </row>
    <row r="9" spans="1:66" ht="15.75" customHeight="1" thickBot="1">
      <c r="A9" s="93" t="s">
        <v>123</v>
      </c>
      <c r="B9" s="122" t="s">
        <v>199</v>
      </c>
      <c r="C9" s="299"/>
      <c r="D9" s="295"/>
      <c r="E9" s="295"/>
      <c r="F9" s="297"/>
      <c r="G9" s="78">
        <v>2020</v>
      </c>
      <c r="H9" s="76" t="s">
        <v>200</v>
      </c>
      <c r="I9" s="76" t="s">
        <v>201</v>
      </c>
      <c r="J9" s="77" t="s">
        <v>197</v>
      </c>
      <c r="K9" s="81" t="s">
        <v>191</v>
      </c>
      <c r="L9" s="76" t="s">
        <v>192</v>
      </c>
      <c r="M9" s="13" t="s">
        <v>193</v>
      </c>
      <c r="N9" s="75">
        <v>8.8699999999999992</v>
      </c>
      <c r="O9" s="75">
        <v>8.8699999999999992</v>
      </c>
      <c r="P9" s="75">
        <v>8.8699999999999992</v>
      </c>
      <c r="Q9" s="75">
        <v>8.8699999999999992</v>
      </c>
      <c r="R9" s="75">
        <v>8.8699999999999992</v>
      </c>
      <c r="S9" s="75">
        <v>8.8699999999999992</v>
      </c>
      <c r="T9" s="75">
        <v>8.8699999999999992</v>
      </c>
      <c r="U9" s="75">
        <v>8.8699999999999992</v>
      </c>
      <c r="V9" s="75">
        <v>8.8699999999999992</v>
      </c>
      <c r="W9" s="75">
        <v>8.8699999999999992</v>
      </c>
      <c r="X9" s="75">
        <v>8.8699999999999992</v>
      </c>
      <c r="Y9" s="75">
        <v>8.8699999999999992</v>
      </c>
      <c r="Z9" s="75">
        <v>8.8699999999999992</v>
      </c>
      <c r="AA9" s="13">
        <v>0</v>
      </c>
      <c r="AB9" s="72">
        <v>0</v>
      </c>
      <c r="AC9" s="72">
        <v>0</v>
      </c>
      <c r="AD9" s="72">
        <v>0</v>
      </c>
      <c r="AE9" s="69">
        <v>0</v>
      </c>
      <c r="AF9" s="69">
        <v>0</v>
      </c>
      <c r="AG9" s="69">
        <v>0</v>
      </c>
      <c r="AH9" s="69">
        <v>0</v>
      </c>
      <c r="AI9" s="69">
        <v>0</v>
      </c>
      <c r="AJ9" s="69">
        <v>0</v>
      </c>
      <c r="AK9" s="69">
        <v>0</v>
      </c>
      <c r="AL9" s="69">
        <v>0</v>
      </c>
      <c r="AM9" s="69">
        <v>0</v>
      </c>
      <c r="AN9" s="73">
        <v>2560</v>
      </c>
      <c r="AO9" s="95">
        <f t="shared" si="0"/>
        <v>0</v>
      </c>
      <c r="AP9" s="73">
        <v>2560</v>
      </c>
      <c r="AQ9" s="95">
        <f t="shared" si="1"/>
        <v>0</v>
      </c>
      <c r="AR9" s="73">
        <v>2560</v>
      </c>
      <c r="AS9" s="96">
        <f t="shared" si="2"/>
        <v>0</v>
      </c>
      <c r="AT9" s="80">
        <v>1280</v>
      </c>
      <c r="AU9" s="97">
        <f t="shared" si="3"/>
        <v>0</v>
      </c>
      <c r="AV9" s="80">
        <v>3840</v>
      </c>
      <c r="AW9" s="97">
        <f t="shared" si="4"/>
        <v>0</v>
      </c>
      <c r="AX9" s="80">
        <v>2560</v>
      </c>
      <c r="AY9" s="97">
        <f t="shared" si="5"/>
        <v>0</v>
      </c>
      <c r="AZ9" s="73">
        <v>7680</v>
      </c>
      <c r="BA9" s="97">
        <f t="shared" si="6"/>
        <v>0</v>
      </c>
      <c r="BB9" s="73">
        <v>3840</v>
      </c>
      <c r="BC9" s="97">
        <f t="shared" si="7"/>
        <v>0</v>
      </c>
      <c r="BD9" s="73">
        <v>0</v>
      </c>
      <c r="BE9" s="97">
        <f t="shared" si="8"/>
        <v>0</v>
      </c>
      <c r="BF9" s="73">
        <v>6400</v>
      </c>
      <c r="BG9" s="97">
        <f t="shared" si="9"/>
        <v>0</v>
      </c>
      <c r="BH9" s="73">
        <v>1280</v>
      </c>
      <c r="BI9" s="97">
        <f t="shared" si="10"/>
        <v>0</v>
      </c>
      <c r="BJ9" s="73">
        <v>0</v>
      </c>
      <c r="BK9" s="97">
        <f t="shared" si="11"/>
        <v>0</v>
      </c>
      <c r="BL9" s="128"/>
      <c r="BM9" s="131" t="s">
        <v>206</v>
      </c>
    </row>
    <row r="10" spans="1:66" ht="15.75" customHeight="1" thickBot="1">
      <c r="A10" s="93" t="s">
        <v>123</v>
      </c>
      <c r="B10" s="122" t="s">
        <v>199</v>
      </c>
      <c r="C10" s="299"/>
      <c r="D10" s="295"/>
      <c r="E10" s="295"/>
      <c r="F10" s="297"/>
      <c r="G10" s="78">
        <v>2020</v>
      </c>
      <c r="H10" s="76" t="s">
        <v>200</v>
      </c>
      <c r="I10" s="76" t="s">
        <v>201</v>
      </c>
      <c r="J10" s="77" t="s">
        <v>197</v>
      </c>
      <c r="K10" s="81" t="s">
        <v>191</v>
      </c>
      <c r="L10" s="76" t="s">
        <v>192</v>
      </c>
      <c r="M10" s="13" t="s">
        <v>193</v>
      </c>
      <c r="N10" s="75">
        <v>9.02</v>
      </c>
      <c r="O10" s="75">
        <v>9.02</v>
      </c>
      <c r="P10" s="75">
        <v>9.02</v>
      </c>
      <c r="Q10" s="75">
        <v>9.02</v>
      </c>
      <c r="R10" s="75">
        <v>9.02</v>
      </c>
      <c r="S10" s="75">
        <v>9.02</v>
      </c>
      <c r="T10" s="75">
        <v>9.02</v>
      </c>
      <c r="U10" s="75">
        <v>9.02</v>
      </c>
      <c r="V10" s="75">
        <v>9.02</v>
      </c>
      <c r="W10" s="75">
        <v>9.02</v>
      </c>
      <c r="X10" s="75">
        <v>9.02</v>
      </c>
      <c r="Y10" s="75">
        <v>9.02</v>
      </c>
      <c r="Z10" s="75">
        <v>9.02</v>
      </c>
      <c r="AA10" s="13">
        <v>0</v>
      </c>
      <c r="AB10" s="72">
        <v>0</v>
      </c>
      <c r="AC10" s="72">
        <v>0</v>
      </c>
      <c r="AD10" s="72">
        <v>0</v>
      </c>
      <c r="AE10" s="69">
        <v>0</v>
      </c>
      <c r="AF10" s="69">
        <v>0</v>
      </c>
      <c r="AG10" s="69">
        <v>0</v>
      </c>
      <c r="AH10" s="69">
        <v>0</v>
      </c>
      <c r="AI10" s="69">
        <v>0</v>
      </c>
      <c r="AJ10" s="69">
        <v>0</v>
      </c>
      <c r="AK10" s="69">
        <v>0</v>
      </c>
      <c r="AL10" s="69">
        <v>0</v>
      </c>
      <c r="AM10" s="69">
        <v>0</v>
      </c>
      <c r="AN10" s="73">
        <v>0</v>
      </c>
      <c r="AO10" s="95">
        <f t="shared" si="0"/>
        <v>0</v>
      </c>
      <c r="AP10" s="73">
        <v>3840</v>
      </c>
      <c r="AQ10" s="95">
        <f t="shared" si="1"/>
        <v>0</v>
      </c>
      <c r="AR10" s="73">
        <v>2560</v>
      </c>
      <c r="AS10" s="96">
        <f t="shared" si="2"/>
        <v>0</v>
      </c>
      <c r="AT10" s="80">
        <v>8960</v>
      </c>
      <c r="AU10" s="97">
        <f t="shared" si="3"/>
        <v>0</v>
      </c>
      <c r="AV10" s="80">
        <v>3840</v>
      </c>
      <c r="AW10" s="97">
        <f t="shared" si="4"/>
        <v>0</v>
      </c>
      <c r="AX10" s="80">
        <v>3840</v>
      </c>
      <c r="AY10" s="97">
        <f t="shared" si="5"/>
        <v>0</v>
      </c>
      <c r="AZ10" s="73">
        <v>2560</v>
      </c>
      <c r="BA10" s="97">
        <f t="shared" si="6"/>
        <v>0</v>
      </c>
      <c r="BB10" s="73">
        <v>0</v>
      </c>
      <c r="BC10" s="97">
        <f t="shared" si="7"/>
        <v>0</v>
      </c>
      <c r="BD10" s="73">
        <v>0</v>
      </c>
      <c r="BE10" s="97">
        <f t="shared" si="8"/>
        <v>0</v>
      </c>
      <c r="BF10" s="73">
        <v>0</v>
      </c>
      <c r="BG10" s="97">
        <f t="shared" si="9"/>
        <v>0</v>
      </c>
      <c r="BH10" s="73">
        <v>2560</v>
      </c>
      <c r="BI10" s="97">
        <f t="shared" si="10"/>
        <v>0</v>
      </c>
      <c r="BJ10" s="70">
        <v>1280</v>
      </c>
      <c r="BK10" s="97">
        <f t="shared" si="11"/>
        <v>0</v>
      </c>
      <c r="BL10" s="128"/>
      <c r="BM10" s="131" t="s">
        <v>207</v>
      </c>
    </row>
    <row r="11" spans="1:66" ht="15.75" customHeight="1" thickBot="1">
      <c r="A11" s="93" t="s">
        <v>123</v>
      </c>
      <c r="B11" s="122" t="s">
        <v>199</v>
      </c>
      <c r="C11" s="299"/>
      <c r="D11" s="295"/>
      <c r="E11" s="295"/>
      <c r="F11" s="297"/>
      <c r="G11" s="78">
        <v>2021</v>
      </c>
      <c r="H11" s="76" t="s">
        <v>208</v>
      </c>
      <c r="I11" s="76" t="s">
        <v>201</v>
      </c>
      <c r="J11" s="77" t="s">
        <v>197</v>
      </c>
      <c r="K11" s="81" t="s">
        <v>209</v>
      </c>
      <c r="L11" s="76" t="s">
        <v>192</v>
      </c>
      <c r="M11" s="13" t="s">
        <v>193</v>
      </c>
      <c r="N11" s="75">
        <v>11.28</v>
      </c>
      <c r="O11" s="75">
        <v>11.28</v>
      </c>
      <c r="P11" s="75">
        <v>11.28</v>
      </c>
      <c r="Q11" s="75">
        <v>11.28</v>
      </c>
      <c r="R11" s="75">
        <v>11.28</v>
      </c>
      <c r="S11" s="75">
        <v>11.28</v>
      </c>
      <c r="T11" s="75">
        <v>11.28</v>
      </c>
      <c r="U11" s="75">
        <v>11.28</v>
      </c>
      <c r="V11" s="75">
        <v>11.28</v>
      </c>
      <c r="W11" s="75">
        <v>11.28</v>
      </c>
      <c r="X11" s="75">
        <v>11.28</v>
      </c>
      <c r="Y11" s="75">
        <v>11.28</v>
      </c>
      <c r="Z11" s="75">
        <v>11.28</v>
      </c>
      <c r="AA11" s="13">
        <v>0</v>
      </c>
      <c r="AB11" s="72">
        <v>0</v>
      </c>
      <c r="AC11" s="72">
        <v>0</v>
      </c>
      <c r="AD11" s="72">
        <v>0</v>
      </c>
      <c r="AE11" s="69">
        <v>0</v>
      </c>
      <c r="AF11" s="69">
        <v>0</v>
      </c>
      <c r="AG11" s="69">
        <v>0</v>
      </c>
      <c r="AH11" s="69">
        <v>0</v>
      </c>
      <c r="AI11" s="69">
        <v>0</v>
      </c>
      <c r="AJ11" s="69">
        <v>0</v>
      </c>
      <c r="AK11" s="69">
        <v>0</v>
      </c>
      <c r="AL11" s="69">
        <v>0</v>
      </c>
      <c r="AM11" s="69">
        <v>0</v>
      </c>
      <c r="AN11" s="73">
        <v>0</v>
      </c>
      <c r="AO11" s="95">
        <f t="shared" si="0"/>
        <v>0</v>
      </c>
      <c r="AP11" s="73">
        <v>2520</v>
      </c>
      <c r="AQ11" s="95">
        <f t="shared" si="1"/>
        <v>0</v>
      </c>
      <c r="AR11" s="73">
        <v>5040</v>
      </c>
      <c r="AS11" s="96">
        <f t="shared" si="2"/>
        <v>0</v>
      </c>
      <c r="AT11" s="80">
        <v>2520</v>
      </c>
      <c r="AU11" s="97">
        <f t="shared" si="3"/>
        <v>0</v>
      </c>
      <c r="AV11" s="80">
        <v>2520</v>
      </c>
      <c r="AW11" s="97">
        <f t="shared" si="4"/>
        <v>0</v>
      </c>
      <c r="AX11" s="80">
        <v>2520</v>
      </c>
      <c r="AY11" s="97">
        <f t="shared" si="5"/>
        <v>0</v>
      </c>
      <c r="AZ11" s="70">
        <v>7560</v>
      </c>
      <c r="BA11" s="97">
        <f t="shared" si="6"/>
        <v>0</v>
      </c>
      <c r="BB11" s="70">
        <v>0</v>
      </c>
      <c r="BC11" s="97">
        <f t="shared" si="7"/>
        <v>0</v>
      </c>
      <c r="BD11" s="70">
        <v>0</v>
      </c>
      <c r="BE11" s="97">
        <f t="shared" si="8"/>
        <v>0</v>
      </c>
      <c r="BF11" s="73">
        <v>2520</v>
      </c>
      <c r="BG11" s="97">
        <f t="shared" si="9"/>
        <v>0</v>
      </c>
      <c r="BH11" s="70">
        <v>2520</v>
      </c>
      <c r="BI11" s="97">
        <f t="shared" si="10"/>
        <v>0</v>
      </c>
      <c r="BJ11" s="73">
        <v>10080</v>
      </c>
      <c r="BK11" s="97">
        <f t="shared" si="11"/>
        <v>0</v>
      </c>
      <c r="BL11" s="128"/>
      <c r="BM11" s="131" t="s">
        <v>210</v>
      </c>
    </row>
    <row r="12" spans="1:66" ht="15.75" customHeight="1" thickBot="1">
      <c r="A12" s="93" t="s">
        <v>123</v>
      </c>
      <c r="B12" s="122" t="s">
        <v>199</v>
      </c>
      <c r="C12" s="299"/>
      <c r="D12" s="295"/>
      <c r="E12" s="295"/>
      <c r="F12" s="297"/>
      <c r="G12" s="78">
        <v>2021</v>
      </c>
      <c r="H12" s="76" t="s">
        <v>211</v>
      </c>
      <c r="I12" s="76" t="s">
        <v>212</v>
      </c>
      <c r="J12" s="77" t="s">
        <v>197</v>
      </c>
      <c r="K12" s="81" t="s">
        <v>191</v>
      </c>
      <c r="L12" s="76" t="s">
        <v>192</v>
      </c>
      <c r="M12" s="13" t="s">
        <v>193</v>
      </c>
      <c r="N12" s="75">
        <v>7.58</v>
      </c>
      <c r="O12" s="75">
        <v>7.58</v>
      </c>
      <c r="P12" s="75">
        <v>7.58</v>
      </c>
      <c r="Q12" s="75">
        <v>7.58</v>
      </c>
      <c r="R12" s="75">
        <v>7.58</v>
      </c>
      <c r="S12" s="75">
        <v>7.58</v>
      </c>
      <c r="T12" s="75">
        <v>7.58</v>
      </c>
      <c r="U12" s="75">
        <v>7.58</v>
      </c>
      <c r="V12" s="75">
        <v>7.58</v>
      </c>
      <c r="W12" s="75">
        <v>7.58</v>
      </c>
      <c r="X12" s="75">
        <v>7.58</v>
      </c>
      <c r="Y12" s="75">
        <v>7.58</v>
      </c>
      <c r="Z12" s="75">
        <v>7.58</v>
      </c>
      <c r="AA12" s="13">
        <v>0</v>
      </c>
      <c r="AB12" s="72">
        <v>0</v>
      </c>
      <c r="AC12" s="72">
        <v>0</v>
      </c>
      <c r="AD12" s="72">
        <v>0</v>
      </c>
      <c r="AE12" s="69">
        <v>0</v>
      </c>
      <c r="AF12" s="69">
        <v>0</v>
      </c>
      <c r="AG12" s="69">
        <v>0</v>
      </c>
      <c r="AH12" s="69">
        <v>0</v>
      </c>
      <c r="AI12" s="69">
        <v>0</v>
      </c>
      <c r="AJ12" s="69">
        <v>0</v>
      </c>
      <c r="AK12" s="69">
        <v>0</v>
      </c>
      <c r="AL12" s="69">
        <v>0</v>
      </c>
      <c r="AM12" s="69">
        <v>0</v>
      </c>
      <c r="AN12" s="73">
        <v>3500</v>
      </c>
      <c r="AO12" s="95">
        <f t="shared" si="0"/>
        <v>0</v>
      </c>
      <c r="AP12" s="73">
        <v>0</v>
      </c>
      <c r="AQ12" s="95">
        <f t="shared" si="1"/>
        <v>0</v>
      </c>
      <c r="AR12" s="73">
        <v>3680</v>
      </c>
      <c r="AS12" s="96">
        <f t="shared" si="2"/>
        <v>0</v>
      </c>
      <c r="AT12" s="79">
        <v>0</v>
      </c>
      <c r="AU12" s="97">
        <f t="shared" si="3"/>
        <v>0</v>
      </c>
      <c r="AV12" s="80">
        <v>11800</v>
      </c>
      <c r="AW12" s="97">
        <f t="shared" si="4"/>
        <v>0</v>
      </c>
      <c r="AX12" s="80">
        <v>0</v>
      </c>
      <c r="AY12" s="97">
        <f t="shared" si="5"/>
        <v>0</v>
      </c>
      <c r="AZ12" s="73">
        <v>1280</v>
      </c>
      <c r="BA12" s="97">
        <f t="shared" si="6"/>
        <v>0</v>
      </c>
      <c r="BB12" s="73">
        <v>1280</v>
      </c>
      <c r="BC12" s="97">
        <f t="shared" si="7"/>
        <v>0</v>
      </c>
      <c r="BD12" s="73">
        <v>4000</v>
      </c>
      <c r="BE12" s="97">
        <f t="shared" si="8"/>
        <v>0</v>
      </c>
      <c r="BF12" s="70">
        <v>0</v>
      </c>
      <c r="BG12" s="97">
        <f t="shared" si="9"/>
        <v>0</v>
      </c>
      <c r="BH12" s="73">
        <v>2560</v>
      </c>
      <c r="BI12" s="97">
        <f t="shared" si="10"/>
        <v>0</v>
      </c>
      <c r="BJ12" s="73">
        <v>6060</v>
      </c>
      <c r="BK12" s="97">
        <f t="shared" si="11"/>
        <v>0</v>
      </c>
      <c r="BL12" s="128"/>
      <c r="BM12" s="131" t="s">
        <v>213</v>
      </c>
    </row>
    <row r="13" spans="1:66" ht="15.75" customHeight="1" thickBot="1">
      <c r="A13" s="93" t="s">
        <v>123</v>
      </c>
      <c r="B13" s="122" t="s">
        <v>199</v>
      </c>
      <c r="C13" s="299"/>
      <c r="D13" s="295"/>
      <c r="E13" s="295"/>
      <c r="F13" s="297"/>
      <c r="G13" s="78">
        <v>2021</v>
      </c>
      <c r="H13" s="76" t="s">
        <v>211</v>
      </c>
      <c r="I13" s="76" t="s">
        <v>212</v>
      </c>
      <c r="J13" s="77" t="s">
        <v>197</v>
      </c>
      <c r="K13" s="81" t="s">
        <v>191</v>
      </c>
      <c r="L13" s="76" t="s">
        <v>192</v>
      </c>
      <c r="M13" s="13" t="s">
        <v>193</v>
      </c>
      <c r="N13" s="75">
        <v>7.46</v>
      </c>
      <c r="O13" s="75">
        <v>7.46</v>
      </c>
      <c r="P13" s="75">
        <v>7.46</v>
      </c>
      <c r="Q13" s="75">
        <v>7.46</v>
      </c>
      <c r="R13" s="75">
        <v>7.46</v>
      </c>
      <c r="S13" s="75">
        <v>7.46</v>
      </c>
      <c r="T13" s="75">
        <v>7.46</v>
      </c>
      <c r="U13" s="75">
        <v>7.46</v>
      </c>
      <c r="V13" s="75">
        <v>7.46</v>
      </c>
      <c r="W13" s="75">
        <v>7.46</v>
      </c>
      <c r="X13" s="75">
        <v>7.46</v>
      </c>
      <c r="Y13" s="75">
        <v>7.46</v>
      </c>
      <c r="Z13" s="75">
        <v>7.46</v>
      </c>
      <c r="AA13" s="13">
        <v>0</v>
      </c>
      <c r="AB13" s="72">
        <v>0</v>
      </c>
      <c r="AC13" s="72">
        <v>0</v>
      </c>
      <c r="AD13" s="72">
        <v>0</v>
      </c>
      <c r="AE13" s="69">
        <v>0</v>
      </c>
      <c r="AF13" s="69">
        <v>0</v>
      </c>
      <c r="AG13" s="69">
        <v>0</v>
      </c>
      <c r="AH13" s="69">
        <v>0</v>
      </c>
      <c r="AI13" s="69">
        <v>0</v>
      </c>
      <c r="AJ13" s="69">
        <v>0</v>
      </c>
      <c r="AK13" s="69">
        <v>0</v>
      </c>
      <c r="AL13" s="69">
        <v>0</v>
      </c>
      <c r="AM13" s="69">
        <v>0</v>
      </c>
      <c r="AN13" s="73">
        <v>0</v>
      </c>
      <c r="AO13" s="95">
        <f t="shared" si="0"/>
        <v>0</v>
      </c>
      <c r="AP13" s="73">
        <v>2400</v>
      </c>
      <c r="AQ13" s="95">
        <f t="shared" si="1"/>
        <v>0</v>
      </c>
      <c r="AR13" s="73">
        <v>1200</v>
      </c>
      <c r="AS13" s="96">
        <f t="shared" si="2"/>
        <v>0</v>
      </c>
      <c r="AT13" s="80">
        <v>1200</v>
      </c>
      <c r="AU13" s="97">
        <f t="shared" si="3"/>
        <v>0</v>
      </c>
      <c r="AV13" s="80">
        <v>1200</v>
      </c>
      <c r="AW13" s="97">
        <f t="shared" si="4"/>
        <v>0</v>
      </c>
      <c r="AX13" s="80">
        <v>1200</v>
      </c>
      <c r="AY13" s="97">
        <f t="shared" si="5"/>
        <v>0</v>
      </c>
      <c r="AZ13" s="73">
        <v>4800</v>
      </c>
      <c r="BA13" s="97">
        <f t="shared" si="6"/>
        <v>0</v>
      </c>
      <c r="BB13" s="73">
        <v>0</v>
      </c>
      <c r="BC13" s="97">
        <f t="shared" si="7"/>
        <v>0</v>
      </c>
      <c r="BD13" s="73">
        <v>0</v>
      </c>
      <c r="BE13" s="97">
        <f t="shared" si="8"/>
        <v>0</v>
      </c>
      <c r="BF13" s="73">
        <v>0</v>
      </c>
      <c r="BG13" s="97">
        <f t="shared" si="9"/>
        <v>0</v>
      </c>
      <c r="BH13" s="73">
        <v>0</v>
      </c>
      <c r="BI13" s="97">
        <f t="shared" si="10"/>
        <v>0</v>
      </c>
      <c r="BJ13" s="70">
        <v>1200</v>
      </c>
      <c r="BK13" s="97">
        <f t="shared" si="11"/>
        <v>0</v>
      </c>
      <c r="BL13" s="128"/>
      <c r="BM13" s="131" t="s">
        <v>214</v>
      </c>
    </row>
    <row r="14" spans="1:66" ht="15.75" customHeight="1" thickBot="1">
      <c r="A14" s="93" t="s">
        <v>123</v>
      </c>
      <c r="B14" s="122" t="s">
        <v>184</v>
      </c>
      <c r="C14" s="299"/>
      <c r="D14" s="295"/>
      <c r="E14" s="295"/>
      <c r="F14" s="297"/>
      <c r="G14" s="78">
        <v>2020</v>
      </c>
      <c r="H14" s="76" t="s">
        <v>215</v>
      </c>
      <c r="I14" s="76" t="s">
        <v>196</v>
      </c>
      <c r="J14" s="77" t="s">
        <v>197</v>
      </c>
      <c r="K14" s="81" t="s">
        <v>216</v>
      </c>
      <c r="L14" s="76" t="s">
        <v>192</v>
      </c>
      <c r="M14" s="13" t="s">
        <v>193</v>
      </c>
      <c r="N14" s="75">
        <v>30.42</v>
      </c>
      <c r="O14" s="75">
        <v>30.42</v>
      </c>
      <c r="P14" s="75">
        <v>30.42</v>
      </c>
      <c r="Q14" s="75">
        <v>30.42</v>
      </c>
      <c r="R14" s="75">
        <v>30.42</v>
      </c>
      <c r="S14" s="75">
        <v>30.42</v>
      </c>
      <c r="T14" s="75">
        <v>30.42</v>
      </c>
      <c r="U14" s="75">
        <v>30.42</v>
      </c>
      <c r="V14" s="75">
        <v>30.42</v>
      </c>
      <c r="W14" s="75">
        <v>30.42</v>
      </c>
      <c r="X14" s="75">
        <v>30.42</v>
      </c>
      <c r="Y14" s="75">
        <v>30.42</v>
      </c>
      <c r="Z14" s="75">
        <v>30.42</v>
      </c>
      <c r="AA14" s="13">
        <v>0</v>
      </c>
      <c r="AB14" s="72">
        <v>0</v>
      </c>
      <c r="AC14" s="72">
        <v>0</v>
      </c>
      <c r="AD14" s="72">
        <v>0</v>
      </c>
      <c r="AE14" s="69">
        <v>0</v>
      </c>
      <c r="AF14" s="69">
        <v>0</v>
      </c>
      <c r="AG14" s="69">
        <v>0</v>
      </c>
      <c r="AH14" s="69">
        <v>0</v>
      </c>
      <c r="AI14" s="69">
        <v>0</v>
      </c>
      <c r="AJ14" s="69">
        <v>0</v>
      </c>
      <c r="AK14" s="69">
        <v>0</v>
      </c>
      <c r="AL14" s="69">
        <v>0</v>
      </c>
      <c r="AM14" s="69">
        <v>0</v>
      </c>
      <c r="AN14" s="73">
        <v>1008</v>
      </c>
      <c r="AO14" s="95">
        <f t="shared" si="0"/>
        <v>0</v>
      </c>
      <c r="AP14" s="73">
        <v>0</v>
      </c>
      <c r="AQ14" s="95">
        <f t="shared" si="1"/>
        <v>0</v>
      </c>
      <c r="AR14" s="73">
        <v>0</v>
      </c>
      <c r="AS14" s="96">
        <f t="shared" si="2"/>
        <v>0</v>
      </c>
      <c r="AT14" s="79">
        <v>0</v>
      </c>
      <c r="AU14" s="97">
        <f t="shared" si="3"/>
        <v>0</v>
      </c>
      <c r="AV14" s="80">
        <v>1008</v>
      </c>
      <c r="AW14" s="97">
        <f t="shared" si="4"/>
        <v>0</v>
      </c>
      <c r="AX14" s="80">
        <v>0</v>
      </c>
      <c r="AY14" s="97">
        <f t="shared" si="5"/>
        <v>0</v>
      </c>
      <c r="AZ14" s="71">
        <v>0</v>
      </c>
      <c r="BA14" s="97">
        <f t="shared" si="6"/>
        <v>0</v>
      </c>
      <c r="BB14" s="71">
        <v>0</v>
      </c>
      <c r="BC14" s="97">
        <f t="shared" si="7"/>
        <v>0</v>
      </c>
      <c r="BD14" s="71">
        <v>0</v>
      </c>
      <c r="BE14" s="97">
        <f t="shared" si="8"/>
        <v>0</v>
      </c>
      <c r="BF14" s="73">
        <v>0</v>
      </c>
      <c r="BG14" s="97">
        <f t="shared" si="9"/>
        <v>0</v>
      </c>
      <c r="BH14" s="70">
        <v>0</v>
      </c>
      <c r="BI14" s="97">
        <f t="shared" si="10"/>
        <v>0</v>
      </c>
      <c r="BJ14" s="73">
        <v>0</v>
      </c>
      <c r="BK14" s="97">
        <f t="shared" si="11"/>
        <v>0</v>
      </c>
      <c r="BL14" s="128"/>
      <c r="BM14" s="131" t="s">
        <v>217</v>
      </c>
    </row>
    <row r="15" spans="1:66" ht="15.75" customHeight="1" thickBot="1">
      <c r="A15" s="93" t="s">
        <v>123</v>
      </c>
      <c r="B15" s="122" t="s">
        <v>184</v>
      </c>
      <c r="C15" s="299"/>
      <c r="D15" s="295"/>
      <c r="E15" s="295"/>
      <c r="F15" s="297"/>
      <c r="G15" s="78">
        <v>2020</v>
      </c>
      <c r="H15" s="76" t="s">
        <v>215</v>
      </c>
      <c r="I15" s="76" t="s">
        <v>196</v>
      </c>
      <c r="J15" s="77" t="s">
        <v>197</v>
      </c>
      <c r="K15" s="81" t="s">
        <v>218</v>
      </c>
      <c r="L15" s="76" t="s">
        <v>192</v>
      </c>
      <c r="M15" s="13" t="s">
        <v>193</v>
      </c>
      <c r="N15" s="75">
        <v>30.52</v>
      </c>
      <c r="O15" s="75">
        <v>30.52</v>
      </c>
      <c r="P15" s="75">
        <v>30.52</v>
      </c>
      <c r="Q15" s="75">
        <v>30.52</v>
      </c>
      <c r="R15" s="75">
        <v>30.52</v>
      </c>
      <c r="S15" s="75">
        <v>30.52</v>
      </c>
      <c r="T15" s="75">
        <v>30.52</v>
      </c>
      <c r="U15" s="75">
        <v>30.52</v>
      </c>
      <c r="V15" s="75">
        <v>30.52</v>
      </c>
      <c r="W15" s="75">
        <v>30.52</v>
      </c>
      <c r="X15" s="75">
        <v>30.52</v>
      </c>
      <c r="Y15" s="75">
        <v>30.52</v>
      </c>
      <c r="Z15" s="75">
        <v>30.52</v>
      </c>
      <c r="AA15" s="13">
        <v>0</v>
      </c>
      <c r="AB15" s="72">
        <v>0</v>
      </c>
      <c r="AC15" s="72">
        <v>0</v>
      </c>
      <c r="AD15" s="72">
        <v>0</v>
      </c>
      <c r="AE15" s="69">
        <v>0</v>
      </c>
      <c r="AF15" s="69">
        <v>0</v>
      </c>
      <c r="AG15" s="69">
        <v>0</v>
      </c>
      <c r="AH15" s="69">
        <v>0</v>
      </c>
      <c r="AI15" s="69">
        <v>0</v>
      </c>
      <c r="AJ15" s="69">
        <v>0</v>
      </c>
      <c r="AK15" s="69">
        <v>0</v>
      </c>
      <c r="AL15" s="69">
        <v>0</v>
      </c>
      <c r="AM15" s="69">
        <v>0</v>
      </c>
      <c r="AN15" s="73">
        <v>0</v>
      </c>
      <c r="AO15" s="95">
        <f t="shared" si="0"/>
        <v>0</v>
      </c>
      <c r="AP15" s="73">
        <v>1008</v>
      </c>
      <c r="AQ15" s="95">
        <f t="shared" si="1"/>
        <v>0</v>
      </c>
      <c r="AR15" s="73">
        <v>1008</v>
      </c>
      <c r="AS15" s="96">
        <f t="shared" si="2"/>
        <v>0</v>
      </c>
      <c r="AT15" s="79">
        <v>0</v>
      </c>
      <c r="AU15" s="97">
        <f t="shared" si="3"/>
        <v>0</v>
      </c>
      <c r="AV15" s="79">
        <v>0</v>
      </c>
      <c r="AW15" s="97">
        <f t="shared" si="4"/>
        <v>0</v>
      </c>
      <c r="AX15" s="80">
        <v>0</v>
      </c>
      <c r="AY15" s="97">
        <f t="shared" si="5"/>
        <v>0</v>
      </c>
      <c r="AZ15" s="70">
        <v>0</v>
      </c>
      <c r="BA15" s="97">
        <f t="shared" si="6"/>
        <v>0</v>
      </c>
      <c r="BB15" s="70">
        <v>1008</v>
      </c>
      <c r="BC15" s="97">
        <f t="shared" si="7"/>
        <v>0</v>
      </c>
      <c r="BD15" s="70">
        <v>0</v>
      </c>
      <c r="BE15" s="97">
        <f t="shared" si="8"/>
        <v>0</v>
      </c>
      <c r="BF15" s="73">
        <v>0</v>
      </c>
      <c r="BG15" s="97">
        <f t="shared" si="9"/>
        <v>0</v>
      </c>
      <c r="BH15" s="73">
        <v>0</v>
      </c>
      <c r="BI15" s="97">
        <f t="shared" si="10"/>
        <v>0</v>
      </c>
      <c r="BJ15" s="73">
        <v>0</v>
      </c>
      <c r="BK15" s="97">
        <f t="shared" si="11"/>
        <v>0</v>
      </c>
      <c r="BL15" s="128"/>
      <c r="BM15" s="131" t="s">
        <v>219</v>
      </c>
    </row>
    <row r="16" spans="1:66" ht="15.75" customHeight="1" thickBot="1">
      <c r="A16" s="93" t="s">
        <v>123</v>
      </c>
      <c r="B16" s="122" t="s">
        <v>199</v>
      </c>
      <c r="C16" s="299"/>
      <c r="D16" s="295"/>
      <c r="E16" s="295"/>
      <c r="F16" s="297"/>
      <c r="G16" s="78">
        <v>2020</v>
      </c>
      <c r="H16" s="76" t="s">
        <v>220</v>
      </c>
      <c r="I16" s="76" t="s">
        <v>201</v>
      </c>
      <c r="J16" s="77" t="s">
        <v>197</v>
      </c>
      <c r="K16" s="81" t="s">
        <v>221</v>
      </c>
      <c r="L16" s="76" t="s">
        <v>192</v>
      </c>
      <c r="M16" s="13" t="s">
        <v>193</v>
      </c>
      <c r="N16" s="75">
        <v>5.66</v>
      </c>
      <c r="O16" s="75">
        <v>5.66</v>
      </c>
      <c r="P16" s="75">
        <v>5.66</v>
      </c>
      <c r="Q16" s="75">
        <v>5.66</v>
      </c>
      <c r="R16" s="75">
        <v>5.66</v>
      </c>
      <c r="S16" s="75">
        <v>5.66</v>
      </c>
      <c r="T16" s="75">
        <v>5.66</v>
      </c>
      <c r="U16" s="75">
        <v>5.66</v>
      </c>
      <c r="V16" s="75">
        <v>5.66</v>
      </c>
      <c r="W16" s="75">
        <v>5.66</v>
      </c>
      <c r="X16" s="75">
        <v>5.66</v>
      </c>
      <c r="Y16" s="75">
        <v>5.66</v>
      </c>
      <c r="Z16" s="75">
        <v>5.66</v>
      </c>
      <c r="AA16" s="13">
        <v>0</v>
      </c>
      <c r="AB16" s="72">
        <v>0</v>
      </c>
      <c r="AC16" s="72">
        <v>0</v>
      </c>
      <c r="AD16" s="72">
        <v>0</v>
      </c>
      <c r="AE16" s="69">
        <v>0</v>
      </c>
      <c r="AF16" s="69">
        <v>0</v>
      </c>
      <c r="AG16" s="69">
        <v>0</v>
      </c>
      <c r="AH16" s="69">
        <v>0</v>
      </c>
      <c r="AI16" s="69">
        <v>0</v>
      </c>
      <c r="AJ16" s="69">
        <v>0</v>
      </c>
      <c r="AK16" s="69">
        <v>0</v>
      </c>
      <c r="AL16" s="69">
        <v>0</v>
      </c>
      <c r="AM16" s="69">
        <v>0</v>
      </c>
      <c r="AN16" s="73">
        <v>0</v>
      </c>
      <c r="AO16" s="95">
        <f t="shared" si="0"/>
        <v>0</v>
      </c>
      <c r="AP16" s="73">
        <v>5760</v>
      </c>
      <c r="AQ16" s="95">
        <f t="shared" si="1"/>
        <v>0</v>
      </c>
      <c r="AR16" s="73">
        <v>0</v>
      </c>
      <c r="AS16" s="96">
        <f t="shared" si="2"/>
        <v>0</v>
      </c>
      <c r="AT16" s="80">
        <v>1440</v>
      </c>
      <c r="AU16" s="97">
        <f t="shared" si="3"/>
        <v>0</v>
      </c>
      <c r="AV16" s="80">
        <v>2880</v>
      </c>
      <c r="AW16" s="97">
        <f t="shared" si="4"/>
        <v>0</v>
      </c>
      <c r="AX16" s="80">
        <v>2880</v>
      </c>
      <c r="AY16" s="97">
        <f t="shared" si="5"/>
        <v>0</v>
      </c>
      <c r="AZ16" s="74">
        <v>4320</v>
      </c>
      <c r="BA16" s="97">
        <f t="shared" si="6"/>
        <v>0</v>
      </c>
      <c r="BB16" s="74">
        <v>2880</v>
      </c>
      <c r="BC16" s="97">
        <f t="shared" si="7"/>
        <v>0</v>
      </c>
      <c r="BD16" s="74">
        <v>23040</v>
      </c>
      <c r="BE16" s="97">
        <f t="shared" si="8"/>
        <v>0</v>
      </c>
      <c r="BF16" s="70">
        <v>0</v>
      </c>
      <c r="BG16" s="97">
        <f t="shared" si="9"/>
        <v>0</v>
      </c>
      <c r="BH16" s="70">
        <v>0</v>
      </c>
      <c r="BI16" s="97">
        <f t="shared" si="10"/>
        <v>0</v>
      </c>
      <c r="BJ16" s="70">
        <v>0</v>
      </c>
      <c r="BK16" s="97">
        <f t="shared" si="11"/>
        <v>0</v>
      </c>
      <c r="BL16" s="128"/>
      <c r="BM16" s="131" t="s">
        <v>222</v>
      </c>
    </row>
    <row r="17" spans="1:66" ht="15.75" customHeight="1" thickBot="1">
      <c r="A17" s="93" t="s">
        <v>123</v>
      </c>
      <c r="B17" s="122" t="s">
        <v>184</v>
      </c>
      <c r="C17" s="299"/>
      <c r="D17" s="295"/>
      <c r="E17" s="295"/>
      <c r="F17" s="297"/>
      <c r="G17" s="78">
        <v>2021</v>
      </c>
      <c r="H17" s="76" t="s">
        <v>223</v>
      </c>
      <c r="I17" s="76" t="s">
        <v>196</v>
      </c>
      <c r="J17" s="77" t="s">
        <v>197</v>
      </c>
      <c r="K17" s="81" t="s">
        <v>191</v>
      </c>
      <c r="L17" s="76" t="s">
        <v>192</v>
      </c>
      <c r="M17" s="13" t="s">
        <v>193</v>
      </c>
      <c r="N17" s="75">
        <v>8.2799999999999994</v>
      </c>
      <c r="O17" s="75">
        <v>8.2799999999999994</v>
      </c>
      <c r="P17" s="75">
        <v>8.2799999999999994</v>
      </c>
      <c r="Q17" s="75">
        <v>8.2799999999999994</v>
      </c>
      <c r="R17" s="75">
        <v>8.2799999999999994</v>
      </c>
      <c r="S17" s="75">
        <v>8.2799999999999994</v>
      </c>
      <c r="T17" s="75">
        <v>8.2799999999999994</v>
      </c>
      <c r="U17" s="75">
        <v>8.2799999999999994</v>
      </c>
      <c r="V17" s="75">
        <v>8.2799999999999994</v>
      </c>
      <c r="W17" s="75">
        <v>8.2799999999999994</v>
      </c>
      <c r="X17" s="75">
        <v>8.2799999999999994</v>
      </c>
      <c r="Y17" s="75">
        <v>8.2799999999999994</v>
      </c>
      <c r="Z17" s="75">
        <v>8.2799999999999994</v>
      </c>
      <c r="AA17" s="13">
        <v>0</v>
      </c>
      <c r="AB17" s="72">
        <v>0</v>
      </c>
      <c r="AC17" s="72">
        <v>0</v>
      </c>
      <c r="AD17" s="72">
        <v>0</v>
      </c>
      <c r="AE17" s="69">
        <v>0</v>
      </c>
      <c r="AF17" s="69">
        <v>0</v>
      </c>
      <c r="AG17" s="69">
        <v>0</v>
      </c>
      <c r="AH17" s="69">
        <v>0</v>
      </c>
      <c r="AI17" s="69">
        <v>0</v>
      </c>
      <c r="AJ17" s="69">
        <v>0</v>
      </c>
      <c r="AK17" s="69">
        <v>0</v>
      </c>
      <c r="AL17" s="69">
        <v>0</v>
      </c>
      <c r="AM17" s="69">
        <v>0</v>
      </c>
      <c r="AN17" s="73">
        <v>0</v>
      </c>
      <c r="AO17" s="95">
        <f t="shared" si="0"/>
        <v>0</v>
      </c>
      <c r="AP17" s="73">
        <v>120</v>
      </c>
      <c r="AQ17" s="95">
        <f t="shared" si="1"/>
        <v>0</v>
      </c>
      <c r="AR17" s="73">
        <v>0</v>
      </c>
      <c r="AS17" s="96">
        <f t="shared" si="2"/>
        <v>0</v>
      </c>
      <c r="AT17" s="79">
        <v>0</v>
      </c>
      <c r="AU17" s="97">
        <f t="shared" si="3"/>
        <v>0</v>
      </c>
      <c r="AV17" s="79">
        <v>0</v>
      </c>
      <c r="AW17" s="97">
        <f t="shared" si="4"/>
        <v>0</v>
      </c>
      <c r="AX17" s="79">
        <v>0</v>
      </c>
      <c r="AY17" s="97">
        <f t="shared" si="5"/>
        <v>0</v>
      </c>
      <c r="AZ17" s="74">
        <v>0</v>
      </c>
      <c r="BA17" s="97">
        <f t="shared" si="6"/>
        <v>0</v>
      </c>
      <c r="BB17" s="74">
        <v>0</v>
      </c>
      <c r="BC17" s="97">
        <f t="shared" si="7"/>
        <v>0</v>
      </c>
      <c r="BD17" s="74">
        <v>0</v>
      </c>
      <c r="BE17" s="97">
        <f t="shared" si="8"/>
        <v>0</v>
      </c>
      <c r="BF17" s="73">
        <v>0</v>
      </c>
      <c r="BG17" s="97">
        <f t="shared" si="9"/>
        <v>0</v>
      </c>
      <c r="BH17" s="73">
        <v>0</v>
      </c>
      <c r="BI17" s="97">
        <f t="shared" si="10"/>
        <v>0</v>
      </c>
      <c r="BJ17" s="73">
        <v>0</v>
      </c>
      <c r="BK17" s="97">
        <f t="shared" si="11"/>
        <v>0</v>
      </c>
      <c r="BL17" s="128"/>
      <c r="BM17" s="131" t="s">
        <v>224</v>
      </c>
    </row>
    <row r="18" spans="1:66" ht="15.75" customHeight="1" thickBot="1">
      <c r="A18" s="93" t="s">
        <v>123</v>
      </c>
      <c r="B18" s="122" t="s">
        <v>199</v>
      </c>
      <c r="C18" s="299"/>
      <c r="D18" s="295"/>
      <c r="E18" s="295"/>
      <c r="F18" s="297"/>
      <c r="G18" s="78">
        <v>2020</v>
      </c>
      <c r="H18" s="76" t="s">
        <v>225</v>
      </c>
      <c r="I18" s="76" t="s">
        <v>201</v>
      </c>
      <c r="J18" s="77" t="s">
        <v>197</v>
      </c>
      <c r="K18" s="81" t="s">
        <v>221</v>
      </c>
      <c r="L18" s="76" t="s">
        <v>192</v>
      </c>
      <c r="M18" s="13" t="s">
        <v>193</v>
      </c>
      <c r="N18" s="75">
        <v>5.14</v>
      </c>
      <c r="O18" s="75">
        <v>5.14</v>
      </c>
      <c r="P18" s="75">
        <v>5.14</v>
      </c>
      <c r="Q18" s="75">
        <v>5.14</v>
      </c>
      <c r="R18" s="75">
        <v>5.14</v>
      </c>
      <c r="S18" s="75">
        <v>5.14</v>
      </c>
      <c r="T18" s="75">
        <v>5.14</v>
      </c>
      <c r="U18" s="75">
        <v>5.14</v>
      </c>
      <c r="V18" s="75">
        <v>5.14</v>
      </c>
      <c r="W18" s="75">
        <v>5.14</v>
      </c>
      <c r="X18" s="75">
        <v>5.14</v>
      </c>
      <c r="Y18" s="75">
        <v>5.14</v>
      </c>
      <c r="Z18" s="75">
        <v>5.14</v>
      </c>
      <c r="AA18" s="13">
        <v>0</v>
      </c>
      <c r="AB18" s="72">
        <v>0</v>
      </c>
      <c r="AC18" s="72">
        <v>0</v>
      </c>
      <c r="AD18" s="72">
        <v>0</v>
      </c>
      <c r="AE18" s="69">
        <v>0</v>
      </c>
      <c r="AF18" s="69">
        <v>0</v>
      </c>
      <c r="AG18" s="69">
        <v>0</v>
      </c>
      <c r="AH18" s="69">
        <v>0</v>
      </c>
      <c r="AI18" s="69">
        <v>0</v>
      </c>
      <c r="AJ18" s="69">
        <v>0</v>
      </c>
      <c r="AK18" s="69">
        <v>0</v>
      </c>
      <c r="AL18" s="69">
        <v>0</v>
      </c>
      <c r="AM18" s="69">
        <v>0</v>
      </c>
      <c r="AN18" s="73">
        <v>0</v>
      </c>
      <c r="AO18" s="95">
        <f t="shared" si="0"/>
        <v>0</v>
      </c>
      <c r="AP18" s="73">
        <v>10000</v>
      </c>
      <c r="AQ18" s="95">
        <f t="shared" si="1"/>
        <v>0</v>
      </c>
      <c r="AR18" s="73">
        <v>0</v>
      </c>
      <c r="AS18" s="96">
        <f t="shared" si="2"/>
        <v>0</v>
      </c>
      <c r="AT18" s="79">
        <v>0</v>
      </c>
      <c r="AU18" s="97">
        <f t="shared" si="3"/>
        <v>0</v>
      </c>
      <c r="AV18" s="79">
        <v>0</v>
      </c>
      <c r="AW18" s="97">
        <f t="shared" si="4"/>
        <v>0</v>
      </c>
      <c r="AX18" s="80">
        <v>0</v>
      </c>
      <c r="AY18" s="97">
        <f t="shared" si="5"/>
        <v>0</v>
      </c>
      <c r="AZ18" s="70">
        <v>0</v>
      </c>
      <c r="BA18" s="97">
        <f t="shared" si="6"/>
        <v>0</v>
      </c>
      <c r="BB18" s="70">
        <v>0</v>
      </c>
      <c r="BC18" s="97">
        <f t="shared" si="7"/>
        <v>0</v>
      </c>
      <c r="BD18" s="70">
        <v>0</v>
      </c>
      <c r="BE18" s="97">
        <f t="shared" si="8"/>
        <v>0</v>
      </c>
      <c r="BF18" s="73">
        <v>0</v>
      </c>
      <c r="BG18" s="97">
        <f t="shared" si="9"/>
        <v>0</v>
      </c>
      <c r="BH18" s="73">
        <v>8000</v>
      </c>
      <c r="BI18" s="97">
        <f t="shared" si="10"/>
        <v>0</v>
      </c>
      <c r="BJ18" s="73">
        <v>10400</v>
      </c>
      <c r="BK18" s="97">
        <f t="shared" si="11"/>
        <v>0</v>
      </c>
      <c r="BL18" s="128"/>
      <c r="BM18" s="131" t="s">
        <v>226</v>
      </c>
    </row>
    <row r="19" spans="1:66" ht="15.75" customHeight="1" thickBot="1">
      <c r="A19" s="93" t="s">
        <v>123</v>
      </c>
      <c r="B19" s="122" t="s">
        <v>199</v>
      </c>
      <c r="C19" s="299"/>
      <c r="D19" s="295"/>
      <c r="E19" s="295"/>
      <c r="F19" s="297"/>
      <c r="G19" s="78">
        <v>2020</v>
      </c>
      <c r="H19" s="76" t="s">
        <v>225</v>
      </c>
      <c r="I19" s="76" t="s">
        <v>201</v>
      </c>
      <c r="J19" s="77" t="s">
        <v>197</v>
      </c>
      <c r="K19" s="81" t="s">
        <v>221</v>
      </c>
      <c r="L19" s="76" t="s">
        <v>192</v>
      </c>
      <c r="M19" s="13" t="s">
        <v>193</v>
      </c>
      <c r="N19" s="75">
        <v>4.93</v>
      </c>
      <c r="O19" s="75">
        <v>4.93</v>
      </c>
      <c r="P19" s="75">
        <v>4.93</v>
      </c>
      <c r="Q19" s="75">
        <v>4.93</v>
      </c>
      <c r="R19" s="75">
        <v>4.93</v>
      </c>
      <c r="S19" s="75">
        <v>4.93</v>
      </c>
      <c r="T19" s="75">
        <v>4.93</v>
      </c>
      <c r="U19" s="75">
        <v>4.93</v>
      </c>
      <c r="V19" s="75">
        <v>4.93</v>
      </c>
      <c r="W19" s="75">
        <v>4.93</v>
      </c>
      <c r="X19" s="75">
        <v>4.93</v>
      </c>
      <c r="Y19" s="75">
        <v>4.93</v>
      </c>
      <c r="Z19" s="75">
        <v>4.93</v>
      </c>
      <c r="AA19" s="13">
        <v>0</v>
      </c>
      <c r="AB19" s="72">
        <v>0</v>
      </c>
      <c r="AC19" s="72">
        <v>0</v>
      </c>
      <c r="AD19" s="72">
        <v>0</v>
      </c>
      <c r="AE19" s="69">
        <v>0</v>
      </c>
      <c r="AF19" s="69">
        <v>0</v>
      </c>
      <c r="AG19" s="69">
        <v>0</v>
      </c>
      <c r="AH19" s="69">
        <v>0</v>
      </c>
      <c r="AI19" s="69">
        <v>0</v>
      </c>
      <c r="AJ19" s="69">
        <v>0</v>
      </c>
      <c r="AK19" s="69">
        <v>0</v>
      </c>
      <c r="AL19" s="69">
        <v>0</v>
      </c>
      <c r="AM19" s="69">
        <v>0</v>
      </c>
      <c r="AN19" s="73">
        <v>30000</v>
      </c>
      <c r="AO19" s="95">
        <f t="shared" si="0"/>
        <v>0</v>
      </c>
      <c r="AP19" s="73">
        <v>30000</v>
      </c>
      <c r="AQ19" s="95">
        <f t="shared" si="1"/>
        <v>0</v>
      </c>
      <c r="AR19" s="73">
        <v>30000</v>
      </c>
      <c r="AS19" s="96">
        <f t="shared" si="2"/>
        <v>0</v>
      </c>
      <c r="AT19" s="80">
        <v>10000</v>
      </c>
      <c r="AU19" s="97">
        <f t="shared" si="3"/>
        <v>0</v>
      </c>
      <c r="AV19" s="80">
        <v>30000</v>
      </c>
      <c r="AW19" s="97">
        <f t="shared" si="4"/>
        <v>0</v>
      </c>
      <c r="AX19" s="80">
        <v>10000</v>
      </c>
      <c r="AY19" s="97">
        <f t="shared" si="5"/>
        <v>0</v>
      </c>
      <c r="AZ19" s="73">
        <v>20000</v>
      </c>
      <c r="BA19" s="97">
        <f t="shared" si="6"/>
        <v>0</v>
      </c>
      <c r="BB19" s="73">
        <v>20000</v>
      </c>
      <c r="BC19" s="97">
        <f t="shared" si="7"/>
        <v>0</v>
      </c>
      <c r="BD19" s="73">
        <v>10000</v>
      </c>
      <c r="BE19" s="97">
        <f t="shared" si="8"/>
        <v>0</v>
      </c>
      <c r="BF19" s="73">
        <v>10400</v>
      </c>
      <c r="BG19" s="97">
        <f t="shared" si="9"/>
        <v>0</v>
      </c>
      <c r="BH19" s="70">
        <v>0</v>
      </c>
      <c r="BI19" s="97">
        <f t="shared" si="10"/>
        <v>0</v>
      </c>
      <c r="BJ19" s="70">
        <v>5200</v>
      </c>
      <c r="BK19" s="97">
        <f t="shared" si="11"/>
        <v>0</v>
      </c>
      <c r="BL19" s="128"/>
      <c r="BM19" s="131" t="s">
        <v>227</v>
      </c>
    </row>
    <row r="20" spans="1:66" ht="15.75" customHeight="1" thickBot="1">
      <c r="A20" s="93" t="s">
        <v>123</v>
      </c>
      <c r="B20" s="122" t="s">
        <v>199</v>
      </c>
      <c r="C20" s="299"/>
      <c r="D20" s="295"/>
      <c r="E20" s="295"/>
      <c r="F20" s="297"/>
      <c r="G20" s="78">
        <v>2020</v>
      </c>
      <c r="H20" s="76" t="s">
        <v>225</v>
      </c>
      <c r="I20" s="76" t="s">
        <v>201</v>
      </c>
      <c r="J20" s="77" t="s">
        <v>197</v>
      </c>
      <c r="K20" s="81" t="s">
        <v>221</v>
      </c>
      <c r="L20" s="76" t="s">
        <v>192</v>
      </c>
      <c r="M20" s="13" t="s">
        <v>193</v>
      </c>
      <c r="N20" s="75">
        <v>5.03</v>
      </c>
      <c r="O20" s="75">
        <v>5.03</v>
      </c>
      <c r="P20" s="75">
        <v>5.03</v>
      </c>
      <c r="Q20" s="75">
        <v>5.03</v>
      </c>
      <c r="R20" s="75">
        <v>5.03</v>
      </c>
      <c r="S20" s="75">
        <v>5.03</v>
      </c>
      <c r="T20" s="75">
        <v>5.03</v>
      </c>
      <c r="U20" s="75">
        <v>5.03</v>
      </c>
      <c r="V20" s="75">
        <v>5.03</v>
      </c>
      <c r="W20" s="75">
        <v>5.03</v>
      </c>
      <c r="X20" s="75">
        <v>5.03</v>
      </c>
      <c r="Y20" s="75">
        <v>5.03</v>
      </c>
      <c r="Z20" s="75">
        <v>5.03</v>
      </c>
      <c r="AA20" s="13">
        <v>0</v>
      </c>
      <c r="AB20" s="72">
        <v>0</v>
      </c>
      <c r="AC20" s="72">
        <v>0</v>
      </c>
      <c r="AD20" s="72">
        <v>0</v>
      </c>
      <c r="AE20" s="69">
        <v>0</v>
      </c>
      <c r="AF20" s="69">
        <v>0</v>
      </c>
      <c r="AG20" s="69">
        <v>0</v>
      </c>
      <c r="AH20" s="69">
        <v>0</v>
      </c>
      <c r="AI20" s="69">
        <v>0</v>
      </c>
      <c r="AJ20" s="69">
        <v>0</v>
      </c>
      <c r="AK20" s="69">
        <v>0</v>
      </c>
      <c r="AL20" s="69">
        <v>0</v>
      </c>
      <c r="AM20" s="69">
        <v>0</v>
      </c>
      <c r="AN20" s="73">
        <v>10000</v>
      </c>
      <c r="AO20" s="95">
        <f t="shared" si="0"/>
        <v>0</v>
      </c>
      <c r="AP20" s="73">
        <v>0</v>
      </c>
      <c r="AQ20" s="95">
        <f t="shared" si="1"/>
        <v>0</v>
      </c>
      <c r="AR20" s="73">
        <v>0</v>
      </c>
      <c r="AS20" s="96">
        <f t="shared" si="2"/>
        <v>0</v>
      </c>
      <c r="AT20" s="79">
        <v>0</v>
      </c>
      <c r="AU20" s="97">
        <f t="shared" si="3"/>
        <v>0</v>
      </c>
      <c r="AV20" s="79">
        <v>0</v>
      </c>
      <c r="AW20" s="97">
        <f t="shared" si="4"/>
        <v>0</v>
      </c>
      <c r="AX20" s="80">
        <v>0</v>
      </c>
      <c r="AY20" s="97">
        <f t="shared" si="5"/>
        <v>0</v>
      </c>
      <c r="AZ20" s="73">
        <v>10000</v>
      </c>
      <c r="BA20" s="97">
        <f t="shared" si="6"/>
        <v>0</v>
      </c>
      <c r="BB20" s="73">
        <v>0</v>
      </c>
      <c r="BC20" s="97">
        <f t="shared" si="7"/>
        <v>0</v>
      </c>
      <c r="BD20" s="73">
        <v>0</v>
      </c>
      <c r="BE20" s="97">
        <f t="shared" si="8"/>
        <v>0</v>
      </c>
      <c r="BF20" s="70">
        <v>0</v>
      </c>
      <c r="BG20" s="97">
        <f t="shared" si="9"/>
        <v>0</v>
      </c>
      <c r="BH20" s="73">
        <v>0</v>
      </c>
      <c r="BI20" s="97">
        <f t="shared" si="10"/>
        <v>0</v>
      </c>
      <c r="BJ20" s="73">
        <v>0</v>
      </c>
      <c r="BK20" s="97">
        <f t="shared" si="11"/>
        <v>0</v>
      </c>
      <c r="BL20" s="128"/>
      <c r="BM20" s="131" t="s">
        <v>228</v>
      </c>
    </row>
    <row r="21" spans="1:66" ht="15.75" customHeight="1" thickBot="1">
      <c r="A21" s="93" t="s">
        <v>123</v>
      </c>
      <c r="B21" s="122" t="s">
        <v>199</v>
      </c>
      <c r="C21" s="299"/>
      <c r="D21" s="295"/>
      <c r="E21" s="295"/>
      <c r="F21" s="297"/>
      <c r="G21" s="78">
        <v>2022</v>
      </c>
      <c r="H21" s="76" t="s">
        <v>229</v>
      </c>
      <c r="I21" s="76" t="s">
        <v>212</v>
      </c>
      <c r="J21" s="77" t="s">
        <v>197</v>
      </c>
      <c r="K21" s="81" t="s">
        <v>221</v>
      </c>
      <c r="L21" s="76" t="s">
        <v>192</v>
      </c>
      <c r="M21" s="13" t="s">
        <v>193</v>
      </c>
      <c r="N21" s="75">
        <v>3.69</v>
      </c>
      <c r="O21" s="75">
        <v>3.69</v>
      </c>
      <c r="P21" s="75">
        <v>3.69</v>
      </c>
      <c r="Q21" s="75">
        <v>3.69</v>
      </c>
      <c r="R21" s="75">
        <v>3.69</v>
      </c>
      <c r="S21" s="75">
        <v>3.69</v>
      </c>
      <c r="T21" s="75">
        <v>3.69</v>
      </c>
      <c r="U21" s="75">
        <v>3.69</v>
      </c>
      <c r="V21" s="75">
        <v>3.69</v>
      </c>
      <c r="W21" s="75">
        <v>3.69</v>
      </c>
      <c r="X21" s="75">
        <v>3.69</v>
      </c>
      <c r="Y21" s="75">
        <v>3.69</v>
      </c>
      <c r="Z21" s="75">
        <v>3.69</v>
      </c>
      <c r="AA21" s="13">
        <v>0.21</v>
      </c>
      <c r="AB21" s="72">
        <v>0.21</v>
      </c>
      <c r="AC21" s="72">
        <v>0.21</v>
      </c>
      <c r="AD21" s="72">
        <v>0.21</v>
      </c>
      <c r="AE21" s="69">
        <v>0.21</v>
      </c>
      <c r="AF21" s="69">
        <v>0.21</v>
      </c>
      <c r="AG21" s="69">
        <v>0.21</v>
      </c>
      <c r="AH21" s="69">
        <v>0.21</v>
      </c>
      <c r="AI21" s="69">
        <v>0.21</v>
      </c>
      <c r="AJ21" s="69">
        <v>0.21</v>
      </c>
      <c r="AK21" s="69">
        <v>0.21</v>
      </c>
      <c r="AL21" s="69">
        <v>0.21</v>
      </c>
      <c r="AM21" s="69">
        <v>0.21</v>
      </c>
      <c r="AN21" s="73">
        <v>30000</v>
      </c>
      <c r="AO21" s="95">
        <f t="shared" si="0"/>
        <v>6300</v>
      </c>
      <c r="AP21" s="73">
        <v>0</v>
      </c>
      <c r="AQ21" s="95">
        <f t="shared" si="1"/>
        <v>0</v>
      </c>
      <c r="AR21" s="73">
        <v>20000</v>
      </c>
      <c r="AS21" s="96">
        <f t="shared" si="2"/>
        <v>4200</v>
      </c>
      <c r="AT21" s="80">
        <v>30000</v>
      </c>
      <c r="AU21" s="97">
        <f t="shared" si="3"/>
        <v>6300</v>
      </c>
      <c r="AV21" s="80">
        <v>30000</v>
      </c>
      <c r="AW21" s="97">
        <f t="shared" si="4"/>
        <v>6300</v>
      </c>
      <c r="AX21" s="80">
        <v>10000</v>
      </c>
      <c r="AY21" s="97">
        <f t="shared" si="5"/>
        <v>2100</v>
      </c>
      <c r="AZ21" s="71">
        <v>20000</v>
      </c>
      <c r="BA21" s="97">
        <f t="shared" si="6"/>
        <v>4200</v>
      </c>
      <c r="BB21" s="71">
        <v>10000</v>
      </c>
      <c r="BC21" s="97">
        <f t="shared" si="7"/>
        <v>2100</v>
      </c>
      <c r="BD21" s="71">
        <v>10000</v>
      </c>
      <c r="BE21" s="97">
        <f>AJ21*BD21</f>
        <v>2100</v>
      </c>
      <c r="BF21" s="73">
        <v>11200</v>
      </c>
      <c r="BG21" s="97">
        <f t="shared" si="9"/>
        <v>2352</v>
      </c>
      <c r="BH21" s="73">
        <v>0</v>
      </c>
      <c r="BI21" s="97">
        <f t="shared" si="10"/>
        <v>0</v>
      </c>
      <c r="BJ21" s="73">
        <v>5600</v>
      </c>
      <c r="BK21" s="97">
        <f t="shared" si="11"/>
        <v>1176</v>
      </c>
      <c r="BL21" s="128"/>
      <c r="BM21" s="131" t="s">
        <v>230</v>
      </c>
    </row>
    <row r="22" spans="1:66" ht="15.75" customHeight="1" thickBot="1">
      <c r="A22" s="93" t="s">
        <v>123</v>
      </c>
      <c r="B22" s="122" t="s">
        <v>199</v>
      </c>
      <c r="C22" s="299"/>
      <c r="D22" s="295"/>
      <c r="E22" s="295"/>
      <c r="F22" s="297"/>
      <c r="G22" s="78">
        <v>2022</v>
      </c>
      <c r="H22" s="76" t="s">
        <v>229</v>
      </c>
      <c r="I22" s="76" t="s">
        <v>212</v>
      </c>
      <c r="J22" s="77" t="s">
        <v>197</v>
      </c>
      <c r="K22" s="81" t="s">
        <v>221</v>
      </c>
      <c r="L22" s="76" t="s">
        <v>192</v>
      </c>
      <c r="M22" s="13" t="s">
        <v>193</v>
      </c>
      <c r="N22" s="75">
        <v>3.75</v>
      </c>
      <c r="O22" s="75">
        <v>3.75</v>
      </c>
      <c r="P22" s="75">
        <v>3.75</v>
      </c>
      <c r="Q22" s="75">
        <v>3.75</v>
      </c>
      <c r="R22" s="75">
        <v>3.75</v>
      </c>
      <c r="S22" s="75">
        <v>3.75</v>
      </c>
      <c r="T22" s="75">
        <v>3.75</v>
      </c>
      <c r="U22" s="75">
        <v>3.75</v>
      </c>
      <c r="V22" s="75">
        <v>3.75</v>
      </c>
      <c r="W22" s="75">
        <v>3.75</v>
      </c>
      <c r="X22" s="75">
        <v>3.75</v>
      </c>
      <c r="Y22" s="75">
        <v>3.75</v>
      </c>
      <c r="Z22" s="75">
        <v>3.75</v>
      </c>
      <c r="AA22" s="13">
        <v>0.21</v>
      </c>
      <c r="AB22" s="72">
        <v>0.21</v>
      </c>
      <c r="AC22" s="72">
        <v>0.21</v>
      </c>
      <c r="AD22" s="72">
        <v>0.21</v>
      </c>
      <c r="AE22" s="69">
        <v>0.21</v>
      </c>
      <c r="AF22" s="69">
        <v>0.21</v>
      </c>
      <c r="AG22" s="69">
        <v>0.21</v>
      </c>
      <c r="AH22" s="69">
        <v>0.21</v>
      </c>
      <c r="AI22" s="69">
        <v>0.21</v>
      </c>
      <c r="AJ22" s="69">
        <v>0.21</v>
      </c>
      <c r="AK22" s="69">
        <v>0.21</v>
      </c>
      <c r="AL22" s="69">
        <v>0.21</v>
      </c>
      <c r="AM22" s="69">
        <v>0.21</v>
      </c>
      <c r="AN22" s="73">
        <v>15000</v>
      </c>
      <c r="AO22" s="95">
        <f t="shared" si="0"/>
        <v>3150</v>
      </c>
      <c r="AP22" s="73">
        <v>0</v>
      </c>
      <c r="AQ22" s="95">
        <f t="shared" si="1"/>
        <v>0</v>
      </c>
      <c r="AR22" s="73">
        <v>10000</v>
      </c>
      <c r="AS22" s="96">
        <f t="shared" si="2"/>
        <v>2100</v>
      </c>
      <c r="AT22" s="79">
        <v>0</v>
      </c>
      <c r="AU22" s="97">
        <f t="shared" si="3"/>
        <v>0</v>
      </c>
      <c r="AV22" s="79">
        <v>0</v>
      </c>
      <c r="AW22" s="97">
        <f t="shared" si="4"/>
        <v>0</v>
      </c>
      <c r="AX22" s="80">
        <v>0</v>
      </c>
      <c r="AY22" s="97">
        <f t="shared" si="5"/>
        <v>0</v>
      </c>
      <c r="AZ22" s="73">
        <v>0</v>
      </c>
      <c r="BA22" s="97">
        <f t="shared" si="6"/>
        <v>0</v>
      </c>
      <c r="BB22" s="73">
        <v>0</v>
      </c>
      <c r="BC22" s="97">
        <f t="shared" si="7"/>
        <v>0</v>
      </c>
      <c r="BD22" s="73">
        <v>16800</v>
      </c>
      <c r="BE22" s="97">
        <f t="shared" si="8"/>
        <v>3528</v>
      </c>
      <c r="BF22" s="73">
        <v>5600</v>
      </c>
      <c r="BG22" s="97">
        <f t="shared" si="9"/>
        <v>1176</v>
      </c>
      <c r="BH22" s="70">
        <v>0</v>
      </c>
      <c r="BI22" s="97">
        <f t="shared" si="10"/>
        <v>0</v>
      </c>
      <c r="BJ22" s="70">
        <v>0</v>
      </c>
      <c r="BK22" s="97">
        <f t="shared" si="11"/>
        <v>0</v>
      </c>
      <c r="BL22" s="128"/>
      <c r="BM22" s="131" t="s">
        <v>231</v>
      </c>
    </row>
    <row r="23" spans="1:66" ht="15.75" customHeight="1" thickBot="1">
      <c r="A23" s="93" t="s">
        <v>123</v>
      </c>
      <c r="B23" s="122" t="s">
        <v>184</v>
      </c>
      <c r="C23" s="299"/>
      <c r="D23" s="295"/>
      <c r="E23" s="295"/>
      <c r="F23" s="297"/>
      <c r="G23" s="78">
        <v>2016</v>
      </c>
      <c r="H23" s="76" t="s">
        <v>232</v>
      </c>
      <c r="I23" s="76" t="s">
        <v>196</v>
      </c>
      <c r="J23" s="77" t="s">
        <v>197</v>
      </c>
      <c r="K23" s="81" t="s">
        <v>221</v>
      </c>
      <c r="L23" s="76" t="s">
        <v>192</v>
      </c>
      <c r="M23" s="13" t="s">
        <v>193</v>
      </c>
      <c r="N23" s="75">
        <v>5.95</v>
      </c>
      <c r="O23" s="75">
        <v>5.95</v>
      </c>
      <c r="P23" s="75">
        <v>5.95</v>
      </c>
      <c r="Q23" s="75">
        <v>5.95</v>
      </c>
      <c r="R23" s="75">
        <v>5.95</v>
      </c>
      <c r="S23" s="75">
        <v>5.95</v>
      </c>
      <c r="T23" s="75">
        <v>5.95</v>
      </c>
      <c r="U23" s="75">
        <v>5.95</v>
      </c>
      <c r="V23" s="75">
        <v>5.95</v>
      </c>
      <c r="W23" s="75">
        <v>5.95</v>
      </c>
      <c r="X23" s="75">
        <v>5.95</v>
      </c>
      <c r="Y23" s="75">
        <v>5.95</v>
      </c>
      <c r="Z23" s="75">
        <v>5.95</v>
      </c>
      <c r="AA23" s="13">
        <v>0</v>
      </c>
      <c r="AB23" s="72">
        <v>0.05</v>
      </c>
      <c r="AC23" s="72">
        <v>0.05</v>
      </c>
      <c r="AD23" s="72">
        <v>0.05</v>
      </c>
      <c r="AE23" s="69">
        <v>0.05</v>
      </c>
      <c r="AF23" s="69">
        <v>0.05</v>
      </c>
      <c r="AG23" s="69">
        <v>0.05</v>
      </c>
      <c r="AH23" s="69">
        <v>0.05</v>
      </c>
      <c r="AI23" s="69">
        <v>0.05</v>
      </c>
      <c r="AJ23" s="69">
        <v>0.05</v>
      </c>
      <c r="AK23" s="69">
        <v>0.05</v>
      </c>
      <c r="AL23" s="69">
        <v>0.05</v>
      </c>
      <c r="AM23" s="69">
        <v>0.05</v>
      </c>
      <c r="AN23" s="73">
        <v>864</v>
      </c>
      <c r="AO23" s="95">
        <f>AB23*AN23</f>
        <v>43.2</v>
      </c>
      <c r="AP23" s="73">
        <v>0</v>
      </c>
      <c r="AQ23" s="95">
        <f t="shared" si="1"/>
        <v>0</v>
      </c>
      <c r="AR23" s="73">
        <v>0</v>
      </c>
      <c r="AS23" s="96">
        <f t="shared" si="2"/>
        <v>0</v>
      </c>
      <c r="AT23" s="79">
        <v>0</v>
      </c>
      <c r="AU23" s="97">
        <f t="shared" si="3"/>
        <v>0</v>
      </c>
      <c r="AV23" s="79">
        <v>0</v>
      </c>
      <c r="AW23" s="97">
        <f t="shared" si="4"/>
        <v>0</v>
      </c>
      <c r="AX23" s="80">
        <v>0</v>
      </c>
      <c r="AY23" s="97">
        <f t="shared" si="5"/>
        <v>0</v>
      </c>
      <c r="AZ23" s="73">
        <v>0</v>
      </c>
      <c r="BA23" s="97">
        <f t="shared" si="6"/>
        <v>0</v>
      </c>
      <c r="BB23" s="73">
        <v>0</v>
      </c>
      <c r="BC23" s="97">
        <f t="shared" si="7"/>
        <v>0</v>
      </c>
      <c r="BD23" s="73">
        <v>0</v>
      </c>
      <c r="BE23" s="97">
        <f t="shared" si="8"/>
        <v>0</v>
      </c>
      <c r="BF23" s="73">
        <v>0</v>
      </c>
      <c r="BG23" s="97">
        <f t="shared" si="9"/>
        <v>0</v>
      </c>
      <c r="BH23" s="73">
        <v>0</v>
      </c>
      <c r="BI23" s="97">
        <f t="shared" si="10"/>
        <v>0</v>
      </c>
      <c r="BJ23" s="73">
        <v>0</v>
      </c>
      <c r="BK23" s="97">
        <f t="shared" si="11"/>
        <v>0</v>
      </c>
      <c r="BL23" s="128"/>
      <c r="BM23" s="131" t="s">
        <v>233</v>
      </c>
      <c r="BN23" s="1" t="s">
        <v>234</v>
      </c>
    </row>
    <row r="24" spans="1:66" ht="15.75" customHeight="1" thickBot="1">
      <c r="A24" s="93" t="s">
        <v>123</v>
      </c>
      <c r="B24" s="122" t="s">
        <v>184</v>
      </c>
      <c r="C24" s="299"/>
      <c r="D24" s="295"/>
      <c r="E24" s="295"/>
      <c r="F24" s="297"/>
      <c r="G24" s="78">
        <v>2016</v>
      </c>
      <c r="H24" s="76" t="s">
        <v>232</v>
      </c>
      <c r="I24" s="76" t="s">
        <v>196</v>
      </c>
      <c r="J24" s="77" t="s">
        <v>197</v>
      </c>
      <c r="K24" s="81" t="s">
        <v>235</v>
      </c>
      <c r="L24" s="76" t="s">
        <v>192</v>
      </c>
      <c r="M24" s="13" t="s">
        <v>193</v>
      </c>
      <c r="N24" s="75">
        <v>6.05</v>
      </c>
      <c r="O24" s="75">
        <v>6.05</v>
      </c>
      <c r="P24" s="75">
        <v>6.05</v>
      </c>
      <c r="Q24" s="75">
        <v>6.05</v>
      </c>
      <c r="R24" s="75">
        <v>6.05</v>
      </c>
      <c r="S24" s="75">
        <v>6.05</v>
      </c>
      <c r="T24" s="75">
        <v>6.05</v>
      </c>
      <c r="U24" s="75">
        <v>6.05</v>
      </c>
      <c r="V24" s="75">
        <v>6.05</v>
      </c>
      <c r="W24" s="75">
        <v>6.05</v>
      </c>
      <c r="X24" s="75">
        <v>6.05</v>
      </c>
      <c r="Y24" s="75">
        <v>6.05</v>
      </c>
      <c r="Z24" s="75">
        <v>6.05</v>
      </c>
      <c r="AA24" s="13">
        <v>0</v>
      </c>
      <c r="AB24" s="72">
        <v>0.05</v>
      </c>
      <c r="AC24" s="72">
        <v>0.05</v>
      </c>
      <c r="AD24" s="72">
        <v>0.05</v>
      </c>
      <c r="AE24" s="69">
        <v>0.05</v>
      </c>
      <c r="AF24" s="69">
        <v>0.05</v>
      </c>
      <c r="AG24" s="69">
        <v>0.05</v>
      </c>
      <c r="AH24" s="69">
        <v>0.05</v>
      </c>
      <c r="AI24" s="69">
        <v>0.05</v>
      </c>
      <c r="AJ24" s="69">
        <v>0.05</v>
      </c>
      <c r="AK24" s="69">
        <v>0.05</v>
      </c>
      <c r="AL24" s="69">
        <v>0.05</v>
      </c>
      <c r="AM24" s="69">
        <v>0.05</v>
      </c>
      <c r="AN24" s="73">
        <v>864</v>
      </c>
      <c r="AO24" s="95">
        <f t="shared" si="0"/>
        <v>43.2</v>
      </c>
      <c r="AP24" s="73">
        <v>0</v>
      </c>
      <c r="AQ24" s="95">
        <f t="shared" si="1"/>
        <v>0</v>
      </c>
      <c r="AR24" s="73">
        <v>0</v>
      </c>
      <c r="AS24" s="96">
        <f t="shared" si="2"/>
        <v>0</v>
      </c>
      <c r="AT24" s="79">
        <v>0</v>
      </c>
      <c r="AU24" s="97">
        <f t="shared" si="3"/>
        <v>0</v>
      </c>
      <c r="AV24" s="79">
        <v>0</v>
      </c>
      <c r="AW24" s="97">
        <f t="shared" si="4"/>
        <v>0</v>
      </c>
      <c r="AX24" s="80">
        <v>0</v>
      </c>
      <c r="AY24" s="97">
        <f t="shared" si="5"/>
        <v>0</v>
      </c>
      <c r="AZ24" s="70">
        <v>1728</v>
      </c>
      <c r="BA24" s="97">
        <f t="shared" si="6"/>
        <v>86.4</v>
      </c>
      <c r="BB24" s="70">
        <v>0</v>
      </c>
      <c r="BC24" s="97">
        <f t="shared" si="7"/>
        <v>0</v>
      </c>
      <c r="BD24" s="70">
        <v>0</v>
      </c>
      <c r="BE24" s="97">
        <f t="shared" si="8"/>
        <v>0</v>
      </c>
      <c r="BF24" s="70">
        <v>0</v>
      </c>
      <c r="BG24" s="97">
        <f t="shared" si="9"/>
        <v>0</v>
      </c>
      <c r="BH24" s="70">
        <v>0</v>
      </c>
      <c r="BI24" s="97">
        <f t="shared" si="10"/>
        <v>0</v>
      </c>
      <c r="BJ24" s="73">
        <v>0</v>
      </c>
      <c r="BK24" s="97">
        <f t="shared" si="11"/>
        <v>0</v>
      </c>
      <c r="BL24" s="128"/>
      <c r="BM24" s="131" t="s">
        <v>236</v>
      </c>
    </row>
    <row r="25" spans="1:66" ht="15.75" customHeight="1" thickBot="1">
      <c r="A25" s="93" t="s">
        <v>123</v>
      </c>
      <c r="B25" s="122" t="s">
        <v>184</v>
      </c>
      <c r="C25" s="299"/>
      <c r="D25" s="295"/>
      <c r="E25" s="295"/>
      <c r="F25" s="297"/>
      <c r="G25" s="78">
        <v>2016</v>
      </c>
      <c r="H25" s="76" t="s">
        <v>232</v>
      </c>
      <c r="I25" s="76" t="s">
        <v>196</v>
      </c>
      <c r="J25" s="77" t="s">
        <v>197</v>
      </c>
      <c r="K25" s="81" t="s">
        <v>237</v>
      </c>
      <c r="L25" s="76" t="s">
        <v>192</v>
      </c>
      <c r="M25" s="13" t="s">
        <v>193</v>
      </c>
      <c r="N25" s="75">
        <v>5.34</v>
      </c>
      <c r="O25" s="75">
        <v>5.34</v>
      </c>
      <c r="P25" s="75">
        <v>5.34</v>
      </c>
      <c r="Q25" s="75">
        <v>5.34</v>
      </c>
      <c r="R25" s="75">
        <v>5.34</v>
      </c>
      <c r="S25" s="75">
        <v>5.34</v>
      </c>
      <c r="T25" s="75">
        <v>5.34</v>
      </c>
      <c r="U25" s="75">
        <v>5.34</v>
      </c>
      <c r="V25" s="75">
        <v>5.34</v>
      </c>
      <c r="W25" s="75">
        <v>5.34</v>
      </c>
      <c r="X25" s="75">
        <v>5.34</v>
      </c>
      <c r="Y25" s="75">
        <v>5.34</v>
      </c>
      <c r="Z25" s="75">
        <v>5.34</v>
      </c>
      <c r="AA25" s="13">
        <v>0</v>
      </c>
      <c r="AB25" s="72">
        <v>0.05</v>
      </c>
      <c r="AC25" s="72">
        <v>0.05</v>
      </c>
      <c r="AD25" s="72">
        <v>0.05</v>
      </c>
      <c r="AE25" s="69">
        <v>0.05</v>
      </c>
      <c r="AF25" s="69">
        <v>0.05</v>
      </c>
      <c r="AG25" s="69">
        <v>0.05</v>
      </c>
      <c r="AH25" s="69">
        <v>0.05</v>
      </c>
      <c r="AI25" s="69">
        <v>0.05</v>
      </c>
      <c r="AJ25" s="69">
        <v>0.05</v>
      </c>
      <c r="AK25" s="69">
        <v>0.05</v>
      </c>
      <c r="AL25" s="69">
        <v>0.05</v>
      </c>
      <c r="AM25" s="69">
        <v>0.05</v>
      </c>
      <c r="AN25" s="73">
        <v>1000</v>
      </c>
      <c r="AO25" s="95">
        <f t="shared" si="0"/>
        <v>50</v>
      </c>
      <c r="AP25" s="73">
        <v>0</v>
      </c>
      <c r="AQ25" s="95">
        <f t="shared" si="1"/>
        <v>0</v>
      </c>
      <c r="AR25" s="73">
        <v>0</v>
      </c>
      <c r="AS25" s="96">
        <f t="shared" si="2"/>
        <v>0</v>
      </c>
      <c r="AT25" s="80">
        <v>800</v>
      </c>
      <c r="AU25" s="97">
        <f t="shared" si="3"/>
        <v>40</v>
      </c>
      <c r="AV25" s="80">
        <v>0</v>
      </c>
      <c r="AW25" s="97">
        <f t="shared" si="4"/>
        <v>0</v>
      </c>
      <c r="AX25" s="79">
        <v>0</v>
      </c>
      <c r="AY25" s="97">
        <f t="shared" si="5"/>
        <v>0</v>
      </c>
      <c r="AZ25" s="73">
        <v>0</v>
      </c>
      <c r="BA25" s="97">
        <f t="shared" si="6"/>
        <v>0</v>
      </c>
      <c r="BB25" s="73">
        <v>0</v>
      </c>
      <c r="BC25" s="97">
        <f t="shared" si="7"/>
        <v>0</v>
      </c>
      <c r="BD25" s="73">
        <v>0</v>
      </c>
      <c r="BE25" s="97">
        <f t="shared" si="8"/>
        <v>0</v>
      </c>
      <c r="BF25" s="73">
        <v>0</v>
      </c>
      <c r="BG25" s="97">
        <f t="shared" si="9"/>
        <v>0</v>
      </c>
      <c r="BH25" s="73">
        <v>0</v>
      </c>
      <c r="BI25" s="97">
        <f t="shared" si="10"/>
        <v>0</v>
      </c>
      <c r="BJ25" s="70">
        <v>0</v>
      </c>
      <c r="BK25" s="97">
        <f t="shared" si="11"/>
        <v>0</v>
      </c>
      <c r="BL25" s="128"/>
      <c r="BM25" s="131" t="s">
        <v>238</v>
      </c>
    </row>
    <row r="26" spans="1:66" ht="15.75" customHeight="1" thickBot="1">
      <c r="A26" s="93" t="s">
        <v>123</v>
      </c>
      <c r="B26" s="122" t="s">
        <v>184</v>
      </c>
      <c r="C26" s="299"/>
      <c r="D26" s="295"/>
      <c r="E26" s="295"/>
      <c r="F26" s="297"/>
      <c r="G26" s="78">
        <v>2016</v>
      </c>
      <c r="H26" s="76" t="s">
        <v>232</v>
      </c>
      <c r="I26" s="76" t="s">
        <v>196</v>
      </c>
      <c r="J26" s="77" t="s">
        <v>197</v>
      </c>
      <c r="K26" s="81" t="s">
        <v>239</v>
      </c>
      <c r="L26" s="76" t="s">
        <v>192</v>
      </c>
      <c r="M26" s="13" t="s">
        <v>193</v>
      </c>
      <c r="N26" s="75">
        <v>6.17</v>
      </c>
      <c r="O26" s="75">
        <v>6.17</v>
      </c>
      <c r="P26" s="75">
        <v>6.17</v>
      </c>
      <c r="Q26" s="75">
        <v>6.17</v>
      </c>
      <c r="R26" s="75">
        <v>6.17</v>
      </c>
      <c r="S26" s="75">
        <v>6.17</v>
      </c>
      <c r="T26" s="75">
        <v>6.17</v>
      </c>
      <c r="U26" s="75">
        <v>6.17</v>
      </c>
      <c r="V26" s="75">
        <v>6.17</v>
      </c>
      <c r="W26" s="75">
        <v>6.17</v>
      </c>
      <c r="X26" s="75">
        <v>6.17</v>
      </c>
      <c r="Y26" s="75">
        <v>6.17</v>
      </c>
      <c r="Z26" s="75">
        <v>6.17</v>
      </c>
      <c r="AA26" s="13">
        <v>0</v>
      </c>
      <c r="AB26" s="72">
        <v>0.05</v>
      </c>
      <c r="AC26" s="72">
        <v>0.05</v>
      </c>
      <c r="AD26" s="72">
        <v>0.05</v>
      </c>
      <c r="AE26" s="69">
        <v>0.05</v>
      </c>
      <c r="AF26" s="69">
        <v>0.05</v>
      </c>
      <c r="AG26" s="69">
        <v>0.05</v>
      </c>
      <c r="AH26" s="69">
        <v>0.05</v>
      </c>
      <c r="AI26" s="69">
        <v>0.05</v>
      </c>
      <c r="AJ26" s="69">
        <v>0.05</v>
      </c>
      <c r="AK26" s="69">
        <v>0.05</v>
      </c>
      <c r="AL26" s="69">
        <v>0.05</v>
      </c>
      <c r="AM26" s="69">
        <v>0.05</v>
      </c>
      <c r="AN26" s="73">
        <v>1560</v>
      </c>
      <c r="AO26" s="95">
        <f t="shared" si="0"/>
        <v>78</v>
      </c>
      <c r="AP26" s="73">
        <v>0</v>
      </c>
      <c r="AQ26" s="95">
        <f t="shared" si="1"/>
        <v>0</v>
      </c>
      <c r="AR26" s="73">
        <v>0</v>
      </c>
      <c r="AS26" s="96">
        <f t="shared" si="2"/>
        <v>0</v>
      </c>
      <c r="AT26" s="80">
        <v>1560</v>
      </c>
      <c r="AU26" s="97">
        <f t="shared" si="3"/>
        <v>78</v>
      </c>
      <c r="AV26" s="80">
        <v>1560</v>
      </c>
      <c r="AW26" s="97">
        <f t="shared" si="4"/>
        <v>78</v>
      </c>
      <c r="AX26" s="80">
        <v>0</v>
      </c>
      <c r="AY26" s="97">
        <f t="shared" si="5"/>
        <v>0</v>
      </c>
      <c r="AZ26" s="73">
        <v>3120</v>
      </c>
      <c r="BA26" s="97">
        <f t="shared" si="6"/>
        <v>156</v>
      </c>
      <c r="BB26" s="73">
        <v>0</v>
      </c>
      <c r="BC26" s="97">
        <f t="shared" si="7"/>
        <v>0</v>
      </c>
      <c r="BD26" s="73">
        <v>0</v>
      </c>
      <c r="BE26" s="97">
        <f t="shared" si="8"/>
        <v>0</v>
      </c>
      <c r="BF26" s="73">
        <v>0</v>
      </c>
      <c r="BG26" s="97">
        <f t="shared" si="9"/>
        <v>0</v>
      </c>
      <c r="BH26" s="73">
        <v>0</v>
      </c>
      <c r="BI26" s="97">
        <f t="shared" si="10"/>
        <v>0</v>
      </c>
      <c r="BJ26" s="73">
        <v>0</v>
      </c>
      <c r="BK26" s="97">
        <f t="shared" si="11"/>
        <v>0</v>
      </c>
      <c r="BL26" s="128"/>
      <c r="BM26" s="131" t="s">
        <v>240</v>
      </c>
    </row>
    <row r="27" spans="1:66" ht="15.75" customHeight="1" thickBot="1">
      <c r="A27" s="93" t="s">
        <v>123</v>
      </c>
      <c r="B27" s="122" t="s">
        <v>184</v>
      </c>
      <c r="C27" s="299"/>
      <c r="D27" s="295"/>
      <c r="E27" s="295"/>
      <c r="F27" s="297"/>
      <c r="G27" s="78">
        <v>2016</v>
      </c>
      <c r="H27" s="76" t="s">
        <v>232</v>
      </c>
      <c r="I27" s="76" t="s">
        <v>196</v>
      </c>
      <c r="J27" s="77" t="s">
        <v>197</v>
      </c>
      <c r="K27" s="81" t="s">
        <v>241</v>
      </c>
      <c r="L27" s="76" t="s">
        <v>192</v>
      </c>
      <c r="M27" s="13" t="s">
        <v>193</v>
      </c>
      <c r="N27" s="75">
        <v>5.95</v>
      </c>
      <c r="O27" s="75">
        <v>5.95</v>
      </c>
      <c r="P27" s="75">
        <v>5.95</v>
      </c>
      <c r="Q27" s="75">
        <v>5.95</v>
      </c>
      <c r="R27" s="75">
        <v>5.95</v>
      </c>
      <c r="S27" s="75">
        <v>5.95</v>
      </c>
      <c r="T27" s="75">
        <v>5.95</v>
      </c>
      <c r="U27" s="75">
        <v>5.95</v>
      </c>
      <c r="V27" s="75">
        <v>5.95</v>
      </c>
      <c r="W27" s="75">
        <v>5.95</v>
      </c>
      <c r="X27" s="75">
        <v>5.95</v>
      </c>
      <c r="Y27" s="75">
        <v>5.95</v>
      </c>
      <c r="Z27" s="75">
        <v>5.95</v>
      </c>
      <c r="AA27" s="13">
        <v>0</v>
      </c>
      <c r="AB27" s="72">
        <v>0.05</v>
      </c>
      <c r="AC27" s="72">
        <v>0.05</v>
      </c>
      <c r="AD27" s="72">
        <v>0.05</v>
      </c>
      <c r="AE27" s="69">
        <v>0.05</v>
      </c>
      <c r="AF27" s="69">
        <v>0.05</v>
      </c>
      <c r="AG27" s="69">
        <v>0.05</v>
      </c>
      <c r="AH27" s="69">
        <v>0.05</v>
      </c>
      <c r="AI27" s="69">
        <v>0.05</v>
      </c>
      <c r="AJ27" s="69">
        <v>0.05</v>
      </c>
      <c r="AK27" s="69">
        <v>0.05</v>
      </c>
      <c r="AL27" s="69">
        <v>0.05</v>
      </c>
      <c r="AM27" s="69">
        <v>0.05</v>
      </c>
      <c r="AN27" s="73">
        <v>1560</v>
      </c>
      <c r="AO27" s="95">
        <f t="shared" si="0"/>
        <v>78</v>
      </c>
      <c r="AP27" s="73">
        <v>0</v>
      </c>
      <c r="AQ27" s="95">
        <f t="shared" si="1"/>
        <v>0</v>
      </c>
      <c r="AR27" s="73">
        <v>1560</v>
      </c>
      <c r="AS27" s="96">
        <f t="shared" si="2"/>
        <v>78</v>
      </c>
      <c r="AT27" s="80">
        <v>1560</v>
      </c>
      <c r="AU27" s="97">
        <f t="shared" si="3"/>
        <v>78</v>
      </c>
      <c r="AV27" s="80">
        <v>0</v>
      </c>
      <c r="AW27" s="97">
        <f t="shared" si="4"/>
        <v>0</v>
      </c>
      <c r="AX27" s="80">
        <v>1560</v>
      </c>
      <c r="AY27" s="97">
        <f t="shared" si="5"/>
        <v>78</v>
      </c>
      <c r="AZ27" s="71">
        <v>0</v>
      </c>
      <c r="BA27" s="97">
        <f t="shared" si="6"/>
        <v>0</v>
      </c>
      <c r="BB27" s="71">
        <v>4320</v>
      </c>
      <c r="BC27" s="97">
        <f t="shared" si="7"/>
        <v>216</v>
      </c>
      <c r="BD27" s="71">
        <v>0</v>
      </c>
      <c r="BE27" s="97">
        <f t="shared" si="8"/>
        <v>0</v>
      </c>
      <c r="BF27" s="73">
        <v>0</v>
      </c>
      <c r="BG27" s="97">
        <f t="shared" si="9"/>
        <v>0</v>
      </c>
      <c r="BH27" s="70">
        <v>0</v>
      </c>
      <c r="BI27" s="97">
        <f t="shared" si="10"/>
        <v>0</v>
      </c>
      <c r="BJ27" s="73">
        <v>0</v>
      </c>
      <c r="BK27" s="97">
        <f t="shared" si="11"/>
        <v>0</v>
      </c>
      <c r="BL27" s="128"/>
      <c r="BM27" s="131" t="s">
        <v>242</v>
      </c>
    </row>
    <row r="28" spans="1:66" ht="15.75" customHeight="1" thickBot="1">
      <c r="A28" s="93" t="s">
        <v>123</v>
      </c>
      <c r="B28" s="122" t="s">
        <v>184</v>
      </c>
      <c r="C28" s="299"/>
      <c r="D28" s="295"/>
      <c r="E28" s="295"/>
      <c r="F28" s="297"/>
      <c r="G28" s="78">
        <v>2016</v>
      </c>
      <c r="H28" s="76" t="s">
        <v>232</v>
      </c>
      <c r="I28" s="76" t="s">
        <v>196</v>
      </c>
      <c r="J28" s="77" t="s">
        <v>197</v>
      </c>
      <c r="K28" s="81" t="s">
        <v>221</v>
      </c>
      <c r="L28" s="76" t="s">
        <v>192</v>
      </c>
      <c r="M28" s="13" t="s">
        <v>193</v>
      </c>
      <c r="N28" s="75">
        <v>5.15</v>
      </c>
      <c r="O28" s="75">
        <v>5.15</v>
      </c>
      <c r="P28" s="75">
        <v>5.15</v>
      </c>
      <c r="Q28" s="75">
        <v>5.15</v>
      </c>
      <c r="R28" s="75">
        <v>5.15</v>
      </c>
      <c r="S28" s="75">
        <v>5.15</v>
      </c>
      <c r="T28" s="75">
        <v>5.15</v>
      </c>
      <c r="U28" s="75">
        <v>5.15</v>
      </c>
      <c r="V28" s="75">
        <v>5.15</v>
      </c>
      <c r="W28" s="75">
        <v>5.15</v>
      </c>
      <c r="X28" s="75">
        <v>5.15</v>
      </c>
      <c r="Y28" s="75">
        <v>5.15</v>
      </c>
      <c r="Z28" s="75">
        <v>5.15</v>
      </c>
      <c r="AA28" s="13">
        <v>0</v>
      </c>
      <c r="AB28" s="72">
        <v>0.05</v>
      </c>
      <c r="AC28" s="72">
        <v>0.05</v>
      </c>
      <c r="AD28" s="72">
        <v>0.05</v>
      </c>
      <c r="AE28" s="69">
        <v>0.05</v>
      </c>
      <c r="AF28" s="69">
        <v>0.05</v>
      </c>
      <c r="AG28" s="69">
        <v>0.05</v>
      </c>
      <c r="AH28" s="69">
        <v>0.05</v>
      </c>
      <c r="AI28" s="69">
        <v>0.05</v>
      </c>
      <c r="AJ28" s="69">
        <v>0.05</v>
      </c>
      <c r="AK28" s="69">
        <v>0.05</v>
      </c>
      <c r="AL28" s="69">
        <v>0.05</v>
      </c>
      <c r="AM28" s="69">
        <v>0.05</v>
      </c>
      <c r="AN28" s="73">
        <v>7800</v>
      </c>
      <c r="AO28" s="95">
        <f t="shared" si="0"/>
        <v>390</v>
      </c>
      <c r="AP28" s="73">
        <v>1560</v>
      </c>
      <c r="AQ28" s="95">
        <f t="shared" si="1"/>
        <v>78</v>
      </c>
      <c r="AR28" s="73">
        <v>7800</v>
      </c>
      <c r="AS28" s="96">
        <f t="shared" si="2"/>
        <v>390</v>
      </c>
      <c r="AT28" s="79">
        <v>0</v>
      </c>
      <c r="AU28" s="97">
        <f t="shared" si="3"/>
        <v>0</v>
      </c>
      <c r="AV28" s="80">
        <v>3120</v>
      </c>
      <c r="AW28" s="97">
        <f t="shared" si="4"/>
        <v>156</v>
      </c>
      <c r="AX28" s="80">
        <v>6240</v>
      </c>
      <c r="AY28" s="97">
        <f t="shared" si="5"/>
        <v>312</v>
      </c>
      <c r="AZ28" s="70">
        <v>7800</v>
      </c>
      <c r="BA28" s="97">
        <f t="shared" si="6"/>
        <v>390</v>
      </c>
      <c r="BB28" s="70">
        <v>0</v>
      </c>
      <c r="BC28" s="97">
        <f t="shared" si="7"/>
        <v>0</v>
      </c>
      <c r="BD28" s="70">
        <v>0</v>
      </c>
      <c r="BE28" s="97">
        <f t="shared" si="8"/>
        <v>0</v>
      </c>
      <c r="BF28" s="70">
        <v>0</v>
      </c>
      <c r="BG28" s="97">
        <f t="shared" si="9"/>
        <v>0</v>
      </c>
      <c r="BH28" s="73">
        <v>0</v>
      </c>
      <c r="BI28" s="97">
        <f t="shared" si="10"/>
        <v>0</v>
      </c>
      <c r="BJ28" s="70">
        <v>0</v>
      </c>
      <c r="BK28" s="97">
        <f t="shared" si="11"/>
        <v>0</v>
      </c>
      <c r="BL28" s="128"/>
      <c r="BM28" s="131" t="s">
        <v>243</v>
      </c>
    </row>
    <row r="29" spans="1:66" ht="15.75" customHeight="1" thickBot="1">
      <c r="A29" s="93" t="s">
        <v>123</v>
      </c>
      <c r="B29" s="122" t="s">
        <v>184</v>
      </c>
      <c r="C29" s="299"/>
      <c r="D29" s="295"/>
      <c r="E29" s="295"/>
      <c r="F29" s="297"/>
      <c r="G29" s="78">
        <v>2016</v>
      </c>
      <c r="H29" s="76" t="s">
        <v>232</v>
      </c>
      <c r="I29" s="76" t="s">
        <v>196</v>
      </c>
      <c r="J29" s="77" t="s">
        <v>197</v>
      </c>
      <c r="K29" s="81" t="s">
        <v>235</v>
      </c>
      <c r="L29" s="76" t="s">
        <v>192</v>
      </c>
      <c r="M29" s="13" t="s">
        <v>193</v>
      </c>
      <c r="N29" s="75">
        <v>5.23</v>
      </c>
      <c r="O29" s="75">
        <v>5.23</v>
      </c>
      <c r="P29" s="75">
        <v>5.23</v>
      </c>
      <c r="Q29" s="75">
        <v>5.23</v>
      </c>
      <c r="R29" s="75">
        <v>5.23</v>
      </c>
      <c r="S29" s="75">
        <v>5.23</v>
      </c>
      <c r="T29" s="75">
        <v>5.23</v>
      </c>
      <c r="U29" s="75">
        <v>5.23</v>
      </c>
      <c r="V29" s="75">
        <v>5.23</v>
      </c>
      <c r="W29" s="75">
        <v>5.23</v>
      </c>
      <c r="X29" s="75">
        <v>5.23</v>
      </c>
      <c r="Y29" s="75">
        <v>5.23</v>
      </c>
      <c r="Z29" s="75">
        <v>5.23</v>
      </c>
      <c r="AA29" s="13">
        <v>0</v>
      </c>
      <c r="AB29" s="72">
        <v>0.05</v>
      </c>
      <c r="AC29" s="72">
        <v>0.05</v>
      </c>
      <c r="AD29" s="72">
        <v>0.05</v>
      </c>
      <c r="AE29" s="69">
        <v>0.05</v>
      </c>
      <c r="AF29" s="69">
        <v>0.05</v>
      </c>
      <c r="AG29" s="69">
        <v>0.05</v>
      </c>
      <c r="AH29" s="69">
        <v>0.05</v>
      </c>
      <c r="AI29" s="69">
        <v>0.05</v>
      </c>
      <c r="AJ29" s="69">
        <v>0.05</v>
      </c>
      <c r="AK29" s="69">
        <v>0.05</v>
      </c>
      <c r="AL29" s="69">
        <v>0.05</v>
      </c>
      <c r="AM29" s="69">
        <v>0.05</v>
      </c>
      <c r="AN29" s="73">
        <v>6240</v>
      </c>
      <c r="AO29" s="95">
        <f t="shared" si="0"/>
        <v>312</v>
      </c>
      <c r="AP29" s="73">
        <v>1560</v>
      </c>
      <c r="AQ29" s="95">
        <f t="shared" si="1"/>
        <v>78</v>
      </c>
      <c r="AR29" s="73">
        <v>1560</v>
      </c>
      <c r="AS29" s="96">
        <f t="shared" si="2"/>
        <v>78</v>
      </c>
      <c r="AT29" s="79">
        <v>0</v>
      </c>
      <c r="AU29" s="97">
        <f t="shared" si="3"/>
        <v>0</v>
      </c>
      <c r="AV29" s="79">
        <v>0</v>
      </c>
      <c r="AW29" s="97">
        <f t="shared" si="4"/>
        <v>0</v>
      </c>
      <c r="AX29" s="80">
        <v>0</v>
      </c>
      <c r="AY29" s="97">
        <f t="shared" si="5"/>
        <v>0</v>
      </c>
      <c r="AZ29" s="74">
        <v>0</v>
      </c>
      <c r="BA29" s="97">
        <f t="shared" si="6"/>
        <v>0</v>
      </c>
      <c r="BB29" s="74">
        <v>0</v>
      </c>
      <c r="BC29" s="97">
        <f t="shared" si="7"/>
        <v>0</v>
      </c>
      <c r="BD29" s="74">
        <v>0</v>
      </c>
      <c r="BE29" s="97">
        <f t="shared" si="8"/>
        <v>0</v>
      </c>
      <c r="BF29" s="73">
        <v>0</v>
      </c>
      <c r="BG29" s="97">
        <f t="shared" si="9"/>
        <v>0</v>
      </c>
      <c r="BH29" s="73">
        <v>0</v>
      </c>
      <c r="BI29" s="97">
        <f t="shared" si="10"/>
        <v>0</v>
      </c>
      <c r="BJ29" s="73">
        <v>0</v>
      </c>
      <c r="BK29" s="97">
        <f t="shared" si="11"/>
        <v>0</v>
      </c>
      <c r="BL29" s="128"/>
      <c r="BM29" s="131" t="s">
        <v>244</v>
      </c>
    </row>
    <row r="30" spans="1:66" ht="15.75" customHeight="1" thickBot="1">
      <c r="A30" s="93" t="s">
        <v>123</v>
      </c>
      <c r="B30" s="122" t="s">
        <v>184</v>
      </c>
      <c r="C30" s="299"/>
      <c r="D30" s="295"/>
      <c r="E30" s="295"/>
      <c r="F30" s="297"/>
      <c r="G30" s="78">
        <v>2016</v>
      </c>
      <c r="H30" s="76" t="s">
        <v>232</v>
      </c>
      <c r="I30" s="76" t="s">
        <v>196</v>
      </c>
      <c r="J30" s="77" t="s">
        <v>197</v>
      </c>
      <c r="K30" s="81" t="s">
        <v>245</v>
      </c>
      <c r="L30" s="76" t="s">
        <v>192</v>
      </c>
      <c r="M30" s="13" t="s">
        <v>193</v>
      </c>
      <c r="N30" s="75">
        <v>5.23</v>
      </c>
      <c r="O30" s="75">
        <v>5.23</v>
      </c>
      <c r="P30" s="75">
        <v>5.23</v>
      </c>
      <c r="Q30" s="75">
        <v>5.23</v>
      </c>
      <c r="R30" s="75">
        <v>5.23</v>
      </c>
      <c r="S30" s="75">
        <v>5.23</v>
      </c>
      <c r="T30" s="75">
        <v>5.23</v>
      </c>
      <c r="U30" s="75">
        <v>5.23</v>
      </c>
      <c r="V30" s="75">
        <v>5.23</v>
      </c>
      <c r="W30" s="75">
        <v>5.23</v>
      </c>
      <c r="X30" s="75">
        <v>5.23</v>
      </c>
      <c r="Y30" s="75">
        <v>5.23</v>
      </c>
      <c r="Z30" s="75">
        <v>5.23</v>
      </c>
      <c r="AA30" s="13">
        <v>0</v>
      </c>
      <c r="AB30" s="72">
        <v>0.05</v>
      </c>
      <c r="AC30" s="72">
        <v>0.05</v>
      </c>
      <c r="AD30" s="72">
        <v>0.05</v>
      </c>
      <c r="AE30" s="69">
        <v>0.05</v>
      </c>
      <c r="AF30" s="69">
        <v>0.05</v>
      </c>
      <c r="AG30" s="69">
        <v>0.05</v>
      </c>
      <c r="AH30" s="69">
        <v>0.05</v>
      </c>
      <c r="AI30" s="69">
        <v>0.05</v>
      </c>
      <c r="AJ30" s="69">
        <v>0.05</v>
      </c>
      <c r="AK30" s="69">
        <v>0.05</v>
      </c>
      <c r="AL30" s="69">
        <v>0.05</v>
      </c>
      <c r="AM30" s="69">
        <v>0.05</v>
      </c>
      <c r="AN30" s="73">
        <v>1560</v>
      </c>
      <c r="AO30" s="95">
        <f t="shared" si="0"/>
        <v>78</v>
      </c>
      <c r="AP30" s="73">
        <v>0</v>
      </c>
      <c r="AQ30" s="95">
        <f t="shared" si="1"/>
        <v>0</v>
      </c>
      <c r="AR30" s="73">
        <v>0</v>
      </c>
      <c r="AS30" s="96">
        <f t="shared" si="2"/>
        <v>0</v>
      </c>
      <c r="AT30" s="79">
        <v>0</v>
      </c>
      <c r="AU30" s="97">
        <f t="shared" si="3"/>
        <v>0</v>
      </c>
      <c r="AV30" s="79">
        <v>0</v>
      </c>
      <c r="AW30" s="97">
        <f t="shared" si="4"/>
        <v>0</v>
      </c>
      <c r="AX30" s="80">
        <v>0</v>
      </c>
      <c r="AY30" s="97">
        <f t="shared" si="5"/>
        <v>0</v>
      </c>
      <c r="AZ30" s="74">
        <v>1560</v>
      </c>
      <c r="BA30" s="97">
        <f t="shared" si="6"/>
        <v>78</v>
      </c>
      <c r="BB30" s="74">
        <v>0</v>
      </c>
      <c r="BC30" s="97">
        <f t="shared" si="7"/>
        <v>0</v>
      </c>
      <c r="BD30" s="74">
        <v>0</v>
      </c>
      <c r="BE30" s="97">
        <f t="shared" si="8"/>
        <v>0</v>
      </c>
      <c r="BF30" s="73">
        <v>0</v>
      </c>
      <c r="BG30" s="97">
        <f t="shared" si="9"/>
        <v>0</v>
      </c>
      <c r="BH30" s="70">
        <v>0</v>
      </c>
      <c r="BI30" s="97">
        <f t="shared" si="10"/>
        <v>0</v>
      </c>
      <c r="BJ30" s="73">
        <v>0</v>
      </c>
      <c r="BK30" s="97">
        <f t="shared" si="11"/>
        <v>0</v>
      </c>
      <c r="BL30" s="128"/>
      <c r="BM30" s="131" t="s">
        <v>246</v>
      </c>
    </row>
    <row r="31" spans="1:66" ht="15.75" customHeight="1" thickBot="1">
      <c r="A31" s="93" t="s">
        <v>123</v>
      </c>
      <c r="B31" s="122" t="s">
        <v>184</v>
      </c>
      <c r="C31" s="299"/>
      <c r="D31" s="295"/>
      <c r="E31" s="295"/>
      <c r="F31" s="297"/>
      <c r="G31" s="78">
        <v>2016</v>
      </c>
      <c r="H31" s="76" t="s">
        <v>232</v>
      </c>
      <c r="I31" s="76" t="s">
        <v>196</v>
      </c>
      <c r="J31" s="77" t="s">
        <v>197</v>
      </c>
      <c r="K31" s="81" t="s">
        <v>247</v>
      </c>
      <c r="L31" s="76" t="s">
        <v>192</v>
      </c>
      <c r="M31" s="13" t="s">
        <v>193</v>
      </c>
      <c r="N31" s="75">
        <v>5.53</v>
      </c>
      <c r="O31" s="75">
        <v>5.53</v>
      </c>
      <c r="P31" s="75">
        <v>5.53</v>
      </c>
      <c r="Q31" s="75">
        <v>5.53</v>
      </c>
      <c r="R31" s="75">
        <v>5.53</v>
      </c>
      <c r="S31" s="75">
        <v>5.53</v>
      </c>
      <c r="T31" s="75">
        <v>5.53</v>
      </c>
      <c r="U31" s="75">
        <v>5.53</v>
      </c>
      <c r="V31" s="75">
        <v>5.53</v>
      </c>
      <c r="W31" s="75">
        <v>5.53</v>
      </c>
      <c r="X31" s="75">
        <v>5.53</v>
      </c>
      <c r="Y31" s="75">
        <v>5.53</v>
      </c>
      <c r="Z31" s="75">
        <v>5.53</v>
      </c>
      <c r="AA31" s="13">
        <v>0</v>
      </c>
      <c r="AB31" s="72">
        <v>0.05</v>
      </c>
      <c r="AC31" s="72">
        <v>0.05</v>
      </c>
      <c r="AD31" s="72">
        <v>0.05</v>
      </c>
      <c r="AE31" s="69">
        <v>0.05</v>
      </c>
      <c r="AF31" s="69">
        <v>0.05</v>
      </c>
      <c r="AG31" s="69">
        <v>0.05</v>
      </c>
      <c r="AH31" s="69">
        <v>0.05</v>
      </c>
      <c r="AI31" s="69">
        <v>0.05</v>
      </c>
      <c r="AJ31" s="69">
        <v>0.05</v>
      </c>
      <c r="AK31" s="69">
        <v>0.05</v>
      </c>
      <c r="AL31" s="69">
        <v>0.05</v>
      </c>
      <c r="AM31" s="69">
        <v>0.05</v>
      </c>
      <c r="AN31" s="73">
        <v>1560</v>
      </c>
      <c r="AO31" s="95">
        <f t="shared" si="0"/>
        <v>78</v>
      </c>
      <c r="AP31" s="73">
        <v>0</v>
      </c>
      <c r="AQ31" s="95">
        <f t="shared" si="1"/>
        <v>0</v>
      </c>
      <c r="AR31" s="73">
        <v>0</v>
      </c>
      <c r="AS31" s="96">
        <f t="shared" si="2"/>
        <v>0</v>
      </c>
      <c r="AT31" s="79">
        <v>0</v>
      </c>
      <c r="AU31" s="97">
        <f t="shared" si="3"/>
        <v>0</v>
      </c>
      <c r="AV31" s="79">
        <v>0</v>
      </c>
      <c r="AW31" s="97">
        <f t="shared" si="4"/>
        <v>0</v>
      </c>
      <c r="AX31" s="80">
        <v>0</v>
      </c>
      <c r="AY31" s="97">
        <f t="shared" si="5"/>
        <v>0</v>
      </c>
      <c r="AZ31" s="70">
        <v>3120</v>
      </c>
      <c r="BA31" s="97">
        <f t="shared" si="6"/>
        <v>156</v>
      </c>
      <c r="BB31" s="70">
        <v>0</v>
      </c>
      <c r="BC31" s="97">
        <f t="shared" si="7"/>
        <v>0</v>
      </c>
      <c r="BD31" s="70">
        <v>0</v>
      </c>
      <c r="BE31" s="97">
        <f t="shared" si="8"/>
        <v>0</v>
      </c>
      <c r="BF31" s="73">
        <v>0</v>
      </c>
      <c r="BG31" s="97">
        <f t="shared" si="9"/>
        <v>0</v>
      </c>
      <c r="BH31" s="73">
        <v>0</v>
      </c>
      <c r="BI31" s="97">
        <f t="shared" si="10"/>
        <v>0</v>
      </c>
      <c r="BJ31" s="70">
        <v>0</v>
      </c>
      <c r="BK31" s="97">
        <f t="shared" si="11"/>
        <v>0</v>
      </c>
      <c r="BL31" s="128"/>
      <c r="BM31" s="131" t="s">
        <v>248</v>
      </c>
    </row>
    <row r="32" spans="1:66" ht="15.75" customHeight="1" thickBot="1">
      <c r="A32" s="93" t="s">
        <v>123</v>
      </c>
      <c r="B32" s="122" t="s">
        <v>184</v>
      </c>
      <c r="C32" s="299"/>
      <c r="D32" s="295"/>
      <c r="E32" s="295"/>
      <c r="F32" s="297"/>
      <c r="G32" s="78">
        <v>2016</v>
      </c>
      <c r="H32" s="76" t="s">
        <v>232</v>
      </c>
      <c r="I32" s="76" t="s">
        <v>196</v>
      </c>
      <c r="J32" s="77" t="s">
        <v>197</v>
      </c>
      <c r="K32" s="81" t="s">
        <v>249</v>
      </c>
      <c r="L32" s="76" t="s">
        <v>192</v>
      </c>
      <c r="M32" s="13" t="s">
        <v>193</v>
      </c>
      <c r="N32" s="75">
        <v>5.34</v>
      </c>
      <c r="O32" s="75">
        <v>5.34</v>
      </c>
      <c r="P32" s="75">
        <v>5.34</v>
      </c>
      <c r="Q32" s="75">
        <v>5.34</v>
      </c>
      <c r="R32" s="75">
        <v>5.34</v>
      </c>
      <c r="S32" s="75">
        <v>5.34</v>
      </c>
      <c r="T32" s="75">
        <v>5.34</v>
      </c>
      <c r="U32" s="75">
        <v>5.34</v>
      </c>
      <c r="V32" s="75">
        <v>5.34</v>
      </c>
      <c r="W32" s="75">
        <v>5.34</v>
      </c>
      <c r="X32" s="75">
        <v>5.34</v>
      </c>
      <c r="Y32" s="75">
        <v>5.34</v>
      </c>
      <c r="Z32" s="75">
        <v>5.34</v>
      </c>
      <c r="AA32" s="13">
        <v>0</v>
      </c>
      <c r="AB32" s="72">
        <v>0.05</v>
      </c>
      <c r="AC32" s="72">
        <v>0.05</v>
      </c>
      <c r="AD32" s="72">
        <v>0.05</v>
      </c>
      <c r="AE32" s="69">
        <v>0.05</v>
      </c>
      <c r="AF32" s="69">
        <v>0.05</v>
      </c>
      <c r="AG32" s="69">
        <v>0.05</v>
      </c>
      <c r="AH32" s="69">
        <v>0.05</v>
      </c>
      <c r="AI32" s="69">
        <v>0.05</v>
      </c>
      <c r="AJ32" s="69">
        <v>0.05</v>
      </c>
      <c r="AK32" s="69">
        <v>0.05</v>
      </c>
      <c r="AL32" s="69">
        <v>0.05</v>
      </c>
      <c r="AM32" s="69">
        <v>0.05</v>
      </c>
      <c r="AN32" s="73">
        <v>0</v>
      </c>
      <c r="AO32" s="95">
        <f t="shared" si="0"/>
        <v>0</v>
      </c>
      <c r="AP32" s="73">
        <v>1000</v>
      </c>
      <c r="AQ32" s="95">
        <f t="shared" si="1"/>
        <v>50</v>
      </c>
      <c r="AR32" s="73">
        <v>1000</v>
      </c>
      <c r="AS32" s="96">
        <f t="shared" si="2"/>
        <v>50</v>
      </c>
      <c r="AT32" s="80">
        <v>5000</v>
      </c>
      <c r="AU32" s="97">
        <f t="shared" si="3"/>
        <v>250</v>
      </c>
      <c r="AV32" s="80">
        <v>6000</v>
      </c>
      <c r="AW32" s="97">
        <f t="shared" si="4"/>
        <v>300</v>
      </c>
      <c r="AX32" s="79">
        <v>3000</v>
      </c>
      <c r="AY32" s="97">
        <f t="shared" si="5"/>
        <v>150</v>
      </c>
      <c r="AZ32" s="73">
        <v>0</v>
      </c>
      <c r="BA32" s="97">
        <f t="shared" si="6"/>
        <v>0</v>
      </c>
      <c r="BB32" s="70">
        <v>0</v>
      </c>
      <c r="BC32" s="97">
        <f t="shared" si="7"/>
        <v>0</v>
      </c>
      <c r="BD32" s="73">
        <v>0</v>
      </c>
      <c r="BE32" s="97">
        <f t="shared" si="8"/>
        <v>0</v>
      </c>
      <c r="BF32" s="70">
        <v>0</v>
      </c>
      <c r="BG32" s="97">
        <f t="shared" si="9"/>
        <v>0</v>
      </c>
      <c r="BH32" s="70">
        <v>0</v>
      </c>
      <c r="BI32" s="97">
        <f t="shared" si="10"/>
        <v>0</v>
      </c>
      <c r="BJ32" s="73">
        <v>0</v>
      </c>
      <c r="BK32" s="97">
        <f t="shared" si="11"/>
        <v>0</v>
      </c>
      <c r="BL32" s="128"/>
      <c r="BM32" s="131" t="s">
        <v>250</v>
      </c>
    </row>
    <row r="33" spans="1:66" ht="15.75" customHeight="1" thickBot="1">
      <c r="A33" s="93" t="s">
        <v>123</v>
      </c>
      <c r="B33" s="122" t="s">
        <v>184</v>
      </c>
      <c r="C33" s="299"/>
      <c r="D33" s="295"/>
      <c r="E33" s="295"/>
      <c r="F33" s="297"/>
      <c r="G33" s="78">
        <v>2016</v>
      </c>
      <c r="H33" s="76" t="s">
        <v>232</v>
      </c>
      <c r="I33" s="76" t="s">
        <v>196</v>
      </c>
      <c r="J33" s="77" t="s">
        <v>197</v>
      </c>
      <c r="K33" s="81" t="s">
        <v>251</v>
      </c>
      <c r="L33" s="76" t="s">
        <v>192</v>
      </c>
      <c r="M33" s="13" t="s">
        <v>193</v>
      </c>
      <c r="N33" s="75">
        <v>6.4062307692307687</v>
      </c>
      <c r="O33" s="75">
        <v>6.4062307692307687</v>
      </c>
      <c r="P33" s="75">
        <v>6.4062307692307687</v>
      </c>
      <c r="Q33" s="75">
        <v>6.4062307692307687</v>
      </c>
      <c r="R33" s="75">
        <v>6.4062307692307687</v>
      </c>
      <c r="S33" s="75">
        <v>6.4062307692307687</v>
      </c>
      <c r="T33" s="75">
        <v>6.4062307692307687</v>
      </c>
      <c r="U33" s="75">
        <v>6.4062307692307687</v>
      </c>
      <c r="V33" s="75">
        <v>6.4062307692307687</v>
      </c>
      <c r="W33" s="75">
        <v>6.4062307692307687</v>
      </c>
      <c r="X33" s="75">
        <v>6.4062307692307687</v>
      </c>
      <c r="Y33" s="75">
        <v>6.4062307692307687</v>
      </c>
      <c r="Z33" s="75">
        <v>6.4062307692307687</v>
      </c>
      <c r="AA33" s="13">
        <v>0</v>
      </c>
      <c r="AB33" s="72">
        <v>0.05</v>
      </c>
      <c r="AC33" s="72">
        <v>0.05</v>
      </c>
      <c r="AD33" s="72">
        <v>0.05</v>
      </c>
      <c r="AE33" s="69">
        <v>0.05</v>
      </c>
      <c r="AF33" s="69">
        <v>0.05</v>
      </c>
      <c r="AG33" s="69">
        <v>0.05</v>
      </c>
      <c r="AH33" s="69">
        <v>0.05</v>
      </c>
      <c r="AI33" s="69">
        <v>0.05</v>
      </c>
      <c r="AJ33" s="69">
        <v>0.05</v>
      </c>
      <c r="AK33" s="69">
        <v>0.05</v>
      </c>
      <c r="AL33" s="69">
        <v>0.05</v>
      </c>
      <c r="AM33" s="69">
        <v>0.05</v>
      </c>
      <c r="AN33" s="73">
        <v>0</v>
      </c>
      <c r="AO33" s="95">
        <f t="shared" si="0"/>
        <v>0</v>
      </c>
      <c r="AP33" s="73">
        <v>864</v>
      </c>
      <c r="AQ33" s="95">
        <f t="shared" si="1"/>
        <v>43.2</v>
      </c>
      <c r="AR33" s="73">
        <v>0</v>
      </c>
      <c r="AS33" s="96">
        <f t="shared" si="2"/>
        <v>0</v>
      </c>
      <c r="AT33" s="79">
        <v>0</v>
      </c>
      <c r="AU33" s="97">
        <f t="shared" si="3"/>
        <v>0</v>
      </c>
      <c r="AV33" s="79">
        <v>0</v>
      </c>
      <c r="AW33" s="97">
        <f t="shared" si="4"/>
        <v>0</v>
      </c>
      <c r="AX33" s="80">
        <v>0</v>
      </c>
      <c r="AY33" s="97">
        <f t="shared" si="5"/>
        <v>0</v>
      </c>
      <c r="AZ33" s="73">
        <v>0</v>
      </c>
      <c r="BA33" s="97">
        <f t="shared" si="6"/>
        <v>0</v>
      </c>
      <c r="BB33" s="74">
        <v>0</v>
      </c>
      <c r="BC33" s="97">
        <f t="shared" si="7"/>
        <v>0</v>
      </c>
      <c r="BD33" s="73">
        <v>0</v>
      </c>
      <c r="BE33" s="97">
        <f t="shared" si="8"/>
        <v>0</v>
      </c>
      <c r="BF33" s="73">
        <v>0</v>
      </c>
      <c r="BG33" s="97">
        <f t="shared" si="9"/>
        <v>0</v>
      </c>
      <c r="BH33" s="73">
        <v>0</v>
      </c>
      <c r="BI33" s="97">
        <f t="shared" si="10"/>
        <v>0</v>
      </c>
      <c r="BJ33" s="73">
        <v>0</v>
      </c>
      <c r="BK33" s="97">
        <f t="shared" si="11"/>
        <v>0</v>
      </c>
      <c r="BL33" s="128"/>
      <c r="BM33" s="131" t="s">
        <v>252</v>
      </c>
    </row>
    <row r="34" spans="1:66" ht="15.75" customHeight="1" thickBot="1">
      <c r="A34" s="93" t="s">
        <v>123</v>
      </c>
      <c r="B34" s="122" t="s">
        <v>184</v>
      </c>
      <c r="C34" s="299"/>
      <c r="D34" s="295"/>
      <c r="E34" s="295"/>
      <c r="F34" s="297"/>
      <c r="G34" s="78">
        <v>2019</v>
      </c>
      <c r="H34" s="76" t="s">
        <v>253</v>
      </c>
      <c r="I34" s="76" t="s">
        <v>196</v>
      </c>
      <c r="J34" s="77" t="s">
        <v>197</v>
      </c>
      <c r="K34" s="76" t="s">
        <v>191</v>
      </c>
      <c r="L34" s="76" t="s">
        <v>192</v>
      </c>
      <c r="M34" s="13" t="s">
        <v>193</v>
      </c>
      <c r="N34" s="75">
        <v>1.72</v>
      </c>
      <c r="O34" s="75">
        <v>1.72</v>
      </c>
      <c r="P34" s="75">
        <v>1.72</v>
      </c>
      <c r="Q34" s="75">
        <v>1.72</v>
      </c>
      <c r="R34" s="75">
        <v>1.72</v>
      </c>
      <c r="S34" s="75">
        <v>1.72</v>
      </c>
      <c r="T34" s="75">
        <v>1.72</v>
      </c>
      <c r="U34" s="75">
        <v>1.72</v>
      </c>
      <c r="V34" s="75">
        <v>1.72</v>
      </c>
      <c r="W34" s="75">
        <v>1.72</v>
      </c>
      <c r="X34" s="75">
        <v>1.72</v>
      </c>
      <c r="Y34" s="75">
        <v>1.72</v>
      </c>
      <c r="Z34" s="75">
        <v>1.72</v>
      </c>
      <c r="AA34" s="13">
        <v>0</v>
      </c>
      <c r="AB34" s="72">
        <v>0</v>
      </c>
      <c r="AC34" s="72">
        <v>0</v>
      </c>
      <c r="AD34" s="72">
        <v>0</v>
      </c>
      <c r="AE34" s="69">
        <v>0</v>
      </c>
      <c r="AF34" s="69">
        <v>0</v>
      </c>
      <c r="AG34" s="69">
        <v>0</v>
      </c>
      <c r="AH34" s="69">
        <v>0</v>
      </c>
      <c r="AI34" s="69">
        <v>0</v>
      </c>
      <c r="AJ34" s="69">
        <v>0</v>
      </c>
      <c r="AK34" s="69">
        <v>0</v>
      </c>
      <c r="AL34" s="69">
        <v>0</v>
      </c>
      <c r="AM34" s="69">
        <v>0</v>
      </c>
      <c r="AN34" s="73">
        <v>10000</v>
      </c>
      <c r="AO34" s="95">
        <f t="shared" si="0"/>
        <v>0</v>
      </c>
      <c r="AP34" s="73">
        <v>0</v>
      </c>
      <c r="AQ34" s="95">
        <f t="shared" si="1"/>
        <v>0</v>
      </c>
      <c r="AR34" s="73">
        <v>0</v>
      </c>
      <c r="AS34" s="96">
        <f t="shared" si="2"/>
        <v>0</v>
      </c>
      <c r="AT34" s="79">
        <v>0</v>
      </c>
      <c r="AU34" s="97">
        <f t="shared" si="3"/>
        <v>0</v>
      </c>
      <c r="AV34" s="79">
        <v>10000</v>
      </c>
      <c r="AW34" s="97">
        <f t="shared" si="4"/>
        <v>0</v>
      </c>
      <c r="AX34" s="80">
        <v>10000</v>
      </c>
      <c r="AY34" s="97">
        <f t="shared" si="5"/>
        <v>0</v>
      </c>
      <c r="AZ34" s="71">
        <v>10000</v>
      </c>
      <c r="BA34" s="97">
        <f t="shared" si="6"/>
        <v>0</v>
      </c>
      <c r="BB34" s="74">
        <v>10000</v>
      </c>
      <c r="BC34" s="97">
        <f t="shared" si="7"/>
        <v>0</v>
      </c>
      <c r="BD34" s="71">
        <v>0</v>
      </c>
      <c r="BE34" s="97">
        <f t="shared" si="8"/>
        <v>0</v>
      </c>
      <c r="BF34" s="73">
        <v>0</v>
      </c>
      <c r="BG34" s="97">
        <f t="shared" si="9"/>
        <v>0</v>
      </c>
      <c r="BH34" s="73">
        <v>0</v>
      </c>
      <c r="BI34" s="97">
        <f t="shared" si="10"/>
        <v>0</v>
      </c>
      <c r="BJ34" s="70">
        <v>0</v>
      </c>
      <c r="BK34" s="97">
        <f t="shared" si="11"/>
        <v>0</v>
      </c>
      <c r="BL34" s="128"/>
      <c r="BM34" s="131" t="s">
        <v>254</v>
      </c>
    </row>
    <row r="35" spans="1:66" ht="15.75" customHeight="1" thickBot="1">
      <c r="A35" s="93" t="s">
        <v>123</v>
      </c>
      <c r="B35" s="122" t="s">
        <v>184</v>
      </c>
      <c r="C35" s="299"/>
      <c r="D35" s="295"/>
      <c r="E35" s="295"/>
      <c r="F35" s="297"/>
      <c r="G35" s="78">
        <v>2019</v>
      </c>
      <c r="H35" s="76" t="s">
        <v>253</v>
      </c>
      <c r="I35" s="76" t="s">
        <v>196</v>
      </c>
      <c r="J35" s="77" t="s">
        <v>197</v>
      </c>
      <c r="K35" s="76" t="s">
        <v>191</v>
      </c>
      <c r="L35" s="76" t="s">
        <v>192</v>
      </c>
      <c r="M35" s="13" t="s">
        <v>193</v>
      </c>
      <c r="N35" s="75">
        <v>1.89</v>
      </c>
      <c r="O35" s="75">
        <v>1.89</v>
      </c>
      <c r="P35" s="75">
        <v>1.89</v>
      </c>
      <c r="Q35" s="75">
        <v>1.89</v>
      </c>
      <c r="R35" s="75">
        <v>1.89</v>
      </c>
      <c r="S35" s="75">
        <v>1.89</v>
      </c>
      <c r="T35" s="75">
        <v>1.89</v>
      </c>
      <c r="U35" s="75">
        <v>1.89</v>
      </c>
      <c r="V35" s="75">
        <v>1.89</v>
      </c>
      <c r="W35" s="75">
        <v>1.89</v>
      </c>
      <c r="X35" s="75">
        <v>1.89</v>
      </c>
      <c r="Y35" s="75">
        <v>1.89</v>
      </c>
      <c r="Z35" s="75">
        <v>1.89</v>
      </c>
      <c r="AA35" s="13">
        <v>0</v>
      </c>
      <c r="AB35" s="72">
        <v>0</v>
      </c>
      <c r="AC35" s="72">
        <v>0</v>
      </c>
      <c r="AD35" s="72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73">
        <v>2880</v>
      </c>
      <c r="AO35" s="95">
        <f t="shared" si="0"/>
        <v>0</v>
      </c>
      <c r="AP35" s="73">
        <v>0</v>
      </c>
      <c r="AQ35" s="95">
        <f t="shared" si="1"/>
        <v>0</v>
      </c>
      <c r="AR35" s="73">
        <v>0</v>
      </c>
      <c r="AS35" s="96">
        <f t="shared" si="2"/>
        <v>0</v>
      </c>
      <c r="AT35" s="80">
        <v>2880</v>
      </c>
      <c r="AU35" s="97">
        <f t="shared" si="3"/>
        <v>0</v>
      </c>
      <c r="AV35" s="79">
        <v>0</v>
      </c>
      <c r="AW35" s="97">
        <f t="shared" si="4"/>
        <v>0</v>
      </c>
      <c r="AX35" s="80">
        <v>2880</v>
      </c>
      <c r="AY35" s="97">
        <f t="shared" si="5"/>
        <v>0</v>
      </c>
      <c r="AZ35" s="73">
        <v>0</v>
      </c>
      <c r="BA35" s="97">
        <f t="shared" si="6"/>
        <v>0</v>
      </c>
      <c r="BB35" s="70">
        <v>8640</v>
      </c>
      <c r="BC35" s="97">
        <f t="shared" si="7"/>
        <v>0</v>
      </c>
      <c r="BD35" s="73">
        <v>5760</v>
      </c>
      <c r="BE35" s="97">
        <f t="shared" si="8"/>
        <v>0</v>
      </c>
      <c r="BF35" s="73">
        <v>2880</v>
      </c>
      <c r="BG35" s="97">
        <f t="shared" si="9"/>
        <v>0</v>
      </c>
      <c r="BH35" s="70">
        <v>2880</v>
      </c>
      <c r="BI35" s="97">
        <f t="shared" si="10"/>
        <v>0</v>
      </c>
      <c r="BJ35" s="73">
        <v>2880</v>
      </c>
      <c r="BK35" s="97">
        <f t="shared" si="11"/>
        <v>0</v>
      </c>
      <c r="BL35" s="128"/>
      <c r="BM35" s="131" t="s">
        <v>255</v>
      </c>
    </row>
    <row r="36" spans="1:66" ht="15.75" customHeight="1" thickBot="1">
      <c r="A36" s="93" t="s">
        <v>123</v>
      </c>
      <c r="B36" s="122" t="s">
        <v>184</v>
      </c>
      <c r="C36" s="299"/>
      <c r="D36" s="295"/>
      <c r="E36" s="295"/>
      <c r="F36" s="297"/>
      <c r="G36" s="78">
        <v>2019</v>
      </c>
      <c r="H36" s="76" t="s">
        <v>253</v>
      </c>
      <c r="I36" s="76" t="s">
        <v>196</v>
      </c>
      <c r="J36" s="77" t="s">
        <v>197</v>
      </c>
      <c r="K36" s="76" t="s">
        <v>191</v>
      </c>
      <c r="L36" s="76" t="s">
        <v>192</v>
      </c>
      <c r="M36" s="13" t="s">
        <v>193</v>
      </c>
      <c r="N36" s="75">
        <v>1.81</v>
      </c>
      <c r="O36" s="75">
        <v>1.81</v>
      </c>
      <c r="P36" s="75">
        <v>1.81</v>
      </c>
      <c r="Q36" s="75">
        <v>1.81</v>
      </c>
      <c r="R36" s="75">
        <v>1.81</v>
      </c>
      <c r="S36" s="75">
        <v>1.81</v>
      </c>
      <c r="T36" s="75">
        <v>1.81</v>
      </c>
      <c r="U36" s="75">
        <v>1.81</v>
      </c>
      <c r="V36" s="75">
        <v>1.81</v>
      </c>
      <c r="W36" s="75">
        <v>1.81</v>
      </c>
      <c r="X36" s="75">
        <v>1.81</v>
      </c>
      <c r="Y36" s="75">
        <v>1.81</v>
      </c>
      <c r="Z36" s="75">
        <v>1.81</v>
      </c>
      <c r="AA36" s="13">
        <v>0</v>
      </c>
      <c r="AB36" s="72">
        <v>0</v>
      </c>
      <c r="AC36" s="72">
        <v>0</v>
      </c>
      <c r="AD36" s="72">
        <v>0</v>
      </c>
      <c r="AE36" s="69">
        <v>0</v>
      </c>
      <c r="AF36" s="69">
        <v>0</v>
      </c>
      <c r="AG36" s="69">
        <v>0</v>
      </c>
      <c r="AH36" s="69">
        <v>0</v>
      </c>
      <c r="AI36" s="69">
        <v>0</v>
      </c>
      <c r="AJ36" s="69">
        <v>0</v>
      </c>
      <c r="AK36" s="69">
        <v>0</v>
      </c>
      <c r="AL36" s="69">
        <v>0</v>
      </c>
      <c r="AM36" s="69">
        <v>0</v>
      </c>
      <c r="AN36" s="73">
        <v>11520</v>
      </c>
      <c r="AO36" s="95">
        <f t="shared" si="0"/>
        <v>0</v>
      </c>
      <c r="AP36" s="73">
        <v>0</v>
      </c>
      <c r="AQ36" s="95">
        <f t="shared" si="1"/>
        <v>0</v>
      </c>
      <c r="AR36" s="73">
        <v>0</v>
      </c>
      <c r="AS36" s="96">
        <f t="shared" si="2"/>
        <v>0</v>
      </c>
      <c r="AT36" s="80">
        <v>11520</v>
      </c>
      <c r="AU36" s="97">
        <f t="shared" si="3"/>
        <v>0</v>
      </c>
      <c r="AV36" s="79">
        <v>0</v>
      </c>
      <c r="AW36" s="97">
        <f t="shared" si="4"/>
        <v>0</v>
      </c>
      <c r="AX36" s="80">
        <v>11520</v>
      </c>
      <c r="AY36" s="97">
        <f t="shared" si="5"/>
        <v>0</v>
      </c>
      <c r="AZ36" s="73">
        <v>11520</v>
      </c>
      <c r="BA36" s="97">
        <f t="shared" si="6"/>
        <v>0</v>
      </c>
      <c r="BB36" s="70">
        <v>11520</v>
      </c>
      <c r="BC36" s="97">
        <f t="shared" si="7"/>
        <v>0</v>
      </c>
      <c r="BD36" s="71">
        <v>0</v>
      </c>
      <c r="BE36" s="97">
        <f t="shared" si="8"/>
        <v>0</v>
      </c>
      <c r="BF36" s="70">
        <v>6720</v>
      </c>
      <c r="BG36" s="97">
        <f t="shared" si="9"/>
        <v>0</v>
      </c>
      <c r="BH36" s="73">
        <v>0</v>
      </c>
      <c r="BI36" s="97">
        <f t="shared" si="10"/>
        <v>0</v>
      </c>
      <c r="BJ36" s="73">
        <v>0</v>
      </c>
      <c r="BK36" s="97">
        <f t="shared" si="11"/>
        <v>0</v>
      </c>
      <c r="BL36" s="128"/>
      <c r="BM36" s="131" t="s">
        <v>256</v>
      </c>
    </row>
    <row r="37" spans="1:66" ht="15.75" customHeight="1" thickBot="1">
      <c r="A37" s="93" t="s">
        <v>123</v>
      </c>
      <c r="B37" s="122" t="s">
        <v>184</v>
      </c>
      <c r="C37" s="299"/>
      <c r="D37" s="295"/>
      <c r="E37" s="295"/>
      <c r="F37" s="297"/>
      <c r="G37" s="78">
        <v>2019</v>
      </c>
      <c r="H37" s="76" t="s">
        <v>253</v>
      </c>
      <c r="I37" s="76" t="s">
        <v>196</v>
      </c>
      <c r="J37" s="77" t="s">
        <v>197</v>
      </c>
      <c r="K37" s="76" t="s">
        <v>191</v>
      </c>
      <c r="L37" s="76" t="s">
        <v>192</v>
      </c>
      <c r="M37" s="13" t="s">
        <v>193</v>
      </c>
      <c r="N37" s="75">
        <v>1.8</v>
      </c>
      <c r="O37" s="75">
        <v>1.8</v>
      </c>
      <c r="P37" s="75">
        <v>1.8</v>
      </c>
      <c r="Q37" s="75">
        <v>1.8</v>
      </c>
      <c r="R37" s="75">
        <v>1.8</v>
      </c>
      <c r="S37" s="75">
        <v>1.8</v>
      </c>
      <c r="T37" s="75">
        <v>1.8</v>
      </c>
      <c r="U37" s="75">
        <v>1.8</v>
      </c>
      <c r="V37" s="75">
        <v>1.8</v>
      </c>
      <c r="W37" s="75">
        <v>1.8</v>
      </c>
      <c r="X37" s="75">
        <v>1.8</v>
      </c>
      <c r="Y37" s="75">
        <v>1.8</v>
      </c>
      <c r="Z37" s="75">
        <v>1.8</v>
      </c>
      <c r="AA37" s="13">
        <v>0</v>
      </c>
      <c r="AB37" s="72">
        <v>0</v>
      </c>
      <c r="AC37" s="72">
        <v>0</v>
      </c>
      <c r="AD37" s="72">
        <v>0</v>
      </c>
      <c r="AE37" s="69">
        <v>0</v>
      </c>
      <c r="AF37" s="69">
        <v>0</v>
      </c>
      <c r="AG37" s="69">
        <v>0</v>
      </c>
      <c r="AH37" s="69">
        <v>0</v>
      </c>
      <c r="AI37" s="69">
        <v>0</v>
      </c>
      <c r="AJ37" s="69">
        <v>0</v>
      </c>
      <c r="AK37" s="69">
        <v>0</v>
      </c>
      <c r="AL37" s="69">
        <v>0</v>
      </c>
      <c r="AM37" s="69">
        <v>0</v>
      </c>
      <c r="AN37" s="73">
        <v>0</v>
      </c>
      <c r="AO37" s="95">
        <f t="shared" si="0"/>
        <v>0</v>
      </c>
      <c r="AP37" s="73">
        <v>11520</v>
      </c>
      <c r="AQ37" s="95">
        <f t="shared" si="1"/>
        <v>0</v>
      </c>
      <c r="AR37" s="73">
        <v>2880</v>
      </c>
      <c r="AS37" s="96">
        <f t="shared" si="2"/>
        <v>0</v>
      </c>
      <c r="AT37" s="80">
        <v>5760</v>
      </c>
      <c r="AU37" s="97">
        <f t="shared" si="3"/>
        <v>0</v>
      </c>
      <c r="AV37" s="80">
        <v>11520</v>
      </c>
      <c r="AW37" s="97">
        <f t="shared" si="4"/>
        <v>0</v>
      </c>
      <c r="AX37" s="80">
        <v>0</v>
      </c>
      <c r="AY37" s="97">
        <f t="shared" si="5"/>
        <v>0</v>
      </c>
      <c r="AZ37" s="70">
        <v>5760</v>
      </c>
      <c r="BA37" s="97">
        <f t="shared" si="6"/>
        <v>0</v>
      </c>
      <c r="BB37" s="74">
        <v>17280</v>
      </c>
      <c r="BC37" s="97">
        <f t="shared" si="7"/>
        <v>0</v>
      </c>
      <c r="BD37" s="73">
        <v>17280</v>
      </c>
      <c r="BE37" s="97">
        <f t="shared" si="8"/>
        <v>0</v>
      </c>
      <c r="BF37" s="73">
        <v>20160</v>
      </c>
      <c r="BG37" s="97">
        <f t="shared" si="9"/>
        <v>0</v>
      </c>
      <c r="BH37" s="73">
        <v>2880</v>
      </c>
      <c r="BI37" s="97">
        <f t="shared" si="10"/>
        <v>0</v>
      </c>
      <c r="BJ37" s="70">
        <v>14400</v>
      </c>
      <c r="BK37" s="97">
        <f t="shared" si="11"/>
        <v>0</v>
      </c>
      <c r="BL37" s="128"/>
      <c r="BM37" s="131" t="s">
        <v>257</v>
      </c>
    </row>
    <row r="38" spans="1:66" ht="15.75" customHeight="1" thickBot="1">
      <c r="A38" s="93" t="s">
        <v>123</v>
      </c>
      <c r="B38" s="122" t="s">
        <v>199</v>
      </c>
      <c r="C38" s="299"/>
      <c r="D38" s="295"/>
      <c r="E38" s="295"/>
      <c r="F38" s="297"/>
      <c r="G38" s="78">
        <v>2020</v>
      </c>
      <c r="H38" s="76" t="s">
        <v>258</v>
      </c>
      <c r="I38" s="76" t="s">
        <v>201</v>
      </c>
      <c r="J38" s="77" t="s">
        <v>197</v>
      </c>
      <c r="K38" s="81" t="s">
        <v>221</v>
      </c>
      <c r="L38" s="76" t="s">
        <v>192</v>
      </c>
      <c r="M38" s="13" t="s">
        <v>193</v>
      </c>
      <c r="N38" s="75">
        <v>8.0500000000000007</v>
      </c>
      <c r="O38" s="75">
        <v>8.0500000000000007</v>
      </c>
      <c r="P38" s="75">
        <v>8.0500000000000007</v>
      </c>
      <c r="Q38" s="75">
        <v>8.0500000000000007</v>
      </c>
      <c r="R38" s="75">
        <v>8.0500000000000007</v>
      </c>
      <c r="S38" s="75">
        <v>8.0500000000000007</v>
      </c>
      <c r="T38" s="75">
        <v>8.0500000000000007</v>
      </c>
      <c r="U38" s="75">
        <v>8.0500000000000007</v>
      </c>
      <c r="V38" s="75">
        <v>8.0500000000000007</v>
      </c>
      <c r="W38" s="75">
        <v>8.0500000000000007</v>
      </c>
      <c r="X38" s="75">
        <v>8.0500000000000007</v>
      </c>
      <c r="Y38" s="75">
        <v>8.0500000000000007</v>
      </c>
      <c r="Z38" s="75">
        <v>8.0500000000000007</v>
      </c>
      <c r="AA38" s="13">
        <v>0</v>
      </c>
      <c r="AB38" s="72">
        <v>0</v>
      </c>
      <c r="AC38" s="72">
        <v>0</v>
      </c>
      <c r="AD38" s="72">
        <v>0</v>
      </c>
      <c r="AE38" s="69">
        <v>0</v>
      </c>
      <c r="AF38" s="69">
        <v>0</v>
      </c>
      <c r="AG38" s="69">
        <v>0</v>
      </c>
      <c r="AH38" s="69">
        <v>0</v>
      </c>
      <c r="AI38" s="69">
        <v>0</v>
      </c>
      <c r="AJ38" s="69">
        <v>0</v>
      </c>
      <c r="AK38" s="69">
        <v>0</v>
      </c>
      <c r="AL38" s="69">
        <v>0</v>
      </c>
      <c r="AM38" s="69">
        <v>0</v>
      </c>
      <c r="AN38" s="73">
        <v>0</v>
      </c>
      <c r="AO38" s="95">
        <f t="shared" si="0"/>
        <v>0</v>
      </c>
      <c r="AP38" s="73">
        <v>49280</v>
      </c>
      <c r="AQ38" s="95">
        <f t="shared" si="1"/>
        <v>0</v>
      </c>
      <c r="AR38" s="73">
        <v>7500</v>
      </c>
      <c r="AS38" s="96">
        <f t="shared" si="2"/>
        <v>0</v>
      </c>
      <c r="AT38" s="79">
        <v>0</v>
      </c>
      <c r="AU38" s="97">
        <f t="shared" si="3"/>
        <v>0</v>
      </c>
      <c r="AV38" s="80">
        <v>10000</v>
      </c>
      <c r="AW38" s="97">
        <f t="shared" si="4"/>
        <v>0</v>
      </c>
      <c r="AX38" s="80">
        <v>0</v>
      </c>
      <c r="AY38" s="97">
        <f t="shared" si="5"/>
        <v>0</v>
      </c>
      <c r="AZ38" s="73">
        <v>0</v>
      </c>
      <c r="BA38" s="97">
        <f t="shared" si="6"/>
        <v>0</v>
      </c>
      <c r="BB38" s="74">
        <v>0</v>
      </c>
      <c r="BC38" s="97">
        <f t="shared" si="7"/>
        <v>0</v>
      </c>
      <c r="BD38" s="73">
        <v>2500</v>
      </c>
      <c r="BE38" s="97">
        <f t="shared" si="8"/>
        <v>0</v>
      </c>
      <c r="BF38" s="73">
        <v>0</v>
      </c>
      <c r="BG38" s="97">
        <f t="shared" si="9"/>
        <v>0</v>
      </c>
      <c r="BH38" s="70">
        <v>2500</v>
      </c>
      <c r="BI38" s="97">
        <f t="shared" si="10"/>
        <v>0</v>
      </c>
      <c r="BJ38" s="73">
        <v>5280</v>
      </c>
      <c r="BK38" s="97">
        <f t="shared" si="11"/>
        <v>0</v>
      </c>
      <c r="BL38" s="128"/>
      <c r="BM38" s="131" t="s">
        <v>259</v>
      </c>
    </row>
    <row r="39" spans="1:66" ht="15.75" customHeight="1" thickBot="1">
      <c r="A39" s="93" t="s">
        <v>123</v>
      </c>
      <c r="B39" s="122" t="s">
        <v>199</v>
      </c>
      <c r="C39" s="299"/>
      <c r="D39" s="295"/>
      <c r="E39" s="295"/>
      <c r="F39" s="297"/>
      <c r="G39" s="78">
        <v>2020</v>
      </c>
      <c r="H39" s="76" t="s">
        <v>258</v>
      </c>
      <c r="I39" s="76" t="s">
        <v>201</v>
      </c>
      <c r="J39" s="77" t="s">
        <v>197</v>
      </c>
      <c r="K39" s="81" t="s">
        <v>221</v>
      </c>
      <c r="L39" s="76" t="s">
        <v>192</v>
      </c>
      <c r="M39" s="13" t="s">
        <v>193</v>
      </c>
      <c r="N39" s="75">
        <v>7.8</v>
      </c>
      <c r="O39" s="75">
        <v>7.8</v>
      </c>
      <c r="P39" s="75">
        <v>7.8</v>
      </c>
      <c r="Q39" s="75">
        <v>7.8</v>
      </c>
      <c r="R39" s="75">
        <v>7.8</v>
      </c>
      <c r="S39" s="75">
        <v>7.8</v>
      </c>
      <c r="T39" s="75">
        <v>7.8</v>
      </c>
      <c r="U39" s="75">
        <v>7.8</v>
      </c>
      <c r="V39" s="75">
        <v>7.8</v>
      </c>
      <c r="W39" s="75">
        <v>7.8</v>
      </c>
      <c r="X39" s="75">
        <v>7.8</v>
      </c>
      <c r="Y39" s="75">
        <v>7.8</v>
      </c>
      <c r="Z39" s="75">
        <v>7.8</v>
      </c>
      <c r="AA39" s="13">
        <v>0</v>
      </c>
      <c r="AB39" s="72">
        <v>0</v>
      </c>
      <c r="AC39" s="72">
        <v>0</v>
      </c>
      <c r="AD39" s="72">
        <v>0</v>
      </c>
      <c r="AE39" s="69">
        <v>0</v>
      </c>
      <c r="AF39" s="69">
        <v>0</v>
      </c>
      <c r="AG39" s="69">
        <v>0</v>
      </c>
      <c r="AH39" s="69">
        <v>0</v>
      </c>
      <c r="AI39" s="69">
        <v>0</v>
      </c>
      <c r="AJ39" s="69">
        <v>0</v>
      </c>
      <c r="AK39" s="69">
        <v>0</v>
      </c>
      <c r="AL39" s="69">
        <v>0</v>
      </c>
      <c r="AM39" s="69">
        <v>0</v>
      </c>
      <c r="AN39" s="73">
        <v>10000</v>
      </c>
      <c r="AO39" s="95">
        <f t="shared" si="0"/>
        <v>0</v>
      </c>
      <c r="AP39" s="73">
        <v>10000</v>
      </c>
      <c r="AQ39" s="95">
        <f t="shared" si="1"/>
        <v>0</v>
      </c>
      <c r="AR39" s="73">
        <v>0</v>
      </c>
      <c r="AS39" s="96">
        <f t="shared" si="2"/>
        <v>0</v>
      </c>
      <c r="AT39" s="79">
        <v>0</v>
      </c>
      <c r="AU39" s="97">
        <f t="shared" si="3"/>
        <v>0</v>
      </c>
      <c r="AV39" s="80">
        <v>10000</v>
      </c>
      <c r="AW39" s="97">
        <f t="shared" si="4"/>
        <v>0</v>
      </c>
      <c r="AX39" s="80">
        <v>0</v>
      </c>
      <c r="AY39" s="97">
        <f t="shared" si="5"/>
        <v>0</v>
      </c>
      <c r="AZ39" s="73">
        <v>10000</v>
      </c>
      <c r="BA39" s="97">
        <f t="shared" si="6"/>
        <v>0</v>
      </c>
      <c r="BB39" s="70">
        <v>10000</v>
      </c>
      <c r="BC39" s="97">
        <f t="shared" si="7"/>
        <v>0</v>
      </c>
      <c r="BD39" s="70">
        <v>0</v>
      </c>
      <c r="BE39" s="97">
        <f t="shared" si="8"/>
        <v>0</v>
      </c>
      <c r="BF39" s="73">
        <v>10560</v>
      </c>
      <c r="BG39" s="97">
        <f t="shared" si="9"/>
        <v>0</v>
      </c>
      <c r="BH39" s="73">
        <v>0</v>
      </c>
      <c r="BI39" s="97">
        <f t="shared" si="10"/>
        <v>0</v>
      </c>
      <c r="BJ39" s="73">
        <v>5280</v>
      </c>
      <c r="BK39" s="97">
        <f t="shared" si="11"/>
        <v>0</v>
      </c>
      <c r="BL39" s="128"/>
      <c r="BM39" s="131" t="s">
        <v>260</v>
      </c>
    </row>
    <row r="40" spans="1:66" ht="15.75" customHeight="1" thickBot="1">
      <c r="A40" s="93" t="s">
        <v>123</v>
      </c>
      <c r="B40" s="122"/>
      <c r="C40" s="299"/>
      <c r="D40" s="295"/>
      <c r="E40" s="295"/>
      <c r="F40" s="297"/>
      <c r="G40" s="78">
        <v>2021</v>
      </c>
      <c r="H40" s="76" t="s">
        <v>261</v>
      </c>
      <c r="I40" s="76" t="s">
        <v>262</v>
      </c>
      <c r="J40" s="77" t="s">
        <v>197</v>
      </c>
      <c r="K40" s="81" t="s">
        <v>191</v>
      </c>
      <c r="L40" s="76" t="s">
        <v>192</v>
      </c>
      <c r="M40" s="13" t="s">
        <v>193</v>
      </c>
      <c r="N40" s="75">
        <v>3.26</v>
      </c>
      <c r="O40" s="75">
        <v>3.26</v>
      </c>
      <c r="P40" s="75">
        <v>3.26</v>
      </c>
      <c r="Q40" s="75">
        <v>3.26</v>
      </c>
      <c r="R40" s="75">
        <v>3.26</v>
      </c>
      <c r="S40" s="75">
        <v>3.26</v>
      </c>
      <c r="T40" s="75">
        <v>3.26</v>
      </c>
      <c r="U40" s="75">
        <v>3.26</v>
      </c>
      <c r="V40" s="75">
        <v>3.26</v>
      </c>
      <c r="W40" s="75">
        <v>3.26</v>
      </c>
      <c r="X40" s="75">
        <v>3.26</v>
      </c>
      <c r="Y40" s="75">
        <v>3.26</v>
      </c>
      <c r="Z40" s="75">
        <v>3.26</v>
      </c>
      <c r="AA40" s="13">
        <v>0</v>
      </c>
      <c r="AB40" s="72">
        <v>0</v>
      </c>
      <c r="AC40" s="72">
        <v>0</v>
      </c>
      <c r="AD40" s="72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73">
        <v>5000</v>
      </c>
      <c r="AO40" s="95">
        <f t="shared" si="0"/>
        <v>0</v>
      </c>
      <c r="AP40" s="73">
        <v>0</v>
      </c>
      <c r="AQ40" s="95">
        <f t="shared" si="1"/>
        <v>0</v>
      </c>
      <c r="AR40" s="73">
        <v>0</v>
      </c>
      <c r="AS40" s="96">
        <f t="shared" si="2"/>
        <v>0</v>
      </c>
      <c r="AT40" s="80">
        <v>1000</v>
      </c>
      <c r="AU40" s="97">
        <f t="shared" si="3"/>
        <v>0</v>
      </c>
      <c r="AV40" s="80">
        <v>2000</v>
      </c>
      <c r="AW40" s="97">
        <f t="shared" si="4"/>
        <v>0</v>
      </c>
      <c r="AX40" s="79">
        <v>0</v>
      </c>
      <c r="AY40" s="97">
        <f t="shared" si="5"/>
        <v>0</v>
      </c>
      <c r="AZ40" s="71">
        <v>1000</v>
      </c>
      <c r="BA40" s="97">
        <f t="shared" si="6"/>
        <v>0</v>
      </c>
      <c r="BB40" s="70">
        <v>0</v>
      </c>
      <c r="BC40" s="97">
        <f t="shared" si="7"/>
        <v>0</v>
      </c>
      <c r="BD40" s="73">
        <v>3000</v>
      </c>
      <c r="BE40" s="97">
        <f t="shared" si="8"/>
        <v>0</v>
      </c>
      <c r="BF40" s="70">
        <v>1000</v>
      </c>
      <c r="BG40" s="97">
        <f t="shared" si="9"/>
        <v>0</v>
      </c>
      <c r="BH40" s="70">
        <v>0</v>
      </c>
      <c r="BI40" s="97">
        <f t="shared" si="10"/>
        <v>0</v>
      </c>
      <c r="BJ40" s="70">
        <v>0</v>
      </c>
      <c r="BK40" s="97">
        <f t="shared" si="11"/>
        <v>0</v>
      </c>
      <c r="BL40" s="128"/>
      <c r="BM40" s="131" t="s">
        <v>263</v>
      </c>
    </row>
    <row r="41" spans="1:66" ht="15.75" customHeight="1" thickBot="1">
      <c r="A41" s="93" t="s">
        <v>123</v>
      </c>
      <c r="B41" s="122" t="s">
        <v>184</v>
      </c>
      <c r="C41" s="299"/>
      <c r="D41" s="295"/>
      <c r="E41" s="295"/>
      <c r="F41" s="297"/>
      <c r="G41" s="78">
        <v>2020</v>
      </c>
      <c r="H41" s="76" t="s">
        <v>264</v>
      </c>
      <c r="I41" s="76" t="s">
        <v>196</v>
      </c>
      <c r="J41" s="77" t="s">
        <v>197</v>
      </c>
      <c r="K41" s="81" t="s">
        <v>216</v>
      </c>
      <c r="L41" s="76" t="s">
        <v>192</v>
      </c>
      <c r="M41" s="13" t="s">
        <v>193</v>
      </c>
      <c r="N41" s="75">
        <v>22.78</v>
      </c>
      <c r="O41" s="75">
        <v>22.78</v>
      </c>
      <c r="P41" s="75">
        <v>22.78</v>
      </c>
      <c r="Q41" s="75">
        <v>22.78</v>
      </c>
      <c r="R41" s="75">
        <v>22.78</v>
      </c>
      <c r="S41" s="75">
        <v>22.78</v>
      </c>
      <c r="T41" s="75">
        <v>22.78</v>
      </c>
      <c r="U41" s="75">
        <v>22.78</v>
      </c>
      <c r="V41" s="75">
        <v>22.78</v>
      </c>
      <c r="W41" s="75">
        <v>22.78</v>
      </c>
      <c r="X41" s="75">
        <v>22.78</v>
      </c>
      <c r="Y41" s="75">
        <v>22.78</v>
      </c>
      <c r="Z41" s="75">
        <v>22.78</v>
      </c>
      <c r="AA41" s="13">
        <v>0</v>
      </c>
      <c r="AB41" s="72">
        <v>0</v>
      </c>
      <c r="AC41" s="72">
        <v>0</v>
      </c>
      <c r="AD41" s="72">
        <v>0</v>
      </c>
      <c r="AE41" s="69">
        <v>0</v>
      </c>
      <c r="AF41" s="69">
        <v>0</v>
      </c>
      <c r="AG41" s="69">
        <v>0</v>
      </c>
      <c r="AH41" s="69">
        <v>0</v>
      </c>
      <c r="AI41" s="69">
        <v>0</v>
      </c>
      <c r="AJ41" s="69">
        <v>0</v>
      </c>
      <c r="AK41" s="69">
        <v>0</v>
      </c>
      <c r="AL41" s="69">
        <v>0</v>
      </c>
      <c r="AM41" s="69">
        <v>0</v>
      </c>
      <c r="AN41" s="73">
        <v>0</v>
      </c>
      <c r="AO41" s="95">
        <f t="shared" si="0"/>
        <v>0</v>
      </c>
      <c r="AP41" s="73">
        <v>1008</v>
      </c>
      <c r="AQ41" s="95">
        <f t="shared" si="1"/>
        <v>0</v>
      </c>
      <c r="AR41" s="73">
        <v>0</v>
      </c>
      <c r="AS41" s="96">
        <f t="shared" si="2"/>
        <v>0</v>
      </c>
      <c r="AT41" s="79">
        <v>0</v>
      </c>
      <c r="AU41" s="97">
        <f t="shared" si="3"/>
        <v>0</v>
      </c>
      <c r="AV41" s="79">
        <v>0</v>
      </c>
      <c r="AW41" s="97">
        <f t="shared" si="4"/>
        <v>0</v>
      </c>
      <c r="AX41" s="80">
        <v>1008</v>
      </c>
      <c r="AY41" s="97">
        <f t="shared" si="5"/>
        <v>0</v>
      </c>
      <c r="AZ41" s="70">
        <v>0</v>
      </c>
      <c r="BA41" s="97">
        <f t="shared" si="6"/>
        <v>0</v>
      </c>
      <c r="BB41" s="74">
        <v>1008</v>
      </c>
      <c r="BC41" s="97">
        <f t="shared" si="7"/>
        <v>0</v>
      </c>
      <c r="BD41" s="73">
        <v>0</v>
      </c>
      <c r="BE41" s="97">
        <f t="shared" si="8"/>
        <v>0</v>
      </c>
      <c r="BF41" s="73">
        <v>1008</v>
      </c>
      <c r="BG41" s="97">
        <f t="shared" si="9"/>
        <v>0</v>
      </c>
      <c r="BH41" s="73">
        <v>0</v>
      </c>
      <c r="BI41" s="97">
        <f t="shared" si="10"/>
        <v>0</v>
      </c>
      <c r="BJ41" s="73">
        <v>0</v>
      </c>
      <c r="BK41" s="97">
        <f t="shared" si="11"/>
        <v>0</v>
      </c>
      <c r="BL41" s="128"/>
      <c r="BM41" s="131" t="s">
        <v>265</v>
      </c>
    </row>
    <row r="42" spans="1:66" ht="15.75" customHeight="1" thickBot="1">
      <c r="A42" s="93" t="s">
        <v>123</v>
      </c>
      <c r="B42" s="122" t="s">
        <v>184</v>
      </c>
      <c r="C42" s="299"/>
      <c r="D42" s="295"/>
      <c r="E42" s="295"/>
      <c r="F42" s="297"/>
      <c r="G42" s="78">
        <v>2021</v>
      </c>
      <c r="H42" s="76" t="s">
        <v>266</v>
      </c>
      <c r="I42" s="76" t="s">
        <v>196</v>
      </c>
      <c r="J42" s="77" t="s">
        <v>197</v>
      </c>
      <c r="K42" s="81" t="s">
        <v>221</v>
      </c>
      <c r="L42" s="76" t="s">
        <v>192</v>
      </c>
      <c r="M42" s="13" t="s">
        <v>193</v>
      </c>
      <c r="N42" s="75">
        <v>5.1100000000000003</v>
      </c>
      <c r="O42" s="75">
        <v>5.1100000000000003</v>
      </c>
      <c r="P42" s="75">
        <v>5.1100000000000003</v>
      </c>
      <c r="Q42" s="75">
        <v>5.1100000000000003</v>
      </c>
      <c r="R42" s="75">
        <v>5.1100000000000003</v>
      </c>
      <c r="S42" s="75">
        <v>5.1100000000000003</v>
      </c>
      <c r="T42" s="75">
        <v>5.1100000000000003</v>
      </c>
      <c r="U42" s="75">
        <v>5.1100000000000003</v>
      </c>
      <c r="V42" s="75">
        <v>5.1100000000000003</v>
      </c>
      <c r="W42" s="75">
        <v>5.1100000000000003</v>
      </c>
      <c r="X42" s="75">
        <v>5.1100000000000003</v>
      </c>
      <c r="Y42" s="75">
        <v>5.1100000000000003</v>
      </c>
      <c r="Z42" s="75">
        <v>5.1100000000000003</v>
      </c>
      <c r="AA42" s="13">
        <v>0</v>
      </c>
      <c r="AB42" s="72">
        <v>0</v>
      </c>
      <c r="AC42" s="72">
        <v>0</v>
      </c>
      <c r="AD42" s="72">
        <v>0</v>
      </c>
      <c r="AE42" s="69">
        <v>0</v>
      </c>
      <c r="AF42" s="69">
        <v>0</v>
      </c>
      <c r="AG42" s="69">
        <v>0</v>
      </c>
      <c r="AH42" s="69">
        <v>0</v>
      </c>
      <c r="AI42" s="69">
        <v>0</v>
      </c>
      <c r="AJ42" s="69">
        <v>0</v>
      </c>
      <c r="AK42" s="69">
        <v>0</v>
      </c>
      <c r="AL42" s="69">
        <v>0</v>
      </c>
      <c r="AM42" s="69">
        <v>0</v>
      </c>
      <c r="AN42" s="73">
        <v>2880</v>
      </c>
      <c r="AO42" s="95">
        <f t="shared" si="0"/>
        <v>0</v>
      </c>
      <c r="AP42" s="73">
        <v>2880</v>
      </c>
      <c r="AQ42" s="95">
        <f t="shared" si="1"/>
        <v>0</v>
      </c>
      <c r="AR42" s="73">
        <v>0</v>
      </c>
      <c r="AS42" s="96">
        <f t="shared" si="2"/>
        <v>0</v>
      </c>
      <c r="AT42" s="79">
        <v>0</v>
      </c>
      <c r="AU42" s="97">
        <f t="shared" si="3"/>
        <v>0</v>
      </c>
      <c r="AV42" s="79">
        <v>0</v>
      </c>
      <c r="AW42" s="97">
        <f t="shared" si="4"/>
        <v>0</v>
      </c>
      <c r="AX42" s="79">
        <v>0</v>
      </c>
      <c r="AY42" s="97">
        <f t="shared" si="5"/>
        <v>0</v>
      </c>
      <c r="AZ42" s="74">
        <v>0</v>
      </c>
      <c r="BA42" s="97">
        <f t="shared" si="6"/>
        <v>0</v>
      </c>
      <c r="BB42" s="74">
        <v>0</v>
      </c>
      <c r="BC42" s="97">
        <f t="shared" si="7"/>
        <v>0</v>
      </c>
      <c r="BD42" s="71">
        <v>0</v>
      </c>
      <c r="BE42" s="97">
        <f t="shared" si="8"/>
        <v>0</v>
      </c>
      <c r="BF42" s="73">
        <v>0</v>
      </c>
      <c r="BG42" s="97">
        <f t="shared" si="9"/>
        <v>0</v>
      </c>
      <c r="BH42" s="73">
        <v>0</v>
      </c>
      <c r="BI42" s="97">
        <f t="shared" si="10"/>
        <v>0</v>
      </c>
      <c r="BJ42" s="73">
        <v>0</v>
      </c>
      <c r="BK42" s="97">
        <f t="shared" si="11"/>
        <v>0</v>
      </c>
      <c r="BL42" s="128"/>
      <c r="BM42" s="131" t="s">
        <v>267</v>
      </c>
      <c r="BN42" s="1" t="s">
        <v>234</v>
      </c>
    </row>
    <row r="43" spans="1:66" ht="15.75" customHeight="1" thickBot="1">
      <c r="A43" s="93" t="s">
        <v>123</v>
      </c>
      <c r="B43" s="122" t="s">
        <v>184</v>
      </c>
      <c r="C43" s="299"/>
      <c r="D43" s="295"/>
      <c r="E43" s="295"/>
      <c r="F43" s="297"/>
      <c r="G43" s="78">
        <v>2021</v>
      </c>
      <c r="H43" s="76" t="s">
        <v>266</v>
      </c>
      <c r="I43" s="76" t="s">
        <v>196</v>
      </c>
      <c r="J43" s="77" t="s">
        <v>197</v>
      </c>
      <c r="K43" s="81" t="s">
        <v>221</v>
      </c>
      <c r="L43" s="76" t="s">
        <v>192</v>
      </c>
      <c r="M43" s="13" t="s">
        <v>193</v>
      </c>
      <c r="N43" s="75">
        <v>4.43</v>
      </c>
      <c r="O43" s="75">
        <v>4.43</v>
      </c>
      <c r="P43" s="75">
        <v>4.43</v>
      </c>
      <c r="Q43" s="75">
        <v>4.43</v>
      </c>
      <c r="R43" s="75">
        <v>4.43</v>
      </c>
      <c r="S43" s="75">
        <v>4.43</v>
      </c>
      <c r="T43" s="75">
        <v>4.43</v>
      </c>
      <c r="U43" s="75">
        <v>4.43</v>
      </c>
      <c r="V43" s="75">
        <v>4.43</v>
      </c>
      <c r="W43" s="75">
        <v>4.43</v>
      </c>
      <c r="X43" s="75">
        <v>4.43</v>
      </c>
      <c r="Y43" s="75">
        <v>4.43</v>
      </c>
      <c r="Z43" s="75">
        <v>4.43</v>
      </c>
      <c r="AA43" s="13">
        <v>0</v>
      </c>
      <c r="AB43" s="72">
        <v>0</v>
      </c>
      <c r="AC43" s="72">
        <v>0</v>
      </c>
      <c r="AD43" s="72">
        <v>0</v>
      </c>
      <c r="AE43" s="69">
        <v>0</v>
      </c>
      <c r="AF43" s="69">
        <v>0</v>
      </c>
      <c r="AG43" s="69">
        <v>0</v>
      </c>
      <c r="AH43" s="69">
        <v>0</v>
      </c>
      <c r="AI43" s="69">
        <v>0</v>
      </c>
      <c r="AJ43" s="69">
        <v>0</v>
      </c>
      <c r="AK43" s="69">
        <v>0</v>
      </c>
      <c r="AL43" s="69">
        <v>0</v>
      </c>
      <c r="AM43" s="69">
        <v>0</v>
      </c>
      <c r="AN43" s="73">
        <v>2880</v>
      </c>
      <c r="AO43" s="95">
        <f t="shared" si="0"/>
        <v>0</v>
      </c>
      <c r="AP43" s="73">
        <v>0</v>
      </c>
      <c r="AQ43" s="95">
        <f t="shared" si="1"/>
        <v>0</v>
      </c>
      <c r="AR43" s="73">
        <v>2880</v>
      </c>
      <c r="AS43" s="96">
        <f t="shared" si="2"/>
        <v>0</v>
      </c>
      <c r="AT43" s="79">
        <v>0</v>
      </c>
      <c r="AU43" s="97">
        <f t="shared" si="3"/>
        <v>0</v>
      </c>
      <c r="AV43" s="79">
        <v>0</v>
      </c>
      <c r="AW43" s="97">
        <f t="shared" si="4"/>
        <v>0</v>
      </c>
      <c r="AX43" s="79">
        <v>0</v>
      </c>
      <c r="AY43" s="97">
        <f t="shared" si="5"/>
        <v>0</v>
      </c>
      <c r="AZ43" s="74">
        <v>0</v>
      </c>
      <c r="BA43" s="97">
        <f t="shared" si="6"/>
        <v>0</v>
      </c>
      <c r="BB43" s="70">
        <v>0</v>
      </c>
      <c r="BC43" s="97">
        <f t="shared" si="7"/>
        <v>0</v>
      </c>
      <c r="BD43" s="70">
        <v>0</v>
      </c>
      <c r="BE43" s="97">
        <f t="shared" si="8"/>
        <v>0</v>
      </c>
      <c r="BF43" s="73">
        <v>2880</v>
      </c>
      <c r="BG43" s="97">
        <f t="shared" si="9"/>
        <v>0</v>
      </c>
      <c r="BH43" s="70">
        <v>0</v>
      </c>
      <c r="BI43" s="97">
        <f t="shared" si="10"/>
        <v>0</v>
      </c>
      <c r="BJ43" s="70">
        <v>0</v>
      </c>
      <c r="BK43" s="97">
        <f t="shared" si="11"/>
        <v>0</v>
      </c>
      <c r="BL43" s="128"/>
      <c r="BM43" s="131" t="s">
        <v>268</v>
      </c>
    </row>
    <row r="44" spans="1:66" ht="15.75" customHeight="1" thickBot="1">
      <c r="A44" s="93" t="s">
        <v>123</v>
      </c>
      <c r="B44" s="122" t="s">
        <v>184</v>
      </c>
      <c r="C44" s="299"/>
      <c r="D44" s="295"/>
      <c r="E44" s="295"/>
      <c r="F44" s="297"/>
      <c r="G44" s="78">
        <v>2021</v>
      </c>
      <c r="H44" s="76" t="s">
        <v>266</v>
      </c>
      <c r="I44" s="76" t="s">
        <v>196</v>
      </c>
      <c r="J44" s="77" t="s">
        <v>197</v>
      </c>
      <c r="K44" s="81" t="s">
        <v>221</v>
      </c>
      <c r="L44" s="76" t="s">
        <v>192</v>
      </c>
      <c r="M44" s="13" t="s">
        <v>193</v>
      </c>
      <c r="N44" s="75">
        <v>4.3899999999999997</v>
      </c>
      <c r="O44" s="75">
        <v>4.3899999999999997</v>
      </c>
      <c r="P44" s="75">
        <v>4.3899999999999997</v>
      </c>
      <c r="Q44" s="75">
        <v>4.3899999999999997</v>
      </c>
      <c r="R44" s="75">
        <v>4.3899999999999997</v>
      </c>
      <c r="S44" s="75">
        <v>4.3899999999999997</v>
      </c>
      <c r="T44" s="75">
        <v>4.3899999999999997</v>
      </c>
      <c r="U44" s="75">
        <v>4.3899999999999997</v>
      </c>
      <c r="V44" s="75">
        <v>4.3899999999999997</v>
      </c>
      <c r="W44" s="75">
        <v>4.3899999999999997</v>
      </c>
      <c r="X44" s="75">
        <v>4.3899999999999997</v>
      </c>
      <c r="Y44" s="75">
        <v>4.3899999999999997</v>
      </c>
      <c r="Z44" s="75">
        <v>4.3899999999999997</v>
      </c>
      <c r="AA44" s="13">
        <v>0</v>
      </c>
      <c r="AB44" s="72">
        <v>0</v>
      </c>
      <c r="AC44" s="72">
        <v>0</v>
      </c>
      <c r="AD44" s="72">
        <v>0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  <c r="AJ44" s="69">
        <v>0</v>
      </c>
      <c r="AK44" s="69">
        <v>0</v>
      </c>
      <c r="AL44" s="69">
        <v>0</v>
      </c>
      <c r="AM44" s="69">
        <v>0</v>
      </c>
      <c r="AN44" s="73">
        <v>2880</v>
      </c>
      <c r="AO44" s="95">
        <f t="shared" si="0"/>
        <v>0</v>
      </c>
      <c r="AP44" s="73">
        <v>0</v>
      </c>
      <c r="AQ44" s="95">
        <f t="shared" si="1"/>
        <v>0</v>
      </c>
      <c r="AR44" s="73">
        <v>0</v>
      </c>
      <c r="AS44" s="96">
        <f t="shared" si="2"/>
        <v>0</v>
      </c>
      <c r="AT44" s="79">
        <v>0</v>
      </c>
      <c r="AU44" s="97">
        <f t="shared" si="3"/>
        <v>0</v>
      </c>
      <c r="AV44" s="79">
        <v>0</v>
      </c>
      <c r="AW44" s="97">
        <f t="shared" si="4"/>
        <v>0</v>
      </c>
      <c r="AX44" s="79">
        <v>0</v>
      </c>
      <c r="AY44" s="97">
        <f t="shared" si="5"/>
        <v>0</v>
      </c>
      <c r="AZ44" s="70">
        <v>0</v>
      </c>
      <c r="BA44" s="97">
        <f t="shared" si="6"/>
        <v>0</v>
      </c>
      <c r="BB44" s="70">
        <v>0</v>
      </c>
      <c r="BC44" s="97">
        <f t="shared" si="7"/>
        <v>0</v>
      </c>
      <c r="BD44" s="74">
        <v>0</v>
      </c>
      <c r="BE44" s="97">
        <f t="shared" si="8"/>
        <v>0</v>
      </c>
      <c r="BF44" s="70">
        <v>0</v>
      </c>
      <c r="BG44" s="97">
        <f t="shared" si="9"/>
        <v>0</v>
      </c>
      <c r="BH44" s="73">
        <v>0</v>
      </c>
      <c r="BI44" s="97">
        <f t="shared" si="10"/>
        <v>0</v>
      </c>
      <c r="BJ44" s="73">
        <v>0</v>
      </c>
      <c r="BK44" s="97">
        <f t="shared" si="11"/>
        <v>0</v>
      </c>
      <c r="BL44" s="128"/>
      <c r="BM44" s="131" t="s">
        <v>269</v>
      </c>
    </row>
    <row r="45" spans="1:66" ht="15.75" customHeight="1" thickBot="1">
      <c r="A45" s="93" t="s">
        <v>123</v>
      </c>
      <c r="B45" s="122" t="s">
        <v>199</v>
      </c>
      <c r="C45" s="299"/>
      <c r="D45" s="295"/>
      <c r="E45" s="295"/>
      <c r="F45" s="297"/>
      <c r="G45" s="78">
        <v>2019</v>
      </c>
      <c r="H45" s="76" t="s">
        <v>270</v>
      </c>
      <c r="I45" s="76" t="s">
        <v>201</v>
      </c>
      <c r="J45" s="77" t="s">
        <v>197</v>
      </c>
      <c r="K45" s="81" t="s">
        <v>191</v>
      </c>
      <c r="L45" s="76" t="s">
        <v>192</v>
      </c>
      <c r="M45" s="13" t="s">
        <v>193</v>
      </c>
      <c r="N45" s="75">
        <v>10.23</v>
      </c>
      <c r="O45" s="75">
        <v>10.23</v>
      </c>
      <c r="P45" s="75">
        <v>10.23</v>
      </c>
      <c r="Q45" s="75">
        <v>10.23</v>
      </c>
      <c r="R45" s="75">
        <v>10.23</v>
      </c>
      <c r="S45" s="75">
        <v>10.23</v>
      </c>
      <c r="T45" s="75">
        <v>10.23</v>
      </c>
      <c r="U45" s="75">
        <v>10.23</v>
      </c>
      <c r="V45" s="75">
        <v>10.23</v>
      </c>
      <c r="W45" s="75">
        <v>10.23</v>
      </c>
      <c r="X45" s="75">
        <v>10.23</v>
      </c>
      <c r="Y45" s="75">
        <v>10.23</v>
      </c>
      <c r="Z45" s="75">
        <v>10.23</v>
      </c>
      <c r="AA45" s="13">
        <v>0</v>
      </c>
      <c r="AB45" s="72">
        <v>0</v>
      </c>
      <c r="AC45" s="72">
        <v>0</v>
      </c>
      <c r="AD45" s="72">
        <v>0</v>
      </c>
      <c r="AE45" s="69">
        <v>0</v>
      </c>
      <c r="AF45" s="69">
        <v>0</v>
      </c>
      <c r="AG45" s="69">
        <v>0</v>
      </c>
      <c r="AH45" s="69">
        <v>0</v>
      </c>
      <c r="AI45" s="69">
        <v>0</v>
      </c>
      <c r="AJ45" s="69">
        <v>0</v>
      </c>
      <c r="AK45" s="69">
        <v>0</v>
      </c>
      <c r="AL45" s="69">
        <v>0</v>
      </c>
      <c r="AM45" s="69">
        <v>0</v>
      </c>
      <c r="AN45" s="73">
        <v>0</v>
      </c>
      <c r="AO45" s="95">
        <f t="shared" si="0"/>
        <v>0</v>
      </c>
      <c r="AP45" s="73">
        <v>5120</v>
      </c>
      <c r="AQ45" s="95">
        <f t="shared" si="1"/>
        <v>0</v>
      </c>
      <c r="AR45" s="73">
        <v>0</v>
      </c>
      <c r="AS45" s="96">
        <f t="shared" si="2"/>
        <v>0</v>
      </c>
      <c r="AT45" s="79">
        <v>0</v>
      </c>
      <c r="AU45" s="97">
        <f t="shared" si="3"/>
        <v>0</v>
      </c>
      <c r="AV45" s="79">
        <v>0</v>
      </c>
      <c r="AW45" s="97">
        <f t="shared" si="4"/>
        <v>0</v>
      </c>
      <c r="AX45" s="80">
        <v>5120</v>
      </c>
      <c r="AY45" s="97">
        <f t="shared" si="5"/>
        <v>0</v>
      </c>
      <c r="AZ45" s="73">
        <v>7680</v>
      </c>
      <c r="BA45" s="97">
        <f t="shared" si="6"/>
        <v>0</v>
      </c>
      <c r="BB45" s="74">
        <v>0</v>
      </c>
      <c r="BC45" s="97">
        <f t="shared" si="7"/>
        <v>0</v>
      </c>
      <c r="BD45" s="74">
        <v>14080</v>
      </c>
      <c r="BE45" s="97">
        <f t="shared" si="8"/>
        <v>0</v>
      </c>
      <c r="BF45" s="73">
        <v>16640</v>
      </c>
      <c r="BG45" s="97">
        <f t="shared" si="9"/>
        <v>0</v>
      </c>
      <c r="BH45" s="73">
        <v>0</v>
      </c>
      <c r="BI45" s="97">
        <f t="shared" si="10"/>
        <v>0</v>
      </c>
      <c r="BJ45" s="73">
        <v>0</v>
      </c>
      <c r="BK45" s="97">
        <f t="shared" si="11"/>
        <v>0</v>
      </c>
      <c r="BL45" s="128"/>
      <c r="BM45" s="131" t="s">
        <v>271</v>
      </c>
    </row>
    <row r="46" spans="1:66" ht="15.75" customHeight="1" thickBot="1">
      <c r="A46" s="93" t="s">
        <v>123</v>
      </c>
      <c r="B46" s="122" t="s">
        <v>184</v>
      </c>
      <c r="C46" s="299"/>
      <c r="D46" s="295"/>
      <c r="E46" s="295"/>
      <c r="F46" s="297"/>
      <c r="G46" s="78">
        <v>2020</v>
      </c>
      <c r="H46" s="76" t="s">
        <v>272</v>
      </c>
      <c r="I46" s="76" t="s">
        <v>196</v>
      </c>
      <c r="J46" s="77" t="s">
        <v>197</v>
      </c>
      <c r="K46" s="81" t="s">
        <v>221</v>
      </c>
      <c r="L46" s="76" t="s">
        <v>192</v>
      </c>
      <c r="M46" s="13" t="s">
        <v>193</v>
      </c>
      <c r="N46" s="75">
        <v>3.33</v>
      </c>
      <c r="O46" s="75">
        <v>3.33</v>
      </c>
      <c r="P46" s="75">
        <v>3.33</v>
      </c>
      <c r="Q46" s="75">
        <v>3.33</v>
      </c>
      <c r="R46" s="75">
        <v>3.33</v>
      </c>
      <c r="S46" s="75">
        <v>3.33</v>
      </c>
      <c r="T46" s="75">
        <v>3.33</v>
      </c>
      <c r="U46" s="75">
        <v>3.33</v>
      </c>
      <c r="V46" s="75">
        <v>3.33</v>
      </c>
      <c r="W46" s="75">
        <v>3.33</v>
      </c>
      <c r="X46" s="75">
        <v>3.33</v>
      </c>
      <c r="Y46" s="75">
        <v>3.33</v>
      </c>
      <c r="Z46" s="75">
        <v>3.33</v>
      </c>
      <c r="AA46" s="13">
        <v>0</v>
      </c>
      <c r="AB46" s="72">
        <v>0</v>
      </c>
      <c r="AC46" s="72">
        <v>0</v>
      </c>
      <c r="AD46" s="72">
        <v>0</v>
      </c>
      <c r="AE46" s="69">
        <v>0</v>
      </c>
      <c r="AF46" s="69">
        <v>0</v>
      </c>
      <c r="AG46" s="69">
        <v>0</v>
      </c>
      <c r="AH46" s="69">
        <v>0</v>
      </c>
      <c r="AI46" s="69">
        <v>0</v>
      </c>
      <c r="AJ46" s="69">
        <v>0</v>
      </c>
      <c r="AK46" s="69">
        <v>0</v>
      </c>
      <c r="AL46" s="69">
        <v>0</v>
      </c>
      <c r="AM46" s="69">
        <v>0</v>
      </c>
      <c r="AN46" s="73">
        <v>10000</v>
      </c>
      <c r="AO46" s="95">
        <f t="shared" si="0"/>
        <v>0</v>
      </c>
      <c r="AP46" s="73">
        <v>10000</v>
      </c>
      <c r="AQ46" s="95">
        <f t="shared" si="1"/>
        <v>0</v>
      </c>
      <c r="AR46" s="73">
        <v>0</v>
      </c>
      <c r="AS46" s="96">
        <f t="shared" si="2"/>
        <v>0</v>
      </c>
      <c r="AT46" s="79">
        <v>0</v>
      </c>
      <c r="AU46" s="97">
        <f t="shared" si="3"/>
        <v>0</v>
      </c>
      <c r="AV46" s="80">
        <v>10000</v>
      </c>
      <c r="AW46" s="97">
        <f t="shared" si="4"/>
        <v>0</v>
      </c>
      <c r="AX46" s="80">
        <v>0</v>
      </c>
      <c r="AY46" s="97">
        <f t="shared" si="5"/>
        <v>0</v>
      </c>
      <c r="AZ46" s="73">
        <v>20000</v>
      </c>
      <c r="BA46" s="97">
        <f t="shared" si="6"/>
        <v>0</v>
      </c>
      <c r="BB46" s="74">
        <v>10000</v>
      </c>
      <c r="BC46" s="97">
        <f t="shared" si="7"/>
        <v>0</v>
      </c>
      <c r="BD46" s="70">
        <v>0</v>
      </c>
      <c r="BE46" s="97">
        <f t="shared" si="8"/>
        <v>0</v>
      </c>
      <c r="BF46" s="73">
        <v>16720</v>
      </c>
      <c r="BG46" s="97">
        <f t="shared" si="9"/>
        <v>0</v>
      </c>
      <c r="BH46" s="70">
        <v>0</v>
      </c>
      <c r="BI46" s="97">
        <f t="shared" si="10"/>
        <v>0</v>
      </c>
      <c r="BJ46" s="70">
        <v>6720</v>
      </c>
      <c r="BK46" s="97">
        <f t="shared" si="11"/>
        <v>0</v>
      </c>
      <c r="BL46" s="128"/>
      <c r="BM46" s="131" t="s">
        <v>273</v>
      </c>
    </row>
    <row r="47" spans="1:66" ht="15.75" customHeight="1" thickBot="1">
      <c r="A47" s="93" t="s">
        <v>123</v>
      </c>
      <c r="B47" s="122" t="s">
        <v>184</v>
      </c>
      <c r="C47" s="299"/>
      <c r="D47" s="295"/>
      <c r="E47" s="295"/>
      <c r="F47" s="297"/>
      <c r="G47" s="78">
        <v>2020</v>
      </c>
      <c r="H47" s="76" t="s">
        <v>272</v>
      </c>
      <c r="I47" s="76" t="s">
        <v>196</v>
      </c>
      <c r="J47" s="77" t="s">
        <v>197</v>
      </c>
      <c r="K47" s="81" t="s">
        <v>221</v>
      </c>
      <c r="L47" s="76" t="s">
        <v>192</v>
      </c>
      <c r="M47" s="13" t="s">
        <v>193</v>
      </c>
      <c r="N47" s="75">
        <v>3.28</v>
      </c>
      <c r="O47" s="75">
        <v>3.28</v>
      </c>
      <c r="P47" s="75">
        <v>3.28</v>
      </c>
      <c r="Q47" s="75">
        <v>3.28</v>
      </c>
      <c r="R47" s="75">
        <v>3.28</v>
      </c>
      <c r="S47" s="75">
        <v>3.28</v>
      </c>
      <c r="T47" s="75">
        <v>3.28</v>
      </c>
      <c r="U47" s="75">
        <v>3.28</v>
      </c>
      <c r="V47" s="75">
        <v>3.28</v>
      </c>
      <c r="W47" s="75">
        <v>3.28</v>
      </c>
      <c r="X47" s="75">
        <v>3.28</v>
      </c>
      <c r="Y47" s="75">
        <v>3.28</v>
      </c>
      <c r="Z47" s="75">
        <v>3.28</v>
      </c>
      <c r="AA47" s="13">
        <v>0</v>
      </c>
      <c r="AB47" s="72">
        <v>0</v>
      </c>
      <c r="AC47" s="72">
        <v>0</v>
      </c>
      <c r="AD47" s="72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  <c r="AJ47" s="69">
        <v>0</v>
      </c>
      <c r="AK47" s="69">
        <v>0</v>
      </c>
      <c r="AL47" s="69">
        <v>0</v>
      </c>
      <c r="AM47" s="69">
        <v>0</v>
      </c>
      <c r="AN47" s="73">
        <v>30000</v>
      </c>
      <c r="AO47" s="95">
        <f t="shared" si="0"/>
        <v>0</v>
      </c>
      <c r="AP47" s="73">
        <v>10000</v>
      </c>
      <c r="AQ47" s="95">
        <f t="shared" si="1"/>
        <v>0</v>
      </c>
      <c r="AR47" s="73">
        <v>10000</v>
      </c>
      <c r="AS47" s="96">
        <f t="shared" si="2"/>
        <v>0</v>
      </c>
      <c r="AT47" s="79">
        <v>0</v>
      </c>
      <c r="AU47" s="97">
        <f t="shared" si="3"/>
        <v>0</v>
      </c>
      <c r="AV47" s="79">
        <v>0</v>
      </c>
      <c r="AW47" s="97">
        <f t="shared" si="4"/>
        <v>0</v>
      </c>
      <c r="AX47" s="80">
        <v>0</v>
      </c>
      <c r="AY47" s="97">
        <f t="shared" si="5"/>
        <v>0</v>
      </c>
      <c r="AZ47" s="71">
        <v>0</v>
      </c>
      <c r="BA47" s="97">
        <f t="shared" si="6"/>
        <v>0</v>
      </c>
      <c r="BB47" s="70">
        <v>10000</v>
      </c>
      <c r="BC47" s="97">
        <f t="shared" si="7"/>
        <v>0</v>
      </c>
      <c r="BD47" s="73">
        <v>13440</v>
      </c>
      <c r="BE47" s="97">
        <f t="shared" si="8"/>
        <v>0</v>
      </c>
      <c r="BF47" s="73">
        <v>6720</v>
      </c>
      <c r="BG47" s="97">
        <f t="shared" si="9"/>
        <v>0</v>
      </c>
      <c r="BH47" s="73">
        <v>20160</v>
      </c>
      <c r="BI47" s="97">
        <f t="shared" si="10"/>
        <v>0</v>
      </c>
      <c r="BJ47" s="73">
        <v>13440</v>
      </c>
      <c r="BK47" s="97">
        <f t="shared" si="11"/>
        <v>0</v>
      </c>
      <c r="BL47" s="128"/>
      <c r="BM47" s="131" t="s">
        <v>274</v>
      </c>
    </row>
    <row r="48" spans="1:66" ht="15.75" customHeight="1" thickBot="1">
      <c r="A48" s="93" t="s">
        <v>123</v>
      </c>
      <c r="B48" s="122" t="s">
        <v>184</v>
      </c>
      <c r="C48" s="299"/>
      <c r="D48" s="295"/>
      <c r="E48" s="295"/>
      <c r="F48" s="297"/>
      <c r="G48" s="78">
        <v>2020</v>
      </c>
      <c r="H48" s="76" t="s">
        <v>272</v>
      </c>
      <c r="I48" s="76" t="s">
        <v>196</v>
      </c>
      <c r="J48" s="77" t="s">
        <v>197</v>
      </c>
      <c r="K48" s="81" t="s">
        <v>221</v>
      </c>
      <c r="L48" s="76" t="s">
        <v>192</v>
      </c>
      <c r="M48" s="13" t="s">
        <v>193</v>
      </c>
      <c r="N48" s="75">
        <v>3.29</v>
      </c>
      <c r="O48" s="75">
        <v>3.29</v>
      </c>
      <c r="P48" s="75">
        <v>3.29</v>
      </c>
      <c r="Q48" s="75">
        <v>3.29</v>
      </c>
      <c r="R48" s="75">
        <v>3.29</v>
      </c>
      <c r="S48" s="75">
        <v>3.29</v>
      </c>
      <c r="T48" s="75">
        <v>3.29</v>
      </c>
      <c r="U48" s="75">
        <v>3.29</v>
      </c>
      <c r="V48" s="75">
        <v>3.29</v>
      </c>
      <c r="W48" s="75">
        <v>3.29</v>
      </c>
      <c r="X48" s="75">
        <v>3.29</v>
      </c>
      <c r="Y48" s="75">
        <v>3.29</v>
      </c>
      <c r="Z48" s="75">
        <v>3.29</v>
      </c>
      <c r="AA48" s="13">
        <v>0</v>
      </c>
      <c r="AB48" s="72">
        <v>0</v>
      </c>
      <c r="AC48" s="72">
        <v>0</v>
      </c>
      <c r="AD48" s="72">
        <v>0</v>
      </c>
      <c r="AE48" s="69">
        <v>0</v>
      </c>
      <c r="AF48" s="69">
        <v>0</v>
      </c>
      <c r="AG48" s="69">
        <v>0</v>
      </c>
      <c r="AH48" s="69">
        <v>0</v>
      </c>
      <c r="AI48" s="69">
        <v>0</v>
      </c>
      <c r="AJ48" s="69">
        <v>0</v>
      </c>
      <c r="AK48" s="69">
        <v>0</v>
      </c>
      <c r="AL48" s="69">
        <v>0</v>
      </c>
      <c r="AM48" s="69">
        <v>0</v>
      </c>
      <c r="AN48" s="73">
        <v>10000</v>
      </c>
      <c r="AO48" s="95">
        <f t="shared" si="0"/>
        <v>0</v>
      </c>
      <c r="AP48" s="73">
        <v>20000</v>
      </c>
      <c r="AQ48" s="95">
        <f t="shared" si="1"/>
        <v>0</v>
      </c>
      <c r="AR48" s="73">
        <v>10000</v>
      </c>
      <c r="AS48" s="96">
        <f t="shared" si="2"/>
        <v>0</v>
      </c>
      <c r="AT48" s="79">
        <v>0</v>
      </c>
      <c r="AU48" s="97">
        <f t="shared" si="3"/>
        <v>0</v>
      </c>
      <c r="AV48" s="80">
        <v>10000</v>
      </c>
      <c r="AW48" s="97">
        <f t="shared" si="4"/>
        <v>0</v>
      </c>
      <c r="AX48" s="80">
        <v>0</v>
      </c>
      <c r="AY48" s="97">
        <f t="shared" si="5"/>
        <v>0</v>
      </c>
      <c r="AZ48" s="73">
        <v>0</v>
      </c>
      <c r="BA48" s="97">
        <f t="shared" si="6"/>
        <v>0</v>
      </c>
      <c r="BB48" s="70">
        <v>10000</v>
      </c>
      <c r="BC48" s="97">
        <f t="shared" si="7"/>
        <v>0</v>
      </c>
      <c r="BD48" s="73">
        <v>0</v>
      </c>
      <c r="BE48" s="97">
        <f t="shared" si="8"/>
        <v>0</v>
      </c>
      <c r="BF48" s="70">
        <v>10000</v>
      </c>
      <c r="BG48" s="97">
        <f t="shared" si="9"/>
        <v>0</v>
      </c>
      <c r="BH48" s="70">
        <v>6720</v>
      </c>
      <c r="BI48" s="97">
        <f t="shared" si="10"/>
        <v>0</v>
      </c>
      <c r="BJ48" s="73">
        <v>6720</v>
      </c>
      <c r="BK48" s="97">
        <f t="shared" si="11"/>
        <v>0</v>
      </c>
      <c r="BL48" s="128"/>
      <c r="BM48" s="131" t="s">
        <v>275</v>
      </c>
    </row>
    <row r="49" spans="1:65" ht="15.75" customHeight="1" thickBot="1">
      <c r="A49" s="93" t="s">
        <v>123</v>
      </c>
      <c r="B49" s="122" t="s">
        <v>184</v>
      </c>
      <c r="C49" s="299"/>
      <c r="D49" s="295"/>
      <c r="E49" s="295"/>
      <c r="F49" s="297"/>
      <c r="G49" s="78">
        <v>2020</v>
      </c>
      <c r="H49" s="76" t="s">
        <v>272</v>
      </c>
      <c r="I49" s="76" t="s">
        <v>196</v>
      </c>
      <c r="J49" s="77" t="s">
        <v>197</v>
      </c>
      <c r="K49" s="81" t="s">
        <v>221</v>
      </c>
      <c r="L49" s="76" t="s">
        <v>192</v>
      </c>
      <c r="M49" s="13" t="s">
        <v>193</v>
      </c>
      <c r="N49" s="75">
        <v>3.28</v>
      </c>
      <c r="O49" s="75">
        <v>3.28</v>
      </c>
      <c r="P49" s="75">
        <v>3.28</v>
      </c>
      <c r="Q49" s="75">
        <v>3.28</v>
      </c>
      <c r="R49" s="75">
        <v>3.28</v>
      </c>
      <c r="S49" s="75">
        <v>3.28</v>
      </c>
      <c r="T49" s="75">
        <v>3.28</v>
      </c>
      <c r="U49" s="75">
        <v>3.28</v>
      </c>
      <c r="V49" s="75">
        <v>3.28</v>
      </c>
      <c r="W49" s="75">
        <v>3.28</v>
      </c>
      <c r="X49" s="75">
        <v>3.28</v>
      </c>
      <c r="Y49" s="75">
        <v>3.28</v>
      </c>
      <c r="Z49" s="75">
        <v>3.28</v>
      </c>
      <c r="AA49" s="13">
        <v>0</v>
      </c>
      <c r="AB49" s="72">
        <v>0</v>
      </c>
      <c r="AC49" s="72">
        <v>0</v>
      </c>
      <c r="AD49" s="72">
        <v>0</v>
      </c>
      <c r="AE49" s="69">
        <v>0</v>
      </c>
      <c r="AF49" s="69">
        <v>0</v>
      </c>
      <c r="AG49" s="69">
        <v>0</v>
      </c>
      <c r="AH49" s="69">
        <v>0</v>
      </c>
      <c r="AI49" s="69">
        <v>0</v>
      </c>
      <c r="AJ49" s="69">
        <v>0</v>
      </c>
      <c r="AK49" s="69">
        <v>0</v>
      </c>
      <c r="AL49" s="69">
        <v>0</v>
      </c>
      <c r="AM49" s="69">
        <v>0</v>
      </c>
      <c r="AN49" s="73">
        <v>0</v>
      </c>
      <c r="AO49" s="95">
        <f t="shared" si="0"/>
        <v>0</v>
      </c>
      <c r="AP49" s="73">
        <v>10000</v>
      </c>
      <c r="AQ49" s="95">
        <f t="shared" si="1"/>
        <v>0</v>
      </c>
      <c r="AR49" s="73">
        <v>0</v>
      </c>
      <c r="AS49" s="96">
        <f t="shared" si="2"/>
        <v>0</v>
      </c>
      <c r="AT49" s="80">
        <v>10000</v>
      </c>
      <c r="AU49" s="97">
        <f t="shared" si="3"/>
        <v>0</v>
      </c>
      <c r="AV49" s="80">
        <v>16720</v>
      </c>
      <c r="AW49" s="97">
        <f t="shared" si="4"/>
        <v>0</v>
      </c>
      <c r="AX49" s="80">
        <v>3280</v>
      </c>
      <c r="AY49" s="97">
        <f t="shared" si="5"/>
        <v>0</v>
      </c>
      <c r="AZ49" s="73">
        <v>10000</v>
      </c>
      <c r="BA49" s="97">
        <f t="shared" si="6"/>
        <v>0</v>
      </c>
      <c r="BB49" s="74">
        <v>10000</v>
      </c>
      <c r="BC49" s="97">
        <f t="shared" si="7"/>
        <v>0</v>
      </c>
      <c r="BD49" s="71">
        <v>10000</v>
      </c>
      <c r="BE49" s="97">
        <f t="shared" si="8"/>
        <v>0</v>
      </c>
      <c r="BF49" s="73">
        <v>0</v>
      </c>
      <c r="BG49" s="97">
        <f t="shared" si="9"/>
        <v>0</v>
      </c>
      <c r="BH49" s="73">
        <v>0</v>
      </c>
      <c r="BI49" s="97">
        <f t="shared" si="10"/>
        <v>0</v>
      </c>
      <c r="BJ49" s="70">
        <v>6720</v>
      </c>
      <c r="BK49" s="97">
        <f t="shared" si="11"/>
        <v>0</v>
      </c>
      <c r="BL49" s="128"/>
      <c r="BM49" s="131" t="s">
        <v>276</v>
      </c>
    </row>
    <row r="50" spans="1:65" ht="15.75" customHeight="1" thickBot="1">
      <c r="A50" s="93" t="s">
        <v>123</v>
      </c>
      <c r="B50" s="122" t="s">
        <v>184</v>
      </c>
      <c r="C50" s="299"/>
      <c r="D50" s="295"/>
      <c r="E50" s="295"/>
      <c r="F50" s="297"/>
      <c r="G50" s="78">
        <v>2022</v>
      </c>
      <c r="H50" s="76" t="s">
        <v>277</v>
      </c>
      <c r="I50" s="76" t="s">
        <v>196</v>
      </c>
      <c r="J50" s="77" t="s">
        <v>197</v>
      </c>
      <c r="K50" s="81" t="s">
        <v>221</v>
      </c>
      <c r="L50" s="76" t="s">
        <v>192</v>
      </c>
      <c r="M50" s="13" t="s">
        <v>193</v>
      </c>
      <c r="N50" s="75">
        <v>24.31</v>
      </c>
      <c r="O50" s="75">
        <v>24.31</v>
      </c>
      <c r="P50" s="75">
        <v>24.31</v>
      </c>
      <c r="Q50" s="75">
        <v>24.31</v>
      </c>
      <c r="R50" s="75">
        <v>24.31</v>
      </c>
      <c r="S50" s="75">
        <v>24.31</v>
      </c>
      <c r="T50" s="75">
        <v>24.31</v>
      </c>
      <c r="U50" s="75">
        <v>24.31</v>
      </c>
      <c r="V50" s="75">
        <v>24.31</v>
      </c>
      <c r="W50" s="75">
        <v>24.31</v>
      </c>
      <c r="X50" s="75">
        <v>24.31</v>
      </c>
      <c r="Y50" s="75">
        <v>24.31</v>
      </c>
      <c r="Z50" s="75">
        <v>24.31</v>
      </c>
      <c r="AA50" s="13">
        <v>0.48</v>
      </c>
      <c r="AB50" s="72">
        <v>0.48</v>
      </c>
      <c r="AC50" s="72">
        <v>0.48</v>
      </c>
      <c r="AD50" s="72">
        <v>0.48</v>
      </c>
      <c r="AE50" s="69">
        <v>0.48</v>
      </c>
      <c r="AF50" s="69">
        <v>0.48</v>
      </c>
      <c r="AG50" s="69">
        <v>0.48</v>
      </c>
      <c r="AH50" s="69">
        <v>0.48</v>
      </c>
      <c r="AI50" s="69">
        <v>0.48</v>
      </c>
      <c r="AJ50" s="69">
        <v>0.48</v>
      </c>
      <c r="AK50" s="69">
        <v>0.48</v>
      </c>
      <c r="AL50" s="69">
        <v>0.48</v>
      </c>
      <c r="AM50" s="69">
        <v>0.48</v>
      </c>
      <c r="AN50" s="73">
        <v>0</v>
      </c>
      <c r="AO50" s="95">
        <f t="shared" si="0"/>
        <v>0</v>
      </c>
      <c r="AP50" s="73">
        <v>1200</v>
      </c>
      <c r="AQ50" s="95">
        <f t="shared" si="1"/>
        <v>576</v>
      </c>
      <c r="AR50" s="73">
        <v>0</v>
      </c>
      <c r="AS50" s="96">
        <f t="shared" si="2"/>
        <v>0</v>
      </c>
      <c r="AT50" s="79">
        <v>0</v>
      </c>
      <c r="AU50" s="97">
        <f t="shared" si="3"/>
        <v>0</v>
      </c>
      <c r="AV50" s="79">
        <v>0</v>
      </c>
      <c r="AW50" s="97">
        <f t="shared" si="4"/>
        <v>0</v>
      </c>
      <c r="AX50" s="80">
        <v>0</v>
      </c>
      <c r="AY50" s="97">
        <f t="shared" si="5"/>
        <v>0</v>
      </c>
      <c r="AZ50" s="70">
        <v>0</v>
      </c>
      <c r="BA50" s="97">
        <f t="shared" si="6"/>
        <v>0</v>
      </c>
      <c r="BB50" s="74">
        <v>0</v>
      </c>
      <c r="BC50" s="97">
        <f t="shared" si="7"/>
        <v>0</v>
      </c>
      <c r="BD50" s="73">
        <v>0</v>
      </c>
      <c r="BE50" s="97">
        <f t="shared" si="8"/>
        <v>0</v>
      </c>
      <c r="BF50" s="73">
        <v>0</v>
      </c>
      <c r="BG50" s="97">
        <f t="shared" si="9"/>
        <v>0</v>
      </c>
      <c r="BH50" s="73">
        <v>0</v>
      </c>
      <c r="BI50" s="97">
        <f t="shared" si="10"/>
        <v>0</v>
      </c>
      <c r="BJ50" s="73">
        <v>0</v>
      </c>
      <c r="BK50" s="97">
        <f t="shared" si="11"/>
        <v>0</v>
      </c>
      <c r="BL50" s="128"/>
      <c r="BM50" s="131" t="s">
        <v>278</v>
      </c>
    </row>
    <row r="51" spans="1:65" ht="15.75" customHeight="1" thickBot="1">
      <c r="A51" s="93" t="s">
        <v>123</v>
      </c>
      <c r="B51" s="122" t="s">
        <v>184</v>
      </c>
      <c r="C51" s="299"/>
      <c r="D51" s="295"/>
      <c r="E51" s="295"/>
      <c r="F51" s="297"/>
      <c r="G51" s="78">
        <v>2022</v>
      </c>
      <c r="H51" s="76" t="s">
        <v>277</v>
      </c>
      <c r="I51" s="76" t="s">
        <v>196</v>
      </c>
      <c r="J51" s="77" t="s">
        <v>197</v>
      </c>
      <c r="K51" s="81" t="s">
        <v>221</v>
      </c>
      <c r="L51" s="76" t="s">
        <v>192</v>
      </c>
      <c r="M51" s="13" t="s">
        <v>193</v>
      </c>
      <c r="N51" s="75">
        <v>24.31</v>
      </c>
      <c r="O51" s="75">
        <v>24.31</v>
      </c>
      <c r="P51" s="75">
        <v>24.31</v>
      </c>
      <c r="Q51" s="75">
        <v>24.31</v>
      </c>
      <c r="R51" s="75">
        <v>24.31</v>
      </c>
      <c r="S51" s="75">
        <v>24.31</v>
      </c>
      <c r="T51" s="75">
        <v>24.31</v>
      </c>
      <c r="U51" s="75">
        <v>24.31</v>
      </c>
      <c r="V51" s="75">
        <v>24.31</v>
      </c>
      <c r="W51" s="75">
        <v>24.31</v>
      </c>
      <c r="X51" s="75">
        <v>24.31</v>
      </c>
      <c r="Y51" s="75">
        <v>24.31</v>
      </c>
      <c r="Z51" s="75">
        <v>24.31</v>
      </c>
      <c r="AA51" s="13">
        <v>0.48</v>
      </c>
      <c r="AB51" s="72">
        <v>0.48</v>
      </c>
      <c r="AC51" s="72">
        <v>0.48</v>
      </c>
      <c r="AD51" s="72">
        <v>0.48</v>
      </c>
      <c r="AE51" s="69">
        <v>0.48</v>
      </c>
      <c r="AF51" s="69">
        <v>0.48</v>
      </c>
      <c r="AG51" s="69">
        <v>0.48</v>
      </c>
      <c r="AH51" s="69">
        <v>0.48</v>
      </c>
      <c r="AI51" s="69">
        <v>0.48</v>
      </c>
      <c r="AJ51" s="69">
        <v>0.48</v>
      </c>
      <c r="AK51" s="69">
        <v>0.48</v>
      </c>
      <c r="AL51" s="69">
        <v>0.48</v>
      </c>
      <c r="AM51" s="69">
        <v>0.48</v>
      </c>
      <c r="AN51" s="73">
        <v>0</v>
      </c>
      <c r="AO51" s="95">
        <f t="shared" si="0"/>
        <v>0</v>
      </c>
      <c r="AP51" s="73">
        <v>1200</v>
      </c>
      <c r="AQ51" s="95">
        <f t="shared" si="1"/>
        <v>576</v>
      </c>
      <c r="AR51" s="73">
        <v>0</v>
      </c>
      <c r="AS51" s="96">
        <f t="shared" si="2"/>
        <v>0</v>
      </c>
      <c r="AT51" s="79">
        <v>0</v>
      </c>
      <c r="AU51" s="97">
        <f t="shared" si="3"/>
        <v>0</v>
      </c>
      <c r="AV51" s="79">
        <v>0</v>
      </c>
      <c r="AW51" s="97">
        <f t="shared" si="4"/>
        <v>0</v>
      </c>
      <c r="AX51" s="80">
        <v>0</v>
      </c>
      <c r="AY51" s="97">
        <f t="shared" si="5"/>
        <v>0</v>
      </c>
      <c r="AZ51" s="73">
        <v>0</v>
      </c>
      <c r="BA51" s="97">
        <f t="shared" si="6"/>
        <v>0</v>
      </c>
      <c r="BB51" s="70">
        <v>0</v>
      </c>
      <c r="BC51" s="97">
        <f t="shared" si="7"/>
        <v>0</v>
      </c>
      <c r="BD51" s="73">
        <v>0</v>
      </c>
      <c r="BE51" s="97">
        <f t="shared" si="8"/>
        <v>0</v>
      </c>
      <c r="BF51" s="73">
        <v>2400</v>
      </c>
      <c r="BG51" s="97">
        <f t="shared" si="9"/>
        <v>1152</v>
      </c>
      <c r="BH51" s="70">
        <v>1200</v>
      </c>
      <c r="BI51" s="97">
        <f t="shared" si="10"/>
        <v>576</v>
      </c>
      <c r="BJ51" s="73">
        <v>1200</v>
      </c>
      <c r="BK51" s="97">
        <f t="shared" si="11"/>
        <v>576</v>
      </c>
      <c r="BL51" s="128"/>
      <c r="BM51" s="131" t="s">
        <v>279</v>
      </c>
    </row>
    <row r="52" spans="1:65" ht="15.75" customHeight="1" thickBot="1">
      <c r="A52" s="93" t="s">
        <v>123</v>
      </c>
      <c r="B52" s="122" t="s">
        <v>184</v>
      </c>
      <c r="C52" s="299"/>
      <c r="D52" s="295"/>
      <c r="E52" s="295"/>
      <c r="F52" s="297"/>
      <c r="G52" s="78">
        <v>2021</v>
      </c>
      <c r="H52" s="76" t="s">
        <v>280</v>
      </c>
      <c r="I52" s="76" t="s">
        <v>196</v>
      </c>
      <c r="J52" s="77" t="s">
        <v>197</v>
      </c>
      <c r="K52" s="81" t="s">
        <v>281</v>
      </c>
      <c r="L52" s="76" t="s">
        <v>192</v>
      </c>
      <c r="M52" s="13" t="s">
        <v>193</v>
      </c>
      <c r="N52" s="75">
        <v>4.6100000000000003</v>
      </c>
      <c r="O52" s="75">
        <v>4.6100000000000003</v>
      </c>
      <c r="P52" s="75">
        <v>4.6100000000000003</v>
      </c>
      <c r="Q52" s="75">
        <v>4.6100000000000003</v>
      </c>
      <c r="R52" s="75">
        <v>4.6100000000000003</v>
      </c>
      <c r="S52" s="75">
        <v>4.6100000000000003</v>
      </c>
      <c r="T52" s="75">
        <v>4.6100000000000003</v>
      </c>
      <c r="U52" s="75">
        <v>4.6100000000000003</v>
      </c>
      <c r="V52" s="75">
        <v>4.6100000000000003</v>
      </c>
      <c r="W52" s="75">
        <v>4.6100000000000003</v>
      </c>
      <c r="X52" s="75">
        <v>4.6100000000000003</v>
      </c>
      <c r="Y52" s="75">
        <v>4.6100000000000003</v>
      </c>
      <c r="Z52" s="75">
        <v>4.6100000000000003</v>
      </c>
      <c r="AA52" s="13">
        <v>0</v>
      </c>
      <c r="AB52" s="72">
        <v>0</v>
      </c>
      <c r="AC52" s="72">
        <v>0</v>
      </c>
      <c r="AD52" s="72">
        <v>0</v>
      </c>
      <c r="AE52" s="69">
        <v>0</v>
      </c>
      <c r="AF52" s="69">
        <v>0</v>
      </c>
      <c r="AG52" s="69">
        <v>0</v>
      </c>
      <c r="AH52" s="69">
        <v>0</v>
      </c>
      <c r="AI52" s="69">
        <v>0</v>
      </c>
      <c r="AJ52" s="69">
        <v>0</v>
      </c>
      <c r="AK52" s="69">
        <v>0</v>
      </c>
      <c r="AL52" s="69">
        <v>0</v>
      </c>
      <c r="AM52" s="69">
        <v>0</v>
      </c>
      <c r="AN52" s="73">
        <v>5760</v>
      </c>
      <c r="AO52" s="95">
        <f t="shared" si="0"/>
        <v>0</v>
      </c>
      <c r="AP52" s="73">
        <v>2880</v>
      </c>
      <c r="AQ52" s="95">
        <f t="shared" si="1"/>
        <v>0</v>
      </c>
      <c r="AR52" s="73">
        <v>5760</v>
      </c>
      <c r="AS52" s="96">
        <f t="shared" si="2"/>
        <v>0</v>
      </c>
      <c r="AT52" s="80">
        <v>2880</v>
      </c>
      <c r="AU52" s="97">
        <f t="shared" si="3"/>
        <v>0</v>
      </c>
      <c r="AV52" s="80">
        <v>2880</v>
      </c>
      <c r="AW52" s="97">
        <f t="shared" si="4"/>
        <v>0</v>
      </c>
      <c r="AX52" s="80">
        <v>2880</v>
      </c>
      <c r="AY52" s="97">
        <f t="shared" si="5"/>
        <v>0</v>
      </c>
      <c r="AZ52" s="73">
        <v>0</v>
      </c>
      <c r="BA52" s="97">
        <f t="shared" si="6"/>
        <v>0</v>
      </c>
      <c r="BB52" s="70">
        <v>0</v>
      </c>
      <c r="BC52" s="97">
        <f t="shared" si="7"/>
        <v>0</v>
      </c>
      <c r="BD52" s="70">
        <v>0</v>
      </c>
      <c r="BE52" s="97">
        <f t="shared" si="8"/>
        <v>0</v>
      </c>
      <c r="BF52" s="70">
        <v>23040</v>
      </c>
      <c r="BG52" s="97">
        <f t="shared" si="9"/>
        <v>0</v>
      </c>
      <c r="BH52" s="73">
        <v>2880</v>
      </c>
      <c r="BI52" s="97">
        <f t="shared" si="10"/>
        <v>0</v>
      </c>
      <c r="BJ52" s="70">
        <v>2880</v>
      </c>
      <c r="BK52" s="97">
        <f t="shared" si="11"/>
        <v>0</v>
      </c>
      <c r="BL52" s="128"/>
      <c r="BM52" s="131" t="s">
        <v>282</v>
      </c>
    </row>
    <row r="53" spans="1:65" ht="15.75" customHeight="1" thickBot="1">
      <c r="A53" s="93" t="s">
        <v>123</v>
      </c>
      <c r="B53" s="122" t="s">
        <v>184</v>
      </c>
      <c r="C53" s="299"/>
      <c r="D53" s="295"/>
      <c r="E53" s="295"/>
      <c r="F53" s="297"/>
      <c r="G53" s="78">
        <v>2021</v>
      </c>
      <c r="H53" s="76" t="s">
        <v>280</v>
      </c>
      <c r="I53" s="76" t="s">
        <v>196</v>
      </c>
      <c r="J53" s="77" t="s">
        <v>197</v>
      </c>
      <c r="K53" s="81" t="s">
        <v>283</v>
      </c>
      <c r="L53" s="76" t="s">
        <v>192</v>
      </c>
      <c r="M53" s="13" t="s">
        <v>193</v>
      </c>
      <c r="N53" s="75">
        <v>4.41</v>
      </c>
      <c r="O53" s="75">
        <v>4.41</v>
      </c>
      <c r="P53" s="75">
        <v>4.41</v>
      </c>
      <c r="Q53" s="75">
        <v>4.41</v>
      </c>
      <c r="R53" s="75">
        <v>4.41</v>
      </c>
      <c r="S53" s="75">
        <v>4.41</v>
      </c>
      <c r="T53" s="75">
        <v>4.41</v>
      </c>
      <c r="U53" s="75">
        <v>4.41</v>
      </c>
      <c r="V53" s="75">
        <v>4.41</v>
      </c>
      <c r="W53" s="75">
        <v>4.41</v>
      </c>
      <c r="X53" s="75">
        <v>4.41</v>
      </c>
      <c r="Y53" s="75">
        <v>4.41</v>
      </c>
      <c r="Z53" s="75">
        <v>4.41</v>
      </c>
      <c r="AA53" s="13">
        <v>0</v>
      </c>
      <c r="AB53" s="72">
        <v>0</v>
      </c>
      <c r="AC53" s="72">
        <v>0</v>
      </c>
      <c r="AD53" s="72">
        <v>0</v>
      </c>
      <c r="AE53" s="69">
        <v>0</v>
      </c>
      <c r="AF53" s="69">
        <v>0</v>
      </c>
      <c r="AG53" s="69">
        <v>0</v>
      </c>
      <c r="AH53" s="69">
        <v>0</v>
      </c>
      <c r="AI53" s="69">
        <v>0</v>
      </c>
      <c r="AJ53" s="69">
        <v>0</v>
      </c>
      <c r="AK53" s="69">
        <v>0</v>
      </c>
      <c r="AL53" s="69">
        <v>0</v>
      </c>
      <c r="AM53" s="69">
        <v>0</v>
      </c>
      <c r="AN53" s="73">
        <v>2880</v>
      </c>
      <c r="AO53" s="95">
        <f t="shared" si="0"/>
        <v>0</v>
      </c>
      <c r="AP53" s="73">
        <v>0</v>
      </c>
      <c r="AQ53" s="95">
        <f t="shared" si="1"/>
        <v>0</v>
      </c>
      <c r="AR53" s="73">
        <v>0</v>
      </c>
      <c r="AS53" s="96">
        <f t="shared" si="2"/>
        <v>0</v>
      </c>
      <c r="AT53" s="79">
        <v>0</v>
      </c>
      <c r="AU53" s="97">
        <f t="shared" si="3"/>
        <v>0</v>
      </c>
      <c r="AV53" s="80">
        <v>2880</v>
      </c>
      <c r="AW53" s="97">
        <f t="shared" si="4"/>
        <v>0</v>
      </c>
      <c r="AX53" s="80">
        <v>0</v>
      </c>
      <c r="AY53" s="97">
        <f t="shared" si="5"/>
        <v>0</v>
      </c>
      <c r="AZ53" s="71">
        <v>2880</v>
      </c>
      <c r="BA53" s="97">
        <f t="shared" si="6"/>
        <v>0</v>
      </c>
      <c r="BB53" s="74">
        <v>0</v>
      </c>
      <c r="BC53" s="97">
        <f t="shared" si="7"/>
        <v>0</v>
      </c>
      <c r="BD53" s="73">
        <v>0</v>
      </c>
      <c r="BE53" s="97">
        <f t="shared" si="8"/>
        <v>0</v>
      </c>
      <c r="BF53" s="73">
        <v>2880</v>
      </c>
      <c r="BG53" s="97">
        <f t="shared" si="9"/>
        <v>0</v>
      </c>
      <c r="BH53" s="73">
        <v>0</v>
      </c>
      <c r="BI53" s="97">
        <f t="shared" si="10"/>
        <v>0</v>
      </c>
      <c r="BJ53" s="73">
        <v>0</v>
      </c>
      <c r="BK53" s="97">
        <f t="shared" si="11"/>
        <v>0</v>
      </c>
      <c r="BL53" s="128"/>
      <c r="BM53" s="131" t="s">
        <v>284</v>
      </c>
    </row>
    <row r="54" spans="1:65" ht="15.75" customHeight="1" thickBot="1">
      <c r="A54" s="93" t="s">
        <v>123</v>
      </c>
      <c r="B54" s="122" t="s">
        <v>184</v>
      </c>
      <c r="C54" s="299"/>
      <c r="D54" s="295"/>
      <c r="E54" s="295"/>
      <c r="F54" s="297"/>
      <c r="G54" s="78">
        <v>2022</v>
      </c>
      <c r="H54" s="76" t="s">
        <v>280</v>
      </c>
      <c r="I54" s="76" t="s">
        <v>196</v>
      </c>
      <c r="J54" s="77" t="s">
        <v>197</v>
      </c>
      <c r="K54" s="81" t="s">
        <v>235</v>
      </c>
      <c r="L54" s="76" t="s">
        <v>192</v>
      </c>
      <c r="M54" s="13" t="s">
        <v>193</v>
      </c>
      <c r="N54" s="75">
        <v>4.3600000000000003</v>
      </c>
      <c r="O54" s="75">
        <v>4.3600000000000003</v>
      </c>
      <c r="P54" s="75">
        <v>4.3600000000000003</v>
      </c>
      <c r="Q54" s="75">
        <v>4.3600000000000003</v>
      </c>
      <c r="R54" s="75">
        <v>4.3600000000000003</v>
      </c>
      <c r="S54" s="75">
        <v>4.3600000000000003</v>
      </c>
      <c r="T54" s="75">
        <v>4.3600000000000003</v>
      </c>
      <c r="U54" s="75">
        <v>4.3600000000000003</v>
      </c>
      <c r="V54" s="75">
        <v>4.3600000000000003</v>
      </c>
      <c r="W54" s="75">
        <v>4.3600000000000003</v>
      </c>
      <c r="X54" s="75">
        <v>4.3600000000000003</v>
      </c>
      <c r="Y54" s="75">
        <v>4.3600000000000003</v>
      </c>
      <c r="Z54" s="75">
        <v>4.3600000000000003</v>
      </c>
      <c r="AA54" s="13">
        <v>0</v>
      </c>
      <c r="AB54" s="72">
        <v>0</v>
      </c>
      <c r="AC54" s="72">
        <v>0</v>
      </c>
      <c r="AD54" s="72">
        <v>0</v>
      </c>
      <c r="AE54" s="69">
        <v>0</v>
      </c>
      <c r="AF54" s="69">
        <v>0</v>
      </c>
      <c r="AG54" s="69">
        <v>0</v>
      </c>
      <c r="AH54" s="69">
        <v>0</v>
      </c>
      <c r="AI54" s="69">
        <v>0</v>
      </c>
      <c r="AJ54" s="69">
        <v>0</v>
      </c>
      <c r="AK54" s="69">
        <v>0</v>
      </c>
      <c r="AL54" s="69">
        <v>0</v>
      </c>
      <c r="AM54" s="69">
        <v>0</v>
      </c>
      <c r="AN54" s="73">
        <v>0</v>
      </c>
      <c r="AO54" s="95">
        <f t="shared" si="0"/>
        <v>0</v>
      </c>
      <c r="AP54" s="73">
        <v>8640</v>
      </c>
      <c r="AQ54" s="95">
        <f t="shared" si="1"/>
        <v>0</v>
      </c>
      <c r="AR54" s="73">
        <v>2880</v>
      </c>
      <c r="AS54" s="96">
        <f t="shared" si="2"/>
        <v>0</v>
      </c>
      <c r="AT54" s="79">
        <v>0</v>
      </c>
      <c r="AU54" s="97">
        <f t="shared" si="3"/>
        <v>0</v>
      </c>
      <c r="AV54" s="79">
        <v>0</v>
      </c>
      <c r="AW54" s="97">
        <f t="shared" si="4"/>
        <v>0</v>
      </c>
      <c r="AX54" s="80">
        <v>0</v>
      </c>
      <c r="AY54" s="97">
        <f t="shared" si="5"/>
        <v>0</v>
      </c>
      <c r="AZ54" s="70">
        <v>0</v>
      </c>
      <c r="BA54" s="97">
        <f t="shared" si="6"/>
        <v>0</v>
      </c>
      <c r="BB54" s="74">
        <v>0</v>
      </c>
      <c r="BC54" s="97">
        <f t="shared" si="7"/>
        <v>0</v>
      </c>
      <c r="BD54" s="73">
        <v>0</v>
      </c>
      <c r="BE54" s="97">
        <f t="shared" si="8"/>
        <v>0</v>
      </c>
      <c r="BF54" s="73">
        <v>0</v>
      </c>
      <c r="BG54" s="97">
        <f t="shared" si="9"/>
        <v>0</v>
      </c>
      <c r="BH54" s="70">
        <v>0</v>
      </c>
      <c r="BI54" s="97">
        <f t="shared" si="10"/>
        <v>0</v>
      </c>
      <c r="BJ54" s="73">
        <v>0</v>
      </c>
      <c r="BK54" s="97">
        <f t="shared" si="11"/>
        <v>0</v>
      </c>
      <c r="BL54" s="128"/>
      <c r="BM54" s="131" t="s">
        <v>285</v>
      </c>
    </row>
    <row r="55" spans="1:65" ht="15.75" customHeight="1" thickBot="1">
      <c r="A55" s="93" t="s">
        <v>123</v>
      </c>
      <c r="B55" s="122" t="s">
        <v>184</v>
      </c>
      <c r="C55" s="299"/>
      <c r="D55" s="295"/>
      <c r="E55" s="295"/>
      <c r="F55" s="297"/>
      <c r="G55" s="78">
        <v>2018</v>
      </c>
      <c r="H55" s="81" t="s">
        <v>286</v>
      </c>
      <c r="I55" s="76" t="s">
        <v>196</v>
      </c>
      <c r="J55" s="77" t="s">
        <v>197</v>
      </c>
      <c r="K55" s="81" t="s">
        <v>221</v>
      </c>
      <c r="L55" s="76" t="s">
        <v>192</v>
      </c>
      <c r="M55" s="13" t="s">
        <v>193</v>
      </c>
      <c r="N55" s="75">
        <v>5.32</v>
      </c>
      <c r="O55" s="75">
        <v>5.32</v>
      </c>
      <c r="P55" s="75">
        <v>5.32</v>
      </c>
      <c r="Q55" s="75">
        <v>5.32</v>
      </c>
      <c r="R55" s="75">
        <v>5.32</v>
      </c>
      <c r="S55" s="75">
        <v>5.32</v>
      </c>
      <c r="T55" s="75">
        <v>5.32</v>
      </c>
      <c r="U55" s="75">
        <v>5.32</v>
      </c>
      <c r="V55" s="75">
        <v>5.32</v>
      </c>
      <c r="W55" s="75">
        <v>5.32</v>
      </c>
      <c r="X55" s="75">
        <v>5.32</v>
      </c>
      <c r="Y55" s="75">
        <v>5.32</v>
      </c>
      <c r="Z55" s="75">
        <v>5.32</v>
      </c>
      <c r="AA55" s="13">
        <v>0</v>
      </c>
      <c r="AB55" s="72">
        <v>0.05</v>
      </c>
      <c r="AC55" s="72">
        <v>0.05</v>
      </c>
      <c r="AD55" s="72">
        <v>0.05</v>
      </c>
      <c r="AE55" s="69">
        <v>0.05</v>
      </c>
      <c r="AF55" s="69">
        <v>0.05</v>
      </c>
      <c r="AG55" s="69">
        <v>0.05</v>
      </c>
      <c r="AH55" s="69">
        <v>0.05</v>
      </c>
      <c r="AI55" s="69">
        <v>0.05</v>
      </c>
      <c r="AJ55" s="69">
        <v>0.05</v>
      </c>
      <c r="AK55" s="69">
        <v>0.05</v>
      </c>
      <c r="AL55" s="69">
        <v>0.05</v>
      </c>
      <c r="AM55" s="69">
        <v>0.05</v>
      </c>
      <c r="AN55" s="73">
        <v>1404</v>
      </c>
      <c r="AO55" s="95">
        <f t="shared" si="0"/>
        <v>70.2</v>
      </c>
      <c r="AP55" s="71">
        <v>0</v>
      </c>
      <c r="AQ55" s="95">
        <f t="shared" si="1"/>
        <v>0</v>
      </c>
      <c r="AR55" s="73">
        <v>0</v>
      </c>
      <c r="AS55" s="96">
        <f t="shared" si="2"/>
        <v>0</v>
      </c>
      <c r="AT55" s="79">
        <v>0</v>
      </c>
      <c r="AU55" s="97">
        <f t="shared" si="3"/>
        <v>0</v>
      </c>
      <c r="AV55" s="79">
        <v>0</v>
      </c>
      <c r="AW55" s="97">
        <f t="shared" si="4"/>
        <v>0</v>
      </c>
      <c r="AX55" s="80">
        <v>0</v>
      </c>
      <c r="AY55" s="97">
        <f t="shared" si="5"/>
        <v>0</v>
      </c>
      <c r="AZ55" s="74">
        <v>0</v>
      </c>
      <c r="BA55" s="97">
        <f t="shared" si="6"/>
        <v>0</v>
      </c>
      <c r="BB55" s="70">
        <v>0</v>
      </c>
      <c r="BC55" s="97">
        <f t="shared" si="7"/>
        <v>0</v>
      </c>
      <c r="BD55" s="71">
        <v>0</v>
      </c>
      <c r="BE55" s="97">
        <f t="shared" si="8"/>
        <v>0</v>
      </c>
      <c r="BF55" s="73">
        <v>0</v>
      </c>
      <c r="BG55" s="97">
        <f t="shared" si="9"/>
        <v>0</v>
      </c>
      <c r="BH55" s="73">
        <v>0</v>
      </c>
      <c r="BI55" s="97">
        <f t="shared" si="10"/>
        <v>0</v>
      </c>
      <c r="BJ55" s="70">
        <v>0</v>
      </c>
      <c r="BK55" s="97">
        <f t="shared" si="11"/>
        <v>0</v>
      </c>
      <c r="BL55" s="128"/>
      <c r="BM55" s="131" t="s">
        <v>287</v>
      </c>
    </row>
    <row r="56" spans="1:65" ht="15.75" customHeight="1" thickBot="1">
      <c r="A56" s="93" t="s">
        <v>123</v>
      </c>
      <c r="B56" s="122" t="s">
        <v>184</v>
      </c>
      <c r="C56" s="299"/>
      <c r="D56" s="295"/>
      <c r="E56" s="295"/>
      <c r="F56" s="297"/>
      <c r="G56" s="78">
        <v>2018</v>
      </c>
      <c r="H56" s="81" t="s">
        <v>286</v>
      </c>
      <c r="I56" s="76" t="s">
        <v>196</v>
      </c>
      <c r="J56" s="77" t="s">
        <v>197</v>
      </c>
      <c r="K56" s="81" t="s">
        <v>221</v>
      </c>
      <c r="L56" s="76" t="s">
        <v>192</v>
      </c>
      <c r="M56" s="13" t="s">
        <v>193</v>
      </c>
      <c r="N56" s="75">
        <v>5.69</v>
      </c>
      <c r="O56" s="75">
        <v>5.69</v>
      </c>
      <c r="P56" s="75">
        <v>5.69</v>
      </c>
      <c r="Q56" s="75">
        <v>5.69</v>
      </c>
      <c r="R56" s="75">
        <v>5.69</v>
      </c>
      <c r="S56" s="75">
        <v>5.69</v>
      </c>
      <c r="T56" s="75">
        <v>5.69</v>
      </c>
      <c r="U56" s="75">
        <v>5.69</v>
      </c>
      <c r="V56" s="75">
        <v>5.69</v>
      </c>
      <c r="W56" s="75">
        <v>5.69</v>
      </c>
      <c r="X56" s="75">
        <v>5.69</v>
      </c>
      <c r="Y56" s="75">
        <v>5.69</v>
      </c>
      <c r="Z56" s="75">
        <v>5.69</v>
      </c>
      <c r="AA56" s="13">
        <v>0</v>
      </c>
      <c r="AB56" s="72">
        <v>0.05</v>
      </c>
      <c r="AC56" s="72">
        <v>0.05</v>
      </c>
      <c r="AD56" s="72">
        <v>0.05</v>
      </c>
      <c r="AE56" s="69">
        <v>0.05</v>
      </c>
      <c r="AF56" s="69">
        <v>0.05</v>
      </c>
      <c r="AG56" s="69">
        <v>0.05</v>
      </c>
      <c r="AH56" s="69">
        <v>0.05</v>
      </c>
      <c r="AI56" s="69">
        <v>0.05</v>
      </c>
      <c r="AJ56" s="69">
        <v>0.05</v>
      </c>
      <c r="AK56" s="69">
        <v>0.05</v>
      </c>
      <c r="AL56" s="69">
        <v>0.05</v>
      </c>
      <c r="AM56" s="69">
        <v>0.05</v>
      </c>
      <c r="AN56" s="73">
        <v>3000</v>
      </c>
      <c r="AO56" s="95">
        <f t="shared" si="0"/>
        <v>150</v>
      </c>
      <c r="AP56" s="73">
        <v>3000</v>
      </c>
      <c r="AQ56" s="95">
        <f t="shared" si="1"/>
        <v>150</v>
      </c>
      <c r="AR56" s="73">
        <v>3800</v>
      </c>
      <c r="AS56" s="96">
        <f t="shared" si="2"/>
        <v>190</v>
      </c>
      <c r="AT56" s="80">
        <v>6500</v>
      </c>
      <c r="AU56" s="97">
        <f t="shared" si="3"/>
        <v>325</v>
      </c>
      <c r="AV56" s="80">
        <v>8000</v>
      </c>
      <c r="AW56" s="97">
        <f t="shared" si="4"/>
        <v>400</v>
      </c>
      <c r="AX56" s="80">
        <v>3000</v>
      </c>
      <c r="AY56" s="97">
        <f t="shared" si="5"/>
        <v>150</v>
      </c>
      <c r="AZ56" s="74">
        <v>9000</v>
      </c>
      <c r="BA56" s="97">
        <f t="shared" si="6"/>
        <v>450</v>
      </c>
      <c r="BB56" s="70">
        <v>3000</v>
      </c>
      <c r="BC56" s="97">
        <f t="shared" si="7"/>
        <v>150</v>
      </c>
      <c r="BD56" s="73">
        <v>9100</v>
      </c>
      <c r="BE56" s="97">
        <f t="shared" si="8"/>
        <v>455</v>
      </c>
      <c r="BF56" s="70">
        <v>0</v>
      </c>
      <c r="BG56" s="97">
        <f t="shared" si="9"/>
        <v>0</v>
      </c>
      <c r="BH56" s="70">
        <v>0</v>
      </c>
      <c r="BI56" s="97">
        <f t="shared" si="10"/>
        <v>0</v>
      </c>
      <c r="BJ56" s="73">
        <v>0</v>
      </c>
      <c r="BK56" s="97">
        <f t="shared" si="11"/>
        <v>0</v>
      </c>
      <c r="BL56" s="128"/>
      <c r="BM56" s="131" t="s">
        <v>288</v>
      </c>
    </row>
    <row r="57" spans="1:65" ht="15.75" customHeight="1" thickBot="1">
      <c r="A57" s="93" t="s">
        <v>123</v>
      </c>
      <c r="B57" s="122" t="s">
        <v>184</v>
      </c>
      <c r="C57" s="299"/>
      <c r="D57" s="295"/>
      <c r="E57" s="295"/>
      <c r="F57" s="297"/>
      <c r="G57" s="78">
        <v>2018</v>
      </c>
      <c r="H57" s="81" t="s">
        <v>286</v>
      </c>
      <c r="I57" s="76" t="s">
        <v>196</v>
      </c>
      <c r="J57" s="77" t="s">
        <v>197</v>
      </c>
      <c r="K57" s="81" t="s">
        <v>221</v>
      </c>
      <c r="L57" s="76" t="s">
        <v>192</v>
      </c>
      <c r="M57" s="13" t="s">
        <v>193</v>
      </c>
      <c r="N57" s="75">
        <v>4.66</v>
      </c>
      <c r="O57" s="75">
        <v>4.66</v>
      </c>
      <c r="P57" s="75">
        <v>4.66</v>
      </c>
      <c r="Q57" s="75">
        <v>4.66</v>
      </c>
      <c r="R57" s="75">
        <v>4.66</v>
      </c>
      <c r="S57" s="75">
        <v>4.66</v>
      </c>
      <c r="T57" s="75">
        <v>4.66</v>
      </c>
      <c r="U57" s="75">
        <v>4.66</v>
      </c>
      <c r="V57" s="75">
        <v>4.66</v>
      </c>
      <c r="W57" s="75">
        <v>4.66</v>
      </c>
      <c r="X57" s="75">
        <v>4.66</v>
      </c>
      <c r="Y57" s="75">
        <v>4.66</v>
      </c>
      <c r="Z57" s="75">
        <v>4.66</v>
      </c>
      <c r="AA57" s="13">
        <v>0</v>
      </c>
      <c r="AB57" s="72">
        <v>0.05</v>
      </c>
      <c r="AC57" s="72">
        <v>0.05</v>
      </c>
      <c r="AD57" s="72">
        <v>0.05</v>
      </c>
      <c r="AE57" s="69">
        <v>0.05</v>
      </c>
      <c r="AF57" s="69">
        <v>0.05</v>
      </c>
      <c r="AG57" s="69">
        <v>0.05</v>
      </c>
      <c r="AH57" s="69">
        <v>0.05</v>
      </c>
      <c r="AI57" s="69">
        <v>0.05</v>
      </c>
      <c r="AJ57" s="69">
        <v>0.05</v>
      </c>
      <c r="AK57" s="69">
        <v>0.05</v>
      </c>
      <c r="AL57" s="69">
        <v>0.05</v>
      </c>
      <c r="AM57" s="69">
        <v>0.05</v>
      </c>
      <c r="AN57" s="73">
        <v>0</v>
      </c>
      <c r="AO57" s="95">
        <f t="shared" si="0"/>
        <v>0</v>
      </c>
      <c r="AP57" s="73">
        <v>0</v>
      </c>
      <c r="AQ57" s="95">
        <f t="shared" si="1"/>
        <v>0</v>
      </c>
      <c r="AR57" s="73">
        <v>0</v>
      </c>
      <c r="AS57" s="96">
        <f t="shared" si="2"/>
        <v>0</v>
      </c>
      <c r="AT57" s="80">
        <v>0</v>
      </c>
      <c r="AU57" s="97">
        <f t="shared" si="3"/>
        <v>0</v>
      </c>
      <c r="AV57" s="80">
        <v>0</v>
      </c>
      <c r="AW57" s="97">
        <f t="shared" si="4"/>
        <v>0</v>
      </c>
      <c r="AX57" s="80">
        <v>0</v>
      </c>
      <c r="AY57" s="97">
        <f t="shared" si="5"/>
        <v>0</v>
      </c>
      <c r="AZ57" s="74">
        <v>0</v>
      </c>
      <c r="BA57" s="97">
        <f t="shared" si="6"/>
        <v>0</v>
      </c>
      <c r="BB57" s="70">
        <v>0</v>
      </c>
      <c r="BC57" s="97">
        <f t="shared" si="7"/>
        <v>0</v>
      </c>
      <c r="BD57" s="73">
        <v>0</v>
      </c>
      <c r="BE57" s="97">
        <f t="shared" si="8"/>
        <v>0</v>
      </c>
      <c r="BF57" s="70">
        <v>6000</v>
      </c>
      <c r="BG57" s="97">
        <f t="shared" si="9"/>
        <v>300</v>
      </c>
      <c r="BH57" s="73">
        <v>9000</v>
      </c>
      <c r="BI57" s="97">
        <f>AL57*BH57</f>
        <v>450</v>
      </c>
      <c r="BJ57" s="73">
        <v>6000</v>
      </c>
      <c r="BK57" s="97">
        <f>AM57*BJ57</f>
        <v>300</v>
      </c>
      <c r="BL57" s="128"/>
      <c r="BM57" s="131" t="s">
        <v>289</v>
      </c>
    </row>
    <row r="58" spans="1:65" ht="15.75" customHeight="1" thickBot="1">
      <c r="A58" s="93" t="s">
        <v>123</v>
      </c>
      <c r="B58" s="122" t="s">
        <v>184</v>
      </c>
      <c r="C58" s="299"/>
      <c r="D58" s="295"/>
      <c r="E58" s="295"/>
      <c r="F58" s="297"/>
      <c r="G58" s="78">
        <v>2018</v>
      </c>
      <c r="H58" s="81" t="s">
        <v>286</v>
      </c>
      <c r="I58" s="76" t="s">
        <v>196</v>
      </c>
      <c r="J58" s="77" t="s">
        <v>197</v>
      </c>
      <c r="K58" s="81" t="s">
        <v>221</v>
      </c>
      <c r="L58" s="76" t="s">
        <v>192</v>
      </c>
      <c r="M58" s="13" t="s">
        <v>193</v>
      </c>
      <c r="N58" s="75">
        <v>4.68</v>
      </c>
      <c r="O58" s="75">
        <v>4.68</v>
      </c>
      <c r="P58" s="75">
        <v>4.68</v>
      </c>
      <c r="Q58" s="75">
        <v>4.68</v>
      </c>
      <c r="R58" s="75">
        <v>4.68</v>
      </c>
      <c r="S58" s="75">
        <v>4.68</v>
      </c>
      <c r="T58" s="75">
        <v>4.68</v>
      </c>
      <c r="U58" s="75">
        <v>4.68</v>
      </c>
      <c r="V58" s="75">
        <v>4.68</v>
      </c>
      <c r="W58" s="75">
        <v>4.68</v>
      </c>
      <c r="X58" s="75">
        <v>4.68</v>
      </c>
      <c r="Y58" s="75">
        <v>4.68</v>
      </c>
      <c r="Z58" s="75">
        <v>4.68</v>
      </c>
      <c r="AA58" s="13">
        <v>0</v>
      </c>
      <c r="AB58" s="72">
        <v>0.05</v>
      </c>
      <c r="AC58" s="72">
        <v>0.05</v>
      </c>
      <c r="AD58" s="72">
        <v>0.05</v>
      </c>
      <c r="AE58" s="69">
        <v>0.05</v>
      </c>
      <c r="AF58" s="69">
        <v>0.05</v>
      </c>
      <c r="AG58" s="69">
        <v>0.05</v>
      </c>
      <c r="AH58" s="69">
        <v>0.05</v>
      </c>
      <c r="AI58" s="69">
        <v>0.05</v>
      </c>
      <c r="AJ58" s="69">
        <v>0.05</v>
      </c>
      <c r="AK58" s="69">
        <v>0.05</v>
      </c>
      <c r="AL58" s="69">
        <v>0.05</v>
      </c>
      <c r="AM58" s="69">
        <v>0.05</v>
      </c>
      <c r="AN58" s="73">
        <v>23040</v>
      </c>
      <c r="AO58" s="95">
        <f t="shared" si="0"/>
        <v>1152</v>
      </c>
      <c r="AP58" s="73">
        <v>11520</v>
      </c>
      <c r="AQ58" s="95">
        <f t="shared" si="1"/>
        <v>576</v>
      </c>
      <c r="AR58" s="73">
        <v>0</v>
      </c>
      <c r="AS58" s="96">
        <f t="shared" si="2"/>
        <v>0</v>
      </c>
      <c r="AT58" s="79">
        <v>0</v>
      </c>
      <c r="AU58" s="97">
        <f t="shared" si="3"/>
        <v>0</v>
      </c>
      <c r="AV58" s="79">
        <v>0</v>
      </c>
      <c r="AW58" s="97">
        <f t="shared" si="4"/>
        <v>0</v>
      </c>
      <c r="AX58" s="79">
        <v>0</v>
      </c>
      <c r="AY58" s="97">
        <f t="shared" si="5"/>
        <v>0</v>
      </c>
      <c r="AZ58" s="70">
        <v>0</v>
      </c>
      <c r="BA58" s="97">
        <f t="shared" si="6"/>
        <v>0</v>
      </c>
      <c r="BB58" s="74">
        <v>0</v>
      </c>
      <c r="BC58" s="97">
        <f t="shared" si="7"/>
        <v>0</v>
      </c>
      <c r="BD58" s="73">
        <v>0</v>
      </c>
      <c r="BE58" s="97">
        <f t="shared" si="8"/>
        <v>0</v>
      </c>
      <c r="BF58" s="73">
        <v>6720</v>
      </c>
      <c r="BG58" s="97">
        <f t="shared" si="9"/>
        <v>336</v>
      </c>
      <c r="BH58" s="73">
        <v>12960</v>
      </c>
      <c r="BI58" s="97">
        <f t="shared" si="10"/>
        <v>648</v>
      </c>
      <c r="BJ58" s="70">
        <v>4320</v>
      </c>
      <c r="BK58" s="97">
        <f t="shared" si="11"/>
        <v>216</v>
      </c>
      <c r="BL58" s="128"/>
      <c r="BM58" s="131" t="s">
        <v>290</v>
      </c>
    </row>
    <row r="59" spans="1:65" ht="15.75" customHeight="1" thickBot="1">
      <c r="A59" s="93" t="s">
        <v>123</v>
      </c>
      <c r="B59" s="122" t="s">
        <v>184</v>
      </c>
      <c r="C59" s="299"/>
      <c r="D59" s="295"/>
      <c r="E59" s="295"/>
      <c r="F59" s="297"/>
      <c r="G59" s="78">
        <v>2018</v>
      </c>
      <c r="H59" s="81" t="s">
        <v>286</v>
      </c>
      <c r="I59" s="76" t="s">
        <v>196</v>
      </c>
      <c r="J59" s="77" t="s">
        <v>197</v>
      </c>
      <c r="K59" s="81" t="s">
        <v>291</v>
      </c>
      <c r="L59" s="76" t="s">
        <v>192</v>
      </c>
      <c r="M59" s="13" t="s">
        <v>193</v>
      </c>
      <c r="N59" s="75">
        <v>5.14</v>
      </c>
      <c r="O59" s="75">
        <v>5.14</v>
      </c>
      <c r="P59" s="75">
        <v>5.14</v>
      </c>
      <c r="Q59" s="75">
        <v>5.14</v>
      </c>
      <c r="R59" s="75">
        <v>5.14</v>
      </c>
      <c r="S59" s="75">
        <v>5.14</v>
      </c>
      <c r="T59" s="75">
        <v>5.14</v>
      </c>
      <c r="U59" s="75">
        <v>5.14</v>
      </c>
      <c r="V59" s="75">
        <v>5.14</v>
      </c>
      <c r="W59" s="75">
        <v>5.14</v>
      </c>
      <c r="X59" s="75">
        <v>5.14</v>
      </c>
      <c r="Y59" s="75">
        <v>5.14</v>
      </c>
      <c r="Z59" s="75">
        <v>5.14</v>
      </c>
      <c r="AA59" s="13">
        <v>0</v>
      </c>
      <c r="AB59" s="72">
        <v>0.05</v>
      </c>
      <c r="AC59" s="72">
        <v>0.05</v>
      </c>
      <c r="AD59" s="72">
        <v>0.05</v>
      </c>
      <c r="AE59" s="69">
        <v>0.05</v>
      </c>
      <c r="AF59" s="69">
        <v>0.05</v>
      </c>
      <c r="AG59" s="69">
        <v>0.05</v>
      </c>
      <c r="AH59" s="69">
        <v>0.05</v>
      </c>
      <c r="AI59" s="69">
        <v>0.05</v>
      </c>
      <c r="AJ59" s="69">
        <v>0.05</v>
      </c>
      <c r="AK59" s="69">
        <v>0.05</v>
      </c>
      <c r="AL59" s="69">
        <v>0.05</v>
      </c>
      <c r="AM59" s="69">
        <v>0.05</v>
      </c>
      <c r="AN59" s="73">
        <v>2808</v>
      </c>
      <c r="AO59" s="95">
        <f t="shared" si="0"/>
        <v>140.4</v>
      </c>
      <c r="AP59" s="73">
        <v>0</v>
      </c>
      <c r="AQ59" s="95">
        <f t="shared" si="1"/>
        <v>0</v>
      </c>
      <c r="AR59" s="73">
        <v>1404</v>
      </c>
      <c r="AS59" s="96">
        <f t="shared" si="2"/>
        <v>70.2</v>
      </c>
      <c r="AT59" s="79">
        <v>0</v>
      </c>
      <c r="AU59" s="97">
        <f t="shared" si="3"/>
        <v>0</v>
      </c>
      <c r="AV59" s="79">
        <v>0</v>
      </c>
      <c r="AW59" s="97">
        <f t="shared" si="4"/>
        <v>0</v>
      </c>
      <c r="AX59" s="80">
        <v>0</v>
      </c>
      <c r="AY59" s="97">
        <f t="shared" si="5"/>
        <v>0</v>
      </c>
      <c r="AZ59" s="73">
        <v>0</v>
      </c>
      <c r="BA59" s="97">
        <f t="shared" si="6"/>
        <v>0</v>
      </c>
      <c r="BB59" s="74">
        <v>0</v>
      </c>
      <c r="BC59" s="97">
        <f t="shared" si="7"/>
        <v>0</v>
      </c>
      <c r="BD59" s="70">
        <v>0</v>
      </c>
      <c r="BE59" s="97">
        <f t="shared" si="8"/>
        <v>0</v>
      </c>
      <c r="BF59" s="73">
        <v>0</v>
      </c>
      <c r="BG59" s="97">
        <f t="shared" si="9"/>
        <v>0</v>
      </c>
      <c r="BH59" s="70">
        <v>0</v>
      </c>
      <c r="BI59" s="97">
        <f t="shared" si="10"/>
        <v>0</v>
      </c>
      <c r="BJ59" s="73">
        <v>0</v>
      </c>
      <c r="BK59" s="97">
        <f t="shared" si="11"/>
        <v>0</v>
      </c>
      <c r="BL59" s="128"/>
      <c r="BM59" s="131" t="s">
        <v>292</v>
      </c>
    </row>
    <row r="60" spans="1:65" ht="15.75" customHeight="1" thickBot="1">
      <c r="A60" s="93" t="s">
        <v>123</v>
      </c>
      <c r="B60" s="122" t="s">
        <v>184</v>
      </c>
      <c r="C60" s="299"/>
      <c r="D60" s="295"/>
      <c r="E60" s="295"/>
      <c r="F60" s="297"/>
      <c r="G60" s="78">
        <v>2018</v>
      </c>
      <c r="H60" s="81" t="s">
        <v>286</v>
      </c>
      <c r="I60" s="76" t="s">
        <v>196</v>
      </c>
      <c r="J60" s="77" t="s">
        <v>197</v>
      </c>
      <c r="K60" s="81" t="s">
        <v>245</v>
      </c>
      <c r="L60" s="76" t="s">
        <v>192</v>
      </c>
      <c r="M60" s="13" t="s">
        <v>193</v>
      </c>
      <c r="N60" s="75">
        <v>5.14</v>
      </c>
      <c r="O60" s="75">
        <v>5.14</v>
      </c>
      <c r="P60" s="75">
        <v>5.14</v>
      </c>
      <c r="Q60" s="75">
        <v>5.14</v>
      </c>
      <c r="R60" s="75">
        <v>5.14</v>
      </c>
      <c r="S60" s="75">
        <v>5.14</v>
      </c>
      <c r="T60" s="75">
        <v>5.14</v>
      </c>
      <c r="U60" s="75">
        <v>5.14</v>
      </c>
      <c r="V60" s="75">
        <v>5.14</v>
      </c>
      <c r="W60" s="75">
        <v>5.14</v>
      </c>
      <c r="X60" s="75">
        <v>5.14</v>
      </c>
      <c r="Y60" s="75">
        <v>5.14</v>
      </c>
      <c r="Z60" s="75">
        <v>5.14</v>
      </c>
      <c r="AA60" s="13">
        <v>0</v>
      </c>
      <c r="AB60" s="72">
        <v>0.05</v>
      </c>
      <c r="AC60" s="72">
        <v>0.05</v>
      </c>
      <c r="AD60" s="72">
        <v>0.05</v>
      </c>
      <c r="AE60" s="69">
        <v>0.05</v>
      </c>
      <c r="AF60" s="69">
        <v>0.05</v>
      </c>
      <c r="AG60" s="69">
        <v>0.05</v>
      </c>
      <c r="AH60" s="69">
        <v>0.05</v>
      </c>
      <c r="AI60" s="69">
        <v>0.05</v>
      </c>
      <c r="AJ60" s="69">
        <v>0.05</v>
      </c>
      <c r="AK60" s="69">
        <v>0.05</v>
      </c>
      <c r="AL60" s="69">
        <v>0.05</v>
      </c>
      <c r="AM60" s="69">
        <v>0.05</v>
      </c>
      <c r="AN60" s="73">
        <v>4212</v>
      </c>
      <c r="AO60" s="95">
        <f t="shared" si="0"/>
        <v>210.60000000000002</v>
      </c>
      <c r="AP60" s="73">
        <v>0</v>
      </c>
      <c r="AQ60" s="95">
        <f t="shared" si="1"/>
        <v>0</v>
      </c>
      <c r="AR60" s="73">
        <v>2808</v>
      </c>
      <c r="AS60" s="96">
        <f t="shared" si="2"/>
        <v>140.4</v>
      </c>
      <c r="AT60" s="79">
        <v>0</v>
      </c>
      <c r="AU60" s="97">
        <f t="shared" si="3"/>
        <v>0</v>
      </c>
      <c r="AV60" s="79">
        <v>0</v>
      </c>
      <c r="AW60" s="97">
        <f t="shared" si="4"/>
        <v>0</v>
      </c>
      <c r="AX60" s="80">
        <v>1404</v>
      </c>
      <c r="AY60" s="97">
        <f t="shared" si="5"/>
        <v>70.2</v>
      </c>
      <c r="AZ60" s="73">
        <v>0</v>
      </c>
      <c r="BA60" s="97">
        <f t="shared" si="6"/>
        <v>0</v>
      </c>
      <c r="BB60" s="70">
        <v>0</v>
      </c>
      <c r="BC60" s="97">
        <f t="shared" si="7"/>
        <v>0</v>
      </c>
      <c r="BD60" s="73">
        <v>0</v>
      </c>
      <c r="BE60" s="97">
        <f t="shared" si="8"/>
        <v>0</v>
      </c>
      <c r="BF60" s="73">
        <v>0</v>
      </c>
      <c r="BG60" s="97">
        <f t="shared" si="9"/>
        <v>0</v>
      </c>
      <c r="BH60" s="73">
        <v>0</v>
      </c>
      <c r="BI60" s="97">
        <f t="shared" si="10"/>
        <v>0</v>
      </c>
      <c r="BJ60" s="73">
        <v>0</v>
      </c>
      <c r="BK60" s="97">
        <f t="shared" si="11"/>
        <v>0</v>
      </c>
      <c r="BL60" s="128"/>
      <c r="BM60" s="131" t="s">
        <v>293</v>
      </c>
    </row>
    <row r="61" spans="1:65" ht="15.75" customHeight="1" thickBot="1">
      <c r="A61" s="93" t="s">
        <v>123</v>
      </c>
      <c r="B61" s="122" t="s">
        <v>184</v>
      </c>
      <c r="C61" s="299"/>
      <c r="D61" s="295"/>
      <c r="E61" s="295"/>
      <c r="F61" s="297"/>
      <c r="G61" s="78">
        <v>2018</v>
      </c>
      <c r="H61" s="81" t="s">
        <v>286</v>
      </c>
      <c r="I61" s="76" t="s">
        <v>196</v>
      </c>
      <c r="J61" s="77" t="s">
        <v>197</v>
      </c>
      <c r="K61" s="81" t="s">
        <v>294</v>
      </c>
      <c r="L61" s="76" t="s">
        <v>192</v>
      </c>
      <c r="M61" s="13" t="s">
        <v>193</v>
      </c>
      <c r="N61" s="75">
        <v>5.14</v>
      </c>
      <c r="O61" s="75">
        <v>5.14</v>
      </c>
      <c r="P61" s="75">
        <v>5.14</v>
      </c>
      <c r="Q61" s="75">
        <v>5.14</v>
      </c>
      <c r="R61" s="75">
        <v>5.14</v>
      </c>
      <c r="S61" s="75">
        <v>5.14</v>
      </c>
      <c r="T61" s="75">
        <v>5.14</v>
      </c>
      <c r="U61" s="75">
        <v>5.14</v>
      </c>
      <c r="V61" s="75">
        <v>5.14</v>
      </c>
      <c r="W61" s="75">
        <v>5.14</v>
      </c>
      <c r="X61" s="75">
        <v>5.14</v>
      </c>
      <c r="Y61" s="75">
        <v>4.78</v>
      </c>
      <c r="Z61" s="75">
        <v>4.78</v>
      </c>
      <c r="AA61" s="13">
        <v>0</v>
      </c>
      <c r="AB61" s="72">
        <v>0.05</v>
      </c>
      <c r="AC61" s="72">
        <v>0.05</v>
      </c>
      <c r="AD61" s="72">
        <v>0.05</v>
      </c>
      <c r="AE61" s="69">
        <v>0.05</v>
      </c>
      <c r="AF61" s="69">
        <v>0.05</v>
      </c>
      <c r="AG61" s="69">
        <v>0.05</v>
      </c>
      <c r="AH61" s="69">
        <v>0.05</v>
      </c>
      <c r="AI61" s="69">
        <v>0.05</v>
      </c>
      <c r="AJ61" s="69">
        <v>0.05</v>
      </c>
      <c r="AK61" s="69">
        <v>0.05</v>
      </c>
      <c r="AL61" s="69">
        <v>0.05</v>
      </c>
      <c r="AM61" s="69">
        <v>0.05</v>
      </c>
      <c r="AN61" s="73">
        <v>2808</v>
      </c>
      <c r="AO61" s="95">
        <f t="shared" si="0"/>
        <v>140.4</v>
      </c>
      <c r="AP61" s="73">
        <v>0</v>
      </c>
      <c r="AQ61" s="95">
        <f t="shared" si="1"/>
        <v>0</v>
      </c>
      <c r="AR61" s="73">
        <v>2808</v>
      </c>
      <c r="AS61" s="96">
        <f t="shared" si="2"/>
        <v>140.4</v>
      </c>
      <c r="AT61" s="80">
        <v>4212</v>
      </c>
      <c r="AU61" s="97">
        <f t="shared" si="3"/>
        <v>210.60000000000002</v>
      </c>
      <c r="AV61" s="80">
        <v>1404</v>
      </c>
      <c r="AW61" s="97">
        <f t="shared" si="4"/>
        <v>70.2</v>
      </c>
      <c r="AX61" s="80">
        <v>1404</v>
      </c>
      <c r="AY61" s="97">
        <f t="shared" si="5"/>
        <v>70.2</v>
      </c>
      <c r="AZ61" s="71">
        <v>2808</v>
      </c>
      <c r="BA61" s="97">
        <f t="shared" si="6"/>
        <v>140.4</v>
      </c>
      <c r="BB61" s="70">
        <v>2808</v>
      </c>
      <c r="BC61" s="97">
        <f t="shared" si="7"/>
        <v>140.4</v>
      </c>
      <c r="BD61" s="73">
        <v>0</v>
      </c>
      <c r="BE61" s="97">
        <f t="shared" si="8"/>
        <v>0</v>
      </c>
      <c r="BF61" s="70">
        <v>0</v>
      </c>
      <c r="BG61" s="97">
        <f t="shared" si="9"/>
        <v>0</v>
      </c>
      <c r="BH61" s="73">
        <v>4320</v>
      </c>
      <c r="BI61" s="97">
        <f t="shared" si="10"/>
        <v>216</v>
      </c>
      <c r="BJ61" s="70">
        <v>0</v>
      </c>
      <c r="BK61" s="97">
        <f t="shared" si="11"/>
        <v>0</v>
      </c>
      <c r="BL61" s="128"/>
      <c r="BM61" s="131" t="s">
        <v>295</v>
      </c>
    </row>
    <row r="62" spans="1:65" ht="15.75" customHeight="1" thickBot="1">
      <c r="A62" s="93" t="s">
        <v>123</v>
      </c>
      <c r="B62" s="122" t="s">
        <v>184</v>
      </c>
      <c r="C62" s="299"/>
      <c r="D62" s="295"/>
      <c r="E62" s="295"/>
      <c r="F62" s="297"/>
      <c r="G62" s="78">
        <v>2018</v>
      </c>
      <c r="H62" s="81" t="s">
        <v>296</v>
      </c>
      <c r="I62" s="76" t="s">
        <v>196</v>
      </c>
      <c r="J62" s="77" t="s">
        <v>197</v>
      </c>
      <c r="K62" s="81" t="s">
        <v>191</v>
      </c>
      <c r="L62" s="76" t="s">
        <v>192</v>
      </c>
      <c r="M62" s="13" t="s">
        <v>193</v>
      </c>
      <c r="N62" s="75">
        <v>5.12</v>
      </c>
      <c r="O62" s="75">
        <v>5.12</v>
      </c>
      <c r="P62" s="75">
        <v>5.12</v>
      </c>
      <c r="Q62" s="75">
        <v>5.12</v>
      </c>
      <c r="R62" s="75">
        <v>5.12</v>
      </c>
      <c r="S62" s="75">
        <v>5.12</v>
      </c>
      <c r="T62" s="75">
        <v>5.12</v>
      </c>
      <c r="U62" s="75">
        <v>5.12</v>
      </c>
      <c r="V62" s="75">
        <v>5.12</v>
      </c>
      <c r="W62" s="75">
        <v>5.12</v>
      </c>
      <c r="X62" s="75">
        <v>5.12</v>
      </c>
      <c r="Y62" s="75">
        <v>5.12</v>
      </c>
      <c r="Z62" s="75">
        <v>5.12</v>
      </c>
      <c r="AA62" s="13">
        <v>0</v>
      </c>
      <c r="AB62" s="72">
        <v>0</v>
      </c>
      <c r="AC62" s="72">
        <v>0</v>
      </c>
      <c r="AD62" s="72">
        <v>0</v>
      </c>
      <c r="AE62" s="69">
        <v>0</v>
      </c>
      <c r="AF62" s="69">
        <v>0</v>
      </c>
      <c r="AG62" s="69">
        <v>0</v>
      </c>
      <c r="AH62" s="69">
        <v>0</v>
      </c>
      <c r="AI62" s="69">
        <v>0</v>
      </c>
      <c r="AJ62" s="69">
        <v>0</v>
      </c>
      <c r="AK62" s="69">
        <v>0</v>
      </c>
      <c r="AL62" s="69">
        <v>0</v>
      </c>
      <c r="AM62" s="69">
        <v>0</v>
      </c>
      <c r="AN62" s="73">
        <v>5760</v>
      </c>
      <c r="AO62" s="95">
        <f t="shared" si="0"/>
        <v>0</v>
      </c>
      <c r="AP62" s="79">
        <v>0</v>
      </c>
      <c r="AQ62" s="95">
        <f t="shared" si="1"/>
        <v>0</v>
      </c>
      <c r="AR62" s="79">
        <v>0</v>
      </c>
      <c r="AS62" s="96">
        <f t="shared" si="2"/>
        <v>0</v>
      </c>
      <c r="AT62" s="79">
        <v>0</v>
      </c>
      <c r="AU62" s="97">
        <f t="shared" si="3"/>
        <v>0</v>
      </c>
      <c r="AV62" s="79">
        <v>0</v>
      </c>
      <c r="AW62" s="97">
        <f t="shared" si="4"/>
        <v>0</v>
      </c>
      <c r="AX62" s="79">
        <v>0</v>
      </c>
      <c r="AY62" s="97">
        <f t="shared" si="5"/>
        <v>0</v>
      </c>
      <c r="AZ62" s="73">
        <v>0</v>
      </c>
      <c r="BA62" s="97">
        <f t="shared" si="6"/>
        <v>0</v>
      </c>
      <c r="BB62" s="74">
        <v>0</v>
      </c>
      <c r="BC62" s="97">
        <f t="shared" si="7"/>
        <v>0</v>
      </c>
      <c r="BD62" s="71">
        <v>0</v>
      </c>
      <c r="BE62" s="97">
        <f t="shared" si="8"/>
        <v>0</v>
      </c>
      <c r="BF62" s="73">
        <v>0</v>
      </c>
      <c r="BG62" s="97">
        <f t="shared" si="9"/>
        <v>0</v>
      </c>
      <c r="BH62" s="70">
        <v>0</v>
      </c>
      <c r="BI62" s="97">
        <f t="shared" si="10"/>
        <v>0</v>
      </c>
      <c r="BJ62" s="73">
        <v>0</v>
      </c>
      <c r="BK62" s="97">
        <f t="shared" si="11"/>
        <v>0</v>
      </c>
      <c r="BL62" s="128"/>
      <c r="BM62" s="131" t="s">
        <v>297</v>
      </c>
    </row>
    <row r="63" spans="1:65" ht="15.75" customHeight="1" thickBot="1">
      <c r="A63" s="93" t="s">
        <v>123</v>
      </c>
      <c r="B63" s="122" t="s">
        <v>184</v>
      </c>
      <c r="C63" s="299"/>
      <c r="D63" s="295"/>
      <c r="E63" s="295"/>
      <c r="F63" s="297"/>
      <c r="G63" s="78">
        <v>2018</v>
      </c>
      <c r="H63" s="81" t="s">
        <v>296</v>
      </c>
      <c r="I63" s="76" t="s">
        <v>196</v>
      </c>
      <c r="J63" s="77" t="s">
        <v>197</v>
      </c>
      <c r="K63" s="81" t="s">
        <v>191</v>
      </c>
      <c r="L63" s="76" t="s">
        <v>192</v>
      </c>
      <c r="M63" s="13" t="s">
        <v>193</v>
      </c>
      <c r="N63" s="75">
        <v>5.57</v>
      </c>
      <c r="O63" s="75">
        <v>5.57</v>
      </c>
      <c r="P63" s="75">
        <v>5.57</v>
      </c>
      <c r="Q63" s="75">
        <v>5.57</v>
      </c>
      <c r="R63" s="75">
        <v>5.57</v>
      </c>
      <c r="S63" s="75">
        <v>5.57</v>
      </c>
      <c r="T63" s="75">
        <v>5.57</v>
      </c>
      <c r="U63" s="75">
        <v>5.57</v>
      </c>
      <c r="V63" s="75">
        <v>5.57</v>
      </c>
      <c r="W63" s="75">
        <v>5.57</v>
      </c>
      <c r="X63" s="75">
        <v>5.57</v>
      </c>
      <c r="Y63" s="75">
        <v>5.57</v>
      </c>
      <c r="Z63" s="75">
        <v>5.57</v>
      </c>
      <c r="AA63" s="13">
        <v>0</v>
      </c>
      <c r="AB63" s="72">
        <v>0</v>
      </c>
      <c r="AC63" s="72">
        <v>0</v>
      </c>
      <c r="AD63" s="72">
        <v>0</v>
      </c>
      <c r="AE63" s="69">
        <v>0</v>
      </c>
      <c r="AF63" s="69">
        <v>0</v>
      </c>
      <c r="AG63" s="69">
        <v>0</v>
      </c>
      <c r="AH63" s="69">
        <v>0</v>
      </c>
      <c r="AI63" s="69">
        <v>0</v>
      </c>
      <c r="AJ63" s="69">
        <v>0</v>
      </c>
      <c r="AK63" s="69">
        <v>0</v>
      </c>
      <c r="AL63" s="69">
        <v>0</v>
      </c>
      <c r="AM63" s="69">
        <v>0</v>
      </c>
      <c r="AN63" s="73">
        <v>1404</v>
      </c>
      <c r="AO63" s="95">
        <f t="shared" si="0"/>
        <v>0</v>
      </c>
      <c r="AP63" s="73">
        <v>2808</v>
      </c>
      <c r="AQ63" s="95">
        <f t="shared" si="1"/>
        <v>0</v>
      </c>
      <c r="AR63" s="73">
        <v>0</v>
      </c>
      <c r="AS63" s="96">
        <f t="shared" si="2"/>
        <v>0</v>
      </c>
      <c r="AT63" s="80">
        <v>1404</v>
      </c>
      <c r="AU63" s="97">
        <f t="shared" si="3"/>
        <v>0</v>
      </c>
      <c r="AV63" s="79">
        <v>0</v>
      </c>
      <c r="AW63" s="97">
        <f t="shared" si="4"/>
        <v>0</v>
      </c>
      <c r="AX63" s="79">
        <v>0</v>
      </c>
      <c r="AY63" s="97">
        <f t="shared" si="5"/>
        <v>0</v>
      </c>
      <c r="AZ63" s="73">
        <v>0</v>
      </c>
      <c r="BA63" s="97">
        <f t="shared" si="6"/>
        <v>0</v>
      </c>
      <c r="BB63" s="74">
        <v>0</v>
      </c>
      <c r="BC63" s="97">
        <f t="shared" si="7"/>
        <v>0</v>
      </c>
      <c r="BD63" s="70">
        <v>0</v>
      </c>
      <c r="BE63" s="97">
        <f t="shared" si="8"/>
        <v>0</v>
      </c>
      <c r="BF63" s="73">
        <v>0</v>
      </c>
      <c r="BG63" s="97">
        <f t="shared" si="9"/>
        <v>0</v>
      </c>
      <c r="BH63" s="73">
        <v>0</v>
      </c>
      <c r="BI63" s="97">
        <f t="shared" si="10"/>
        <v>0</v>
      </c>
      <c r="BJ63" s="73">
        <v>0</v>
      </c>
      <c r="BK63" s="97">
        <f t="shared" si="11"/>
        <v>0</v>
      </c>
      <c r="BL63" s="128"/>
      <c r="BM63" s="131" t="s">
        <v>298</v>
      </c>
    </row>
    <row r="64" spans="1:65" ht="15.75" customHeight="1" thickBot="1">
      <c r="A64" s="93" t="s">
        <v>123</v>
      </c>
      <c r="B64" s="122" t="s">
        <v>184</v>
      </c>
      <c r="C64" s="299"/>
      <c r="D64" s="295"/>
      <c r="E64" s="295"/>
      <c r="F64" s="297"/>
      <c r="G64" s="78">
        <v>2018</v>
      </c>
      <c r="H64" s="81" t="s">
        <v>296</v>
      </c>
      <c r="I64" s="76" t="s">
        <v>196</v>
      </c>
      <c r="J64" s="77" t="s">
        <v>197</v>
      </c>
      <c r="K64" s="81" t="s">
        <v>191</v>
      </c>
      <c r="L64" s="76" t="s">
        <v>192</v>
      </c>
      <c r="M64" s="13" t="s">
        <v>193</v>
      </c>
      <c r="N64" s="75">
        <v>5.63</v>
      </c>
      <c r="O64" s="75">
        <v>5.63</v>
      </c>
      <c r="P64" s="75">
        <v>5.63</v>
      </c>
      <c r="Q64" s="75">
        <v>5.63</v>
      </c>
      <c r="R64" s="75">
        <v>5.63</v>
      </c>
      <c r="S64" s="75">
        <v>5.63</v>
      </c>
      <c r="T64" s="75">
        <v>5.63</v>
      </c>
      <c r="U64" s="75">
        <v>5.63</v>
      </c>
      <c r="V64" s="75">
        <v>5.63</v>
      </c>
      <c r="W64" s="75">
        <v>5.63</v>
      </c>
      <c r="X64" s="75">
        <v>5.63</v>
      </c>
      <c r="Y64" s="75">
        <v>5.63</v>
      </c>
      <c r="Z64" s="75">
        <v>5.63</v>
      </c>
      <c r="AA64" s="13">
        <v>0</v>
      </c>
      <c r="AB64" s="72">
        <v>0</v>
      </c>
      <c r="AC64" s="72">
        <v>0</v>
      </c>
      <c r="AD64" s="72">
        <v>0</v>
      </c>
      <c r="AE64" s="69">
        <v>0</v>
      </c>
      <c r="AF64" s="69">
        <v>0</v>
      </c>
      <c r="AG64" s="69">
        <v>0</v>
      </c>
      <c r="AH64" s="69">
        <v>0</v>
      </c>
      <c r="AI64" s="69">
        <v>0</v>
      </c>
      <c r="AJ64" s="69">
        <v>0</v>
      </c>
      <c r="AK64" s="69">
        <v>0</v>
      </c>
      <c r="AL64" s="69">
        <v>0</v>
      </c>
      <c r="AM64" s="69">
        <v>0</v>
      </c>
      <c r="AN64" s="73">
        <v>4212</v>
      </c>
      <c r="AO64" s="95">
        <f t="shared" si="0"/>
        <v>0</v>
      </c>
      <c r="AP64" s="79">
        <v>0</v>
      </c>
      <c r="AQ64" s="95">
        <f t="shared" si="1"/>
        <v>0</v>
      </c>
      <c r="AR64" s="73">
        <v>1404</v>
      </c>
      <c r="AS64" s="96">
        <f t="shared" si="2"/>
        <v>0</v>
      </c>
      <c r="AT64" s="80">
        <v>2808</v>
      </c>
      <c r="AU64" s="97">
        <f t="shared" si="3"/>
        <v>0</v>
      </c>
      <c r="AV64" s="80">
        <v>1404</v>
      </c>
      <c r="AW64" s="97">
        <f t="shared" si="4"/>
        <v>0</v>
      </c>
      <c r="AX64" s="79">
        <v>0</v>
      </c>
      <c r="AY64" s="97">
        <f t="shared" si="5"/>
        <v>0</v>
      </c>
      <c r="AZ64" s="70">
        <v>0</v>
      </c>
      <c r="BA64" s="97">
        <f t="shared" si="6"/>
        <v>0</v>
      </c>
      <c r="BB64" s="70">
        <v>0</v>
      </c>
      <c r="BC64" s="97">
        <f t="shared" si="7"/>
        <v>0</v>
      </c>
      <c r="BD64" s="74">
        <v>0</v>
      </c>
      <c r="BE64" s="97">
        <f t="shared" si="8"/>
        <v>0</v>
      </c>
      <c r="BF64" s="73">
        <v>0</v>
      </c>
      <c r="BG64" s="97">
        <f t="shared" si="9"/>
        <v>0</v>
      </c>
      <c r="BH64" s="70">
        <v>0</v>
      </c>
      <c r="BI64" s="97">
        <f t="shared" si="10"/>
        <v>0</v>
      </c>
      <c r="BJ64" s="70">
        <v>0</v>
      </c>
      <c r="BK64" s="97">
        <f t="shared" si="11"/>
        <v>0</v>
      </c>
      <c r="BL64" s="128"/>
      <c r="BM64" s="131" t="s">
        <v>299</v>
      </c>
    </row>
    <row r="65" spans="1:66" ht="15.75" customHeight="1" thickBot="1">
      <c r="A65" s="93" t="s">
        <v>123</v>
      </c>
      <c r="B65" s="122" t="s">
        <v>199</v>
      </c>
      <c r="C65" s="299"/>
      <c r="D65" s="295"/>
      <c r="E65" s="295"/>
      <c r="F65" s="297"/>
      <c r="G65" s="78">
        <v>2018</v>
      </c>
      <c r="H65" s="76" t="s">
        <v>300</v>
      </c>
      <c r="I65" s="76" t="s">
        <v>301</v>
      </c>
      <c r="J65" s="77" t="s">
        <v>197</v>
      </c>
      <c r="K65" s="81" t="s">
        <v>191</v>
      </c>
      <c r="L65" s="76" t="s">
        <v>192</v>
      </c>
      <c r="M65" s="13" t="s">
        <v>193</v>
      </c>
      <c r="N65" s="75">
        <v>3.65</v>
      </c>
      <c r="O65" s="75">
        <v>3.65</v>
      </c>
      <c r="P65" s="75">
        <v>3.65</v>
      </c>
      <c r="Q65" s="75">
        <v>3.65</v>
      </c>
      <c r="R65" s="75">
        <v>3.65</v>
      </c>
      <c r="S65" s="75">
        <v>3.65</v>
      </c>
      <c r="T65" s="75">
        <v>3.65</v>
      </c>
      <c r="U65" s="75">
        <v>3.65</v>
      </c>
      <c r="V65" s="75">
        <v>3.65</v>
      </c>
      <c r="W65" s="75">
        <v>3.65</v>
      </c>
      <c r="X65" s="75">
        <v>3.65</v>
      </c>
      <c r="Y65" s="75">
        <v>3.65</v>
      </c>
      <c r="Z65" s="75">
        <v>3.65</v>
      </c>
      <c r="AA65" s="13">
        <v>0</v>
      </c>
      <c r="AB65" s="72">
        <v>0</v>
      </c>
      <c r="AC65" s="72">
        <v>0</v>
      </c>
      <c r="AD65" s="72">
        <v>0</v>
      </c>
      <c r="AE65" s="69">
        <v>0</v>
      </c>
      <c r="AF65" s="69">
        <v>0</v>
      </c>
      <c r="AG65" s="69">
        <v>0</v>
      </c>
      <c r="AH65" s="69">
        <v>0</v>
      </c>
      <c r="AI65" s="69">
        <v>0</v>
      </c>
      <c r="AJ65" s="69">
        <v>0</v>
      </c>
      <c r="AK65" s="69">
        <v>0</v>
      </c>
      <c r="AL65" s="69">
        <v>0</v>
      </c>
      <c r="AM65" s="69">
        <v>0</v>
      </c>
      <c r="AN65" s="73">
        <v>1890</v>
      </c>
      <c r="AO65" s="95">
        <f t="shared" si="0"/>
        <v>0</v>
      </c>
      <c r="AP65" s="73">
        <v>3780</v>
      </c>
      <c r="AQ65" s="95">
        <f t="shared" si="1"/>
        <v>0</v>
      </c>
      <c r="AR65" s="73">
        <v>0</v>
      </c>
      <c r="AS65" s="96">
        <f t="shared" si="2"/>
        <v>0</v>
      </c>
      <c r="AT65" s="79">
        <v>0</v>
      </c>
      <c r="AU65" s="97">
        <f t="shared" si="3"/>
        <v>0</v>
      </c>
      <c r="AV65" s="79">
        <v>0</v>
      </c>
      <c r="AW65" s="97">
        <f t="shared" si="4"/>
        <v>0</v>
      </c>
      <c r="AX65" s="79">
        <v>0</v>
      </c>
      <c r="AY65" s="97">
        <f t="shared" si="5"/>
        <v>0</v>
      </c>
      <c r="AZ65" s="73">
        <v>0</v>
      </c>
      <c r="BA65" s="97">
        <f t="shared" si="6"/>
        <v>0</v>
      </c>
      <c r="BB65" s="70">
        <v>1890</v>
      </c>
      <c r="BC65" s="97">
        <f t="shared" si="7"/>
        <v>0</v>
      </c>
      <c r="BD65" s="74">
        <v>0</v>
      </c>
      <c r="BE65" s="97">
        <f t="shared" si="8"/>
        <v>0</v>
      </c>
      <c r="BF65" s="70">
        <v>0</v>
      </c>
      <c r="BG65" s="97">
        <f t="shared" si="9"/>
        <v>0</v>
      </c>
      <c r="BH65" s="73">
        <v>0</v>
      </c>
      <c r="BI65" s="97">
        <f t="shared" si="10"/>
        <v>0</v>
      </c>
      <c r="BJ65" s="73">
        <v>3780</v>
      </c>
      <c r="BK65" s="97">
        <f t="shared" si="11"/>
        <v>0</v>
      </c>
      <c r="BL65" s="128"/>
      <c r="BM65" s="131" t="s">
        <v>302</v>
      </c>
      <c r="BN65" s="1" t="s">
        <v>234</v>
      </c>
    </row>
    <row r="66" spans="1:66" ht="15.75" customHeight="1" thickBot="1">
      <c r="A66" s="93" t="s">
        <v>123</v>
      </c>
      <c r="B66" s="122" t="s">
        <v>199</v>
      </c>
      <c r="C66" s="299"/>
      <c r="D66" s="295"/>
      <c r="E66" s="295"/>
      <c r="F66" s="297"/>
      <c r="G66" s="78">
        <v>2018</v>
      </c>
      <c r="H66" s="76" t="s">
        <v>303</v>
      </c>
      <c r="I66" s="76" t="s">
        <v>212</v>
      </c>
      <c r="J66" s="77" t="s">
        <v>197</v>
      </c>
      <c r="K66" s="81" t="s">
        <v>191</v>
      </c>
      <c r="L66" s="76" t="s">
        <v>192</v>
      </c>
      <c r="M66" s="13" t="s">
        <v>193</v>
      </c>
      <c r="N66" s="75">
        <v>3.88</v>
      </c>
      <c r="O66" s="75">
        <v>3.88</v>
      </c>
      <c r="P66" s="75">
        <v>3.88</v>
      </c>
      <c r="Q66" s="75">
        <v>3.88</v>
      </c>
      <c r="R66" s="75">
        <v>3.88</v>
      </c>
      <c r="S66" s="75">
        <v>3.88</v>
      </c>
      <c r="T66" s="75">
        <v>3.88</v>
      </c>
      <c r="U66" s="75">
        <v>3.88</v>
      </c>
      <c r="V66" s="75">
        <v>3.88</v>
      </c>
      <c r="W66" s="75">
        <v>3.88</v>
      </c>
      <c r="X66" s="75">
        <v>3.88</v>
      </c>
      <c r="Y66" s="75">
        <v>3.88</v>
      </c>
      <c r="Z66" s="75">
        <v>3.88</v>
      </c>
      <c r="AA66" s="13">
        <v>0</v>
      </c>
      <c r="AB66" s="72">
        <v>0</v>
      </c>
      <c r="AC66" s="72">
        <v>0</v>
      </c>
      <c r="AD66" s="72">
        <v>0</v>
      </c>
      <c r="AE66" s="69">
        <v>0</v>
      </c>
      <c r="AF66" s="69">
        <v>0</v>
      </c>
      <c r="AG66" s="69">
        <v>0</v>
      </c>
      <c r="AH66" s="69">
        <v>0</v>
      </c>
      <c r="AI66" s="69">
        <v>0</v>
      </c>
      <c r="AJ66" s="69">
        <v>0</v>
      </c>
      <c r="AK66" s="69">
        <v>0</v>
      </c>
      <c r="AL66" s="69">
        <v>0</v>
      </c>
      <c r="AM66" s="69">
        <v>0</v>
      </c>
      <c r="AN66" s="73">
        <v>1000</v>
      </c>
      <c r="AO66" s="95">
        <f t="shared" si="0"/>
        <v>0</v>
      </c>
      <c r="AP66" s="73">
        <v>0</v>
      </c>
      <c r="AQ66" s="95">
        <f t="shared" si="1"/>
        <v>0</v>
      </c>
      <c r="AR66" s="73">
        <v>1000</v>
      </c>
      <c r="AS66" s="96">
        <f t="shared" si="2"/>
        <v>0</v>
      </c>
      <c r="AT66" s="79">
        <v>0</v>
      </c>
      <c r="AU66" s="97">
        <f t="shared" si="3"/>
        <v>0</v>
      </c>
      <c r="AV66" s="79">
        <v>0</v>
      </c>
      <c r="AW66" s="97">
        <f t="shared" si="4"/>
        <v>0</v>
      </c>
      <c r="AX66" s="79">
        <v>0</v>
      </c>
      <c r="AY66" s="97">
        <f t="shared" si="5"/>
        <v>0</v>
      </c>
      <c r="AZ66" s="73">
        <v>0</v>
      </c>
      <c r="BA66" s="97">
        <f t="shared" si="6"/>
        <v>0</v>
      </c>
      <c r="BB66" s="74">
        <v>0</v>
      </c>
      <c r="BC66" s="97">
        <f t="shared" si="7"/>
        <v>0</v>
      </c>
      <c r="BD66" s="70">
        <v>0</v>
      </c>
      <c r="BE66" s="97">
        <f t="shared" si="8"/>
        <v>0</v>
      </c>
      <c r="BF66" s="73">
        <v>0</v>
      </c>
      <c r="BG66" s="97">
        <f t="shared" si="9"/>
        <v>0</v>
      </c>
      <c r="BH66" s="73">
        <v>0</v>
      </c>
      <c r="BI66" s="97">
        <f t="shared" si="10"/>
        <v>0</v>
      </c>
      <c r="BJ66" s="73">
        <v>0</v>
      </c>
      <c r="BK66" s="97">
        <f t="shared" si="11"/>
        <v>0</v>
      </c>
      <c r="BL66" s="128"/>
      <c r="BM66" s="131" t="s">
        <v>304</v>
      </c>
    </row>
    <row r="67" spans="1:66" ht="15.75" customHeight="1" thickBot="1">
      <c r="A67" s="93" t="s">
        <v>123</v>
      </c>
      <c r="B67" s="122" t="s">
        <v>184</v>
      </c>
      <c r="C67" s="299"/>
      <c r="D67" s="295"/>
      <c r="E67" s="295"/>
      <c r="F67" s="297"/>
      <c r="G67" s="78">
        <v>2016</v>
      </c>
      <c r="H67" s="76" t="s">
        <v>305</v>
      </c>
      <c r="I67" s="76" t="s">
        <v>196</v>
      </c>
      <c r="J67" s="77" t="s">
        <v>197</v>
      </c>
      <c r="K67" s="81" t="s">
        <v>306</v>
      </c>
      <c r="L67" s="76" t="s">
        <v>192</v>
      </c>
      <c r="M67" s="13" t="s">
        <v>193</v>
      </c>
      <c r="N67" s="75">
        <v>4.4000000000000004</v>
      </c>
      <c r="O67" s="75">
        <v>4.4000000000000004</v>
      </c>
      <c r="P67" s="75">
        <v>4.4000000000000004</v>
      </c>
      <c r="Q67" s="75">
        <v>4.4000000000000004</v>
      </c>
      <c r="R67" s="75">
        <v>4.4000000000000004</v>
      </c>
      <c r="S67" s="75">
        <v>4.4000000000000004</v>
      </c>
      <c r="T67" s="75">
        <v>4.4000000000000004</v>
      </c>
      <c r="U67" s="75">
        <v>4.4000000000000004</v>
      </c>
      <c r="V67" s="75">
        <v>4.4000000000000004</v>
      </c>
      <c r="W67" s="75">
        <v>4.4000000000000004</v>
      </c>
      <c r="X67" s="75">
        <v>4.4000000000000004</v>
      </c>
      <c r="Y67" s="75">
        <v>4.4000000000000004</v>
      </c>
      <c r="Z67" s="75">
        <v>4.4000000000000004</v>
      </c>
      <c r="AA67" s="13">
        <v>0</v>
      </c>
      <c r="AB67" s="72">
        <v>0.04</v>
      </c>
      <c r="AC67" s="72">
        <v>0.04</v>
      </c>
      <c r="AD67" s="72">
        <v>0.04</v>
      </c>
      <c r="AE67" s="69">
        <v>0.04</v>
      </c>
      <c r="AF67" s="69">
        <v>0.04</v>
      </c>
      <c r="AG67" s="69">
        <v>0.04</v>
      </c>
      <c r="AH67" s="69">
        <v>0.04</v>
      </c>
      <c r="AI67" s="69">
        <v>0.04</v>
      </c>
      <c r="AJ67" s="69">
        <v>0.04</v>
      </c>
      <c r="AK67" s="69">
        <v>0.04</v>
      </c>
      <c r="AL67" s="69">
        <v>0.04</v>
      </c>
      <c r="AM67" s="69">
        <v>0.04</v>
      </c>
      <c r="AN67" s="73">
        <v>0</v>
      </c>
      <c r="AO67" s="95">
        <f t="shared" si="0"/>
        <v>0</v>
      </c>
      <c r="AP67" s="73">
        <v>2808</v>
      </c>
      <c r="AQ67" s="95">
        <f t="shared" si="1"/>
        <v>112.32000000000001</v>
      </c>
      <c r="AR67" s="73">
        <v>2808</v>
      </c>
      <c r="AS67" s="96">
        <f t="shared" si="2"/>
        <v>112.32000000000001</v>
      </c>
      <c r="AT67" s="79">
        <v>0</v>
      </c>
      <c r="AU67" s="97">
        <f t="shared" si="3"/>
        <v>0</v>
      </c>
      <c r="AV67" s="79">
        <v>0</v>
      </c>
      <c r="AW67" s="97">
        <f t="shared" si="4"/>
        <v>0</v>
      </c>
      <c r="AX67" s="80">
        <v>0</v>
      </c>
      <c r="AY67" s="97">
        <f t="shared" si="5"/>
        <v>0</v>
      </c>
      <c r="AZ67" s="71">
        <v>4320</v>
      </c>
      <c r="BA67" s="97">
        <f t="shared" si="6"/>
        <v>172.8</v>
      </c>
      <c r="BB67" s="74">
        <v>0</v>
      </c>
      <c r="BC67" s="97">
        <f t="shared" si="7"/>
        <v>0</v>
      </c>
      <c r="BD67" s="73">
        <v>0</v>
      </c>
      <c r="BE67" s="97">
        <f t="shared" si="8"/>
        <v>0</v>
      </c>
      <c r="BF67" s="73">
        <v>0</v>
      </c>
      <c r="BG67" s="97">
        <f t="shared" si="9"/>
        <v>0</v>
      </c>
      <c r="BH67" s="70">
        <v>0</v>
      </c>
      <c r="BI67" s="97">
        <f t="shared" si="10"/>
        <v>0</v>
      </c>
      <c r="BJ67" s="70">
        <v>0</v>
      </c>
      <c r="BK67" s="97">
        <f t="shared" si="11"/>
        <v>0</v>
      </c>
      <c r="BL67" s="128"/>
      <c r="BM67" s="131" t="s">
        <v>307</v>
      </c>
    </row>
    <row r="68" spans="1:66" ht="15.75" customHeight="1" thickBot="1">
      <c r="A68" s="93" t="s">
        <v>123</v>
      </c>
      <c r="B68" s="122" t="s">
        <v>184</v>
      </c>
      <c r="C68" s="299"/>
      <c r="D68" s="295"/>
      <c r="E68" s="295"/>
      <c r="F68" s="297"/>
      <c r="G68" s="78">
        <v>2016</v>
      </c>
      <c r="H68" s="76" t="s">
        <v>305</v>
      </c>
      <c r="I68" s="76" t="s">
        <v>196</v>
      </c>
      <c r="J68" s="77" t="s">
        <v>197</v>
      </c>
      <c r="K68" s="81" t="s">
        <v>221</v>
      </c>
      <c r="L68" s="76" t="s">
        <v>192</v>
      </c>
      <c r="M68" s="13" t="s">
        <v>193</v>
      </c>
      <c r="N68" s="75">
        <v>4.8099999999999996</v>
      </c>
      <c r="O68" s="75">
        <v>4.8099999999999996</v>
      </c>
      <c r="P68" s="75">
        <v>4.8099999999999996</v>
      </c>
      <c r="Q68" s="75">
        <v>4.8099999999999996</v>
      </c>
      <c r="R68" s="75">
        <v>4.8099999999999996</v>
      </c>
      <c r="S68" s="75">
        <v>4.8099999999999996</v>
      </c>
      <c r="T68" s="75">
        <v>4.8099999999999996</v>
      </c>
      <c r="U68" s="75">
        <v>4.8099999999999996</v>
      </c>
      <c r="V68" s="75">
        <v>4.8099999999999996</v>
      </c>
      <c r="W68" s="75">
        <v>4.8099999999999996</v>
      </c>
      <c r="X68" s="75">
        <v>4.8099999999999996</v>
      </c>
      <c r="Y68" s="75">
        <v>4.8099999999999996</v>
      </c>
      <c r="Z68" s="75">
        <v>4.8099999999999996</v>
      </c>
      <c r="AA68" s="13">
        <v>0</v>
      </c>
      <c r="AB68" s="72">
        <v>0.04</v>
      </c>
      <c r="AC68" s="72">
        <v>0.04</v>
      </c>
      <c r="AD68" s="72">
        <v>0.04</v>
      </c>
      <c r="AE68" s="69">
        <v>0.04</v>
      </c>
      <c r="AF68" s="69">
        <v>0.04</v>
      </c>
      <c r="AG68" s="69">
        <v>0.04</v>
      </c>
      <c r="AH68" s="69">
        <v>0.04</v>
      </c>
      <c r="AI68" s="69">
        <v>0.04</v>
      </c>
      <c r="AJ68" s="69">
        <v>0.04</v>
      </c>
      <c r="AK68" s="69">
        <v>0.04</v>
      </c>
      <c r="AL68" s="69">
        <v>0.04</v>
      </c>
      <c r="AM68" s="69">
        <v>0.04</v>
      </c>
      <c r="AN68" s="73">
        <v>5600</v>
      </c>
      <c r="AO68" s="95">
        <f t="shared" si="0"/>
        <v>224</v>
      </c>
      <c r="AP68" s="73">
        <v>19600</v>
      </c>
      <c r="AQ68" s="95">
        <f t="shared" si="1"/>
        <v>784</v>
      </c>
      <c r="AR68" s="73">
        <v>12300</v>
      </c>
      <c r="AS68" s="96">
        <f t="shared" si="2"/>
        <v>492</v>
      </c>
      <c r="AT68" s="80">
        <v>1000</v>
      </c>
      <c r="AU68" s="97">
        <f t="shared" si="3"/>
        <v>40</v>
      </c>
      <c r="AV68" s="80">
        <v>23600</v>
      </c>
      <c r="AW68" s="97">
        <f t="shared" si="4"/>
        <v>944</v>
      </c>
      <c r="AX68" s="80">
        <v>0</v>
      </c>
      <c r="AY68" s="97">
        <f t="shared" si="5"/>
        <v>0</v>
      </c>
      <c r="AZ68" s="70">
        <v>0</v>
      </c>
      <c r="BA68" s="97">
        <f t="shared" si="6"/>
        <v>0</v>
      </c>
      <c r="BB68" s="70">
        <v>0</v>
      </c>
      <c r="BC68" s="97">
        <f t="shared" si="7"/>
        <v>0</v>
      </c>
      <c r="BD68" s="73">
        <v>0</v>
      </c>
      <c r="BE68" s="97">
        <f t="shared" si="8"/>
        <v>0</v>
      </c>
      <c r="BF68" s="73">
        <v>0</v>
      </c>
      <c r="BG68" s="97">
        <f t="shared" si="9"/>
        <v>0</v>
      </c>
      <c r="BH68" s="73">
        <v>0</v>
      </c>
      <c r="BI68" s="97">
        <f t="shared" si="10"/>
        <v>0</v>
      </c>
      <c r="BJ68" s="73">
        <v>0</v>
      </c>
      <c r="BK68" s="97">
        <f t="shared" si="11"/>
        <v>0</v>
      </c>
      <c r="BL68" s="128"/>
      <c r="BM68" s="131" t="s">
        <v>308</v>
      </c>
    </row>
    <row r="69" spans="1:66" ht="15.75" customHeight="1" thickBot="1">
      <c r="A69" s="93" t="s">
        <v>123</v>
      </c>
      <c r="B69" s="122" t="s">
        <v>184</v>
      </c>
      <c r="C69" s="299"/>
      <c r="D69" s="295"/>
      <c r="E69" s="295"/>
      <c r="F69" s="297"/>
      <c r="G69" s="78">
        <v>2016</v>
      </c>
      <c r="H69" s="76" t="s">
        <v>305</v>
      </c>
      <c r="I69" s="76" t="s">
        <v>196</v>
      </c>
      <c r="J69" s="77" t="s">
        <v>197</v>
      </c>
      <c r="K69" s="81" t="s">
        <v>221</v>
      </c>
      <c r="L69" s="76" t="s">
        <v>192</v>
      </c>
      <c r="M69" s="13" t="s">
        <v>193</v>
      </c>
      <c r="N69" s="75">
        <v>4.67</v>
      </c>
      <c r="O69" s="75">
        <v>4.67</v>
      </c>
      <c r="P69" s="75">
        <v>4.67</v>
      </c>
      <c r="Q69" s="75">
        <v>4.67</v>
      </c>
      <c r="R69" s="75">
        <v>4.67</v>
      </c>
      <c r="S69" s="75">
        <v>4.67</v>
      </c>
      <c r="T69" s="75">
        <v>4.67</v>
      </c>
      <c r="U69" s="75">
        <v>4.67</v>
      </c>
      <c r="V69" s="75">
        <v>4.67</v>
      </c>
      <c r="W69" s="75">
        <v>4.67</v>
      </c>
      <c r="X69" s="75">
        <v>4.67</v>
      </c>
      <c r="Y69" s="75">
        <v>4.67</v>
      </c>
      <c r="Z69" s="75">
        <v>4.67</v>
      </c>
      <c r="AA69" s="13">
        <v>0</v>
      </c>
      <c r="AB69" s="72">
        <v>0.04</v>
      </c>
      <c r="AC69" s="72">
        <v>0.04</v>
      </c>
      <c r="AD69" s="72">
        <v>0.04</v>
      </c>
      <c r="AE69" s="69">
        <v>0.04</v>
      </c>
      <c r="AF69" s="69">
        <v>0.04</v>
      </c>
      <c r="AG69" s="69">
        <v>0.04</v>
      </c>
      <c r="AH69" s="69">
        <v>0.04</v>
      </c>
      <c r="AI69" s="69">
        <v>0.04</v>
      </c>
      <c r="AJ69" s="69">
        <v>0.04</v>
      </c>
      <c r="AK69" s="69">
        <v>0.04</v>
      </c>
      <c r="AL69" s="69">
        <v>0.04</v>
      </c>
      <c r="AM69" s="69">
        <v>0.04</v>
      </c>
      <c r="AN69" s="73">
        <v>3000</v>
      </c>
      <c r="AO69" s="95">
        <f t="shared" ref="AO69:AO132" si="12">AB69*AN69</f>
        <v>120</v>
      </c>
      <c r="AP69" s="73">
        <v>0</v>
      </c>
      <c r="AQ69" s="95">
        <f t="shared" ref="AQ69:AQ132" si="13">AC69*AP69</f>
        <v>0</v>
      </c>
      <c r="AR69" s="73">
        <v>0</v>
      </c>
      <c r="AS69" s="96">
        <f t="shared" ref="AS69:AS132" si="14">AD69*AR69</f>
        <v>0</v>
      </c>
      <c r="AT69" s="79">
        <v>0</v>
      </c>
      <c r="AU69" s="97">
        <f t="shared" ref="AU69:AU132" si="15">AE69*AT69</f>
        <v>0</v>
      </c>
      <c r="AV69" s="79">
        <v>0</v>
      </c>
      <c r="AW69" s="97">
        <f t="shared" ref="AW69:AW132" si="16">AF69*AV69</f>
        <v>0</v>
      </c>
      <c r="AX69" s="79">
        <v>0</v>
      </c>
      <c r="AY69" s="97">
        <f t="shared" ref="AY69:AY132" si="17">AG69*AX69</f>
        <v>0</v>
      </c>
      <c r="AZ69" s="74">
        <v>0</v>
      </c>
      <c r="BA69" s="97">
        <f t="shared" ref="BA69:BA132" si="18">AH69*AZ69</f>
        <v>0</v>
      </c>
      <c r="BB69" s="70">
        <v>0</v>
      </c>
      <c r="BC69" s="97">
        <f t="shared" ref="BC69:BC132" si="19">AI69*BB69</f>
        <v>0</v>
      </c>
      <c r="BD69" s="71">
        <v>0</v>
      </c>
      <c r="BE69" s="97">
        <f t="shared" ref="BE69:BE132" si="20">AJ69*BD69</f>
        <v>0</v>
      </c>
      <c r="BF69" s="70">
        <v>0</v>
      </c>
      <c r="BG69" s="97">
        <f t="shared" ref="BG69:BG132" si="21">AK69*BF69</f>
        <v>0</v>
      </c>
      <c r="BH69" s="73">
        <v>0</v>
      </c>
      <c r="BI69" s="97">
        <f t="shared" ref="BI69:BI132" si="22">AL69*BH69</f>
        <v>0</v>
      </c>
      <c r="BJ69" s="73">
        <v>0</v>
      </c>
      <c r="BK69" s="97">
        <f t="shared" ref="BK69:BK132" si="23">AM69*BJ69</f>
        <v>0</v>
      </c>
      <c r="BL69" s="128"/>
      <c r="BM69" s="131" t="s">
        <v>309</v>
      </c>
    </row>
    <row r="70" spans="1:66" ht="15.75" customHeight="1" thickBot="1">
      <c r="A70" s="93" t="s">
        <v>123</v>
      </c>
      <c r="B70" s="122" t="s">
        <v>184</v>
      </c>
      <c r="C70" s="299"/>
      <c r="D70" s="295"/>
      <c r="E70" s="295"/>
      <c r="F70" s="297"/>
      <c r="G70" s="78">
        <v>2016</v>
      </c>
      <c r="H70" s="76" t="s">
        <v>305</v>
      </c>
      <c r="I70" s="76" t="s">
        <v>196</v>
      </c>
      <c r="J70" s="77" t="s">
        <v>197</v>
      </c>
      <c r="K70" s="81" t="s">
        <v>310</v>
      </c>
      <c r="L70" s="76" t="s">
        <v>192</v>
      </c>
      <c r="M70" s="13" t="s">
        <v>193</v>
      </c>
      <c r="N70" s="75">
        <v>4.74</v>
      </c>
      <c r="O70" s="75">
        <v>4.74</v>
      </c>
      <c r="P70" s="75">
        <v>4.74</v>
      </c>
      <c r="Q70" s="75">
        <v>4.74</v>
      </c>
      <c r="R70" s="75">
        <v>4.74</v>
      </c>
      <c r="S70" s="75">
        <v>4.74</v>
      </c>
      <c r="T70" s="75">
        <v>4.74</v>
      </c>
      <c r="U70" s="75">
        <v>4.74</v>
      </c>
      <c r="V70" s="75">
        <v>4.74</v>
      </c>
      <c r="W70" s="75">
        <v>4.74</v>
      </c>
      <c r="X70" s="75">
        <v>4.74</v>
      </c>
      <c r="Y70" s="75">
        <v>4.74</v>
      </c>
      <c r="Z70" s="75">
        <v>4.74</v>
      </c>
      <c r="AA70" s="13">
        <v>0</v>
      </c>
      <c r="AB70" s="72">
        <v>0.04</v>
      </c>
      <c r="AC70" s="72">
        <v>0.04</v>
      </c>
      <c r="AD70" s="72">
        <v>0.04</v>
      </c>
      <c r="AE70" s="69">
        <v>0.04</v>
      </c>
      <c r="AF70" s="69">
        <v>0.04</v>
      </c>
      <c r="AG70" s="69">
        <v>0.04</v>
      </c>
      <c r="AH70" s="69">
        <v>0.04</v>
      </c>
      <c r="AI70" s="69">
        <v>0.04</v>
      </c>
      <c r="AJ70" s="69">
        <v>0.04</v>
      </c>
      <c r="AK70" s="69">
        <v>0.04</v>
      </c>
      <c r="AL70" s="69">
        <v>0.04</v>
      </c>
      <c r="AM70" s="69">
        <v>0.04</v>
      </c>
      <c r="AN70" s="73">
        <v>1404</v>
      </c>
      <c r="AO70" s="95">
        <f t="shared" si="12"/>
        <v>56.160000000000004</v>
      </c>
      <c r="AP70" s="73">
        <v>4212</v>
      </c>
      <c r="AQ70" s="95">
        <f t="shared" si="13"/>
        <v>168.48</v>
      </c>
      <c r="AR70" s="73">
        <v>4212</v>
      </c>
      <c r="AS70" s="96">
        <f t="shared" si="14"/>
        <v>168.48</v>
      </c>
      <c r="AT70" s="79">
        <v>0</v>
      </c>
      <c r="AU70" s="97">
        <f t="shared" si="15"/>
        <v>0</v>
      </c>
      <c r="AV70" s="79">
        <v>0</v>
      </c>
      <c r="AW70" s="97">
        <f t="shared" si="16"/>
        <v>0</v>
      </c>
      <c r="AX70" s="80">
        <v>4320</v>
      </c>
      <c r="AY70" s="97">
        <f t="shared" si="17"/>
        <v>172.8</v>
      </c>
      <c r="AZ70" s="74">
        <v>0</v>
      </c>
      <c r="BA70" s="97">
        <f t="shared" si="18"/>
        <v>0</v>
      </c>
      <c r="BB70" s="74">
        <v>0</v>
      </c>
      <c r="BC70" s="97">
        <f t="shared" si="19"/>
        <v>0</v>
      </c>
      <c r="BD70" s="73">
        <v>0</v>
      </c>
      <c r="BE70" s="97">
        <f t="shared" si="20"/>
        <v>0</v>
      </c>
      <c r="BF70" s="73">
        <v>0</v>
      </c>
      <c r="BG70" s="97">
        <f t="shared" si="21"/>
        <v>0</v>
      </c>
      <c r="BH70" s="70">
        <v>0</v>
      </c>
      <c r="BI70" s="97">
        <f t="shared" si="22"/>
        <v>0</v>
      </c>
      <c r="BJ70" s="70">
        <v>0</v>
      </c>
      <c r="BK70" s="97">
        <f t="shared" si="23"/>
        <v>0</v>
      </c>
      <c r="BL70" s="128"/>
      <c r="BM70" s="131" t="s">
        <v>311</v>
      </c>
    </row>
    <row r="71" spans="1:66" ht="15.75" customHeight="1" thickBot="1">
      <c r="A71" s="93" t="s">
        <v>123</v>
      </c>
      <c r="B71" s="122" t="s">
        <v>184</v>
      </c>
      <c r="C71" s="299"/>
      <c r="D71" s="295"/>
      <c r="E71" s="295"/>
      <c r="F71" s="297"/>
      <c r="G71" s="78">
        <v>2016</v>
      </c>
      <c r="H71" s="76" t="s">
        <v>305</v>
      </c>
      <c r="I71" s="76" t="s">
        <v>196</v>
      </c>
      <c r="J71" s="77" t="s">
        <v>197</v>
      </c>
      <c r="K71" s="81" t="s">
        <v>310</v>
      </c>
      <c r="L71" s="76" t="s">
        <v>192</v>
      </c>
      <c r="M71" s="13" t="s">
        <v>193</v>
      </c>
      <c r="N71" s="75">
        <v>4.53</v>
      </c>
      <c r="O71" s="75">
        <v>4.53</v>
      </c>
      <c r="P71" s="75">
        <v>4.53</v>
      </c>
      <c r="Q71" s="75">
        <v>4.53</v>
      </c>
      <c r="R71" s="75">
        <v>4.53</v>
      </c>
      <c r="S71" s="75">
        <v>4.53</v>
      </c>
      <c r="T71" s="75">
        <v>4.53</v>
      </c>
      <c r="U71" s="75">
        <v>4.53</v>
      </c>
      <c r="V71" s="75">
        <v>4.53</v>
      </c>
      <c r="W71" s="75">
        <v>4.53</v>
      </c>
      <c r="X71" s="75">
        <v>4.53</v>
      </c>
      <c r="Y71" s="75">
        <v>4.53</v>
      </c>
      <c r="Z71" s="75">
        <v>4.53</v>
      </c>
      <c r="AA71" s="13">
        <v>0</v>
      </c>
      <c r="AB71" s="72">
        <v>0.04</v>
      </c>
      <c r="AC71" s="72">
        <v>0.04</v>
      </c>
      <c r="AD71" s="72">
        <v>0.04</v>
      </c>
      <c r="AE71" s="69">
        <v>0.04</v>
      </c>
      <c r="AF71" s="69">
        <v>0.04</v>
      </c>
      <c r="AG71" s="69">
        <v>0.04</v>
      </c>
      <c r="AH71" s="69">
        <v>0.04</v>
      </c>
      <c r="AI71" s="98">
        <v>0.12</v>
      </c>
      <c r="AJ71" s="98">
        <v>0.12</v>
      </c>
      <c r="AK71" s="98">
        <v>0.12</v>
      </c>
      <c r="AL71" s="98">
        <v>0.12</v>
      </c>
      <c r="AM71" s="98">
        <v>0.12</v>
      </c>
      <c r="AN71" s="73">
        <v>0</v>
      </c>
      <c r="AO71" s="95">
        <f t="shared" si="12"/>
        <v>0</v>
      </c>
      <c r="AP71" s="73">
        <v>2880</v>
      </c>
      <c r="AQ71" s="95">
        <f t="shared" si="13"/>
        <v>115.2</v>
      </c>
      <c r="AR71" s="73">
        <v>2880</v>
      </c>
      <c r="AS71" s="96">
        <f t="shared" si="14"/>
        <v>115.2</v>
      </c>
      <c r="AT71" s="80">
        <v>2880</v>
      </c>
      <c r="AU71" s="97">
        <f t="shared" si="15"/>
        <v>115.2</v>
      </c>
      <c r="AV71" s="79">
        <v>0</v>
      </c>
      <c r="AW71" s="97">
        <f t="shared" si="16"/>
        <v>0</v>
      </c>
      <c r="AX71" s="79">
        <v>0</v>
      </c>
      <c r="AY71" s="97">
        <f t="shared" si="17"/>
        <v>0</v>
      </c>
      <c r="AZ71" s="70">
        <v>0</v>
      </c>
      <c r="BA71" s="97">
        <f t="shared" si="18"/>
        <v>0</v>
      </c>
      <c r="BB71" s="74">
        <v>5760</v>
      </c>
      <c r="BC71" s="97">
        <f t="shared" si="19"/>
        <v>691.19999999999993</v>
      </c>
      <c r="BD71" s="73">
        <v>0</v>
      </c>
      <c r="BE71" s="97">
        <f t="shared" si="20"/>
        <v>0</v>
      </c>
      <c r="BF71" s="73">
        <v>0</v>
      </c>
      <c r="BG71" s="97">
        <f t="shared" si="21"/>
        <v>0</v>
      </c>
      <c r="BH71" s="73">
        <v>0</v>
      </c>
      <c r="BI71" s="97">
        <f t="shared" si="22"/>
        <v>0</v>
      </c>
      <c r="BJ71" s="73">
        <v>0</v>
      </c>
      <c r="BK71" s="97">
        <f t="shared" si="23"/>
        <v>0</v>
      </c>
      <c r="BL71" s="128"/>
      <c r="BM71" s="131" t="s">
        <v>312</v>
      </c>
    </row>
    <row r="72" spans="1:66" ht="15.75" customHeight="1" thickBot="1">
      <c r="A72" s="93" t="s">
        <v>123</v>
      </c>
      <c r="B72" s="122" t="s">
        <v>184</v>
      </c>
      <c r="C72" s="299"/>
      <c r="D72" s="295"/>
      <c r="E72" s="295"/>
      <c r="F72" s="297"/>
      <c r="G72" s="78">
        <v>2016</v>
      </c>
      <c r="H72" s="76" t="s">
        <v>305</v>
      </c>
      <c r="I72" s="76" t="s">
        <v>196</v>
      </c>
      <c r="J72" s="77" t="s">
        <v>197</v>
      </c>
      <c r="K72" s="81" t="s">
        <v>221</v>
      </c>
      <c r="L72" s="76" t="s">
        <v>192</v>
      </c>
      <c r="M72" s="13" t="s">
        <v>193</v>
      </c>
      <c r="N72" s="75">
        <v>4.24</v>
      </c>
      <c r="O72" s="75">
        <v>4.24</v>
      </c>
      <c r="P72" s="75">
        <v>4.24</v>
      </c>
      <c r="Q72" s="75">
        <v>4.24</v>
      </c>
      <c r="R72" s="75">
        <v>4.24</v>
      </c>
      <c r="S72" s="75">
        <v>4.24</v>
      </c>
      <c r="T72" s="75">
        <v>4.24</v>
      </c>
      <c r="U72" s="75">
        <v>4.24</v>
      </c>
      <c r="V72" s="75">
        <v>4.24</v>
      </c>
      <c r="W72" s="75">
        <v>4.24</v>
      </c>
      <c r="X72" s="75">
        <v>4.24</v>
      </c>
      <c r="Y72" s="75">
        <v>4.24</v>
      </c>
      <c r="Z72" s="75">
        <v>4.24</v>
      </c>
      <c r="AA72" s="13">
        <v>0</v>
      </c>
      <c r="AB72" s="72">
        <v>0.04</v>
      </c>
      <c r="AC72" s="72">
        <v>0.04</v>
      </c>
      <c r="AD72" s="72">
        <v>0.04</v>
      </c>
      <c r="AE72" s="69">
        <v>0.04</v>
      </c>
      <c r="AF72" s="69">
        <v>0.04</v>
      </c>
      <c r="AG72" s="69">
        <v>0.04</v>
      </c>
      <c r="AH72" s="69">
        <v>0.04</v>
      </c>
      <c r="AI72" s="69">
        <v>0.04</v>
      </c>
      <c r="AJ72" s="69">
        <v>0.04</v>
      </c>
      <c r="AK72" s="69">
        <v>0.04</v>
      </c>
      <c r="AL72" s="69">
        <v>0.04</v>
      </c>
      <c r="AM72" s="69">
        <v>0.04</v>
      </c>
      <c r="AN72" s="73">
        <v>11232</v>
      </c>
      <c r="AO72" s="95">
        <f t="shared" si="12"/>
        <v>449.28000000000003</v>
      </c>
      <c r="AP72" s="73">
        <v>22464</v>
      </c>
      <c r="AQ72" s="95">
        <f t="shared" si="13"/>
        <v>898.56000000000006</v>
      </c>
      <c r="AR72" s="73">
        <v>11232</v>
      </c>
      <c r="AS72" s="96">
        <f t="shared" si="14"/>
        <v>449.28000000000003</v>
      </c>
      <c r="AT72" s="79">
        <v>0</v>
      </c>
      <c r="AU72" s="97">
        <f t="shared" si="15"/>
        <v>0</v>
      </c>
      <c r="AV72" s="79">
        <v>0</v>
      </c>
      <c r="AW72" s="97">
        <f t="shared" si="16"/>
        <v>0</v>
      </c>
      <c r="AX72" s="80">
        <v>0</v>
      </c>
      <c r="AY72" s="97">
        <f t="shared" si="17"/>
        <v>0</v>
      </c>
      <c r="AZ72" s="73">
        <v>0</v>
      </c>
      <c r="BA72" s="97">
        <f t="shared" si="18"/>
        <v>0</v>
      </c>
      <c r="BB72" s="70">
        <v>0</v>
      </c>
      <c r="BC72" s="97">
        <f t="shared" si="19"/>
        <v>0</v>
      </c>
      <c r="BD72" s="70">
        <v>0</v>
      </c>
      <c r="BE72" s="97">
        <f t="shared" si="20"/>
        <v>0</v>
      </c>
      <c r="BF72" s="73">
        <v>0</v>
      </c>
      <c r="BG72" s="97">
        <f t="shared" si="21"/>
        <v>0</v>
      </c>
      <c r="BH72" s="70">
        <v>0</v>
      </c>
      <c r="BI72" s="97">
        <f t="shared" si="22"/>
        <v>0</v>
      </c>
      <c r="BJ72" s="73">
        <v>0</v>
      </c>
      <c r="BK72" s="97">
        <f t="shared" si="23"/>
        <v>0</v>
      </c>
      <c r="BL72" s="128"/>
      <c r="BM72" s="131" t="s">
        <v>313</v>
      </c>
      <c r="BN72" s="1" t="s">
        <v>314</v>
      </c>
    </row>
    <row r="73" spans="1:66" ht="15.75" customHeight="1" thickBot="1">
      <c r="A73" s="93" t="s">
        <v>123</v>
      </c>
      <c r="B73" s="122" t="s">
        <v>184</v>
      </c>
      <c r="C73" s="299"/>
      <c r="D73" s="295"/>
      <c r="E73" s="295"/>
      <c r="F73" s="297"/>
      <c r="G73" s="78">
        <v>2016</v>
      </c>
      <c r="H73" s="76" t="s">
        <v>305</v>
      </c>
      <c r="I73" s="76" t="s">
        <v>196</v>
      </c>
      <c r="J73" s="77" t="s">
        <v>197</v>
      </c>
      <c r="K73" s="81" t="s">
        <v>315</v>
      </c>
      <c r="L73" s="76" t="s">
        <v>192</v>
      </c>
      <c r="M73" s="13" t="s">
        <v>193</v>
      </c>
      <c r="N73" s="75">
        <v>4.53</v>
      </c>
      <c r="O73" s="75">
        <v>4.53</v>
      </c>
      <c r="P73" s="75">
        <v>4.53</v>
      </c>
      <c r="Q73" s="75">
        <v>4.53</v>
      </c>
      <c r="R73" s="75">
        <v>4.53</v>
      </c>
      <c r="S73" s="75">
        <v>4.53</v>
      </c>
      <c r="T73" s="75">
        <v>4.53</v>
      </c>
      <c r="U73" s="75">
        <v>4.53</v>
      </c>
      <c r="V73" s="75">
        <v>4.53</v>
      </c>
      <c r="W73" s="75">
        <v>4.53</v>
      </c>
      <c r="X73" s="75">
        <v>4.53</v>
      </c>
      <c r="Y73" s="75">
        <v>4.53</v>
      </c>
      <c r="Z73" s="75">
        <v>4.53</v>
      </c>
      <c r="AA73" s="13">
        <v>0</v>
      </c>
      <c r="AB73" s="72">
        <v>0.04</v>
      </c>
      <c r="AC73" s="72">
        <v>0.04</v>
      </c>
      <c r="AD73" s="72">
        <v>0.04</v>
      </c>
      <c r="AE73" s="69">
        <v>0.04</v>
      </c>
      <c r="AF73" s="69">
        <v>0.04</v>
      </c>
      <c r="AG73" s="69">
        <v>0.04</v>
      </c>
      <c r="AH73" s="69">
        <v>0.04</v>
      </c>
      <c r="AI73" s="98">
        <v>0.12</v>
      </c>
      <c r="AJ73" s="98">
        <v>0.12</v>
      </c>
      <c r="AK73" s="98">
        <v>0.12</v>
      </c>
      <c r="AL73" s="98">
        <v>0.12</v>
      </c>
      <c r="AM73" s="98">
        <v>0.12</v>
      </c>
      <c r="AN73" s="73">
        <v>5760</v>
      </c>
      <c r="AO73" s="95">
        <f t="shared" si="12"/>
        <v>230.4</v>
      </c>
      <c r="AP73" s="73">
        <v>0</v>
      </c>
      <c r="AQ73" s="95">
        <f t="shared" si="13"/>
        <v>0</v>
      </c>
      <c r="AR73" s="73">
        <v>0</v>
      </c>
      <c r="AS73" s="96">
        <f t="shared" si="14"/>
        <v>0</v>
      </c>
      <c r="AT73" s="79">
        <v>0</v>
      </c>
      <c r="AU73" s="97">
        <f t="shared" si="15"/>
        <v>0</v>
      </c>
      <c r="AV73" s="79">
        <v>0</v>
      </c>
      <c r="AW73" s="97">
        <f t="shared" si="16"/>
        <v>0</v>
      </c>
      <c r="AX73" s="80">
        <v>2880</v>
      </c>
      <c r="AY73" s="97">
        <f t="shared" si="17"/>
        <v>115.2</v>
      </c>
      <c r="AZ73" s="73">
        <v>0</v>
      </c>
      <c r="BA73" s="97">
        <f t="shared" si="18"/>
        <v>0</v>
      </c>
      <c r="BB73" s="70">
        <v>2880</v>
      </c>
      <c r="BC73" s="97">
        <f t="shared" si="19"/>
        <v>345.59999999999997</v>
      </c>
      <c r="BD73" s="73">
        <v>5760</v>
      </c>
      <c r="BE73" s="97">
        <f t="shared" si="20"/>
        <v>691.19999999999993</v>
      </c>
      <c r="BF73" s="70">
        <v>0</v>
      </c>
      <c r="BG73" s="97">
        <f t="shared" si="21"/>
        <v>0</v>
      </c>
      <c r="BH73" s="73">
        <v>0</v>
      </c>
      <c r="BI73" s="97">
        <f t="shared" si="22"/>
        <v>0</v>
      </c>
      <c r="BJ73" s="70">
        <v>0</v>
      </c>
      <c r="BK73" s="97">
        <f t="shared" si="23"/>
        <v>0</v>
      </c>
      <c r="BL73" s="128"/>
      <c r="BM73" s="131" t="s">
        <v>316</v>
      </c>
    </row>
    <row r="74" spans="1:66" ht="15.75" customHeight="1" thickBot="1">
      <c r="A74" s="93" t="s">
        <v>123</v>
      </c>
      <c r="B74" s="122" t="s">
        <v>184</v>
      </c>
      <c r="C74" s="299"/>
      <c r="D74" s="295"/>
      <c r="E74" s="295"/>
      <c r="F74" s="297"/>
      <c r="G74" s="78">
        <v>2020</v>
      </c>
      <c r="H74" s="81" t="s">
        <v>317</v>
      </c>
      <c r="I74" s="81" t="s">
        <v>196</v>
      </c>
      <c r="J74" s="77" t="s">
        <v>197</v>
      </c>
      <c r="K74" s="81" t="s">
        <v>191</v>
      </c>
      <c r="L74" s="76" t="s">
        <v>192</v>
      </c>
      <c r="M74" s="13" t="s">
        <v>193</v>
      </c>
      <c r="N74" s="75">
        <v>1.65</v>
      </c>
      <c r="O74" s="75">
        <v>1.65</v>
      </c>
      <c r="P74" s="75">
        <v>1.65</v>
      </c>
      <c r="Q74" s="75">
        <v>1.65</v>
      </c>
      <c r="R74" s="75">
        <v>1.65</v>
      </c>
      <c r="S74" s="75">
        <v>1.65</v>
      </c>
      <c r="T74" s="75">
        <v>1.65</v>
      </c>
      <c r="U74" s="75">
        <v>1.65</v>
      </c>
      <c r="V74" s="75">
        <v>1.65</v>
      </c>
      <c r="W74" s="75">
        <v>1.65</v>
      </c>
      <c r="X74" s="75">
        <v>1.65</v>
      </c>
      <c r="Y74" s="75">
        <v>1.65</v>
      </c>
      <c r="Z74" s="75">
        <v>1.65</v>
      </c>
      <c r="AA74" s="13">
        <v>0</v>
      </c>
      <c r="AB74" s="72">
        <v>0</v>
      </c>
      <c r="AC74" s="72">
        <v>0</v>
      </c>
      <c r="AD74" s="72">
        <v>0</v>
      </c>
      <c r="AE74" s="69">
        <v>0</v>
      </c>
      <c r="AF74" s="69">
        <v>0</v>
      </c>
      <c r="AG74" s="69">
        <v>0</v>
      </c>
      <c r="AH74" s="69">
        <v>0</v>
      </c>
      <c r="AI74" s="69">
        <v>0</v>
      </c>
      <c r="AJ74" s="69">
        <v>0</v>
      </c>
      <c r="AK74" s="69">
        <v>0</v>
      </c>
      <c r="AL74" s="69">
        <v>0</v>
      </c>
      <c r="AM74" s="69">
        <v>0</v>
      </c>
      <c r="AN74" s="73">
        <v>11520</v>
      </c>
      <c r="AO74" s="95">
        <f t="shared" si="12"/>
        <v>0</v>
      </c>
      <c r="AP74" s="73">
        <v>0</v>
      </c>
      <c r="AQ74" s="95">
        <f t="shared" si="13"/>
        <v>0</v>
      </c>
      <c r="AR74" s="73">
        <v>11520</v>
      </c>
      <c r="AS74" s="96">
        <f t="shared" si="14"/>
        <v>0</v>
      </c>
      <c r="AT74" s="80">
        <v>11520</v>
      </c>
      <c r="AU74" s="97">
        <f t="shared" si="15"/>
        <v>0</v>
      </c>
      <c r="AV74" s="79">
        <v>0</v>
      </c>
      <c r="AW74" s="97">
        <f t="shared" si="16"/>
        <v>0</v>
      </c>
      <c r="AX74" s="80">
        <v>11520</v>
      </c>
      <c r="AY74" s="97">
        <f t="shared" si="17"/>
        <v>0</v>
      </c>
      <c r="AZ74" s="71">
        <v>11520</v>
      </c>
      <c r="BA74" s="97">
        <f t="shared" si="18"/>
        <v>0</v>
      </c>
      <c r="BB74" s="74">
        <v>11520</v>
      </c>
      <c r="BC74" s="97">
        <f t="shared" si="19"/>
        <v>0</v>
      </c>
      <c r="BD74" s="73">
        <v>0</v>
      </c>
      <c r="BE74" s="97">
        <f t="shared" si="20"/>
        <v>0</v>
      </c>
      <c r="BF74" s="73">
        <v>13440</v>
      </c>
      <c r="BG74" s="97">
        <f t="shared" si="21"/>
        <v>0</v>
      </c>
      <c r="BH74" s="73">
        <v>0</v>
      </c>
      <c r="BI74" s="97">
        <f t="shared" si="22"/>
        <v>0</v>
      </c>
      <c r="BJ74" s="73">
        <v>6720</v>
      </c>
      <c r="BK74" s="97">
        <f t="shared" si="23"/>
        <v>0</v>
      </c>
      <c r="BL74" s="128"/>
      <c r="BM74" s="131" t="s">
        <v>318</v>
      </c>
    </row>
    <row r="75" spans="1:66" ht="15.75" customHeight="1" thickBot="1">
      <c r="A75" s="93" t="s">
        <v>123</v>
      </c>
      <c r="B75" s="122" t="s">
        <v>184</v>
      </c>
      <c r="C75" s="299"/>
      <c r="D75" s="295"/>
      <c r="E75" s="295"/>
      <c r="F75" s="297"/>
      <c r="G75" s="78">
        <v>2020</v>
      </c>
      <c r="H75" s="81" t="s">
        <v>317</v>
      </c>
      <c r="I75" s="81" t="s">
        <v>196</v>
      </c>
      <c r="J75" s="83" t="s">
        <v>197</v>
      </c>
      <c r="K75" s="81" t="s">
        <v>191</v>
      </c>
      <c r="L75" s="81" t="s">
        <v>192</v>
      </c>
      <c r="M75" s="13" t="s">
        <v>193</v>
      </c>
      <c r="N75" s="75">
        <v>1.66</v>
      </c>
      <c r="O75" s="75">
        <v>1.66</v>
      </c>
      <c r="P75" s="75">
        <v>1.66</v>
      </c>
      <c r="Q75" s="75">
        <v>1.66</v>
      </c>
      <c r="R75" s="75">
        <v>1.66</v>
      </c>
      <c r="S75" s="75">
        <v>1.66</v>
      </c>
      <c r="T75" s="75">
        <v>1.66</v>
      </c>
      <c r="U75" s="75">
        <v>1.66</v>
      </c>
      <c r="V75" s="75">
        <v>1.66</v>
      </c>
      <c r="W75" s="75">
        <v>1.66</v>
      </c>
      <c r="X75" s="75">
        <v>1.66</v>
      </c>
      <c r="Y75" s="75">
        <v>1.66</v>
      </c>
      <c r="Z75" s="75">
        <v>1.66</v>
      </c>
      <c r="AA75" s="13">
        <v>0</v>
      </c>
      <c r="AB75" s="72">
        <v>0</v>
      </c>
      <c r="AC75" s="72">
        <v>0</v>
      </c>
      <c r="AD75" s="72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73">
        <v>14400</v>
      </c>
      <c r="AO75" s="95">
        <f t="shared" si="12"/>
        <v>0</v>
      </c>
      <c r="AP75" s="73">
        <v>8640</v>
      </c>
      <c r="AQ75" s="95">
        <f t="shared" si="13"/>
        <v>0</v>
      </c>
      <c r="AR75" s="73">
        <v>0</v>
      </c>
      <c r="AS75" s="96">
        <f t="shared" si="14"/>
        <v>0</v>
      </c>
      <c r="AT75" s="80">
        <v>11520</v>
      </c>
      <c r="AU75" s="97">
        <f t="shared" si="15"/>
        <v>0</v>
      </c>
      <c r="AV75" s="79">
        <v>0</v>
      </c>
      <c r="AW75" s="97">
        <f t="shared" si="16"/>
        <v>0</v>
      </c>
      <c r="AX75" s="80">
        <v>0</v>
      </c>
      <c r="AY75" s="97">
        <f t="shared" si="17"/>
        <v>0</v>
      </c>
      <c r="AZ75" s="73">
        <v>0</v>
      </c>
      <c r="BA75" s="97">
        <f t="shared" si="18"/>
        <v>0</v>
      </c>
      <c r="BB75" s="74">
        <v>0</v>
      </c>
      <c r="BC75" s="97">
        <f t="shared" si="19"/>
        <v>0</v>
      </c>
      <c r="BD75" s="71">
        <v>0</v>
      </c>
      <c r="BE75" s="97">
        <f t="shared" si="20"/>
        <v>0</v>
      </c>
      <c r="BF75" s="73">
        <v>0</v>
      </c>
      <c r="BG75" s="97">
        <f t="shared" si="21"/>
        <v>0</v>
      </c>
      <c r="BH75" s="70">
        <v>11520</v>
      </c>
      <c r="BI75" s="97">
        <f t="shared" si="22"/>
        <v>0</v>
      </c>
      <c r="BJ75" s="73">
        <v>6720</v>
      </c>
      <c r="BK75" s="97">
        <f t="shared" si="23"/>
        <v>0</v>
      </c>
      <c r="BL75" s="128"/>
      <c r="BM75" s="131" t="s">
        <v>319</v>
      </c>
    </row>
    <row r="76" spans="1:66" ht="15.75" customHeight="1" thickBot="1">
      <c r="A76" s="93" t="s">
        <v>123</v>
      </c>
      <c r="B76" s="122" t="s">
        <v>184</v>
      </c>
      <c r="C76" s="299"/>
      <c r="D76" s="295"/>
      <c r="E76" s="295"/>
      <c r="F76" s="297"/>
      <c r="G76" s="78">
        <v>2020</v>
      </c>
      <c r="H76" s="81" t="s">
        <v>317</v>
      </c>
      <c r="I76" s="81" t="s">
        <v>196</v>
      </c>
      <c r="J76" s="83" t="s">
        <v>190</v>
      </c>
      <c r="K76" s="81" t="s">
        <v>191</v>
      </c>
      <c r="L76" s="81" t="s">
        <v>320</v>
      </c>
      <c r="M76" s="13" t="s">
        <v>321</v>
      </c>
      <c r="N76" s="75">
        <v>1.61</v>
      </c>
      <c r="O76" s="75">
        <v>1.61</v>
      </c>
      <c r="P76" s="75">
        <v>1.61</v>
      </c>
      <c r="Q76" s="75">
        <v>1.61</v>
      </c>
      <c r="R76" s="75">
        <v>1.61</v>
      </c>
      <c r="S76" s="75">
        <v>1.61</v>
      </c>
      <c r="T76" s="75">
        <v>1.61</v>
      </c>
      <c r="U76" s="75">
        <v>1.61</v>
      </c>
      <c r="V76" s="75">
        <v>1.61</v>
      </c>
      <c r="W76" s="75">
        <v>1.61</v>
      </c>
      <c r="X76" s="75">
        <v>1.61</v>
      </c>
      <c r="Y76" s="75">
        <v>1.61</v>
      </c>
      <c r="Z76" s="75">
        <v>1.61</v>
      </c>
      <c r="AA76" s="13">
        <v>0</v>
      </c>
      <c r="AB76" s="72">
        <v>0</v>
      </c>
      <c r="AC76" s="72">
        <v>0</v>
      </c>
      <c r="AD76" s="72">
        <v>0</v>
      </c>
      <c r="AE76" s="69">
        <v>0</v>
      </c>
      <c r="AF76" s="69">
        <v>0</v>
      </c>
      <c r="AG76" s="69">
        <v>0</v>
      </c>
      <c r="AH76" s="69">
        <v>0</v>
      </c>
      <c r="AI76" s="69">
        <v>0</v>
      </c>
      <c r="AJ76" s="69">
        <v>0</v>
      </c>
      <c r="AK76" s="69">
        <v>0</v>
      </c>
      <c r="AL76" s="69">
        <v>0</v>
      </c>
      <c r="AM76" s="69">
        <v>0</v>
      </c>
      <c r="AN76" s="73">
        <v>11520</v>
      </c>
      <c r="AO76" s="95">
        <f t="shared" si="12"/>
        <v>0</v>
      </c>
      <c r="AP76" s="73">
        <v>0</v>
      </c>
      <c r="AQ76" s="95">
        <f t="shared" si="13"/>
        <v>0</v>
      </c>
      <c r="AR76" s="73">
        <v>0</v>
      </c>
      <c r="AS76" s="96">
        <f t="shared" si="14"/>
        <v>0</v>
      </c>
      <c r="AT76" s="79">
        <v>0</v>
      </c>
      <c r="AU76" s="97">
        <f t="shared" si="15"/>
        <v>0</v>
      </c>
      <c r="AV76" s="79">
        <v>0</v>
      </c>
      <c r="AW76" s="97">
        <f t="shared" si="16"/>
        <v>0</v>
      </c>
      <c r="AX76" s="80">
        <v>0</v>
      </c>
      <c r="AY76" s="97">
        <f t="shared" si="17"/>
        <v>0</v>
      </c>
      <c r="AZ76" s="73">
        <v>23040</v>
      </c>
      <c r="BA76" s="97">
        <f t="shared" si="18"/>
        <v>0</v>
      </c>
      <c r="BB76" s="70">
        <v>0</v>
      </c>
      <c r="BC76" s="97">
        <f t="shared" si="19"/>
        <v>0</v>
      </c>
      <c r="BD76" s="73">
        <v>11520</v>
      </c>
      <c r="BE76" s="97">
        <f t="shared" si="20"/>
        <v>0</v>
      </c>
      <c r="BF76" s="73">
        <v>13440</v>
      </c>
      <c r="BG76" s="97">
        <f t="shared" si="21"/>
        <v>0</v>
      </c>
      <c r="BH76" s="73">
        <v>0</v>
      </c>
      <c r="BI76" s="97">
        <f t="shared" si="22"/>
        <v>0</v>
      </c>
      <c r="BJ76" s="70">
        <v>6720</v>
      </c>
      <c r="BK76" s="97">
        <f t="shared" si="23"/>
        <v>0</v>
      </c>
      <c r="BL76" s="128"/>
      <c r="BM76" s="131" t="s">
        <v>322</v>
      </c>
    </row>
    <row r="77" spans="1:66" ht="15.75" customHeight="1" thickBot="1">
      <c r="A77" s="93" t="s">
        <v>123</v>
      </c>
      <c r="B77" s="122"/>
      <c r="C77" s="299"/>
      <c r="D77" s="295"/>
      <c r="E77" s="295"/>
      <c r="F77" s="297"/>
      <c r="G77" s="78">
        <v>2022</v>
      </c>
      <c r="H77" s="81" t="s">
        <v>323</v>
      </c>
      <c r="I77" s="81" t="s">
        <v>262</v>
      </c>
      <c r="J77" s="77" t="s">
        <v>197</v>
      </c>
      <c r="K77" s="81" t="s">
        <v>191</v>
      </c>
      <c r="L77" s="81" t="s">
        <v>320</v>
      </c>
      <c r="M77" s="13" t="s">
        <v>321</v>
      </c>
      <c r="N77" s="75">
        <v>6.36</v>
      </c>
      <c r="O77" s="75">
        <v>6.36</v>
      </c>
      <c r="P77" s="75">
        <v>6.36</v>
      </c>
      <c r="Q77" s="75">
        <v>6.36</v>
      </c>
      <c r="R77" s="75">
        <v>6.36</v>
      </c>
      <c r="S77" s="75">
        <v>6.36</v>
      </c>
      <c r="T77" s="75">
        <v>6.36</v>
      </c>
      <c r="U77" s="75">
        <v>6.36</v>
      </c>
      <c r="V77" s="75">
        <v>6.36</v>
      </c>
      <c r="W77" s="75">
        <v>6.36</v>
      </c>
      <c r="X77" s="75">
        <v>6.36</v>
      </c>
      <c r="Y77" s="75">
        <v>6.36</v>
      </c>
      <c r="Z77" s="75">
        <v>6.36</v>
      </c>
      <c r="AA77" s="13">
        <v>0</v>
      </c>
      <c r="AB77" s="72">
        <v>0</v>
      </c>
      <c r="AC77" s="72">
        <v>0</v>
      </c>
      <c r="AD77" s="72">
        <v>0</v>
      </c>
      <c r="AE77" s="69">
        <v>0</v>
      </c>
      <c r="AF77" s="69">
        <v>0</v>
      </c>
      <c r="AG77" s="69">
        <v>0</v>
      </c>
      <c r="AH77" s="69">
        <v>0</v>
      </c>
      <c r="AI77" s="69">
        <v>0</v>
      </c>
      <c r="AJ77" s="69">
        <v>0</v>
      </c>
      <c r="AK77" s="69">
        <v>0</v>
      </c>
      <c r="AL77" s="69">
        <v>0</v>
      </c>
      <c r="AM77" s="69">
        <v>0</v>
      </c>
      <c r="AN77" s="73">
        <v>0</v>
      </c>
      <c r="AO77" s="95">
        <f t="shared" si="12"/>
        <v>0</v>
      </c>
      <c r="AP77" s="73">
        <v>3000</v>
      </c>
      <c r="AQ77" s="95">
        <f t="shared" si="13"/>
        <v>0</v>
      </c>
      <c r="AR77" s="73">
        <v>8000</v>
      </c>
      <c r="AS77" s="96">
        <f t="shared" si="14"/>
        <v>0</v>
      </c>
      <c r="AT77" s="80">
        <v>2000</v>
      </c>
      <c r="AU77" s="97">
        <f t="shared" si="15"/>
        <v>0</v>
      </c>
      <c r="AV77" s="80">
        <v>0</v>
      </c>
      <c r="AW77" s="97">
        <f t="shared" si="16"/>
        <v>0</v>
      </c>
      <c r="AX77" s="80">
        <v>0</v>
      </c>
      <c r="AY77" s="97">
        <f t="shared" si="17"/>
        <v>0</v>
      </c>
      <c r="AZ77" s="70">
        <v>0</v>
      </c>
      <c r="BA77" s="97">
        <f t="shared" si="18"/>
        <v>0</v>
      </c>
      <c r="BB77" s="70">
        <v>11000</v>
      </c>
      <c r="BC77" s="97">
        <f t="shared" si="19"/>
        <v>0</v>
      </c>
      <c r="BD77" s="73">
        <v>13000</v>
      </c>
      <c r="BE77" s="97">
        <f t="shared" si="20"/>
        <v>0</v>
      </c>
      <c r="BF77" s="70">
        <v>2000</v>
      </c>
      <c r="BG77" s="97">
        <f t="shared" si="21"/>
        <v>0</v>
      </c>
      <c r="BH77" s="73">
        <v>17000</v>
      </c>
      <c r="BI77" s="97">
        <f t="shared" si="22"/>
        <v>0</v>
      </c>
      <c r="BJ77" s="73">
        <v>11000</v>
      </c>
      <c r="BK77" s="97">
        <f t="shared" si="23"/>
        <v>0</v>
      </c>
      <c r="BL77" s="128"/>
      <c r="BM77" s="131" t="s">
        <v>324</v>
      </c>
    </row>
    <row r="78" spans="1:66" ht="15.75" customHeight="1" thickBot="1">
      <c r="A78" s="93" t="s">
        <v>123</v>
      </c>
      <c r="B78" s="122" t="s">
        <v>199</v>
      </c>
      <c r="C78" s="299"/>
      <c r="D78" s="295"/>
      <c r="E78" s="295"/>
      <c r="F78" s="297"/>
      <c r="G78" s="78">
        <v>2020</v>
      </c>
      <c r="H78" s="76" t="s">
        <v>200</v>
      </c>
      <c r="I78" s="76" t="s">
        <v>201</v>
      </c>
      <c r="J78" s="77" t="s">
        <v>197</v>
      </c>
      <c r="K78" s="81" t="s">
        <v>191</v>
      </c>
      <c r="L78" s="76" t="s">
        <v>192</v>
      </c>
      <c r="M78" s="13" t="s">
        <v>193</v>
      </c>
      <c r="N78" s="75">
        <v>8.85</v>
      </c>
      <c r="O78" s="75">
        <v>8.85</v>
      </c>
      <c r="P78" s="75">
        <v>8.85</v>
      </c>
      <c r="Q78" s="75">
        <v>8.85</v>
      </c>
      <c r="R78" s="75">
        <v>8.85</v>
      </c>
      <c r="S78" s="75">
        <v>8.85</v>
      </c>
      <c r="T78" s="75">
        <v>8.85</v>
      </c>
      <c r="U78" s="75">
        <v>8.85</v>
      </c>
      <c r="V78" s="75">
        <v>8.85</v>
      </c>
      <c r="W78" s="75">
        <v>8.85</v>
      </c>
      <c r="X78" s="75">
        <v>8.85</v>
      </c>
      <c r="Y78" s="75">
        <v>8.85</v>
      </c>
      <c r="Z78" s="75">
        <v>8.85</v>
      </c>
      <c r="AA78" s="13">
        <v>0</v>
      </c>
      <c r="AB78" s="72">
        <v>0</v>
      </c>
      <c r="AC78" s="72">
        <v>0</v>
      </c>
      <c r="AD78" s="72">
        <v>0</v>
      </c>
      <c r="AE78" s="69">
        <v>0</v>
      </c>
      <c r="AF78" s="69">
        <v>0</v>
      </c>
      <c r="AG78" s="69">
        <v>0</v>
      </c>
      <c r="AH78" s="69">
        <v>0</v>
      </c>
      <c r="AI78" s="69">
        <v>0</v>
      </c>
      <c r="AJ78" s="69">
        <v>0</v>
      </c>
      <c r="AK78" s="69">
        <v>0</v>
      </c>
      <c r="AL78" s="69">
        <v>0</v>
      </c>
      <c r="AM78" s="69">
        <v>0</v>
      </c>
      <c r="AN78" s="73">
        <v>0</v>
      </c>
      <c r="AO78" s="95">
        <f t="shared" si="12"/>
        <v>0</v>
      </c>
      <c r="AP78" s="73">
        <v>0</v>
      </c>
      <c r="AQ78" s="95">
        <f t="shared" si="13"/>
        <v>0</v>
      </c>
      <c r="AR78" s="73">
        <v>6400</v>
      </c>
      <c r="AS78" s="96">
        <f t="shared" si="14"/>
        <v>0</v>
      </c>
      <c r="AT78" s="79">
        <v>0</v>
      </c>
      <c r="AU78" s="97">
        <f t="shared" si="15"/>
        <v>0</v>
      </c>
      <c r="AV78" s="79">
        <v>0</v>
      </c>
      <c r="AW78" s="97">
        <f t="shared" si="16"/>
        <v>0</v>
      </c>
      <c r="AX78" s="79">
        <v>6400</v>
      </c>
      <c r="AY78" s="97">
        <f t="shared" si="17"/>
        <v>0</v>
      </c>
      <c r="AZ78" s="73">
        <v>0</v>
      </c>
      <c r="BA78" s="97">
        <f t="shared" si="18"/>
        <v>0</v>
      </c>
      <c r="BB78" s="74">
        <v>6400</v>
      </c>
      <c r="BC78" s="97">
        <f t="shared" si="19"/>
        <v>0</v>
      </c>
      <c r="BD78" s="70">
        <v>3840</v>
      </c>
      <c r="BE78" s="97">
        <f t="shared" si="20"/>
        <v>0</v>
      </c>
      <c r="BF78" s="73">
        <v>20480</v>
      </c>
      <c r="BG78" s="97">
        <f t="shared" si="21"/>
        <v>0</v>
      </c>
      <c r="BH78" s="70">
        <v>17920</v>
      </c>
      <c r="BI78" s="97">
        <f t="shared" si="22"/>
        <v>0</v>
      </c>
      <c r="BJ78" s="73">
        <v>0</v>
      </c>
      <c r="BK78" s="97">
        <f t="shared" si="23"/>
        <v>0</v>
      </c>
      <c r="BL78" s="128"/>
      <c r="BM78" s="131" t="s">
        <v>325</v>
      </c>
    </row>
    <row r="79" spans="1:66" ht="15.75" customHeight="1" thickBot="1">
      <c r="A79" s="93" t="s">
        <v>123</v>
      </c>
      <c r="B79" s="122" t="s">
        <v>199</v>
      </c>
      <c r="C79" s="299"/>
      <c r="D79" s="295"/>
      <c r="E79" s="295"/>
      <c r="F79" s="297"/>
      <c r="G79" s="78">
        <v>2020</v>
      </c>
      <c r="H79" s="76" t="s">
        <v>200</v>
      </c>
      <c r="I79" s="76" t="s">
        <v>201</v>
      </c>
      <c r="J79" s="77" t="s">
        <v>197</v>
      </c>
      <c r="K79" s="81" t="s">
        <v>191</v>
      </c>
      <c r="L79" s="76" t="s">
        <v>192</v>
      </c>
      <c r="M79" s="13" t="s">
        <v>193</v>
      </c>
      <c r="N79" s="75">
        <v>9.01</v>
      </c>
      <c r="O79" s="75">
        <v>9.01</v>
      </c>
      <c r="P79" s="75">
        <v>9.01</v>
      </c>
      <c r="Q79" s="75">
        <v>9.01</v>
      </c>
      <c r="R79" s="75">
        <v>9.01</v>
      </c>
      <c r="S79" s="75">
        <v>9.01</v>
      </c>
      <c r="T79" s="75">
        <v>9.01</v>
      </c>
      <c r="U79" s="75">
        <v>9.01</v>
      </c>
      <c r="V79" s="75">
        <v>9.01</v>
      </c>
      <c r="W79" s="75">
        <v>9.01</v>
      </c>
      <c r="X79" s="75">
        <v>9.01</v>
      </c>
      <c r="Y79" s="75">
        <v>9.01</v>
      </c>
      <c r="Z79" s="75">
        <v>9.01</v>
      </c>
      <c r="AA79" s="13">
        <v>0</v>
      </c>
      <c r="AB79" s="72">
        <v>0</v>
      </c>
      <c r="AC79" s="72">
        <v>0</v>
      </c>
      <c r="AD79" s="72">
        <v>0</v>
      </c>
      <c r="AE79" s="69">
        <v>0</v>
      </c>
      <c r="AF79" s="69">
        <v>0</v>
      </c>
      <c r="AG79" s="69">
        <v>0</v>
      </c>
      <c r="AH79" s="69">
        <v>0</v>
      </c>
      <c r="AI79" s="69">
        <v>0</v>
      </c>
      <c r="AJ79" s="69">
        <v>0</v>
      </c>
      <c r="AK79" s="69">
        <v>0</v>
      </c>
      <c r="AL79" s="69">
        <v>0</v>
      </c>
      <c r="AM79" s="69">
        <v>0</v>
      </c>
      <c r="AN79" s="73">
        <v>0</v>
      </c>
      <c r="AO79" s="95">
        <f t="shared" si="12"/>
        <v>0</v>
      </c>
      <c r="AP79" s="73">
        <v>0</v>
      </c>
      <c r="AQ79" s="95">
        <f t="shared" si="13"/>
        <v>0</v>
      </c>
      <c r="AR79" s="73">
        <v>5000</v>
      </c>
      <c r="AS79" s="96">
        <f t="shared" si="14"/>
        <v>0</v>
      </c>
      <c r="AT79" s="80">
        <v>4000</v>
      </c>
      <c r="AU79" s="97">
        <f t="shared" si="15"/>
        <v>0</v>
      </c>
      <c r="AV79" s="80">
        <v>14840</v>
      </c>
      <c r="AW79" s="97">
        <f t="shared" si="16"/>
        <v>0</v>
      </c>
      <c r="AX79" s="80">
        <v>7600</v>
      </c>
      <c r="AY79" s="97">
        <f t="shared" si="17"/>
        <v>0</v>
      </c>
      <c r="AZ79" s="73">
        <v>10800</v>
      </c>
      <c r="BA79" s="97">
        <f t="shared" si="18"/>
        <v>0</v>
      </c>
      <c r="BB79" s="74">
        <v>24900</v>
      </c>
      <c r="BC79" s="97">
        <f t="shared" si="19"/>
        <v>0</v>
      </c>
      <c r="BD79" s="73">
        <v>11000</v>
      </c>
      <c r="BE79" s="97">
        <f t="shared" si="20"/>
        <v>0</v>
      </c>
      <c r="BF79" s="73">
        <v>6000</v>
      </c>
      <c r="BG79" s="97">
        <f t="shared" si="21"/>
        <v>0</v>
      </c>
      <c r="BH79" s="73">
        <v>13300</v>
      </c>
      <c r="BI79" s="97">
        <f t="shared" si="22"/>
        <v>0</v>
      </c>
      <c r="BJ79" s="70">
        <v>21000</v>
      </c>
      <c r="BK79" s="97">
        <f t="shared" si="23"/>
        <v>0</v>
      </c>
      <c r="BL79" s="128"/>
      <c r="BM79" s="131" t="s">
        <v>326</v>
      </c>
    </row>
    <row r="80" spans="1:66" ht="15.75" customHeight="1" thickBot="1">
      <c r="A80" s="93" t="s">
        <v>123</v>
      </c>
      <c r="B80" s="122" t="s">
        <v>184</v>
      </c>
      <c r="C80" s="299"/>
      <c r="D80" s="295"/>
      <c r="E80" s="295"/>
      <c r="F80" s="297"/>
      <c r="G80" s="78">
        <v>2016</v>
      </c>
      <c r="H80" s="76" t="s">
        <v>232</v>
      </c>
      <c r="I80" s="76" t="s">
        <v>196</v>
      </c>
      <c r="J80" s="77" t="s">
        <v>197</v>
      </c>
      <c r="K80" s="81" t="s">
        <v>249</v>
      </c>
      <c r="L80" s="76" t="s">
        <v>192</v>
      </c>
      <c r="M80" s="13" t="s">
        <v>193</v>
      </c>
      <c r="N80" s="75">
        <v>6.34</v>
      </c>
      <c r="O80" s="75">
        <v>6.34</v>
      </c>
      <c r="P80" s="75">
        <v>6.34</v>
      </c>
      <c r="Q80" s="75">
        <v>6.34</v>
      </c>
      <c r="R80" s="75">
        <v>6.34</v>
      </c>
      <c r="S80" s="75">
        <v>6.34</v>
      </c>
      <c r="T80" s="75">
        <v>6.34</v>
      </c>
      <c r="U80" s="75">
        <v>6.34</v>
      </c>
      <c r="V80" s="75">
        <v>6.34</v>
      </c>
      <c r="W80" s="75">
        <v>6.34</v>
      </c>
      <c r="X80" s="75">
        <v>6.34</v>
      </c>
      <c r="Y80" s="75">
        <v>6.34</v>
      </c>
      <c r="Z80" s="75">
        <v>6.34</v>
      </c>
      <c r="AA80" s="13">
        <v>0</v>
      </c>
      <c r="AB80" s="72">
        <v>0.05</v>
      </c>
      <c r="AC80" s="72">
        <v>0.05</v>
      </c>
      <c r="AD80" s="72">
        <v>0.05</v>
      </c>
      <c r="AE80" s="69">
        <v>0.05</v>
      </c>
      <c r="AF80" s="69">
        <v>0.05</v>
      </c>
      <c r="AG80" s="69">
        <v>0.05</v>
      </c>
      <c r="AH80" s="69">
        <v>0.05</v>
      </c>
      <c r="AI80" s="69">
        <v>0.05</v>
      </c>
      <c r="AJ80" s="69">
        <v>0.05</v>
      </c>
      <c r="AK80" s="69">
        <v>0.05</v>
      </c>
      <c r="AL80" s="69">
        <v>0.05</v>
      </c>
      <c r="AM80" s="69">
        <v>0.05</v>
      </c>
      <c r="AN80" s="73">
        <v>0</v>
      </c>
      <c r="AO80" s="95">
        <f t="shared" si="12"/>
        <v>0</v>
      </c>
      <c r="AP80" s="73">
        <v>0</v>
      </c>
      <c r="AQ80" s="95">
        <f t="shared" si="13"/>
        <v>0</v>
      </c>
      <c r="AR80" s="73">
        <v>1000</v>
      </c>
      <c r="AS80" s="96">
        <f t="shared" si="14"/>
        <v>50</v>
      </c>
      <c r="AT80" s="79">
        <v>0</v>
      </c>
      <c r="AU80" s="97">
        <f t="shared" si="15"/>
        <v>0</v>
      </c>
      <c r="AV80" s="80">
        <v>3000</v>
      </c>
      <c r="AW80" s="97">
        <f t="shared" si="16"/>
        <v>150</v>
      </c>
      <c r="AX80" s="80">
        <v>1000</v>
      </c>
      <c r="AY80" s="97">
        <f t="shared" si="17"/>
        <v>50</v>
      </c>
      <c r="AZ80" s="71">
        <v>3100</v>
      </c>
      <c r="BA80" s="97">
        <f t="shared" si="18"/>
        <v>155</v>
      </c>
      <c r="BB80" s="70">
        <v>900</v>
      </c>
      <c r="BC80" s="97">
        <f t="shared" si="19"/>
        <v>45</v>
      </c>
      <c r="BD80" s="73">
        <v>0</v>
      </c>
      <c r="BE80" s="97">
        <f t="shared" si="20"/>
        <v>0</v>
      </c>
      <c r="BF80" s="73">
        <v>0</v>
      </c>
      <c r="BG80" s="97">
        <f t="shared" si="21"/>
        <v>0</v>
      </c>
      <c r="BH80" s="70">
        <v>0</v>
      </c>
      <c r="BI80" s="97">
        <f t="shared" si="22"/>
        <v>0</v>
      </c>
      <c r="BJ80" s="73">
        <v>0</v>
      </c>
      <c r="BK80" s="97">
        <f t="shared" si="23"/>
        <v>0</v>
      </c>
      <c r="BL80" s="128"/>
      <c r="BM80" s="131" t="s">
        <v>250</v>
      </c>
    </row>
    <row r="81" spans="1:65" ht="15.75" customHeight="1" thickBot="1">
      <c r="A81" s="93" t="s">
        <v>123</v>
      </c>
      <c r="B81" s="122" t="s">
        <v>184</v>
      </c>
      <c r="C81" s="299"/>
      <c r="D81" s="295"/>
      <c r="E81" s="295"/>
      <c r="F81" s="297"/>
      <c r="G81" s="78">
        <v>2016</v>
      </c>
      <c r="H81" s="76" t="s">
        <v>232</v>
      </c>
      <c r="I81" s="76" t="s">
        <v>196</v>
      </c>
      <c r="J81" s="77" t="s">
        <v>197</v>
      </c>
      <c r="K81" s="81" t="s">
        <v>251</v>
      </c>
      <c r="L81" s="76" t="s">
        <v>192</v>
      </c>
      <c r="M81" s="13" t="s">
        <v>193</v>
      </c>
      <c r="N81" s="75">
        <v>5.53</v>
      </c>
      <c r="O81" s="75">
        <v>5.53</v>
      </c>
      <c r="P81" s="75">
        <v>5.53</v>
      </c>
      <c r="Q81" s="75">
        <v>5.53</v>
      </c>
      <c r="R81" s="75">
        <v>5.53</v>
      </c>
      <c r="S81" s="75">
        <v>5.53</v>
      </c>
      <c r="T81" s="75">
        <v>5.53</v>
      </c>
      <c r="U81" s="75">
        <v>5.53</v>
      </c>
      <c r="V81" s="75">
        <v>5.53</v>
      </c>
      <c r="W81" s="75">
        <v>5.53</v>
      </c>
      <c r="X81" s="75">
        <v>5.53</v>
      </c>
      <c r="Y81" s="75">
        <v>5.53</v>
      </c>
      <c r="Z81" s="75">
        <v>5.53</v>
      </c>
      <c r="AA81" s="13">
        <v>0</v>
      </c>
      <c r="AB81" s="72">
        <v>0.05</v>
      </c>
      <c r="AC81" s="72">
        <v>0.05</v>
      </c>
      <c r="AD81" s="72">
        <v>0.05</v>
      </c>
      <c r="AE81" s="69">
        <v>0.05</v>
      </c>
      <c r="AF81" s="69">
        <v>0.05</v>
      </c>
      <c r="AG81" s="69">
        <v>0.05</v>
      </c>
      <c r="AH81" s="69">
        <v>0.05</v>
      </c>
      <c r="AI81" s="69">
        <v>0.05</v>
      </c>
      <c r="AJ81" s="69">
        <v>0.05</v>
      </c>
      <c r="AK81" s="69">
        <v>0.05</v>
      </c>
      <c r="AL81" s="69">
        <v>0.05</v>
      </c>
      <c r="AM81" s="69">
        <v>0.05</v>
      </c>
      <c r="AN81" s="73">
        <v>0</v>
      </c>
      <c r="AO81" s="95">
        <f t="shared" si="12"/>
        <v>0</v>
      </c>
      <c r="AP81" s="73">
        <v>0</v>
      </c>
      <c r="AQ81" s="95">
        <f t="shared" si="13"/>
        <v>0</v>
      </c>
      <c r="AR81" s="73">
        <v>7800</v>
      </c>
      <c r="AS81" s="96">
        <f t="shared" si="14"/>
        <v>390</v>
      </c>
      <c r="AT81" s="79">
        <v>0</v>
      </c>
      <c r="AU81" s="97">
        <f t="shared" si="15"/>
        <v>0</v>
      </c>
      <c r="AV81" s="79">
        <v>0</v>
      </c>
      <c r="AW81" s="97">
        <f t="shared" si="16"/>
        <v>0</v>
      </c>
      <c r="AX81" s="80">
        <v>3120</v>
      </c>
      <c r="AY81" s="97">
        <f t="shared" si="17"/>
        <v>156</v>
      </c>
      <c r="AZ81" s="70">
        <v>6240</v>
      </c>
      <c r="BA81" s="97">
        <f t="shared" si="18"/>
        <v>312</v>
      </c>
      <c r="BB81" s="70">
        <v>0</v>
      </c>
      <c r="BC81" s="97">
        <f t="shared" si="19"/>
        <v>0</v>
      </c>
      <c r="BD81" s="71">
        <v>0</v>
      </c>
      <c r="BE81" s="97">
        <f t="shared" si="20"/>
        <v>0</v>
      </c>
      <c r="BF81" s="70">
        <v>0</v>
      </c>
      <c r="BG81" s="97">
        <f t="shared" si="21"/>
        <v>0</v>
      </c>
      <c r="BH81" s="73">
        <v>0</v>
      </c>
      <c r="BI81" s="97">
        <f t="shared" si="22"/>
        <v>0</v>
      </c>
      <c r="BJ81" s="73">
        <v>0</v>
      </c>
      <c r="BK81" s="97">
        <f t="shared" si="23"/>
        <v>0</v>
      </c>
      <c r="BL81" s="128"/>
      <c r="BM81" s="131" t="s">
        <v>327</v>
      </c>
    </row>
    <row r="82" spans="1:65" ht="15.75" customHeight="1" thickBot="1">
      <c r="A82" s="93" t="s">
        <v>123</v>
      </c>
      <c r="B82" s="122" t="s">
        <v>184</v>
      </c>
      <c r="C82" s="299"/>
      <c r="D82" s="295"/>
      <c r="E82" s="295"/>
      <c r="F82" s="297"/>
      <c r="G82" s="78">
        <v>2023</v>
      </c>
      <c r="H82" s="81" t="s">
        <v>328</v>
      </c>
      <c r="I82" s="76" t="s">
        <v>196</v>
      </c>
      <c r="J82" s="77" t="s">
        <v>197</v>
      </c>
      <c r="K82" s="81" t="s">
        <v>221</v>
      </c>
      <c r="L82" s="81" t="s">
        <v>320</v>
      </c>
      <c r="M82" s="13" t="s">
        <v>321</v>
      </c>
      <c r="N82" s="75">
        <v>6.31</v>
      </c>
      <c r="O82" s="75">
        <v>6.31</v>
      </c>
      <c r="P82" s="75">
        <v>6.31</v>
      </c>
      <c r="Q82" s="75">
        <v>6.31</v>
      </c>
      <c r="R82" s="75">
        <v>6.31</v>
      </c>
      <c r="S82" s="75">
        <v>6.31</v>
      </c>
      <c r="T82" s="75">
        <v>6.31</v>
      </c>
      <c r="U82" s="75">
        <v>6.31</v>
      </c>
      <c r="V82" s="75">
        <v>6.31</v>
      </c>
      <c r="W82" s="75">
        <v>6.31</v>
      </c>
      <c r="X82" s="75">
        <v>6.31</v>
      </c>
      <c r="Y82" s="75">
        <v>6.31</v>
      </c>
      <c r="Z82" s="75">
        <v>6.31</v>
      </c>
      <c r="AA82" s="13">
        <v>0</v>
      </c>
      <c r="AB82" s="72">
        <v>0.3</v>
      </c>
      <c r="AC82" s="72">
        <v>0.3</v>
      </c>
      <c r="AD82" s="72">
        <v>0.3</v>
      </c>
      <c r="AE82" s="69">
        <v>0.3</v>
      </c>
      <c r="AF82" s="69">
        <v>0.3</v>
      </c>
      <c r="AG82" s="69">
        <v>0.3</v>
      </c>
      <c r="AH82" s="69">
        <v>0.3</v>
      </c>
      <c r="AI82" s="69">
        <v>0.3</v>
      </c>
      <c r="AJ82" s="69">
        <v>0.3</v>
      </c>
      <c r="AK82" s="69">
        <v>0.3</v>
      </c>
      <c r="AL82" s="69">
        <v>0.3</v>
      </c>
      <c r="AM82" s="69">
        <v>0.3</v>
      </c>
      <c r="AN82" s="73">
        <v>0</v>
      </c>
      <c r="AO82" s="95">
        <f t="shared" si="12"/>
        <v>0</v>
      </c>
      <c r="AP82" s="73">
        <v>0</v>
      </c>
      <c r="AQ82" s="95">
        <f t="shared" si="13"/>
        <v>0</v>
      </c>
      <c r="AR82" s="73">
        <v>12960</v>
      </c>
      <c r="AS82" s="96">
        <f t="shared" si="14"/>
        <v>3888</v>
      </c>
      <c r="AT82" s="80">
        <v>3060</v>
      </c>
      <c r="AU82" s="97">
        <f t="shared" si="15"/>
        <v>918</v>
      </c>
      <c r="AV82" s="80">
        <v>6120</v>
      </c>
      <c r="AW82" s="97">
        <f t="shared" si="16"/>
        <v>1836</v>
      </c>
      <c r="AX82" s="80">
        <v>0</v>
      </c>
      <c r="AY82" s="97">
        <f t="shared" si="17"/>
        <v>0</v>
      </c>
      <c r="AZ82" s="74">
        <v>0</v>
      </c>
      <c r="BA82" s="97">
        <f t="shared" si="18"/>
        <v>0</v>
      </c>
      <c r="BB82" s="74">
        <v>0</v>
      </c>
      <c r="BC82" s="97">
        <f t="shared" si="19"/>
        <v>0</v>
      </c>
      <c r="BD82" s="70">
        <v>0</v>
      </c>
      <c r="BE82" s="97">
        <f t="shared" si="20"/>
        <v>0</v>
      </c>
      <c r="BF82" s="73">
        <v>0</v>
      </c>
      <c r="BG82" s="97">
        <f t="shared" si="21"/>
        <v>0</v>
      </c>
      <c r="BH82" s="73">
        <v>0</v>
      </c>
      <c r="BI82" s="97">
        <f t="shared" si="22"/>
        <v>0</v>
      </c>
      <c r="BJ82" s="70">
        <v>0</v>
      </c>
      <c r="BK82" s="97">
        <f t="shared" si="23"/>
        <v>0</v>
      </c>
      <c r="BL82" s="128"/>
      <c r="BM82" s="131" t="s">
        <v>329</v>
      </c>
    </row>
    <row r="83" spans="1:65" ht="15.75" customHeight="1" thickBot="1">
      <c r="A83" s="93" t="s">
        <v>123</v>
      </c>
      <c r="B83" s="122" t="s">
        <v>184</v>
      </c>
      <c r="C83" s="299"/>
      <c r="D83" s="295"/>
      <c r="E83" s="295"/>
      <c r="F83" s="297"/>
      <c r="G83" s="78">
        <v>2023</v>
      </c>
      <c r="H83" s="81" t="s">
        <v>328</v>
      </c>
      <c r="I83" s="76" t="s">
        <v>196</v>
      </c>
      <c r="J83" s="77" t="s">
        <v>197</v>
      </c>
      <c r="K83" s="81" t="s">
        <v>330</v>
      </c>
      <c r="L83" s="81" t="s">
        <v>320</v>
      </c>
      <c r="M83" s="13" t="s">
        <v>321</v>
      </c>
      <c r="N83" s="75">
        <v>6.31</v>
      </c>
      <c r="O83" s="75">
        <v>6.31</v>
      </c>
      <c r="P83" s="75">
        <v>6.31</v>
      </c>
      <c r="Q83" s="75">
        <v>6.31</v>
      </c>
      <c r="R83" s="75">
        <v>6.31</v>
      </c>
      <c r="S83" s="75">
        <v>6.31</v>
      </c>
      <c r="T83" s="75">
        <v>6.31</v>
      </c>
      <c r="U83" s="75">
        <v>6.31</v>
      </c>
      <c r="V83" s="75">
        <v>6.31</v>
      </c>
      <c r="W83" s="75">
        <v>6.31</v>
      </c>
      <c r="X83" s="75">
        <v>6.31</v>
      </c>
      <c r="Y83" s="75">
        <v>6.31</v>
      </c>
      <c r="Z83" s="75">
        <v>6.31</v>
      </c>
      <c r="AA83" s="13">
        <v>0</v>
      </c>
      <c r="AB83" s="72">
        <v>0.3</v>
      </c>
      <c r="AC83" s="72">
        <v>0.3</v>
      </c>
      <c r="AD83" s="72">
        <v>0.3</v>
      </c>
      <c r="AE83" s="69">
        <v>0.3</v>
      </c>
      <c r="AF83" s="69">
        <v>0.3</v>
      </c>
      <c r="AG83" s="69">
        <v>0.3</v>
      </c>
      <c r="AH83" s="69">
        <v>0.3</v>
      </c>
      <c r="AI83" s="69">
        <v>0.3</v>
      </c>
      <c r="AJ83" s="69">
        <v>0.3</v>
      </c>
      <c r="AK83" s="69">
        <v>0.3</v>
      </c>
      <c r="AL83" s="69">
        <v>0.3</v>
      </c>
      <c r="AM83" s="69">
        <v>0.3</v>
      </c>
      <c r="AN83" s="73">
        <v>0</v>
      </c>
      <c r="AO83" s="95">
        <f t="shared" si="12"/>
        <v>0</v>
      </c>
      <c r="AP83" s="73">
        <v>0</v>
      </c>
      <c r="AQ83" s="95">
        <f t="shared" si="13"/>
        <v>0</v>
      </c>
      <c r="AR83" s="73">
        <v>8640</v>
      </c>
      <c r="AS83" s="96">
        <f t="shared" si="14"/>
        <v>2592</v>
      </c>
      <c r="AT83" s="80">
        <v>4080</v>
      </c>
      <c r="AU83" s="97">
        <f t="shared" si="15"/>
        <v>1224</v>
      </c>
      <c r="AV83" s="80">
        <v>3060</v>
      </c>
      <c r="AW83" s="97">
        <f t="shared" si="16"/>
        <v>918</v>
      </c>
      <c r="AX83" s="80">
        <v>3060</v>
      </c>
      <c r="AY83" s="97">
        <f t="shared" si="17"/>
        <v>918</v>
      </c>
      <c r="AZ83" s="74">
        <v>0</v>
      </c>
      <c r="BA83" s="97">
        <f t="shared" si="18"/>
        <v>0</v>
      </c>
      <c r="BB83" s="74">
        <v>0</v>
      </c>
      <c r="BC83" s="97">
        <f t="shared" si="19"/>
        <v>0</v>
      </c>
      <c r="BD83" s="74">
        <v>0</v>
      </c>
      <c r="BE83" s="97">
        <f t="shared" si="20"/>
        <v>0</v>
      </c>
      <c r="BF83" s="73">
        <v>0</v>
      </c>
      <c r="BG83" s="97">
        <f t="shared" si="21"/>
        <v>0</v>
      </c>
      <c r="BH83" s="70">
        <v>0</v>
      </c>
      <c r="BI83" s="97">
        <f t="shared" si="22"/>
        <v>0</v>
      </c>
      <c r="BJ83" s="73">
        <v>0</v>
      </c>
      <c r="BK83" s="97">
        <f t="shared" si="23"/>
        <v>0</v>
      </c>
      <c r="BL83" s="128"/>
      <c r="BM83" s="131" t="s">
        <v>331</v>
      </c>
    </row>
    <row r="84" spans="1:65" ht="15.75" customHeight="1" thickBot="1">
      <c r="A84" s="93" t="s">
        <v>123</v>
      </c>
      <c r="B84" s="122" t="s">
        <v>184</v>
      </c>
      <c r="C84" s="299"/>
      <c r="D84" s="295"/>
      <c r="E84" s="295"/>
      <c r="F84" s="297"/>
      <c r="G84" s="78">
        <v>2020</v>
      </c>
      <c r="H84" s="81" t="s">
        <v>332</v>
      </c>
      <c r="I84" s="76" t="s">
        <v>196</v>
      </c>
      <c r="J84" s="77" t="s">
        <v>197</v>
      </c>
      <c r="K84" s="81" t="s">
        <v>191</v>
      </c>
      <c r="L84" s="81" t="s">
        <v>320</v>
      </c>
      <c r="M84" s="13" t="s">
        <v>321</v>
      </c>
      <c r="N84" s="75">
        <v>2.0699999999999998</v>
      </c>
      <c r="O84" s="75">
        <v>2.0699999999999998</v>
      </c>
      <c r="P84" s="75">
        <v>2.0699999999999998</v>
      </c>
      <c r="Q84" s="75">
        <v>2.0699999999999998</v>
      </c>
      <c r="R84" s="75">
        <v>2.0699999999999998</v>
      </c>
      <c r="S84" s="75">
        <v>2.0699999999999998</v>
      </c>
      <c r="T84" s="75">
        <v>2.0699999999999998</v>
      </c>
      <c r="U84" s="75">
        <v>2.0699999999999998</v>
      </c>
      <c r="V84" s="75">
        <v>2.0699999999999998</v>
      </c>
      <c r="W84" s="75">
        <v>2.0699999999999998</v>
      </c>
      <c r="X84" s="75">
        <v>2.0699999999999998</v>
      </c>
      <c r="Y84" s="75">
        <v>2.0699999999999998</v>
      </c>
      <c r="Z84" s="75">
        <v>2.0699999999999998</v>
      </c>
      <c r="AA84" s="13">
        <v>0</v>
      </c>
      <c r="AB84" s="72">
        <v>0</v>
      </c>
      <c r="AC84" s="72">
        <v>0</v>
      </c>
      <c r="AD84" s="72">
        <v>0</v>
      </c>
      <c r="AE84" s="69">
        <v>0</v>
      </c>
      <c r="AF84" s="69">
        <v>0</v>
      </c>
      <c r="AG84" s="69">
        <v>0</v>
      </c>
      <c r="AH84" s="69">
        <v>0</v>
      </c>
      <c r="AI84" s="69">
        <v>0</v>
      </c>
      <c r="AJ84" s="69">
        <v>0</v>
      </c>
      <c r="AK84" s="69">
        <v>0</v>
      </c>
      <c r="AL84" s="69">
        <v>0</v>
      </c>
      <c r="AM84" s="69">
        <v>0</v>
      </c>
      <c r="AN84" s="73">
        <v>0</v>
      </c>
      <c r="AO84" s="95">
        <f t="shared" si="12"/>
        <v>0</v>
      </c>
      <c r="AP84" s="73">
        <v>0</v>
      </c>
      <c r="AQ84" s="95">
        <f t="shared" si="13"/>
        <v>0</v>
      </c>
      <c r="AR84" s="73">
        <v>1000</v>
      </c>
      <c r="AS84" s="96">
        <f t="shared" si="14"/>
        <v>0</v>
      </c>
      <c r="AT84" s="79">
        <v>0</v>
      </c>
      <c r="AU84" s="97">
        <f t="shared" si="15"/>
        <v>0</v>
      </c>
      <c r="AV84" s="79">
        <v>0</v>
      </c>
      <c r="AW84" s="97">
        <f t="shared" si="16"/>
        <v>0</v>
      </c>
      <c r="AX84" s="79">
        <v>0</v>
      </c>
      <c r="AY84" s="97">
        <f t="shared" si="17"/>
        <v>0</v>
      </c>
      <c r="AZ84" s="70">
        <v>0</v>
      </c>
      <c r="BA84" s="97">
        <f t="shared" si="18"/>
        <v>0</v>
      </c>
      <c r="BB84" s="70">
        <v>0</v>
      </c>
      <c r="BC84" s="97">
        <f t="shared" si="19"/>
        <v>0</v>
      </c>
      <c r="BD84" s="74">
        <v>0</v>
      </c>
      <c r="BE84" s="97">
        <f t="shared" si="20"/>
        <v>0</v>
      </c>
      <c r="BF84" s="73">
        <v>0</v>
      </c>
      <c r="BG84" s="97">
        <f t="shared" si="21"/>
        <v>0</v>
      </c>
      <c r="BH84" s="73">
        <v>0</v>
      </c>
      <c r="BI84" s="97">
        <f t="shared" si="22"/>
        <v>0</v>
      </c>
      <c r="BJ84" s="73">
        <v>0</v>
      </c>
      <c r="BK84" s="97">
        <f t="shared" si="23"/>
        <v>0</v>
      </c>
      <c r="BL84" s="128"/>
      <c r="BM84" s="131" t="s">
        <v>333</v>
      </c>
    </row>
    <row r="85" spans="1:65" ht="15.75" customHeight="1" thickBot="1">
      <c r="A85" s="93" t="s">
        <v>123</v>
      </c>
      <c r="B85" s="122" t="s">
        <v>184</v>
      </c>
      <c r="C85" s="299"/>
      <c r="D85" s="295"/>
      <c r="E85" s="295"/>
      <c r="F85" s="297"/>
      <c r="G85" s="78">
        <v>2020</v>
      </c>
      <c r="H85" s="76" t="s">
        <v>264</v>
      </c>
      <c r="I85" s="76" t="s">
        <v>196</v>
      </c>
      <c r="J85" s="77" t="s">
        <v>197</v>
      </c>
      <c r="K85" s="81" t="s">
        <v>216</v>
      </c>
      <c r="L85" s="76" t="s">
        <v>192</v>
      </c>
      <c r="M85" s="13" t="s">
        <v>193</v>
      </c>
      <c r="N85" s="75">
        <v>22.78</v>
      </c>
      <c r="O85" s="75">
        <v>22.78</v>
      </c>
      <c r="P85" s="75">
        <v>22.78</v>
      </c>
      <c r="Q85" s="75">
        <v>22.78</v>
      </c>
      <c r="R85" s="75">
        <v>22.78</v>
      </c>
      <c r="S85" s="75">
        <v>22.78</v>
      </c>
      <c r="T85" s="75">
        <v>22.78</v>
      </c>
      <c r="U85" s="75">
        <v>22.78</v>
      </c>
      <c r="V85" s="75">
        <v>22.78</v>
      </c>
      <c r="W85" s="75">
        <v>22.78</v>
      </c>
      <c r="X85" s="75">
        <v>22.78</v>
      </c>
      <c r="Y85" s="75">
        <v>22.78</v>
      </c>
      <c r="Z85" s="75">
        <v>22.78</v>
      </c>
      <c r="AA85" s="13">
        <v>0</v>
      </c>
      <c r="AB85" s="72">
        <v>0</v>
      </c>
      <c r="AC85" s="72">
        <v>0</v>
      </c>
      <c r="AD85" s="72">
        <v>0</v>
      </c>
      <c r="AE85" s="69">
        <v>0</v>
      </c>
      <c r="AF85" s="69">
        <v>0</v>
      </c>
      <c r="AG85" s="69">
        <v>0</v>
      </c>
      <c r="AH85" s="69">
        <v>0</v>
      </c>
      <c r="AI85" s="69">
        <v>0</v>
      </c>
      <c r="AJ85" s="69">
        <v>0</v>
      </c>
      <c r="AK85" s="69">
        <v>0</v>
      </c>
      <c r="AL85" s="69">
        <v>0</v>
      </c>
      <c r="AM85" s="69">
        <v>0</v>
      </c>
      <c r="AN85" s="73">
        <v>0</v>
      </c>
      <c r="AO85" s="95">
        <f t="shared" si="12"/>
        <v>0</v>
      </c>
      <c r="AP85" s="73">
        <v>0</v>
      </c>
      <c r="AQ85" s="95">
        <f t="shared" si="13"/>
        <v>0</v>
      </c>
      <c r="AR85" s="73">
        <v>1008</v>
      </c>
      <c r="AS85" s="96">
        <f t="shared" si="14"/>
        <v>0</v>
      </c>
      <c r="AT85" s="79">
        <v>0</v>
      </c>
      <c r="AU85" s="97">
        <f t="shared" si="15"/>
        <v>0</v>
      </c>
      <c r="AV85" s="79">
        <v>0</v>
      </c>
      <c r="AW85" s="97">
        <f t="shared" si="16"/>
        <v>0</v>
      </c>
      <c r="AX85" s="80">
        <v>0</v>
      </c>
      <c r="AY85" s="97">
        <f t="shared" si="17"/>
        <v>0</v>
      </c>
      <c r="AZ85" s="73">
        <v>0</v>
      </c>
      <c r="BA85" s="97">
        <f t="shared" si="18"/>
        <v>0</v>
      </c>
      <c r="BB85" s="70">
        <v>0</v>
      </c>
      <c r="BC85" s="97">
        <f t="shared" si="19"/>
        <v>0</v>
      </c>
      <c r="BD85" s="70">
        <v>0</v>
      </c>
      <c r="BE85" s="97">
        <f t="shared" si="20"/>
        <v>0</v>
      </c>
      <c r="BF85" s="70">
        <v>0</v>
      </c>
      <c r="BG85" s="97">
        <f t="shared" si="21"/>
        <v>0</v>
      </c>
      <c r="BH85" s="73">
        <v>0</v>
      </c>
      <c r="BI85" s="97">
        <f t="shared" si="22"/>
        <v>0</v>
      </c>
      <c r="BJ85" s="70">
        <v>0</v>
      </c>
      <c r="BK85" s="97">
        <f t="shared" si="23"/>
        <v>0</v>
      </c>
      <c r="BL85" s="128"/>
      <c r="BM85" s="131" t="s">
        <v>334</v>
      </c>
    </row>
    <row r="86" spans="1:65" ht="15.75" customHeight="1" thickBot="1">
      <c r="A86" s="93" t="s">
        <v>123</v>
      </c>
      <c r="B86" s="122" t="s">
        <v>184</v>
      </c>
      <c r="C86" s="299"/>
      <c r="D86" s="295"/>
      <c r="E86" s="295"/>
      <c r="F86" s="297"/>
      <c r="G86" s="78">
        <v>2020</v>
      </c>
      <c r="H86" s="76" t="s">
        <v>264</v>
      </c>
      <c r="I86" s="76" t="s">
        <v>196</v>
      </c>
      <c r="J86" s="77" t="s">
        <v>197</v>
      </c>
      <c r="K86" s="81" t="s">
        <v>216</v>
      </c>
      <c r="L86" s="76" t="s">
        <v>192</v>
      </c>
      <c r="M86" s="13" t="s">
        <v>193</v>
      </c>
      <c r="N86" s="75">
        <v>22.84</v>
      </c>
      <c r="O86" s="75">
        <v>22.84</v>
      </c>
      <c r="P86" s="75">
        <v>22.84</v>
      </c>
      <c r="Q86" s="75">
        <v>22.84</v>
      </c>
      <c r="R86" s="75">
        <v>22.84</v>
      </c>
      <c r="S86" s="75">
        <v>22.84</v>
      </c>
      <c r="T86" s="75">
        <v>22.84</v>
      </c>
      <c r="U86" s="75">
        <v>22.84</v>
      </c>
      <c r="V86" s="75">
        <v>22.84</v>
      </c>
      <c r="W86" s="75">
        <v>22.84</v>
      </c>
      <c r="X86" s="75">
        <v>22.84</v>
      </c>
      <c r="Y86" s="75">
        <v>22.84</v>
      </c>
      <c r="Z86" s="75">
        <v>22.84</v>
      </c>
      <c r="AA86" s="13">
        <v>0</v>
      </c>
      <c r="AB86" s="72">
        <v>0</v>
      </c>
      <c r="AC86" s="72">
        <v>0</v>
      </c>
      <c r="AD86" s="72">
        <v>0</v>
      </c>
      <c r="AE86" s="69">
        <v>0</v>
      </c>
      <c r="AF86" s="69">
        <v>0</v>
      </c>
      <c r="AG86" s="69">
        <v>0</v>
      </c>
      <c r="AH86" s="69">
        <v>0</v>
      </c>
      <c r="AI86" s="69">
        <v>0</v>
      </c>
      <c r="AJ86" s="69">
        <v>0</v>
      </c>
      <c r="AK86" s="69">
        <v>0</v>
      </c>
      <c r="AL86" s="69">
        <v>0</v>
      </c>
      <c r="AM86" s="69">
        <v>0</v>
      </c>
      <c r="AN86" s="73">
        <v>0</v>
      </c>
      <c r="AO86" s="95">
        <f t="shared" si="12"/>
        <v>0</v>
      </c>
      <c r="AP86" s="73">
        <v>0</v>
      </c>
      <c r="AQ86" s="95">
        <f t="shared" si="13"/>
        <v>0</v>
      </c>
      <c r="AR86" s="73">
        <v>1008</v>
      </c>
      <c r="AS86" s="96">
        <f t="shared" si="14"/>
        <v>0</v>
      </c>
      <c r="AT86" s="79">
        <v>0</v>
      </c>
      <c r="AU86" s="97">
        <f t="shared" si="15"/>
        <v>0</v>
      </c>
      <c r="AV86" s="79">
        <v>0</v>
      </c>
      <c r="AW86" s="97">
        <f t="shared" si="16"/>
        <v>0</v>
      </c>
      <c r="AX86" s="80">
        <v>0</v>
      </c>
      <c r="AY86" s="97">
        <f t="shared" si="17"/>
        <v>0</v>
      </c>
      <c r="AZ86" s="73">
        <v>0</v>
      </c>
      <c r="BA86" s="97">
        <f t="shared" si="18"/>
        <v>0</v>
      </c>
      <c r="BB86" s="74">
        <v>0</v>
      </c>
      <c r="BC86" s="97">
        <f t="shared" si="19"/>
        <v>0</v>
      </c>
      <c r="BD86" s="73">
        <v>0</v>
      </c>
      <c r="BE86" s="97">
        <f t="shared" si="20"/>
        <v>0</v>
      </c>
      <c r="BF86" s="73">
        <v>0</v>
      </c>
      <c r="BG86" s="97">
        <f t="shared" si="21"/>
        <v>0</v>
      </c>
      <c r="BH86" s="70">
        <v>0</v>
      </c>
      <c r="BI86" s="97">
        <f t="shared" si="22"/>
        <v>0</v>
      </c>
      <c r="BJ86" s="73">
        <v>0</v>
      </c>
      <c r="BK86" s="97">
        <f t="shared" si="23"/>
        <v>0</v>
      </c>
      <c r="BL86" s="128"/>
      <c r="BM86" s="131" t="s">
        <v>335</v>
      </c>
    </row>
    <row r="87" spans="1:65" ht="15.75" customHeight="1" thickBot="1">
      <c r="A87" s="93" t="s">
        <v>123</v>
      </c>
      <c r="B87" s="122" t="s">
        <v>184</v>
      </c>
      <c r="C87" s="299"/>
      <c r="D87" s="295"/>
      <c r="E87" s="295"/>
      <c r="F87" s="297"/>
      <c r="G87" s="78">
        <v>2023</v>
      </c>
      <c r="H87" s="76" t="s">
        <v>277</v>
      </c>
      <c r="I87" s="76" t="s">
        <v>196</v>
      </c>
      <c r="J87" s="77" t="s">
        <v>197</v>
      </c>
      <c r="K87" s="81" t="s">
        <v>221</v>
      </c>
      <c r="L87" s="76" t="s">
        <v>192</v>
      </c>
      <c r="M87" s="13" t="s">
        <v>193</v>
      </c>
      <c r="N87" s="75">
        <v>24.16</v>
      </c>
      <c r="O87" s="75">
        <v>24.16</v>
      </c>
      <c r="P87" s="75">
        <v>24.16</v>
      </c>
      <c r="Q87" s="75">
        <v>24.16</v>
      </c>
      <c r="R87" s="75">
        <v>24.16</v>
      </c>
      <c r="S87" s="75">
        <v>24.16</v>
      </c>
      <c r="T87" s="75">
        <v>24.16</v>
      </c>
      <c r="U87" s="75">
        <v>24.16</v>
      </c>
      <c r="V87" s="75">
        <v>24.16</v>
      </c>
      <c r="W87" s="75">
        <v>24.16</v>
      </c>
      <c r="X87" s="75">
        <v>24.16</v>
      </c>
      <c r="Y87" s="75">
        <v>24.16</v>
      </c>
      <c r="Z87" s="75">
        <v>24.16</v>
      </c>
      <c r="AA87" s="13">
        <v>0.48</v>
      </c>
      <c r="AB87" s="72">
        <v>0.48</v>
      </c>
      <c r="AC87" s="72">
        <v>0.48</v>
      </c>
      <c r="AD87" s="72">
        <v>0.48</v>
      </c>
      <c r="AE87" s="69">
        <v>0.48</v>
      </c>
      <c r="AF87" s="69">
        <v>0.48</v>
      </c>
      <c r="AG87" s="69">
        <v>0.48</v>
      </c>
      <c r="AH87" s="69">
        <v>0.48</v>
      </c>
      <c r="AI87" s="69">
        <v>0.48</v>
      </c>
      <c r="AJ87" s="69">
        <v>0.48</v>
      </c>
      <c r="AK87" s="69">
        <v>0.48</v>
      </c>
      <c r="AL87" s="69">
        <v>0.48</v>
      </c>
      <c r="AM87" s="69">
        <v>0.48</v>
      </c>
      <c r="AN87" s="73">
        <v>0</v>
      </c>
      <c r="AO87" s="95">
        <f t="shared" si="12"/>
        <v>0</v>
      </c>
      <c r="AP87" s="73">
        <v>0</v>
      </c>
      <c r="AQ87" s="95">
        <f t="shared" si="13"/>
        <v>0</v>
      </c>
      <c r="AR87" s="73">
        <v>1200</v>
      </c>
      <c r="AS87" s="96">
        <f t="shared" si="14"/>
        <v>576</v>
      </c>
      <c r="AT87" s="79">
        <v>0</v>
      </c>
      <c r="AU87" s="97">
        <f t="shared" si="15"/>
        <v>0</v>
      </c>
      <c r="AV87" s="80">
        <v>1200</v>
      </c>
      <c r="AW87" s="97">
        <f t="shared" si="16"/>
        <v>576</v>
      </c>
      <c r="AX87" s="80">
        <v>0</v>
      </c>
      <c r="AY87" s="97">
        <f t="shared" si="17"/>
        <v>0</v>
      </c>
      <c r="AZ87" s="71">
        <v>0</v>
      </c>
      <c r="BA87" s="97">
        <f t="shared" si="18"/>
        <v>0</v>
      </c>
      <c r="BB87" s="74">
        <v>0</v>
      </c>
      <c r="BC87" s="97">
        <f t="shared" si="19"/>
        <v>0</v>
      </c>
      <c r="BD87" s="73">
        <v>0</v>
      </c>
      <c r="BE87" s="97">
        <f t="shared" si="20"/>
        <v>0</v>
      </c>
      <c r="BF87" s="73">
        <v>0</v>
      </c>
      <c r="BG87" s="97">
        <f t="shared" si="21"/>
        <v>0</v>
      </c>
      <c r="BH87" s="73">
        <v>0</v>
      </c>
      <c r="BI87" s="97">
        <f t="shared" si="22"/>
        <v>0</v>
      </c>
      <c r="BJ87" s="73">
        <v>0</v>
      </c>
      <c r="BK87" s="97">
        <f t="shared" si="23"/>
        <v>0</v>
      </c>
      <c r="BL87" s="128"/>
      <c r="BM87" s="131" t="s">
        <v>336</v>
      </c>
    </row>
    <row r="88" spans="1:65" ht="20.85" customHeight="1" thickBot="1">
      <c r="A88" s="93" t="s">
        <v>123</v>
      </c>
      <c r="B88" s="122" t="s">
        <v>184</v>
      </c>
      <c r="C88" s="299"/>
      <c r="D88" s="295"/>
      <c r="E88" s="295"/>
      <c r="F88" s="297"/>
      <c r="G88" s="78">
        <v>2023</v>
      </c>
      <c r="H88" s="76" t="s">
        <v>277</v>
      </c>
      <c r="I88" s="76" t="s">
        <v>196</v>
      </c>
      <c r="J88" s="77" t="s">
        <v>197</v>
      </c>
      <c r="K88" s="81" t="s">
        <v>221</v>
      </c>
      <c r="L88" s="76" t="s">
        <v>192</v>
      </c>
      <c r="M88" s="13" t="s">
        <v>193</v>
      </c>
      <c r="N88" s="75">
        <v>24.31</v>
      </c>
      <c r="O88" s="75">
        <v>24.31</v>
      </c>
      <c r="P88" s="75">
        <v>24.31</v>
      </c>
      <c r="Q88" s="75">
        <v>24.31</v>
      </c>
      <c r="R88" s="75">
        <v>24.31</v>
      </c>
      <c r="S88" s="75">
        <v>24.31</v>
      </c>
      <c r="T88" s="75">
        <v>24.31</v>
      </c>
      <c r="U88" s="75">
        <v>24.31</v>
      </c>
      <c r="V88" s="75">
        <v>24.31</v>
      </c>
      <c r="W88" s="75">
        <v>24.31</v>
      </c>
      <c r="X88" s="75">
        <v>24.31</v>
      </c>
      <c r="Y88" s="75">
        <v>24.31</v>
      </c>
      <c r="Z88" s="75">
        <v>24.31</v>
      </c>
      <c r="AA88" s="13">
        <v>0.48</v>
      </c>
      <c r="AB88" s="72">
        <v>0.48</v>
      </c>
      <c r="AC88" s="72">
        <v>0.48</v>
      </c>
      <c r="AD88" s="72">
        <v>0.48</v>
      </c>
      <c r="AE88" s="69">
        <v>0.48</v>
      </c>
      <c r="AF88" s="69">
        <v>0.48</v>
      </c>
      <c r="AG88" s="69">
        <v>0.48</v>
      </c>
      <c r="AH88" s="69">
        <v>0.48</v>
      </c>
      <c r="AI88" s="69">
        <v>0.48</v>
      </c>
      <c r="AJ88" s="69">
        <v>0.48</v>
      </c>
      <c r="AK88" s="69">
        <v>0.48</v>
      </c>
      <c r="AL88" s="69">
        <v>0.48</v>
      </c>
      <c r="AM88" s="69">
        <v>0.48</v>
      </c>
      <c r="AN88" s="73">
        <v>0</v>
      </c>
      <c r="AO88" s="95">
        <f t="shared" si="12"/>
        <v>0</v>
      </c>
      <c r="AP88" s="73">
        <v>0</v>
      </c>
      <c r="AQ88" s="95">
        <f t="shared" si="13"/>
        <v>0</v>
      </c>
      <c r="AR88" s="73">
        <v>1200</v>
      </c>
      <c r="AS88" s="96">
        <f t="shared" si="14"/>
        <v>576</v>
      </c>
      <c r="AT88" s="79">
        <v>0</v>
      </c>
      <c r="AU88" s="97">
        <f t="shared" si="15"/>
        <v>0</v>
      </c>
      <c r="AV88" s="79">
        <v>0</v>
      </c>
      <c r="AW88" s="97">
        <f t="shared" si="16"/>
        <v>0</v>
      </c>
      <c r="AX88" s="80">
        <v>0</v>
      </c>
      <c r="AY88" s="97">
        <f t="shared" si="17"/>
        <v>0</v>
      </c>
      <c r="AZ88" s="73">
        <v>0</v>
      </c>
      <c r="BA88" s="97">
        <f t="shared" si="18"/>
        <v>0</v>
      </c>
      <c r="BB88" s="70">
        <v>0</v>
      </c>
      <c r="BC88" s="97">
        <f t="shared" si="19"/>
        <v>0</v>
      </c>
      <c r="BD88" s="71">
        <v>0</v>
      </c>
      <c r="BE88" s="97">
        <f t="shared" si="20"/>
        <v>0</v>
      </c>
      <c r="BF88" s="73">
        <v>1200</v>
      </c>
      <c r="BG88" s="97">
        <f t="shared" si="21"/>
        <v>576</v>
      </c>
      <c r="BH88" s="70">
        <v>0</v>
      </c>
      <c r="BI88" s="97">
        <f t="shared" si="22"/>
        <v>0</v>
      </c>
      <c r="BJ88" s="70">
        <v>0</v>
      </c>
      <c r="BK88" s="97">
        <f t="shared" si="23"/>
        <v>0</v>
      </c>
      <c r="BL88" s="128"/>
      <c r="BM88" s="131" t="s">
        <v>337</v>
      </c>
    </row>
    <row r="89" spans="1:65" ht="20.85" customHeight="1" thickBot="1">
      <c r="A89" s="93" t="s">
        <v>123</v>
      </c>
      <c r="B89" s="122" t="s">
        <v>184</v>
      </c>
      <c r="C89" s="299"/>
      <c r="D89" s="295"/>
      <c r="E89" s="295"/>
      <c r="F89" s="297"/>
      <c r="G89" s="78">
        <v>2023</v>
      </c>
      <c r="H89" s="76" t="s">
        <v>277</v>
      </c>
      <c r="I89" s="76" t="s">
        <v>196</v>
      </c>
      <c r="J89" s="77" t="s">
        <v>197</v>
      </c>
      <c r="K89" s="81" t="s">
        <v>221</v>
      </c>
      <c r="L89" s="76" t="s">
        <v>192</v>
      </c>
      <c r="M89" s="13" t="s">
        <v>193</v>
      </c>
      <c r="N89" s="75">
        <v>24.16</v>
      </c>
      <c r="O89" s="75">
        <v>24.16</v>
      </c>
      <c r="P89" s="75">
        <v>24.16</v>
      </c>
      <c r="Q89" s="75">
        <v>24.16</v>
      </c>
      <c r="R89" s="75">
        <v>24.16</v>
      </c>
      <c r="S89" s="75">
        <v>24.16</v>
      </c>
      <c r="T89" s="75">
        <v>24.16</v>
      </c>
      <c r="U89" s="75">
        <v>24.16</v>
      </c>
      <c r="V89" s="75">
        <v>24.16</v>
      </c>
      <c r="W89" s="75">
        <v>24.16</v>
      </c>
      <c r="X89" s="75">
        <v>24.16</v>
      </c>
      <c r="Y89" s="75">
        <v>24.16</v>
      </c>
      <c r="Z89" s="75">
        <v>24.16</v>
      </c>
      <c r="AA89" s="13">
        <v>0.48</v>
      </c>
      <c r="AB89" s="72">
        <v>0.48</v>
      </c>
      <c r="AC89" s="72">
        <v>0.48</v>
      </c>
      <c r="AD89" s="72">
        <v>0.48</v>
      </c>
      <c r="AE89" s="69">
        <v>0.48</v>
      </c>
      <c r="AF89" s="69">
        <v>0.48</v>
      </c>
      <c r="AG89" s="69">
        <v>0.48</v>
      </c>
      <c r="AH89" s="69">
        <v>0.48</v>
      </c>
      <c r="AI89" s="69">
        <v>0.48</v>
      </c>
      <c r="AJ89" s="69">
        <v>0.48</v>
      </c>
      <c r="AK89" s="69">
        <v>0.48</v>
      </c>
      <c r="AL89" s="69">
        <v>0.48</v>
      </c>
      <c r="AM89" s="69">
        <v>0.48</v>
      </c>
      <c r="AN89" s="73">
        <v>0</v>
      </c>
      <c r="AO89" s="95">
        <f t="shared" si="12"/>
        <v>0</v>
      </c>
      <c r="AP89" s="73">
        <v>0</v>
      </c>
      <c r="AQ89" s="95">
        <f t="shared" si="13"/>
        <v>0</v>
      </c>
      <c r="AR89" s="73">
        <v>2400</v>
      </c>
      <c r="AS89" s="96">
        <f t="shared" si="14"/>
        <v>1152</v>
      </c>
      <c r="AT89" s="79">
        <v>0</v>
      </c>
      <c r="AU89" s="97">
        <f t="shared" si="15"/>
        <v>0</v>
      </c>
      <c r="AV89" s="80">
        <v>1200</v>
      </c>
      <c r="AW89" s="97">
        <f t="shared" si="16"/>
        <v>576</v>
      </c>
      <c r="AX89" s="80">
        <v>0</v>
      </c>
      <c r="AY89" s="97">
        <f t="shared" si="17"/>
        <v>0</v>
      </c>
      <c r="AZ89" s="73">
        <v>0</v>
      </c>
      <c r="BA89" s="97">
        <f t="shared" si="18"/>
        <v>0</v>
      </c>
      <c r="BB89" s="70">
        <v>0</v>
      </c>
      <c r="BC89" s="97">
        <f t="shared" si="19"/>
        <v>0</v>
      </c>
      <c r="BD89" s="73">
        <v>0</v>
      </c>
      <c r="BE89" s="97">
        <f t="shared" si="20"/>
        <v>0</v>
      </c>
      <c r="BF89" s="70">
        <v>0</v>
      </c>
      <c r="BG89" s="97">
        <f t="shared" si="21"/>
        <v>0</v>
      </c>
      <c r="BH89" s="73">
        <v>0</v>
      </c>
      <c r="BI89" s="97">
        <f t="shared" si="22"/>
        <v>0</v>
      </c>
      <c r="BJ89" s="73">
        <v>0</v>
      </c>
      <c r="BK89" s="97">
        <f t="shared" si="23"/>
        <v>0</v>
      </c>
      <c r="BL89" s="128"/>
      <c r="BM89" s="131" t="s">
        <v>338</v>
      </c>
    </row>
    <row r="90" spans="1:65" ht="20.85" customHeight="1" thickBot="1">
      <c r="A90" s="93" t="s">
        <v>123</v>
      </c>
      <c r="B90" s="122" t="s">
        <v>184</v>
      </c>
      <c r="C90" s="299"/>
      <c r="D90" s="295"/>
      <c r="E90" s="295"/>
      <c r="F90" s="297"/>
      <c r="G90" s="78">
        <v>2023</v>
      </c>
      <c r="H90" s="76" t="s">
        <v>277</v>
      </c>
      <c r="I90" s="76" t="s">
        <v>196</v>
      </c>
      <c r="J90" s="77" t="s">
        <v>197</v>
      </c>
      <c r="K90" s="81" t="s">
        <v>221</v>
      </c>
      <c r="L90" s="76" t="s">
        <v>192</v>
      </c>
      <c r="M90" s="13" t="s">
        <v>193</v>
      </c>
      <c r="N90" s="75">
        <v>24.31</v>
      </c>
      <c r="O90" s="75">
        <v>24.31</v>
      </c>
      <c r="P90" s="75">
        <v>24.31</v>
      </c>
      <c r="Q90" s="75">
        <v>24.31</v>
      </c>
      <c r="R90" s="75">
        <v>24.31</v>
      </c>
      <c r="S90" s="75">
        <v>24.31</v>
      </c>
      <c r="T90" s="75">
        <v>24.31</v>
      </c>
      <c r="U90" s="75">
        <v>24.31</v>
      </c>
      <c r="V90" s="75">
        <v>24.31</v>
      </c>
      <c r="W90" s="75">
        <v>24.31</v>
      </c>
      <c r="X90" s="75">
        <v>24.31</v>
      </c>
      <c r="Y90" s="75">
        <v>24.31</v>
      </c>
      <c r="Z90" s="75">
        <v>24.31</v>
      </c>
      <c r="AA90" s="13">
        <v>0.48</v>
      </c>
      <c r="AB90" s="72">
        <v>0.48</v>
      </c>
      <c r="AC90" s="72">
        <v>0.48</v>
      </c>
      <c r="AD90" s="72">
        <v>0.48</v>
      </c>
      <c r="AE90" s="69">
        <v>0.48</v>
      </c>
      <c r="AF90" s="69">
        <v>0.48</v>
      </c>
      <c r="AG90" s="69">
        <v>0.48</v>
      </c>
      <c r="AH90" s="69">
        <v>0.48</v>
      </c>
      <c r="AI90" s="69">
        <v>0.48</v>
      </c>
      <c r="AJ90" s="69">
        <v>0.48</v>
      </c>
      <c r="AK90" s="69">
        <v>0.48</v>
      </c>
      <c r="AL90" s="69">
        <v>0.48</v>
      </c>
      <c r="AM90" s="69">
        <v>0.48</v>
      </c>
      <c r="AN90" s="73">
        <v>0</v>
      </c>
      <c r="AO90" s="95">
        <f t="shared" si="12"/>
        <v>0</v>
      </c>
      <c r="AP90" s="73">
        <v>0</v>
      </c>
      <c r="AQ90" s="95">
        <f t="shared" si="13"/>
        <v>0</v>
      </c>
      <c r="AR90" s="73">
        <v>1200</v>
      </c>
      <c r="AS90" s="96">
        <f t="shared" si="14"/>
        <v>576</v>
      </c>
      <c r="AT90" s="79">
        <v>0</v>
      </c>
      <c r="AU90" s="97">
        <f t="shared" si="15"/>
        <v>0</v>
      </c>
      <c r="AV90" s="80">
        <v>1200</v>
      </c>
      <c r="AW90" s="97">
        <f t="shared" si="16"/>
        <v>576</v>
      </c>
      <c r="AX90" s="79">
        <v>0</v>
      </c>
      <c r="AY90" s="97">
        <f t="shared" si="17"/>
        <v>0</v>
      </c>
      <c r="AZ90" s="70">
        <v>0</v>
      </c>
      <c r="BA90" s="97">
        <f t="shared" si="18"/>
        <v>0</v>
      </c>
      <c r="BB90" s="74">
        <v>0</v>
      </c>
      <c r="BC90" s="97">
        <f t="shared" si="19"/>
        <v>0</v>
      </c>
      <c r="BD90" s="73">
        <v>0</v>
      </c>
      <c r="BE90" s="97">
        <f t="shared" si="20"/>
        <v>0</v>
      </c>
      <c r="BF90" s="73">
        <v>0</v>
      </c>
      <c r="BG90" s="97">
        <f t="shared" si="21"/>
        <v>0</v>
      </c>
      <c r="BH90" s="73">
        <v>1200</v>
      </c>
      <c r="BI90" s="97">
        <f t="shared" si="22"/>
        <v>576</v>
      </c>
      <c r="BJ90" s="73">
        <v>2400</v>
      </c>
      <c r="BK90" s="97">
        <f t="shared" si="23"/>
        <v>1152</v>
      </c>
      <c r="BL90" s="128"/>
      <c r="BM90" s="131" t="s">
        <v>339</v>
      </c>
    </row>
    <row r="91" spans="1:65" ht="20.85" customHeight="1" thickBot="1">
      <c r="A91" s="93" t="s">
        <v>123</v>
      </c>
      <c r="B91" s="122" t="s">
        <v>184</v>
      </c>
      <c r="C91" s="299"/>
      <c r="D91" s="295"/>
      <c r="E91" s="295"/>
      <c r="F91" s="297"/>
      <c r="G91" s="78">
        <v>2021</v>
      </c>
      <c r="H91" s="76" t="s">
        <v>280</v>
      </c>
      <c r="I91" s="76" t="s">
        <v>196</v>
      </c>
      <c r="J91" s="77" t="s">
        <v>197</v>
      </c>
      <c r="K91" s="81" t="s">
        <v>221</v>
      </c>
      <c r="L91" s="76" t="s">
        <v>192</v>
      </c>
      <c r="M91" s="13" t="s">
        <v>193</v>
      </c>
      <c r="N91" s="75">
        <v>4.3600000000000003</v>
      </c>
      <c r="O91" s="75">
        <v>4.3600000000000003</v>
      </c>
      <c r="P91" s="75">
        <v>4.3600000000000003</v>
      </c>
      <c r="Q91" s="75">
        <v>4.3600000000000003</v>
      </c>
      <c r="R91" s="75">
        <v>4.3600000000000003</v>
      </c>
      <c r="S91" s="75">
        <v>4.3600000000000003</v>
      </c>
      <c r="T91" s="75">
        <v>4.3600000000000003</v>
      </c>
      <c r="U91" s="75">
        <v>4.3600000000000003</v>
      </c>
      <c r="V91" s="75">
        <v>4.3600000000000003</v>
      </c>
      <c r="W91" s="75">
        <v>4.3600000000000003</v>
      </c>
      <c r="X91" s="75">
        <v>4.3600000000000003</v>
      </c>
      <c r="Y91" s="75">
        <v>4.3600000000000003</v>
      </c>
      <c r="Z91" s="75">
        <v>4.3600000000000003</v>
      </c>
      <c r="AA91" s="13">
        <v>0</v>
      </c>
      <c r="AB91" s="72">
        <v>0</v>
      </c>
      <c r="AC91" s="72">
        <v>0</v>
      </c>
      <c r="AD91" s="72">
        <v>0</v>
      </c>
      <c r="AE91" s="69">
        <v>0</v>
      </c>
      <c r="AF91" s="69">
        <v>0</v>
      </c>
      <c r="AG91" s="69">
        <v>0</v>
      </c>
      <c r="AH91" s="69">
        <v>0</v>
      </c>
      <c r="AI91" s="69">
        <v>0</v>
      </c>
      <c r="AJ91" s="69">
        <v>0</v>
      </c>
      <c r="AK91" s="69">
        <v>0</v>
      </c>
      <c r="AL91" s="69">
        <v>0</v>
      </c>
      <c r="AM91" s="69">
        <v>0</v>
      </c>
      <c r="AN91" s="73">
        <v>0</v>
      </c>
      <c r="AO91" s="95">
        <f t="shared" si="12"/>
        <v>0</v>
      </c>
      <c r="AP91" s="73">
        <v>0</v>
      </c>
      <c r="AQ91" s="95">
        <f t="shared" si="13"/>
        <v>0</v>
      </c>
      <c r="AR91" s="73">
        <v>2880</v>
      </c>
      <c r="AS91" s="96">
        <f t="shared" si="14"/>
        <v>0</v>
      </c>
      <c r="AT91" s="79">
        <v>0</v>
      </c>
      <c r="AU91" s="97">
        <f t="shared" si="15"/>
        <v>0</v>
      </c>
      <c r="AV91" s="80">
        <v>2880</v>
      </c>
      <c r="AW91" s="97">
        <f t="shared" si="16"/>
        <v>0</v>
      </c>
      <c r="AX91" s="80">
        <v>2880</v>
      </c>
      <c r="AY91" s="97">
        <f t="shared" si="17"/>
        <v>0</v>
      </c>
      <c r="AZ91" s="73">
        <v>2880</v>
      </c>
      <c r="BA91" s="97">
        <f t="shared" si="18"/>
        <v>0</v>
      </c>
      <c r="BB91" s="74">
        <v>0</v>
      </c>
      <c r="BC91" s="97">
        <f t="shared" si="19"/>
        <v>0</v>
      </c>
      <c r="BD91" s="70">
        <v>0</v>
      </c>
      <c r="BE91" s="97">
        <f t="shared" si="20"/>
        <v>0</v>
      </c>
      <c r="BF91" s="73">
        <v>5760</v>
      </c>
      <c r="BG91" s="97">
        <f t="shared" si="21"/>
        <v>0</v>
      </c>
      <c r="BH91" s="70">
        <v>2880</v>
      </c>
      <c r="BI91" s="97">
        <f t="shared" si="22"/>
        <v>0</v>
      </c>
      <c r="BJ91" s="70">
        <v>0</v>
      </c>
      <c r="BK91" s="97">
        <f t="shared" si="23"/>
        <v>0</v>
      </c>
      <c r="BL91" s="128"/>
      <c r="BM91" s="131" t="s">
        <v>340</v>
      </c>
    </row>
    <row r="92" spans="1:65" ht="20.85" customHeight="1" thickBot="1">
      <c r="A92" s="93" t="s">
        <v>123</v>
      </c>
      <c r="B92" s="122" t="s">
        <v>184</v>
      </c>
      <c r="C92" s="299"/>
      <c r="D92" s="295"/>
      <c r="E92" s="295"/>
      <c r="F92" s="297"/>
      <c r="G92" s="78">
        <v>2023</v>
      </c>
      <c r="H92" s="76" t="s">
        <v>280</v>
      </c>
      <c r="I92" s="76" t="s">
        <v>196</v>
      </c>
      <c r="J92" s="77" t="s">
        <v>197</v>
      </c>
      <c r="K92" s="81" t="s">
        <v>235</v>
      </c>
      <c r="L92" s="76" t="s">
        <v>192</v>
      </c>
      <c r="M92" s="13" t="s">
        <v>193</v>
      </c>
      <c r="N92" s="75">
        <v>4.42</v>
      </c>
      <c r="O92" s="75">
        <v>4.42</v>
      </c>
      <c r="P92" s="75">
        <v>4.42</v>
      </c>
      <c r="Q92" s="75">
        <v>4.42</v>
      </c>
      <c r="R92" s="75">
        <v>4.42</v>
      </c>
      <c r="S92" s="75">
        <v>4.42</v>
      </c>
      <c r="T92" s="75">
        <v>4.42</v>
      </c>
      <c r="U92" s="75">
        <v>4.42</v>
      </c>
      <c r="V92" s="75">
        <v>4.42</v>
      </c>
      <c r="W92" s="75">
        <v>4.42</v>
      </c>
      <c r="X92" s="75">
        <v>4.42</v>
      </c>
      <c r="Y92" s="75">
        <v>4.42</v>
      </c>
      <c r="Z92" s="75">
        <v>4.42</v>
      </c>
      <c r="AA92" s="13">
        <v>0</v>
      </c>
      <c r="AB92" s="72">
        <v>0</v>
      </c>
      <c r="AC92" s="72">
        <v>0</v>
      </c>
      <c r="AD92" s="72">
        <v>0</v>
      </c>
      <c r="AE92" s="69">
        <v>0</v>
      </c>
      <c r="AF92" s="69">
        <v>0</v>
      </c>
      <c r="AG92" s="69">
        <v>0</v>
      </c>
      <c r="AH92" s="69">
        <v>0</v>
      </c>
      <c r="AI92" s="69">
        <v>0</v>
      </c>
      <c r="AJ92" s="69">
        <v>0</v>
      </c>
      <c r="AK92" s="69">
        <v>0</v>
      </c>
      <c r="AL92" s="69">
        <v>0</v>
      </c>
      <c r="AM92" s="69">
        <v>0</v>
      </c>
      <c r="AN92" s="73">
        <v>0</v>
      </c>
      <c r="AO92" s="95">
        <f t="shared" si="12"/>
        <v>0</v>
      </c>
      <c r="AP92" s="73">
        <v>0</v>
      </c>
      <c r="AQ92" s="95">
        <f t="shared" si="13"/>
        <v>0</v>
      </c>
      <c r="AR92" s="73">
        <v>2880</v>
      </c>
      <c r="AS92" s="96">
        <f t="shared" si="14"/>
        <v>0</v>
      </c>
      <c r="AT92" s="79">
        <v>0</v>
      </c>
      <c r="AU92" s="97">
        <f t="shared" si="15"/>
        <v>0</v>
      </c>
      <c r="AV92" s="79">
        <v>0</v>
      </c>
      <c r="AW92" s="97">
        <f t="shared" si="16"/>
        <v>0</v>
      </c>
      <c r="AX92" s="80">
        <v>0</v>
      </c>
      <c r="AY92" s="97">
        <f t="shared" si="17"/>
        <v>0</v>
      </c>
      <c r="AZ92" s="73">
        <v>0</v>
      </c>
      <c r="BA92" s="97">
        <f t="shared" si="18"/>
        <v>0</v>
      </c>
      <c r="BB92" s="70">
        <v>0</v>
      </c>
      <c r="BC92" s="97">
        <f t="shared" si="19"/>
        <v>0</v>
      </c>
      <c r="BD92" s="73">
        <v>2880</v>
      </c>
      <c r="BE92" s="97">
        <f t="shared" si="20"/>
        <v>0</v>
      </c>
      <c r="BF92" s="73">
        <v>0</v>
      </c>
      <c r="BG92" s="97">
        <f t="shared" si="21"/>
        <v>0</v>
      </c>
      <c r="BH92" s="73">
        <v>0</v>
      </c>
      <c r="BI92" s="97">
        <f t="shared" si="22"/>
        <v>0</v>
      </c>
      <c r="BJ92" s="73">
        <v>2880</v>
      </c>
      <c r="BK92" s="97">
        <f t="shared" si="23"/>
        <v>0</v>
      </c>
      <c r="BL92" s="128"/>
      <c r="BM92" s="131" t="s">
        <v>341</v>
      </c>
    </row>
    <row r="93" spans="1:65" ht="20.85" customHeight="1" thickBot="1">
      <c r="A93" s="93" t="s">
        <v>123</v>
      </c>
      <c r="B93" s="122" t="s">
        <v>184</v>
      </c>
      <c r="C93" s="299"/>
      <c r="D93" s="295"/>
      <c r="E93" s="295"/>
      <c r="F93" s="297"/>
      <c r="G93" s="78">
        <v>2016</v>
      </c>
      <c r="H93" s="76" t="s">
        <v>305</v>
      </c>
      <c r="I93" s="76" t="s">
        <v>196</v>
      </c>
      <c r="J93" s="77" t="s">
        <v>197</v>
      </c>
      <c r="K93" s="81" t="s">
        <v>315</v>
      </c>
      <c r="L93" s="76" t="s">
        <v>192</v>
      </c>
      <c r="M93" s="13" t="s">
        <v>193</v>
      </c>
      <c r="N93" s="75">
        <v>4.74</v>
      </c>
      <c r="O93" s="75">
        <v>4.74</v>
      </c>
      <c r="P93" s="75">
        <v>4.74</v>
      </c>
      <c r="Q93" s="75">
        <v>4.74</v>
      </c>
      <c r="R93" s="75">
        <v>4.74</v>
      </c>
      <c r="S93" s="75">
        <v>4.74</v>
      </c>
      <c r="T93" s="75">
        <v>4.74</v>
      </c>
      <c r="U93" s="75">
        <v>4.74</v>
      </c>
      <c r="V93" s="75">
        <v>4.74</v>
      </c>
      <c r="W93" s="75">
        <v>4.74</v>
      </c>
      <c r="X93" s="75">
        <v>4.74</v>
      </c>
      <c r="Y93" s="75">
        <v>4.74</v>
      </c>
      <c r="Z93" s="75">
        <v>4.74</v>
      </c>
      <c r="AA93" s="13">
        <v>0</v>
      </c>
      <c r="AB93" s="72">
        <v>0.04</v>
      </c>
      <c r="AC93" s="72">
        <v>0.04</v>
      </c>
      <c r="AD93" s="72">
        <v>0.04</v>
      </c>
      <c r="AE93" s="69">
        <v>0.04</v>
      </c>
      <c r="AF93" s="69">
        <v>0.04</v>
      </c>
      <c r="AG93" s="69">
        <v>0.04</v>
      </c>
      <c r="AH93" s="69">
        <v>0.04</v>
      </c>
      <c r="AI93" s="69">
        <v>0.04</v>
      </c>
      <c r="AJ93" s="69">
        <v>0.04</v>
      </c>
      <c r="AK93" s="69">
        <v>0.04</v>
      </c>
      <c r="AL93" s="69">
        <v>0.04</v>
      </c>
      <c r="AM93" s="69">
        <v>0.04</v>
      </c>
      <c r="AN93" s="73">
        <v>0</v>
      </c>
      <c r="AO93" s="95">
        <f t="shared" si="12"/>
        <v>0</v>
      </c>
      <c r="AP93" s="73">
        <v>0</v>
      </c>
      <c r="AQ93" s="95">
        <f t="shared" si="13"/>
        <v>0</v>
      </c>
      <c r="AR93" s="73">
        <v>1404</v>
      </c>
      <c r="AS93" s="96">
        <f t="shared" si="14"/>
        <v>56.160000000000004</v>
      </c>
      <c r="AT93" s="79">
        <v>0</v>
      </c>
      <c r="AU93" s="97">
        <f t="shared" si="15"/>
        <v>0</v>
      </c>
      <c r="AV93" s="79">
        <v>0</v>
      </c>
      <c r="AW93" s="97">
        <f t="shared" si="16"/>
        <v>0</v>
      </c>
      <c r="AX93" s="80">
        <v>4320</v>
      </c>
      <c r="AY93" s="97">
        <f t="shared" si="17"/>
        <v>172.8</v>
      </c>
      <c r="AZ93" s="71">
        <v>0</v>
      </c>
      <c r="BA93" s="97">
        <f t="shared" si="18"/>
        <v>0</v>
      </c>
      <c r="BB93" s="70">
        <v>0</v>
      </c>
      <c r="BC93" s="97">
        <f t="shared" si="19"/>
        <v>0</v>
      </c>
      <c r="BD93" s="73">
        <v>0</v>
      </c>
      <c r="BE93" s="97">
        <f t="shared" si="20"/>
        <v>0</v>
      </c>
      <c r="BF93" s="70">
        <v>0</v>
      </c>
      <c r="BG93" s="97">
        <f t="shared" si="21"/>
        <v>0</v>
      </c>
      <c r="BH93" s="73">
        <v>0</v>
      </c>
      <c r="BI93" s="97">
        <f t="shared" si="22"/>
        <v>0</v>
      </c>
      <c r="BJ93" s="73">
        <v>0</v>
      </c>
      <c r="BK93" s="97">
        <f t="shared" si="23"/>
        <v>0</v>
      </c>
      <c r="BL93" s="128"/>
      <c r="BM93" s="131" t="s">
        <v>342</v>
      </c>
    </row>
    <row r="94" spans="1:65" ht="20.85" customHeight="1" thickBot="1">
      <c r="A94" s="93" t="s">
        <v>123</v>
      </c>
      <c r="B94" s="122" t="s">
        <v>184</v>
      </c>
      <c r="C94" s="299"/>
      <c r="D94" s="295"/>
      <c r="E94" s="295"/>
      <c r="F94" s="297"/>
      <c r="G94" s="78">
        <v>2020</v>
      </c>
      <c r="H94" s="81" t="s">
        <v>317</v>
      </c>
      <c r="I94" s="81" t="s">
        <v>196</v>
      </c>
      <c r="J94" s="77" t="s">
        <v>197</v>
      </c>
      <c r="K94" s="81" t="s">
        <v>191</v>
      </c>
      <c r="L94" s="76" t="s">
        <v>192</v>
      </c>
      <c r="M94" s="13" t="s">
        <v>193</v>
      </c>
      <c r="N94" s="75">
        <v>1.72</v>
      </c>
      <c r="O94" s="75">
        <v>1.72</v>
      </c>
      <c r="P94" s="75">
        <v>1.72</v>
      </c>
      <c r="Q94" s="75">
        <v>1.72</v>
      </c>
      <c r="R94" s="75">
        <v>1.72</v>
      </c>
      <c r="S94" s="75">
        <v>1.72</v>
      </c>
      <c r="T94" s="75">
        <v>1.72</v>
      </c>
      <c r="U94" s="75">
        <v>1.72</v>
      </c>
      <c r="V94" s="75">
        <v>1.72</v>
      </c>
      <c r="W94" s="75">
        <v>1.72</v>
      </c>
      <c r="X94" s="75">
        <v>1.72</v>
      </c>
      <c r="Y94" s="75">
        <v>1.72</v>
      </c>
      <c r="Z94" s="75">
        <v>1.72</v>
      </c>
      <c r="AA94" s="13">
        <v>0</v>
      </c>
      <c r="AB94" s="72">
        <v>0</v>
      </c>
      <c r="AC94" s="72">
        <v>0</v>
      </c>
      <c r="AD94" s="72">
        <v>0</v>
      </c>
      <c r="AE94" s="69">
        <v>0</v>
      </c>
      <c r="AF94" s="69">
        <v>0</v>
      </c>
      <c r="AG94" s="69">
        <v>0</v>
      </c>
      <c r="AH94" s="69">
        <v>0</v>
      </c>
      <c r="AI94" s="69">
        <v>0</v>
      </c>
      <c r="AJ94" s="69">
        <v>0</v>
      </c>
      <c r="AK94" s="69">
        <v>0</v>
      </c>
      <c r="AL94" s="69">
        <v>0</v>
      </c>
      <c r="AM94" s="69">
        <v>0</v>
      </c>
      <c r="AN94" s="73">
        <v>0</v>
      </c>
      <c r="AO94" s="95">
        <f t="shared" si="12"/>
        <v>0</v>
      </c>
      <c r="AP94" s="73">
        <v>0</v>
      </c>
      <c r="AQ94" s="95">
        <f t="shared" si="13"/>
        <v>0</v>
      </c>
      <c r="AR94" s="73">
        <v>11520</v>
      </c>
      <c r="AS94" s="96">
        <f t="shared" si="14"/>
        <v>0</v>
      </c>
      <c r="AT94" s="79">
        <v>0</v>
      </c>
      <c r="AU94" s="97">
        <f t="shared" si="15"/>
        <v>0</v>
      </c>
      <c r="AV94" s="79">
        <v>0</v>
      </c>
      <c r="AW94" s="97">
        <f t="shared" si="16"/>
        <v>0</v>
      </c>
      <c r="AX94" s="79">
        <v>0</v>
      </c>
      <c r="AY94" s="97">
        <f t="shared" si="17"/>
        <v>0</v>
      </c>
      <c r="AZ94" s="70">
        <v>11520</v>
      </c>
      <c r="BA94" s="97">
        <f t="shared" si="18"/>
        <v>0</v>
      </c>
      <c r="BB94" s="74">
        <v>0</v>
      </c>
      <c r="BC94" s="97">
        <f t="shared" si="19"/>
        <v>0</v>
      </c>
      <c r="BD94" s="71">
        <v>0</v>
      </c>
      <c r="BE94" s="97">
        <f t="shared" si="20"/>
        <v>0</v>
      </c>
      <c r="BF94" s="73">
        <v>0</v>
      </c>
      <c r="BG94" s="97">
        <f t="shared" si="21"/>
        <v>0</v>
      </c>
      <c r="BH94" s="70">
        <v>0</v>
      </c>
      <c r="BI94" s="97">
        <f t="shared" si="22"/>
        <v>0</v>
      </c>
      <c r="BJ94" s="70">
        <v>0</v>
      </c>
      <c r="BK94" s="97">
        <f t="shared" si="23"/>
        <v>0</v>
      </c>
      <c r="BL94" s="128"/>
      <c r="BM94" s="131" t="s">
        <v>343</v>
      </c>
    </row>
    <row r="95" spans="1:65" ht="20.85" customHeight="1" thickBot="1">
      <c r="A95" s="93" t="s">
        <v>123</v>
      </c>
      <c r="B95" s="122" t="s">
        <v>184</v>
      </c>
      <c r="C95" s="299"/>
      <c r="D95" s="295"/>
      <c r="E95" s="295"/>
      <c r="F95" s="297"/>
      <c r="G95" s="78">
        <v>2023</v>
      </c>
      <c r="H95" s="76" t="s">
        <v>344</v>
      </c>
      <c r="I95" s="76" t="s">
        <v>196</v>
      </c>
      <c r="J95" s="77" t="s">
        <v>197</v>
      </c>
      <c r="K95" s="81" t="s">
        <v>191</v>
      </c>
      <c r="L95" s="76" t="s">
        <v>192</v>
      </c>
      <c r="M95" s="13" t="s">
        <v>193</v>
      </c>
      <c r="N95" s="75">
        <v>5.18</v>
      </c>
      <c r="O95" s="75">
        <v>5.18</v>
      </c>
      <c r="P95" s="75">
        <v>5.18</v>
      </c>
      <c r="Q95" s="75">
        <v>5.18</v>
      </c>
      <c r="R95" s="75">
        <v>5.18</v>
      </c>
      <c r="S95" s="75">
        <v>5.18</v>
      </c>
      <c r="T95" s="75">
        <v>5.18</v>
      </c>
      <c r="U95" s="75">
        <v>5.18</v>
      </c>
      <c r="V95" s="75">
        <v>5.18</v>
      </c>
      <c r="W95" s="75">
        <v>5.18</v>
      </c>
      <c r="X95" s="75">
        <v>5.18</v>
      </c>
      <c r="Y95" s="75">
        <v>5.18</v>
      </c>
      <c r="Z95" s="75">
        <v>5.18</v>
      </c>
      <c r="AA95" s="13">
        <v>0</v>
      </c>
      <c r="AB95" s="72">
        <v>0</v>
      </c>
      <c r="AC95" s="72">
        <v>0</v>
      </c>
      <c r="AD95" s="72">
        <v>0</v>
      </c>
      <c r="AE95" s="69">
        <v>0</v>
      </c>
      <c r="AF95" s="69">
        <v>0</v>
      </c>
      <c r="AG95" s="69">
        <v>0</v>
      </c>
      <c r="AH95" s="69">
        <v>0</v>
      </c>
      <c r="AI95" s="69">
        <v>0</v>
      </c>
      <c r="AJ95" s="69">
        <v>0</v>
      </c>
      <c r="AK95" s="69">
        <v>0</v>
      </c>
      <c r="AL95" s="69">
        <v>0</v>
      </c>
      <c r="AM95" s="69">
        <v>0</v>
      </c>
      <c r="AN95" s="73">
        <v>0</v>
      </c>
      <c r="AO95" s="95">
        <f t="shared" si="12"/>
        <v>0</v>
      </c>
      <c r="AP95" s="73">
        <v>0</v>
      </c>
      <c r="AQ95" s="95">
        <f t="shared" si="13"/>
        <v>0</v>
      </c>
      <c r="AR95" s="73">
        <v>10920</v>
      </c>
      <c r="AS95" s="96">
        <f t="shared" si="14"/>
        <v>0</v>
      </c>
      <c r="AT95" s="80">
        <v>14560</v>
      </c>
      <c r="AU95" s="97">
        <f t="shared" si="15"/>
        <v>0</v>
      </c>
      <c r="AV95" s="80">
        <v>7280</v>
      </c>
      <c r="AW95" s="97">
        <f t="shared" si="16"/>
        <v>0</v>
      </c>
      <c r="AX95" s="80">
        <v>0</v>
      </c>
      <c r="AY95" s="97">
        <f t="shared" si="17"/>
        <v>0</v>
      </c>
      <c r="AZ95" s="74">
        <v>0</v>
      </c>
      <c r="BA95" s="97">
        <f t="shared" si="18"/>
        <v>0</v>
      </c>
      <c r="BB95" s="74">
        <v>0</v>
      </c>
      <c r="BC95" s="97">
        <f t="shared" si="19"/>
        <v>0</v>
      </c>
      <c r="BD95" s="73">
        <v>0</v>
      </c>
      <c r="BE95" s="97">
        <f t="shared" si="20"/>
        <v>0</v>
      </c>
      <c r="BF95" s="73">
        <v>0</v>
      </c>
      <c r="BG95" s="97">
        <f t="shared" si="21"/>
        <v>0</v>
      </c>
      <c r="BH95" s="73">
        <v>0</v>
      </c>
      <c r="BI95" s="97">
        <f t="shared" si="22"/>
        <v>0</v>
      </c>
      <c r="BJ95" s="73">
        <v>0</v>
      </c>
      <c r="BK95" s="97">
        <f t="shared" si="23"/>
        <v>0</v>
      </c>
      <c r="BL95" s="128"/>
      <c r="BM95" s="131" t="s">
        <v>345</v>
      </c>
    </row>
    <row r="96" spans="1:65" ht="20.85" customHeight="1" thickBot="1">
      <c r="A96" s="93" t="s">
        <v>123</v>
      </c>
      <c r="B96" s="122" t="s">
        <v>184</v>
      </c>
      <c r="C96" s="299"/>
      <c r="D96" s="295"/>
      <c r="E96" s="295"/>
      <c r="F96" s="297"/>
      <c r="G96" s="78">
        <v>2016</v>
      </c>
      <c r="H96" s="76" t="s">
        <v>232</v>
      </c>
      <c r="I96" s="76" t="s">
        <v>196</v>
      </c>
      <c r="J96" s="77" t="s">
        <v>197</v>
      </c>
      <c r="K96" s="81" t="s">
        <v>237</v>
      </c>
      <c r="L96" s="76" t="s">
        <v>192</v>
      </c>
      <c r="M96" s="13" t="s">
        <v>193</v>
      </c>
      <c r="N96" s="75">
        <v>6.34</v>
      </c>
      <c r="O96" s="75">
        <v>6.34</v>
      </c>
      <c r="P96" s="75">
        <v>6.34</v>
      </c>
      <c r="Q96" s="75">
        <v>6.34</v>
      </c>
      <c r="R96" s="75">
        <v>6.34</v>
      </c>
      <c r="S96" s="75">
        <v>6.34</v>
      </c>
      <c r="T96" s="75">
        <v>6.34</v>
      </c>
      <c r="U96" s="75">
        <v>6.34</v>
      </c>
      <c r="V96" s="75">
        <v>6.34</v>
      </c>
      <c r="W96" s="75">
        <v>6.34</v>
      </c>
      <c r="X96" s="75">
        <v>6.34</v>
      </c>
      <c r="Y96" s="75">
        <v>6.34</v>
      </c>
      <c r="Z96" s="75">
        <v>6.34</v>
      </c>
      <c r="AA96" s="13">
        <v>0</v>
      </c>
      <c r="AB96" s="72">
        <v>0.05</v>
      </c>
      <c r="AC96" s="72">
        <v>0.05</v>
      </c>
      <c r="AD96" s="72">
        <v>0.05</v>
      </c>
      <c r="AE96" s="69">
        <v>0.05</v>
      </c>
      <c r="AF96" s="69">
        <v>0.05</v>
      </c>
      <c r="AG96" s="69">
        <v>0.05</v>
      </c>
      <c r="AH96" s="69">
        <v>0.05</v>
      </c>
      <c r="AI96" s="69">
        <v>0.05</v>
      </c>
      <c r="AJ96" s="69">
        <v>0.05</v>
      </c>
      <c r="AK96" s="69">
        <v>0.05</v>
      </c>
      <c r="AL96" s="69">
        <v>0.05</v>
      </c>
      <c r="AM96" s="69">
        <v>0.05</v>
      </c>
      <c r="AN96" s="73">
        <v>0</v>
      </c>
      <c r="AO96" s="95">
        <f t="shared" si="12"/>
        <v>0</v>
      </c>
      <c r="AP96" s="73">
        <v>0</v>
      </c>
      <c r="AQ96" s="95">
        <f t="shared" si="13"/>
        <v>0</v>
      </c>
      <c r="AR96" s="73">
        <v>0</v>
      </c>
      <c r="AS96" s="96">
        <f t="shared" si="14"/>
        <v>0</v>
      </c>
      <c r="AT96" s="80">
        <v>200</v>
      </c>
      <c r="AU96" s="97">
        <f t="shared" si="15"/>
        <v>10</v>
      </c>
      <c r="AV96" s="80">
        <v>1000</v>
      </c>
      <c r="AW96" s="97">
        <f t="shared" si="16"/>
        <v>50</v>
      </c>
      <c r="AX96" s="80">
        <v>1300</v>
      </c>
      <c r="AY96" s="97">
        <f t="shared" si="17"/>
        <v>65</v>
      </c>
      <c r="AZ96" s="74">
        <v>500</v>
      </c>
      <c r="BA96" s="97">
        <f t="shared" si="18"/>
        <v>25</v>
      </c>
      <c r="BB96" s="70">
        <v>300</v>
      </c>
      <c r="BC96" s="97">
        <f t="shared" si="19"/>
        <v>15</v>
      </c>
      <c r="BD96" s="73">
        <v>0</v>
      </c>
      <c r="BE96" s="97">
        <f t="shared" si="20"/>
        <v>0</v>
      </c>
      <c r="BF96" s="73">
        <v>0</v>
      </c>
      <c r="BG96" s="97">
        <f t="shared" si="21"/>
        <v>0</v>
      </c>
      <c r="BH96" s="70">
        <v>0</v>
      </c>
      <c r="BI96" s="97">
        <f t="shared" si="22"/>
        <v>0</v>
      </c>
      <c r="BJ96" s="73">
        <v>0</v>
      </c>
      <c r="BK96" s="97">
        <f t="shared" si="23"/>
        <v>0</v>
      </c>
      <c r="BL96" s="128"/>
      <c r="BM96" s="131" t="s">
        <v>238</v>
      </c>
    </row>
    <row r="97" spans="1:65" s="11" customFormat="1" ht="20.85" customHeight="1" thickBot="1">
      <c r="A97" s="93" t="s">
        <v>123</v>
      </c>
      <c r="B97" s="122" t="s">
        <v>184</v>
      </c>
      <c r="C97" s="299"/>
      <c r="D97" s="295"/>
      <c r="E97" s="295"/>
      <c r="F97" s="297"/>
      <c r="G97" s="78">
        <v>2016</v>
      </c>
      <c r="H97" s="76" t="s">
        <v>232</v>
      </c>
      <c r="I97" s="76" t="s">
        <v>196</v>
      </c>
      <c r="J97" s="77" t="s">
        <v>197</v>
      </c>
      <c r="K97" s="81" t="s">
        <v>346</v>
      </c>
      <c r="L97" s="76" t="s">
        <v>192</v>
      </c>
      <c r="M97" s="13" t="s">
        <v>193</v>
      </c>
      <c r="N97" s="75">
        <v>8.4499999999999993</v>
      </c>
      <c r="O97" s="75">
        <v>8.4499999999999993</v>
      </c>
      <c r="P97" s="75">
        <v>8.4499999999999993</v>
      </c>
      <c r="Q97" s="75">
        <v>8.4499999999999993</v>
      </c>
      <c r="R97" s="75">
        <v>8.4499999999999993</v>
      </c>
      <c r="S97" s="75">
        <v>8.4499999999999993</v>
      </c>
      <c r="T97" s="75">
        <v>8.4499999999999993</v>
      </c>
      <c r="U97" s="75">
        <v>8.4499999999999993</v>
      </c>
      <c r="V97" s="75">
        <v>8.4499999999999993</v>
      </c>
      <c r="W97" s="75">
        <v>8.4499999999999993</v>
      </c>
      <c r="X97" s="75">
        <v>8.4499999999999993</v>
      </c>
      <c r="Y97" s="75">
        <v>8.4499999999999993</v>
      </c>
      <c r="Z97" s="75">
        <v>8.4499999999999993</v>
      </c>
      <c r="AA97" s="13">
        <v>0</v>
      </c>
      <c r="AB97" s="72">
        <v>0.05</v>
      </c>
      <c r="AC97" s="72">
        <v>0.05</v>
      </c>
      <c r="AD97" s="72">
        <v>0.05</v>
      </c>
      <c r="AE97" s="72">
        <v>0.05</v>
      </c>
      <c r="AF97" s="72">
        <v>0.05</v>
      </c>
      <c r="AG97" s="72">
        <v>0.05</v>
      </c>
      <c r="AH97" s="72">
        <v>0.05</v>
      </c>
      <c r="AI97" s="72">
        <v>0.05</v>
      </c>
      <c r="AJ97" s="72">
        <v>0.05</v>
      </c>
      <c r="AK97" s="72">
        <v>0.05</v>
      </c>
      <c r="AL97" s="72">
        <v>0.05</v>
      </c>
      <c r="AM97" s="72">
        <v>0.05</v>
      </c>
      <c r="AN97" s="73">
        <v>0</v>
      </c>
      <c r="AO97" s="95">
        <f t="shared" si="12"/>
        <v>0</v>
      </c>
      <c r="AP97" s="73">
        <v>0</v>
      </c>
      <c r="AQ97" s="95">
        <f t="shared" si="13"/>
        <v>0</v>
      </c>
      <c r="AR97" s="73">
        <v>0</v>
      </c>
      <c r="AS97" s="96">
        <f t="shared" si="14"/>
        <v>0</v>
      </c>
      <c r="AT97" s="82">
        <v>3800</v>
      </c>
      <c r="AU97" s="97">
        <f t="shared" si="15"/>
        <v>190</v>
      </c>
      <c r="AV97" s="82">
        <v>6000</v>
      </c>
      <c r="AW97" s="97">
        <f t="shared" si="16"/>
        <v>300</v>
      </c>
      <c r="AX97" s="82">
        <v>0</v>
      </c>
      <c r="AY97" s="97">
        <f t="shared" si="17"/>
        <v>0</v>
      </c>
      <c r="AZ97" s="70">
        <v>0</v>
      </c>
      <c r="BA97" s="97">
        <f t="shared" si="18"/>
        <v>0</v>
      </c>
      <c r="BB97" s="70">
        <v>0</v>
      </c>
      <c r="BC97" s="97">
        <f t="shared" si="19"/>
        <v>0</v>
      </c>
      <c r="BD97" s="70">
        <v>0</v>
      </c>
      <c r="BE97" s="97">
        <f t="shared" si="20"/>
        <v>0</v>
      </c>
      <c r="BF97" s="70">
        <v>0</v>
      </c>
      <c r="BG97" s="97">
        <f t="shared" si="21"/>
        <v>0</v>
      </c>
      <c r="BH97" s="73">
        <v>0</v>
      </c>
      <c r="BI97" s="97">
        <f t="shared" si="22"/>
        <v>0</v>
      </c>
      <c r="BJ97" s="70">
        <v>0</v>
      </c>
      <c r="BK97" s="97">
        <f t="shared" si="23"/>
        <v>0</v>
      </c>
      <c r="BL97" s="129"/>
      <c r="BM97" s="131" t="s">
        <v>347</v>
      </c>
    </row>
    <row r="98" spans="1:65" s="11" customFormat="1" ht="20.85" customHeight="1" thickBot="1">
      <c r="A98" s="93" t="s">
        <v>123</v>
      </c>
      <c r="B98" s="122" t="s">
        <v>184</v>
      </c>
      <c r="C98" s="299"/>
      <c r="D98" s="295"/>
      <c r="E98" s="295"/>
      <c r="F98" s="297"/>
      <c r="G98" s="78">
        <v>2023</v>
      </c>
      <c r="H98" s="81" t="s">
        <v>328</v>
      </c>
      <c r="I98" s="76" t="s">
        <v>196</v>
      </c>
      <c r="J98" s="77" t="s">
        <v>197</v>
      </c>
      <c r="K98" s="81" t="s">
        <v>221</v>
      </c>
      <c r="L98" s="76" t="s">
        <v>192</v>
      </c>
      <c r="M98" s="13" t="s">
        <v>193</v>
      </c>
      <c r="N98" s="75">
        <v>6.27</v>
      </c>
      <c r="O98" s="75">
        <v>6.27</v>
      </c>
      <c r="P98" s="75">
        <v>6.27</v>
      </c>
      <c r="Q98" s="75">
        <v>6.27</v>
      </c>
      <c r="R98" s="75">
        <v>6.27</v>
      </c>
      <c r="S98" s="75">
        <v>6.27</v>
      </c>
      <c r="T98" s="75">
        <v>6.27</v>
      </c>
      <c r="U98" s="75">
        <v>6.27</v>
      </c>
      <c r="V98" s="75">
        <v>6.27</v>
      </c>
      <c r="W98" s="75">
        <v>6.27</v>
      </c>
      <c r="X98" s="75">
        <v>6.27</v>
      </c>
      <c r="Y98" s="75">
        <v>6.27</v>
      </c>
      <c r="Z98" s="75">
        <v>6.27</v>
      </c>
      <c r="AA98" s="13">
        <v>0</v>
      </c>
      <c r="AB98" s="72">
        <v>0.3</v>
      </c>
      <c r="AC98" s="72">
        <v>0.3</v>
      </c>
      <c r="AD98" s="72">
        <v>0.3</v>
      </c>
      <c r="AE98" s="72">
        <v>0.3</v>
      </c>
      <c r="AF98" s="72">
        <v>0.3</v>
      </c>
      <c r="AG98" s="72">
        <v>0.3</v>
      </c>
      <c r="AH98" s="72">
        <v>0.3</v>
      </c>
      <c r="AI98" s="72">
        <v>0.3</v>
      </c>
      <c r="AJ98" s="72">
        <v>0.3</v>
      </c>
      <c r="AK98" s="72">
        <v>0.3</v>
      </c>
      <c r="AL98" s="72">
        <v>0.3</v>
      </c>
      <c r="AM98" s="72">
        <v>0.3</v>
      </c>
      <c r="AN98" s="73">
        <v>0</v>
      </c>
      <c r="AO98" s="95">
        <f t="shared" si="12"/>
        <v>0</v>
      </c>
      <c r="AP98" s="73">
        <v>0</v>
      </c>
      <c r="AQ98" s="95">
        <f t="shared" si="13"/>
        <v>0</v>
      </c>
      <c r="AR98" s="73">
        <v>0</v>
      </c>
      <c r="AS98" s="96">
        <f t="shared" si="14"/>
        <v>0</v>
      </c>
      <c r="AT98" s="82">
        <v>1020</v>
      </c>
      <c r="AU98" s="97">
        <f t="shared" si="15"/>
        <v>306</v>
      </c>
      <c r="AV98" s="82">
        <v>1020</v>
      </c>
      <c r="AW98" s="97">
        <f t="shared" si="16"/>
        <v>306</v>
      </c>
      <c r="AX98" s="82">
        <v>1020</v>
      </c>
      <c r="AY98" s="97">
        <f t="shared" si="17"/>
        <v>306</v>
      </c>
      <c r="AZ98" s="73">
        <v>1020</v>
      </c>
      <c r="BA98" s="97">
        <f t="shared" si="18"/>
        <v>306</v>
      </c>
      <c r="BB98" s="74">
        <v>2040</v>
      </c>
      <c r="BC98" s="97">
        <f t="shared" si="19"/>
        <v>612</v>
      </c>
      <c r="BD98" s="73">
        <v>10200</v>
      </c>
      <c r="BE98" s="97">
        <f t="shared" si="20"/>
        <v>3060</v>
      </c>
      <c r="BF98" s="73">
        <v>9180</v>
      </c>
      <c r="BG98" s="97">
        <f t="shared" si="21"/>
        <v>2754</v>
      </c>
      <c r="BH98" s="73">
        <v>2040</v>
      </c>
      <c r="BI98" s="97">
        <f t="shared" si="22"/>
        <v>612</v>
      </c>
      <c r="BJ98" s="73">
        <v>0</v>
      </c>
      <c r="BK98" s="97">
        <f t="shared" si="23"/>
        <v>0</v>
      </c>
      <c r="BL98" s="129"/>
      <c r="BM98" s="131" t="s">
        <v>348</v>
      </c>
    </row>
    <row r="99" spans="1:65" ht="20.85" customHeight="1" thickBot="1">
      <c r="A99" s="93" t="s">
        <v>123</v>
      </c>
      <c r="B99" s="122" t="s">
        <v>184</v>
      </c>
      <c r="C99" s="299"/>
      <c r="D99" s="295"/>
      <c r="E99" s="295"/>
      <c r="F99" s="297"/>
      <c r="G99" s="78">
        <v>2023</v>
      </c>
      <c r="H99" s="81" t="s">
        <v>328</v>
      </c>
      <c r="I99" s="76" t="s">
        <v>196</v>
      </c>
      <c r="J99" s="77" t="s">
        <v>197</v>
      </c>
      <c r="K99" s="81" t="s">
        <v>330</v>
      </c>
      <c r="L99" s="76" t="s">
        <v>192</v>
      </c>
      <c r="M99" s="13" t="s">
        <v>193</v>
      </c>
      <c r="N99" s="75">
        <v>6.27</v>
      </c>
      <c r="O99" s="75">
        <v>6.27</v>
      </c>
      <c r="P99" s="75">
        <v>6.27</v>
      </c>
      <c r="Q99" s="75">
        <v>6.27</v>
      </c>
      <c r="R99" s="75">
        <v>6.27</v>
      </c>
      <c r="S99" s="75">
        <v>6.27</v>
      </c>
      <c r="T99" s="75">
        <v>6.27</v>
      </c>
      <c r="U99" s="75">
        <v>6.27</v>
      </c>
      <c r="V99" s="75">
        <v>6.27</v>
      </c>
      <c r="W99" s="75">
        <v>6.27</v>
      </c>
      <c r="X99" s="75">
        <v>6.27</v>
      </c>
      <c r="Y99" s="75">
        <v>6.27</v>
      </c>
      <c r="Z99" s="75">
        <v>6.27</v>
      </c>
      <c r="AA99" s="13">
        <v>0</v>
      </c>
      <c r="AB99" s="72">
        <v>0.3</v>
      </c>
      <c r="AC99" s="72">
        <v>0.3</v>
      </c>
      <c r="AD99" s="72">
        <v>0.3</v>
      </c>
      <c r="AE99" s="72">
        <v>0.3</v>
      </c>
      <c r="AF99" s="72">
        <v>0.3</v>
      </c>
      <c r="AG99" s="72">
        <v>0.3</v>
      </c>
      <c r="AH99" s="72">
        <v>0.3</v>
      </c>
      <c r="AI99" s="72">
        <v>0.3</v>
      </c>
      <c r="AJ99" s="72">
        <v>0.3</v>
      </c>
      <c r="AK99" s="72">
        <v>0.3</v>
      </c>
      <c r="AL99" s="72">
        <v>0.3</v>
      </c>
      <c r="AM99" s="72">
        <v>0.3</v>
      </c>
      <c r="AN99" s="73">
        <v>0</v>
      </c>
      <c r="AO99" s="95">
        <f t="shared" si="12"/>
        <v>0</v>
      </c>
      <c r="AP99" s="73">
        <v>0</v>
      </c>
      <c r="AQ99" s="95">
        <f t="shared" si="13"/>
        <v>0</v>
      </c>
      <c r="AR99" s="73">
        <v>0</v>
      </c>
      <c r="AS99" s="96">
        <f t="shared" si="14"/>
        <v>0</v>
      </c>
      <c r="AT99" s="82">
        <v>1020</v>
      </c>
      <c r="AU99" s="97">
        <f t="shared" si="15"/>
        <v>306</v>
      </c>
      <c r="AV99" s="82">
        <v>2040</v>
      </c>
      <c r="AW99" s="97">
        <f t="shared" si="16"/>
        <v>612</v>
      </c>
      <c r="AX99" s="79">
        <v>15300</v>
      </c>
      <c r="AY99" s="97">
        <f t="shared" si="17"/>
        <v>4590</v>
      </c>
      <c r="AZ99" s="73">
        <v>0</v>
      </c>
      <c r="BA99" s="97">
        <f t="shared" si="18"/>
        <v>0</v>
      </c>
      <c r="BB99" s="74">
        <v>0</v>
      </c>
      <c r="BC99" s="97">
        <f t="shared" si="19"/>
        <v>0</v>
      </c>
      <c r="BD99" s="73">
        <v>6120</v>
      </c>
      <c r="BE99" s="97">
        <f t="shared" si="20"/>
        <v>1836</v>
      </c>
      <c r="BF99" s="73">
        <v>4080</v>
      </c>
      <c r="BG99" s="97">
        <f t="shared" si="21"/>
        <v>1224</v>
      </c>
      <c r="BH99" s="70">
        <v>4080</v>
      </c>
      <c r="BI99" s="97">
        <f t="shared" si="22"/>
        <v>1224</v>
      </c>
      <c r="BJ99" s="73">
        <v>0</v>
      </c>
      <c r="BK99" s="97">
        <f t="shared" si="23"/>
        <v>0</v>
      </c>
      <c r="BL99" s="128"/>
      <c r="BM99" s="131" t="s">
        <v>349</v>
      </c>
    </row>
    <row r="100" spans="1:65" ht="15.75" customHeight="1" thickBot="1">
      <c r="A100" s="93" t="s">
        <v>123</v>
      </c>
      <c r="B100" s="122" t="s">
        <v>184</v>
      </c>
      <c r="C100" s="299"/>
      <c r="D100" s="295"/>
      <c r="E100" s="295"/>
      <c r="F100" s="297"/>
      <c r="G100" s="78">
        <v>2023</v>
      </c>
      <c r="H100" s="76" t="s">
        <v>277</v>
      </c>
      <c r="I100" s="76" t="s">
        <v>196</v>
      </c>
      <c r="J100" s="77" t="s">
        <v>197</v>
      </c>
      <c r="K100" s="81" t="s">
        <v>330</v>
      </c>
      <c r="L100" s="76" t="s">
        <v>192</v>
      </c>
      <c r="M100" s="13" t="s">
        <v>193</v>
      </c>
      <c r="N100" s="75">
        <v>25.26</v>
      </c>
      <c r="O100" s="75">
        <v>25.26</v>
      </c>
      <c r="P100" s="75">
        <v>25.26</v>
      </c>
      <c r="Q100" s="75">
        <v>25.26</v>
      </c>
      <c r="R100" s="75">
        <v>25.26</v>
      </c>
      <c r="S100" s="75">
        <v>25.26</v>
      </c>
      <c r="T100" s="75">
        <v>25.26</v>
      </c>
      <c r="U100" s="75">
        <v>25.26</v>
      </c>
      <c r="V100" s="75">
        <v>25.26</v>
      </c>
      <c r="W100" s="75">
        <v>25.26</v>
      </c>
      <c r="X100" s="75">
        <v>25.26</v>
      </c>
      <c r="Y100" s="75">
        <v>25.26</v>
      </c>
      <c r="Z100" s="75">
        <v>25.26</v>
      </c>
      <c r="AA100" s="13">
        <v>0.48</v>
      </c>
      <c r="AB100" s="72">
        <v>0.48</v>
      </c>
      <c r="AC100" s="72">
        <v>0.48</v>
      </c>
      <c r="AD100" s="72">
        <v>0.48</v>
      </c>
      <c r="AE100" s="69">
        <v>0.48</v>
      </c>
      <c r="AF100" s="69">
        <v>0.48</v>
      </c>
      <c r="AG100" s="69">
        <v>0.48</v>
      </c>
      <c r="AH100" s="69">
        <v>0.48</v>
      </c>
      <c r="AI100" s="69">
        <v>0.48</v>
      </c>
      <c r="AJ100" s="69">
        <v>0.48</v>
      </c>
      <c r="AK100" s="69">
        <v>0.48</v>
      </c>
      <c r="AL100" s="69">
        <v>0.48</v>
      </c>
      <c r="AM100" s="69">
        <v>0.48</v>
      </c>
      <c r="AN100" s="73">
        <v>0</v>
      </c>
      <c r="AO100" s="95">
        <f t="shared" si="12"/>
        <v>0</v>
      </c>
      <c r="AP100" s="73">
        <v>0</v>
      </c>
      <c r="AQ100" s="95">
        <f t="shared" si="13"/>
        <v>0</v>
      </c>
      <c r="AR100" s="73">
        <v>0</v>
      </c>
      <c r="AS100" s="96">
        <f t="shared" si="14"/>
        <v>0</v>
      </c>
      <c r="AT100" s="80">
        <v>1200</v>
      </c>
      <c r="AU100" s="97">
        <f t="shared" si="15"/>
        <v>576</v>
      </c>
      <c r="AV100" s="80">
        <v>0</v>
      </c>
      <c r="AW100" s="97">
        <f t="shared" si="16"/>
        <v>0</v>
      </c>
      <c r="AX100" s="80">
        <v>0</v>
      </c>
      <c r="AY100" s="97">
        <f t="shared" si="17"/>
        <v>0</v>
      </c>
      <c r="AZ100" s="71">
        <v>1200</v>
      </c>
      <c r="BA100" s="97">
        <f t="shared" si="18"/>
        <v>576</v>
      </c>
      <c r="BB100" s="70">
        <v>0</v>
      </c>
      <c r="BC100" s="97">
        <f t="shared" si="19"/>
        <v>0</v>
      </c>
      <c r="BD100" s="71">
        <v>0</v>
      </c>
      <c r="BE100" s="97">
        <f t="shared" si="20"/>
        <v>0</v>
      </c>
      <c r="BF100" s="73">
        <v>0</v>
      </c>
      <c r="BG100" s="97">
        <f t="shared" si="21"/>
        <v>0</v>
      </c>
      <c r="BH100" s="73">
        <v>0</v>
      </c>
      <c r="BI100" s="97">
        <f t="shared" si="22"/>
        <v>0</v>
      </c>
      <c r="BJ100" s="70">
        <v>0</v>
      </c>
      <c r="BK100" s="97">
        <f t="shared" si="23"/>
        <v>0</v>
      </c>
      <c r="BL100" s="128"/>
      <c r="BM100" s="131" t="s">
        <v>350</v>
      </c>
    </row>
    <row r="101" spans="1:65" ht="15.75" customHeight="1" thickBot="1">
      <c r="A101" s="93" t="s">
        <v>123</v>
      </c>
      <c r="B101" s="122" t="s">
        <v>184</v>
      </c>
      <c r="C101" s="299"/>
      <c r="D101" s="295"/>
      <c r="E101" s="295"/>
      <c r="F101" s="297"/>
      <c r="G101" s="78">
        <v>2021</v>
      </c>
      <c r="H101" s="76" t="s">
        <v>280</v>
      </c>
      <c r="I101" s="76" t="s">
        <v>196</v>
      </c>
      <c r="J101" s="77" t="s">
        <v>197</v>
      </c>
      <c r="K101" s="81" t="s">
        <v>281</v>
      </c>
      <c r="L101" s="76" t="s">
        <v>192</v>
      </c>
      <c r="M101" s="13" t="s">
        <v>193</v>
      </c>
      <c r="N101" s="75">
        <v>4.71</v>
      </c>
      <c r="O101" s="75">
        <v>4.71</v>
      </c>
      <c r="P101" s="75">
        <v>4.71</v>
      </c>
      <c r="Q101" s="75">
        <v>4.71</v>
      </c>
      <c r="R101" s="75">
        <v>4.71</v>
      </c>
      <c r="S101" s="75">
        <v>4.71</v>
      </c>
      <c r="T101" s="75">
        <v>4.71</v>
      </c>
      <c r="U101" s="75">
        <v>4.71</v>
      </c>
      <c r="V101" s="75">
        <v>4.71</v>
      </c>
      <c r="W101" s="75">
        <v>4.71</v>
      </c>
      <c r="X101" s="75">
        <v>4.71</v>
      </c>
      <c r="Y101" s="75">
        <v>4.71</v>
      </c>
      <c r="Z101" s="75">
        <v>4.71</v>
      </c>
      <c r="AA101" s="13">
        <v>0</v>
      </c>
      <c r="AB101" s="72">
        <v>0</v>
      </c>
      <c r="AC101" s="72">
        <v>0</v>
      </c>
      <c r="AD101" s="72">
        <v>0</v>
      </c>
      <c r="AE101" s="69">
        <v>0</v>
      </c>
      <c r="AF101" s="69">
        <v>0</v>
      </c>
      <c r="AG101" s="69">
        <v>0</v>
      </c>
      <c r="AH101" s="69">
        <v>0</v>
      </c>
      <c r="AI101" s="69">
        <v>0</v>
      </c>
      <c r="AJ101" s="69">
        <v>0</v>
      </c>
      <c r="AK101" s="69">
        <v>0</v>
      </c>
      <c r="AL101" s="69">
        <v>0</v>
      </c>
      <c r="AM101" s="69">
        <v>0</v>
      </c>
      <c r="AN101" s="73">
        <v>0</v>
      </c>
      <c r="AO101" s="95">
        <f t="shared" si="12"/>
        <v>0</v>
      </c>
      <c r="AP101" s="73">
        <v>0</v>
      </c>
      <c r="AQ101" s="95">
        <f t="shared" si="13"/>
        <v>0</v>
      </c>
      <c r="AR101" s="73">
        <v>0</v>
      </c>
      <c r="AS101" s="96">
        <f t="shared" si="14"/>
        <v>0</v>
      </c>
      <c r="AT101" s="80">
        <v>2880</v>
      </c>
      <c r="AU101" s="97">
        <f t="shared" si="15"/>
        <v>0</v>
      </c>
      <c r="AV101" s="79">
        <v>0</v>
      </c>
      <c r="AW101" s="97">
        <f t="shared" si="16"/>
        <v>0</v>
      </c>
      <c r="AX101" s="80">
        <v>2880</v>
      </c>
      <c r="AY101" s="97">
        <f t="shared" si="17"/>
        <v>0</v>
      </c>
      <c r="AZ101" s="73">
        <v>0</v>
      </c>
      <c r="BA101" s="97">
        <f t="shared" si="18"/>
        <v>0</v>
      </c>
      <c r="BB101" s="70">
        <v>0</v>
      </c>
      <c r="BC101" s="97">
        <f t="shared" si="19"/>
        <v>0</v>
      </c>
      <c r="BD101" s="70">
        <v>0</v>
      </c>
      <c r="BE101" s="97">
        <f t="shared" si="20"/>
        <v>0</v>
      </c>
      <c r="BF101" s="70">
        <v>2880</v>
      </c>
      <c r="BG101" s="97">
        <f t="shared" si="21"/>
        <v>0</v>
      </c>
      <c r="BH101" s="73">
        <v>0</v>
      </c>
      <c r="BI101" s="97">
        <f t="shared" si="22"/>
        <v>0</v>
      </c>
      <c r="BJ101" s="73">
        <v>2880</v>
      </c>
      <c r="BK101" s="97">
        <f t="shared" si="23"/>
        <v>0</v>
      </c>
      <c r="BL101" s="128"/>
      <c r="BM101" s="131" t="s">
        <v>351</v>
      </c>
    </row>
    <row r="102" spans="1:65" ht="15.75" customHeight="1" thickBot="1">
      <c r="A102" s="93" t="s">
        <v>123</v>
      </c>
      <c r="B102" s="122" t="s">
        <v>184</v>
      </c>
      <c r="C102" s="299"/>
      <c r="D102" s="295"/>
      <c r="E102" s="295"/>
      <c r="F102" s="297"/>
      <c r="G102" s="78">
        <v>2021</v>
      </c>
      <c r="H102" s="76" t="s">
        <v>280</v>
      </c>
      <c r="I102" s="76" t="s">
        <v>196</v>
      </c>
      <c r="J102" s="77" t="s">
        <v>197</v>
      </c>
      <c r="K102" s="81" t="s">
        <v>221</v>
      </c>
      <c r="L102" s="76" t="s">
        <v>192</v>
      </c>
      <c r="M102" s="13" t="s">
        <v>193</v>
      </c>
      <c r="N102" s="75">
        <v>4.32</v>
      </c>
      <c r="O102" s="75">
        <v>4.32</v>
      </c>
      <c r="P102" s="75">
        <v>4.32</v>
      </c>
      <c r="Q102" s="75">
        <v>4.32</v>
      </c>
      <c r="R102" s="75">
        <v>4.32</v>
      </c>
      <c r="S102" s="75">
        <v>4.32</v>
      </c>
      <c r="T102" s="75">
        <v>4.32</v>
      </c>
      <c r="U102" s="75">
        <v>4.32</v>
      </c>
      <c r="V102" s="75">
        <v>4.32</v>
      </c>
      <c r="W102" s="75">
        <v>4.32</v>
      </c>
      <c r="X102" s="75">
        <v>4.32</v>
      </c>
      <c r="Y102" s="75">
        <v>4.32</v>
      </c>
      <c r="Z102" s="75">
        <v>4.32</v>
      </c>
      <c r="AA102" s="13">
        <v>0</v>
      </c>
      <c r="AB102" s="72">
        <v>0</v>
      </c>
      <c r="AC102" s="72">
        <v>0</v>
      </c>
      <c r="AD102" s="72">
        <v>0</v>
      </c>
      <c r="AE102" s="69">
        <v>0</v>
      </c>
      <c r="AF102" s="69">
        <v>0</v>
      </c>
      <c r="AG102" s="69">
        <v>0</v>
      </c>
      <c r="AH102" s="69">
        <v>0</v>
      </c>
      <c r="AI102" s="69">
        <v>0</v>
      </c>
      <c r="AJ102" s="69">
        <v>0</v>
      </c>
      <c r="AK102" s="69">
        <v>0</v>
      </c>
      <c r="AL102" s="69">
        <v>0</v>
      </c>
      <c r="AM102" s="69">
        <v>0</v>
      </c>
      <c r="AN102" s="73">
        <v>0</v>
      </c>
      <c r="AO102" s="95">
        <f t="shared" si="12"/>
        <v>0</v>
      </c>
      <c r="AP102" s="73">
        <v>0</v>
      </c>
      <c r="AQ102" s="95">
        <f t="shared" si="13"/>
        <v>0</v>
      </c>
      <c r="AR102" s="73">
        <v>0</v>
      </c>
      <c r="AS102" s="96">
        <f t="shared" si="14"/>
        <v>0</v>
      </c>
      <c r="AT102" s="80">
        <v>2880</v>
      </c>
      <c r="AU102" s="97">
        <f t="shared" si="15"/>
        <v>0</v>
      </c>
      <c r="AV102" s="79">
        <v>0</v>
      </c>
      <c r="AW102" s="97">
        <f t="shared" si="16"/>
        <v>0</v>
      </c>
      <c r="AX102" s="80">
        <v>0</v>
      </c>
      <c r="AY102" s="97">
        <f t="shared" si="17"/>
        <v>0</v>
      </c>
      <c r="AZ102" s="73">
        <v>0</v>
      </c>
      <c r="BA102" s="97">
        <f t="shared" si="18"/>
        <v>0</v>
      </c>
      <c r="BB102" s="74">
        <v>2880</v>
      </c>
      <c r="BC102" s="97">
        <f t="shared" si="19"/>
        <v>0</v>
      </c>
      <c r="BD102" s="74">
        <v>0</v>
      </c>
      <c r="BE102" s="97">
        <f t="shared" si="20"/>
        <v>0</v>
      </c>
      <c r="BF102" s="73">
        <v>2880</v>
      </c>
      <c r="BG102" s="97">
        <f t="shared" si="21"/>
        <v>0</v>
      </c>
      <c r="BH102" s="70">
        <v>5760</v>
      </c>
      <c r="BI102" s="97">
        <f t="shared" si="22"/>
        <v>0</v>
      </c>
      <c r="BJ102" s="73">
        <v>2880</v>
      </c>
      <c r="BK102" s="97">
        <f t="shared" si="23"/>
        <v>0</v>
      </c>
      <c r="BL102" s="128"/>
      <c r="BM102" s="131" t="s">
        <v>352</v>
      </c>
    </row>
    <row r="103" spans="1:65" ht="15.75" customHeight="1" thickBot="1">
      <c r="A103" s="93" t="s">
        <v>123</v>
      </c>
      <c r="B103" s="122" t="s">
        <v>184</v>
      </c>
      <c r="C103" s="299"/>
      <c r="D103" s="295"/>
      <c r="E103" s="295"/>
      <c r="F103" s="297"/>
      <c r="G103" s="78">
        <v>2016</v>
      </c>
      <c r="H103" s="76" t="s">
        <v>305</v>
      </c>
      <c r="I103" s="76" t="s">
        <v>196</v>
      </c>
      <c r="J103" s="77" t="s">
        <v>197</v>
      </c>
      <c r="K103" s="81" t="s">
        <v>221</v>
      </c>
      <c r="L103" s="76" t="s">
        <v>192</v>
      </c>
      <c r="M103" s="13" t="s">
        <v>193</v>
      </c>
      <c r="N103" s="75">
        <v>3.89</v>
      </c>
      <c r="O103" s="75">
        <v>3.89</v>
      </c>
      <c r="P103" s="75">
        <v>3.89</v>
      </c>
      <c r="Q103" s="75">
        <v>3.89</v>
      </c>
      <c r="R103" s="75">
        <v>3.89</v>
      </c>
      <c r="S103" s="75">
        <v>3.89</v>
      </c>
      <c r="T103" s="75">
        <v>3.89</v>
      </c>
      <c r="U103" s="75">
        <v>3.89</v>
      </c>
      <c r="V103" s="75">
        <v>3.89</v>
      </c>
      <c r="W103" s="75">
        <v>3.89</v>
      </c>
      <c r="X103" s="75">
        <v>3.89</v>
      </c>
      <c r="Y103" s="75">
        <v>3.89</v>
      </c>
      <c r="Z103" s="75">
        <v>3.89</v>
      </c>
      <c r="AA103" s="13">
        <v>0</v>
      </c>
      <c r="AB103" s="72">
        <v>0.04</v>
      </c>
      <c r="AC103" s="72">
        <v>0.04</v>
      </c>
      <c r="AD103" s="72">
        <v>0.04</v>
      </c>
      <c r="AE103" s="69">
        <v>0.04</v>
      </c>
      <c r="AF103" s="69">
        <v>0.04</v>
      </c>
      <c r="AG103" s="69">
        <v>0.04</v>
      </c>
      <c r="AH103" s="69">
        <v>0.04</v>
      </c>
      <c r="AI103" s="69">
        <v>0.04</v>
      </c>
      <c r="AJ103" s="69">
        <v>0.04</v>
      </c>
      <c r="AK103" s="69">
        <v>0.04</v>
      </c>
      <c r="AL103" s="69">
        <v>0.04</v>
      </c>
      <c r="AM103" s="69">
        <v>0.04</v>
      </c>
      <c r="AN103" s="73">
        <v>0</v>
      </c>
      <c r="AO103" s="95">
        <f t="shared" si="12"/>
        <v>0</v>
      </c>
      <c r="AP103" s="73">
        <v>0</v>
      </c>
      <c r="AQ103" s="95">
        <f t="shared" si="13"/>
        <v>0</v>
      </c>
      <c r="AR103" s="73">
        <v>0</v>
      </c>
      <c r="AS103" s="96">
        <f t="shared" si="14"/>
        <v>0</v>
      </c>
      <c r="AT103" s="80">
        <v>11520</v>
      </c>
      <c r="AU103" s="97">
        <f t="shared" si="15"/>
        <v>460.8</v>
      </c>
      <c r="AV103" s="80">
        <v>0</v>
      </c>
      <c r="AW103" s="97">
        <f t="shared" si="16"/>
        <v>0</v>
      </c>
      <c r="AX103" s="80">
        <v>0</v>
      </c>
      <c r="AY103" s="97">
        <f t="shared" si="17"/>
        <v>0</v>
      </c>
      <c r="AZ103" s="70">
        <v>0</v>
      </c>
      <c r="BA103" s="97">
        <f t="shared" si="18"/>
        <v>0</v>
      </c>
      <c r="BB103" s="74">
        <v>0</v>
      </c>
      <c r="BC103" s="97">
        <f t="shared" si="19"/>
        <v>0</v>
      </c>
      <c r="BD103" s="74">
        <v>0</v>
      </c>
      <c r="BE103" s="97">
        <f t="shared" si="20"/>
        <v>0</v>
      </c>
      <c r="BF103" s="73">
        <v>0</v>
      </c>
      <c r="BG103" s="97">
        <f t="shared" si="21"/>
        <v>0</v>
      </c>
      <c r="BH103" s="73">
        <v>0</v>
      </c>
      <c r="BI103" s="97">
        <f t="shared" si="22"/>
        <v>0</v>
      </c>
      <c r="BJ103" s="70">
        <v>0</v>
      </c>
      <c r="BK103" s="97">
        <f t="shared" si="23"/>
        <v>0</v>
      </c>
      <c r="BL103" s="128"/>
      <c r="BM103" s="131" t="s">
        <v>353</v>
      </c>
    </row>
    <row r="104" spans="1:65" ht="15.75" customHeight="1" thickBot="1">
      <c r="A104" s="93" t="s">
        <v>123</v>
      </c>
      <c r="B104" s="122" t="s">
        <v>184</v>
      </c>
      <c r="C104" s="299"/>
      <c r="D104" s="295"/>
      <c r="E104" s="295"/>
      <c r="F104" s="297"/>
      <c r="G104" s="78">
        <v>2023</v>
      </c>
      <c r="H104" s="76" t="s">
        <v>344</v>
      </c>
      <c r="I104" s="76" t="s">
        <v>196</v>
      </c>
      <c r="J104" s="77" t="s">
        <v>197</v>
      </c>
      <c r="K104" s="81" t="s">
        <v>191</v>
      </c>
      <c r="L104" s="76" t="s">
        <v>192</v>
      </c>
      <c r="M104" s="13" t="s">
        <v>193</v>
      </c>
      <c r="N104" s="75">
        <v>5.45</v>
      </c>
      <c r="O104" s="75">
        <v>5.45</v>
      </c>
      <c r="P104" s="75">
        <v>5.45</v>
      </c>
      <c r="Q104" s="75">
        <v>5.45</v>
      </c>
      <c r="R104" s="75">
        <v>5.45</v>
      </c>
      <c r="S104" s="75">
        <v>5.45</v>
      </c>
      <c r="T104" s="75">
        <v>5.45</v>
      </c>
      <c r="U104" s="75">
        <v>5.45</v>
      </c>
      <c r="V104" s="75">
        <v>5.45</v>
      </c>
      <c r="W104" s="75">
        <v>5.45</v>
      </c>
      <c r="X104" s="75">
        <v>5.45</v>
      </c>
      <c r="Y104" s="75">
        <v>5.45</v>
      </c>
      <c r="Z104" s="75">
        <v>5.45</v>
      </c>
      <c r="AA104" s="13">
        <v>0</v>
      </c>
      <c r="AB104" s="72">
        <v>0</v>
      </c>
      <c r="AC104" s="72">
        <v>0</v>
      </c>
      <c r="AD104" s="72">
        <v>0</v>
      </c>
      <c r="AE104" s="69">
        <v>0</v>
      </c>
      <c r="AF104" s="69">
        <v>0</v>
      </c>
      <c r="AG104" s="69">
        <v>0</v>
      </c>
      <c r="AH104" s="69">
        <v>0</v>
      </c>
      <c r="AI104" s="69">
        <v>0</v>
      </c>
      <c r="AJ104" s="69">
        <v>0</v>
      </c>
      <c r="AK104" s="69">
        <v>0</v>
      </c>
      <c r="AL104" s="69">
        <v>0</v>
      </c>
      <c r="AM104" s="69">
        <v>0</v>
      </c>
      <c r="AN104" s="73">
        <v>0</v>
      </c>
      <c r="AO104" s="95">
        <f t="shared" si="12"/>
        <v>0</v>
      </c>
      <c r="AP104" s="73">
        <v>0</v>
      </c>
      <c r="AQ104" s="95">
        <f t="shared" si="13"/>
        <v>0</v>
      </c>
      <c r="AR104" s="73">
        <v>0</v>
      </c>
      <c r="AS104" s="96">
        <f t="shared" si="14"/>
        <v>0</v>
      </c>
      <c r="AT104" s="80">
        <v>7280</v>
      </c>
      <c r="AU104" s="97">
        <f t="shared" si="15"/>
        <v>0</v>
      </c>
      <c r="AV104" s="80">
        <v>0</v>
      </c>
      <c r="AW104" s="97">
        <f t="shared" si="16"/>
        <v>0</v>
      </c>
      <c r="AX104" s="80">
        <v>0</v>
      </c>
      <c r="AY104" s="97">
        <f t="shared" si="17"/>
        <v>0</v>
      </c>
      <c r="AZ104" s="73">
        <v>3640</v>
      </c>
      <c r="BA104" s="97">
        <f t="shared" si="18"/>
        <v>0</v>
      </c>
      <c r="BB104" s="70">
        <v>3640</v>
      </c>
      <c r="BC104" s="97">
        <f t="shared" si="19"/>
        <v>0</v>
      </c>
      <c r="BD104" s="70">
        <v>10920</v>
      </c>
      <c r="BE104" s="97">
        <f t="shared" si="20"/>
        <v>0</v>
      </c>
      <c r="BF104" s="73">
        <v>3640</v>
      </c>
      <c r="BG104" s="97">
        <f t="shared" si="21"/>
        <v>0</v>
      </c>
      <c r="BH104" s="70">
        <v>3640</v>
      </c>
      <c r="BI104" s="97">
        <f t="shared" si="22"/>
        <v>0</v>
      </c>
      <c r="BJ104" s="73">
        <v>3640</v>
      </c>
      <c r="BK104" s="97">
        <f t="shared" si="23"/>
        <v>0</v>
      </c>
      <c r="BL104" s="128"/>
      <c r="BM104" s="131" t="s">
        <v>354</v>
      </c>
    </row>
    <row r="105" spans="1:65" ht="15.75" customHeight="1" thickBot="1">
      <c r="A105" s="93" t="s">
        <v>123</v>
      </c>
      <c r="B105" s="122" t="s">
        <v>184</v>
      </c>
      <c r="C105" s="299"/>
      <c r="D105" s="295"/>
      <c r="E105" s="295"/>
      <c r="F105" s="297"/>
      <c r="G105" s="78">
        <v>2023</v>
      </c>
      <c r="H105" s="76" t="s">
        <v>344</v>
      </c>
      <c r="I105" s="76" t="s">
        <v>196</v>
      </c>
      <c r="J105" s="77" t="s">
        <v>197</v>
      </c>
      <c r="K105" s="81" t="s">
        <v>191</v>
      </c>
      <c r="L105" s="76" t="s">
        <v>192</v>
      </c>
      <c r="M105" s="13" t="s">
        <v>193</v>
      </c>
      <c r="N105" s="75">
        <v>5.51</v>
      </c>
      <c r="O105" s="75">
        <v>5.51</v>
      </c>
      <c r="P105" s="75">
        <v>5.51</v>
      </c>
      <c r="Q105" s="75">
        <v>5.51</v>
      </c>
      <c r="R105" s="75">
        <v>5.51</v>
      </c>
      <c r="S105" s="75">
        <v>5.51</v>
      </c>
      <c r="T105" s="75">
        <v>5.51</v>
      </c>
      <c r="U105" s="75">
        <v>5.51</v>
      </c>
      <c r="V105" s="75">
        <v>5.51</v>
      </c>
      <c r="W105" s="75">
        <v>5.51</v>
      </c>
      <c r="X105" s="75">
        <v>5.51</v>
      </c>
      <c r="Y105" s="75">
        <v>5.51</v>
      </c>
      <c r="Z105" s="75">
        <v>5.51</v>
      </c>
      <c r="AA105" s="13">
        <v>0</v>
      </c>
      <c r="AB105" s="72">
        <v>0</v>
      </c>
      <c r="AC105" s="72">
        <v>0</v>
      </c>
      <c r="AD105" s="72">
        <v>0</v>
      </c>
      <c r="AE105" s="69">
        <v>0</v>
      </c>
      <c r="AF105" s="69">
        <v>0</v>
      </c>
      <c r="AG105" s="69">
        <v>0</v>
      </c>
      <c r="AH105" s="69">
        <v>0</v>
      </c>
      <c r="AI105" s="69">
        <v>0</v>
      </c>
      <c r="AJ105" s="69">
        <v>0</v>
      </c>
      <c r="AK105" s="69">
        <v>0</v>
      </c>
      <c r="AL105" s="69">
        <v>0</v>
      </c>
      <c r="AM105" s="69">
        <v>0</v>
      </c>
      <c r="AN105" s="73">
        <v>0</v>
      </c>
      <c r="AO105" s="95">
        <f t="shared" si="12"/>
        <v>0</v>
      </c>
      <c r="AP105" s="73">
        <v>0</v>
      </c>
      <c r="AQ105" s="95">
        <f t="shared" si="13"/>
        <v>0</v>
      </c>
      <c r="AR105" s="73">
        <v>0</v>
      </c>
      <c r="AS105" s="96">
        <f t="shared" si="14"/>
        <v>0</v>
      </c>
      <c r="AT105" s="80">
        <v>3640</v>
      </c>
      <c r="AU105" s="97">
        <f t="shared" si="15"/>
        <v>0</v>
      </c>
      <c r="AV105" s="80">
        <v>0</v>
      </c>
      <c r="AW105" s="97">
        <f t="shared" si="16"/>
        <v>0</v>
      </c>
      <c r="AX105" s="80">
        <v>0</v>
      </c>
      <c r="AY105" s="97">
        <f t="shared" si="17"/>
        <v>0</v>
      </c>
      <c r="AZ105" s="73">
        <v>0</v>
      </c>
      <c r="BA105" s="97">
        <f t="shared" si="18"/>
        <v>0</v>
      </c>
      <c r="BB105" s="70">
        <v>0</v>
      </c>
      <c r="BC105" s="97">
        <f t="shared" si="19"/>
        <v>0</v>
      </c>
      <c r="BD105" s="73">
        <v>0</v>
      </c>
      <c r="BE105" s="97">
        <f t="shared" si="20"/>
        <v>0</v>
      </c>
      <c r="BF105" s="70">
        <v>0</v>
      </c>
      <c r="BG105" s="97">
        <f t="shared" si="21"/>
        <v>0</v>
      </c>
      <c r="BH105" s="73">
        <v>0</v>
      </c>
      <c r="BI105" s="97">
        <f t="shared" si="22"/>
        <v>0</v>
      </c>
      <c r="BJ105" s="73">
        <v>0</v>
      </c>
      <c r="BK105" s="97">
        <f t="shared" si="23"/>
        <v>0</v>
      </c>
      <c r="BL105" s="128"/>
      <c r="BM105" s="131" t="s">
        <v>355</v>
      </c>
    </row>
    <row r="106" spans="1:65" ht="15.75" customHeight="1" thickBot="1">
      <c r="A106" s="93" t="s">
        <v>123</v>
      </c>
      <c r="B106" s="122" t="s">
        <v>184</v>
      </c>
      <c r="C106" s="299"/>
      <c r="D106" s="295"/>
      <c r="E106" s="295"/>
      <c r="F106" s="297"/>
      <c r="G106" s="78">
        <v>2020</v>
      </c>
      <c r="H106" s="76" t="s">
        <v>356</v>
      </c>
      <c r="I106" s="76" t="s">
        <v>196</v>
      </c>
      <c r="J106" s="77" t="s">
        <v>197</v>
      </c>
      <c r="K106" s="81" t="s">
        <v>357</v>
      </c>
      <c r="L106" s="76" t="s">
        <v>192</v>
      </c>
      <c r="M106" s="13" t="s">
        <v>193</v>
      </c>
      <c r="N106" s="75">
        <v>4.72</v>
      </c>
      <c r="O106" s="75">
        <v>4.72</v>
      </c>
      <c r="P106" s="75">
        <v>4.72</v>
      </c>
      <c r="Q106" s="75">
        <v>4.72</v>
      </c>
      <c r="R106" s="75">
        <v>4.72</v>
      </c>
      <c r="S106" s="75">
        <v>4.72</v>
      </c>
      <c r="T106" s="75">
        <v>4.72</v>
      </c>
      <c r="U106" s="75">
        <v>4.72</v>
      </c>
      <c r="V106" s="75">
        <v>4.72</v>
      </c>
      <c r="W106" s="75">
        <v>4.72</v>
      </c>
      <c r="X106" s="75">
        <v>4.72</v>
      </c>
      <c r="Y106" s="75">
        <v>4.72</v>
      </c>
      <c r="Z106" s="75">
        <v>4.72</v>
      </c>
      <c r="AA106" s="13">
        <v>0</v>
      </c>
      <c r="AB106" s="72">
        <v>0</v>
      </c>
      <c r="AC106" s="72">
        <v>0</v>
      </c>
      <c r="AD106" s="72">
        <v>0</v>
      </c>
      <c r="AE106" s="69">
        <v>0</v>
      </c>
      <c r="AF106" s="69">
        <v>0</v>
      </c>
      <c r="AG106" s="69">
        <v>0</v>
      </c>
      <c r="AH106" s="69">
        <v>0</v>
      </c>
      <c r="AI106" s="69">
        <v>0</v>
      </c>
      <c r="AJ106" s="69">
        <v>0</v>
      </c>
      <c r="AK106" s="69">
        <v>0</v>
      </c>
      <c r="AL106" s="69">
        <v>0</v>
      </c>
      <c r="AM106" s="69">
        <v>0</v>
      </c>
      <c r="AN106" s="73">
        <v>0</v>
      </c>
      <c r="AO106" s="95">
        <f t="shared" si="12"/>
        <v>0</v>
      </c>
      <c r="AP106" s="73">
        <v>0</v>
      </c>
      <c r="AQ106" s="95">
        <f t="shared" si="13"/>
        <v>0</v>
      </c>
      <c r="AR106" s="73">
        <v>0</v>
      </c>
      <c r="AS106" s="96">
        <f t="shared" si="14"/>
        <v>0</v>
      </c>
      <c r="AT106" s="80">
        <v>2808</v>
      </c>
      <c r="AU106" s="97">
        <f t="shared" si="15"/>
        <v>0</v>
      </c>
      <c r="AV106" s="79">
        <v>0</v>
      </c>
      <c r="AW106" s="97">
        <f t="shared" si="16"/>
        <v>0</v>
      </c>
      <c r="AX106" s="79">
        <v>0</v>
      </c>
      <c r="AY106" s="97">
        <f t="shared" si="17"/>
        <v>0</v>
      </c>
      <c r="AZ106" s="71">
        <v>1404</v>
      </c>
      <c r="BA106" s="97">
        <f t="shared" si="18"/>
        <v>0</v>
      </c>
      <c r="BB106" s="74">
        <v>4212</v>
      </c>
      <c r="BC106" s="97">
        <f t="shared" si="19"/>
        <v>0</v>
      </c>
      <c r="BD106" s="73">
        <v>0</v>
      </c>
      <c r="BE106" s="97">
        <f t="shared" si="20"/>
        <v>0</v>
      </c>
      <c r="BF106" s="73">
        <v>1404</v>
      </c>
      <c r="BG106" s="97">
        <f t="shared" si="21"/>
        <v>0</v>
      </c>
      <c r="BH106" s="73">
        <v>0</v>
      </c>
      <c r="BI106" s="97">
        <f t="shared" si="22"/>
        <v>0</v>
      </c>
      <c r="BJ106" s="70">
        <v>0</v>
      </c>
      <c r="BK106" s="97">
        <f t="shared" si="23"/>
        <v>0</v>
      </c>
      <c r="BL106" s="128"/>
      <c r="BM106" s="131" t="s">
        <v>358</v>
      </c>
    </row>
    <row r="107" spans="1:65" ht="15.75" customHeight="1" thickBot="1">
      <c r="A107" s="93" t="s">
        <v>123</v>
      </c>
      <c r="B107" s="122" t="s">
        <v>184</v>
      </c>
      <c r="C107" s="299"/>
      <c r="D107" s="295"/>
      <c r="E107" s="295"/>
      <c r="F107" s="297"/>
      <c r="G107" s="78">
        <v>2018</v>
      </c>
      <c r="H107" s="81" t="s">
        <v>286</v>
      </c>
      <c r="I107" s="76" t="s">
        <v>196</v>
      </c>
      <c r="J107" s="77" t="s">
        <v>197</v>
      </c>
      <c r="K107" s="81" t="s">
        <v>197</v>
      </c>
      <c r="L107" s="76" t="s">
        <v>192</v>
      </c>
      <c r="M107" s="13" t="s">
        <v>193</v>
      </c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13">
        <v>0</v>
      </c>
      <c r="AB107" s="72">
        <v>0.05</v>
      </c>
      <c r="AC107" s="72">
        <v>0.05</v>
      </c>
      <c r="AD107" s="72">
        <v>0.05</v>
      </c>
      <c r="AE107" s="69">
        <v>0.05</v>
      </c>
      <c r="AF107" s="69">
        <v>0.05</v>
      </c>
      <c r="AG107" s="69">
        <v>0.05</v>
      </c>
      <c r="AH107" s="69">
        <v>0.05</v>
      </c>
      <c r="AI107" s="69">
        <v>0.05</v>
      </c>
      <c r="AJ107" s="69">
        <v>0.05</v>
      </c>
      <c r="AK107" s="69">
        <v>0.05</v>
      </c>
      <c r="AL107" s="69">
        <v>0.05</v>
      </c>
      <c r="AM107" s="69">
        <v>0.05</v>
      </c>
      <c r="AN107" s="73">
        <v>0</v>
      </c>
      <c r="AO107" s="95">
        <f t="shared" si="12"/>
        <v>0</v>
      </c>
      <c r="AP107" s="73">
        <v>0</v>
      </c>
      <c r="AQ107" s="95">
        <f t="shared" si="13"/>
        <v>0</v>
      </c>
      <c r="AR107" s="73">
        <v>0</v>
      </c>
      <c r="AS107" s="96">
        <f t="shared" si="14"/>
        <v>0</v>
      </c>
      <c r="AT107" s="79">
        <v>0</v>
      </c>
      <c r="AU107" s="97">
        <f t="shared" si="15"/>
        <v>0</v>
      </c>
      <c r="AV107" s="79">
        <v>0</v>
      </c>
      <c r="AW107" s="97">
        <f t="shared" si="16"/>
        <v>0</v>
      </c>
      <c r="AX107" s="79">
        <v>0</v>
      </c>
      <c r="AY107" s="97">
        <f t="shared" si="17"/>
        <v>0</v>
      </c>
      <c r="AZ107" s="70">
        <v>0</v>
      </c>
      <c r="BA107" s="97">
        <f t="shared" si="18"/>
        <v>0</v>
      </c>
      <c r="BB107" s="74">
        <v>0</v>
      </c>
      <c r="BC107" s="97">
        <f t="shared" si="19"/>
        <v>0</v>
      </c>
      <c r="BD107" s="71">
        <v>0</v>
      </c>
      <c r="BE107" s="97">
        <f t="shared" si="20"/>
        <v>0</v>
      </c>
      <c r="BF107" s="73">
        <v>0</v>
      </c>
      <c r="BG107" s="97">
        <f t="shared" si="21"/>
        <v>0</v>
      </c>
      <c r="BH107" s="70">
        <v>0</v>
      </c>
      <c r="BI107" s="97">
        <f t="shared" si="22"/>
        <v>0</v>
      </c>
      <c r="BJ107" s="73">
        <v>0</v>
      </c>
      <c r="BK107" s="97">
        <f t="shared" si="23"/>
        <v>0</v>
      </c>
      <c r="BL107" s="128"/>
      <c r="BM107" s="131" t="s">
        <v>359</v>
      </c>
    </row>
    <row r="108" spans="1:65" ht="15.75" customHeight="1" thickBot="1">
      <c r="A108" s="93" t="s">
        <v>123</v>
      </c>
      <c r="B108" s="122" t="s">
        <v>184</v>
      </c>
      <c r="C108" s="299"/>
      <c r="D108" s="295"/>
      <c r="E108" s="295"/>
      <c r="F108" s="297"/>
      <c r="G108" s="78">
        <v>2016</v>
      </c>
      <c r="H108" s="76" t="s">
        <v>232</v>
      </c>
      <c r="I108" s="76" t="s">
        <v>196</v>
      </c>
      <c r="J108" s="77" t="s">
        <v>197</v>
      </c>
      <c r="K108" s="81" t="s">
        <v>197</v>
      </c>
      <c r="L108" s="76" t="s">
        <v>192</v>
      </c>
      <c r="M108" s="13" t="s">
        <v>193</v>
      </c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13">
        <v>0</v>
      </c>
      <c r="AB108" s="72">
        <v>0.05</v>
      </c>
      <c r="AC108" s="72">
        <v>0.05</v>
      </c>
      <c r="AD108" s="72">
        <v>0.05</v>
      </c>
      <c r="AE108" s="72">
        <v>0.05</v>
      </c>
      <c r="AF108" s="72">
        <v>0.05</v>
      </c>
      <c r="AG108" s="72">
        <v>0.05</v>
      </c>
      <c r="AH108" s="72">
        <v>0.05</v>
      </c>
      <c r="AI108" s="72">
        <v>0.05</v>
      </c>
      <c r="AJ108" s="72">
        <v>0.05</v>
      </c>
      <c r="AK108" s="72">
        <v>0.05</v>
      </c>
      <c r="AL108" s="72">
        <v>0.05</v>
      </c>
      <c r="AM108" s="72">
        <v>0.05</v>
      </c>
      <c r="AN108" s="73">
        <v>0</v>
      </c>
      <c r="AO108" s="95">
        <f t="shared" si="12"/>
        <v>0</v>
      </c>
      <c r="AP108" s="73">
        <v>0</v>
      </c>
      <c r="AQ108" s="95">
        <f t="shared" si="13"/>
        <v>0</v>
      </c>
      <c r="AR108" s="73">
        <v>0</v>
      </c>
      <c r="AS108" s="96">
        <f t="shared" si="14"/>
        <v>0</v>
      </c>
      <c r="AT108" s="79">
        <v>0</v>
      </c>
      <c r="AU108" s="97">
        <f t="shared" si="15"/>
        <v>0</v>
      </c>
      <c r="AV108" s="79">
        <v>0</v>
      </c>
      <c r="AW108" s="97">
        <f t="shared" si="16"/>
        <v>0</v>
      </c>
      <c r="AX108" s="79">
        <v>0</v>
      </c>
      <c r="AY108" s="97">
        <f t="shared" si="17"/>
        <v>0</v>
      </c>
      <c r="AZ108" s="74">
        <v>0</v>
      </c>
      <c r="BA108" s="97">
        <f t="shared" si="18"/>
        <v>0</v>
      </c>
      <c r="BB108" s="70">
        <v>0</v>
      </c>
      <c r="BC108" s="97">
        <f t="shared" si="19"/>
        <v>0</v>
      </c>
      <c r="BD108" s="73">
        <v>0</v>
      </c>
      <c r="BE108" s="97">
        <f t="shared" si="20"/>
        <v>0</v>
      </c>
      <c r="BF108" s="73">
        <v>0</v>
      </c>
      <c r="BG108" s="97">
        <f t="shared" si="21"/>
        <v>0</v>
      </c>
      <c r="BH108" s="73">
        <v>0</v>
      </c>
      <c r="BI108" s="97">
        <f t="shared" si="22"/>
        <v>0</v>
      </c>
      <c r="BJ108" s="73">
        <v>0</v>
      </c>
      <c r="BK108" s="97">
        <f t="shared" si="23"/>
        <v>0</v>
      </c>
      <c r="BL108" s="128"/>
      <c r="BM108" s="131" t="s">
        <v>360</v>
      </c>
    </row>
    <row r="109" spans="1:65" ht="15.75" customHeight="1" thickBot="1">
      <c r="A109" s="93" t="s">
        <v>123</v>
      </c>
      <c r="B109" s="122" t="s">
        <v>184</v>
      </c>
      <c r="C109" s="299"/>
      <c r="D109" s="295"/>
      <c r="E109" s="295"/>
      <c r="F109" s="297"/>
      <c r="G109" s="78">
        <v>2021</v>
      </c>
      <c r="H109" s="81" t="s">
        <v>286</v>
      </c>
      <c r="I109" s="76" t="s">
        <v>196</v>
      </c>
      <c r="J109" s="77" t="s">
        <v>197</v>
      </c>
      <c r="K109" s="81" t="s">
        <v>221</v>
      </c>
      <c r="L109" s="76" t="s">
        <v>192</v>
      </c>
      <c r="M109" s="13" t="s">
        <v>193</v>
      </c>
      <c r="N109" s="75">
        <v>5.05</v>
      </c>
      <c r="O109" s="75">
        <v>5.05</v>
      </c>
      <c r="P109" s="75">
        <v>5.05</v>
      </c>
      <c r="Q109" s="75">
        <v>5.05</v>
      </c>
      <c r="R109" s="75">
        <v>5.05</v>
      </c>
      <c r="S109" s="75">
        <v>5.05</v>
      </c>
      <c r="T109" s="75">
        <v>5.05</v>
      </c>
      <c r="U109" s="75">
        <v>5.05</v>
      </c>
      <c r="V109" s="75">
        <v>5.05</v>
      </c>
      <c r="W109" s="75">
        <v>5.05</v>
      </c>
      <c r="X109" s="75">
        <v>5.05</v>
      </c>
      <c r="Y109" s="75">
        <v>5.05</v>
      </c>
      <c r="Z109" s="75">
        <v>5.05</v>
      </c>
      <c r="AA109" s="13">
        <v>0</v>
      </c>
      <c r="AB109" s="72">
        <v>0.05</v>
      </c>
      <c r="AC109" s="72">
        <v>0.05</v>
      </c>
      <c r="AD109" s="72">
        <v>0.05</v>
      </c>
      <c r="AE109" s="69">
        <v>0.05</v>
      </c>
      <c r="AF109" s="69">
        <v>0.05</v>
      </c>
      <c r="AG109" s="69">
        <v>0.05</v>
      </c>
      <c r="AH109" s="69">
        <v>0.05</v>
      </c>
      <c r="AI109" s="69">
        <v>0.05</v>
      </c>
      <c r="AJ109" s="69">
        <v>0.05</v>
      </c>
      <c r="AK109" s="69">
        <v>0.05</v>
      </c>
      <c r="AL109" s="69">
        <v>0.05</v>
      </c>
      <c r="AM109" s="69">
        <v>0.05</v>
      </c>
      <c r="AN109" s="73">
        <v>0</v>
      </c>
      <c r="AO109" s="95">
        <f t="shared" si="12"/>
        <v>0</v>
      </c>
      <c r="AP109" s="73">
        <v>0</v>
      </c>
      <c r="AQ109" s="95">
        <f t="shared" si="13"/>
        <v>0</v>
      </c>
      <c r="AR109" s="73">
        <v>0</v>
      </c>
      <c r="AS109" s="96">
        <f t="shared" si="14"/>
        <v>0</v>
      </c>
      <c r="AT109" s="79">
        <v>0</v>
      </c>
      <c r="AU109" s="97">
        <f t="shared" si="15"/>
        <v>0</v>
      </c>
      <c r="AV109" s="79">
        <v>0</v>
      </c>
      <c r="AW109" s="97">
        <f t="shared" si="16"/>
        <v>0</v>
      </c>
      <c r="AX109" s="80">
        <v>0</v>
      </c>
      <c r="AY109" s="97">
        <f t="shared" si="17"/>
        <v>0</v>
      </c>
      <c r="AZ109" s="74">
        <v>0</v>
      </c>
      <c r="BA109" s="97">
        <f t="shared" si="18"/>
        <v>0</v>
      </c>
      <c r="BB109" s="70">
        <v>0</v>
      </c>
      <c r="BC109" s="97">
        <f t="shared" si="19"/>
        <v>0</v>
      </c>
      <c r="BD109" s="73">
        <v>0</v>
      </c>
      <c r="BE109" s="97">
        <f t="shared" si="20"/>
        <v>0</v>
      </c>
      <c r="BF109" s="70">
        <v>0</v>
      </c>
      <c r="BG109" s="97">
        <f t="shared" si="21"/>
        <v>0</v>
      </c>
      <c r="BH109" s="73">
        <v>0</v>
      </c>
      <c r="BI109" s="97">
        <f t="shared" si="22"/>
        <v>0</v>
      </c>
      <c r="BJ109" s="70">
        <v>0</v>
      </c>
      <c r="BK109" s="97">
        <f t="shared" si="23"/>
        <v>0</v>
      </c>
      <c r="BL109" s="128"/>
      <c r="BM109" s="131" t="s">
        <v>361</v>
      </c>
    </row>
    <row r="110" spans="1:65" ht="15.75" customHeight="1" thickBot="1">
      <c r="A110" s="93" t="s">
        <v>123</v>
      </c>
      <c r="B110" s="122" t="s">
        <v>184</v>
      </c>
      <c r="C110" s="299"/>
      <c r="D110" s="295"/>
      <c r="E110" s="295"/>
      <c r="F110" s="297"/>
      <c r="G110" s="78">
        <v>2022</v>
      </c>
      <c r="H110" s="99" t="s">
        <v>362</v>
      </c>
      <c r="I110" s="81" t="s">
        <v>196</v>
      </c>
      <c r="J110" s="77" t="s">
        <v>197</v>
      </c>
      <c r="K110" s="81" t="s">
        <v>191</v>
      </c>
      <c r="L110" s="76" t="s">
        <v>192</v>
      </c>
      <c r="M110" s="13" t="s">
        <v>193</v>
      </c>
      <c r="N110" s="75">
        <v>1.65</v>
      </c>
      <c r="O110" s="75">
        <v>1.65</v>
      </c>
      <c r="P110" s="75">
        <v>1.65</v>
      </c>
      <c r="Q110" s="75">
        <v>1.65</v>
      </c>
      <c r="R110" s="75">
        <v>1.65</v>
      </c>
      <c r="S110" s="75">
        <v>1.65</v>
      </c>
      <c r="T110" s="75">
        <v>1.65</v>
      </c>
      <c r="U110" s="75">
        <v>1.65</v>
      </c>
      <c r="V110" s="75">
        <v>1.65</v>
      </c>
      <c r="W110" s="75">
        <v>1.65</v>
      </c>
      <c r="X110" s="75">
        <v>1.65</v>
      </c>
      <c r="Y110" s="75">
        <v>1.65</v>
      </c>
      <c r="Z110" s="75">
        <v>1.65</v>
      </c>
      <c r="AA110" s="13">
        <v>0</v>
      </c>
      <c r="AB110" s="69">
        <v>0</v>
      </c>
      <c r="AC110" s="69">
        <v>0</v>
      </c>
      <c r="AD110" s="69">
        <v>0</v>
      </c>
      <c r="AE110" s="69">
        <v>0</v>
      </c>
      <c r="AF110" s="69">
        <v>0</v>
      </c>
      <c r="AG110" s="69">
        <v>0</v>
      </c>
      <c r="AH110" s="69">
        <v>0</v>
      </c>
      <c r="AI110" s="69">
        <v>0</v>
      </c>
      <c r="AJ110" s="69">
        <v>0</v>
      </c>
      <c r="AK110" s="69">
        <v>0</v>
      </c>
      <c r="AL110" s="69">
        <v>0</v>
      </c>
      <c r="AM110" s="69">
        <v>0</v>
      </c>
      <c r="AN110" s="73">
        <v>0</v>
      </c>
      <c r="AO110" s="95">
        <f t="shared" si="12"/>
        <v>0</v>
      </c>
      <c r="AP110" s="73">
        <v>0</v>
      </c>
      <c r="AQ110" s="95">
        <f t="shared" si="13"/>
        <v>0</v>
      </c>
      <c r="AR110" s="73">
        <v>0</v>
      </c>
      <c r="AS110" s="96">
        <f t="shared" si="14"/>
        <v>0</v>
      </c>
      <c r="AT110" s="79">
        <v>0</v>
      </c>
      <c r="AU110" s="97">
        <f t="shared" si="15"/>
        <v>0</v>
      </c>
      <c r="AV110" s="79">
        <v>0</v>
      </c>
      <c r="AW110" s="97">
        <f t="shared" si="16"/>
        <v>0</v>
      </c>
      <c r="AX110" s="79">
        <v>0</v>
      </c>
      <c r="AY110" s="97">
        <f t="shared" si="17"/>
        <v>0</v>
      </c>
      <c r="AZ110" s="70">
        <v>0</v>
      </c>
      <c r="BA110" s="97">
        <f t="shared" si="18"/>
        <v>0</v>
      </c>
      <c r="BB110" s="74">
        <v>11520</v>
      </c>
      <c r="BC110" s="97">
        <f t="shared" si="19"/>
        <v>0</v>
      </c>
      <c r="BD110" s="70">
        <v>0</v>
      </c>
      <c r="BE110" s="97">
        <f t="shared" si="20"/>
        <v>0</v>
      </c>
      <c r="BF110" s="73">
        <v>0</v>
      </c>
      <c r="BG110" s="97">
        <f t="shared" si="21"/>
        <v>0</v>
      </c>
      <c r="BH110" s="70">
        <v>0</v>
      </c>
      <c r="BI110" s="97">
        <f t="shared" si="22"/>
        <v>0</v>
      </c>
      <c r="BJ110" s="73">
        <v>0</v>
      </c>
      <c r="BK110" s="97">
        <f t="shared" si="23"/>
        <v>0</v>
      </c>
      <c r="BL110" s="128"/>
      <c r="BM110" s="131" t="s">
        <v>363</v>
      </c>
    </row>
    <row r="111" spans="1:65" ht="15.75" customHeight="1" thickBot="1">
      <c r="A111" s="93" t="s">
        <v>123</v>
      </c>
      <c r="B111" s="122" t="s">
        <v>199</v>
      </c>
      <c r="C111" s="299"/>
      <c r="D111" s="295"/>
      <c r="E111" s="295"/>
      <c r="F111" s="297"/>
      <c r="G111" s="78">
        <v>2020</v>
      </c>
      <c r="H111" s="76" t="s">
        <v>208</v>
      </c>
      <c r="I111" s="76" t="s">
        <v>201</v>
      </c>
      <c r="J111" s="77" t="s">
        <v>197</v>
      </c>
      <c r="K111" s="81" t="s">
        <v>209</v>
      </c>
      <c r="L111" s="76" t="s">
        <v>192</v>
      </c>
      <c r="M111" s="13" t="s">
        <v>193</v>
      </c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13">
        <v>0</v>
      </c>
      <c r="AB111" s="72">
        <v>0</v>
      </c>
      <c r="AC111" s="72">
        <v>0</v>
      </c>
      <c r="AD111" s="72">
        <v>0</v>
      </c>
      <c r="AE111" s="69">
        <v>0</v>
      </c>
      <c r="AF111" s="69">
        <v>0</v>
      </c>
      <c r="AG111" s="69">
        <v>0</v>
      </c>
      <c r="AH111" s="69">
        <v>0</v>
      </c>
      <c r="AI111" s="69">
        <v>0</v>
      </c>
      <c r="AJ111" s="69">
        <v>0</v>
      </c>
      <c r="AK111" s="69">
        <v>0</v>
      </c>
      <c r="AL111" s="69">
        <v>0</v>
      </c>
      <c r="AM111" s="69">
        <v>0</v>
      </c>
      <c r="AN111" s="73">
        <v>0</v>
      </c>
      <c r="AO111" s="95">
        <f t="shared" si="12"/>
        <v>0</v>
      </c>
      <c r="AP111" s="73">
        <v>0</v>
      </c>
      <c r="AQ111" s="95">
        <f t="shared" si="13"/>
        <v>0</v>
      </c>
      <c r="AR111" s="73">
        <v>0</v>
      </c>
      <c r="AS111" s="96">
        <f t="shared" si="14"/>
        <v>0</v>
      </c>
      <c r="AT111" s="79">
        <v>0</v>
      </c>
      <c r="AU111" s="97">
        <f t="shared" si="15"/>
        <v>0</v>
      </c>
      <c r="AV111" s="79">
        <v>0</v>
      </c>
      <c r="AW111" s="97">
        <f t="shared" si="16"/>
        <v>0</v>
      </c>
      <c r="AX111" s="79">
        <v>0</v>
      </c>
      <c r="AY111" s="97">
        <f t="shared" si="17"/>
        <v>0</v>
      </c>
      <c r="AZ111" s="73">
        <v>0</v>
      </c>
      <c r="BA111" s="97">
        <f t="shared" si="18"/>
        <v>0</v>
      </c>
      <c r="BB111" s="74">
        <v>0</v>
      </c>
      <c r="BC111" s="97">
        <f t="shared" si="19"/>
        <v>0</v>
      </c>
      <c r="BD111" s="73">
        <v>0</v>
      </c>
      <c r="BE111" s="97">
        <f t="shared" si="20"/>
        <v>0</v>
      </c>
      <c r="BF111" s="73">
        <v>0</v>
      </c>
      <c r="BG111" s="97">
        <f t="shared" si="21"/>
        <v>0</v>
      </c>
      <c r="BH111" s="73">
        <v>0</v>
      </c>
      <c r="BI111" s="97">
        <f t="shared" si="22"/>
        <v>0</v>
      </c>
      <c r="BJ111" s="73">
        <v>0</v>
      </c>
      <c r="BK111" s="97">
        <f t="shared" si="23"/>
        <v>0</v>
      </c>
      <c r="BL111" s="128"/>
      <c r="BM111" s="131" t="s">
        <v>364</v>
      </c>
    </row>
    <row r="112" spans="1:65" ht="15.75" customHeight="1" thickBot="1">
      <c r="A112" s="93" t="s">
        <v>123</v>
      </c>
      <c r="B112" s="122" t="s">
        <v>199</v>
      </c>
      <c r="C112" s="299"/>
      <c r="D112" s="295"/>
      <c r="E112" s="295"/>
      <c r="F112" s="297"/>
      <c r="G112" s="78">
        <v>2020</v>
      </c>
      <c r="H112" s="76" t="s">
        <v>225</v>
      </c>
      <c r="I112" s="76" t="s">
        <v>201</v>
      </c>
      <c r="J112" s="77" t="s">
        <v>197</v>
      </c>
      <c r="K112" s="81" t="s">
        <v>221</v>
      </c>
      <c r="L112" s="76" t="s">
        <v>192</v>
      </c>
      <c r="M112" s="13" t="s">
        <v>193</v>
      </c>
      <c r="N112" s="75">
        <v>4.93</v>
      </c>
      <c r="O112" s="75">
        <v>4.93</v>
      </c>
      <c r="P112" s="75">
        <v>4.93</v>
      </c>
      <c r="Q112" s="75">
        <v>4.93</v>
      </c>
      <c r="R112" s="75">
        <v>4.93</v>
      </c>
      <c r="S112" s="75">
        <v>4.93</v>
      </c>
      <c r="T112" s="75">
        <v>4.93</v>
      </c>
      <c r="U112" s="75">
        <v>4.93</v>
      </c>
      <c r="V112" s="75">
        <v>4.93</v>
      </c>
      <c r="W112" s="75">
        <v>4.93</v>
      </c>
      <c r="X112" s="75">
        <v>4.93</v>
      </c>
      <c r="Y112" s="75">
        <v>4.93</v>
      </c>
      <c r="Z112" s="75">
        <v>4.93</v>
      </c>
      <c r="AA112" s="13">
        <v>0</v>
      </c>
      <c r="AB112" s="72">
        <v>0</v>
      </c>
      <c r="AC112" s="72">
        <v>0</v>
      </c>
      <c r="AD112" s="72">
        <v>0</v>
      </c>
      <c r="AE112" s="69">
        <v>0</v>
      </c>
      <c r="AF112" s="69">
        <v>0</v>
      </c>
      <c r="AG112" s="69">
        <v>0</v>
      </c>
      <c r="AH112" s="69">
        <v>0</v>
      </c>
      <c r="AI112" s="69">
        <v>0</v>
      </c>
      <c r="AJ112" s="69">
        <v>0</v>
      </c>
      <c r="AK112" s="69">
        <v>0</v>
      </c>
      <c r="AL112" s="69">
        <v>0</v>
      </c>
      <c r="AM112" s="69">
        <v>0</v>
      </c>
      <c r="AN112" s="73">
        <v>0</v>
      </c>
      <c r="AO112" s="95">
        <f t="shared" si="12"/>
        <v>0</v>
      </c>
      <c r="AP112" s="73">
        <v>0</v>
      </c>
      <c r="AQ112" s="95">
        <f t="shared" si="13"/>
        <v>0</v>
      </c>
      <c r="AR112" s="73">
        <v>0</v>
      </c>
      <c r="AS112" s="96">
        <f t="shared" si="14"/>
        <v>0</v>
      </c>
      <c r="AT112" s="79">
        <v>0</v>
      </c>
      <c r="AU112" s="97">
        <f t="shared" si="15"/>
        <v>0</v>
      </c>
      <c r="AV112" s="79">
        <v>0</v>
      </c>
      <c r="AW112" s="97">
        <f t="shared" si="16"/>
        <v>0</v>
      </c>
      <c r="AX112" s="79">
        <v>0</v>
      </c>
      <c r="AY112" s="97">
        <f t="shared" si="17"/>
        <v>0</v>
      </c>
      <c r="AZ112" s="73">
        <v>0</v>
      </c>
      <c r="BA112" s="97">
        <f t="shared" si="18"/>
        <v>0</v>
      </c>
      <c r="BB112" s="70">
        <v>0</v>
      </c>
      <c r="BC112" s="97">
        <f t="shared" si="19"/>
        <v>0</v>
      </c>
      <c r="BD112" s="73">
        <v>0</v>
      </c>
      <c r="BE112" s="97">
        <f t="shared" si="20"/>
        <v>0</v>
      </c>
      <c r="BF112" s="73">
        <v>0</v>
      </c>
      <c r="BG112" s="97">
        <f t="shared" si="21"/>
        <v>0</v>
      </c>
      <c r="BH112" s="70">
        <v>0</v>
      </c>
      <c r="BI112" s="97">
        <f t="shared" si="22"/>
        <v>0</v>
      </c>
      <c r="BJ112" s="70">
        <v>0</v>
      </c>
      <c r="BK112" s="97">
        <f t="shared" si="23"/>
        <v>0</v>
      </c>
      <c r="BL112" s="128"/>
      <c r="BM112" s="131" t="s">
        <v>365</v>
      </c>
    </row>
    <row r="113" spans="1:65" ht="15.75" customHeight="1" thickBot="1">
      <c r="A113" s="93" t="s">
        <v>123</v>
      </c>
      <c r="B113" s="122" t="s">
        <v>199</v>
      </c>
      <c r="C113" s="299"/>
      <c r="D113" s="295"/>
      <c r="E113" s="295"/>
      <c r="F113" s="297"/>
      <c r="G113" s="78">
        <v>2019</v>
      </c>
      <c r="H113" s="76" t="s">
        <v>270</v>
      </c>
      <c r="I113" s="76" t="s">
        <v>201</v>
      </c>
      <c r="J113" s="77" t="s">
        <v>197</v>
      </c>
      <c r="K113" s="81" t="s">
        <v>191</v>
      </c>
      <c r="L113" s="76" t="s">
        <v>192</v>
      </c>
      <c r="M113" s="13" t="s">
        <v>193</v>
      </c>
      <c r="N113" s="75">
        <v>10.31</v>
      </c>
      <c r="O113" s="75">
        <v>10.31</v>
      </c>
      <c r="P113" s="75">
        <v>10.31</v>
      </c>
      <c r="Q113" s="75">
        <v>10.31</v>
      </c>
      <c r="R113" s="75">
        <v>10.31</v>
      </c>
      <c r="S113" s="75">
        <v>10.31</v>
      </c>
      <c r="T113" s="75">
        <v>10.31</v>
      </c>
      <c r="U113" s="75">
        <v>10.31</v>
      </c>
      <c r="V113" s="75">
        <v>10.31</v>
      </c>
      <c r="W113" s="75">
        <v>10.31</v>
      </c>
      <c r="X113" s="75">
        <v>10.31</v>
      </c>
      <c r="Y113" s="75">
        <v>10.31</v>
      </c>
      <c r="Z113" s="75">
        <v>10.31</v>
      </c>
      <c r="AA113" s="13">
        <v>0</v>
      </c>
      <c r="AB113" s="72">
        <v>0</v>
      </c>
      <c r="AC113" s="72">
        <v>0</v>
      </c>
      <c r="AD113" s="72">
        <v>0</v>
      </c>
      <c r="AE113" s="69">
        <v>0</v>
      </c>
      <c r="AF113" s="69">
        <v>0</v>
      </c>
      <c r="AG113" s="69">
        <v>0</v>
      </c>
      <c r="AH113" s="69">
        <v>0</v>
      </c>
      <c r="AI113" s="69">
        <v>0</v>
      </c>
      <c r="AJ113" s="69">
        <v>0</v>
      </c>
      <c r="AK113" s="69">
        <v>0</v>
      </c>
      <c r="AL113" s="69">
        <v>0</v>
      </c>
      <c r="AM113" s="69">
        <v>0</v>
      </c>
      <c r="AN113" s="73">
        <v>0</v>
      </c>
      <c r="AO113" s="95">
        <f t="shared" si="12"/>
        <v>0</v>
      </c>
      <c r="AP113" s="73">
        <v>0</v>
      </c>
      <c r="AQ113" s="95">
        <f t="shared" si="13"/>
        <v>0</v>
      </c>
      <c r="AR113" s="73">
        <v>0</v>
      </c>
      <c r="AS113" s="96">
        <f t="shared" si="14"/>
        <v>0</v>
      </c>
      <c r="AT113" s="79">
        <v>0</v>
      </c>
      <c r="AU113" s="97">
        <f t="shared" si="15"/>
        <v>0</v>
      </c>
      <c r="AV113" s="79">
        <v>0</v>
      </c>
      <c r="AW113" s="97">
        <f t="shared" si="16"/>
        <v>0</v>
      </c>
      <c r="AX113" s="80">
        <v>3200</v>
      </c>
      <c r="AY113" s="97">
        <f t="shared" si="17"/>
        <v>0</v>
      </c>
      <c r="AZ113" s="71">
        <v>4560</v>
      </c>
      <c r="BA113" s="97">
        <f t="shared" si="18"/>
        <v>0</v>
      </c>
      <c r="BB113" s="70">
        <v>1280</v>
      </c>
      <c r="BC113" s="97">
        <f t="shared" si="19"/>
        <v>0</v>
      </c>
      <c r="BD113" s="71">
        <v>2400</v>
      </c>
      <c r="BE113" s="97">
        <f t="shared" si="20"/>
        <v>0</v>
      </c>
      <c r="BF113" s="70">
        <v>1500</v>
      </c>
      <c r="BG113" s="97">
        <f t="shared" si="21"/>
        <v>0</v>
      </c>
      <c r="BH113" s="73">
        <v>3780</v>
      </c>
      <c r="BI113" s="97">
        <f t="shared" si="22"/>
        <v>0</v>
      </c>
      <c r="BJ113" s="73">
        <v>0</v>
      </c>
      <c r="BK113" s="97">
        <f t="shared" si="23"/>
        <v>0</v>
      </c>
      <c r="BL113" s="128"/>
      <c r="BM113" s="131" t="s">
        <v>366</v>
      </c>
    </row>
    <row r="114" spans="1:65" ht="15.75" customHeight="1" thickBot="1">
      <c r="A114" s="93" t="s">
        <v>123</v>
      </c>
      <c r="B114" s="122" t="s">
        <v>199</v>
      </c>
      <c r="C114" s="299"/>
      <c r="D114" s="295"/>
      <c r="E114" s="295"/>
      <c r="F114" s="297"/>
      <c r="G114" s="78">
        <v>2020</v>
      </c>
      <c r="H114" s="76" t="s">
        <v>220</v>
      </c>
      <c r="I114" s="76" t="s">
        <v>201</v>
      </c>
      <c r="J114" s="77" t="s">
        <v>197</v>
      </c>
      <c r="K114" s="81" t="s">
        <v>221</v>
      </c>
      <c r="L114" s="76" t="s">
        <v>192</v>
      </c>
      <c r="M114" s="13" t="s">
        <v>193</v>
      </c>
      <c r="N114" s="75">
        <v>5.86</v>
      </c>
      <c r="O114" s="75">
        <v>5.86</v>
      </c>
      <c r="P114" s="75">
        <v>5.86</v>
      </c>
      <c r="Q114" s="75">
        <v>5.86</v>
      </c>
      <c r="R114" s="75">
        <v>5.86</v>
      </c>
      <c r="S114" s="75">
        <v>5.86</v>
      </c>
      <c r="T114" s="75">
        <v>5.86</v>
      </c>
      <c r="U114" s="75">
        <v>5.86</v>
      </c>
      <c r="V114" s="75">
        <v>5.86</v>
      </c>
      <c r="W114" s="75">
        <v>5.86</v>
      </c>
      <c r="X114" s="75">
        <v>5.86</v>
      </c>
      <c r="Y114" s="75">
        <v>5.86</v>
      </c>
      <c r="Z114" s="75">
        <v>5.86</v>
      </c>
      <c r="AA114" s="13">
        <v>0</v>
      </c>
      <c r="AB114" s="72">
        <v>0</v>
      </c>
      <c r="AC114" s="72">
        <v>0</v>
      </c>
      <c r="AD114" s="72">
        <v>0</v>
      </c>
      <c r="AE114" s="69">
        <v>0</v>
      </c>
      <c r="AF114" s="69">
        <v>0</v>
      </c>
      <c r="AG114" s="69">
        <v>0</v>
      </c>
      <c r="AH114" s="69">
        <v>0</v>
      </c>
      <c r="AI114" s="69">
        <v>0</v>
      </c>
      <c r="AJ114" s="69">
        <v>0</v>
      </c>
      <c r="AK114" s="69">
        <v>0</v>
      </c>
      <c r="AL114" s="69">
        <v>0</v>
      </c>
      <c r="AM114" s="69">
        <v>0</v>
      </c>
      <c r="AN114" s="73">
        <v>0</v>
      </c>
      <c r="AO114" s="95">
        <f t="shared" si="12"/>
        <v>0</v>
      </c>
      <c r="AP114" s="73">
        <v>0</v>
      </c>
      <c r="AQ114" s="95">
        <f t="shared" si="13"/>
        <v>0</v>
      </c>
      <c r="AR114" s="73">
        <v>0</v>
      </c>
      <c r="AS114" s="96">
        <f t="shared" si="14"/>
        <v>0</v>
      </c>
      <c r="AT114" s="79">
        <v>0</v>
      </c>
      <c r="AU114" s="97">
        <f t="shared" si="15"/>
        <v>0</v>
      </c>
      <c r="AV114" s="79">
        <v>0</v>
      </c>
      <c r="AW114" s="97">
        <f t="shared" si="16"/>
        <v>0</v>
      </c>
      <c r="AX114" s="80">
        <v>0</v>
      </c>
      <c r="AY114" s="97">
        <f t="shared" si="17"/>
        <v>0</v>
      </c>
      <c r="AZ114" s="73">
        <v>0</v>
      </c>
      <c r="BA114" s="97">
        <f t="shared" si="18"/>
        <v>0</v>
      </c>
      <c r="BB114" s="74">
        <v>0</v>
      </c>
      <c r="BC114" s="97">
        <f t="shared" si="19"/>
        <v>0</v>
      </c>
      <c r="BD114" s="73">
        <v>0</v>
      </c>
      <c r="BE114" s="97">
        <f t="shared" si="20"/>
        <v>0</v>
      </c>
      <c r="BF114" s="73">
        <v>0</v>
      </c>
      <c r="BG114" s="97">
        <f t="shared" si="21"/>
        <v>0</v>
      </c>
      <c r="BH114" s="73">
        <v>0</v>
      </c>
      <c r="BI114" s="97">
        <f t="shared" si="22"/>
        <v>0</v>
      </c>
      <c r="BJ114" s="73">
        <v>0</v>
      </c>
      <c r="BK114" s="97">
        <f t="shared" si="23"/>
        <v>0</v>
      </c>
      <c r="BL114" s="128"/>
      <c r="BM114" s="131" t="s">
        <v>367</v>
      </c>
    </row>
    <row r="115" spans="1:65" ht="15.75" customHeight="1" thickBot="1">
      <c r="A115" s="93" t="s">
        <v>123</v>
      </c>
      <c r="B115" s="122" t="s">
        <v>199</v>
      </c>
      <c r="C115" s="299"/>
      <c r="D115" s="295"/>
      <c r="E115" s="295"/>
      <c r="F115" s="297"/>
      <c r="G115" s="78">
        <v>2020</v>
      </c>
      <c r="H115" s="76" t="s">
        <v>200</v>
      </c>
      <c r="I115" s="76" t="s">
        <v>201</v>
      </c>
      <c r="J115" s="77" t="s">
        <v>197</v>
      </c>
      <c r="K115" s="81" t="s">
        <v>191</v>
      </c>
      <c r="L115" s="76" t="s">
        <v>192</v>
      </c>
      <c r="M115" s="13" t="s">
        <v>193</v>
      </c>
      <c r="N115" s="75">
        <v>8.85</v>
      </c>
      <c r="O115" s="75">
        <v>8.85</v>
      </c>
      <c r="P115" s="75">
        <v>8.85</v>
      </c>
      <c r="Q115" s="75">
        <v>8.85</v>
      </c>
      <c r="R115" s="75">
        <v>8.85</v>
      </c>
      <c r="S115" s="75">
        <v>8.85</v>
      </c>
      <c r="T115" s="75">
        <v>8.85</v>
      </c>
      <c r="U115" s="75">
        <v>8.85</v>
      </c>
      <c r="V115" s="75">
        <v>8.85</v>
      </c>
      <c r="W115" s="75">
        <v>8.85</v>
      </c>
      <c r="X115" s="75">
        <v>8.85</v>
      </c>
      <c r="Y115" s="75">
        <v>8.85</v>
      </c>
      <c r="Z115" s="75">
        <v>8.85</v>
      </c>
      <c r="AA115" s="13">
        <v>0</v>
      </c>
      <c r="AB115" s="72">
        <v>0</v>
      </c>
      <c r="AC115" s="72">
        <v>0</v>
      </c>
      <c r="AD115" s="72">
        <v>0</v>
      </c>
      <c r="AE115" s="69">
        <v>0</v>
      </c>
      <c r="AF115" s="69">
        <v>0</v>
      </c>
      <c r="AG115" s="69">
        <v>0</v>
      </c>
      <c r="AH115" s="69">
        <v>0</v>
      </c>
      <c r="AI115" s="69">
        <v>0</v>
      </c>
      <c r="AJ115" s="69">
        <v>0</v>
      </c>
      <c r="AK115" s="69">
        <v>0</v>
      </c>
      <c r="AL115" s="69">
        <v>0</v>
      </c>
      <c r="AM115" s="69">
        <v>0</v>
      </c>
      <c r="AN115" s="73">
        <v>0</v>
      </c>
      <c r="AO115" s="95">
        <f t="shared" si="12"/>
        <v>0</v>
      </c>
      <c r="AP115" s="73">
        <v>0</v>
      </c>
      <c r="AQ115" s="95">
        <f t="shared" si="13"/>
        <v>0</v>
      </c>
      <c r="AR115" s="73">
        <v>0</v>
      </c>
      <c r="AS115" s="96">
        <f t="shared" si="14"/>
        <v>0</v>
      </c>
      <c r="AT115" s="79">
        <v>0</v>
      </c>
      <c r="AU115" s="97">
        <f t="shared" si="15"/>
        <v>0</v>
      </c>
      <c r="AV115" s="79">
        <v>0</v>
      </c>
      <c r="AW115" s="97">
        <f t="shared" si="16"/>
        <v>0</v>
      </c>
      <c r="AX115" s="80">
        <v>0</v>
      </c>
      <c r="AY115" s="97">
        <f t="shared" si="17"/>
        <v>0</v>
      </c>
      <c r="AZ115" s="73">
        <v>0</v>
      </c>
      <c r="BA115" s="97">
        <f t="shared" si="18"/>
        <v>0</v>
      </c>
      <c r="BB115" s="74">
        <v>0</v>
      </c>
      <c r="BC115" s="97">
        <f t="shared" si="19"/>
        <v>0</v>
      </c>
      <c r="BD115" s="73">
        <v>0</v>
      </c>
      <c r="BE115" s="97">
        <f t="shared" si="20"/>
        <v>0</v>
      </c>
      <c r="BF115" s="73">
        <v>1280</v>
      </c>
      <c r="BG115" s="97">
        <f t="shared" si="21"/>
        <v>0</v>
      </c>
      <c r="BH115" s="70">
        <v>1280</v>
      </c>
      <c r="BI115" s="97">
        <f t="shared" si="22"/>
        <v>0</v>
      </c>
      <c r="BJ115" s="70">
        <v>0</v>
      </c>
      <c r="BK115" s="97">
        <f t="shared" si="23"/>
        <v>0</v>
      </c>
      <c r="BL115" s="128"/>
      <c r="BM115" s="131" t="s">
        <v>368</v>
      </c>
    </row>
    <row r="116" spans="1:65" ht="15.75" customHeight="1" thickBot="1">
      <c r="A116" s="93" t="s">
        <v>123</v>
      </c>
      <c r="B116" s="122" t="s">
        <v>199</v>
      </c>
      <c r="C116" s="299"/>
      <c r="D116" s="295"/>
      <c r="E116" s="295"/>
      <c r="F116" s="297"/>
      <c r="G116" s="78">
        <v>2020</v>
      </c>
      <c r="H116" s="76" t="s">
        <v>200</v>
      </c>
      <c r="I116" s="76" t="s">
        <v>201</v>
      </c>
      <c r="J116" s="77" t="s">
        <v>197</v>
      </c>
      <c r="K116" s="81" t="s">
        <v>191</v>
      </c>
      <c r="L116" s="76" t="s">
        <v>192</v>
      </c>
      <c r="M116" s="13" t="s">
        <v>193</v>
      </c>
      <c r="N116" s="75">
        <v>8.86</v>
      </c>
      <c r="O116" s="75">
        <v>8.86</v>
      </c>
      <c r="P116" s="75">
        <v>8.86</v>
      </c>
      <c r="Q116" s="75">
        <v>8.86</v>
      </c>
      <c r="R116" s="75">
        <v>8.86</v>
      </c>
      <c r="S116" s="75">
        <v>8.86</v>
      </c>
      <c r="T116" s="75">
        <v>8.86</v>
      </c>
      <c r="U116" s="75">
        <v>8.86</v>
      </c>
      <c r="V116" s="75">
        <v>8.86</v>
      </c>
      <c r="W116" s="75">
        <v>8.86</v>
      </c>
      <c r="X116" s="75">
        <v>8.86</v>
      </c>
      <c r="Y116" s="75">
        <v>8.86</v>
      </c>
      <c r="Z116" s="75">
        <v>8.86</v>
      </c>
      <c r="AA116" s="13">
        <v>0</v>
      </c>
      <c r="AB116" s="72">
        <v>0</v>
      </c>
      <c r="AC116" s="72">
        <v>0</v>
      </c>
      <c r="AD116" s="72">
        <v>0</v>
      </c>
      <c r="AE116" s="69">
        <v>0</v>
      </c>
      <c r="AF116" s="69">
        <v>0</v>
      </c>
      <c r="AG116" s="69">
        <v>0</v>
      </c>
      <c r="AH116" s="69">
        <v>0</v>
      </c>
      <c r="AI116" s="69">
        <v>0</v>
      </c>
      <c r="AJ116" s="69">
        <v>0</v>
      </c>
      <c r="AK116" s="69">
        <v>0</v>
      </c>
      <c r="AL116" s="69">
        <v>0</v>
      </c>
      <c r="AM116" s="69">
        <v>0</v>
      </c>
      <c r="AN116" s="73">
        <v>0</v>
      </c>
      <c r="AO116" s="95">
        <f t="shared" si="12"/>
        <v>0</v>
      </c>
      <c r="AP116" s="73">
        <v>0</v>
      </c>
      <c r="AQ116" s="95">
        <f t="shared" si="13"/>
        <v>0</v>
      </c>
      <c r="AR116" s="73">
        <v>0</v>
      </c>
      <c r="AS116" s="96">
        <f t="shared" si="14"/>
        <v>0</v>
      </c>
      <c r="AT116" s="79">
        <v>0</v>
      </c>
      <c r="AU116" s="97">
        <f t="shared" si="15"/>
        <v>0</v>
      </c>
      <c r="AV116" s="79">
        <v>0</v>
      </c>
      <c r="AW116" s="97">
        <f t="shared" si="16"/>
        <v>0</v>
      </c>
      <c r="AX116" s="80">
        <v>0</v>
      </c>
      <c r="AY116" s="97">
        <f t="shared" si="17"/>
        <v>0</v>
      </c>
      <c r="AZ116" s="70">
        <v>0</v>
      </c>
      <c r="BA116" s="97">
        <f t="shared" si="18"/>
        <v>0</v>
      </c>
      <c r="BB116" s="70">
        <v>0</v>
      </c>
      <c r="BC116" s="97">
        <f t="shared" si="19"/>
        <v>0</v>
      </c>
      <c r="BD116" s="70">
        <v>0</v>
      </c>
      <c r="BE116" s="97">
        <f t="shared" si="20"/>
        <v>0</v>
      </c>
      <c r="BF116" s="73">
        <v>14720</v>
      </c>
      <c r="BG116" s="97">
        <f t="shared" si="21"/>
        <v>0</v>
      </c>
      <c r="BH116" s="73">
        <v>16640</v>
      </c>
      <c r="BI116" s="97">
        <f t="shared" si="22"/>
        <v>0</v>
      </c>
      <c r="BJ116" s="73">
        <v>0</v>
      </c>
      <c r="BK116" s="97">
        <f t="shared" si="23"/>
        <v>0</v>
      </c>
      <c r="BL116" s="128"/>
      <c r="BM116" s="131" t="s">
        <v>369</v>
      </c>
    </row>
    <row r="117" spans="1:65" ht="15.75" customHeight="1" thickBot="1">
      <c r="A117" s="93" t="s">
        <v>123</v>
      </c>
      <c r="B117" s="122" t="s">
        <v>199</v>
      </c>
      <c r="C117" s="299"/>
      <c r="D117" s="295"/>
      <c r="E117" s="295"/>
      <c r="F117" s="297"/>
      <c r="G117" s="78">
        <v>2020</v>
      </c>
      <c r="H117" s="76" t="s">
        <v>200</v>
      </c>
      <c r="I117" s="76" t="s">
        <v>201</v>
      </c>
      <c r="J117" s="77" t="s">
        <v>197</v>
      </c>
      <c r="K117" s="81" t="s">
        <v>191</v>
      </c>
      <c r="L117" s="76" t="s">
        <v>192</v>
      </c>
      <c r="M117" s="13" t="s">
        <v>193</v>
      </c>
      <c r="N117" s="75">
        <v>9</v>
      </c>
      <c r="O117" s="75">
        <v>9</v>
      </c>
      <c r="P117" s="75">
        <v>9</v>
      </c>
      <c r="Q117" s="75">
        <v>9</v>
      </c>
      <c r="R117" s="75">
        <v>9</v>
      </c>
      <c r="S117" s="75">
        <v>9</v>
      </c>
      <c r="T117" s="75">
        <v>9</v>
      </c>
      <c r="U117" s="75">
        <v>9</v>
      </c>
      <c r="V117" s="75">
        <v>9</v>
      </c>
      <c r="W117" s="75">
        <v>9</v>
      </c>
      <c r="X117" s="75">
        <v>9</v>
      </c>
      <c r="Y117" s="75">
        <v>9</v>
      </c>
      <c r="Z117" s="75">
        <v>9</v>
      </c>
      <c r="AA117" s="13">
        <v>0</v>
      </c>
      <c r="AB117" s="72">
        <v>0</v>
      </c>
      <c r="AC117" s="72">
        <v>0</v>
      </c>
      <c r="AD117" s="72">
        <v>0</v>
      </c>
      <c r="AE117" s="69">
        <v>0</v>
      </c>
      <c r="AF117" s="69">
        <v>0</v>
      </c>
      <c r="AG117" s="69">
        <v>0</v>
      </c>
      <c r="AH117" s="69">
        <v>0</v>
      </c>
      <c r="AI117" s="69">
        <v>0</v>
      </c>
      <c r="AJ117" s="69">
        <v>0</v>
      </c>
      <c r="AK117" s="69">
        <v>0</v>
      </c>
      <c r="AL117" s="69">
        <v>0</v>
      </c>
      <c r="AM117" s="69">
        <v>0</v>
      </c>
      <c r="AN117" s="73">
        <v>0</v>
      </c>
      <c r="AO117" s="95">
        <f t="shared" si="12"/>
        <v>0</v>
      </c>
      <c r="AP117" s="73">
        <v>0</v>
      </c>
      <c r="AQ117" s="95">
        <f t="shared" si="13"/>
        <v>0</v>
      </c>
      <c r="AR117" s="73">
        <v>0</v>
      </c>
      <c r="AS117" s="96">
        <f t="shared" si="14"/>
        <v>0</v>
      </c>
      <c r="AT117" s="79">
        <v>0</v>
      </c>
      <c r="AU117" s="97">
        <f t="shared" si="15"/>
        <v>0</v>
      </c>
      <c r="AV117" s="79">
        <v>0</v>
      </c>
      <c r="AW117" s="97">
        <f t="shared" si="16"/>
        <v>0</v>
      </c>
      <c r="AX117" s="79">
        <v>0</v>
      </c>
      <c r="AY117" s="97">
        <f t="shared" si="17"/>
        <v>0</v>
      </c>
      <c r="AZ117" s="73">
        <v>0</v>
      </c>
      <c r="BA117" s="97">
        <f t="shared" si="18"/>
        <v>0</v>
      </c>
      <c r="BB117" s="70">
        <v>0</v>
      </c>
      <c r="BC117" s="97">
        <f t="shared" si="19"/>
        <v>0</v>
      </c>
      <c r="BD117" s="73">
        <v>1280</v>
      </c>
      <c r="BE117" s="97">
        <f t="shared" si="20"/>
        <v>0</v>
      </c>
      <c r="BF117" s="70">
        <v>0</v>
      </c>
      <c r="BG117" s="97">
        <f t="shared" si="21"/>
        <v>0</v>
      </c>
      <c r="BH117" s="73">
        <v>0</v>
      </c>
      <c r="BI117" s="97">
        <f t="shared" si="22"/>
        <v>0</v>
      </c>
      <c r="BJ117" s="73">
        <v>0</v>
      </c>
      <c r="BK117" s="97">
        <f t="shared" si="23"/>
        <v>0</v>
      </c>
      <c r="BL117" s="128"/>
      <c r="BM117" s="131" t="s">
        <v>370</v>
      </c>
    </row>
    <row r="118" spans="1:65" ht="15.75" customHeight="1" thickBot="1">
      <c r="A118" s="93" t="s">
        <v>123</v>
      </c>
      <c r="B118" s="122" t="s">
        <v>199</v>
      </c>
      <c r="C118" s="299"/>
      <c r="D118" s="295"/>
      <c r="E118" s="295"/>
      <c r="F118" s="297"/>
      <c r="G118" s="78">
        <v>2020</v>
      </c>
      <c r="H118" s="76" t="s">
        <v>208</v>
      </c>
      <c r="I118" s="76" t="s">
        <v>201</v>
      </c>
      <c r="J118" s="77" t="s">
        <v>197</v>
      </c>
      <c r="K118" s="81" t="s">
        <v>209</v>
      </c>
      <c r="L118" s="76" t="s">
        <v>192</v>
      </c>
      <c r="M118" s="13" t="s">
        <v>193</v>
      </c>
      <c r="N118" s="75">
        <v>10.73</v>
      </c>
      <c r="O118" s="75">
        <v>10.73</v>
      </c>
      <c r="P118" s="75">
        <v>10.73</v>
      </c>
      <c r="Q118" s="75">
        <v>10.73</v>
      </c>
      <c r="R118" s="75">
        <v>10.73</v>
      </c>
      <c r="S118" s="75">
        <v>10.73</v>
      </c>
      <c r="T118" s="75">
        <v>10.73</v>
      </c>
      <c r="U118" s="75">
        <v>10.73</v>
      </c>
      <c r="V118" s="75">
        <v>10.73</v>
      </c>
      <c r="W118" s="75">
        <v>10.73</v>
      </c>
      <c r="X118" s="75">
        <v>10.73</v>
      </c>
      <c r="Y118" s="75">
        <v>10.73</v>
      </c>
      <c r="Z118" s="75">
        <v>10.73</v>
      </c>
      <c r="AA118" s="13">
        <v>0</v>
      </c>
      <c r="AB118" s="72">
        <v>0</v>
      </c>
      <c r="AC118" s="69">
        <v>0</v>
      </c>
      <c r="AD118" s="72">
        <v>0</v>
      </c>
      <c r="AE118" s="69">
        <v>0</v>
      </c>
      <c r="AF118" s="69">
        <v>0</v>
      </c>
      <c r="AG118" s="69">
        <v>0</v>
      </c>
      <c r="AH118" s="69">
        <v>0</v>
      </c>
      <c r="AI118" s="69">
        <v>0</v>
      </c>
      <c r="AJ118" s="69">
        <v>0</v>
      </c>
      <c r="AK118" s="69">
        <v>0</v>
      </c>
      <c r="AL118" s="69">
        <v>0</v>
      </c>
      <c r="AM118" s="69">
        <v>0</v>
      </c>
      <c r="AN118" s="73">
        <v>0</v>
      </c>
      <c r="AO118" s="95">
        <f t="shared" si="12"/>
        <v>0</v>
      </c>
      <c r="AP118" s="73">
        <v>0</v>
      </c>
      <c r="AQ118" s="95">
        <f t="shared" si="13"/>
        <v>0</v>
      </c>
      <c r="AR118" s="73">
        <v>0</v>
      </c>
      <c r="AS118" s="96">
        <f t="shared" si="14"/>
        <v>0</v>
      </c>
      <c r="AT118" s="79">
        <v>0</v>
      </c>
      <c r="AU118" s="97">
        <f t="shared" si="15"/>
        <v>0</v>
      </c>
      <c r="AV118" s="80">
        <v>8640</v>
      </c>
      <c r="AW118" s="97">
        <f t="shared" si="16"/>
        <v>0</v>
      </c>
      <c r="AX118" s="80">
        <v>2880</v>
      </c>
      <c r="AY118" s="97">
        <f t="shared" si="17"/>
        <v>0</v>
      </c>
      <c r="AZ118" s="73">
        <v>2880</v>
      </c>
      <c r="BA118" s="97">
        <f t="shared" si="18"/>
        <v>0</v>
      </c>
      <c r="BB118" s="74">
        <v>0</v>
      </c>
      <c r="BC118" s="97">
        <f t="shared" si="19"/>
        <v>0</v>
      </c>
      <c r="BD118" s="73">
        <v>2880</v>
      </c>
      <c r="BE118" s="97">
        <f t="shared" si="20"/>
        <v>0</v>
      </c>
      <c r="BF118" s="73">
        <v>0</v>
      </c>
      <c r="BG118" s="97">
        <f t="shared" si="21"/>
        <v>0</v>
      </c>
      <c r="BH118" s="70">
        <v>0</v>
      </c>
      <c r="BI118" s="97">
        <f t="shared" si="22"/>
        <v>0</v>
      </c>
      <c r="BJ118" s="70">
        <v>0</v>
      </c>
      <c r="BK118" s="97">
        <f t="shared" si="23"/>
        <v>0</v>
      </c>
      <c r="BL118" s="128"/>
      <c r="BM118" s="131" t="s">
        <v>371</v>
      </c>
    </row>
    <row r="119" spans="1:65" ht="15.75" customHeight="1" thickBot="1">
      <c r="A119" s="93" t="s">
        <v>123</v>
      </c>
      <c r="B119" s="122" t="s">
        <v>199</v>
      </c>
      <c r="C119" s="299"/>
      <c r="D119" s="295"/>
      <c r="E119" s="295"/>
      <c r="F119" s="297"/>
      <c r="G119" s="78">
        <v>2020</v>
      </c>
      <c r="H119" s="76" t="s">
        <v>208</v>
      </c>
      <c r="I119" s="76" t="s">
        <v>201</v>
      </c>
      <c r="J119" s="77" t="s">
        <v>197</v>
      </c>
      <c r="K119" s="81" t="s">
        <v>209</v>
      </c>
      <c r="L119" s="76" t="s">
        <v>192</v>
      </c>
      <c r="M119" s="13" t="s">
        <v>193</v>
      </c>
      <c r="N119" s="75">
        <v>10.77</v>
      </c>
      <c r="O119" s="75">
        <v>10.77</v>
      </c>
      <c r="P119" s="75">
        <v>10.77</v>
      </c>
      <c r="Q119" s="75">
        <v>10.77</v>
      </c>
      <c r="R119" s="75">
        <v>10.77</v>
      </c>
      <c r="S119" s="75">
        <v>10.77</v>
      </c>
      <c r="T119" s="75">
        <v>10.77</v>
      </c>
      <c r="U119" s="75">
        <v>10.77</v>
      </c>
      <c r="V119" s="75">
        <v>10.77</v>
      </c>
      <c r="W119" s="75">
        <v>10.77</v>
      </c>
      <c r="X119" s="75">
        <v>10.77</v>
      </c>
      <c r="Y119" s="75">
        <v>10.77</v>
      </c>
      <c r="Z119" s="75">
        <v>10.77</v>
      </c>
      <c r="AA119" s="13">
        <v>0</v>
      </c>
      <c r="AB119" s="72">
        <v>0</v>
      </c>
      <c r="AC119" s="69">
        <v>0</v>
      </c>
      <c r="AD119" s="72">
        <v>0</v>
      </c>
      <c r="AE119" s="69">
        <v>0</v>
      </c>
      <c r="AF119" s="69">
        <v>0</v>
      </c>
      <c r="AG119" s="69">
        <v>0</v>
      </c>
      <c r="AH119" s="69">
        <v>0</v>
      </c>
      <c r="AI119" s="69">
        <v>0</v>
      </c>
      <c r="AJ119" s="69">
        <v>0</v>
      </c>
      <c r="AK119" s="69">
        <v>0</v>
      </c>
      <c r="AL119" s="69">
        <v>0</v>
      </c>
      <c r="AM119" s="69">
        <v>0</v>
      </c>
      <c r="AN119" s="73">
        <v>0</v>
      </c>
      <c r="AO119" s="95">
        <f t="shared" si="12"/>
        <v>0</v>
      </c>
      <c r="AP119" s="73">
        <v>0</v>
      </c>
      <c r="AQ119" s="95">
        <f t="shared" si="13"/>
        <v>0</v>
      </c>
      <c r="AR119" s="73">
        <v>0</v>
      </c>
      <c r="AS119" s="96">
        <f t="shared" si="14"/>
        <v>0</v>
      </c>
      <c r="AT119" s="79">
        <v>0</v>
      </c>
      <c r="AU119" s="97">
        <f t="shared" si="15"/>
        <v>0</v>
      </c>
      <c r="AV119" s="79">
        <v>0</v>
      </c>
      <c r="AW119" s="97">
        <f t="shared" si="16"/>
        <v>0</v>
      </c>
      <c r="AX119" s="80">
        <v>2880</v>
      </c>
      <c r="AY119" s="97">
        <f t="shared" si="17"/>
        <v>0</v>
      </c>
      <c r="AZ119" s="71">
        <v>0</v>
      </c>
      <c r="BA119" s="97">
        <f t="shared" si="18"/>
        <v>0</v>
      </c>
      <c r="BB119" s="74">
        <v>2880</v>
      </c>
      <c r="BC119" s="97">
        <f t="shared" si="19"/>
        <v>0</v>
      </c>
      <c r="BD119" s="71">
        <v>0</v>
      </c>
      <c r="BE119" s="97">
        <f t="shared" si="20"/>
        <v>0</v>
      </c>
      <c r="BF119" s="73">
        <v>0</v>
      </c>
      <c r="BG119" s="97">
        <f t="shared" si="21"/>
        <v>0</v>
      </c>
      <c r="BH119" s="73">
        <v>0</v>
      </c>
      <c r="BI119" s="97">
        <f t="shared" si="22"/>
        <v>0</v>
      </c>
      <c r="BJ119" s="73">
        <v>0</v>
      </c>
      <c r="BK119" s="97">
        <f t="shared" si="23"/>
        <v>0</v>
      </c>
      <c r="BL119" s="128"/>
      <c r="BM119" s="131" t="s">
        <v>372</v>
      </c>
    </row>
    <row r="120" spans="1:65" ht="15.75" customHeight="1" thickBot="1">
      <c r="A120" s="93" t="s">
        <v>123</v>
      </c>
      <c r="B120" s="122" t="s">
        <v>199</v>
      </c>
      <c r="C120" s="299"/>
      <c r="D120" s="295"/>
      <c r="E120" s="295"/>
      <c r="F120" s="297"/>
      <c r="G120" s="78">
        <v>2020</v>
      </c>
      <c r="H120" s="76" t="s">
        <v>208</v>
      </c>
      <c r="I120" s="76" t="s">
        <v>201</v>
      </c>
      <c r="J120" s="77" t="s">
        <v>197</v>
      </c>
      <c r="K120" s="81" t="s">
        <v>209</v>
      </c>
      <c r="L120" s="76" t="s">
        <v>192</v>
      </c>
      <c r="M120" s="13" t="s">
        <v>193</v>
      </c>
      <c r="N120" s="75">
        <v>10.92</v>
      </c>
      <c r="O120" s="75">
        <v>10.92</v>
      </c>
      <c r="P120" s="75">
        <v>10.92</v>
      </c>
      <c r="Q120" s="75">
        <v>10.92</v>
      </c>
      <c r="R120" s="75">
        <v>10.92</v>
      </c>
      <c r="S120" s="75">
        <v>10.92</v>
      </c>
      <c r="T120" s="75">
        <v>10.92</v>
      </c>
      <c r="U120" s="75">
        <v>10.92</v>
      </c>
      <c r="V120" s="75">
        <v>10.92</v>
      </c>
      <c r="W120" s="75">
        <v>10.92</v>
      </c>
      <c r="X120" s="75">
        <v>10.92</v>
      </c>
      <c r="Y120" s="75">
        <v>10.92</v>
      </c>
      <c r="Z120" s="75">
        <v>10.92</v>
      </c>
      <c r="AA120" s="13">
        <v>0</v>
      </c>
      <c r="AB120" s="72">
        <v>0</v>
      </c>
      <c r="AC120" s="69">
        <v>0</v>
      </c>
      <c r="AD120" s="72">
        <v>0</v>
      </c>
      <c r="AE120" s="69">
        <v>0</v>
      </c>
      <c r="AF120" s="69">
        <v>0</v>
      </c>
      <c r="AG120" s="69">
        <v>0</v>
      </c>
      <c r="AH120" s="69">
        <v>0</v>
      </c>
      <c r="AI120" s="69">
        <v>0</v>
      </c>
      <c r="AJ120" s="69">
        <v>0</v>
      </c>
      <c r="AK120" s="69">
        <v>0</v>
      </c>
      <c r="AL120" s="69">
        <v>0</v>
      </c>
      <c r="AM120" s="69">
        <v>0</v>
      </c>
      <c r="AN120" s="73">
        <v>0</v>
      </c>
      <c r="AO120" s="95">
        <f t="shared" si="12"/>
        <v>0</v>
      </c>
      <c r="AP120" s="73">
        <v>0</v>
      </c>
      <c r="AQ120" s="95">
        <f t="shared" si="13"/>
        <v>0</v>
      </c>
      <c r="AR120" s="73">
        <v>0</v>
      </c>
      <c r="AS120" s="96">
        <f t="shared" si="14"/>
        <v>0</v>
      </c>
      <c r="AT120" s="79">
        <v>0</v>
      </c>
      <c r="AU120" s="97">
        <f t="shared" si="15"/>
        <v>0</v>
      </c>
      <c r="AV120" s="79">
        <v>0</v>
      </c>
      <c r="AW120" s="97">
        <f t="shared" si="16"/>
        <v>0</v>
      </c>
      <c r="AX120" s="80">
        <v>0</v>
      </c>
      <c r="AY120" s="97">
        <f t="shared" si="17"/>
        <v>0</v>
      </c>
      <c r="AZ120" s="70">
        <v>2880</v>
      </c>
      <c r="BA120" s="97">
        <f t="shared" si="18"/>
        <v>0</v>
      </c>
      <c r="BB120" s="70">
        <v>5760</v>
      </c>
      <c r="BC120" s="97">
        <f t="shared" si="19"/>
        <v>0</v>
      </c>
      <c r="BD120" s="70">
        <v>2880</v>
      </c>
      <c r="BE120" s="97">
        <f t="shared" si="20"/>
        <v>0</v>
      </c>
      <c r="BF120" s="73">
        <v>0</v>
      </c>
      <c r="BG120" s="97">
        <f t="shared" si="21"/>
        <v>0</v>
      </c>
      <c r="BH120" s="70">
        <v>2880</v>
      </c>
      <c r="BI120" s="97">
        <f t="shared" si="22"/>
        <v>0</v>
      </c>
      <c r="BJ120" s="73">
        <v>4320</v>
      </c>
      <c r="BK120" s="97">
        <f t="shared" si="23"/>
        <v>0</v>
      </c>
      <c r="BL120" s="128"/>
      <c r="BM120" s="131" t="s">
        <v>373</v>
      </c>
    </row>
    <row r="121" spans="1:65" ht="15.75" customHeight="1" thickBot="1">
      <c r="A121" s="93" t="s">
        <v>123</v>
      </c>
      <c r="B121" s="122" t="s">
        <v>199</v>
      </c>
      <c r="C121" s="299"/>
      <c r="D121" s="295"/>
      <c r="E121" s="295"/>
      <c r="F121" s="297"/>
      <c r="G121" s="78">
        <v>2021</v>
      </c>
      <c r="H121" s="76" t="s">
        <v>211</v>
      </c>
      <c r="I121" s="76" t="s">
        <v>212</v>
      </c>
      <c r="J121" s="77" t="s">
        <v>197</v>
      </c>
      <c r="K121" s="81" t="s">
        <v>191</v>
      </c>
      <c r="L121" s="76" t="s">
        <v>192</v>
      </c>
      <c r="M121" s="13" t="s">
        <v>193</v>
      </c>
      <c r="N121" s="75">
        <v>7.4</v>
      </c>
      <c r="O121" s="75">
        <v>7.4</v>
      </c>
      <c r="P121" s="75">
        <v>7.4</v>
      </c>
      <c r="Q121" s="75">
        <v>7.4</v>
      </c>
      <c r="R121" s="75">
        <v>7.4</v>
      </c>
      <c r="S121" s="75">
        <v>7.4</v>
      </c>
      <c r="T121" s="75">
        <v>7.4</v>
      </c>
      <c r="U121" s="75">
        <v>7.4</v>
      </c>
      <c r="V121" s="75">
        <v>7.4</v>
      </c>
      <c r="W121" s="75">
        <v>7.4</v>
      </c>
      <c r="X121" s="75">
        <v>7.4</v>
      </c>
      <c r="Y121" s="75">
        <v>7.4</v>
      </c>
      <c r="Z121" s="75">
        <v>7.4</v>
      </c>
      <c r="AA121" s="13">
        <v>0</v>
      </c>
      <c r="AB121" s="72">
        <v>0</v>
      </c>
      <c r="AC121" s="72">
        <v>0</v>
      </c>
      <c r="AD121" s="72">
        <v>0</v>
      </c>
      <c r="AE121" s="69">
        <v>0</v>
      </c>
      <c r="AF121" s="69">
        <v>0</v>
      </c>
      <c r="AG121" s="69">
        <v>0</v>
      </c>
      <c r="AH121" s="69">
        <v>0</v>
      </c>
      <c r="AI121" s="69">
        <v>0</v>
      </c>
      <c r="AJ121" s="69">
        <v>0</v>
      </c>
      <c r="AK121" s="69">
        <v>0</v>
      </c>
      <c r="AL121" s="69">
        <v>0</v>
      </c>
      <c r="AM121" s="69">
        <v>0</v>
      </c>
      <c r="AN121" s="73">
        <v>0</v>
      </c>
      <c r="AO121" s="95">
        <f t="shared" si="12"/>
        <v>0</v>
      </c>
      <c r="AP121" s="73">
        <v>0</v>
      </c>
      <c r="AQ121" s="95">
        <f t="shared" si="13"/>
        <v>0</v>
      </c>
      <c r="AR121" s="73">
        <v>0</v>
      </c>
      <c r="AS121" s="96">
        <f t="shared" si="14"/>
        <v>0</v>
      </c>
      <c r="AT121" s="79">
        <v>0</v>
      </c>
      <c r="AU121" s="97">
        <f t="shared" si="15"/>
        <v>0</v>
      </c>
      <c r="AV121" s="79">
        <v>0</v>
      </c>
      <c r="AW121" s="97">
        <f t="shared" si="16"/>
        <v>0</v>
      </c>
      <c r="AX121" s="80">
        <v>0</v>
      </c>
      <c r="AY121" s="97">
        <f t="shared" si="17"/>
        <v>0</v>
      </c>
      <c r="AZ121" s="74">
        <v>0</v>
      </c>
      <c r="BA121" s="97">
        <f t="shared" si="18"/>
        <v>0</v>
      </c>
      <c r="BB121" s="70">
        <v>0</v>
      </c>
      <c r="BC121" s="97">
        <f t="shared" si="19"/>
        <v>0</v>
      </c>
      <c r="BD121" s="74">
        <v>0</v>
      </c>
      <c r="BE121" s="97">
        <f t="shared" si="20"/>
        <v>0</v>
      </c>
      <c r="BF121" s="70">
        <v>0</v>
      </c>
      <c r="BG121" s="97">
        <f t="shared" si="21"/>
        <v>0</v>
      </c>
      <c r="BH121" s="73">
        <v>0</v>
      </c>
      <c r="BI121" s="97">
        <f t="shared" si="22"/>
        <v>0</v>
      </c>
      <c r="BJ121" s="70">
        <v>0</v>
      </c>
      <c r="BK121" s="97">
        <f t="shared" si="23"/>
        <v>0</v>
      </c>
      <c r="BL121" s="128"/>
      <c r="BM121" s="131" t="s">
        <v>374</v>
      </c>
    </row>
    <row r="122" spans="1:65" ht="15.75" customHeight="1" thickBot="1">
      <c r="A122" s="93" t="s">
        <v>123</v>
      </c>
      <c r="B122" s="122" t="s">
        <v>199</v>
      </c>
      <c r="C122" s="299"/>
      <c r="D122" s="295"/>
      <c r="E122" s="295"/>
      <c r="F122" s="297"/>
      <c r="G122" s="78">
        <v>2020</v>
      </c>
      <c r="H122" s="76" t="s">
        <v>225</v>
      </c>
      <c r="I122" s="76" t="s">
        <v>201</v>
      </c>
      <c r="J122" s="77" t="s">
        <v>197</v>
      </c>
      <c r="K122" s="81" t="s">
        <v>221</v>
      </c>
      <c r="L122" s="76" t="s">
        <v>192</v>
      </c>
      <c r="M122" s="13" t="s">
        <v>193</v>
      </c>
      <c r="N122" s="75">
        <v>4.99</v>
      </c>
      <c r="O122" s="75">
        <v>4.99</v>
      </c>
      <c r="P122" s="75">
        <v>4.99</v>
      </c>
      <c r="Q122" s="75">
        <v>4.99</v>
      </c>
      <c r="R122" s="75">
        <v>4.99</v>
      </c>
      <c r="S122" s="75">
        <v>4.99</v>
      </c>
      <c r="T122" s="75">
        <v>4.99</v>
      </c>
      <c r="U122" s="75">
        <v>4.99</v>
      </c>
      <c r="V122" s="75">
        <v>4.99</v>
      </c>
      <c r="W122" s="75">
        <v>4.99</v>
      </c>
      <c r="X122" s="75">
        <v>4.99</v>
      </c>
      <c r="Y122" s="75">
        <v>4.99</v>
      </c>
      <c r="Z122" s="75">
        <v>4.99</v>
      </c>
      <c r="AA122" s="13">
        <v>0</v>
      </c>
      <c r="AB122" s="72">
        <v>0</v>
      </c>
      <c r="AC122" s="72">
        <v>0</v>
      </c>
      <c r="AD122" s="72">
        <v>0</v>
      </c>
      <c r="AE122" s="69">
        <v>0</v>
      </c>
      <c r="AF122" s="69">
        <v>0</v>
      </c>
      <c r="AG122" s="69">
        <v>0</v>
      </c>
      <c r="AH122" s="69">
        <v>0</v>
      </c>
      <c r="AI122" s="69">
        <v>0</v>
      </c>
      <c r="AJ122" s="69">
        <v>0</v>
      </c>
      <c r="AK122" s="69">
        <v>0</v>
      </c>
      <c r="AL122" s="69">
        <v>0</v>
      </c>
      <c r="AM122" s="69">
        <v>0</v>
      </c>
      <c r="AN122" s="73">
        <v>0</v>
      </c>
      <c r="AO122" s="95">
        <f t="shared" si="12"/>
        <v>0</v>
      </c>
      <c r="AP122" s="73">
        <v>0</v>
      </c>
      <c r="AQ122" s="95">
        <f t="shared" si="13"/>
        <v>0</v>
      </c>
      <c r="AR122" s="73">
        <v>0</v>
      </c>
      <c r="AS122" s="96">
        <f t="shared" si="14"/>
        <v>0</v>
      </c>
      <c r="AT122" s="79">
        <v>0</v>
      </c>
      <c r="AU122" s="97">
        <f t="shared" si="15"/>
        <v>0</v>
      </c>
      <c r="AV122" s="79">
        <v>0</v>
      </c>
      <c r="AW122" s="97">
        <f t="shared" si="16"/>
        <v>0</v>
      </c>
      <c r="AX122" s="80">
        <v>0</v>
      </c>
      <c r="AY122" s="97">
        <f t="shared" si="17"/>
        <v>0</v>
      </c>
      <c r="AZ122" s="74">
        <v>0</v>
      </c>
      <c r="BA122" s="97">
        <f t="shared" si="18"/>
        <v>0</v>
      </c>
      <c r="BB122" s="74">
        <v>0</v>
      </c>
      <c r="BC122" s="97">
        <f t="shared" si="19"/>
        <v>0</v>
      </c>
      <c r="BD122" s="74">
        <v>0</v>
      </c>
      <c r="BE122" s="97">
        <f t="shared" si="20"/>
        <v>0</v>
      </c>
      <c r="BF122" s="73">
        <v>0</v>
      </c>
      <c r="BG122" s="97">
        <f t="shared" si="21"/>
        <v>0</v>
      </c>
      <c r="BH122" s="73">
        <v>10000</v>
      </c>
      <c r="BI122" s="97">
        <f t="shared" si="22"/>
        <v>0</v>
      </c>
      <c r="BJ122" s="73">
        <v>0</v>
      </c>
      <c r="BK122" s="97">
        <f t="shared" si="23"/>
        <v>0</v>
      </c>
      <c r="BL122" s="128"/>
      <c r="BM122" s="131" t="s">
        <v>375</v>
      </c>
    </row>
    <row r="123" spans="1:65" ht="15.75" customHeight="1" thickBot="1">
      <c r="A123" s="93" t="s">
        <v>123</v>
      </c>
      <c r="B123" s="122" t="s">
        <v>199</v>
      </c>
      <c r="C123" s="299"/>
      <c r="D123" s="295"/>
      <c r="E123" s="295"/>
      <c r="F123" s="297"/>
      <c r="G123" s="78">
        <v>2022</v>
      </c>
      <c r="H123" s="76" t="s">
        <v>229</v>
      </c>
      <c r="I123" s="76" t="s">
        <v>212</v>
      </c>
      <c r="J123" s="77" t="s">
        <v>197</v>
      </c>
      <c r="K123" s="81" t="s">
        <v>221</v>
      </c>
      <c r="L123" s="76" t="s">
        <v>192</v>
      </c>
      <c r="M123" s="13" t="s">
        <v>193</v>
      </c>
      <c r="N123" s="75">
        <v>3.9</v>
      </c>
      <c r="O123" s="75">
        <v>3.9</v>
      </c>
      <c r="P123" s="75">
        <v>3.9</v>
      </c>
      <c r="Q123" s="75">
        <v>3.9</v>
      </c>
      <c r="R123" s="75">
        <v>3.9</v>
      </c>
      <c r="S123" s="75">
        <v>3.9</v>
      </c>
      <c r="T123" s="75">
        <v>3.9</v>
      </c>
      <c r="U123" s="75">
        <v>3.9</v>
      </c>
      <c r="V123" s="75">
        <v>3.9</v>
      </c>
      <c r="W123" s="75">
        <v>3.9</v>
      </c>
      <c r="X123" s="75">
        <v>3.9</v>
      </c>
      <c r="Y123" s="75">
        <v>3.9</v>
      </c>
      <c r="Z123" s="75">
        <v>3.9</v>
      </c>
      <c r="AA123" s="13">
        <v>0.21</v>
      </c>
      <c r="AB123" s="72">
        <v>0.21</v>
      </c>
      <c r="AC123" s="72">
        <v>0.21</v>
      </c>
      <c r="AD123" s="72">
        <v>0.21</v>
      </c>
      <c r="AE123" s="69">
        <v>0.21</v>
      </c>
      <c r="AF123" s="69">
        <v>0.21</v>
      </c>
      <c r="AG123" s="69">
        <v>0.21</v>
      </c>
      <c r="AH123" s="69">
        <v>0.21</v>
      </c>
      <c r="AI123" s="69">
        <v>0.21</v>
      </c>
      <c r="AJ123" s="69">
        <v>0.21</v>
      </c>
      <c r="AK123" s="69">
        <v>0.21</v>
      </c>
      <c r="AL123" s="69">
        <v>0.21</v>
      </c>
      <c r="AM123" s="69">
        <v>0.21</v>
      </c>
      <c r="AN123" s="73">
        <v>0</v>
      </c>
      <c r="AO123" s="95">
        <f t="shared" si="12"/>
        <v>0</v>
      </c>
      <c r="AP123" s="73">
        <v>0</v>
      </c>
      <c r="AQ123" s="95">
        <f t="shared" si="13"/>
        <v>0</v>
      </c>
      <c r="AR123" s="73">
        <v>0</v>
      </c>
      <c r="AS123" s="96">
        <f t="shared" si="14"/>
        <v>0</v>
      </c>
      <c r="AT123" s="79">
        <v>0</v>
      </c>
      <c r="AU123" s="97">
        <f t="shared" si="15"/>
        <v>0</v>
      </c>
      <c r="AV123" s="79">
        <v>0</v>
      </c>
      <c r="AW123" s="97">
        <f t="shared" si="16"/>
        <v>0</v>
      </c>
      <c r="AX123" s="80">
        <v>0</v>
      </c>
      <c r="AY123" s="97">
        <f t="shared" si="17"/>
        <v>0</v>
      </c>
      <c r="AZ123" s="70">
        <v>0</v>
      </c>
      <c r="BA123" s="97">
        <f t="shared" si="18"/>
        <v>0</v>
      </c>
      <c r="BB123" s="74">
        <v>0</v>
      </c>
      <c r="BC123" s="97">
        <f t="shared" si="19"/>
        <v>0</v>
      </c>
      <c r="BD123" s="70">
        <v>0</v>
      </c>
      <c r="BE123" s="97">
        <f t="shared" si="20"/>
        <v>0</v>
      </c>
      <c r="BF123" s="73">
        <v>0</v>
      </c>
      <c r="BG123" s="97">
        <f t="shared" si="21"/>
        <v>0</v>
      </c>
      <c r="BH123" s="70">
        <v>0</v>
      </c>
      <c r="BI123" s="97">
        <f t="shared" si="22"/>
        <v>0</v>
      </c>
      <c r="BJ123" s="73">
        <v>0</v>
      </c>
      <c r="BK123" s="97">
        <f t="shared" si="23"/>
        <v>0</v>
      </c>
      <c r="BL123" s="128"/>
      <c r="BM123" s="131" t="s">
        <v>376</v>
      </c>
    </row>
    <row r="124" spans="1:65" ht="15.75" customHeight="1" thickBot="1">
      <c r="A124" s="93" t="s">
        <v>123</v>
      </c>
      <c r="B124" s="122" t="s">
        <v>199</v>
      </c>
      <c r="C124" s="299"/>
      <c r="D124" s="295"/>
      <c r="E124" s="295"/>
      <c r="F124" s="297"/>
      <c r="G124" s="78">
        <v>2022</v>
      </c>
      <c r="H124" s="76" t="s">
        <v>229</v>
      </c>
      <c r="I124" s="76" t="s">
        <v>212</v>
      </c>
      <c r="J124" s="77" t="s">
        <v>197</v>
      </c>
      <c r="K124" s="81" t="s">
        <v>221</v>
      </c>
      <c r="L124" s="76" t="s">
        <v>192</v>
      </c>
      <c r="M124" s="13" t="s">
        <v>193</v>
      </c>
      <c r="N124" s="75">
        <v>3.79</v>
      </c>
      <c r="O124" s="75">
        <v>3.79</v>
      </c>
      <c r="P124" s="75">
        <v>3.79</v>
      </c>
      <c r="Q124" s="75">
        <v>3.79</v>
      </c>
      <c r="R124" s="75">
        <v>3.79</v>
      </c>
      <c r="S124" s="75">
        <v>3.79</v>
      </c>
      <c r="T124" s="75">
        <v>3.79</v>
      </c>
      <c r="U124" s="75">
        <v>3.79</v>
      </c>
      <c r="V124" s="75">
        <v>3.79</v>
      </c>
      <c r="W124" s="75">
        <v>3.79</v>
      </c>
      <c r="X124" s="75">
        <v>3.79</v>
      </c>
      <c r="Y124" s="75">
        <v>3.79</v>
      </c>
      <c r="Z124" s="75">
        <v>3.79</v>
      </c>
      <c r="AA124" s="13">
        <v>0.21</v>
      </c>
      <c r="AB124" s="72">
        <v>0.21</v>
      </c>
      <c r="AC124" s="72">
        <v>0.21</v>
      </c>
      <c r="AD124" s="72">
        <v>0.21</v>
      </c>
      <c r="AE124" s="69">
        <v>0.21</v>
      </c>
      <c r="AF124" s="69">
        <v>0.21</v>
      </c>
      <c r="AG124" s="69">
        <v>0.21</v>
      </c>
      <c r="AH124" s="69">
        <v>0.21</v>
      </c>
      <c r="AI124" s="69">
        <v>0.21</v>
      </c>
      <c r="AJ124" s="69">
        <v>0.21</v>
      </c>
      <c r="AK124" s="69">
        <v>0.21</v>
      </c>
      <c r="AL124" s="69">
        <v>0.21</v>
      </c>
      <c r="AM124" s="69">
        <v>0.21</v>
      </c>
      <c r="AN124" s="73">
        <v>0</v>
      </c>
      <c r="AO124" s="95">
        <f t="shared" si="12"/>
        <v>0</v>
      </c>
      <c r="AP124" s="73">
        <v>0</v>
      </c>
      <c r="AQ124" s="95">
        <f t="shared" si="13"/>
        <v>0</v>
      </c>
      <c r="AR124" s="73">
        <v>0</v>
      </c>
      <c r="AS124" s="96">
        <f t="shared" si="14"/>
        <v>0</v>
      </c>
      <c r="AT124" s="79">
        <v>0</v>
      </c>
      <c r="AU124" s="97">
        <f t="shared" si="15"/>
        <v>0</v>
      </c>
      <c r="AV124" s="79">
        <v>0</v>
      </c>
      <c r="AW124" s="97">
        <f t="shared" si="16"/>
        <v>0</v>
      </c>
      <c r="AX124" s="80">
        <v>0</v>
      </c>
      <c r="AY124" s="97">
        <f t="shared" si="17"/>
        <v>0</v>
      </c>
      <c r="AZ124" s="73">
        <v>0</v>
      </c>
      <c r="BA124" s="97">
        <f t="shared" si="18"/>
        <v>0</v>
      </c>
      <c r="BB124" s="70">
        <v>0</v>
      </c>
      <c r="BC124" s="97">
        <f t="shared" si="19"/>
        <v>0</v>
      </c>
      <c r="BD124" s="73">
        <v>5600</v>
      </c>
      <c r="BE124" s="97">
        <f t="shared" si="20"/>
        <v>1176</v>
      </c>
      <c r="BF124" s="73">
        <v>0</v>
      </c>
      <c r="BG124" s="97">
        <f t="shared" si="21"/>
        <v>0</v>
      </c>
      <c r="BH124" s="73">
        <v>0</v>
      </c>
      <c r="BI124" s="97">
        <f t="shared" si="22"/>
        <v>0</v>
      </c>
      <c r="BJ124" s="70">
        <v>0</v>
      </c>
      <c r="BK124" s="97">
        <f t="shared" si="23"/>
        <v>0</v>
      </c>
      <c r="BL124" s="128"/>
      <c r="BM124" s="131" t="s">
        <v>377</v>
      </c>
    </row>
    <row r="125" spans="1:65" ht="15.75" customHeight="1" thickBot="1">
      <c r="A125" s="93" t="s">
        <v>123</v>
      </c>
      <c r="B125" s="122" t="s">
        <v>199</v>
      </c>
      <c r="C125" s="299"/>
      <c r="D125" s="295"/>
      <c r="E125" s="295"/>
      <c r="F125" s="297"/>
      <c r="G125" s="78">
        <v>2020</v>
      </c>
      <c r="H125" s="76" t="s">
        <v>258</v>
      </c>
      <c r="I125" s="76" t="s">
        <v>201</v>
      </c>
      <c r="J125" s="77" t="s">
        <v>197</v>
      </c>
      <c r="K125" s="81" t="s">
        <v>221</v>
      </c>
      <c r="L125" s="76" t="s">
        <v>192</v>
      </c>
      <c r="M125" s="13" t="s">
        <v>193</v>
      </c>
      <c r="N125" s="75">
        <v>7.86</v>
      </c>
      <c r="O125" s="75">
        <v>7.86</v>
      </c>
      <c r="P125" s="75">
        <v>7.86</v>
      </c>
      <c r="Q125" s="75">
        <v>7.86</v>
      </c>
      <c r="R125" s="75">
        <v>7.86</v>
      </c>
      <c r="S125" s="75">
        <v>7.86</v>
      </c>
      <c r="T125" s="75">
        <v>7.86</v>
      </c>
      <c r="U125" s="75">
        <v>7.86</v>
      </c>
      <c r="V125" s="75">
        <v>7.86</v>
      </c>
      <c r="W125" s="75">
        <v>7.86</v>
      </c>
      <c r="X125" s="75">
        <v>7.86</v>
      </c>
      <c r="Y125" s="75">
        <v>7.86</v>
      </c>
      <c r="Z125" s="75">
        <v>7.86</v>
      </c>
      <c r="AA125" s="13">
        <v>0</v>
      </c>
      <c r="AB125" s="72">
        <v>0</v>
      </c>
      <c r="AC125" s="72">
        <v>0</v>
      </c>
      <c r="AD125" s="72">
        <v>0</v>
      </c>
      <c r="AE125" s="69">
        <v>0</v>
      </c>
      <c r="AF125" s="69">
        <v>0</v>
      </c>
      <c r="AG125" s="69">
        <v>0</v>
      </c>
      <c r="AH125" s="69">
        <v>0</v>
      </c>
      <c r="AI125" s="69">
        <v>0</v>
      </c>
      <c r="AJ125" s="69">
        <v>0</v>
      </c>
      <c r="AK125" s="69">
        <v>0</v>
      </c>
      <c r="AL125" s="69">
        <v>0</v>
      </c>
      <c r="AM125" s="69">
        <v>0</v>
      </c>
      <c r="AN125" s="73">
        <v>0</v>
      </c>
      <c r="AO125" s="95">
        <f t="shared" si="12"/>
        <v>0</v>
      </c>
      <c r="AP125" s="73">
        <v>0</v>
      </c>
      <c r="AQ125" s="95">
        <f t="shared" si="13"/>
        <v>0</v>
      </c>
      <c r="AR125" s="73">
        <v>0</v>
      </c>
      <c r="AS125" s="96">
        <f t="shared" si="14"/>
        <v>0</v>
      </c>
      <c r="AT125" s="79">
        <v>0</v>
      </c>
      <c r="AU125" s="97">
        <f t="shared" si="15"/>
        <v>0</v>
      </c>
      <c r="AV125" s="79">
        <v>0</v>
      </c>
      <c r="AW125" s="97">
        <f t="shared" si="16"/>
        <v>0</v>
      </c>
      <c r="AX125" s="80">
        <v>0</v>
      </c>
      <c r="AY125" s="97">
        <f t="shared" si="17"/>
        <v>0</v>
      </c>
      <c r="AZ125" s="73">
        <v>0</v>
      </c>
      <c r="BA125" s="97">
        <f t="shared" si="18"/>
        <v>0</v>
      </c>
      <c r="BB125" s="70">
        <v>0</v>
      </c>
      <c r="BC125" s="97">
        <f t="shared" si="19"/>
        <v>0</v>
      </c>
      <c r="BD125" s="73">
        <v>5280</v>
      </c>
      <c r="BE125" s="97">
        <f t="shared" si="20"/>
        <v>0</v>
      </c>
      <c r="BF125" s="70">
        <v>0</v>
      </c>
      <c r="BG125" s="97">
        <f t="shared" si="21"/>
        <v>0</v>
      </c>
      <c r="BH125" s="73">
        <v>5280</v>
      </c>
      <c r="BI125" s="97">
        <f t="shared" si="22"/>
        <v>0</v>
      </c>
      <c r="BJ125" s="73">
        <v>0</v>
      </c>
      <c r="BK125" s="97">
        <f t="shared" si="23"/>
        <v>0</v>
      </c>
      <c r="BL125" s="128"/>
      <c r="BM125" s="131" t="s">
        <v>378</v>
      </c>
    </row>
    <row r="126" spans="1:65" ht="15.75" customHeight="1" thickBot="1">
      <c r="A126" s="93" t="s">
        <v>123</v>
      </c>
      <c r="B126" s="122" t="s">
        <v>184</v>
      </c>
      <c r="C126" s="299"/>
      <c r="D126" s="295"/>
      <c r="E126" s="295"/>
      <c r="F126" s="297"/>
      <c r="G126" s="78">
        <v>2019</v>
      </c>
      <c r="H126" s="76" t="s">
        <v>379</v>
      </c>
      <c r="I126" s="81" t="s">
        <v>196</v>
      </c>
      <c r="J126" s="77" t="s">
        <v>197</v>
      </c>
      <c r="K126" s="81" t="s">
        <v>191</v>
      </c>
      <c r="L126" s="76" t="s">
        <v>192</v>
      </c>
      <c r="M126" s="13" t="s">
        <v>193</v>
      </c>
      <c r="N126" s="75">
        <v>1.99</v>
      </c>
      <c r="O126" s="75">
        <v>1.99</v>
      </c>
      <c r="P126" s="75">
        <v>1.99</v>
      </c>
      <c r="Q126" s="75">
        <v>1.99</v>
      </c>
      <c r="R126" s="75">
        <v>1.99</v>
      </c>
      <c r="S126" s="75">
        <v>1.99</v>
      </c>
      <c r="T126" s="75">
        <v>1.99</v>
      </c>
      <c r="U126" s="75">
        <v>1.99</v>
      </c>
      <c r="V126" s="75">
        <v>1.99</v>
      </c>
      <c r="W126" s="75">
        <v>1.99</v>
      </c>
      <c r="X126" s="75">
        <v>1.99</v>
      </c>
      <c r="Y126" s="75">
        <v>1.99</v>
      </c>
      <c r="Z126" s="75">
        <v>1.99</v>
      </c>
      <c r="AA126" s="13">
        <v>0</v>
      </c>
      <c r="AB126" s="72">
        <v>0</v>
      </c>
      <c r="AC126" s="72">
        <v>0</v>
      </c>
      <c r="AD126" s="72">
        <v>0</v>
      </c>
      <c r="AE126" s="69">
        <v>0</v>
      </c>
      <c r="AF126" s="69">
        <v>0</v>
      </c>
      <c r="AG126" s="69">
        <v>0</v>
      </c>
      <c r="AH126" s="69">
        <v>0</v>
      </c>
      <c r="AI126" s="69">
        <v>0</v>
      </c>
      <c r="AJ126" s="69">
        <v>0</v>
      </c>
      <c r="AK126" s="69">
        <v>0</v>
      </c>
      <c r="AL126" s="69">
        <v>0</v>
      </c>
      <c r="AM126" s="69">
        <v>0</v>
      </c>
      <c r="AN126" s="73">
        <v>0</v>
      </c>
      <c r="AO126" s="95">
        <f t="shared" si="12"/>
        <v>0</v>
      </c>
      <c r="AP126" s="73">
        <v>0</v>
      </c>
      <c r="AQ126" s="95">
        <f t="shared" si="13"/>
        <v>0</v>
      </c>
      <c r="AR126" s="73">
        <v>0</v>
      </c>
      <c r="AS126" s="96">
        <f t="shared" si="14"/>
        <v>0</v>
      </c>
      <c r="AT126" s="79">
        <v>0</v>
      </c>
      <c r="AU126" s="97">
        <f t="shared" si="15"/>
        <v>0</v>
      </c>
      <c r="AV126" s="80">
        <v>11340</v>
      </c>
      <c r="AW126" s="97">
        <f t="shared" si="16"/>
        <v>0</v>
      </c>
      <c r="AX126" s="80">
        <v>18900</v>
      </c>
      <c r="AY126" s="97">
        <f t="shared" si="17"/>
        <v>0</v>
      </c>
      <c r="AZ126" s="71">
        <v>0</v>
      </c>
      <c r="BA126" s="97">
        <f t="shared" si="18"/>
        <v>0</v>
      </c>
      <c r="BB126" s="74">
        <v>0</v>
      </c>
      <c r="BC126" s="97">
        <f t="shared" si="19"/>
        <v>0</v>
      </c>
      <c r="BD126" s="71">
        <v>0</v>
      </c>
      <c r="BE126" s="97">
        <f t="shared" si="20"/>
        <v>0</v>
      </c>
      <c r="BF126" s="73">
        <v>0</v>
      </c>
      <c r="BG126" s="97">
        <f t="shared" si="21"/>
        <v>0</v>
      </c>
      <c r="BH126" s="70">
        <v>56700</v>
      </c>
      <c r="BI126" s="97">
        <f t="shared" si="22"/>
        <v>0</v>
      </c>
      <c r="BJ126" s="73">
        <v>0</v>
      </c>
      <c r="BK126" s="97">
        <f t="shared" si="23"/>
        <v>0</v>
      </c>
      <c r="BL126" s="128"/>
      <c r="BM126" s="131" t="s">
        <v>380</v>
      </c>
    </row>
    <row r="127" spans="1:65" ht="15.75" customHeight="1" thickBot="1">
      <c r="A127" s="93" t="s">
        <v>123</v>
      </c>
      <c r="B127" s="122" t="s">
        <v>184</v>
      </c>
      <c r="C127" s="299"/>
      <c r="D127" s="295"/>
      <c r="E127" s="295"/>
      <c r="F127" s="297"/>
      <c r="G127" s="78">
        <v>2023</v>
      </c>
      <c r="H127" s="81" t="s">
        <v>328</v>
      </c>
      <c r="I127" s="76" t="s">
        <v>196</v>
      </c>
      <c r="J127" s="77" t="s">
        <v>197</v>
      </c>
      <c r="K127" s="81" t="s">
        <v>221</v>
      </c>
      <c r="L127" s="76" t="s">
        <v>192</v>
      </c>
      <c r="M127" s="13" t="s">
        <v>193</v>
      </c>
      <c r="N127" s="75">
        <v>6.27</v>
      </c>
      <c r="O127" s="75">
        <v>6.27</v>
      </c>
      <c r="P127" s="75">
        <v>6.27</v>
      </c>
      <c r="Q127" s="75">
        <v>6.27</v>
      </c>
      <c r="R127" s="75">
        <v>6.27</v>
      </c>
      <c r="S127" s="75">
        <v>6.27</v>
      </c>
      <c r="T127" s="75">
        <v>6.27</v>
      </c>
      <c r="U127" s="75">
        <v>6.27</v>
      </c>
      <c r="V127" s="75">
        <v>6.27</v>
      </c>
      <c r="W127" s="75">
        <v>6.27</v>
      </c>
      <c r="X127" s="75">
        <v>6.27</v>
      </c>
      <c r="Y127" s="75">
        <v>6.27</v>
      </c>
      <c r="Z127" s="75">
        <v>6.27</v>
      </c>
      <c r="AA127" s="13">
        <v>0</v>
      </c>
      <c r="AB127" s="72">
        <v>0.3</v>
      </c>
      <c r="AC127" s="72">
        <v>0.3</v>
      </c>
      <c r="AD127" s="72">
        <v>0.3</v>
      </c>
      <c r="AE127" s="72">
        <v>0.3</v>
      </c>
      <c r="AF127" s="72">
        <v>0.3</v>
      </c>
      <c r="AG127" s="72">
        <v>0.3</v>
      </c>
      <c r="AH127" s="72">
        <v>0.3</v>
      </c>
      <c r="AI127" s="72">
        <v>0.3</v>
      </c>
      <c r="AJ127" s="72">
        <v>0.3</v>
      </c>
      <c r="AK127" s="72">
        <v>0.3</v>
      </c>
      <c r="AL127" s="72">
        <v>0.3</v>
      </c>
      <c r="AM127" s="72">
        <v>0.3</v>
      </c>
      <c r="AN127" s="73">
        <v>0</v>
      </c>
      <c r="AO127" s="95">
        <f t="shared" si="12"/>
        <v>0</v>
      </c>
      <c r="AP127" s="73">
        <v>0</v>
      </c>
      <c r="AQ127" s="95">
        <f t="shared" si="13"/>
        <v>0</v>
      </c>
      <c r="AR127" s="73">
        <v>0</v>
      </c>
      <c r="AS127" s="96">
        <f t="shared" si="14"/>
        <v>0</v>
      </c>
      <c r="AT127" s="80">
        <v>0</v>
      </c>
      <c r="AU127" s="97">
        <f t="shared" si="15"/>
        <v>0</v>
      </c>
      <c r="AV127" s="80">
        <v>1020</v>
      </c>
      <c r="AW127" s="97">
        <f t="shared" si="16"/>
        <v>306</v>
      </c>
      <c r="AX127" s="80">
        <v>0</v>
      </c>
      <c r="AY127" s="97">
        <f t="shared" si="17"/>
        <v>0</v>
      </c>
      <c r="AZ127" s="73">
        <v>13260</v>
      </c>
      <c r="BA127" s="97">
        <f t="shared" si="18"/>
        <v>3978</v>
      </c>
      <c r="BB127" s="74">
        <v>0</v>
      </c>
      <c r="BC127" s="97">
        <f t="shared" si="19"/>
        <v>0</v>
      </c>
      <c r="BD127" s="73">
        <v>3060</v>
      </c>
      <c r="BE127" s="97">
        <f t="shared" si="20"/>
        <v>918</v>
      </c>
      <c r="BF127" s="73">
        <v>4080</v>
      </c>
      <c r="BG127" s="97">
        <f t="shared" si="21"/>
        <v>1224</v>
      </c>
      <c r="BH127" s="73">
        <v>0</v>
      </c>
      <c r="BI127" s="97">
        <f t="shared" si="22"/>
        <v>0</v>
      </c>
      <c r="BJ127" s="70">
        <v>0</v>
      </c>
      <c r="BK127" s="97">
        <f t="shared" si="23"/>
        <v>0</v>
      </c>
      <c r="BL127" s="128"/>
      <c r="BM127" s="131" t="s">
        <v>381</v>
      </c>
    </row>
    <row r="128" spans="1:65" ht="15.75" customHeight="1" thickBot="1">
      <c r="A128" s="93" t="s">
        <v>123</v>
      </c>
      <c r="B128" s="122" t="s">
        <v>184</v>
      </c>
      <c r="C128" s="299"/>
      <c r="D128" s="295"/>
      <c r="E128" s="295"/>
      <c r="F128" s="297"/>
      <c r="G128" s="78">
        <v>2023</v>
      </c>
      <c r="H128" s="81" t="s">
        <v>328</v>
      </c>
      <c r="I128" s="76" t="s">
        <v>196</v>
      </c>
      <c r="J128" s="77" t="s">
        <v>197</v>
      </c>
      <c r="K128" s="81" t="s">
        <v>330</v>
      </c>
      <c r="L128" s="76" t="s">
        <v>192</v>
      </c>
      <c r="M128" s="13" t="s">
        <v>193</v>
      </c>
      <c r="N128" s="75">
        <v>6.27</v>
      </c>
      <c r="O128" s="75">
        <v>6.27</v>
      </c>
      <c r="P128" s="75">
        <v>6.27</v>
      </c>
      <c r="Q128" s="75">
        <v>6.27</v>
      </c>
      <c r="R128" s="75">
        <v>6.27</v>
      </c>
      <c r="S128" s="75">
        <v>6.27</v>
      </c>
      <c r="T128" s="75">
        <v>6.27</v>
      </c>
      <c r="U128" s="75">
        <v>6.27</v>
      </c>
      <c r="V128" s="75">
        <v>6.27</v>
      </c>
      <c r="W128" s="75">
        <v>6.27</v>
      </c>
      <c r="X128" s="75">
        <v>6.27</v>
      </c>
      <c r="Y128" s="75">
        <v>6.27</v>
      </c>
      <c r="Z128" s="75">
        <v>6.27</v>
      </c>
      <c r="AA128" s="13">
        <v>0</v>
      </c>
      <c r="AB128" s="72">
        <v>0.3</v>
      </c>
      <c r="AC128" s="72">
        <v>0.3</v>
      </c>
      <c r="AD128" s="72">
        <v>0.3</v>
      </c>
      <c r="AE128" s="72">
        <v>0.3</v>
      </c>
      <c r="AF128" s="72">
        <v>0.3</v>
      </c>
      <c r="AG128" s="72">
        <v>0.3</v>
      </c>
      <c r="AH128" s="72">
        <v>0.3</v>
      </c>
      <c r="AI128" s="72">
        <v>0.3</v>
      </c>
      <c r="AJ128" s="72">
        <v>0.3</v>
      </c>
      <c r="AK128" s="72">
        <v>0.3</v>
      </c>
      <c r="AL128" s="72">
        <v>0.3</v>
      </c>
      <c r="AM128" s="72">
        <v>0.3</v>
      </c>
      <c r="AN128" s="73">
        <v>0</v>
      </c>
      <c r="AO128" s="95">
        <f t="shared" si="12"/>
        <v>0</v>
      </c>
      <c r="AP128" s="73">
        <v>0</v>
      </c>
      <c r="AQ128" s="95">
        <f t="shared" si="13"/>
        <v>0</v>
      </c>
      <c r="AR128" s="73">
        <v>0</v>
      </c>
      <c r="AS128" s="96">
        <f t="shared" si="14"/>
        <v>0</v>
      </c>
      <c r="AT128" s="80">
        <v>0</v>
      </c>
      <c r="AU128" s="97">
        <f t="shared" si="15"/>
        <v>0</v>
      </c>
      <c r="AV128" s="80">
        <v>1020</v>
      </c>
      <c r="AW128" s="97">
        <f t="shared" si="16"/>
        <v>306</v>
      </c>
      <c r="AX128" s="79">
        <v>0</v>
      </c>
      <c r="AY128" s="97">
        <f t="shared" si="17"/>
        <v>0</v>
      </c>
      <c r="AZ128" s="73">
        <v>6120</v>
      </c>
      <c r="BA128" s="97">
        <f t="shared" si="18"/>
        <v>1836</v>
      </c>
      <c r="BB128" s="70">
        <v>1020</v>
      </c>
      <c r="BC128" s="97">
        <f t="shared" si="19"/>
        <v>306</v>
      </c>
      <c r="BD128" s="73">
        <v>3060</v>
      </c>
      <c r="BE128" s="97">
        <f t="shared" si="20"/>
        <v>918</v>
      </c>
      <c r="BF128" s="73">
        <v>0</v>
      </c>
      <c r="BG128" s="97">
        <f t="shared" si="21"/>
        <v>0</v>
      </c>
      <c r="BH128" s="70">
        <v>0</v>
      </c>
      <c r="BI128" s="97">
        <f t="shared" si="22"/>
        <v>0</v>
      </c>
      <c r="BJ128" s="73">
        <v>0</v>
      </c>
      <c r="BK128" s="97">
        <f t="shared" si="23"/>
        <v>0</v>
      </c>
      <c r="BL128" s="128"/>
      <c r="BM128" s="131" t="s">
        <v>382</v>
      </c>
    </row>
    <row r="129" spans="1:66" ht="15.75" customHeight="1" thickBot="1">
      <c r="A129" s="93" t="s">
        <v>123</v>
      </c>
      <c r="B129" s="122" t="s">
        <v>184</v>
      </c>
      <c r="C129" s="299"/>
      <c r="D129" s="295"/>
      <c r="E129" s="295"/>
      <c r="F129" s="297"/>
      <c r="G129" s="78">
        <v>2023</v>
      </c>
      <c r="H129" s="76" t="s">
        <v>277</v>
      </c>
      <c r="I129" s="76" t="s">
        <v>196</v>
      </c>
      <c r="J129" s="77" t="s">
        <v>197</v>
      </c>
      <c r="K129" s="81" t="s">
        <v>330</v>
      </c>
      <c r="L129" s="76" t="s">
        <v>192</v>
      </c>
      <c r="M129" s="13" t="s">
        <v>193</v>
      </c>
      <c r="N129" s="75">
        <v>25.26</v>
      </c>
      <c r="O129" s="75">
        <v>25.26</v>
      </c>
      <c r="P129" s="75">
        <v>25.26</v>
      </c>
      <c r="Q129" s="75">
        <v>25.26</v>
      </c>
      <c r="R129" s="75">
        <v>25.26</v>
      </c>
      <c r="S129" s="75">
        <v>25.26</v>
      </c>
      <c r="T129" s="75">
        <v>25.26</v>
      </c>
      <c r="U129" s="75">
        <v>25.26</v>
      </c>
      <c r="V129" s="75">
        <v>25.26</v>
      </c>
      <c r="W129" s="75">
        <v>25.26</v>
      </c>
      <c r="X129" s="75">
        <v>25.26</v>
      </c>
      <c r="Y129" s="75">
        <v>25.26</v>
      </c>
      <c r="Z129" s="75">
        <v>25.26</v>
      </c>
      <c r="AA129" s="13">
        <v>0.48</v>
      </c>
      <c r="AB129" s="72">
        <v>0.48</v>
      </c>
      <c r="AC129" s="72">
        <v>0.48</v>
      </c>
      <c r="AD129" s="72">
        <v>0.48</v>
      </c>
      <c r="AE129" s="69">
        <v>0.48</v>
      </c>
      <c r="AF129" s="69">
        <v>0.48</v>
      </c>
      <c r="AG129" s="69">
        <v>0.48</v>
      </c>
      <c r="AH129" s="69">
        <v>0.48</v>
      </c>
      <c r="AI129" s="69">
        <v>0.48</v>
      </c>
      <c r="AJ129" s="69">
        <v>0.48</v>
      </c>
      <c r="AK129" s="69">
        <v>0.48</v>
      </c>
      <c r="AL129" s="69">
        <v>0.48</v>
      </c>
      <c r="AM129" s="69">
        <v>0.48</v>
      </c>
      <c r="AN129" s="73">
        <v>0</v>
      </c>
      <c r="AO129" s="95">
        <f t="shared" si="12"/>
        <v>0</v>
      </c>
      <c r="AP129" s="73">
        <v>0</v>
      </c>
      <c r="AQ129" s="95">
        <f t="shared" si="13"/>
        <v>0</v>
      </c>
      <c r="AR129" s="73">
        <v>0</v>
      </c>
      <c r="AS129" s="96">
        <f t="shared" si="14"/>
        <v>0</v>
      </c>
      <c r="AT129" s="80">
        <v>0</v>
      </c>
      <c r="AU129" s="97">
        <f t="shared" si="15"/>
        <v>0</v>
      </c>
      <c r="AV129" s="80">
        <v>1200</v>
      </c>
      <c r="AW129" s="97">
        <f t="shared" si="16"/>
        <v>576</v>
      </c>
      <c r="AX129" s="79">
        <v>0</v>
      </c>
      <c r="AY129" s="97">
        <f t="shared" si="17"/>
        <v>0</v>
      </c>
      <c r="AZ129" s="70">
        <v>0</v>
      </c>
      <c r="BA129" s="97">
        <f t="shared" si="18"/>
        <v>0</v>
      </c>
      <c r="BB129" s="70">
        <v>0</v>
      </c>
      <c r="BC129" s="97">
        <f t="shared" si="19"/>
        <v>0</v>
      </c>
      <c r="BD129" s="70">
        <v>0</v>
      </c>
      <c r="BE129" s="97">
        <f t="shared" si="20"/>
        <v>0</v>
      </c>
      <c r="BF129" s="70">
        <v>0</v>
      </c>
      <c r="BG129" s="97">
        <f t="shared" si="21"/>
        <v>0</v>
      </c>
      <c r="BH129" s="73">
        <v>1200</v>
      </c>
      <c r="BI129" s="97">
        <f t="shared" si="22"/>
        <v>576</v>
      </c>
      <c r="BJ129" s="73">
        <v>2400</v>
      </c>
      <c r="BK129" s="97">
        <f t="shared" si="23"/>
        <v>1152</v>
      </c>
      <c r="BL129" s="128"/>
      <c r="BM129" s="131" t="s">
        <v>383</v>
      </c>
    </row>
    <row r="130" spans="1:66" ht="15.75" customHeight="1" thickBot="1">
      <c r="A130" s="93" t="s">
        <v>123</v>
      </c>
      <c r="B130" s="122" t="s">
        <v>184</v>
      </c>
      <c r="C130" s="299"/>
      <c r="D130" s="295"/>
      <c r="E130" s="295"/>
      <c r="F130" s="297"/>
      <c r="G130" s="78">
        <v>2016</v>
      </c>
      <c r="H130" s="76" t="s">
        <v>232</v>
      </c>
      <c r="I130" s="76" t="s">
        <v>196</v>
      </c>
      <c r="J130" s="77" t="s">
        <v>197</v>
      </c>
      <c r="K130" s="81" t="s">
        <v>384</v>
      </c>
      <c r="L130" s="76" t="s">
        <v>192</v>
      </c>
      <c r="M130" s="13" t="s">
        <v>193</v>
      </c>
      <c r="N130" s="75">
        <v>5.23</v>
      </c>
      <c r="O130" s="75">
        <v>5.23</v>
      </c>
      <c r="P130" s="75">
        <v>5.23</v>
      </c>
      <c r="Q130" s="75">
        <v>5.23</v>
      </c>
      <c r="R130" s="75">
        <v>5.23</v>
      </c>
      <c r="S130" s="75">
        <v>5.23</v>
      </c>
      <c r="T130" s="75">
        <v>5.23</v>
      </c>
      <c r="U130" s="75">
        <v>5.23</v>
      </c>
      <c r="V130" s="75">
        <v>5.23</v>
      </c>
      <c r="W130" s="75">
        <v>5.23</v>
      </c>
      <c r="X130" s="75">
        <v>5.23</v>
      </c>
      <c r="Y130" s="75">
        <v>5.23</v>
      </c>
      <c r="Z130" s="75">
        <v>5.23</v>
      </c>
      <c r="AA130" s="13">
        <v>0</v>
      </c>
      <c r="AB130" s="72">
        <v>0.05</v>
      </c>
      <c r="AC130" s="72">
        <v>0.05</v>
      </c>
      <c r="AD130" s="72">
        <v>0.05</v>
      </c>
      <c r="AE130" s="69">
        <v>0.05</v>
      </c>
      <c r="AF130" s="69">
        <v>0.05</v>
      </c>
      <c r="AG130" s="69">
        <v>0.05</v>
      </c>
      <c r="AH130" s="69">
        <v>0.05</v>
      </c>
      <c r="AI130" s="69">
        <v>0.05</v>
      </c>
      <c r="AJ130" s="69">
        <v>0.05</v>
      </c>
      <c r="AK130" s="69">
        <v>0.05</v>
      </c>
      <c r="AL130" s="69">
        <v>0.05</v>
      </c>
      <c r="AM130" s="69">
        <v>0.05</v>
      </c>
      <c r="AN130" s="73">
        <v>0</v>
      </c>
      <c r="AO130" s="95">
        <f t="shared" si="12"/>
        <v>0</v>
      </c>
      <c r="AP130" s="73">
        <v>0</v>
      </c>
      <c r="AQ130" s="95">
        <f t="shared" si="13"/>
        <v>0</v>
      </c>
      <c r="AR130" s="73">
        <v>0</v>
      </c>
      <c r="AS130" s="96">
        <f t="shared" si="14"/>
        <v>0</v>
      </c>
      <c r="AT130" s="79">
        <v>0</v>
      </c>
      <c r="AU130" s="97">
        <f t="shared" si="15"/>
        <v>0</v>
      </c>
      <c r="AV130" s="79">
        <v>0</v>
      </c>
      <c r="AW130" s="97">
        <f t="shared" si="16"/>
        <v>0</v>
      </c>
      <c r="AX130" s="80">
        <v>0</v>
      </c>
      <c r="AY130" s="97">
        <f t="shared" si="17"/>
        <v>0</v>
      </c>
      <c r="AZ130" s="73">
        <v>1560</v>
      </c>
      <c r="BA130" s="97">
        <f t="shared" si="18"/>
        <v>78</v>
      </c>
      <c r="BB130" s="74">
        <v>0</v>
      </c>
      <c r="BC130" s="97">
        <f t="shared" si="19"/>
        <v>0</v>
      </c>
      <c r="BD130" s="73">
        <v>0</v>
      </c>
      <c r="BE130" s="97">
        <f t="shared" si="20"/>
        <v>0</v>
      </c>
      <c r="BF130" s="73">
        <v>0</v>
      </c>
      <c r="BG130" s="97">
        <f t="shared" si="21"/>
        <v>0</v>
      </c>
      <c r="BH130" s="73">
        <v>0</v>
      </c>
      <c r="BI130" s="97">
        <f t="shared" si="22"/>
        <v>0</v>
      </c>
      <c r="BJ130" s="70">
        <v>0</v>
      </c>
      <c r="BK130" s="97">
        <f t="shared" si="23"/>
        <v>0</v>
      </c>
      <c r="BL130" s="128"/>
      <c r="BM130" s="131" t="s">
        <v>385</v>
      </c>
    </row>
    <row r="131" spans="1:66" ht="15.75" customHeight="1" thickBot="1">
      <c r="A131" s="93" t="s">
        <v>123</v>
      </c>
      <c r="B131" s="122" t="s">
        <v>184</v>
      </c>
      <c r="C131" s="299"/>
      <c r="D131" s="295"/>
      <c r="E131" s="295"/>
      <c r="F131" s="297"/>
      <c r="G131" s="78">
        <v>2016</v>
      </c>
      <c r="H131" s="76" t="s">
        <v>232</v>
      </c>
      <c r="I131" s="76" t="s">
        <v>196</v>
      </c>
      <c r="J131" s="77" t="s">
        <v>197</v>
      </c>
      <c r="K131" s="81" t="s">
        <v>247</v>
      </c>
      <c r="L131" s="76" t="s">
        <v>192</v>
      </c>
      <c r="M131" s="13" t="s">
        <v>193</v>
      </c>
      <c r="N131" s="75">
        <v>5.8</v>
      </c>
      <c r="O131" s="75">
        <v>5.8</v>
      </c>
      <c r="P131" s="75">
        <v>5.8</v>
      </c>
      <c r="Q131" s="75">
        <v>5.8</v>
      </c>
      <c r="R131" s="75">
        <v>5.8</v>
      </c>
      <c r="S131" s="75">
        <v>5.8</v>
      </c>
      <c r="T131" s="75">
        <v>5.8</v>
      </c>
      <c r="U131" s="75">
        <v>5.8</v>
      </c>
      <c r="V131" s="75">
        <v>5.8</v>
      </c>
      <c r="W131" s="75">
        <v>5.8</v>
      </c>
      <c r="X131" s="75">
        <v>5.8</v>
      </c>
      <c r="Y131" s="75">
        <v>5.8</v>
      </c>
      <c r="Z131" s="75">
        <v>5.8</v>
      </c>
      <c r="AA131" s="13">
        <v>0</v>
      </c>
      <c r="AB131" s="72">
        <v>0.05</v>
      </c>
      <c r="AC131" s="72">
        <v>0.05</v>
      </c>
      <c r="AD131" s="72">
        <v>0.05</v>
      </c>
      <c r="AE131" s="69">
        <v>0.05</v>
      </c>
      <c r="AF131" s="69">
        <v>0.05</v>
      </c>
      <c r="AG131" s="69">
        <v>0.05</v>
      </c>
      <c r="AH131" s="69">
        <v>0.05</v>
      </c>
      <c r="AI131" s="69">
        <v>0.05</v>
      </c>
      <c r="AJ131" s="69">
        <v>0.05</v>
      </c>
      <c r="AK131" s="69">
        <v>0.05</v>
      </c>
      <c r="AL131" s="69">
        <v>0.05</v>
      </c>
      <c r="AM131" s="69">
        <v>0.05</v>
      </c>
      <c r="AN131" s="73">
        <v>0</v>
      </c>
      <c r="AO131" s="95">
        <f t="shared" si="12"/>
        <v>0</v>
      </c>
      <c r="AP131" s="73">
        <v>0</v>
      </c>
      <c r="AQ131" s="95">
        <f t="shared" si="13"/>
        <v>0</v>
      </c>
      <c r="AR131" s="73">
        <v>0</v>
      </c>
      <c r="AS131" s="96">
        <f t="shared" si="14"/>
        <v>0</v>
      </c>
      <c r="AT131" s="79">
        <v>0</v>
      </c>
      <c r="AU131" s="97">
        <f t="shared" si="15"/>
        <v>0</v>
      </c>
      <c r="AV131" s="79">
        <v>0</v>
      </c>
      <c r="AW131" s="97">
        <f t="shared" si="16"/>
        <v>0</v>
      </c>
      <c r="AX131" s="80">
        <v>0</v>
      </c>
      <c r="AY131" s="97">
        <f t="shared" si="17"/>
        <v>0</v>
      </c>
      <c r="AZ131" s="73">
        <v>7800</v>
      </c>
      <c r="BA131" s="97">
        <f t="shared" si="18"/>
        <v>390</v>
      </c>
      <c r="BB131" s="74">
        <v>4680</v>
      </c>
      <c r="BC131" s="97">
        <f t="shared" si="19"/>
        <v>234</v>
      </c>
      <c r="BD131" s="73">
        <v>0</v>
      </c>
      <c r="BE131" s="97">
        <f t="shared" si="20"/>
        <v>0</v>
      </c>
      <c r="BF131" s="73">
        <v>0</v>
      </c>
      <c r="BG131" s="97">
        <f t="shared" si="21"/>
        <v>0</v>
      </c>
      <c r="BH131" s="70">
        <v>0</v>
      </c>
      <c r="BI131" s="97">
        <f t="shared" si="22"/>
        <v>0</v>
      </c>
      <c r="BJ131" s="73">
        <v>0</v>
      </c>
      <c r="BK131" s="97">
        <f t="shared" si="23"/>
        <v>0</v>
      </c>
      <c r="BL131" s="128"/>
      <c r="BM131" s="131" t="s">
        <v>386</v>
      </c>
    </row>
    <row r="132" spans="1:66" ht="15.75" customHeight="1" thickBot="1">
      <c r="A132" s="93" t="s">
        <v>123</v>
      </c>
      <c r="B132" s="122" t="s">
        <v>184</v>
      </c>
      <c r="C132" s="299"/>
      <c r="D132" s="295"/>
      <c r="E132" s="295"/>
      <c r="F132" s="297"/>
      <c r="G132" s="78">
        <v>2016</v>
      </c>
      <c r="H132" s="76" t="s">
        <v>232</v>
      </c>
      <c r="I132" s="76" t="s">
        <v>196</v>
      </c>
      <c r="J132" s="77" t="s">
        <v>197</v>
      </c>
      <c r="K132" s="81" t="s">
        <v>387</v>
      </c>
      <c r="L132" s="76" t="s">
        <v>192</v>
      </c>
      <c r="M132" s="13" t="s">
        <v>193</v>
      </c>
      <c r="N132" s="75">
        <v>5.23</v>
      </c>
      <c r="O132" s="75">
        <v>5.23</v>
      </c>
      <c r="P132" s="75">
        <v>5.23</v>
      </c>
      <c r="Q132" s="75">
        <v>5.23</v>
      </c>
      <c r="R132" s="75">
        <v>5.23</v>
      </c>
      <c r="S132" s="75">
        <v>5.23</v>
      </c>
      <c r="T132" s="75">
        <v>5.23</v>
      </c>
      <c r="U132" s="75">
        <v>5.23</v>
      </c>
      <c r="V132" s="75">
        <v>5.23</v>
      </c>
      <c r="W132" s="75">
        <v>5.23</v>
      </c>
      <c r="X132" s="75">
        <v>5.23</v>
      </c>
      <c r="Y132" s="75">
        <v>5.23</v>
      </c>
      <c r="Z132" s="75">
        <v>5.23</v>
      </c>
      <c r="AA132" s="13">
        <v>0</v>
      </c>
      <c r="AB132" s="72">
        <v>0.05</v>
      </c>
      <c r="AC132" s="72">
        <v>0.05</v>
      </c>
      <c r="AD132" s="72">
        <v>0.05</v>
      </c>
      <c r="AE132" s="69">
        <v>0.05</v>
      </c>
      <c r="AF132" s="69">
        <v>0.05</v>
      </c>
      <c r="AG132" s="69">
        <v>0.05</v>
      </c>
      <c r="AH132" s="69">
        <v>0.05</v>
      </c>
      <c r="AI132" s="69">
        <v>0.05</v>
      </c>
      <c r="AJ132" s="69">
        <v>0.05</v>
      </c>
      <c r="AK132" s="69">
        <v>0.05</v>
      </c>
      <c r="AL132" s="69">
        <v>0.05</v>
      </c>
      <c r="AM132" s="69">
        <v>0.05</v>
      </c>
      <c r="AN132" s="73">
        <v>0</v>
      </c>
      <c r="AO132" s="95">
        <f t="shared" si="12"/>
        <v>0</v>
      </c>
      <c r="AP132" s="73">
        <v>0</v>
      </c>
      <c r="AQ132" s="95">
        <f t="shared" si="13"/>
        <v>0</v>
      </c>
      <c r="AR132" s="73">
        <v>0</v>
      </c>
      <c r="AS132" s="96">
        <f t="shared" si="14"/>
        <v>0</v>
      </c>
      <c r="AT132" s="79">
        <v>0</v>
      </c>
      <c r="AU132" s="97">
        <f t="shared" si="15"/>
        <v>0</v>
      </c>
      <c r="AV132" s="79">
        <v>0</v>
      </c>
      <c r="AW132" s="97">
        <f t="shared" si="16"/>
        <v>0</v>
      </c>
      <c r="AX132" s="80">
        <v>1560</v>
      </c>
      <c r="AY132" s="97">
        <f t="shared" si="17"/>
        <v>78</v>
      </c>
      <c r="AZ132" s="71">
        <v>1560</v>
      </c>
      <c r="BA132" s="97">
        <f t="shared" si="18"/>
        <v>78</v>
      </c>
      <c r="BB132" s="70">
        <v>0</v>
      </c>
      <c r="BC132" s="97">
        <f t="shared" si="19"/>
        <v>0</v>
      </c>
      <c r="BD132" s="71">
        <v>0</v>
      </c>
      <c r="BE132" s="97">
        <f t="shared" si="20"/>
        <v>0</v>
      </c>
      <c r="BF132" s="73">
        <v>0</v>
      </c>
      <c r="BG132" s="97">
        <f t="shared" si="21"/>
        <v>0</v>
      </c>
      <c r="BH132" s="73">
        <v>0</v>
      </c>
      <c r="BI132" s="97">
        <f t="shared" si="22"/>
        <v>0</v>
      </c>
      <c r="BJ132" s="73">
        <v>0</v>
      </c>
      <c r="BK132" s="97">
        <f t="shared" si="23"/>
        <v>0</v>
      </c>
      <c r="BL132" s="128"/>
      <c r="BM132" s="131" t="s">
        <v>388</v>
      </c>
    </row>
    <row r="133" spans="1:66" ht="15.75" customHeight="1" thickBot="1">
      <c r="A133" s="93" t="s">
        <v>123</v>
      </c>
      <c r="B133" s="122" t="s">
        <v>184</v>
      </c>
      <c r="C133" s="299"/>
      <c r="D133" s="295"/>
      <c r="E133" s="295"/>
      <c r="F133" s="297"/>
      <c r="G133" s="78">
        <v>2016</v>
      </c>
      <c r="H133" s="76" t="s">
        <v>232</v>
      </c>
      <c r="I133" s="76" t="s">
        <v>196</v>
      </c>
      <c r="J133" s="77" t="s">
        <v>197</v>
      </c>
      <c r="K133" s="81" t="s">
        <v>389</v>
      </c>
      <c r="L133" s="76" t="s">
        <v>192</v>
      </c>
      <c r="M133" s="13" t="s">
        <v>193</v>
      </c>
      <c r="N133" s="75">
        <v>6.17</v>
      </c>
      <c r="O133" s="75">
        <v>6.17</v>
      </c>
      <c r="P133" s="75">
        <v>6.17</v>
      </c>
      <c r="Q133" s="75">
        <v>6.17</v>
      </c>
      <c r="R133" s="75">
        <v>6.17</v>
      </c>
      <c r="S133" s="75">
        <v>6.17</v>
      </c>
      <c r="T133" s="75">
        <v>6.17</v>
      </c>
      <c r="U133" s="75">
        <v>6.17</v>
      </c>
      <c r="V133" s="75">
        <v>6.17</v>
      </c>
      <c r="W133" s="75">
        <v>6.17</v>
      </c>
      <c r="X133" s="75">
        <v>6.17</v>
      </c>
      <c r="Y133" s="75">
        <v>6.17</v>
      </c>
      <c r="Z133" s="75">
        <v>6.17</v>
      </c>
      <c r="AA133" s="13">
        <v>0</v>
      </c>
      <c r="AB133" s="72">
        <v>0.05</v>
      </c>
      <c r="AC133" s="72">
        <v>0.05</v>
      </c>
      <c r="AD133" s="72">
        <v>0.05</v>
      </c>
      <c r="AE133" s="69">
        <v>0.05</v>
      </c>
      <c r="AF133" s="69">
        <v>0.05</v>
      </c>
      <c r="AG133" s="69">
        <v>0.05</v>
      </c>
      <c r="AH133" s="69">
        <v>0.05</v>
      </c>
      <c r="AI133" s="69">
        <v>0.05</v>
      </c>
      <c r="AJ133" s="69">
        <v>0.05</v>
      </c>
      <c r="AK133" s="69">
        <v>0.05</v>
      </c>
      <c r="AL133" s="69">
        <v>0.05</v>
      </c>
      <c r="AM133" s="69">
        <v>0.05</v>
      </c>
      <c r="AN133" s="73">
        <v>0</v>
      </c>
      <c r="AO133" s="95">
        <f t="shared" ref="AO133:AO192" si="24">AB133*AN133</f>
        <v>0</v>
      </c>
      <c r="AP133" s="73">
        <v>0</v>
      </c>
      <c r="AQ133" s="95">
        <f t="shared" ref="AQ133:AQ192" si="25">AC133*AP133</f>
        <v>0</v>
      </c>
      <c r="AR133" s="73">
        <v>0</v>
      </c>
      <c r="AS133" s="96">
        <f t="shared" ref="AS133:AS192" si="26">AD133*AR133</f>
        <v>0</v>
      </c>
      <c r="AT133" s="80">
        <v>0</v>
      </c>
      <c r="AU133" s="97">
        <f t="shared" ref="AU133:AU192" si="27">AE133*AT133</f>
        <v>0</v>
      </c>
      <c r="AV133" s="80">
        <v>0</v>
      </c>
      <c r="AW133" s="97">
        <f t="shared" ref="AW133:AW192" si="28">AF133*AV133</f>
        <v>0</v>
      </c>
      <c r="AX133" s="80">
        <v>0</v>
      </c>
      <c r="AY133" s="97">
        <f t="shared" ref="AY133:AY192" si="29">AG133*AX133</f>
        <v>0</v>
      </c>
      <c r="AZ133" s="70">
        <v>0</v>
      </c>
      <c r="BA133" s="97">
        <f t="shared" ref="BA133:BA192" si="30">AH133*AZ133</f>
        <v>0</v>
      </c>
      <c r="BB133" s="70">
        <v>0</v>
      </c>
      <c r="BC133" s="97">
        <f t="shared" ref="BC133:BC198" si="31">AI133*BB133</f>
        <v>0</v>
      </c>
      <c r="BD133" s="73">
        <v>0</v>
      </c>
      <c r="BE133" s="97">
        <f t="shared" ref="BE133:BE197" si="32">AJ133*BD133</f>
        <v>0</v>
      </c>
      <c r="BF133" s="70">
        <v>0</v>
      </c>
      <c r="BG133" s="97">
        <f t="shared" ref="BG133:BG197" si="33">AK133*BF133</f>
        <v>0</v>
      </c>
      <c r="BH133" s="73">
        <v>0</v>
      </c>
      <c r="BI133" s="97">
        <f t="shared" ref="BI133:BI197" si="34">AL133*BH133</f>
        <v>0</v>
      </c>
      <c r="BJ133" s="70">
        <v>0</v>
      </c>
      <c r="BK133" s="97">
        <f t="shared" ref="BK133:BK197" si="35">AM133*BJ133</f>
        <v>0</v>
      </c>
      <c r="BL133" s="128"/>
      <c r="BM133" s="131" t="s">
        <v>390</v>
      </c>
    </row>
    <row r="134" spans="1:66" ht="15.75" customHeight="1" thickBot="1">
      <c r="A134" s="93" t="s">
        <v>123</v>
      </c>
      <c r="B134" s="122" t="s">
        <v>184</v>
      </c>
      <c r="C134" s="299"/>
      <c r="D134" s="295"/>
      <c r="E134" s="295"/>
      <c r="F134" s="297"/>
      <c r="G134" s="78">
        <v>2016</v>
      </c>
      <c r="H134" s="76" t="s">
        <v>305</v>
      </c>
      <c r="I134" s="76" t="s">
        <v>196</v>
      </c>
      <c r="J134" s="77" t="s">
        <v>197</v>
      </c>
      <c r="K134" s="81" t="s">
        <v>221</v>
      </c>
      <c r="L134" s="76" t="s">
        <v>192</v>
      </c>
      <c r="M134" s="13" t="s">
        <v>193</v>
      </c>
      <c r="N134" s="75">
        <v>4.04</v>
      </c>
      <c r="O134" s="75">
        <v>4.04</v>
      </c>
      <c r="P134" s="75">
        <v>4.04</v>
      </c>
      <c r="Q134" s="75">
        <v>4.04</v>
      </c>
      <c r="R134" s="75">
        <v>4.04</v>
      </c>
      <c r="S134" s="75">
        <v>4.04</v>
      </c>
      <c r="T134" s="75">
        <v>4.04</v>
      </c>
      <c r="U134" s="75">
        <v>4.04</v>
      </c>
      <c r="V134" s="75">
        <v>4.04</v>
      </c>
      <c r="W134" s="75">
        <v>4.04</v>
      </c>
      <c r="X134" s="75">
        <v>4.04</v>
      </c>
      <c r="Y134" s="75">
        <v>4.04</v>
      </c>
      <c r="Z134" s="75">
        <v>4.04</v>
      </c>
      <c r="AA134" s="13">
        <v>0</v>
      </c>
      <c r="AB134" s="72">
        <v>0.04</v>
      </c>
      <c r="AC134" s="72">
        <v>0.04</v>
      </c>
      <c r="AD134" s="72">
        <v>0.04</v>
      </c>
      <c r="AE134" s="69">
        <v>0.04</v>
      </c>
      <c r="AF134" s="69">
        <v>0.04</v>
      </c>
      <c r="AG134" s="69">
        <v>0.04</v>
      </c>
      <c r="AH134" s="69">
        <v>0.04</v>
      </c>
      <c r="AI134" s="98">
        <v>0.12</v>
      </c>
      <c r="AJ134" s="98">
        <v>0.12</v>
      </c>
      <c r="AK134" s="98">
        <v>0.12</v>
      </c>
      <c r="AL134" s="98">
        <v>0.12</v>
      </c>
      <c r="AM134" s="98">
        <v>0.12</v>
      </c>
      <c r="AN134" s="73">
        <v>0</v>
      </c>
      <c r="AO134" s="95">
        <f t="shared" si="24"/>
        <v>0</v>
      </c>
      <c r="AP134" s="73">
        <v>0</v>
      </c>
      <c r="AQ134" s="95">
        <f t="shared" si="25"/>
        <v>0</v>
      </c>
      <c r="AR134" s="73">
        <v>0</v>
      </c>
      <c r="AS134" s="96">
        <f t="shared" si="26"/>
        <v>0</v>
      </c>
      <c r="AT134" s="79">
        <v>0</v>
      </c>
      <c r="AU134" s="97">
        <f t="shared" si="27"/>
        <v>0</v>
      </c>
      <c r="AV134" s="79">
        <v>0</v>
      </c>
      <c r="AW134" s="97">
        <f t="shared" si="28"/>
        <v>0</v>
      </c>
      <c r="AX134" s="80">
        <v>0</v>
      </c>
      <c r="AY134" s="97">
        <f t="shared" si="29"/>
        <v>0</v>
      </c>
      <c r="AZ134" s="74">
        <v>0</v>
      </c>
      <c r="BA134" s="97">
        <f t="shared" si="30"/>
        <v>0</v>
      </c>
      <c r="BB134" s="74">
        <v>0</v>
      </c>
      <c r="BC134" s="97">
        <f t="shared" si="31"/>
        <v>0</v>
      </c>
      <c r="BD134" s="73">
        <v>0</v>
      </c>
      <c r="BE134" s="97">
        <f t="shared" si="32"/>
        <v>0</v>
      </c>
      <c r="BF134" s="73">
        <v>0</v>
      </c>
      <c r="BG134" s="97">
        <f t="shared" si="33"/>
        <v>0</v>
      </c>
      <c r="BH134" s="70">
        <v>0</v>
      </c>
      <c r="BI134" s="97">
        <f t="shared" si="34"/>
        <v>0</v>
      </c>
      <c r="BJ134" s="73">
        <v>0</v>
      </c>
      <c r="BK134" s="97">
        <f t="shared" si="35"/>
        <v>0</v>
      </c>
      <c r="BL134" s="128"/>
      <c r="BM134" s="131" t="s">
        <v>391</v>
      </c>
      <c r="BN134" s="1" t="s">
        <v>392</v>
      </c>
    </row>
    <row r="135" spans="1:66" ht="15.75" customHeight="1" thickBot="1">
      <c r="A135" s="93" t="s">
        <v>123</v>
      </c>
      <c r="B135" s="122" t="s">
        <v>184</v>
      </c>
      <c r="C135" s="299"/>
      <c r="D135" s="295"/>
      <c r="E135" s="295"/>
      <c r="F135" s="297"/>
      <c r="G135" s="78">
        <v>2016</v>
      </c>
      <c r="H135" s="76" t="s">
        <v>305</v>
      </c>
      <c r="I135" s="76" t="s">
        <v>196</v>
      </c>
      <c r="J135" s="77" t="s">
        <v>197</v>
      </c>
      <c r="K135" s="81" t="s">
        <v>306</v>
      </c>
      <c r="L135" s="76" t="s">
        <v>192</v>
      </c>
      <c r="M135" s="13" t="s">
        <v>193</v>
      </c>
      <c r="N135" s="75">
        <v>4.18</v>
      </c>
      <c r="O135" s="75">
        <v>4.18</v>
      </c>
      <c r="P135" s="75">
        <v>4.18</v>
      </c>
      <c r="Q135" s="75">
        <v>4.18</v>
      </c>
      <c r="R135" s="75">
        <v>4.18</v>
      </c>
      <c r="S135" s="75">
        <v>4.18</v>
      </c>
      <c r="T135" s="75">
        <v>4.18</v>
      </c>
      <c r="U135" s="75">
        <v>4.18</v>
      </c>
      <c r="V135" s="75">
        <v>4.18</v>
      </c>
      <c r="W135" s="75">
        <v>4.18</v>
      </c>
      <c r="X135" s="75">
        <v>4.18</v>
      </c>
      <c r="Y135" s="75">
        <v>4.18</v>
      </c>
      <c r="Z135" s="75">
        <v>4.18</v>
      </c>
      <c r="AA135" s="13">
        <v>0</v>
      </c>
      <c r="AB135" s="72">
        <v>0.04</v>
      </c>
      <c r="AC135" s="72">
        <v>0.04</v>
      </c>
      <c r="AD135" s="72">
        <v>0.04</v>
      </c>
      <c r="AE135" s="69">
        <v>0.04</v>
      </c>
      <c r="AF135" s="69">
        <v>0.04</v>
      </c>
      <c r="AG135" s="69">
        <v>0.04</v>
      </c>
      <c r="AH135" s="69">
        <v>0.04</v>
      </c>
      <c r="AI135" s="98">
        <v>0.12</v>
      </c>
      <c r="AJ135" s="98">
        <v>0.12</v>
      </c>
      <c r="AK135" s="98">
        <v>0.12</v>
      </c>
      <c r="AL135" s="98">
        <v>0.12</v>
      </c>
      <c r="AM135" s="98">
        <v>0.12</v>
      </c>
      <c r="AN135" s="73">
        <v>0</v>
      </c>
      <c r="AO135" s="95">
        <f t="shared" si="24"/>
        <v>0</v>
      </c>
      <c r="AP135" s="73">
        <v>0</v>
      </c>
      <c r="AQ135" s="95">
        <f t="shared" si="25"/>
        <v>0</v>
      </c>
      <c r="AR135" s="73">
        <v>0</v>
      </c>
      <c r="AS135" s="96">
        <f t="shared" si="26"/>
        <v>0</v>
      </c>
      <c r="AT135" s="79">
        <v>0</v>
      </c>
      <c r="AU135" s="97">
        <f t="shared" si="27"/>
        <v>0</v>
      </c>
      <c r="AV135" s="80">
        <v>0</v>
      </c>
      <c r="AW135" s="97">
        <f t="shared" si="28"/>
        <v>0</v>
      </c>
      <c r="AX135" s="80">
        <v>0</v>
      </c>
      <c r="AY135" s="97">
        <f t="shared" si="29"/>
        <v>0</v>
      </c>
      <c r="AZ135" s="74">
        <v>5760</v>
      </c>
      <c r="BA135" s="97">
        <f t="shared" si="30"/>
        <v>230.4</v>
      </c>
      <c r="BB135" s="74">
        <v>8640</v>
      </c>
      <c r="BC135" s="97">
        <f t="shared" si="31"/>
        <v>1036.8</v>
      </c>
      <c r="BD135" s="70">
        <v>0</v>
      </c>
      <c r="BE135" s="97">
        <f t="shared" si="32"/>
        <v>0</v>
      </c>
      <c r="BF135" s="73">
        <v>0</v>
      </c>
      <c r="BG135" s="97">
        <f t="shared" si="33"/>
        <v>0</v>
      </c>
      <c r="BH135" s="73">
        <v>0</v>
      </c>
      <c r="BI135" s="97">
        <f t="shared" si="34"/>
        <v>0</v>
      </c>
      <c r="BJ135" s="73">
        <v>0</v>
      </c>
      <c r="BK135" s="97">
        <f t="shared" si="35"/>
        <v>0</v>
      </c>
      <c r="BL135" s="128"/>
      <c r="BM135" s="131" t="s">
        <v>393</v>
      </c>
    </row>
    <row r="136" spans="1:66" ht="15.75" customHeight="1" thickBot="1">
      <c r="A136" s="93" t="s">
        <v>123</v>
      </c>
      <c r="B136" s="122" t="s">
        <v>184</v>
      </c>
      <c r="C136" s="299"/>
      <c r="D136" s="295"/>
      <c r="E136" s="295"/>
      <c r="F136" s="297"/>
      <c r="G136" s="78">
        <v>2016</v>
      </c>
      <c r="H136" s="76" t="s">
        <v>305</v>
      </c>
      <c r="I136" s="76" t="s">
        <v>196</v>
      </c>
      <c r="J136" s="77" t="s">
        <v>197</v>
      </c>
      <c r="K136" s="81" t="s">
        <v>306</v>
      </c>
      <c r="L136" s="76" t="s">
        <v>192</v>
      </c>
      <c r="M136" s="13" t="s">
        <v>193</v>
      </c>
      <c r="N136" s="75">
        <v>4.1399999999999997</v>
      </c>
      <c r="O136" s="75">
        <v>4.1399999999999997</v>
      </c>
      <c r="P136" s="75">
        <v>4.1399999999999997</v>
      </c>
      <c r="Q136" s="75">
        <v>4.1399999999999997</v>
      </c>
      <c r="R136" s="75">
        <v>4.1399999999999997</v>
      </c>
      <c r="S136" s="75">
        <v>4.1399999999999997</v>
      </c>
      <c r="T136" s="75">
        <v>4.1399999999999997</v>
      </c>
      <c r="U136" s="75">
        <v>4.1399999999999997</v>
      </c>
      <c r="V136" s="75">
        <v>4.1399999999999997</v>
      </c>
      <c r="W136" s="75">
        <v>4.1399999999999997</v>
      </c>
      <c r="X136" s="75">
        <v>4.1399999999999997</v>
      </c>
      <c r="Y136" s="75">
        <v>4.1399999999999997</v>
      </c>
      <c r="Z136" s="75">
        <v>4.1399999999999997</v>
      </c>
      <c r="AA136" s="13">
        <v>0</v>
      </c>
      <c r="AB136" s="72">
        <v>0.04</v>
      </c>
      <c r="AC136" s="72">
        <v>0.04</v>
      </c>
      <c r="AD136" s="72">
        <v>0.04</v>
      </c>
      <c r="AE136" s="69">
        <v>0.04</v>
      </c>
      <c r="AF136" s="69">
        <v>0.04</v>
      </c>
      <c r="AG136" s="69">
        <v>0.04</v>
      </c>
      <c r="AH136" s="69">
        <v>0.04</v>
      </c>
      <c r="AI136" s="98">
        <v>0.12</v>
      </c>
      <c r="AJ136" s="98">
        <v>0.12</v>
      </c>
      <c r="AK136" s="98">
        <v>0.12</v>
      </c>
      <c r="AL136" s="98">
        <v>0.12</v>
      </c>
      <c r="AM136" s="98">
        <v>0.12</v>
      </c>
      <c r="AN136" s="73">
        <v>0</v>
      </c>
      <c r="AO136" s="95">
        <f t="shared" si="24"/>
        <v>0</v>
      </c>
      <c r="AP136" s="73">
        <v>0</v>
      </c>
      <c r="AQ136" s="95">
        <f t="shared" si="25"/>
        <v>0</v>
      </c>
      <c r="AR136" s="73">
        <v>0</v>
      </c>
      <c r="AS136" s="96">
        <f t="shared" si="26"/>
        <v>0</v>
      </c>
      <c r="AT136" s="79">
        <v>0</v>
      </c>
      <c r="AU136" s="97">
        <f t="shared" si="27"/>
        <v>0</v>
      </c>
      <c r="AV136" s="79">
        <v>0</v>
      </c>
      <c r="AW136" s="97">
        <f t="shared" si="28"/>
        <v>0</v>
      </c>
      <c r="AX136" s="80">
        <v>0</v>
      </c>
      <c r="AY136" s="97">
        <f t="shared" si="29"/>
        <v>0</v>
      </c>
      <c r="AZ136" s="70">
        <v>0</v>
      </c>
      <c r="BA136" s="97">
        <f t="shared" si="30"/>
        <v>0</v>
      </c>
      <c r="BB136" s="70">
        <v>0</v>
      </c>
      <c r="BC136" s="97">
        <f t="shared" si="31"/>
        <v>0</v>
      </c>
      <c r="BD136" s="73">
        <v>0</v>
      </c>
      <c r="BE136" s="97">
        <f t="shared" si="32"/>
        <v>0</v>
      </c>
      <c r="BF136" s="73">
        <v>0</v>
      </c>
      <c r="BG136" s="97">
        <f t="shared" si="33"/>
        <v>0</v>
      </c>
      <c r="BH136" s="70">
        <v>0</v>
      </c>
      <c r="BI136" s="97">
        <f t="shared" si="34"/>
        <v>0</v>
      </c>
      <c r="BJ136" s="70">
        <v>0</v>
      </c>
      <c r="BK136" s="97">
        <f t="shared" si="35"/>
        <v>0</v>
      </c>
      <c r="BL136" s="128"/>
      <c r="BM136" s="131" t="s">
        <v>394</v>
      </c>
      <c r="BN136" s="1" t="s">
        <v>395</v>
      </c>
    </row>
    <row r="137" spans="1:66" ht="15.75" customHeight="1" thickBot="1">
      <c r="A137" s="93" t="s">
        <v>123</v>
      </c>
      <c r="B137" s="122" t="s">
        <v>184</v>
      </c>
      <c r="C137" s="299"/>
      <c r="D137" s="295"/>
      <c r="E137" s="295"/>
      <c r="F137" s="297"/>
      <c r="G137" s="78">
        <v>2016</v>
      </c>
      <c r="H137" s="76" t="s">
        <v>305</v>
      </c>
      <c r="I137" s="76" t="s">
        <v>196</v>
      </c>
      <c r="J137" s="77" t="s">
        <v>197</v>
      </c>
      <c r="K137" s="81" t="s">
        <v>310</v>
      </c>
      <c r="L137" s="76" t="s">
        <v>192</v>
      </c>
      <c r="M137" s="13" t="s">
        <v>193</v>
      </c>
      <c r="N137" s="75">
        <v>4.3</v>
      </c>
      <c r="O137" s="75">
        <v>4.3</v>
      </c>
      <c r="P137" s="75">
        <v>4.3</v>
      </c>
      <c r="Q137" s="75">
        <v>4.3</v>
      </c>
      <c r="R137" s="75">
        <v>4.3</v>
      </c>
      <c r="S137" s="75">
        <v>4.3</v>
      </c>
      <c r="T137" s="75">
        <v>4.3</v>
      </c>
      <c r="U137" s="75">
        <v>4.3</v>
      </c>
      <c r="V137" s="75">
        <v>4.3</v>
      </c>
      <c r="W137" s="75">
        <v>4.3</v>
      </c>
      <c r="X137" s="75">
        <v>4.3</v>
      </c>
      <c r="Y137" s="75">
        <v>4.3</v>
      </c>
      <c r="Z137" s="75">
        <v>4.3</v>
      </c>
      <c r="AA137" s="13">
        <v>0</v>
      </c>
      <c r="AB137" s="72">
        <v>0.04</v>
      </c>
      <c r="AC137" s="72">
        <v>0.04</v>
      </c>
      <c r="AD137" s="72">
        <v>0.04</v>
      </c>
      <c r="AE137" s="69">
        <v>0.04</v>
      </c>
      <c r="AF137" s="69">
        <v>0.04</v>
      </c>
      <c r="AG137" s="69">
        <v>0.04</v>
      </c>
      <c r="AH137" s="69">
        <v>0.04</v>
      </c>
      <c r="AI137" s="98">
        <v>0.12</v>
      </c>
      <c r="AJ137" s="98">
        <v>0.12</v>
      </c>
      <c r="AK137" s="98">
        <v>0.12</v>
      </c>
      <c r="AL137" s="98">
        <v>0.12</v>
      </c>
      <c r="AM137" s="98">
        <v>0.12</v>
      </c>
      <c r="AN137" s="73">
        <v>0</v>
      </c>
      <c r="AO137" s="95">
        <f t="shared" si="24"/>
        <v>0</v>
      </c>
      <c r="AP137" s="73">
        <v>0</v>
      </c>
      <c r="AQ137" s="95">
        <f t="shared" si="25"/>
        <v>0</v>
      </c>
      <c r="AR137" s="73">
        <v>0</v>
      </c>
      <c r="AS137" s="96">
        <f t="shared" si="26"/>
        <v>0</v>
      </c>
      <c r="AT137" s="79">
        <v>0</v>
      </c>
      <c r="AU137" s="97">
        <f t="shared" si="27"/>
        <v>0</v>
      </c>
      <c r="AV137" s="79">
        <v>0</v>
      </c>
      <c r="AW137" s="97">
        <f t="shared" si="28"/>
        <v>0</v>
      </c>
      <c r="AX137" s="80">
        <v>11520</v>
      </c>
      <c r="AY137" s="97">
        <f t="shared" si="29"/>
        <v>460.8</v>
      </c>
      <c r="AZ137" s="73">
        <v>0</v>
      </c>
      <c r="BA137" s="97">
        <f t="shared" si="30"/>
        <v>0</v>
      </c>
      <c r="BB137" s="70">
        <v>0</v>
      </c>
      <c r="BC137" s="97">
        <f t="shared" si="31"/>
        <v>0</v>
      </c>
      <c r="BD137" s="73">
        <v>0</v>
      </c>
      <c r="BE137" s="97">
        <f t="shared" si="32"/>
        <v>0</v>
      </c>
      <c r="BF137" s="70">
        <v>0</v>
      </c>
      <c r="BG137" s="97">
        <f t="shared" si="33"/>
        <v>0</v>
      </c>
      <c r="BH137" s="73">
        <v>0</v>
      </c>
      <c r="BI137" s="97">
        <f t="shared" si="34"/>
        <v>0</v>
      </c>
      <c r="BJ137" s="73">
        <v>0</v>
      </c>
      <c r="BK137" s="97">
        <f t="shared" si="35"/>
        <v>0</v>
      </c>
      <c r="BL137" s="128"/>
      <c r="BM137" s="131" t="s">
        <v>396</v>
      </c>
    </row>
    <row r="138" spans="1:66" ht="15.75" customHeight="1" thickBot="1">
      <c r="A138" s="93" t="s">
        <v>123</v>
      </c>
      <c r="B138" s="122" t="s">
        <v>184</v>
      </c>
      <c r="C138" s="299"/>
      <c r="D138" s="295"/>
      <c r="E138" s="295"/>
      <c r="F138" s="297"/>
      <c r="G138" s="78">
        <v>2016</v>
      </c>
      <c r="H138" s="76" t="s">
        <v>305</v>
      </c>
      <c r="I138" s="76" t="s">
        <v>196</v>
      </c>
      <c r="J138" s="77" t="s">
        <v>197</v>
      </c>
      <c r="K138" s="81" t="s">
        <v>397</v>
      </c>
      <c r="L138" s="76" t="s">
        <v>192</v>
      </c>
      <c r="M138" s="13" t="s">
        <v>193</v>
      </c>
      <c r="N138" s="75">
        <v>4.18</v>
      </c>
      <c r="O138" s="75">
        <v>4.18</v>
      </c>
      <c r="P138" s="75">
        <v>4.18</v>
      </c>
      <c r="Q138" s="75">
        <v>4.18</v>
      </c>
      <c r="R138" s="75">
        <v>4.18</v>
      </c>
      <c r="S138" s="75">
        <v>4.18</v>
      </c>
      <c r="T138" s="75">
        <v>4.18</v>
      </c>
      <c r="U138" s="75">
        <v>4.18</v>
      </c>
      <c r="V138" s="75">
        <v>4.18</v>
      </c>
      <c r="W138" s="75">
        <v>4.18</v>
      </c>
      <c r="X138" s="75">
        <v>4.18</v>
      </c>
      <c r="Y138" s="75">
        <v>4.18</v>
      </c>
      <c r="Z138" s="75">
        <v>4.18</v>
      </c>
      <c r="AA138" s="13">
        <v>0</v>
      </c>
      <c r="AB138" s="72">
        <v>0.04</v>
      </c>
      <c r="AC138" s="72">
        <v>0.04</v>
      </c>
      <c r="AD138" s="72">
        <v>0.04</v>
      </c>
      <c r="AE138" s="69">
        <v>0.04</v>
      </c>
      <c r="AF138" s="69">
        <v>0.04</v>
      </c>
      <c r="AG138" s="69">
        <v>0.04</v>
      </c>
      <c r="AH138" s="69">
        <v>0.04</v>
      </c>
      <c r="AI138" s="98">
        <v>0.12</v>
      </c>
      <c r="AJ138" s="98">
        <v>0.12</v>
      </c>
      <c r="AK138" s="98">
        <v>0.12</v>
      </c>
      <c r="AL138" s="98">
        <v>0.12</v>
      </c>
      <c r="AM138" s="98">
        <v>0.12</v>
      </c>
      <c r="AN138" s="73">
        <v>0</v>
      </c>
      <c r="AO138" s="95">
        <f t="shared" si="24"/>
        <v>0</v>
      </c>
      <c r="AP138" s="73">
        <v>0</v>
      </c>
      <c r="AQ138" s="95">
        <f t="shared" si="25"/>
        <v>0</v>
      </c>
      <c r="AR138" s="73">
        <v>0</v>
      </c>
      <c r="AS138" s="96">
        <f t="shared" si="26"/>
        <v>0</v>
      </c>
      <c r="AT138" s="79">
        <v>0</v>
      </c>
      <c r="AU138" s="97">
        <f t="shared" si="27"/>
        <v>0</v>
      </c>
      <c r="AV138" s="80">
        <v>0</v>
      </c>
      <c r="AW138" s="97">
        <f t="shared" si="28"/>
        <v>0</v>
      </c>
      <c r="AX138" s="80">
        <v>0</v>
      </c>
      <c r="AY138" s="97">
        <f t="shared" si="29"/>
        <v>0</v>
      </c>
      <c r="AZ138" s="73">
        <v>0</v>
      </c>
      <c r="BA138" s="97">
        <f t="shared" si="30"/>
        <v>0</v>
      </c>
      <c r="BB138" s="74">
        <v>0</v>
      </c>
      <c r="BC138" s="97">
        <f t="shared" si="31"/>
        <v>0</v>
      </c>
      <c r="BD138" s="71">
        <v>2880</v>
      </c>
      <c r="BE138" s="97">
        <f t="shared" si="32"/>
        <v>345.59999999999997</v>
      </c>
      <c r="BF138" s="73">
        <v>0</v>
      </c>
      <c r="BG138" s="97">
        <f t="shared" si="33"/>
        <v>0</v>
      </c>
      <c r="BH138" s="73">
        <v>0</v>
      </c>
      <c r="BI138" s="97">
        <f t="shared" si="34"/>
        <v>0</v>
      </c>
      <c r="BJ138" s="73">
        <v>0</v>
      </c>
      <c r="BK138" s="97">
        <f t="shared" si="35"/>
        <v>0</v>
      </c>
      <c r="BL138" s="128"/>
      <c r="BM138" s="131" t="s">
        <v>398</v>
      </c>
    </row>
    <row r="139" spans="1:66" ht="15.75" customHeight="1" thickBot="1">
      <c r="A139" s="93" t="s">
        <v>123</v>
      </c>
      <c r="B139" s="122" t="s">
        <v>184</v>
      </c>
      <c r="C139" s="299"/>
      <c r="D139" s="295"/>
      <c r="E139" s="295"/>
      <c r="F139" s="297"/>
      <c r="G139" s="78">
        <v>2016</v>
      </c>
      <c r="H139" s="76" t="s">
        <v>305</v>
      </c>
      <c r="I139" s="76" t="s">
        <v>196</v>
      </c>
      <c r="J139" s="77" t="s">
        <v>197</v>
      </c>
      <c r="K139" s="81" t="s">
        <v>397</v>
      </c>
      <c r="L139" s="76" t="s">
        <v>192</v>
      </c>
      <c r="M139" s="13" t="s">
        <v>193</v>
      </c>
      <c r="N139" s="75">
        <v>4.1399999999999997</v>
      </c>
      <c r="O139" s="75">
        <v>4.1399999999999997</v>
      </c>
      <c r="P139" s="75">
        <v>4.1399999999999997</v>
      </c>
      <c r="Q139" s="75">
        <v>4.1399999999999997</v>
      </c>
      <c r="R139" s="75">
        <v>4.1399999999999997</v>
      </c>
      <c r="S139" s="75">
        <v>4.1399999999999997</v>
      </c>
      <c r="T139" s="75">
        <v>4.1399999999999997</v>
      </c>
      <c r="U139" s="75">
        <v>4.1399999999999997</v>
      </c>
      <c r="V139" s="75">
        <v>4.1399999999999997</v>
      </c>
      <c r="W139" s="75">
        <v>4.1399999999999997</v>
      </c>
      <c r="X139" s="75">
        <v>4.1399999999999997</v>
      </c>
      <c r="Y139" s="75">
        <v>4.1399999999999997</v>
      </c>
      <c r="Z139" s="75">
        <v>4.1399999999999997</v>
      </c>
      <c r="AA139" s="13">
        <v>0</v>
      </c>
      <c r="AB139" s="72">
        <v>0.04</v>
      </c>
      <c r="AC139" s="72">
        <v>0.04</v>
      </c>
      <c r="AD139" s="72">
        <v>0.04</v>
      </c>
      <c r="AE139" s="69">
        <v>0.04</v>
      </c>
      <c r="AF139" s="69">
        <v>0.04</v>
      </c>
      <c r="AG139" s="69">
        <v>0.04</v>
      </c>
      <c r="AH139" s="69">
        <v>0.04</v>
      </c>
      <c r="AI139" s="98">
        <v>0.12</v>
      </c>
      <c r="AJ139" s="98">
        <v>0.12</v>
      </c>
      <c r="AK139" s="98">
        <v>0.12</v>
      </c>
      <c r="AL139" s="98">
        <v>0.12</v>
      </c>
      <c r="AM139" s="98">
        <v>0.12</v>
      </c>
      <c r="AN139" s="73">
        <v>0</v>
      </c>
      <c r="AO139" s="95">
        <f t="shared" si="24"/>
        <v>0</v>
      </c>
      <c r="AP139" s="73">
        <v>0</v>
      </c>
      <c r="AQ139" s="95">
        <f t="shared" si="25"/>
        <v>0</v>
      </c>
      <c r="AR139" s="73">
        <v>0</v>
      </c>
      <c r="AS139" s="96">
        <f t="shared" si="26"/>
        <v>0</v>
      </c>
      <c r="AT139" s="79">
        <v>0</v>
      </c>
      <c r="AU139" s="97">
        <f t="shared" si="27"/>
        <v>0</v>
      </c>
      <c r="AV139" s="80">
        <v>0</v>
      </c>
      <c r="AW139" s="97">
        <f t="shared" si="28"/>
        <v>0</v>
      </c>
      <c r="AX139" s="80">
        <v>0</v>
      </c>
      <c r="AY139" s="97">
        <f t="shared" si="29"/>
        <v>0</v>
      </c>
      <c r="AZ139" s="71">
        <v>0</v>
      </c>
      <c r="BA139" s="97">
        <f t="shared" si="30"/>
        <v>0</v>
      </c>
      <c r="BB139" s="74">
        <v>0</v>
      </c>
      <c r="BC139" s="97">
        <f t="shared" si="31"/>
        <v>0</v>
      </c>
      <c r="BD139" s="70">
        <v>0</v>
      </c>
      <c r="BE139" s="97">
        <f t="shared" si="32"/>
        <v>0</v>
      </c>
      <c r="BF139" s="73">
        <v>0</v>
      </c>
      <c r="BG139" s="97">
        <f t="shared" si="33"/>
        <v>0</v>
      </c>
      <c r="BH139" s="70">
        <v>2880</v>
      </c>
      <c r="BI139" s="97">
        <f t="shared" si="34"/>
        <v>345.59999999999997</v>
      </c>
      <c r="BJ139" s="70">
        <v>0</v>
      </c>
      <c r="BK139" s="97">
        <f t="shared" si="35"/>
        <v>0</v>
      </c>
      <c r="BL139" s="128"/>
      <c r="BM139" s="131" t="s">
        <v>399</v>
      </c>
      <c r="BN139" s="1" t="s">
        <v>395</v>
      </c>
    </row>
    <row r="140" spans="1:66" ht="15.75" customHeight="1" thickBot="1">
      <c r="A140" s="93" t="s">
        <v>123</v>
      </c>
      <c r="B140" s="122" t="s">
        <v>184</v>
      </c>
      <c r="C140" s="299"/>
      <c r="D140" s="295"/>
      <c r="E140" s="295"/>
      <c r="F140" s="297"/>
      <c r="G140" s="78">
        <v>2016</v>
      </c>
      <c r="H140" s="76" t="s">
        <v>305</v>
      </c>
      <c r="I140" s="76" t="s">
        <v>196</v>
      </c>
      <c r="J140" s="77" t="s">
        <v>197</v>
      </c>
      <c r="K140" s="81" t="s">
        <v>221</v>
      </c>
      <c r="L140" s="76" t="s">
        <v>192</v>
      </c>
      <c r="M140" s="13" t="s">
        <v>193</v>
      </c>
      <c r="N140" s="75">
        <v>4.04</v>
      </c>
      <c r="O140" s="75">
        <v>4.04</v>
      </c>
      <c r="P140" s="75">
        <v>4.04</v>
      </c>
      <c r="Q140" s="75">
        <v>4.04</v>
      </c>
      <c r="R140" s="75">
        <v>4.04</v>
      </c>
      <c r="S140" s="75">
        <v>4.04</v>
      </c>
      <c r="T140" s="75">
        <v>4.04</v>
      </c>
      <c r="U140" s="75">
        <v>4.04</v>
      </c>
      <c r="V140" s="75">
        <v>4.04</v>
      </c>
      <c r="W140" s="75">
        <v>4.04</v>
      </c>
      <c r="X140" s="75">
        <v>4.04</v>
      </c>
      <c r="Y140" s="75">
        <v>4.04</v>
      </c>
      <c r="Z140" s="75">
        <v>4.04</v>
      </c>
      <c r="AA140" s="13">
        <v>0</v>
      </c>
      <c r="AB140" s="72">
        <v>0.04</v>
      </c>
      <c r="AC140" s="72">
        <v>0.04</v>
      </c>
      <c r="AD140" s="72">
        <v>0.04</v>
      </c>
      <c r="AE140" s="69">
        <v>0.04</v>
      </c>
      <c r="AF140" s="69">
        <v>0.04</v>
      </c>
      <c r="AG140" s="69">
        <v>0.04</v>
      </c>
      <c r="AH140" s="69">
        <v>0.04</v>
      </c>
      <c r="AI140" s="69">
        <v>0.04</v>
      </c>
      <c r="AJ140" s="69">
        <v>0.04</v>
      </c>
      <c r="AK140" s="69">
        <v>0.04</v>
      </c>
      <c r="AL140" s="69">
        <v>0.04</v>
      </c>
      <c r="AM140" s="69">
        <v>0.04</v>
      </c>
      <c r="AN140" s="73">
        <v>0</v>
      </c>
      <c r="AO140" s="95">
        <f>AB140*AN140</f>
        <v>0</v>
      </c>
      <c r="AP140" s="73">
        <v>0</v>
      </c>
      <c r="AQ140" s="95">
        <f>AC140*AP140</f>
        <v>0</v>
      </c>
      <c r="AR140" s="73">
        <v>0</v>
      </c>
      <c r="AS140" s="96">
        <f>AD140*AR140</f>
        <v>0</v>
      </c>
      <c r="AT140" s="79">
        <v>0</v>
      </c>
      <c r="AU140" s="97">
        <f>AE140*AT140</f>
        <v>0</v>
      </c>
      <c r="AV140" s="79">
        <v>0</v>
      </c>
      <c r="AW140" s="97">
        <f>AF140*AV140</f>
        <v>0</v>
      </c>
      <c r="AX140" s="80">
        <v>0</v>
      </c>
      <c r="AY140" s="97">
        <f>AG140*AX140</f>
        <v>0</v>
      </c>
      <c r="AZ140" s="74">
        <v>0</v>
      </c>
      <c r="BA140" s="97">
        <f>AH140*AZ140</f>
        <v>0</v>
      </c>
      <c r="BB140" s="74">
        <v>0</v>
      </c>
      <c r="BC140" s="97">
        <f>AI140*BB140</f>
        <v>0</v>
      </c>
      <c r="BD140" s="70">
        <v>0</v>
      </c>
      <c r="BE140" s="97">
        <f t="shared" si="32"/>
        <v>0</v>
      </c>
      <c r="BF140" s="73">
        <v>2880</v>
      </c>
      <c r="BG140" s="97">
        <f t="shared" si="33"/>
        <v>115.2</v>
      </c>
      <c r="BH140" s="73">
        <v>0</v>
      </c>
      <c r="BI140" s="97">
        <f>AL140*BH140</f>
        <v>0</v>
      </c>
      <c r="BJ140" s="73">
        <v>2880</v>
      </c>
      <c r="BK140" s="97">
        <f>AM140*BJ140</f>
        <v>115.2</v>
      </c>
      <c r="BL140" s="128"/>
      <c r="BM140" s="131" t="s">
        <v>391</v>
      </c>
    </row>
    <row r="141" spans="1:66" ht="15.75" customHeight="1" thickBot="1">
      <c r="A141" s="93" t="s">
        <v>123</v>
      </c>
      <c r="B141" s="122" t="s">
        <v>184</v>
      </c>
      <c r="C141" s="299"/>
      <c r="D141" s="295"/>
      <c r="E141" s="295"/>
      <c r="F141" s="297"/>
      <c r="G141" s="78">
        <v>2018</v>
      </c>
      <c r="H141" s="76" t="s">
        <v>195</v>
      </c>
      <c r="I141" s="76" t="s">
        <v>196</v>
      </c>
      <c r="J141" s="77" t="s">
        <v>197</v>
      </c>
      <c r="K141" s="81" t="s">
        <v>191</v>
      </c>
      <c r="L141" s="76" t="s">
        <v>192</v>
      </c>
      <c r="M141" s="13" t="s">
        <v>193</v>
      </c>
      <c r="N141" s="75">
        <v>1.79</v>
      </c>
      <c r="O141" s="75">
        <v>1.79</v>
      </c>
      <c r="P141" s="75">
        <v>1.79</v>
      </c>
      <c r="Q141" s="75">
        <v>1.79</v>
      </c>
      <c r="R141" s="75">
        <v>1.79</v>
      </c>
      <c r="S141" s="75">
        <v>1.79</v>
      </c>
      <c r="T141" s="75">
        <v>1.79</v>
      </c>
      <c r="U141" s="75">
        <v>1.79</v>
      </c>
      <c r="V141" s="75">
        <v>1.79</v>
      </c>
      <c r="W141" s="75">
        <v>1.79</v>
      </c>
      <c r="X141" s="75">
        <v>1.79</v>
      </c>
      <c r="Y141" s="75">
        <v>1.79</v>
      </c>
      <c r="Z141" s="75">
        <v>1.79</v>
      </c>
      <c r="AA141" s="13">
        <v>0</v>
      </c>
      <c r="AB141" s="72">
        <v>0</v>
      </c>
      <c r="AC141" s="72">
        <v>0</v>
      </c>
      <c r="AD141" s="72">
        <v>0</v>
      </c>
      <c r="AE141" s="69">
        <v>0</v>
      </c>
      <c r="AF141" s="69">
        <v>0</v>
      </c>
      <c r="AG141" s="69">
        <v>0</v>
      </c>
      <c r="AH141" s="69">
        <v>0</v>
      </c>
      <c r="AI141" s="69">
        <v>0</v>
      </c>
      <c r="AJ141" s="69">
        <v>0</v>
      </c>
      <c r="AK141" s="69">
        <v>0</v>
      </c>
      <c r="AL141" s="69">
        <v>0</v>
      </c>
      <c r="AM141" s="69">
        <v>0</v>
      </c>
      <c r="AN141" s="73">
        <v>0</v>
      </c>
      <c r="AO141" s="95">
        <f t="shared" si="24"/>
        <v>0</v>
      </c>
      <c r="AP141" s="73">
        <v>0</v>
      </c>
      <c r="AQ141" s="95">
        <f t="shared" si="25"/>
        <v>0</v>
      </c>
      <c r="AR141" s="73">
        <v>0</v>
      </c>
      <c r="AS141" s="96">
        <f t="shared" si="26"/>
        <v>0</v>
      </c>
      <c r="AT141" s="79">
        <v>0</v>
      </c>
      <c r="AU141" s="97">
        <f t="shared" si="27"/>
        <v>0</v>
      </c>
      <c r="AV141" s="79">
        <v>0</v>
      </c>
      <c r="AW141" s="97">
        <f t="shared" si="28"/>
        <v>0</v>
      </c>
      <c r="AX141" s="80">
        <v>0</v>
      </c>
      <c r="AY141" s="97">
        <f t="shared" si="29"/>
        <v>0</v>
      </c>
      <c r="AZ141" s="73">
        <v>0</v>
      </c>
      <c r="BA141" s="97">
        <f t="shared" si="30"/>
        <v>0</v>
      </c>
      <c r="BB141" s="70">
        <v>0</v>
      </c>
      <c r="BC141" s="97">
        <f t="shared" si="31"/>
        <v>0</v>
      </c>
      <c r="BD141" s="74">
        <v>0</v>
      </c>
      <c r="BE141" s="97">
        <f t="shared" si="32"/>
        <v>0</v>
      </c>
      <c r="BF141" s="73">
        <v>26880</v>
      </c>
      <c r="BG141" s="97">
        <f t="shared" si="33"/>
        <v>0</v>
      </c>
      <c r="BH141" s="73">
        <v>0</v>
      </c>
      <c r="BI141" s="97">
        <f t="shared" si="34"/>
        <v>0</v>
      </c>
      <c r="BJ141" s="73">
        <v>0</v>
      </c>
      <c r="BK141" s="97">
        <f t="shared" si="35"/>
        <v>0</v>
      </c>
      <c r="BL141" s="128"/>
      <c r="BM141" s="131" t="s">
        <v>400</v>
      </c>
    </row>
    <row r="142" spans="1:66" ht="15.75" customHeight="1" thickBot="1">
      <c r="A142" s="93" t="s">
        <v>123</v>
      </c>
      <c r="B142" s="122" t="s">
        <v>184</v>
      </c>
      <c r="C142" s="299"/>
      <c r="D142" s="295"/>
      <c r="E142" s="295"/>
      <c r="F142" s="297"/>
      <c r="G142" s="78">
        <v>2020</v>
      </c>
      <c r="H142" s="76" t="s">
        <v>356</v>
      </c>
      <c r="I142" s="76" t="s">
        <v>196</v>
      </c>
      <c r="J142" s="77" t="s">
        <v>197</v>
      </c>
      <c r="K142" s="81" t="s">
        <v>357</v>
      </c>
      <c r="L142" s="76" t="s">
        <v>192</v>
      </c>
      <c r="M142" s="13" t="s">
        <v>193</v>
      </c>
      <c r="N142" s="75">
        <v>3.87</v>
      </c>
      <c r="O142" s="75">
        <v>3.87</v>
      </c>
      <c r="P142" s="75">
        <v>3.87</v>
      </c>
      <c r="Q142" s="75">
        <v>3.87</v>
      </c>
      <c r="R142" s="75">
        <v>3.87</v>
      </c>
      <c r="S142" s="75">
        <v>3.87</v>
      </c>
      <c r="T142" s="75">
        <v>3.87</v>
      </c>
      <c r="U142" s="75">
        <v>3.87</v>
      </c>
      <c r="V142" s="75">
        <v>3.87</v>
      </c>
      <c r="W142" s="75">
        <v>3.87</v>
      </c>
      <c r="X142" s="75">
        <v>3.87</v>
      </c>
      <c r="Y142" s="75">
        <v>3.87</v>
      </c>
      <c r="Z142" s="75">
        <v>3.87</v>
      </c>
      <c r="AA142" s="13">
        <v>0</v>
      </c>
      <c r="AB142" s="72">
        <v>0</v>
      </c>
      <c r="AC142" s="72">
        <v>0</v>
      </c>
      <c r="AD142" s="72">
        <v>0</v>
      </c>
      <c r="AE142" s="69">
        <v>0</v>
      </c>
      <c r="AF142" s="69">
        <v>0</v>
      </c>
      <c r="AG142" s="69">
        <v>0</v>
      </c>
      <c r="AH142" s="69">
        <v>0</v>
      </c>
      <c r="AI142" s="69">
        <v>0</v>
      </c>
      <c r="AJ142" s="69">
        <v>0</v>
      </c>
      <c r="AK142" s="69">
        <v>0</v>
      </c>
      <c r="AL142" s="69">
        <v>0</v>
      </c>
      <c r="AM142" s="69">
        <v>0</v>
      </c>
      <c r="AN142" s="73">
        <v>0</v>
      </c>
      <c r="AO142" s="95">
        <f t="shared" si="24"/>
        <v>0</v>
      </c>
      <c r="AP142" s="73">
        <v>0</v>
      </c>
      <c r="AQ142" s="95">
        <f t="shared" si="25"/>
        <v>0</v>
      </c>
      <c r="AR142" s="73">
        <v>0</v>
      </c>
      <c r="AS142" s="96">
        <f t="shared" si="26"/>
        <v>0</v>
      </c>
      <c r="AT142" s="79">
        <v>0</v>
      </c>
      <c r="AU142" s="97">
        <f t="shared" si="27"/>
        <v>0</v>
      </c>
      <c r="AV142" s="79">
        <v>11520</v>
      </c>
      <c r="AW142" s="97">
        <f t="shared" si="28"/>
        <v>0</v>
      </c>
      <c r="AX142" s="80">
        <v>5760</v>
      </c>
      <c r="AY142" s="97">
        <f t="shared" si="29"/>
        <v>0</v>
      </c>
      <c r="AZ142" s="73">
        <v>2880</v>
      </c>
      <c r="BA142" s="97">
        <f t="shared" si="30"/>
        <v>0</v>
      </c>
      <c r="BB142" s="70">
        <v>11520</v>
      </c>
      <c r="BC142" s="97">
        <f t="shared" si="31"/>
        <v>0</v>
      </c>
      <c r="BD142" s="74">
        <v>0</v>
      </c>
      <c r="BE142" s="97">
        <f t="shared" si="32"/>
        <v>0</v>
      </c>
      <c r="BF142" s="70">
        <v>2880</v>
      </c>
      <c r="BG142" s="97">
        <f t="shared" si="33"/>
        <v>0</v>
      </c>
      <c r="BH142" s="70">
        <v>0</v>
      </c>
      <c r="BI142" s="97">
        <f t="shared" si="34"/>
        <v>0</v>
      </c>
      <c r="BJ142" s="70">
        <v>2880</v>
      </c>
      <c r="BK142" s="97">
        <f t="shared" si="35"/>
        <v>0</v>
      </c>
      <c r="BL142" s="128"/>
      <c r="BM142" s="131" t="s">
        <v>401</v>
      </c>
    </row>
    <row r="143" spans="1:66" ht="15.75" customHeight="1" thickBot="1">
      <c r="A143" s="93" t="s">
        <v>123</v>
      </c>
      <c r="B143" s="122" t="s">
        <v>184</v>
      </c>
      <c r="C143" s="299"/>
      <c r="D143" s="295"/>
      <c r="E143" s="295"/>
      <c r="F143" s="297"/>
      <c r="G143" s="78">
        <v>2020</v>
      </c>
      <c r="H143" s="76" t="s">
        <v>356</v>
      </c>
      <c r="I143" s="76" t="s">
        <v>196</v>
      </c>
      <c r="J143" s="77" t="s">
        <v>197</v>
      </c>
      <c r="K143" s="81" t="s">
        <v>357</v>
      </c>
      <c r="L143" s="76" t="s">
        <v>192</v>
      </c>
      <c r="M143" s="13" t="s">
        <v>193</v>
      </c>
      <c r="N143" s="75">
        <v>4.05</v>
      </c>
      <c r="O143" s="75">
        <v>4.05</v>
      </c>
      <c r="P143" s="75">
        <v>4.05</v>
      </c>
      <c r="Q143" s="75">
        <v>4.05</v>
      </c>
      <c r="R143" s="75">
        <v>4.05</v>
      </c>
      <c r="S143" s="75">
        <v>4.05</v>
      </c>
      <c r="T143" s="75">
        <v>4.05</v>
      </c>
      <c r="U143" s="75">
        <v>4.05</v>
      </c>
      <c r="V143" s="75">
        <v>4.05</v>
      </c>
      <c r="W143" s="75">
        <v>4.05</v>
      </c>
      <c r="X143" s="75">
        <v>4.05</v>
      </c>
      <c r="Y143" s="75">
        <v>4.05</v>
      </c>
      <c r="Z143" s="75">
        <v>4.05</v>
      </c>
      <c r="AA143" s="13">
        <v>0</v>
      </c>
      <c r="AB143" s="72">
        <v>0</v>
      </c>
      <c r="AC143" s="72">
        <v>0</v>
      </c>
      <c r="AD143" s="72">
        <v>0</v>
      </c>
      <c r="AE143" s="69">
        <v>0</v>
      </c>
      <c r="AF143" s="69">
        <v>0</v>
      </c>
      <c r="AG143" s="69">
        <v>0</v>
      </c>
      <c r="AH143" s="69">
        <v>0</v>
      </c>
      <c r="AI143" s="69">
        <v>0</v>
      </c>
      <c r="AJ143" s="69">
        <v>0</v>
      </c>
      <c r="AK143" s="69">
        <v>0</v>
      </c>
      <c r="AL143" s="69">
        <v>0</v>
      </c>
      <c r="AM143" s="69">
        <v>0</v>
      </c>
      <c r="AN143" s="73">
        <v>0</v>
      </c>
      <c r="AO143" s="95">
        <f t="shared" si="24"/>
        <v>0</v>
      </c>
      <c r="AP143" s="73">
        <v>0</v>
      </c>
      <c r="AQ143" s="95">
        <f t="shared" si="25"/>
        <v>0</v>
      </c>
      <c r="AR143" s="73">
        <v>0</v>
      </c>
      <c r="AS143" s="96">
        <f t="shared" si="26"/>
        <v>0</v>
      </c>
      <c r="AT143" s="79">
        <v>0</v>
      </c>
      <c r="AU143" s="97">
        <f t="shared" si="27"/>
        <v>0</v>
      </c>
      <c r="AV143" s="79">
        <v>0</v>
      </c>
      <c r="AW143" s="97">
        <f t="shared" si="28"/>
        <v>0</v>
      </c>
      <c r="AX143" s="80">
        <v>0</v>
      </c>
      <c r="AY143" s="97">
        <f t="shared" si="29"/>
        <v>0</v>
      </c>
      <c r="AZ143" s="70">
        <v>0</v>
      </c>
      <c r="BA143" s="97">
        <f t="shared" si="30"/>
        <v>0</v>
      </c>
      <c r="BB143" s="74">
        <v>0</v>
      </c>
      <c r="BC143" s="97">
        <f t="shared" si="31"/>
        <v>0</v>
      </c>
      <c r="BD143" s="70">
        <v>0</v>
      </c>
      <c r="BE143" s="97">
        <f t="shared" si="32"/>
        <v>0</v>
      </c>
      <c r="BF143" s="73">
        <v>0</v>
      </c>
      <c r="BG143" s="97">
        <f t="shared" si="33"/>
        <v>0</v>
      </c>
      <c r="BH143" s="73">
        <v>0</v>
      </c>
      <c r="BI143" s="97">
        <f t="shared" si="34"/>
        <v>0</v>
      </c>
      <c r="BJ143" s="73">
        <v>0</v>
      </c>
      <c r="BK143" s="97">
        <f t="shared" si="35"/>
        <v>0</v>
      </c>
      <c r="BL143" s="128"/>
      <c r="BM143" s="131" t="s">
        <v>402</v>
      </c>
    </row>
    <row r="144" spans="1:66" ht="15.75" customHeight="1" thickBot="1">
      <c r="A144" s="93" t="s">
        <v>123</v>
      </c>
      <c r="B144" s="122" t="s">
        <v>184</v>
      </c>
      <c r="C144" s="299"/>
      <c r="D144" s="295"/>
      <c r="E144" s="295"/>
      <c r="F144" s="297"/>
      <c r="G144" s="78">
        <v>2020</v>
      </c>
      <c r="H144" s="76" t="s">
        <v>356</v>
      </c>
      <c r="I144" s="76" t="s">
        <v>196</v>
      </c>
      <c r="J144" s="77" t="s">
        <v>197</v>
      </c>
      <c r="K144" s="81" t="s">
        <v>357</v>
      </c>
      <c r="L144" s="76" t="s">
        <v>192</v>
      </c>
      <c r="M144" s="13" t="s">
        <v>193</v>
      </c>
      <c r="N144" s="75">
        <v>3.91</v>
      </c>
      <c r="O144" s="75">
        <v>3.91</v>
      </c>
      <c r="P144" s="75">
        <v>3.91</v>
      </c>
      <c r="Q144" s="75">
        <v>3.91</v>
      </c>
      <c r="R144" s="75">
        <v>3.91</v>
      </c>
      <c r="S144" s="75">
        <v>3.91</v>
      </c>
      <c r="T144" s="75">
        <v>3.91</v>
      </c>
      <c r="U144" s="75">
        <v>3.91</v>
      </c>
      <c r="V144" s="75">
        <v>3.91</v>
      </c>
      <c r="W144" s="75">
        <v>3.91</v>
      </c>
      <c r="X144" s="75">
        <v>3.91</v>
      </c>
      <c r="Y144" s="75">
        <v>3.91</v>
      </c>
      <c r="Z144" s="75">
        <v>3.91</v>
      </c>
      <c r="AA144" s="13">
        <v>0</v>
      </c>
      <c r="AB144" s="72">
        <v>0</v>
      </c>
      <c r="AC144" s="72">
        <v>0</v>
      </c>
      <c r="AD144" s="72">
        <v>0</v>
      </c>
      <c r="AE144" s="69">
        <v>0</v>
      </c>
      <c r="AF144" s="69">
        <v>0</v>
      </c>
      <c r="AG144" s="69">
        <v>0</v>
      </c>
      <c r="AH144" s="69">
        <v>0</v>
      </c>
      <c r="AI144" s="69">
        <v>0</v>
      </c>
      <c r="AJ144" s="69">
        <v>0</v>
      </c>
      <c r="AK144" s="69">
        <v>0</v>
      </c>
      <c r="AL144" s="69">
        <v>0</v>
      </c>
      <c r="AM144" s="69">
        <v>0</v>
      </c>
      <c r="AN144" s="73">
        <v>0</v>
      </c>
      <c r="AO144" s="95">
        <f t="shared" si="24"/>
        <v>0</v>
      </c>
      <c r="AP144" s="73">
        <v>0</v>
      </c>
      <c r="AQ144" s="95">
        <f t="shared" si="25"/>
        <v>0</v>
      </c>
      <c r="AR144" s="73">
        <v>0</v>
      </c>
      <c r="AS144" s="96">
        <f t="shared" si="26"/>
        <v>0</v>
      </c>
      <c r="AT144" s="79">
        <v>0</v>
      </c>
      <c r="AU144" s="97">
        <f t="shared" si="27"/>
        <v>0</v>
      </c>
      <c r="AV144" s="79">
        <v>0</v>
      </c>
      <c r="AW144" s="97">
        <f t="shared" si="28"/>
        <v>0</v>
      </c>
      <c r="AX144" s="80">
        <v>0</v>
      </c>
      <c r="AY144" s="97">
        <f t="shared" si="29"/>
        <v>0</v>
      </c>
      <c r="AZ144" s="73">
        <v>0</v>
      </c>
      <c r="BA144" s="97">
        <f t="shared" si="30"/>
        <v>0</v>
      </c>
      <c r="BB144" s="74">
        <v>0</v>
      </c>
      <c r="BC144" s="97">
        <f t="shared" si="31"/>
        <v>0</v>
      </c>
      <c r="BD144" s="73">
        <v>0</v>
      </c>
      <c r="BE144" s="97">
        <f t="shared" si="32"/>
        <v>0</v>
      </c>
      <c r="BF144" s="73">
        <v>0</v>
      </c>
      <c r="BG144" s="97">
        <f t="shared" si="33"/>
        <v>0</v>
      </c>
      <c r="BH144" s="70">
        <v>0</v>
      </c>
      <c r="BI144" s="97">
        <f t="shared" si="34"/>
        <v>0</v>
      </c>
      <c r="BJ144" s="73">
        <v>0</v>
      </c>
      <c r="BK144" s="97">
        <f t="shared" si="35"/>
        <v>0</v>
      </c>
      <c r="BL144" s="128"/>
      <c r="BM144" s="131" t="s">
        <v>403</v>
      </c>
    </row>
    <row r="145" spans="1:66" ht="15.75" customHeight="1" thickBot="1">
      <c r="A145" s="93" t="s">
        <v>123</v>
      </c>
      <c r="B145" s="122" t="s">
        <v>184</v>
      </c>
      <c r="C145" s="299"/>
      <c r="D145" s="295"/>
      <c r="E145" s="295"/>
      <c r="F145" s="297"/>
      <c r="G145" s="78">
        <v>2020</v>
      </c>
      <c r="H145" s="76" t="s">
        <v>215</v>
      </c>
      <c r="I145" s="76" t="s">
        <v>196</v>
      </c>
      <c r="J145" s="77" t="s">
        <v>197</v>
      </c>
      <c r="K145" s="81" t="s">
        <v>216</v>
      </c>
      <c r="L145" s="76" t="s">
        <v>192</v>
      </c>
      <c r="M145" s="13" t="s">
        <v>193</v>
      </c>
      <c r="N145" s="75">
        <v>30.48</v>
      </c>
      <c r="O145" s="75">
        <v>30.48</v>
      </c>
      <c r="P145" s="75">
        <v>30.48</v>
      </c>
      <c r="Q145" s="75">
        <v>30.48</v>
      </c>
      <c r="R145" s="75">
        <v>30.48</v>
      </c>
      <c r="S145" s="75">
        <v>30.48</v>
      </c>
      <c r="T145" s="75">
        <v>30.48</v>
      </c>
      <c r="U145" s="75">
        <v>30.48</v>
      </c>
      <c r="V145" s="75">
        <v>30.48</v>
      </c>
      <c r="W145" s="75">
        <v>30.48</v>
      </c>
      <c r="X145" s="75">
        <v>30.48</v>
      </c>
      <c r="Y145" s="75">
        <v>30.48</v>
      </c>
      <c r="Z145" s="75">
        <v>30.48</v>
      </c>
      <c r="AA145" s="13">
        <v>0</v>
      </c>
      <c r="AB145" s="72">
        <v>0</v>
      </c>
      <c r="AC145" s="72">
        <v>0</v>
      </c>
      <c r="AD145" s="72">
        <v>0</v>
      </c>
      <c r="AE145" s="69">
        <v>0</v>
      </c>
      <c r="AF145" s="69">
        <v>0</v>
      </c>
      <c r="AG145" s="69">
        <v>0</v>
      </c>
      <c r="AH145" s="69">
        <v>0</v>
      </c>
      <c r="AI145" s="69">
        <v>0</v>
      </c>
      <c r="AJ145" s="69">
        <v>0</v>
      </c>
      <c r="AK145" s="69">
        <v>0</v>
      </c>
      <c r="AL145" s="69">
        <v>0</v>
      </c>
      <c r="AM145" s="69">
        <v>0</v>
      </c>
      <c r="AN145" s="73">
        <v>0</v>
      </c>
      <c r="AO145" s="95">
        <f t="shared" si="24"/>
        <v>0</v>
      </c>
      <c r="AP145" s="73">
        <v>0</v>
      </c>
      <c r="AQ145" s="95">
        <f t="shared" si="25"/>
        <v>0</v>
      </c>
      <c r="AR145" s="73">
        <v>0</v>
      </c>
      <c r="AS145" s="96">
        <f t="shared" si="26"/>
        <v>0</v>
      </c>
      <c r="AT145" s="79">
        <v>0</v>
      </c>
      <c r="AU145" s="97">
        <f t="shared" si="27"/>
        <v>0</v>
      </c>
      <c r="AV145" s="79">
        <v>0</v>
      </c>
      <c r="AW145" s="97">
        <f t="shared" si="28"/>
        <v>0</v>
      </c>
      <c r="AX145" s="80">
        <v>0</v>
      </c>
      <c r="AY145" s="97">
        <f t="shared" si="29"/>
        <v>0</v>
      </c>
      <c r="AZ145" s="73">
        <v>0</v>
      </c>
      <c r="BA145" s="97">
        <f t="shared" si="30"/>
        <v>0</v>
      </c>
      <c r="BB145" s="70">
        <v>0</v>
      </c>
      <c r="BC145" s="97">
        <f t="shared" si="31"/>
        <v>0</v>
      </c>
      <c r="BD145" s="73">
        <v>0</v>
      </c>
      <c r="BE145" s="97">
        <f t="shared" si="32"/>
        <v>0</v>
      </c>
      <c r="BF145" s="73">
        <v>0</v>
      </c>
      <c r="BG145" s="97">
        <f t="shared" si="33"/>
        <v>0</v>
      </c>
      <c r="BH145" s="73">
        <v>0</v>
      </c>
      <c r="BI145" s="97">
        <f t="shared" si="34"/>
        <v>0</v>
      </c>
      <c r="BJ145" s="70">
        <v>0</v>
      </c>
      <c r="BK145" s="97">
        <f t="shared" si="35"/>
        <v>0</v>
      </c>
      <c r="BL145" s="128"/>
      <c r="BM145" s="131" t="s">
        <v>404</v>
      </c>
    </row>
    <row r="146" spans="1:66" ht="15.75" customHeight="1" thickBot="1">
      <c r="A146" s="93" t="s">
        <v>123</v>
      </c>
      <c r="B146" s="122" t="s">
        <v>184</v>
      </c>
      <c r="C146" s="299"/>
      <c r="D146" s="295"/>
      <c r="E146" s="295"/>
      <c r="F146" s="297"/>
      <c r="G146" s="78">
        <v>2020</v>
      </c>
      <c r="H146" s="76" t="s">
        <v>215</v>
      </c>
      <c r="I146" s="76" t="s">
        <v>196</v>
      </c>
      <c r="J146" s="77" t="s">
        <v>197</v>
      </c>
      <c r="K146" s="81" t="s">
        <v>218</v>
      </c>
      <c r="L146" s="76" t="s">
        <v>192</v>
      </c>
      <c r="M146" s="13" t="s">
        <v>193</v>
      </c>
      <c r="N146" s="75">
        <v>30.58</v>
      </c>
      <c r="O146" s="75">
        <v>30.58</v>
      </c>
      <c r="P146" s="75">
        <v>30.58</v>
      </c>
      <c r="Q146" s="75">
        <v>30.58</v>
      </c>
      <c r="R146" s="75">
        <v>30.58</v>
      </c>
      <c r="S146" s="75">
        <v>30.58</v>
      </c>
      <c r="T146" s="75">
        <v>30.58</v>
      </c>
      <c r="U146" s="75">
        <v>30.58</v>
      </c>
      <c r="V146" s="75">
        <v>30.58</v>
      </c>
      <c r="W146" s="75">
        <v>30.58</v>
      </c>
      <c r="X146" s="75">
        <v>30.58</v>
      </c>
      <c r="Y146" s="75">
        <v>30.58</v>
      </c>
      <c r="Z146" s="75">
        <v>30.58</v>
      </c>
      <c r="AA146" s="13">
        <v>0</v>
      </c>
      <c r="AB146" s="72">
        <v>0</v>
      </c>
      <c r="AC146" s="72">
        <v>0</v>
      </c>
      <c r="AD146" s="72">
        <v>0</v>
      </c>
      <c r="AE146" s="69">
        <v>0</v>
      </c>
      <c r="AF146" s="69">
        <v>0</v>
      </c>
      <c r="AG146" s="69">
        <v>0</v>
      </c>
      <c r="AH146" s="69">
        <v>0</v>
      </c>
      <c r="AI146" s="69">
        <v>0</v>
      </c>
      <c r="AJ146" s="69">
        <v>0</v>
      </c>
      <c r="AK146" s="69">
        <v>0</v>
      </c>
      <c r="AL146" s="69">
        <v>0</v>
      </c>
      <c r="AM146" s="69">
        <v>0</v>
      </c>
      <c r="AN146" s="73">
        <v>0</v>
      </c>
      <c r="AO146" s="95">
        <f t="shared" si="24"/>
        <v>0</v>
      </c>
      <c r="AP146" s="73">
        <v>0</v>
      </c>
      <c r="AQ146" s="95">
        <f t="shared" si="25"/>
        <v>0</v>
      </c>
      <c r="AR146" s="73">
        <v>0</v>
      </c>
      <c r="AS146" s="96">
        <f t="shared" si="26"/>
        <v>0</v>
      </c>
      <c r="AT146" s="79">
        <v>0</v>
      </c>
      <c r="AU146" s="97">
        <f t="shared" si="27"/>
        <v>0</v>
      </c>
      <c r="AV146" s="80">
        <v>1008</v>
      </c>
      <c r="AW146" s="97">
        <f t="shared" si="28"/>
        <v>0</v>
      </c>
      <c r="AX146" s="80">
        <v>0</v>
      </c>
      <c r="AY146" s="97">
        <f t="shared" si="29"/>
        <v>0</v>
      </c>
      <c r="AZ146" s="71">
        <v>0</v>
      </c>
      <c r="BA146" s="97">
        <f t="shared" si="30"/>
        <v>0</v>
      </c>
      <c r="BB146" s="70">
        <v>0</v>
      </c>
      <c r="BC146" s="97">
        <f t="shared" si="31"/>
        <v>0</v>
      </c>
      <c r="BD146" s="71">
        <v>0</v>
      </c>
      <c r="BE146" s="97">
        <f t="shared" si="32"/>
        <v>0</v>
      </c>
      <c r="BF146" s="70">
        <v>0</v>
      </c>
      <c r="BG146" s="97">
        <f t="shared" si="33"/>
        <v>0</v>
      </c>
      <c r="BH146" s="73">
        <v>1008</v>
      </c>
      <c r="BI146" s="97">
        <f t="shared" si="34"/>
        <v>0</v>
      </c>
      <c r="BJ146" s="73">
        <v>0</v>
      </c>
      <c r="BK146" s="97">
        <f t="shared" si="35"/>
        <v>0</v>
      </c>
      <c r="BL146" s="128"/>
      <c r="BM146" s="131" t="s">
        <v>405</v>
      </c>
    </row>
    <row r="147" spans="1:66" ht="15.75" customHeight="1" thickBot="1">
      <c r="A147" s="93" t="s">
        <v>123</v>
      </c>
      <c r="B147" s="122" t="s">
        <v>184</v>
      </c>
      <c r="C147" s="299"/>
      <c r="D147" s="295"/>
      <c r="E147" s="295"/>
      <c r="F147" s="297"/>
      <c r="G147" s="78">
        <v>2021</v>
      </c>
      <c r="H147" s="76" t="s">
        <v>280</v>
      </c>
      <c r="I147" s="76" t="s">
        <v>196</v>
      </c>
      <c r="J147" s="77" t="s">
        <v>197</v>
      </c>
      <c r="K147" s="81" t="s">
        <v>221</v>
      </c>
      <c r="L147" s="76" t="s">
        <v>192</v>
      </c>
      <c r="M147" s="13" t="s">
        <v>193</v>
      </c>
      <c r="N147" s="75">
        <v>4.26</v>
      </c>
      <c r="O147" s="75">
        <v>4.26</v>
      </c>
      <c r="P147" s="75">
        <v>4.26</v>
      </c>
      <c r="Q147" s="75">
        <v>4.26</v>
      </c>
      <c r="R147" s="75">
        <v>4.26</v>
      </c>
      <c r="S147" s="75">
        <v>4.26</v>
      </c>
      <c r="T147" s="75">
        <v>4.26</v>
      </c>
      <c r="U147" s="75">
        <v>4.26</v>
      </c>
      <c r="V147" s="75">
        <v>4.26</v>
      </c>
      <c r="W147" s="75">
        <v>4.26</v>
      </c>
      <c r="X147" s="75">
        <v>4.26</v>
      </c>
      <c r="Y147" s="75">
        <v>4.26</v>
      </c>
      <c r="Z147" s="75">
        <v>4.26</v>
      </c>
      <c r="AA147" s="13">
        <v>0</v>
      </c>
      <c r="AB147" s="72">
        <v>0</v>
      </c>
      <c r="AC147" s="72">
        <v>0</v>
      </c>
      <c r="AD147" s="72">
        <v>0</v>
      </c>
      <c r="AE147" s="69">
        <v>0</v>
      </c>
      <c r="AF147" s="69">
        <v>0</v>
      </c>
      <c r="AG147" s="69">
        <v>0</v>
      </c>
      <c r="AH147" s="69">
        <v>0</v>
      </c>
      <c r="AI147" s="69">
        <v>0</v>
      </c>
      <c r="AJ147" s="69">
        <v>0</v>
      </c>
      <c r="AK147" s="69">
        <v>0</v>
      </c>
      <c r="AL147" s="69">
        <v>0</v>
      </c>
      <c r="AM147" s="69">
        <v>0</v>
      </c>
      <c r="AN147" s="73">
        <v>0</v>
      </c>
      <c r="AO147" s="95">
        <f t="shared" si="24"/>
        <v>0</v>
      </c>
      <c r="AP147" s="73">
        <v>0</v>
      </c>
      <c r="AQ147" s="95">
        <f t="shared" si="25"/>
        <v>0</v>
      </c>
      <c r="AR147" s="73">
        <v>0</v>
      </c>
      <c r="AS147" s="96">
        <f t="shared" si="26"/>
        <v>0</v>
      </c>
      <c r="AT147" s="79">
        <v>0</v>
      </c>
      <c r="AU147" s="97">
        <f t="shared" si="27"/>
        <v>0</v>
      </c>
      <c r="AV147" s="79">
        <v>0</v>
      </c>
      <c r="AW147" s="97">
        <f t="shared" si="28"/>
        <v>0</v>
      </c>
      <c r="AX147" s="80">
        <v>0</v>
      </c>
      <c r="AY147" s="97">
        <f t="shared" si="29"/>
        <v>0</v>
      </c>
      <c r="AZ147" s="70">
        <v>0</v>
      </c>
      <c r="BA147" s="97">
        <f t="shared" si="30"/>
        <v>0</v>
      </c>
      <c r="BB147" s="74">
        <v>5760</v>
      </c>
      <c r="BC147" s="97">
        <f t="shared" si="31"/>
        <v>0</v>
      </c>
      <c r="BD147" s="73">
        <v>2880</v>
      </c>
      <c r="BE147" s="97">
        <f t="shared" si="32"/>
        <v>0</v>
      </c>
      <c r="BF147" s="73">
        <v>8640</v>
      </c>
      <c r="BG147" s="97">
        <f t="shared" si="33"/>
        <v>0</v>
      </c>
      <c r="BH147" s="70">
        <v>0</v>
      </c>
      <c r="BI147" s="97">
        <f t="shared" si="34"/>
        <v>0</v>
      </c>
      <c r="BJ147" s="73">
        <v>2880</v>
      </c>
      <c r="BK147" s="97">
        <f t="shared" si="35"/>
        <v>0</v>
      </c>
      <c r="BL147" s="128"/>
      <c r="BM147" s="131" t="s">
        <v>406</v>
      </c>
    </row>
    <row r="148" spans="1:66" ht="15.75" customHeight="1" thickBot="1">
      <c r="A148" s="93" t="s">
        <v>123</v>
      </c>
      <c r="B148" s="122" t="s">
        <v>184</v>
      </c>
      <c r="C148" s="299"/>
      <c r="D148" s="295"/>
      <c r="E148" s="295"/>
      <c r="F148" s="297"/>
      <c r="G148" s="78">
        <v>2021</v>
      </c>
      <c r="H148" s="76" t="s">
        <v>280</v>
      </c>
      <c r="I148" s="76" t="s">
        <v>196</v>
      </c>
      <c r="J148" s="77" t="s">
        <v>197</v>
      </c>
      <c r="K148" s="81" t="s">
        <v>281</v>
      </c>
      <c r="L148" s="76" t="s">
        <v>192</v>
      </c>
      <c r="M148" s="13" t="s">
        <v>193</v>
      </c>
      <c r="N148" s="75">
        <v>4.67</v>
      </c>
      <c r="O148" s="75">
        <v>4.67</v>
      </c>
      <c r="P148" s="75">
        <v>4.67</v>
      </c>
      <c r="Q148" s="75">
        <v>4.67</v>
      </c>
      <c r="R148" s="75">
        <v>4.67</v>
      </c>
      <c r="S148" s="75">
        <v>4.67</v>
      </c>
      <c r="T148" s="75">
        <v>4.67</v>
      </c>
      <c r="U148" s="75">
        <v>4.67</v>
      </c>
      <c r="V148" s="75">
        <v>4.67</v>
      </c>
      <c r="W148" s="75">
        <v>4.67</v>
      </c>
      <c r="X148" s="75">
        <v>4.67</v>
      </c>
      <c r="Y148" s="75">
        <v>4.67</v>
      </c>
      <c r="Z148" s="75">
        <v>4.67</v>
      </c>
      <c r="AA148" s="13">
        <v>0</v>
      </c>
      <c r="AB148" s="72">
        <v>0</v>
      </c>
      <c r="AC148" s="72">
        <v>0</v>
      </c>
      <c r="AD148" s="72">
        <v>0</v>
      </c>
      <c r="AE148" s="69">
        <v>0</v>
      </c>
      <c r="AF148" s="69">
        <v>0</v>
      </c>
      <c r="AG148" s="69">
        <v>0</v>
      </c>
      <c r="AH148" s="69">
        <v>0</v>
      </c>
      <c r="AI148" s="69">
        <v>0</v>
      </c>
      <c r="AJ148" s="69">
        <v>0</v>
      </c>
      <c r="AK148" s="69">
        <v>0</v>
      </c>
      <c r="AL148" s="69">
        <v>0</v>
      </c>
      <c r="AM148" s="69">
        <v>0</v>
      </c>
      <c r="AN148" s="73">
        <v>0</v>
      </c>
      <c r="AO148" s="95">
        <f t="shared" si="24"/>
        <v>0</v>
      </c>
      <c r="AP148" s="73">
        <v>0</v>
      </c>
      <c r="AQ148" s="95">
        <f t="shared" si="25"/>
        <v>0</v>
      </c>
      <c r="AR148" s="73">
        <v>0</v>
      </c>
      <c r="AS148" s="96">
        <f t="shared" si="26"/>
        <v>0</v>
      </c>
      <c r="AT148" s="79">
        <v>0</v>
      </c>
      <c r="AU148" s="97">
        <f t="shared" si="27"/>
        <v>0</v>
      </c>
      <c r="AV148" s="79">
        <v>0</v>
      </c>
      <c r="AW148" s="97">
        <f t="shared" si="28"/>
        <v>0</v>
      </c>
      <c r="AX148" s="80">
        <v>0</v>
      </c>
      <c r="AY148" s="97">
        <f t="shared" si="29"/>
        <v>0</v>
      </c>
      <c r="AZ148" s="74">
        <v>0</v>
      </c>
      <c r="BA148" s="97">
        <f t="shared" si="30"/>
        <v>0</v>
      </c>
      <c r="BB148" s="74">
        <v>0</v>
      </c>
      <c r="BC148" s="97">
        <f t="shared" si="31"/>
        <v>0</v>
      </c>
      <c r="BD148" s="73">
        <v>0</v>
      </c>
      <c r="BE148" s="97">
        <f t="shared" si="32"/>
        <v>0</v>
      </c>
      <c r="BF148" s="73">
        <v>0</v>
      </c>
      <c r="BG148" s="97">
        <f t="shared" si="33"/>
        <v>0</v>
      </c>
      <c r="BH148" s="73">
        <v>0</v>
      </c>
      <c r="BI148" s="97">
        <f t="shared" si="34"/>
        <v>0</v>
      </c>
      <c r="BJ148" s="70">
        <v>0</v>
      </c>
      <c r="BK148" s="97">
        <f t="shared" si="35"/>
        <v>0</v>
      </c>
      <c r="BL148" s="128"/>
      <c r="BM148" s="131" t="s">
        <v>407</v>
      </c>
    </row>
    <row r="149" spans="1:66" ht="15.75" customHeight="1" thickBot="1">
      <c r="A149" s="93" t="s">
        <v>123</v>
      </c>
      <c r="B149" s="122" t="s">
        <v>184</v>
      </c>
      <c r="C149" s="299"/>
      <c r="D149" s="295"/>
      <c r="E149" s="295"/>
      <c r="F149" s="297"/>
      <c r="G149" s="78">
        <v>2021</v>
      </c>
      <c r="H149" s="76" t="s">
        <v>280</v>
      </c>
      <c r="I149" s="76" t="s">
        <v>196</v>
      </c>
      <c r="J149" s="77" t="s">
        <v>197</v>
      </c>
      <c r="K149" s="81" t="s">
        <v>283</v>
      </c>
      <c r="L149" s="76" t="s">
        <v>192</v>
      </c>
      <c r="M149" s="13" t="s">
        <v>193</v>
      </c>
      <c r="N149" s="75">
        <v>4.51</v>
      </c>
      <c r="O149" s="75">
        <v>4.51</v>
      </c>
      <c r="P149" s="75">
        <v>4.51</v>
      </c>
      <c r="Q149" s="75">
        <v>4.51</v>
      </c>
      <c r="R149" s="75">
        <v>4.51</v>
      </c>
      <c r="S149" s="75">
        <v>4.51</v>
      </c>
      <c r="T149" s="75">
        <v>4.51</v>
      </c>
      <c r="U149" s="75">
        <v>4.51</v>
      </c>
      <c r="V149" s="75">
        <v>4.51</v>
      </c>
      <c r="W149" s="75">
        <v>4.51</v>
      </c>
      <c r="X149" s="75">
        <v>4.51</v>
      </c>
      <c r="Y149" s="75">
        <v>4.51</v>
      </c>
      <c r="Z149" s="75">
        <v>4.51</v>
      </c>
      <c r="AA149" s="13">
        <v>0</v>
      </c>
      <c r="AB149" s="72">
        <v>0</v>
      </c>
      <c r="AC149" s="72">
        <v>0</v>
      </c>
      <c r="AD149" s="72">
        <v>0</v>
      </c>
      <c r="AE149" s="69">
        <v>0</v>
      </c>
      <c r="AF149" s="69">
        <v>0</v>
      </c>
      <c r="AG149" s="69">
        <v>0</v>
      </c>
      <c r="AH149" s="69">
        <v>0</v>
      </c>
      <c r="AI149" s="69">
        <v>0</v>
      </c>
      <c r="AJ149" s="69">
        <v>0</v>
      </c>
      <c r="AK149" s="69">
        <v>0</v>
      </c>
      <c r="AL149" s="69">
        <v>0</v>
      </c>
      <c r="AM149" s="69">
        <v>0</v>
      </c>
      <c r="AN149" s="73">
        <v>0</v>
      </c>
      <c r="AO149" s="95">
        <f t="shared" si="24"/>
        <v>0</v>
      </c>
      <c r="AP149" s="73">
        <v>0</v>
      </c>
      <c r="AQ149" s="95">
        <f t="shared" si="25"/>
        <v>0</v>
      </c>
      <c r="AR149" s="73">
        <v>0</v>
      </c>
      <c r="AS149" s="96">
        <f t="shared" si="26"/>
        <v>0</v>
      </c>
      <c r="AT149" s="79">
        <v>0</v>
      </c>
      <c r="AU149" s="97">
        <f t="shared" si="27"/>
        <v>0</v>
      </c>
      <c r="AV149" s="79">
        <v>0</v>
      </c>
      <c r="AW149" s="97">
        <f t="shared" si="28"/>
        <v>0</v>
      </c>
      <c r="AX149" s="80">
        <v>0</v>
      </c>
      <c r="AY149" s="97">
        <f t="shared" si="29"/>
        <v>0</v>
      </c>
      <c r="AZ149" s="74">
        <v>2880</v>
      </c>
      <c r="BA149" s="97">
        <f t="shared" si="30"/>
        <v>0</v>
      </c>
      <c r="BB149" s="70">
        <v>0</v>
      </c>
      <c r="BC149" s="97">
        <f t="shared" si="31"/>
        <v>0</v>
      </c>
      <c r="BD149" s="70">
        <v>0</v>
      </c>
      <c r="BE149" s="97">
        <f t="shared" si="32"/>
        <v>0</v>
      </c>
      <c r="BF149" s="73">
        <v>0</v>
      </c>
      <c r="BG149" s="97">
        <f t="shared" si="33"/>
        <v>0</v>
      </c>
      <c r="BH149" s="73">
        <v>0</v>
      </c>
      <c r="BI149" s="97">
        <f t="shared" si="34"/>
        <v>0</v>
      </c>
      <c r="BJ149" s="73">
        <v>0</v>
      </c>
      <c r="BK149" s="97">
        <f t="shared" si="35"/>
        <v>0</v>
      </c>
      <c r="BL149" s="128"/>
      <c r="BM149" s="131" t="s">
        <v>408</v>
      </c>
    </row>
    <row r="150" spans="1:66" ht="15.75" customHeight="1" thickBot="1">
      <c r="A150" s="93" t="s">
        <v>123</v>
      </c>
      <c r="B150" s="122" t="s">
        <v>184</v>
      </c>
      <c r="C150" s="299"/>
      <c r="D150" s="295"/>
      <c r="E150" s="295"/>
      <c r="F150" s="297"/>
      <c r="G150" s="78">
        <v>2021</v>
      </c>
      <c r="H150" s="76" t="s">
        <v>280</v>
      </c>
      <c r="I150" s="76" t="s">
        <v>196</v>
      </c>
      <c r="J150" s="77" t="s">
        <v>197</v>
      </c>
      <c r="K150" s="81" t="s">
        <v>283</v>
      </c>
      <c r="L150" s="76" t="s">
        <v>192</v>
      </c>
      <c r="M150" s="13" t="s">
        <v>193</v>
      </c>
      <c r="N150" s="75">
        <v>4.47</v>
      </c>
      <c r="O150" s="75">
        <v>4.47</v>
      </c>
      <c r="P150" s="75">
        <v>4.47</v>
      </c>
      <c r="Q150" s="75">
        <v>4.47</v>
      </c>
      <c r="R150" s="75">
        <v>4.47</v>
      </c>
      <c r="S150" s="75">
        <v>4.47</v>
      </c>
      <c r="T150" s="75">
        <v>4.47</v>
      </c>
      <c r="U150" s="75">
        <v>4.47</v>
      </c>
      <c r="V150" s="75">
        <v>4.47</v>
      </c>
      <c r="W150" s="75">
        <v>4.47</v>
      </c>
      <c r="X150" s="75">
        <v>4.47</v>
      </c>
      <c r="Y150" s="75">
        <v>4.47</v>
      </c>
      <c r="Z150" s="75">
        <v>4.47</v>
      </c>
      <c r="AA150" s="13">
        <v>0</v>
      </c>
      <c r="AB150" s="72">
        <v>0</v>
      </c>
      <c r="AC150" s="72">
        <v>0</v>
      </c>
      <c r="AD150" s="72">
        <v>0</v>
      </c>
      <c r="AE150" s="69">
        <v>0</v>
      </c>
      <c r="AF150" s="69">
        <v>0</v>
      </c>
      <c r="AG150" s="69">
        <v>0</v>
      </c>
      <c r="AH150" s="69">
        <v>0</v>
      </c>
      <c r="AI150" s="69">
        <v>0</v>
      </c>
      <c r="AJ150" s="69">
        <v>0</v>
      </c>
      <c r="AK150" s="69">
        <v>0</v>
      </c>
      <c r="AL150" s="69">
        <v>0</v>
      </c>
      <c r="AM150" s="69">
        <v>0</v>
      </c>
      <c r="AN150" s="73">
        <v>0</v>
      </c>
      <c r="AO150" s="95">
        <f t="shared" si="24"/>
        <v>0</v>
      </c>
      <c r="AP150" s="73">
        <v>0</v>
      </c>
      <c r="AQ150" s="95">
        <f t="shared" si="25"/>
        <v>0</v>
      </c>
      <c r="AR150" s="73">
        <v>0</v>
      </c>
      <c r="AS150" s="96">
        <f t="shared" si="26"/>
        <v>0</v>
      </c>
      <c r="AT150" s="79">
        <v>0</v>
      </c>
      <c r="AU150" s="97">
        <f t="shared" si="27"/>
        <v>0</v>
      </c>
      <c r="AV150" s="79">
        <v>0</v>
      </c>
      <c r="AW150" s="97">
        <f t="shared" si="28"/>
        <v>0</v>
      </c>
      <c r="AX150" s="80">
        <v>0</v>
      </c>
      <c r="AY150" s="97">
        <f t="shared" si="29"/>
        <v>0</v>
      </c>
      <c r="AZ150" s="70">
        <v>0</v>
      </c>
      <c r="BA150" s="97">
        <f t="shared" si="30"/>
        <v>0</v>
      </c>
      <c r="BB150" s="70">
        <v>0</v>
      </c>
      <c r="BC150" s="97">
        <f t="shared" si="31"/>
        <v>0</v>
      </c>
      <c r="BD150" s="73">
        <v>2880</v>
      </c>
      <c r="BE150" s="97">
        <f t="shared" si="32"/>
        <v>0</v>
      </c>
      <c r="BF150" s="70">
        <v>0</v>
      </c>
      <c r="BG150" s="97">
        <f t="shared" si="33"/>
        <v>0</v>
      </c>
      <c r="BH150" s="70">
        <v>2880</v>
      </c>
      <c r="BI150" s="97">
        <f t="shared" si="34"/>
        <v>0</v>
      </c>
      <c r="BJ150" s="73">
        <v>0</v>
      </c>
      <c r="BK150" s="97">
        <f t="shared" si="35"/>
        <v>0</v>
      </c>
      <c r="BL150" s="128"/>
      <c r="BM150" s="131" t="s">
        <v>409</v>
      </c>
    </row>
    <row r="151" spans="1:66" ht="15.75" customHeight="1" thickBot="1">
      <c r="A151" s="93" t="s">
        <v>123</v>
      </c>
      <c r="B151" s="122" t="s">
        <v>184</v>
      </c>
      <c r="C151" s="299"/>
      <c r="D151" s="295"/>
      <c r="E151" s="295"/>
      <c r="F151" s="297"/>
      <c r="G151" s="78">
        <v>2021</v>
      </c>
      <c r="H151" s="76" t="s">
        <v>266</v>
      </c>
      <c r="I151" s="76" t="s">
        <v>196</v>
      </c>
      <c r="J151" s="77" t="s">
        <v>197</v>
      </c>
      <c r="K151" s="81" t="s">
        <v>221</v>
      </c>
      <c r="L151" s="76" t="s">
        <v>192</v>
      </c>
      <c r="M151" s="13" t="s">
        <v>193</v>
      </c>
      <c r="N151" s="75">
        <v>4.49</v>
      </c>
      <c r="O151" s="75">
        <v>4.49</v>
      </c>
      <c r="P151" s="75">
        <v>4.49</v>
      </c>
      <c r="Q151" s="75">
        <v>4.49</v>
      </c>
      <c r="R151" s="75">
        <v>4.49</v>
      </c>
      <c r="S151" s="75">
        <v>4.49</v>
      </c>
      <c r="T151" s="75">
        <v>4.49</v>
      </c>
      <c r="U151" s="75">
        <v>4.49</v>
      </c>
      <c r="V151" s="75">
        <v>4.49</v>
      </c>
      <c r="W151" s="75">
        <v>4.49</v>
      </c>
      <c r="X151" s="75">
        <v>4.49</v>
      </c>
      <c r="Y151" s="75">
        <v>4.49</v>
      </c>
      <c r="Z151" s="75">
        <v>4.49</v>
      </c>
      <c r="AA151" s="13">
        <v>0</v>
      </c>
      <c r="AB151" s="72">
        <v>0</v>
      </c>
      <c r="AC151" s="72">
        <v>0</v>
      </c>
      <c r="AD151" s="72">
        <v>0</v>
      </c>
      <c r="AE151" s="69">
        <v>0</v>
      </c>
      <c r="AF151" s="69">
        <v>0</v>
      </c>
      <c r="AG151" s="69">
        <v>0</v>
      </c>
      <c r="AH151" s="69">
        <v>0</v>
      </c>
      <c r="AI151" s="69">
        <v>0</v>
      </c>
      <c r="AJ151" s="69">
        <v>0</v>
      </c>
      <c r="AK151" s="69">
        <v>0</v>
      </c>
      <c r="AL151" s="69">
        <v>0</v>
      </c>
      <c r="AM151" s="69">
        <v>0</v>
      </c>
      <c r="AN151" s="73">
        <v>0</v>
      </c>
      <c r="AO151" s="95">
        <f t="shared" si="24"/>
        <v>0</v>
      </c>
      <c r="AP151" s="73">
        <v>0</v>
      </c>
      <c r="AQ151" s="95">
        <f t="shared" si="25"/>
        <v>0</v>
      </c>
      <c r="AR151" s="73">
        <v>0</v>
      </c>
      <c r="AS151" s="96">
        <f t="shared" si="26"/>
        <v>0</v>
      </c>
      <c r="AT151" s="79">
        <v>0</v>
      </c>
      <c r="AU151" s="97">
        <f t="shared" si="27"/>
        <v>0</v>
      </c>
      <c r="AV151" s="80">
        <v>2880</v>
      </c>
      <c r="AW151" s="97">
        <f t="shared" si="28"/>
        <v>0</v>
      </c>
      <c r="AX151" s="79">
        <v>2880</v>
      </c>
      <c r="AY151" s="97">
        <f t="shared" si="29"/>
        <v>0</v>
      </c>
      <c r="AZ151" s="73">
        <v>2880</v>
      </c>
      <c r="BA151" s="97">
        <f t="shared" si="30"/>
        <v>0</v>
      </c>
      <c r="BB151" s="74">
        <v>17280</v>
      </c>
      <c r="BC151" s="97">
        <f t="shared" si="31"/>
        <v>0</v>
      </c>
      <c r="BD151" s="73">
        <v>5760</v>
      </c>
      <c r="BE151" s="97">
        <f t="shared" si="32"/>
        <v>0</v>
      </c>
      <c r="BF151" s="73">
        <v>2880</v>
      </c>
      <c r="BG151" s="97">
        <f t="shared" si="33"/>
        <v>0</v>
      </c>
      <c r="BH151" s="73">
        <v>2880</v>
      </c>
      <c r="BI151" s="97">
        <f t="shared" si="34"/>
        <v>0</v>
      </c>
      <c r="BJ151" s="70">
        <v>11520</v>
      </c>
      <c r="BK151" s="97">
        <f t="shared" si="35"/>
        <v>0</v>
      </c>
      <c r="BL151" s="128"/>
      <c r="BM151" s="131" t="s">
        <v>410</v>
      </c>
    </row>
    <row r="152" spans="1:66" ht="15.75" customHeight="1" thickBot="1">
      <c r="A152" s="93" t="s">
        <v>123</v>
      </c>
      <c r="B152" s="122" t="s">
        <v>184</v>
      </c>
      <c r="C152" s="299"/>
      <c r="D152" s="295"/>
      <c r="E152" s="295"/>
      <c r="F152" s="297"/>
      <c r="G152" s="78">
        <v>2021</v>
      </c>
      <c r="H152" s="76" t="s">
        <v>266</v>
      </c>
      <c r="I152" s="76" t="s">
        <v>196</v>
      </c>
      <c r="J152" s="77" t="s">
        <v>197</v>
      </c>
      <c r="K152" s="81" t="s">
        <v>221</v>
      </c>
      <c r="L152" s="76" t="s">
        <v>192</v>
      </c>
      <c r="M152" s="13" t="s">
        <v>193</v>
      </c>
      <c r="N152" s="75">
        <v>4.43</v>
      </c>
      <c r="O152" s="75">
        <v>4.43</v>
      </c>
      <c r="P152" s="75">
        <v>4.43</v>
      </c>
      <c r="Q152" s="75">
        <v>4.43</v>
      </c>
      <c r="R152" s="75">
        <v>4.43</v>
      </c>
      <c r="S152" s="75">
        <v>4.43</v>
      </c>
      <c r="T152" s="75">
        <v>4.43</v>
      </c>
      <c r="U152" s="75">
        <v>4.43</v>
      </c>
      <c r="V152" s="75">
        <v>4.43</v>
      </c>
      <c r="W152" s="75">
        <v>4.43</v>
      </c>
      <c r="X152" s="75">
        <v>4.43</v>
      </c>
      <c r="Y152" s="75">
        <v>4.43</v>
      </c>
      <c r="Z152" s="75">
        <v>4.43</v>
      </c>
      <c r="AA152" s="13">
        <v>0</v>
      </c>
      <c r="AB152" s="72">
        <v>0</v>
      </c>
      <c r="AC152" s="72">
        <v>0</v>
      </c>
      <c r="AD152" s="72">
        <v>0</v>
      </c>
      <c r="AE152" s="69">
        <v>0</v>
      </c>
      <c r="AF152" s="69">
        <v>0</v>
      </c>
      <c r="AG152" s="69">
        <v>0</v>
      </c>
      <c r="AH152" s="69">
        <v>0</v>
      </c>
      <c r="AI152" s="69">
        <v>0</v>
      </c>
      <c r="AJ152" s="69">
        <v>0</v>
      </c>
      <c r="AK152" s="69">
        <v>0</v>
      </c>
      <c r="AL152" s="69">
        <v>0</v>
      </c>
      <c r="AM152" s="69">
        <v>0</v>
      </c>
      <c r="AN152" s="73">
        <v>0</v>
      </c>
      <c r="AO152" s="95">
        <f t="shared" si="24"/>
        <v>0</v>
      </c>
      <c r="AP152" s="73">
        <v>0</v>
      </c>
      <c r="AQ152" s="95">
        <f t="shared" si="25"/>
        <v>0</v>
      </c>
      <c r="AR152" s="73">
        <v>0</v>
      </c>
      <c r="AS152" s="96">
        <f t="shared" si="26"/>
        <v>0</v>
      </c>
      <c r="AT152" s="79">
        <v>0</v>
      </c>
      <c r="AU152" s="97">
        <f t="shared" si="27"/>
        <v>0</v>
      </c>
      <c r="AV152" s="79">
        <v>0</v>
      </c>
      <c r="AW152" s="97">
        <f t="shared" si="28"/>
        <v>0</v>
      </c>
      <c r="AX152" s="80">
        <v>0</v>
      </c>
      <c r="AY152" s="97">
        <f t="shared" si="29"/>
        <v>0</v>
      </c>
      <c r="AZ152" s="73">
        <v>0</v>
      </c>
      <c r="BA152" s="97">
        <f t="shared" si="30"/>
        <v>0</v>
      </c>
      <c r="BB152" s="74">
        <v>0</v>
      </c>
      <c r="BC152" s="97">
        <f t="shared" si="31"/>
        <v>0</v>
      </c>
      <c r="BD152" s="71">
        <v>8640</v>
      </c>
      <c r="BE152" s="97">
        <f t="shared" si="32"/>
        <v>0</v>
      </c>
      <c r="BF152" s="73">
        <v>14400</v>
      </c>
      <c r="BG152" s="97">
        <f t="shared" si="33"/>
        <v>0</v>
      </c>
      <c r="BH152" s="70">
        <v>0</v>
      </c>
      <c r="BI152" s="97">
        <f t="shared" si="34"/>
        <v>0</v>
      </c>
      <c r="BJ152" s="73">
        <v>0</v>
      </c>
      <c r="BK152" s="97">
        <f t="shared" si="35"/>
        <v>0</v>
      </c>
      <c r="BL152" s="128"/>
      <c r="BM152" s="131" t="s">
        <v>411</v>
      </c>
    </row>
    <row r="153" spans="1:66" ht="15.75" customHeight="1" thickBot="1">
      <c r="A153" s="93" t="s">
        <v>123</v>
      </c>
      <c r="B153" s="122" t="s">
        <v>184</v>
      </c>
      <c r="C153" s="299"/>
      <c r="D153" s="295"/>
      <c r="E153" s="295"/>
      <c r="F153" s="297"/>
      <c r="G153" s="78">
        <v>2016</v>
      </c>
      <c r="H153" s="76" t="s">
        <v>232</v>
      </c>
      <c r="I153" s="76" t="s">
        <v>196</v>
      </c>
      <c r="J153" s="77" t="s">
        <v>197</v>
      </c>
      <c r="K153" s="81" t="s">
        <v>247</v>
      </c>
      <c r="L153" s="76" t="s">
        <v>192</v>
      </c>
      <c r="M153" s="13" t="s">
        <v>193</v>
      </c>
      <c r="N153" s="75">
        <v>6.31</v>
      </c>
      <c r="O153" s="75">
        <v>6.31</v>
      </c>
      <c r="P153" s="75">
        <v>6.31</v>
      </c>
      <c r="Q153" s="75">
        <v>6.31</v>
      </c>
      <c r="R153" s="75">
        <v>6.31</v>
      </c>
      <c r="S153" s="75">
        <v>6.31</v>
      </c>
      <c r="T153" s="75">
        <v>6.31</v>
      </c>
      <c r="U153" s="75">
        <v>6.31</v>
      </c>
      <c r="V153" s="75">
        <v>6.31</v>
      </c>
      <c r="W153" s="75">
        <v>6.31</v>
      </c>
      <c r="X153" s="75">
        <v>6.31</v>
      </c>
      <c r="Y153" s="75">
        <v>6.31</v>
      </c>
      <c r="Z153" s="75">
        <v>6.31</v>
      </c>
      <c r="AA153" s="13">
        <v>0</v>
      </c>
      <c r="AB153" s="72">
        <v>0.05</v>
      </c>
      <c r="AC153" s="72">
        <v>0.05</v>
      </c>
      <c r="AD153" s="72">
        <v>0.05</v>
      </c>
      <c r="AE153" s="69">
        <v>0.05</v>
      </c>
      <c r="AF153" s="69">
        <v>0.05</v>
      </c>
      <c r="AG153" s="69">
        <v>0.05</v>
      </c>
      <c r="AH153" s="69">
        <v>0.05</v>
      </c>
      <c r="AI153" s="69">
        <v>0.05</v>
      </c>
      <c r="AJ153" s="69">
        <v>0.05</v>
      </c>
      <c r="AK153" s="69">
        <v>0.05</v>
      </c>
      <c r="AL153" s="69">
        <v>0.05</v>
      </c>
      <c r="AM153" s="69">
        <v>0.05</v>
      </c>
      <c r="AN153" s="73">
        <v>0</v>
      </c>
      <c r="AO153" s="95">
        <f t="shared" si="24"/>
        <v>0</v>
      </c>
      <c r="AP153" s="73">
        <v>0</v>
      </c>
      <c r="AQ153" s="95">
        <f t="shared" si="25"/>
        <v>0</v>
      </c>
      <c r="AR153" s="73">
        <v>0</v>
      </c>
      <c r="AS153" s="96">
        <f t="shared" si="26"/>
        <v>0</v>
      </c>
      <c r="AT153" s="79">
        <v>0</v>
      </c>
      <c r="AU153" s="97">
        <f t="shared" si="27"/>
        <v>0</v>
      </c>
      <c r="AV153" s="79">
        <v>0</v>
      </c>
      <c r="AW153" s="97">
        <f t="shared" si="28"/>
        <v>0</v>
      </c>
      <c r="AX153" s="80">
        <v>0</v>
      </c>
      <c r="AY153" s="97">
        <f t="shared" si="29"/>
        <v>0</v>
      </c>
      <c r="AZ153" s="71">
        <v>0</v>
      </c>
      <c r="BA153" s="97">
        <f t="shared" si="30"/>
        <v>0</v>
      </c>
      <c r="BB153" s="70">
        <v>0</v>
      </c>
      <c r="BC153" s="97">
        <f t="shared" si="31"/>
        <v>0</v>
      </c>
      <c r="BD153" s="73">
        <v>0</v>
      </c>
      <c r="BE153" s="97">
        <f t="shared" si="32"/>
        <v>0</v>
      </c>
      <c r="BF153" s="73">
        <v>0</v>
      </c>
      <c r="BG153" s="97">
        <f t="shared" si="33"/>
        <v>0</v>
      </c>
      <c r="BH153" s="73">
        <v>0</v>
      </c>
      <c r="BI153" s="97">
        <f t="shared" si="34"/>
        <v>0</v>
      </c>
      <c r="BJ153" s="73">
        <v>0</v>
      </c>
      <c r="BK153" s="97">
        <f t="shared" si="35"/>
        <v>0</v>
      </c>
      <c r="BL153" s="128"/>
      <c r="BM153" s="131" t="s">
        <v>412</v>
      </c>
    </row>
    <row r="154" spans="1:66" ht="15.75" customHeight="1" thickBot="1">
      <c r="A154" s="93" t="s">
        <v>123</v>
      </c>
      <c r="B154" s="122" t="s">
        <v>184</v>
      </c>
      <c r="C154" s="299"/>
      <c r="D154" s="295"/>
      <c r="E154" s="295"/>
      <c r="F154" s="297"/>
      <c r="G154" s="78">
        <v>2016</v>
      </c>
      <c r="H154" s="76" t="s">
        <v>232</v>
      </c>
      <c r="I154" s="76" t="s">
        <v>196</v>
      </c>
      <c r="J154" s="77" t="s">
        <v>197</v>
      </c>
      <c r="K154" s="81" t="s">
        <v>413</v>
      </c>
      <c r="L154" s="76" t="s">
        <v>192</v>
      </c>
      <c r="M154" s="13" t="s">
        <v>193</v>
      </c>
      <c r="N154" s="75">
        <v>8.4499999999999993</v>
      </c>
      <c r="O154" s="75">
        <v>8.4499999999999993</v>
      </c>
      <c r="P154" s="75">
        <v>8.4499999999999993</v>
      </c>
      <c r="Q154" s="75">
        <v>8.4499999999999993</v>
      </c>
      <c r="R154" s="75">
        <v>8.4499999999999993</v>
      </c>
      <c r="S154" s="75">
        <v>8.4499999999999993</v>
      </c>
      <c r="T154" s="75">
        <v>8.4499999999999993</v>
      </c>
      <c r="U154" s="75">
        <v>8.4499999999999993</v>
      </c>
      <c r="V154" s="75">
        <v>8.4499999999999993</v>
      </c>
      <c r="W154" s="75">
        <v>8.4499999999999993</v>
      </c>
      <c r="X154" s="75">
        <v>8.4499999999999993</v>
      </c>
      <c r="Y154" s="75">
        <v>8.4499999999999993</v>
      </c>
      <c r="Z154" s="75">
        <v>8.4499999999999993</v>
      </c>
      <c r="AA154" s="13">
        <v>0</v>
      </c>
      <c r="AB154" s="72">
        <v>0.05</v>
      </c>
      <c r="AC154" s="72">
        <v>0.05</v>
      </c>
      <c r="AD154" s="72">
        <v>0.05</v>
      </c>
      <c r="AE154" s="69">
        <v>0.05</v>
      </c>
      <c r="AF154" s="69">
        <v>0.05</v>
      </c>
      <c r="AG154" s="69">
        <v>0.05</v>
      </c>
      <c r="AH154" s="69">
        <v>0.05</v>
      </c>
      <c r="AI154" s="69">
        <v>0.05</v>
      </c>
      <c r="AJ154" s="69">
        <v>0.05</v>
      </c>
      <c r="AK154" s="69">
        <v>0.05</v>
      </c>
      <c r="AL154" s="69">
        <v>0.05</v>
      </c>
      <c r="AM154" s="69">
        <v>0.05</v>
      </c>
      <c r="AN154" s="73">
        <v>0</v>
      </c>
      <c r="AO154" s="95">
        <f t="shared" si="24"/>
        <v>0</v>
      </c>
      <c r="AP154" s="73">
        <v>0</v>
      </c>
      <c r="AQ154" s="95">
        <f t="shared" si="25"/>
        <v>0</v>
      </c>
      <c r="AR154" s="73">
        <v>0</v>
      </c>
      <c r="AS154" s="96">
        <f t="shared" si="26"/>
        <v>0</v>
      </c>
      <c r="AT154" s="79">
        <v>0</v>
      </c>
      <c r="AU154" s="97">
        <f t="shared" si="27"/>
        <v>0</v>
      </c>
      <c r="AV154" s="79">
        <v>0</v>
      </c>
      <c r="AW154" s="97">
        <f t="shared" si="28"/>
        <v>0</v>
      </c>
      <c r="AX154" s="80">
        <v>0</v>
      </c>
      <c r="AY154" s="97">
        <f t="shared" si="29"/>
        <v>0</v>
      </c>
      <c r="AZ154" s="73">
        <v>0</v>
      </c>
      <c r="BA154" s="97">
        <f t="shared" si="30"/>
        <v>0</v>
      </c>
      <c r="BB154" s="70">
        <v>0</v>
      </c>
      <c r="BC154" s="97">
        <f t="shared" si="31"/>
        <v>0</v>
      </c>
      <c r="BD154" s="73">
        <v>0</v>
      </c>
      <c r="BE154" s="97">
        <f t="shared" si="32"/>
        <v>0</v>
      </c>
      <c r="BF154" s="70">
        <v>0</v>
      </c>
      <c r="BG154" s="97">
        <f t="shared" si="33"/>
        <v>0</v>
      </c>
      <c r="BH154" s="73">
        <v>0</v>
      </c>
      <c r="BI154" s="97">
        <f t="shared" si="34"/>
        <v>0</v>
      </c>
      <c r="BJ154" s="70">
        <v>0</v>
      </c>
      <c r="BK154" s="97">
        <f t="shared" si="35"/>
        <v>0</v>
      </c>
      <c r="BL154" s="128"/>
      <c r="BM154" s="131" t="s">
        <v>414</v>
      </c>
    </row>
    <row r="155" spans="1:66" ht="15.75" customHeight="1" thickBot="1">
      <c r="A155" s="93" t="s">
        <v>123</v>
      </c>
      <c r="B155" s="122" t="s">
        <v>184</v>
      </c>
      <c r="C155" s="299"/>
      <c r="D155" s="295"/>
      <c r="E155" s="295"/>
      <c r="F155" s="297"/>
      <c r="G155" s="78">
        <v>2016</v>
      </c>
      <c r="H155" s="76" t="s">
        <v>232</v>
      </c>
      <c r="I155" s="76" t="s">
        <v>196</v>
      </c>
      <c r="J155" s="77" t="s">
        <v>197</v>
      </c>
      <c r="K155" s="81" t="s">
        <v>415</v>
      </c>
      <c r="L155" s="76" t="s">
        <v>192</v>
      </c>
      <c r="M155" s="13" t="s">
        <v>193</v>
      </c>
      <c r="N155" s="75">
        <v>8.4499999999999993</v>
      </c>
      <c r="O155" s="75">
        <v>8.4499999999999993</v>
      </c>
      <c r="P155" s="75">
        <v>8.4499999999999993</v>
      </c>
      <c r="Q155" s="75">
        <v>8.4499999999999993</v>
      </c>
      <c r="R155" s="75">
        <v>8.4499999999999993</v>
      </c>
      <c r="S155" s="75">
        <v>8.4499999999999993</v>
      </c>
      <c r="T155" s="75">
        <v>8.4499999999999993</v>
      </c>
      <c r="U155" s="75">
        <v>8.4499999999999993</v>
      </c>
      <c r="V155" s="75">
        <v>8.4499999999999993</v>
      </c>
      <c r="W155" s="75">
        <v>8.4499999999999993</v>
      </c>
      <c r="X155" s="75">
        <v>8.4499999999999993</v>
      </c>
      <c r="Y155" s="75">
        <v>8.4499999999999993</v>
      </c>
      <c r="Z155" s="75">
        <v>8.4499999999999993</v>
      </c>
      <c r="AA155" s="13">
        <v>0</v>
      </c>
      <c r="AB155" s="72">
        <v>0.05</v>
      </c>
      <c r="AC155" s="72">
        <v>0.05</v>
      </c>
      <c r="AD155" s="72">
        <v>0.05</v>
      </c>
      <c r="AE155" s="72">
        <v>0.05</v>
      </c>
      <c r="AF155" s="72">
        <v>0.05</v>
      </c>
      <c r="AG155" s="72">
        <v>0.05</v>
      </c>
      <c r="AH155" s="72">
        <v>0.05</v>
      </c>
      <c r="AI155" s="72">
        <v>0.05</v>
      </c>
      <c r="AJ155" s="72">
        <v>0.05</v>
      </c>
      <c r="AK155" s="72">
        <v>0.05</v>
      </c>
      <c r="AL155" s="72">
        <v>0.05</v>
      </c>
      <c r="AM155" s="72">
        <v>0.05</v>
      </c>
      <c r="AN155" s="73">
        <v>0</v>
      </c>
      <c r="AO155" s="95">
        <f t="shared" si="24"/>
        <v>0</v>
      </c>
      <c r="AP155" s="73">
        <v>0</v>
      </c>
      <c r="AQ155" s="95">
        <f t="shared" si="25"/>
        <v>0</v>
      </c>
      <c r="AR155" s="73">
        <v>0</v>
      </c>
      <c r="AS155" s="96">
        <f t="shared" si="26"/>
        <v>0</v>
      </c>
      <c r="AT155" s="79">
        <v>0</v>
      </c>
      <c r="AU155" s="97">
        <f t="shared" si="27"/>
        <v>0</v>
      </c>
      <c r="AV155" s="80">
        <v>3000</v>
      </c>
      <c r="AW155" s="97">
        <f t="shared" si="28"/>
        <v>150</v>
      </c>
      <c r="AX155" s="80">
        <v>0</v>
      </c>
      <c r="AY155" s="97">
        <f t="shared" si="29"/>
        <v>0</v>
      </c>
      <c r="AZ155" s="73">
        <v>0</v>
      </c>
      <c r="BA155" s="97">
        <f t="shared" si="30"/>
        <v>0</v>
      </c>
      <c r="BB155" s="74">
        <v>0</v>
      </c>
      <c r="BC155" s="97">
        <f t="shared" si="31"/>
        <v>0</v>
      </c>
      <c r="BD155" s="70">
        <v>0</v>
      </c>
      <c r="BE155" s="97">
        <f t="shared" si="32"/>
        <v>0</v>
      </c>
      <c r="BF155" s="73">
        <v>0</v>
      </c>
      <c r="BG155" s="97">
        <f t="shared" si="33"/>
        <v>0</v>
      </c>
      <c r="BH155" s="70">
        <v>0</v>
      </c>
      <c r="BI155" s="97">
        <f t="shared" si="34"/>
        <v>0</v>
      </c>
      <c r="BJ155" s="73">
        <v>0</v>
      </c>
      <c r="BK155" s="97">
        <f t="shared" si="35"/>
        <v>0</v>
      </c>
      <c r="BL155" s="128"/>
      <c r="BM155" s="131" t="s">
        <v>416</v>
      </c>
    </row>
    <row r="156" spans="1:66" ht="15.75" customHeight="1" thickBot="1">
      <c r="A156" s="93" t="s">
        <v>123</v>
      </c>
      <c r="B156" s="122" t="s">
        <v>184</v>
      </c>
      <c r="C156" s="299"/>
      <c r="D156" s="295"/>
      <c r="E156" s="295"/>
      <c r="F156" s="297"/>
      <c r="G156" s="78">
        <v>2016</v>
      </c>
      <c r="H156" s="76" t="s">
        <v>232</v>
      </c>
      <c r="I156" s="76" t="s">
        <v>196</v>
      </c>
      <c r="J156" s="77" t="s">
        <v>197</v>
      </c>
      <c r="K156" s="81" t="s">
        <v>249</v>
      </c>
      <c r="L156" s="76" t="s">
        <v>192</v>
      </c>
      <c r="M156" s="13" t="s">
        <v>193</v>
      </c>
      <c r="N156" s="75">
        <v>6.34</v>
      </c>
      <c r="O156" s="75">
        <v>6.34</v>
      </c>
      <c r="P156" s="75">
        <v>6.34</v>
      </c>
      <c r="Q156" s="75">
        <v>6.34</v>
      </c>
      <c r="R156" s="75">
        <v>6.34</v>
      </c>
      <c r="S156" s="75">
        <v>6.34</v>
      </c>
      <c r="T156" s="75">
        <v>6.34</v>
      </c>
      <c r="U156" s="75">
        <v>6.34</v>
      </c>
      <c r="V156" s="75">
        <v>6.34</v>
      </c>
      <c r="W156" s="75">
        <v>6.34</v>
      </c>
      <c r="X156" s="75">
        <v>6.34</v>
      </c>
      <c r="Y156" s="75">
        <v>6.34</v>
      </c>
      <c r="Z156" s="75">
        <v>6.34</v>
      </c>
      <c r="AA156" s="13">
        <v>0</v>
      </c>
      <c r="AB156" s="72">
        <v>0.05</v>
      </c>
      <c r="AC156" s="72">
        <v>0.05</v>
      </c>
      <c r="AD156" s="72">
        <v>0.05</v>
      </c>
      <c r="AE156" s="72">
        <v>0.05</v>
      </c>
      <c r="AF156" s="72">
        <v>0.05</v>
      </c>
      <c r="AG156" s="72">
        <v>0.05</v>
      </c>
      <c r="AH156" s="72">
        <v>0.05</v>
      </c>
      <c r="AI156" s="72">
        <v>0.05</v>
      </c>
      <c r="AJ156" s="72">
        <v>0.05</v>
      </c>
      <c r="AK156" s="72">
        <v>0.05</v>
      </c>
      <c r="AL156" s="72">
        <v>0.05</v>
      </c>
      <c r="AM156" s="72">
        <v>0.05</v>
      </c>
      <c r="AN156" s="73">
        <v>0</v>
      </c>
      <c r="AO156" s="95">
        <f t="shared" si="24"/>
        <v>0</v>
      </c>
      <c r="AP156" s="73">
        <v>0</v>
      </c>
      <c r="AQ156" s="95">
        <f t="shared" si="25"/>
        <v>0</v>
      </c>
      <c r="AR156" s="73">
        <v>0</v>
      </c>
      <c r="AS156" s="96">
        <f t="shared" si="26"/>
        <v>0</v>
      </c>
      <c r="AT156" s="79">
        <v>0</v>
      </c>
      <c r="AU156" s="97">
        <f t="shared" si="27"/>
        <v>0</v>
      </c>
      <c r="AV156" s="79">
        <v>0</v>
      </c>
      <c r="AW156" s="97">
        <f t="shared" si="28"/>
        <v>0</v>
      </c>
      <c r="AX156" s="80">
        <v>0</v>
      </c>
      <c r="AY156" s="97">
        <f t="shared" si="29"/>
        <v>0</v>
      </c>
      <c r="AZ156" s="70">
        <v>0</v>
      </c>
      <c r="BA156" s="97">
        <f t="shared" si="30"/>
        <v>0</v>
      </c>
      <c r="BB156" s="74">
        <v>0</v>
      </c>
      <c r="BC156" s="97">
        <f t="shared" si="31"/>
        <v>0</v>
      </c>
      <c r="BD156" s="73">
        <v>0</v>
      </c>
      <c r="BE156" s="97">
        <f t="shared" si="32"/>
        <v>0</v>
      </c>
      <c r="BF156" s="73">
        <v>0</v>
      </c>
      <c r="BG156" s="97">
        <f t="shared" si="33"/>
        <v>0</v>
      </c>
      <c r="BH156" s="73">
        <v>0</v>
      </c>
      <c r="BI156" s="97">
        <f t="shared" si="34"/>
        <v>0</v>
      </c>
      <c r="BJ156" s="73">
        <v>0</v>
      </c>
      <c r="BK156" s="97">
        <f t="shared" si="35"/>
        <v>0</v>
      </c>
      <c r="BL156" s="128"/>
      <c r="BM156" s="131" t="s">
        <v>417</v>
      </c>
    </row>
    <row r="157" spans="1:66" ht="15.75" customHeight="1" thickBot="1">
      <c r="A157" s="93" t="s">
        <v>123</v>
      </c>
      <c r="B157" s="122" t="s">
        <v>184</v>
      </c>
      <c r="C157" s="299"/>
      <c r="D157" s="295"/>
      <c r="E157" s="295"/>
      <c r="F157" s="297"/>
      <c r="G157" s="78">
        <v>2016</v>
      </c>
      <c r="H157" s="76" t="s">
        <v>232</v>
      </c>
      <c r="I157" s="76" t="s">
        <v>196</v>
      </c>
      <c r="J157" s="77" t="s">
        <v>197</v>
      </c>
      <c r="K157" s="81" t="s">
        <v>418</v>
      </c>
      <c r="L157" s="76" t="s">
        <v>192</v>
      </c>
      <c r="M157" s="13" t="s">
        <v>193</v>
      </c>
      <c r="N157" s="75">
        <v>6.11</v>
      </c>
      <c r="O157" s="75">
        <v>6.11</v>
      </c>
      <c r="P157" s="75">
        <v>6.11</v>
      </c>
      <c r="Q157" s="75">
        <v>6.11</v>
      </c>
      <c r="R157" s="75">
        <v>6.11</v>
      </c>
      <c r="S157" s="75">
        <v>6.11</v>
      </c>
      <c r="T157" s="75">
        <v>6.11</v>
      </c>
      <c r="U157" s="75">
        <v>6.11</v>
      </c>
      <c r="V157" s="75">
        <v>6.11</v>
      </c>
      <c r="W157" s="75">
        <v>6.11</v>
      </c>
      <c r="X157" s="75">
        <v>6.11</v>
      </c>
      <c r="Y157" s="75">
        <v>6.11</v>
      </c>
      <c r="Z157" s="75">
        <v>6.11</v>
      </c>
      <c r="AA157" s="13">
        <v>0</v>
      </c>
      <c r="AB157" s="72">
        <v>0.05</v>
      </c>
      <c r="AC157" s="72">
        <v>0.05</v>
      </c>
      <c r="AD157" s="72">
        <v>0.05</v>
      </c>
      <c r="AE157" s="72">
        <v>0.05</v>
      </c>
      <c r="AF157" s="72">
        <v>0.05</v>
      </c>
      <c r="AG157" s="72">
        <v>0.05</v>
      </c>
      <c r="AH157" s="72">
        <v>0.05</v>
      </c>
      <c r="AI157" s="72">
        <v>0.05</v>
      </c>
      <c r="AJ157" s="72">
        <v>0.05</v>
      </c>
      <c r="AK157" s="72">
        <v>0.05</v>
      </c>
      <c r="AL157" s="72">
        <v>0.05</v>
      </c>
      <c r="AM157" s="72">
        <v>0.05</v>
      </c>
      <c r="AN157" s="73">
        <v>0</v>
      </c>
      <c r="AO157" s="95">
        <f t="shared" si="24"/>
        <v>0</v>
      </c>
      <c r="AP157" s="73">
        <v>0</v>
      </c>
      <c r="AQ157" s="95">
        <f t="shared" si="25"/>
        <v>0</v>
      </c>
      <c r="AR157" s="73">
        <v>0</v>
      </c>
      <c r="AS157" s="96">
        <f t="shared" si="26"/>
        <v>0</v>
      </c>
      <c r="AT157" s="79">
        <v>0</v>
      </c>
      <c r="AU157" s="97">
        <f t="shared" si="27"/>
        <v>0</v>
      </c>
      <c r="AV157" s="79">
        <v>0</v>
      </c>
      <c r="AW157" s="97">
        <f t="shared" si="28"/>
        <v>0</v>
      </c>
      <c r="AX157" s="79">
        <v>0</v>
      </c>
      <c r="AY157" s="97">
        <f t="shared" si="29"/>
        <v>0</v>
      </c>
      <c r="AZ157" s="73">
        <v>4900</v>
      </c>
      <c r="BA157" s="97">
        <f t="shared" si="30"/>
        <v>245</v>
      </c>
      <c r="BB157" s="70">
        <v>3000</v>
      </c>
      <c r="BC157" s="97">
        <f t="shared" si="31"/>
        <v>150</v>
      </c>
      <c r="BD157" s="73">
        <v>6000</v>
      </c>
      <c r="BE157" s="97">
        <f t="shared" si="32"/>
        <v>300</v>
      </c>
      <c r="BF157" s="73">
        <v>0</v>
      </c>
      <c r="BG157" s="97">
        <f t="shared" si="33"/>
        <v>0</v>
      </c>
      <c r="BH157" s="73">
        <v>6000</v>
      </c>
      <c r="BI157" s="97">
        <f t="shared" si="34"/>
        <v>300</v>
      </c>
      <c r="BJ157" s="70">
        <v>0</v>
      </c>
      <c r="BK157" s="97">
        <f t="shared" si="35"/>
        <v>0</v>
      </c>
      <c r="BL157" s="128"/>
      <c r="BM157" s="131" t="s">
        <v>419</v>
      </c>
      <c r="BN157" s="1" t="s">
        <v>420</v>
      </c>
    </row>
    <row r="158" spans="1:66" ht="15.75" customHeight="1" thickBot="1">
      <c r="A158" s="93" t="s">
        <v>123</v>
      </c>
      <c r="B158" s="122" t="s">
        <v>184</v>
      </c>
      <c r="C158" s="299"/>
      <c r="D158" s="295"/>
      <c r="E158" s="295"/>
      <c r="F158" s="297"/>
      <c r="G158" s="78">
        <v>2020</v>
      </c>
      <c r="H158" s="76" t="s">
        <v>215</v>
      </c>
      <c r="I158" s="76" t="s">
        <v>196</v>
      </c>
      <c r="J158" s="77" t="s">
        <v>197</v>
      </c>
      <c r="K158" s="81" t="s">
        <v>216</v>
      </c>
      <c r="L158" s="76" t="s">
        <v>192</v>
      </c>
      <c r="M158" s="13" t="s">
        <v>193</v>
      </c>
      <c r="N158" s="75">
        <v>30.42</v>
      </c>
      <c r="O158" s="75">
        <v>30.42</v>
      </c>
      <c r="P158" s="75">
        <v>30.42</v>
      </c>
      <c r="Q158" s="75">
        <v>30.42</v>
      </c>
      <c r="R158" s="75">
        <v>30.42</v>
      </c>
      <c r="S158" s="75">
        <v>30.42</v>
      </c>
      <c r="T158" s="75">
        <v>30.42</v>
      </c>
      <c r="U158" s="75">
        <v>30.42</v>
      </c>
      <c r="V158" s="75">
        <v>30.42</v>
      </c>
      <c r="W158" s="75">
        <v>30.42</v>
      </c>
      <c r="X158" s="75">
        <v>30.42</v>
      </c>
      <c r="Y158" s="75">
        <v>30.42</v>
      </c>
      <c r="Z158" s="75">
        <v>30.42</v>
      </c>
      <c r="AA158" s="13">
        <v>0</v>
      </c>
      <c r="AB158" s="72">
        <v>0</v>
      </c>
      <c r="AC158" s="72">
        <v>0</v>
      </c>
      <c r="AD158" s="72">
        <v>0</v>
      </c>
      <c r="AE158" s="69">
        <v>0</v>
      </c>
      <c r="AF158" s="69">
        <v>0</v>
      </c>
      <c r="AG158" s="69">
        <v>0</v>
      </c>
      <c r="AH158" s="69">
        <v>0</v>
      </c>
      <c r="AI158" s="69">
        <v>0</v>
      </c>
      <c r="AJ158" s="69">
        <v>0</v>
      </c>
      <c r="AK158" s="69">
        <v>0</v>
      </c>
      <c r="AL158" s="69">
        <v>0</v>
      </c>
      <c r="AM158" s="69">
        <v>0</v>
      </c>
      <c r="AN158" s="73">
        <v>0</v>
      </c>
      <c r="AO158" s="95">
        <f t="shared" si="24"/>
        <v>0</v>
      </c>
      <c r="AP158" s="73">
        <v>0</v>
      </c>
      <c r="AQ158" s="95">
        <f t="shared" si="25"/>
        <v>0</v>
      </c>
      <c r="AR158" s="73">
        <v>0</v>
      </c>
      <c r="AS158" s="96">
        <f t="shared" si="26"/>
        <v>0</v>
      </c>
      <c r="AT158" s="79">
        <v>0</v>
      </c>
      <c r="AU158" s="97">
        <f t="shared" si="27"/>
        <v>0</v>
      </c>
      <c r="AV158" s="79">
        <v>1008</v>
      </c>
      <c r="AW158" s="97">
        <f t="shared" si="28"/>
        <v>0</v>
      </c>
      <c r="AX158" s="79">
        <v>1008</v>
      </c>
      <c r="AY158" s="97">
        <f t="shared" si="29"/>
        <v>0</v>
      </c>
      <c r="AZ158" s="73">
        <v>2016</v>
      </c>
      <c r="BA158" s="97">
        <f t="shared" si="30"/>
        <v>0</v>
      </c>
      <c r="BB158" s="70">
        <v>0</v>
      </c>
      <c r="BC158" s="97">
        <f t="shared" si="31"/>
        <v>0</v>
      </c>
      <c r="BD158" s="71">
        <v>1008</v>
      </c>
      <c r="BE158" s="97">
        <f t="shared" si="32"/>
        <v>0</v>
      </c>
      <c r="BF158" s="70">
        <v>0</v>
      </c>
      <c r="BG158" s="97">
        <f t="shared" si="33"/>
        <v>0</v>
      </c>
      <c r="BH158" s="70">
        <v>0</v>
      </c>
      <c r="BI158" s="97">
        <f t="shared" si="34"/>
        <v>0</v>
      </c>
      <c r="BJ158" s="73">
        <v>0</v>
      </c>
      <c r="BK158" s="97">
        <f t="shared" si="35"/>
        <v>0</v>
      </c>
      <c r="BL158" s="128"/>
      <c r="BM158" s="131" t="s">
        <v>421</v>
      </c>
    </row>
    <row r="159" spans="1:66" ht="15.75" customHeight="1" thickBot="1">
      <c r="A159" s="93" t="s">
        <v>123</v>
      </c>
      <c r="B159" s="122" t="s">
        <v>184</v>
      </c>
      <c r="C159" s="299"/>
      <c r="D159" s="295"/>
      <c r="E159" s="295"/>
      <c r="F159" s="297"/>
      <c r="G159" s="78">
        <v>2016</v>
      </c>
      <c r="H159" s="76" t="s">
        <v>232</v>
      </c>
      <c r="I159" s="76" t="s">
        <v>196</v>
      </c>
      <c r="J159" s="77" t="s">
        <v>197</v>
      </c>
      <c r="K159" s="81" t="s">
        <v>247</v>
      </c>
      <c r="L159" s="76" t="s">
        <v>192</v>
      </c>
      <c r="M159" s="13" t="s">
        <v>193</v>
      </c>
      <c r="N159" s="75">
        <v>6.41</v>
      </c>
      <c r="O159" s="75">
        <v>6.41</v>
      </c>
      <c r="P159" s="75">
        <v>6.41</v>
      </c>
      <c r="Q159" s="75">
        <v>6.41</v>
      </c>
      <c r="R159" s="75">
        <v>6.41</v>
      </c>
      <c r="S159" s="75">
        <v>6.41</v>
      </c>
      <c r="T159" s="75">
        <v>6.41</v>
      </c>
      <c r="U159" s="75">
        <v>6.41</v>
      </c>
      <c r="V159" s="75">
        <v>6.41</v>
      </c>
      <c r="W159" s="75">
        <v>6.41</v>
      </c>
      <c r="X159" s="75">
        <v>6.41</v>
      </c>
      <c r="Y159" s="75">
        <v>6.41</v>
      </c>
      <c r="Z159" s="75">
        <v>6.41</v>
      </c>
      <c r="AA159" s="13">
        <v>0</v>
      </c>
      <c r="AB159" s="72">
        <v>0.05</v>
      </c>
      <c r="AC159" s="72">
        <v>0.05</v>
      </c>
      <c r="AD159" s="72">
        <v>0.05</v>
      </c>
      <c r="AE159" s="69">
        <v>0.05</v>
      </c>
      <c r="AF159" s="69">
        <v>0.05</v>
      </c>
      <c r="AG159" s="69">
        <v>0.05</v>
      </c>
      <c r="AH159" s="69">
        <v>0.05</v>
      </c>
      <c r="AI159" s="69">
        <v>0.05</v>
      </c>
      <c r="AJ159" s="69">
        <v>0.05</v>
      </c>
      <c r="AK159" s="69">
        <v>0.05</v>
      </c>
      <c r="AL159" s="69">
        <v>0.05</v>
      </c>
      <c r="AM159" s="69">
        <v>0.05</v>
      </c>
      <c r="AN159" s="73">
        <v>0</v>
      </c>
      <c r="AO159" s="95">
        <f t="shared" si="24"/>
        <v>0</v>
      </c>
      <c r="AP159" s="73">
        <v>0</v>
      </c>
      <c r="AQ159" s="95">
        <f t="shared" si="25"/>
        <v>0</v>
      </c>
      <c r="AR159" s="73">
        <v>0</v>
      </c>
      <c r="AS159" s="96">
        <f t="shared" si="26"/>
        <v>0</v>
      </c>
      <c r="AT159" s="79">
        <v>0</v>
      </c>
      <c r="AU159" s="97">
        <f t="shared" si="27"/>
        <v>0</v>
      </c>
      <c r="AV159" s="79">
        <v>1728</v>
      </c>
      <c r="AW159" s="97">
        <f t="shared" si="28"/>
        <v>86.4</v>
      </c>
      <c r="AX159" s="79">
        <v>0</v>
      </c>
      <c r="AY159" s="97">
        <f t="shared" si="29"/>
        <v>0</v>
      </c>
      <c r="AZ159" s="71">
        <v>0</v>
      </c>
      <c r="BA159" s="97">
        <f t="shared" si="30"/>
        <v>0</v>
      </c>
      <c r="BB159" s="74">
        <v>0</v>
      </c>
      <c r="BC159" s="97">
        <f t="shared" si="31"/>
        <v>0</v>
      </c>
      <c r="BD159" s="70">
        <v>0</v>
      </c>
      <c r="BE159" s="97">
        <f t="shared" si="32"/>
        <v>0</v>
      </c>
      <c r="BF159" s="73">
        <v>0</v>
      </c>
      <c r="BG159" s="97">
        <f t="shared" si="33"/>
        <v>0</v>
      </c>
      <c r="BH159" s="73">
        <v>0</v>
      </c>
      <c r="BI159" s="97">
        <f t="shared" si="34"/>
        <v>0</v>
      </c>
      <c r="BJ159" s="73">
        <v>0</v>
      </c>
      <c r="BK159" s="97">
        <f t="shared" si="35"/>
        <v>0</v>
      </c>
      <c r="BL159" s="128"/>
      <c r="BM159" s="131" t="s">
        <v>422</v>
      </c>
    </row>
    <row r="160" spans="1:66" ht="15.75" customHeight="1" thickBot="1">
      <c r="A160" s="93" t="s">
        <v>123</v>
      </c>
      <c r="B160" s="122" t="s">
        <v>199</v>
      </c>
      <c r="C160" s="299"/>
      <c r="D160" s="295"/>
      <c r="E160" s="295"/>
      <c r="F160" s="297"/>
      <c r="G160" s="78">
        <v>2019</v>
      </c>
      <c r="H160" s="76" t="s">
        <v>270</v>
      </c>
      <c r="I160" s="76" t="s">
        <v>201</v>
      </c>
      <c r="J160" s="77" t="s">
        <v>197</v>
      </c>
      <c r="K160" s="81" t="s">
        <v>191</v>
      </c>
      <c r="L160" s="76" t="s">
        <v>192</v>
      </c>
      <c r="M160" s="13" t="s">
        <v>193</v>
      </c>
      <c r="N160" s="75">
        <v>10.130000000000001</v>
      </c>
      <c r="O160" s="75">
        <v>10.130000000000001</v>
      </c>
      <c r="P160" s="75">
        <v>10.130000000000001</v>
      </c>
      <c r="Q160" s="75">
        <v>10.130000000000001</v>
      </c>
      <c r="R160" s="75">
        <v>10.130000000000001</v>
      </c>
      <c r="S160" s="75">
        <v>10.130000000000001</v>
      </c>
      <c r="T160" s="75">
        <v>10.130000000000001</v>
      </c>
      <c r="U160" s="75">
        <v>10.130000000000001</v>
      </c>
      <c r="V160" s="75">
        <v>10.130000000000001</v>
      </c>
      <c r="W160" s="75">
        <v>10.130000000000001</v>
      </c>
      <c r="X160" s="75">
        <v>10.130000000000001</v>
      </c>
      <c r="Y160" s="75">
        <v>10.130000000000001</v>
      </c>
      <c r="Z160" s="75">
        <v>10.130000000000001</v>
      </c>
      <c r="AA160" s="13">
        <v>0</v>
      </c>
      <c r="AB160" s="72">
        <v>0</v>
      </c>
      <c r="AC160" s="72">
        <v>0</v>
      </c>
      <c r="AD160" s="72">
        <v>0</v>
      </c>
      <c r="AE160" s="69">
        <v>0</v>
      </c>
      <c r="AF160" s="69">
        <v>0</v>
      </c>
      <c r="AG160" s="69">
        <v>0</v>
      </c>
      <c r="AH160" s="69">
        <v>0</v>
      </c>
      <c r="AI160" s="69">
        <v>0</v>
      </c>
      <c r="AJ160" s="69">
        <v>0</v>
      </c>
      <c r="AK160" s="69">
        <v>0</v>
      </c>
      <c r="AL160" s="69">
        <v>0</v>
      </c>
      <c r="AM160" s="69">
        <v>0</v>
      </c>
      <c r="AN160" s="73">
        <v>0</v>
      </c>
      <c r="AO160" s="95">
        <f t="shared" si="24"/>
        <v>0</v>
      </c>
      <c r="AP160" s="73">
        <v>0</v>
      </c>
      <c r="AQ160" s="95">
        <f t="shared" si="25"/>
        <v>0</v>
      </c>
      <c r="AR160" s="73">
        <v>0</v>
      </c>
      <c r="AS160" s="96">
        <f t="shared" si="26"/>
        <v>0</v>
      </c>
      <c r="AT160" s="79">
        <v>0</v>
      </c>
      <c r="AU160" s="97">
        <f t="shared" si="27"/>
        <v>0</v>
      </c>
      <c r="AV160" s="79">
        <v>5120</v>
      </c>
      <c r="AW160" s="97">
        <f t="shared" si="28"/>
        <v>0</v>
      </c>
      <c r="AX160" s="79">
        <v>0</v>
      </c>
      <c r="AY160" s="97">
        <f t="shared" si="29"/>
        <v>0</v>
      </c>
      <c r="AZ160" s="70">
        <v>0</v>
      </c>
      <c r="BA160" s="97">
        <f t="shared" si="30"/>
        <v>0</v>
      </c>
      <c r="BB160" s="74">
        <v>8960</v>
      </c>
      <c r="BC160" s="97">
        <f t="shared" si="31"/>
        <v>0</v>
      </c>
      <c r="BD160" s="74">
        <v>1280</v>
      </c>
      <c r="BE160" s="97">
        <f t="shared" si="32"/>
        <v>0</v>
      </c>
      <c r="BF160" s="73">
        <v>0</v>
      </c>
      <c r="BG160" s="97">
        <f t="shared" si="33"/>
        <v>0</v>
      </c>
      <c r="BH160" s="70">
        <v>0</v>
      </c>
      <c r="BI160" s="97">
        <f t="shared" si="34"/>
        <v>0</v>
      </c>
      <c r="BJ160" s="70">
        <v>0</v>
      </c>
      <c r="BK160" s="97">
        <f t="shared" si="35"/>
        <v>0</v>
      </c>
      <c r="BL160" s="128"/>
      <c r="BM160" s="131" t="s">
        <v>423</v>
      </c>
    </row>
    <row r="161" spans="1:66" ht="15.75" customHeight="1" thickBot="1">
      <c r="A161" s="93" t="s">
        <v>123</v>
      </c>
      <c r="B161" s="122" t="s">
        <v>184</v>
      </c>
      <c r="C161" s="299"/>
      <c r="D161" s="295"/>
      <c r="E161" s="295"/>
      <c r="F161" s="297"/>
      <c r="G161" s="78">
        <v>2023</v>
      </c>
      <c r="H161" s="76" t="s">
        <v>280</v>
      </c>
      <c r="I161" s="76" t="s">
        <v>196</v>
      </c>
      <c r="J161" s="77" t="s">
        <v>197</v>
      </c>
      <c r="K161" s="81" t="s">
        <v>235</v>
      </c>
      <c r="L161" s="76" t="s">
        <v>192</v>
      </c>
      <c r="M161" s="13" t="s">
        <v>193</v>
      </c>
      <c r="N161" s="75">
        <v>4.32</v>
      </c>
      <c r="O161" s="75">
        <v>4.32</v>
      </c>
      <c r="P161" s="75">
        <v>4.32</v>
      </c>
      <c r="Q161" s="75">
        <v>4.32</v>
      </c>
      <c r="R161" s="75">
        <v>4.32</v>
      </c>
      <c r="S161" s="75">
        <v>4.32</v>
      </c>
      <c r="T161" s="75">
        <v>4.32</v>
      </c>
      <c r="U161" s="75">
        <v>4.32</v>
      </c>
      <c r="V161" s="75">
        <v>4.32</v>
      </c>
      <c r="W161" s="75">
        <v>4.32</v>
      </c>
      <c r="X161" s="75">
        <v>4.32</v>
      </c>
      <c r="Y161" s="75">
        <v>4.32</v>
      </c>
      <c r="Z161" s="75">
        <v>4.32</v>
      </c>
      <c r="AA161" s="13">
        <v>0</v>
      </c>
      <c r="AB161" s="72">
        <v>0</v>
      </c>
      <c r="AC161" s="72">
        <v>0</v>
      </c>
      <c r="AD161" s="72">
        <v>0</v>
      </c>
      <c r="AE161" s="69">
        <v>0</v>
      </c>
      <c r="AF161" s="69">
        <v>0</v>
      </c>
      <c r="AG161" s="69">
        <v>0</v>
      </c>
      <c r="AH161" s="69">
        <v>0</v>
      </c>
      <c r="AI161" s="69">
        <v>0</v>
      </c>
      <c r="AJ161" s="69">
        <v>0</v>
      </c>
      <c r="AK161" s="69">
        <v>0</v>
      </c>
      <c r="AL161" s="69">
        <v>0</v>
      </c>
      <c r="AM161" s="69">
        <v>0</v>
      </c>
      <c r="AN161" s="73">
        <v>0</v>
      </c>
      <c r="AO161" s="95">
        <f t="shared" si="24"/>
        <v>0</v>
      </c>
      <c r="AP161" s="73">
        <v>0</v>
      </c>
      <c r="AQ161" s="95">
        <f t="shared" si="25"/>
        <v>0</v>
      </c>
      <c r="AR161" s="73">
        <v>0</v>
      </c>
      <c r="AS161" s="96">
        <f t="shared" si="26"/>
        <v>0</v>
      </c>
      <c r="AT161" s="79">
        <v>0</v>
      </c>
      <c r="AU161" s="97">
        <f t="shared" si="27"/>
        <v>0</v>
      </c>
      <c r="AV161" s="79">
        <v>2880</v>
      </c>
      <c r="AW161" s="97">
        <f t="shared" si="28"/>
        <v>0</v>
      </c>
      <c r="AX161" s="79">
        <v>0</v>
      </c>
      <c r="AY161" s="97">
        <f t="shared" si="29"/>
        <v>0</v>
      </c>
      <c r="AZ161" s="74">
        <v>0</v>
      </c>
      <c r="BA161" s="97">
        <f t="shared" si="30"/>
        <v>0</v>
      </c>
      <c r="BB161" s="70">
        <v>0</v>
      </c>
      <c r="BC161" s="97">
        <f t="shared" si="31"/>
        <v>0</v>
      </c>
      <c r="BD161" s="74">
        <v>0</v>
      </c>
      <c r="BE161" s="97">
        <f t="shared" si="32"/>
        <v>0</v>
      </c>
      <c r="BF161" s="73">
        <v>0</v>
      </c>
      <c r="BG161" s="97">
        <f t="shared" si="33"/>
        <v>0</v>
      </c>
      <c r="BH161" s="73">
        <v>0</v>
      </c>
      <c r="BI161" s="97">
        <f t="shared" si="34"/>
        <v>0</v>
      </c>
      <c r="BJ161" s="73">
        <v>0</v>
      </c>
      <c r="BK161" s="97">
        <f t="shared" si="35"/>
        <v>0</v>
      </c>
      <c r="BL161" s="128"/>
      <c r="BM161" s="131" t="s">
        <v>424</v>
      </c>
    </row>
    <row r="162" spans="1:66" ht="15.75" customHeight="1" thickBot="1">
      <c r="A162" s="93" t="s">
        <v>123</v>
      </c>
      <c r="B162" s="122" t="s">
        <v>184</v>
      </c>
      <c r="C162" s="299"/>
      <c r="D162" s="295"/>
      <c r="E162" s="295"/>
      <c r="F162" s="297"/>
      <c r="G162" s="78">
        <v>2016</v>
      </c>
      <c r="H162" s="76" t="s">
        <v>305</v>
      </c>
      <c r="I162" s="76" t="s">
        <v>196</v>
      </c>
      <c r="J162" s="77" t="s">
        <v>197</v>
      </c>
      <c r="K162" s="81" t="s">
        <v>221</v>
      </c>
      <c r="L162" s="76" t="s">
        <v>192</v>
      </c>
      <c r="M162" s="13" t="s">
        <v>193</v>
      </c>
      <c r="N162" s="75">
        <v>4.87</v>
      </c>
      <c r="O162" s="75">
        <v>4.87</v>
      </c>
      <c r="P162" s="75">
        <v>4.87</v>
      </c>
      <c r="Q162" s="75">
        <v>4.87</v>
      </c>
      <c r="R162" s="75">
        <v>4.87</v>
      </c>
      <c r="S162" s="75">
        <v>4.87</v>
      </c>
      <c r="T162" s="75">
        <v>4.87</v>
      </c>
      <c r="U162" s="75">
        <v>4.87</v>
      </c>
      <c r="V162" s="75">
        <v>4.87</v>
      </c>
      <c r="W162" s="75">
        <v>4.87</v>
      </c>
      <c r="X162" s="75">
        <v>4.87</v>
      </c>
      <c r="Y162" s="75">
        <v>4.87</v>
      </c>
      <c r="Z162" s="75">
        <v>4.87</v>
      </c>
      <c r="AA162" s="13">
        <v>0</v>
      </c>
      <c r="AB162" s="72">
        <v>0.04</v>
      </c>
      <c r="AC162" s="72">
        <v>0.04</v>
      </c>
      <c r="AD162" s="72">
        <v>0.04</v>
      </c>
      <c r="AE162" s="69">
        <v>0.04</v>
      </c>
      <c r="AF162" s="69">
        <v>0.04</v>
      </c>
      <c r="AG162" s="69">
        <v>0.04</v>
      </c>
      <c r="AH162" s="69">
        <v>0.04</v>
      </c>
      <c r="AI162" s="69">
        <v>0.04</v>
      </c>
      <c r="AJ162" s="69">
        <v>0.04</v>
      </c>
      <c r="AK162" s="69">
        <v>0.04</v>
      </c>
      <c r="AL162" s="69">
        <v>0.04</v>
      </c>
      <c r="AM162" s="69">
        <v>0.04</v>
      </c>
      <c r="AN162" s="73">
        <v>0</v>
      </c>
      <c r="AO162" s="95">
        <f t="shared" si="24"/>
        <v>0</v>
      </c>
      <c r="AP162" s="73">
        <v>0</v>
      </c>
      <c r="AQ162" s="95">
        <f t="shared" si="25"/>
        <v>0</v>
      </c>
      <c r="AR162" s="73">
        <v>0</v>
      </c>
      <c r="AS162" s="96">
        <f t="shared" si="26"/>
        <v>0</v>
      </c>
      <c r="AT162" s="79">
        <v>0</v>
      </c>
      <c r="AU162" s="97">
        <f t="shared" si="27"/>
        <v>0</v>
      </c>
      <c r="AV162" s="79">
        <v>25000</v>
      </c>
      <c r="AW162" s="97">
        <f t="shared" si="28"/>
        <v>1000</v>
      </c>
      <c r="AX162" s="79">
        <v>3300</v>
      </c>
      <c r="AY162" s="97">
        <f t="shared" si="29"/>
        <v>132</v>
      </c>
      <c r="AZ162" s="74">
        <v>0</v>
      </c>
      <c r="BA162" s="97">
        <f t="shared" si="30"/>
        <v>0</v>
      </c>
      <c r="BB162" s="70">
        <v>0</v>
      </c>
      <c r="BC162" s="97">
        <f t="shared" si="31"/>
        <v>0</v>
      </c>
      <c r="BD162" s="70">
        <v>0</v>
      </c>
      <c r="BE162" s="97">
        <f t="shared" si="32"/>
        <v>0</v>
      </c>
      <c r="BF162" s="70">
        <v>0</v>
      </c>
      <c r="BG162" s="97">
        <f t="shared" si="33"/>
        <v>0</v>
      </c>
      <c r="BH162" s="73">
        <v>0</v>
      </c>
      <c r="BI162" s="97">
        <f t="shared" si="34"/>
        <v>0</v>
      </c>
      <c r="BJ162" s="73">
        <v>0</v>
      </c>
      <c r="BK162" s="97">
        <f t="shared" si="35"/>
        <v>0</v>
      </c>
      <c r="BL162" s="128"/>
      <c r="BM162" s="131" t="s">
        <v>425</v>
      </c>
    </row>
    <row r="163" spans="1:66" ht="15.75" customHeight="1" thickBot="1">
      <c r="A163" s="93" t="s">
        <v>123</v>
      </c>
      <c r="B163" s="122" t="s">
        <v>184</v>
      </c>
      <c r="C163" s="299"/>
      <c r="D163" s="295"/>
      <c r="E163" s="295"/>
      <c r="F163" s="297"/>
      <c r="G163" s="78">
        <v>2018</v>
      </c>
      <c r="H163" s="81" t="s">
        <v>296</v>
      </c>
      <c r="I163" s="76" t="s">
        <v>196</v>
      </c>
      <c r="J163" s="77" t="s">
        <v>197</v>
      </c>
      <c r="K163" s="81" t="s">
        <v>191</v>
      </c>
      <c r="L163" s="76" t="s">
        <v>192</v>
      </c>
      <c r="M163" s="13" t="s">
        <v>193</v>
      </c>
      <c r="N163" s="75">
        <v>5.3</v>
      </c>
      <c r="O163" s="75">
        <v>5.3</v>
      </c>
      <c r="P163" s="75">
        <v>5.3</v>
      </c>
      <c r="Q163" s="75">
        <v>5.3</v>
      </c>
      <c r="R163" s="75">
        <v>5.3</v>
      </c>
      <c r="S163" s="75">
        <v>5.3</v>
      </c>
      <c r="T163" s="75">
        <v>5.3</v>
      </c>
      <c r="U163" s="75">
        <v>5.3</v>
      </c>
      <c r="V163" s="75">
        <v>5.3</v>
      </c>
      <c r="W163" s="75">
        <v>5.3</v>
      </c>
      <c r="X163" s="75">
        <v>5.3</v>
      </c>
      <c r="Y163" s="75">
        <v>5.3</v>
      </c>
      <c r="Z163" s="75">
        <v>5.3</v>
      </c>
      <c r="AA163" s="13">
        <v>0</v>
      </c>
      <c r="AB163" s="72">
        <v>0</v>
      </c>
      <c r="AC163" s="72">
        <v>0</v>
      </c>
      <c r="AD163" s="72">
        <v>0</v>
      </c>
      <c r="AE163" s="69">
        <v>0</v>
      </c>
      <c r="AF163" s="69">
        <v>0</v>
      </c>
      <c r="AG163" s="69">
        <v>0</v>
      </c>
      <c r="AH163" s="69">
        <v>0</v>
      </c>
      <c r="AI163" s="69">
        <v>0</v>
      </c>
      <c r="AJ163" s="69">
        <v>0</v>
      </c>
      <c r="AK163" s="69">
        <v>0</v>
      </c>
      <c r="AL163" s="69">
        <v>0</v>
      </c>
      <c r="AM163" s="69">
        <v>0</v>
      </c>
      <c r="AN163" s="73">
        <v>0</v>
      </c>
      <c r="AO163" s="95">
        <f t="shared" si="24"/>
        <v>0</v>
      </c>
      <c r="AP163" s="73">
        <v>0</v>
      </c>
      <c r="AQ163" s="95">
        <f t="shared" si="25"/>
        <v>0</v>
      </c>
      <c r="AR163" s="73">
        <v>0</v>
      </c>
      <c r="AS163" s="96">
        <f t="shared" si="26"/>
        <v>0</v>
      </c>
      <c r="AT163" s="79">
        <v>0</v>
      </c>
      <c r="AU163" s="97">
        <f t="shared" si="27"/>
        <v>0</v>
      </c>
      <c r="AV163" s="79">
        <v>0</v>
      </c>
      <c r="AW163" s="97">
        <f t="shared" si="28"/>
        <v>0</v>
      </c>
      <c r="AX163" s="79">
        <v>0</v>
      </c>
      <c r="AY163" s="97">
        <f t="shared" si="29"/>
        <v>0</v>
      </c>
      <c r="AZ163" s="70">
        <v>0</v>
      </c>
      <c r="BA163" s="97">
        <f t="shared" si="30"/>
        <v>0</v>
      </c>
      <c r="BB163" s="74">
        <v>0</v>
      </c>
      <c r="BC163" s="97">
        <f t="shared" si="31"/>
        <v>0</v>
      </c>
      <c r="BD163" s="73">
        <v>0</v>
      </c>
      <c r="BE163" s="97">
        <f t="shared" si="32"/>
        <v>0</v>
      </c>
      <c r="BF163" s="73">
        <v>0</v>
      </c>
      <c r="BG163" s="97">
        <f t="shared" si="33"/>
        <v>0</v>
      </c>
      <c r="BH163" s="70">
        <v>0</v>
      </c>
      <c r="BI163" s="97">
        <f t="shared" si="34"/>
        <v>0</v>
      </c>
      <c r="BJ163" s="70">
        <v>0</v>
      </c>
      <c r="BK163" s="97">
        <f t="shared" si="35"/>
        <v>0</v>
      </c>
      <c r="BL163" s="128"/>
      <c r="BM163" s="131" t="s">
        <v>426</v>
      </c>
    </row>
    <row r="164" spans="1:66" ht="15.75" customHeight="1" thickBot="1">
      <c r="A164" s="93" t="s">
        <v>123</v>
      </c>
      <c r="B164" s="122" t="s">
        <v>184</v>
      </c>
      <c r="C164" s="299"/>
      <c r="D164" s="295"/>
      <c r="E164" s="295"/>
      <c r="F164" s="297"/>
      <c r="G164" s="78">
        <v>2016</v>
      </c>
      <c r="H164" s="76" t="s">
        <v>305</v>
      </c>
      <c r="I164" s="76" t="s">
        <v>196</v>
      </c>
      <c r="J164" s="77" t="s">
        <v>197</v>
      </c>
      <c r="K164" s="81" t="s">
        <v>221</v>
      </c>
      <c r="L164" s="76" t="s">
        <v>192</v>
      </c>
      <c r="M164" s="13" t="s">
        <v>193</v>
      </c>
      <c r="N164" s="75">
        <v>3.88</v>
      </c>
      <c r="O164" s="75">
        <v>3.88</v>
      </c>
      <c r="P164" s="75">
        <v>3.88</v>
      </c>
      <c r="Q164" s="75">
        <v>3.88</v>
      </c>
      <c r="R164" s="75">
        <v>3.88</v>
      </c>
      <c r="S164" s="75">
        <v>3.88</v>
      </c>
      <c r="T164" s="75">
        <v>3.88</v>
      </c>
      <c r="U164" s="75">
        <v>3.88</v>
      </c>
      <c r="V164" s="75">
        <v>3.88</v>
      </c>
      <c r="W164" s="75">
        <v>3.88</v>
      </c>
      <c r="X164" s="75">
        <v>3.88</v>
      </c>
      <c r="Y164" s="75">
        <v>3.88</v>
      </c>
      <c r="Z164" s="75">
        <v>3.88</v>
      </c>
      <c r="AA164" s="13">
        <v>0</v>
      </c>
      <c r="AB164" s="72">
        <v>0.04</v>
      </c>
      <c r="AC164" s="72">
        <v>0.04</v>
      </c>
      <c r="AD164" s="72">
        <v>0.04</v>
      </c>
      <c r="AE164" s="69">
        <v>0.04</v>
      </c>
      <c r="AF164" s="69">
        <v>0.04</v>
      </c>
      <c r="AG164" s="69">
        <v>0.04</v>
      </c>
      <c r="AH164" s="69">
        <v>0.04</v>
      </c>
      <c r="AI164" s="69">
        <v>0.04</v>
      </c>
      <c r="AJ164" s="69">
        <v>0.04</v>
      </c>
      <c r="AK164" s="69">
        <v>0.04</v>
      </c>
      <c r="AL164" s="69">
        <v>0.04</v>
      </c>
      <c r="AM164" s="69">
        <v>0.04</v>
      </c>
      <c r="AN164" s="73">
        <v>0</v>
      </c>
      <c r="AO164" s="95">
        <f t="shared" si="24"/>
        <v>0</v>
      </c>
      <c r="AP164" s="73">
        <v>0</v>
      </c>
      <c r="AQ164" s="95">
        <f t="shared" si="25"/>
        <v>0</v>
      </c>
      <c r="AR164" s="73">
        <v>0</v>
      </c>
      <c r="AS164" s="96">
        <f t="shared" si="26"/>
        <v>0</v>
      </c>
      <c r="AT164" s="79">
        <v>0</v>
      </c>
      <c r="AU164" s="97">
        <f t="shared" si="27"/>
        <v>0</v>
      </c>
      <c r="AV164" s="79">
        <v>0</v>
      </c>
      <c r="AW164" s="97">
        <f t="shared" si="28"/>
        <v>0</v>
      </c>
      <c r="AX164" s="79">
        <v>0</v>
      </c>
      <c r="AY164" s="97">
        <f t="shared" si="29"/>
        <v>0</v>
      </c>
      <c r="AZ164" s="73">
        <v>0</v>
      </c>
      <c r="BA164" s="97">
        <f t="shared" si="30"/>
        <v>0</v>
      </c>
      <c r="BB164" s="74">
        <v>0</v>
      </c>
      <c r="BC164" s="97">
        <f t="shared" si="31"/>
        <v>0</v>
      </c>
      <c r="BD164" s="73">
        <v>0</v>
      </c>
      <c r="BE164" s="97">
        <f t="shared" si="32"/>
        <v>0</v>
      </c>
      <c r="BF164" s="73">
        <v>0</v>
      </c>
      <c r="BG164" s="97">
        <f t="shared" si="33"/>
        <v>0</v>
      </c>
      <c r="BH164" s="73">
        <v>0</v>
      </c>
      <c r="BI164" s="97">
        <f t="shared" si="34"/>
        <v>0</v>
      </c>
      <c r="BJ164" s="73">
        <v>0</v>
      </c>
      <c r="BK164" s="97">
        <f t="shared" si="35"/>
        <v>0</v>
      </c>
      <c r="BL164" s="128"/>
      <c r="BM164" s="131" t="s">
        <v>427</v>
      </c>
    </row>
    <row r="165" spans="1:66" ht="15.75" customHeight="1" thickBot="1">
      <c r="A165" s="93" t="s">
        <v>123</v>
      </c>
      <c r="B165" s="122" t="s">
        <v>199</v>
      </c>
      <c r="C165" s="299"/>
      <c r="D165" s="295"/>
      <c r="E165" s="295"/>
      <c r="F165" s="297"/>
      <c r="G165" s="78">
        <v>2019</v>
      </c>
      <c r="H165" s="76" t="s">
        <v>270</v>
      </c>
      <c r="I165" s="76" t="s">
        <v>201</v>
      </c>
      <c r="J165" s="77" t="s">
        <v>197</v>
      </c>
      <c r="K165" s="81" t="s">
        <v>191</v>
      </c>
      <c r="L165" s="76" t="s">
        <v>192</v>
      </c>
      <c r="M165" s="13" t="s">
        <v>193</v>
      </c>
      <c r="N165" s="75">
        <v>10.27</v>
      </c>
      <c r="O165" s="75">
        <v>10.27</v>
      </c>
      <c r="P165" s="75">
        <v>10.27</v>
      </c>
      <c r="Q165" s="75">
        <v>10.27</v>
      </c>
      <c r="R165" s="75">
        <v>10.27</v>
      </c>
      <c r="S165" s="75">
        <v>10.27</v>
      </c>
      <c r="T165" s="75">
        <v>10.27</v>
      </c>
      <c r="U165" s="75">
        <v>10.27</v>
      </c>
      <c r="V165" s="75">
        <v>10.27</v>
      </c>
      <c r="W165" s="75">
        <v>10.27</v>
      </c>
      <c r="X165" s="75">
        <v>10.27</v>
      </c>
      <c r="Y165" s="75">
        <v>10.27</v>
      </c>
      <c r="Z165" s="75">
        <v>10.27</v>
      </c>
      <c r="AA165" s="13">
        <v>0</v>
      </c>
      <c r="AB165" s="72">
        <v>0</v>
      </c>
      <c r="AC165" s="72">
        <v>0</v>
      </c>
      <c r="AD165" s="72">
        <v>0</v>
      </c>
      <c r="AE165" s="69">
        <v>0</v>
      </c>
      <c r="AF165" s="69">
        <v>0</v>
      </c>
      <c r="AG165" s="69">
        <v>0</v>
      </c>
      <c r="AH165" s="69">
        <v>0</v>
      </c>
      <c r="AI165" s="69">
        <v>0</v>
      </c>
      <c r="AJ165" s="69">
        <v>0</v>
      </c>
      <c r="AK165" s="69">
        <v>0</v>
      </c>
      <c r="AL165" s="69">
        <v>0</v>
      </c>
      <c r="AM165" s="69">
        <v>0</v>
      </c>
      <c r="AN165" s="73">
        <v>0</v>
      </c>
      <c r="AO165" s="95">
        <f t="shared" si="24"/>
        <v>0</v>
      </c>
      <c r="AP165" s="73">
        <v>0</v>
      </c>
      <c r="AQ165" s="95">
        <f t="shared" si="25"/>
        <v>0</v>
      </c>
      <c r="AR165" s="73">
        <v>0</v>
      </c>
      <c r="AS165" s="96">
        <f t="shared" si="26"/>
        <v>0</v>
      </c>
      <c r="AT165" s="79">
        <v>0</v>
      </c>
      <c r="AU165" s="97">
        <f t="shared" si="27"/>
        <v>0</v>
      </c>
      <c r="AV165" s="79">
        <v>0</v>
      </c>
      <c r="AW165" s="97">
        <f t="shared" si="28"/>
        <v>0</v>
      </c>
      <c r="AX165" s="79">
        <v>0</v>
      </c>
      <c r="AY165" s="97">
        <f t="shared" si="29"/>
        <v>0</v>
      </c>
      <c r="AZ165" s="73">
        <v>0</v>
      </c>
      <c r="BA165" s="97">
        <f t="shared" si="30"/>
        <v>0</v>
      </c>
      <c r="BB165" s="70">
        <v>0</v>
      </c>
      <c r="BC165" s="97">
        <f t="shared" si="31"/>
        <v>0</v>
      </c>
      <c r="BD165" s="71">
        <v>0</v>
      </c>
      <c r="BE165" s="97">
        <f t="shared" si="32"/>
        <v>0</v>
      </c>
      <c r="BF165" s="73">
        <v>0</v>
      </c>
      <c r="BG165" s="97">
        <f t="shared" si="33"/>
        <v>0</v>
      </c>
      <c r="BH165" s="73">
        <v>1280</v>
      </c>
      <c r="BI165" s="97">
        <f t="shared" si="34"/>
        <v>0</v>
      </c>
      <c r="BJ165" s="73">
        <v>0</v>
      </c>
      <c r="BK165" s="97">
        <f t="shared" si="35"/>
        <v>0</v>
      </c>
      <c r="BL165" s="128"/>
      <c r="BM165" s="131" t="s">
        <v>428</v>
      </c>
    </row>
    <row r="166" spans="1:66" ht="15.75" customHeight="1" thickBot="1">
      <c r="A166" s="93" t="s">
        <v>123</v>
      </c>
      <c r="B166" s="122" t="s">
        <v>199</v>
      </c>
      <c r="C166" s="299"/>
      <c r="D166" s="295"/>
      <c r="E166" s="295"/>
      <c r="F166" s="297"/>
      <c r="G166" s="78">
        <v>2020</v>
      </c>
      <c r="H166" s="76" t="s">
        <v>258</v>
      </c>
      <c r="I166" s="76" t="s">
        <v>201</v>
      </c>
      <c r="J166" s="77" t="s">
        <v>197</v>
      </c>
      <c r="K166" s="81" t="s">
        <v>221</v>
      </c>
      <c r="L166" s="76" t="s">
        <v>192</v>
      </c>
      <c r="M166" s="13" t="s">
        <v>193</v>
      </c>
      <c r="N166" s="75">
        <v>7.9</v>
      </c>
      <c r="O166" s="75">
        <v>7.9</v>
      </c>
      <c r="P166" s="75">
        <v>7.9</v>
      </c>
      <c r="Q166" s="75">
        <v>7.9</v>
      </c>
      <c r="R166" s="75">
        <v>7.9</v>
      </c>
      <c r="S166" s="75">
        <v>7.9</v>
      </c>
      <c r="T166" s="75">
        <v>7.9</v>
      </c>
      <c r="U166" s="75">
        <v>7.9</v>
      </c>
      <c r="V166" s="75">
        <v>7.9</v>
      </c>
      <c r="W166" s="75">
        <v>7.9</v>
      </c>
      <c r="X166" s="75">
        <v>7.9</v>
      </c>
      <c r="Y166" s="75">
        <v>7.9</v>
      </c>
      <c r="Z166" s="75">
        <v>7.9</v>
      </c>
      <c r="AA166" s="13">
        <v>0</v>
      </c>
      <c r="AB166" s="72">
        <v>0</v>
      </c>
      <c r="AC166" s="72">
        <v>0</v>
      </c>
      <c r="AD166" s="72">
        <v>0</v>
      </c>
      <c r="AE166" s="69">
        <v>0</v>
      </c>
      <c r="AF166" s="69">
        <v>0</v>
      </c>
      <c r="AG166" s="69">
        <v>0</v>
      </c>
      <c r="AH166" s="69">
        <v>0</v>
      </c>
      <c r="AI166" s="69">
        <v>0</v>
      </c>
      <c r="AJ166" s="69">
        <v>0</v>
      </c>
      <c r="AK166" s="72">
        <v>0</v>
      </c>
      <c r="AL166" s="69">
        <v>0</v>
      </c>
      <c r="AM166" s="69">
        <v>0</v>
      </c>
      <c r="AN166" s="73">
        <v>0</v>
      </c>
      <c r="AO166" s="95">
        <f t="shared" si="24"/>
        <v>0</v>
      </c>
      <c r="AP166" s="73">
        <v>0</v>
      </c>
      <c r="AQ166" s="95">
        <f t="shared" si="25"/>
        <v>0</v>
      </c>
      <c r="AR166" s="73">
        <v>0</v>
      </c>
      <c r="AS166" s="96">
        <f t="shared" si="26"/>
        <v>0</v>
      </c>
      <c r="AT166" s="79">
        <v>0</v>
      </c>
      <c r="AU166" s="97">
        <f t="shared" si="27"/>
        <v>0</v>
      </c>
      <c r="AV166" s="79">
        <v>0</v>
      </c>
      <c r="AW166" s="97">
        <f t="shared" si="28"/>
        <v>0</v>
      </c>
      <c r="AX166" s="79">
        <v>0</v>
      </c>
      <c r="AY166" s="97">
        <f t="shared" si="29"/>
        <v>0</v>
      </c>
      <c r="AZ166" s="71">
        <v>10000</v>
      </c>
      <c r="BA166" s="97">
        <f t="shared" si="30"/>
        <v>0</v>
      </c>
      <c r="BB166" s="70">
        <v>0</v>
      </c>
      <c r="BC166" s="97">
        <f t="shared" si="31"/>
        <v>0</v>
      </c>
      <c r="BD166" s="73">
        <v>0</v>
      </c>
      <c r="BE166" s="97">
        <f t="shared" si="32"/>
        <v>0</v>
      </c>
      <c r="BF166" s="70">
        <v>0</v>
      </c>
      <c r="BG166" s="97">
        <f t="shared" si="33"/>
        <v>0</v>
      </c>
      <c r="BH166" s="70">
        <v>0</v>
      </c>
      <c r="BI166" s="97">
        <f t="shared" si="34"/>
        <v>0</v>
      </c>
      <c r="BJ166" s="70">
        <v>0</v>
      </c>
      <c r="BK166" s="97">
        <f t="shared" si="35"/>
        <v>0</v>
      </c>
      <c r="BL166" s="128"/>
      <c r="BM166" s="131" t="s">
        <v>429</v>
      </c>
    </row>
    <row r="167" spans="1:66" ht="15.75" customHeight="1" thickBot="1">
      <c r="A167" s="93" t="s">
        <v>123</v>
      </c>
      <c r="B167" s="122" t="s">
        <v>184</v>
      </c>
      <c r="C167" s="299"/>
      <c r="D167" s="295"/>
      <c r="E167" s="295"/>
      <c r="F167" s="297"/>
      <c r="G167" s="78">
        <v>2016</v>
      </c>
      <c r="H167" s="76" t="s">
        <v>232</v>
      </c>
      <c r="I167" s="76" t="s">
        <v>196</v>
      </c>
      <c r="J167" s="77" t="s">
        <v>197</v>
      </c>
      <c r="K167" s="81" t="s">
        <v>237</v>
      </c>
      <c r="L167" s="76" t="s">
        <v>192</v>
      </c>
      <c r="M167" s="13" t="s">
        <v>193</v>
      </c>
      <c r="N167" s="75">
        <v>6.39</v>
      </c>
      <c r="O167" s="75">
        <v>6.39</v>
      </c>
      <c r="P167" s="75">
        <v>6.39</v>
      </c>
      <c r="Q167" s="75">
        <v>6.39</v>
      </c>
      <c r="R167" s="75">
        <v>6.39</v>
      </c>
      <c r="S167" s="75">
        <v>6.39</v>
      </c>
      <c r="T167" s="75">
        <v>6.39</v>
      </c>
      <c r="U167" s="75">
        <v>6.39</v>
      </c>
      <c r="V167" s="75">
        <v>6.39</v>
      </c>
      <c r="W167" s="75">
        <v>6.39</v>
      </c>
      <c r="X167" s="75">
        <v>6.39</v>
      </c>
      <c r="Y167" s="75">
        <v>6.39</v>
      </c>
      <c r="Z167" s="75">
        <v>6.39</v>
      </c>
      <c r="AA167" s="13">
        <v>0</v>
      </c>
      <c r="AB167" s="69">
        <v>0.05</v>
      </c>
      <c r="AC167" s="69">
        <v>0.05</v>
      </c>
      <c r="AD167" s="69">
        <v>0.05</v>
      </c>
      <c r="AE167" s="69">
        <v>0.05</v>
      </c>
      <c r="AF167" s="69">
        <v>0.05</v>
      </c>
      <c r="AG167" s="69">
        <v>0.05</v>
      </c>
      <c r="AH167" s="69">
        <v>0.05</v>
      </c>
      <c r="AI167" s="69">
        <v>0.05</v>
      </c>
      <c r="AJ167" s="69">
        <v>0.05</v>
      </c>
      <c r="AK167" s="69">
        <v>0.05</v>
      </c>
      <c r="AL167" s="69">
        <v>0.05</v>
      </c>
      <c r="AM167" s="69">
        <v>0.05</v>
      </c>
      <c r="AN167" s="73">
        <v>0</v>
      </c>
      <c r="AO167" s="95">
        <f t="shared" si="24"/>
        <v>0</v>
      </c>
      <c r="AP167" s="73">
        <v>0</v>
      </c>
      <c r="AQ167" s="95">
        <f t="shared" si="25"/>
        <v>0</v>
      </c>
      <c r="AR167" s="73">
        <v>0</v>
      </c>
      <c r="AS167" s="96">
        <f t="shared" si="26"/>
        <v>0</v>
      </c>
      <c r="AT167" s="79">
        <v>0</v>
      </c>
      <c r="AU167" s="97">
        <f t="shared" si="27"/>
        <v>0</v>
      </c>
      <c r="AV167" s="79">
        <v>0</v>
      </c>
      <c r="AW167" s="97">
        <f t="shared" si="28"/>
        <v>0</v>
      </c>
      <c r="AX167" s="79">
        <v>0</v>
      </c>
      <c r="AY167" s="97">
        <f t="shared" si="29"/>
        <v>0</v>
      </c>
      <c r="AZ167" s="73">
        <v>0</v>
      </c>
      <c r="BA167" s="97">
        <f t="shared" si="30"/>
        <v>0</v>
      </c>
      <c r="BB167" s="74">
        <v>0</v>
      </c>
      <c r="BC167" s="97">
        <f t="shared" si="31"/>
        <v>0</v>
      </c>
      <c r="BD167" s="73">
        <v>0</v>
      </c>
      <c r="BE167" s="97">
        <f t="shared" si="32"/>
        <v>0</v>
      </c>
      <c r="BF167" s="73">
        <v>0</v>
      </c>
      <c r="BG167" s="97">
        <f t="shared" si="33"/>
        <v>0</v>
      </c>
      <c r="BH167" s="73">
        <v>0</v>
      </c>
      <c r="BI167" s="97">
        <f t="shared" si="34"/>
        <v>0</v>
      </c>
      <c r="BJ167" s="73">
        <v>0</v>
      </c>
      <c r="BK167" s="97">
        <f t="shared" si="35"/>
        <v>0</v>
      </c>
      <c r="BL167" s="128"/>
      <c r="BM167" s="131" t="s">
        <v>430</v>
      </c>
    </row>
    <row r="168" spans="1:66" ht="15.75" customHeight="1" thickBot="1">
      <c r="A168" s="93" t="s">
        <v>123</v>
      </c>
      <c r="B168" s="122" t="s">
        <v>184</v>
      </c>
      <c r="C168" s="299"/>
      <c r="D168" s="295"/>
      <c r="E168" s="295"/>
      <c r="F168" s="297"/>
      <c r="G168" s="78">
        <v>2016</v>
      </c>
      <c r="H168" s="76" t="s">
        <v>232</v>
      </c>
      <c r="I168" s="76" t="s">
        <v>196</v>
      </c>
      <c r="J168" s="77" t="s">
        <v>197</v>
      </c>
      <c r="K168" s="81" t="s">
        <v>431</v>
      </c>
      <c r="L168" s="76" t="s">
        <v>192</v>
      </c>
      <c r="M168" s="13" t="s">
        <v>193</v>
      </c>
      <c r="N168" s="75">
        <v>8.4499999999999993</v>
      </c>
      <c r="O168" s="75">
        <v>8.4499999999999993</v>
      </c>
      <c r="P168" s="75">
        <v>8.4499999999999993</v>
      </c>
      <c r="Q168" s="75">
        <v>8.4499999999999993</v>
      </c>
      <c r="R168" s="75">
        <v>8.4499999999999993</v>
      </c>
      <c r="S168" s="75">
        <v>8.4499999999999993</v>
      </c>
      <c r="T168" s="75">
        <v>8.4499999999999993</v>
      </c>
      <c r="U168" s="75">
        <v>8.4499999999999993</v>
      </c>
      <c r="V168" s="75">
        <v>8.4499999999999993</v>
      </c>
      <c r="W168" s="75">
        <v>8.4499999999999993</v>
      </c>
      <c r="X168" s="75">
        <v>8.4499999999999993</v>
      </c>
      <c r="Y168" s="75">
        <v>8.4499999999999993</v>
      </c>
      <c r="Z168" s="75">
        <v>8.4499999999999993</v>
      </c>
      <c r="AA168" s="13">
        <v>0</v>
      </c>
      <c r="AB168" s="72">
        <v>0.05</v>
      </c>
      <c r="AC168" s="72">
        <v>0.05</v>
      </c>
      <c r="AD168" s="72">
        <v>0.05</v>
      </c>
      <c r="AE168" s="72">
        <v>0.05</v>
      </c>
      <c r="AF168" s="72">
        <v>0.05</v>
      </c>
      <c r="AG168" s="72">
        <v>0.05</v>
      </c>
      <c r="AH168" s="72">
        <v>0.05</v>
      </c>
      <c r="AI168" s="72">
        <v>0.05</v>
      </c>
      <c r="AJ168" s="72">
        <v>0.05</v>
      </c>
      <c r="AK168" s="72">
        <v>0.05</v>
      </c>
      <c r="AL168" s="72">
        <v>0.05</v>
      </c>
      <c r="AM168" s="72">
        <v>0.05</v>
      </c>
      <c r="AN168" s="73">
        <v>0</v>
      </c>
      <c r="AO168" s="95">
        <f t="shared" si="24"/>
        <v>0</v>
      </c>
      <c r="AP168" s="73">
        <v>0</v>
      </c>
      <c r="AQ168" s="95">
        <f t="shared" si="25"/>
        <v>0</v>
      </c>
      <c r="AR168" s="73">
        <v>0</v>
      </c>
      <c r="AS168" s="96">
        <f t="shared" si="26"/>
        <v>0</v>
      </c>
      <c r="AT168" s="79">
        <v>0</v>
      </c>
      <c r="AU168" s="97">
        <f t="shared" si="27"/>
        <v>0</v>
      </c>
      <c r="AV168" s="79">
        <v>0</v>
      </c>
      <c r="AW168" s="97">
        <f t="shared" si="28"/>
        <v>0</v>
      </c>
      <c r="AX168" s="79">
        <v>0</v>
      </c>
      <c r="AY168" s="97">
        <f t="shared" si="29"/>
        <v>0</v>
      </c>
      <c r="AZ168" s="73">
        <v>7200</v>
      </c>
      <c r="BA168" s="97">
        <f t="shared" si="30"/>
        <v>360</v>
      </c>
      <c r="BB168" s="74">
        <v>0</v>
      </c>
      <c r="BC168" s="97">
        <f t="shared" si="31"/>
        <v>0</v>
      </c>
      <c r="BD168" s="70">
        <v>6000</v>
      </c>
      <c r="BE168" s="97">
        <f t="shared" si="32"/>
        <v>300</v>
      </c>
      <c r="BF168" s="73">
        <v>0</v>
      </c>
      <c r="BG168" s="97">
        <f t="shared" si="33"/>
        <v>0</v>
      </c>
      <c r="BH168" s="70">
        <v>6000</v>
      </c>
      <c r="BI168" s="97">
        <f t="shared" si="34"/>
        <v>300</v>
      </c>
      <c r="BJ168" s="73">
        <v>12000</v>
      </c>
      <c r="BK168" s="97">
        <f t="shared" si="35"/>
        <v>600</v>
      </c>
      <c r="BL168" s="128"/>
      <c r="BM168" s="131" t="s">
        <v>432</v>
      </c>
      <c r="BN168" s="1" t="s">
        <v>433</v>
      </c>
    </row>
    <row r="169" spans="1:66" ht="15.75" customHeight="1" thickBot="1">
      <c r="A169" s="93" t="s">
        <v>123</v>
      </c>
      <c r="B169" s="122" t="s">
        <v>184</v>
      </c>
      <c r="C169" s="299"/>
      <c r="D169" s="295"/>
      <c r="E169" s="295"/>
      <c r="F169" s="297"/>
      <c r="G169" s="78">
        <v>2016</v>
      </c>
      <c r="H169" s="76" t="s">
        <v>232</v>
      </c>
      <c r="I169" s="76" t="s">
        <v>196</v>
      </c>
      <c r="J169" s="77" t="s">
        <v>197</v>
      </c>
      <c r="K169" s="81" t="s">
        <v>434</v>
      </c>
      <c r="L169" s="76" t="s">
        <v>192</v>
      </c>
      <c r="M169" s="13" t="s">
        <v>193</v>
      </c>
      <c r="N169" s="75">
        <v>8.4499999999999993</v>
      </c>
      <c r="O169" s="75">
        <v>8.4499999999999993</v>
      </c>
      <c r="P169" s="75">
        <v>8.4499999999999993</v>
      </c>
      <c r="Q169" s="75">
        <v>8.4499999999999993</v>
      </c>
      <c r="R169" s="75">
        <v>8.4499999999999993</v>
      </c>
      <c r="S169" s="75">
        <v>8.4499999999999993</v>
      </c>
      <c r="T169" s="75">
        <v>8.4499999999999993</v>
      </c>
      <c r="U169" s="75">
        <v>8.4499999999999993</v>
      </c>
      <c r="V169" s="75">
        <v>8.4499999999999993</v>
      </c>
      <c r="W169" s="75">
        <v>8.4499999999999993</v>
      </c>
      <c r="X169" s="75">
        <v>8.4499999999999993</v>
      </c>
      <c r="Y169" s="75">
        <v>8.4499999999999993</v>
      </c>
      <c r="Z169" s="75">
        <v>8.4499999999999993</v>
      </c>
      <c r="AA169" s="13">
        <v>0</v>
      </c>
      <c r="AB169" s="72">
        <v>0.05</v>
      </c>
      <c r="AC169" s="72">
        <v>0.05</v>
      </c>
      <c r="AD169" s="72">
        <v>0.05</v>
      </c>
      <c r="AE169" s="72">
        <v>0.05</v>
      </c>
      <c r="AF169" s="72">
        <v>0.05</v>
      </c>
      <c r="AG169" s="72">
        <v>0.05</v>
      </c>
      <c r="AH169" s="72">
        <v>0.05</v>
      </c>
      <c r="AI169" s="72">
        <v>0.05</v>
      </c>
      <c r="AJ169" s="72">
        <v>0.05</v>
      </c>
      <c r="AK169" s="72">
        <v>0.05</v>
      </c>
      <c r="AL169" s="72">
        <v>0.05</v>
      </c>
      <c r="AM169" s="72">
        <v>0.05</v>
      </c>
      <c r="AN169" s="73">
        <v>0</v>
      </c>
      <c r="AO169" s="95">
        <f t="shared" si="24"/>
        <v>0</v>
      </c>
      <c r="AP169" s="73">
        <v>0</v>
      </c>
      <c r="AQ169" s="95">
        <f t="shared" si="25"/>
        <v>0</v>
      </c>
      <c r="AR169" s="73">
        <v>0</v>
      </c>
      <c r="AS169" s="96">
        <f t="shared" si="26"/>
        <v>0</v>
      </c>
      <c r="AT169" s="79">
        <v>0</v>
      </c>
      <c r="AU169" s="97">
        <f t="shared" si="27"/>
        <v>0</v>
      </c>
      <c r="AV169" s="79">
        <v>0</v>
      </c>
      <c r="AW169" s="97">
        <f t="shared" si="28"/>
        <v>0</v>
      </c>
      <c r="AX169" s="79">
        <v>0</v>
      </c>
      <c r="AY169" s="97">
        <f t="shared" si="29"/>
        <v>0</v>
      </c>
      <c r="AZ169" s="70">
        <v>3500</v>
      </c>
      <c r="BA169" s="97">
        <f t="shared" si="30"/>
        <v>175</v>
      </c>
      <c r="BB169" s="70">
        <v>0</v>
      </c>
      <c r="BC169" s="97">
        <f t="shared" si="31"/>
        <v>0</v>
      </c>
      <c r="BD169" s="73">
        <v>3000</v>
      </c>
      <c r="BE169" s="97">
        <f t="shared" si="32"/>
        <v>150</v>
      </c>
      <c r="BF169" s="73">
        <v>0</v>
      </c>
      <c r="BG169" s="97">
        <f t="shared" si="33"/>
        <v>0</v>
      </c>
      <c r="BH169" s="73">
        <v>9000</v>
      </c>
      <c r="BI169" s="97">
        <f t="shared" si="34"/>
        <v>450</v>
      </c>
      <c r="BJ169" s="70">
        <v>3000</v>
      </c>
      <c r="BK169" s="97">
        <f t="shared" si="35"/>
        <v>150</v>
      </c>
      <c r="BL169" s="128"/>
      <c r="BM169" s="131" t="s">
        <v>435</v>
      </c>
      <c r="BN169" s="1" t="s">
        <v>433</v>
      </c>
    </row>
    <row r="170" spans="1:66" ht="15.75" customHeight="1" thickBot="1">
      <c r="A170" s="93" t="s">
        <v>123</v>
      </c>
      <c r="B170" s="122" t="s">
        <v>184</v>
      </c>
      <c r="C170" s="299"/>
      <c r="D170" s="295"/>
      <c r="E170" s="295"/>
      <c r="F170" s="297"/>
      <c r="G170" s="78">
        <v>2023</v>
      </c>
      <c r="H170" s="76" t="s">
        <v>280</v>
      </c>
      <c r="I170" s="76" t="s">
        <v>196</v>
      </c>
      <c r="J170" s="77" t="s">
        <v>197</v>
      </c>
      <c r="K170" s="81" t="s">
        <v>221</v>
      </c>
      <c r="L170" s="76" t="s">
        <v>192</v>
      </c>
      <c r="M170" s="13" t="s">
        <v>193</v>
      </c>
      <c r="N170" s="75">
        <v>4.4000000000000004</v>
      </c>
      <c r="O170" s="75">
        <v>4.4000000000000004</v>
      </c>
      <c r="P170" s="75">
        <v>4.4000000000000004</v>
      </c>
      <c r="Q170" s="75">
        <v>4.4000000000000004</v>
      </c>
      <c r="R170" s="75">
        <v>4.4000000000000004</v>
      </c>
      <c r="S170" s="75">
        <v>4.4000000000000004</v>
      </c>
      <c r="T170" s="75">
        <v>4.4000000000000004</v>
      </c>
      <c r="U170" s="75">
        <v>4.4000000000000004</v>
      </c>
      <c r="V170" s="75">
        <v>4.4000000000000004</v>
      </c>
      <c r="W170" s="75">
        <v>4.4000000000000004</v>
      </c>
      <c r="X170" s="75">
        <v>4.4000000000000004</v>
      </c>
      <c r="Y170" s="75">
        <v>4.4000000000000004</v>
      </c>
      <c r="Z170" s="75">
        <v>4.4000000000000004</v>
      </c>
      <c r="AA170" s="13">
        <v>0</v>
      </c>
      <c r="AB170" s="72">
        <v>0</v>
      </c>
      <c r="AC170" s="72">
        <v>0</v>
      </c>
      <c r="AD170" s="72">
        <v>0</v>
      </c>
      <c r="AE170" s="69">
        <v>0</v>
      </c>
      <c r="AF170" s="69">
        <v>0</v>
      </c>
      <c r="AG170" s="69">
        <v>0</v>
      </c>
      <c r="AH170" s="69">
        <v>0</v>
      </c>
      <c r="AI170" s="69">
        <v>0</v>
      </c>
      <c r="AJ170" s="69">
        <v>0</v>
      </c>
      <c r="AK170" s="69">
        <v>0</v>
      </c>
      <c r="AL170" s="69">
        <v>0</v>
      </c>
      <c r="AM170" s="69">
        <v>0</v>
      </c>
      <c r="AN170" s="73">
        <v>0</v>
      </c>
      <c r="AO170" s="95">
        <f t="shared" si="24"/>
        <v>0</v>
      </c>
      <c r="AP170" s="73">
        <v>0</v>
      </c>
      <c r="AQ170" s="95">
        <f t="shared" si="25"/>
        <v>0</v>
      </c>
      <c r="AR170" s="73">
        <v>0</v>
      </c>
      <c r="AS170" s="96">
        <f t="shared" si="26"/>
        <v>0</v>
      </c>
      <c r="AT170" s="79">
        <v>0</v>
      </c>
      <c r="AU170" s="97">
        <f t="shared" si="27"/>
        <v>0</v>
      </c>
      <c r="AV170" s="79">
        <v>0</v>
      </c>
      <c r="AW170" s="97">
        <f t="shared" si="28"/>
        <v>0</v>
      </c>
      <c r="AX170" s="79">
        <v>3000</v>
      </c>
      <c r="AY170" s="97">
        <f t="shared" si="29"/>
        <v>0</v>
      </c>
      <c r="AZ170" s="73">
        <v>3000</v>
      </c>
      <c r="BA170" s="97">
        <f t="shared" si="30"/>
        <v>0</v>
      </c>
      <c r="BB170" s="70">
        <v>5300</v>
      </c>
      <c r="BC170" s="97">
        <f t="shared" si="31"/>
        <v>0</v>
      </c>
      <c r="BD170" s="73">
        <v>0</v>
      </c>
      <c r="BE170" s="97">
        <f t="shared" si="32"/>
        <v>0</v>
      </c>
      <c r="BF170" s="70">
        <v>3000</v>
      </c>
      <c r="BG170" s="97">
        <f t="shared" si="33"/>
        <v>0</v>
      </c>
      <c r="BH170" s="73">
        <v>3000</v>
      </c>
      <c r="BI170" s="97">
        <f t="shared" si="34"/>
        <v>0</v>
      </c>
      <c r="BJ170" s="73">
        <v>3000</v>
      </c>
      <c r="BK170" s="97">
        <f t="shared" si="35"/>
        <v>0</v>
      </c>
      <c r="BL170" s="128"/>
      <c r="BM170" s="131" t="s">
        <v>436</v>
      </c>
      <c r="BN170" s="1" t="s">
        <v>437</v>
      </c>
    </row>
    <row r="171" spans="1:66" ht="15.75" customHeight="1" thickBot="1">
      <c r="A171" s="93" t="s">
        <v>123</v>
      </c>
      <c r="B171" s="122" t="s">
        <v>184</v>
      </c>
      <c r="C171" s="299"/>
      <c r="D171" s="295"/>
      <c r="E171" s="295"/>
      <c r="F171" s="297"/>
      <c r="G171" s="78">
        <v>2023</v>
      </c>
      <c r="H171" s="76" t="s">
        <v>280</v>
      </c>
      <c r="I171" s="76" t="s">
        <v>196</v>
      </c>
      <c r="J171" s="77" t="s">
        <v>197</v>
      </c>
      <c r="K171" s="81" t="s">
        <v>221</v>
      </c>
      <c r="L171" s="76" t="s">
        <v>192</v>
      </c>
      <c r="M171" s="13" t="s">
        <v>193</v>
      </c>
      <c r="N171" s="75">
        <v>4.3499999999999996</v>
      </c>
      <c r="O171" s="75">
        <v>4.3499999999999996</v>
      </c>
      <c r="P171" s="75">
        <v>4.3499999999999996</v>
      </c>
      <c r="Q171" s="75">
        <v>4.3499999999999996</v>
      </c>
      <c r="R171" s="75">
        <v>4.3499999999999996</v>
      </c>
      <c r="S171" s="75">
        <v>4.3499999999999996</v>
      </c>
      <c r="T171" s="75">
        <v>4.3499999999999996</v>
      </c>
      <c r="U171" s="75">
        <v>4.3499999999999996</v>
      </c>
      <c r="V171" s="75">
        <v>4.3499999999999996</v>
      </c>
      <c r="W171" s="75">
        <v>4.3499999999999996</v>
      </c>
      <c r="X171" s="75">
        <v>4.3499999999999996</v>
      </c>
      <c r="Y171" s="75">
        <v>4.3499999999999996</v>
      </c>
      <c r="Z171" s="75">
        <v>4.3499999999999996</v>
      </c>
      <c r="AA171" s="13">
        <v>0</v>
      </c>
      <c r="AB171" s="72">
        <v>0</v>
      </c>
      <c r="AC171" s="72">
        <v>0</v>
      </c>
      <c r="AD171" s="72">
        <v>0</v>
      </c>
      <c r="AE171" s="69">
        <v>0</v>
      </c>
      <c r="AF171" s="69">
        <v>0</v>
      </c>
      <c r="AG171" s="69">
        <v>0</v>
      </c>
      <c r="AH171" s="69">
        <v>0</v>
      </c>
      <c r="AI171" s="69">
        <v>0</v>
      </c>
      <c r="AJ171" s="69">
        <v>0</v>
      </c>
      <c r="AK171" s="69">
        <v>0</v>
      </c>
      <c r="AL171" s="69">
        <v>0</v>
      </c>
      <c r="AM171" s="69">
        <v>0</v>
      </c>
      <c r="AN171" s="73">
        <v>0</v>
      </c>
      <c r="AO171" s="95">
        <f t="shared" si="24"/>
        <v>0</v>
      </c>
      <c r="AP171" s="73">
        <v>0</v>
      </c>
      <c r="AQ171" s="95">
        <f t="shared" si="25"/>
        <v>0</v>
      </c>
      <c r="AR171" s="73">
        <v>0</v>
      </c>
      <c r="AS171" s="96">
        <f t="shared" si="26"/>
        <v>0</v>
      </c>
      <c r="AT171" s="79">
        <v>0</v>
      </c>
      <c r="AU171" s="97">
        <f t="shared" si="27"/>
        <v>0</v>
      </c>
      <c r="AV171" s="79">
        <v>0</v>
      </c>
      <c r="AW171" s="97">
        <f t="shared" si="28"/>
        <v>0</v>
      </c>
      <c r="AX171" s="79">
        <v>3000</v>
      </c>
      <c r="AY171" s="97">
        <f t="shared" si="29"/>
        <v>0</v>
      </c>
      <c r="AZ171" s="73">
        <v>3000</v>
      </c>
      <c r="BA171" s="97">
        <f t="shared" si="30"/>
        <v>0</v>
      </c>
      <c r="BB171" s="74">
        <v>0</v>
      </c>
      <c r="BC171" s="97">
        <f t="shared" si="31"/>
        <v>0</v>
      </c>
      <c r="BD171" s="71">
        <v>3000</v>
      </c>
      <c r="BE171" s="97">
        <f t="shared" si="32"/>
        <v>0</v>
      </c>
      <c r="BF171" s="73">
        <v>0</v>
      </c>
      <c r="BG171" s="97">
        <f t="shared" si="33"/>
        <v>0</v>
      </c>
      <c r="BH171" s="70">
        <v>0</v>
      </c>
      <c r="BI171" s="97">
        <f t="shared" si="34"/>
        <v>0</v>
      </c>
      <c r="BJ171" s="73">
        <v>0</v>
      </c>
      <c r="BK171" s="97">
        <f t="shared" si="35"/>
        <v>0</v>
      </c>
      <c r="BL171" s="128"/>
      <c r="BM171" s="131" t="s">
        <v>436</v>
      </c>
      <c r="BN171" s="1" t="s">
        <v>438</v>
      </c>
    </row>
    <row r="172" spans="1:66" ht="15.75" customHeight="1" thickBot="1">
      <c r="A172" s="93" t="s">
        <v>123</v>
      </c>
      <c r="B172" s="122" t="s">
        <v>184</v>
      </c>
      <c r="C172" s="299"/>
      <c r="D172" s="295"/>
      <c r="E172" s="295"/>
      <c r="F172" s="297"/>
      <c r="G172" s="78">
        <v>2021</v>
      </c>
      <c r="H172" s="76" t="s">
        <v>439</v>
      </c>
      <c r="I172" s="76" t="s">
        <v>196</v>
      </c>
      <c r="J172" s="77" t="s">
        <v>197</v>
      </c>
      <c r="K172" s="81" t="s">
        <v>191</v>
      </c>
      <c r="L172" s="76" t="s">
        <v>192</v>
      </c>
      <c r="M172" s="13" t="s">
        <v>193</v>
      </c>
      <c r="N172" s="75">
        <v>8.6999999999999993</v>
      </c>
      <c r="O172" s="75">
        <v>8.6999999999999993</v>
      </c>
      <c r="P172" s="75">
        <v>8.6999999999999993</v>
      </c>
      <c r="Q172" s="75">
        <v>8.6999999999999993</v>
      </c>
      <c r="R172" s="75">
        <v>8.6999999999999993</v>
      </c>
      <c r="S172" s="75">
        <v>8.6999999999999993</v>
      </c>
      <c r="T172" s="75">
        <v>8.6999999999999993</v>
      </c>
      <c r="U172" s="75">
        <v>8.6999999999999993</v>
      </c>
      <c r="V172" s="75">
        <v>8.6999999999999993</v>
      </c>
      <c r="W172" s="75">
        <v>8.6999999999999993</v>
      </c>
      <c r="X172" s="75">
        <v>8.6999999999999993</v>
      </c>
      <c r="Y172" s="75">
        <v>8.6999999999999993</v>
      </c>
      <c r="Z172" s="75">
        <v>8.6999999999999993</v>
      </c>
      <c r="AA172" s="13">
        <v>0</v>
      </c>
      <c r="AB172" s="72">
        <v>0</v>
      </c>
      <c r="AC172" s="72">
        <v>0</v>
      </c>
      <c r="AD172" s="72">
        <v>0</v>
      </c>
      <c r="AE172" s="69">
        <v>0</v>
      </c>
      <c r="AF172" s="69">
        <v>0</v>
      </c>
      <c r="AG172" s="69">
        <v>0</v>
      </c>
      <c r="AH172" s="69">
        <v>0</v>
      </c>
      <c r="AI172" s="69">
        <v>0</v>
      </c>
      <c r="AJ172" s="69">
        <v>0</v>
      </c>
      <c r="AK172" s="69">
        <v>0</v>
      </c>
      <c r="AL172" s="69">
        <v>0</v>
      </c>
      <c r="AM172" s="69">
        <v>0</v>
      </c>
      <c r="AN172" s="73">
        <v>0</v>
      </c>
      <c r="AO172" s="95">
        <f t="shared" si="24"/>
        <v>0</v>
      </c>
      <c r="AP172" s="73">
        <v>0</v>
      </c>
      <c r="AQ172" s="95">
        <f t="shared" si="25"/>
        <v>0</v>
      </c>
      <c r="AR172" s="73">
        <v>0</v>
      </c>
      <c r="AS172" s="96">
        <f t="shared" si="26"/>
        <v>0</v>
      </c>
      <c r="AT172" s="79">
        <v>0</v>
      </c>
      <c r="AU172" s="97">
        <f t="shared" si="27"/>
        <v>0</v>
      </c>
      <c r="AV172" s="79">
        <v>0</v>
      </c>
      <c r="AW172" s="97">
        <f t="shared" si="28"/>
        <v>0</v>
      </c>
      <c r="AX172" s="79">
        <v>0</v>
      </c>
      <c r="AY172" s="97">
        <f t="shared" si="29"/>
        <v>0</v>
      </c>
      <c r="AZ172" s="71">
        <v>0</v>
      </c>
      <c r="BA172" s="97">
        <f t="shared" si="30"/>
        <v>0</v>
      </c>
      <c r="BB172" s="74">
        <v>0</v>
      </c>
      <c r="BC172" s="97">
        <f t="shared" si="31"/>
        <v>0</v>
      </c>
      <c r="BD172" s="73">
        <v>0</v>
      </c>
      <c r="BE172" s="97">
        <f t="shared" si="32"/>
        <v>0</v>
      </c>
      <c r="BF172" s="73">
        <v>0</v>
      </c>
      <c r="BG172" s="97">
        <f t="shared" si="33"/>
        <v>0</v>
      </c>
      <c r="BH172" s="73">
        <v>0</v>
      </c>
      <c r="BI172" s="97">
        <f t="shared" si="34"/>
        <v>0</v>
      </c>
      <c r="BJ172" s="70">
        <v>0</v>
      </c>
      <c r="BK172" s="97">
        <f t="shared" si="35"/>
        <v>0</v>
      </c>
      <c r="BL172" s="128"/>
      <c r="BM172" s="131" t="s">
        <v>440</v>
      </c>
    </row>
    <row r="173" spans="1:66" ht="15.75" customHeight="1" thickBot="1">
      <c r="A173" s="93" t="s">
        <v>123</v>
      </c>
      <c r="B173" s="122" t="s">
        <v>199</v>
      </c>
      <c r="C173" s="299"/>
      <c r="D173" s="295"/>
      <c r="E173" s="295"/>
      <c r="F173" s="297"/>
      <c r="G173" s="78">
        <v>2020</v>
      </c>
      <c r="H173" s="76" t="s">
        <v>200</v>
      </c>
      <c r="I173" s="76" t="s">
        <v>201</v>
      </c>
      <c r="J173" s="77" t="s">
        <v>197</v>
      </c>
      <c r="K173" s="81" t="s">
        <v>191</v>
      </c>
      <c r="L173" s="76" t="s">
        <v>192</v>
      </c>
      <c r="M173" s="13" t="s">
        <v>193</v>
      </c>
      <c r="N173" s="75">
        <v>8.8699999999999992</v>
      </c>
      <c r="O173" s="75">
        <v>8.8699999999999992</v>
      </c>
      <c r="P173" s="75">
        <v>8.8699999999999992</v>
      </c>
      <c r="Q173" s="75">
        <v>8.8699999999999992</v>
      </c>
      <c r="R173" s="75">
        <v>8.8699999999999992</v>
      </c>
      <c r="S173" s="75">
        <v>8.8699999999999992</v>
      </c>
      <c r="T173" s="75">
        <v>8.8699999999999992</v>
      </c>
      <c r="U173" s="75">
        <v>8.8699999999999992</v>
      </c>
      <c r="V173" s="75">
        <v>8.8699999999999992</v>
      </c>
      <c r="W173" s="75">
        <v>8.8699999999999992</v>
      </c>
      <c r="X173" s="75">
        <v>8.8699999999999992</v>
      </c>
      <c r="Y173" s="75">
        <v>8.8699999999999992</v>
      </c>
      <c r="Z173" s="75">
        <v>8.8699999999999992</v>
      </c>
      <c r="AA173" s="13">
        <v>0</v>
      </c>
      <c r="AB173" s="72">
        <v>0</v>
      </c>
      <c r="AC173" s="72">
        <v>0</v>
      </c>
      <c r="AD173" s="72">
        <v>0</v>
      </c>
      <c r="AE173" s="69">
        <v>0</v>
      </c>
      <c r="AF173" s="69">
        <v>0</v>
      </c>
      <c r="AG173" s="69">
        <v>0</v>
      </c>
      <c r="AH173" s="69">
        <v>0</v>
      </c>
      <c r="AI173" s="69">
        <v>0</v>
      </c>
      <c r="AJ173" s="69">
        <v>0</v>
      </c>
      <c r="AK173" s="69">
        <v>0</v>
      </c>
      <c r="AL173" s="69">
        <v>0</v>
      </c>
      <c r="AM173" s="69">
        <v>0</v>
      </c>
      <c r="AN173" s="73">
        <v>0</v>
      </c>
      <c r="AO173" s="95">
        <f t="shared" si="24"/>
        <v>0</v>
      </c>
      <c r="AP173" s="73">
        <v>0</v>
      </c>
      <c r="AQ173" s="95">
        <f t="shared" si="25"/>
        <v>0</v>
      </c>
      <c r="AR173" s="73">
        <v>0</v>
      </c>
      <c r="AS173" s="96">
        <f t="shared" si="26"/>
        <v>0</v>
      </c>
      <c r="AT173" s="79">
        <v>0</v>
      </c>
      <c r="AU173" s="97">
        <f t="shared" si="27"/>
        <v>0</v>
      </c>
      <c r="AV173" s="79">
        <v>0</v>
      </c>
      <c r="AW173" s="97">
        <f t="shared" si="28"/>
        <v>0</v>
      </c>
      <c r="AX173" s="80">
        <v>0</v>
      </c>
      <c r="AY173" s="97">
        <f t="shared" si="29"/>
        <v>0</v>
      </c>
      <c r="AZ173" s="74">
        <v>0</v>
      </c>
      <c r="BA173" s="97">
        <f t="shared" si="30"/>
        <v>0</v>
      </c>
      <c r="BB173" s="70">
        <v>3840</v>
      </c>
      <c r="BC173" s="97">
        <f t="shared" si="31"/>
        <v>0</v>
      </c>
      <c r="BD173" s="73">
        <v>2560</v>
      </c>
      <c r="BE173" s="97">
        <f t="shared" si="32"/>
        <v>0</v>
      </c>
      <c r="BF173" s="73">
        <v>0</v>
      </c>
      <c r="BG173" s="97">
        <f t="shared" si="33"/>
        <v>0</v>
      </c>
      <c r="BH173" s="73">
        <v>0</v>
      </c>
      <c r="BI173" s="97">
        <f t="shared" si="34"/>
        <v>0</v>
      </c>
      <c r="BJ173" s="73">
        <v>0</v>
      </c>
      <c r="BK173" s="97">
        <f t="shared" si="35"/>
        <v>0</v>
      </c>
      <c r="BL173" s="128"/>
      <c r="BM173" s="131" t="s">
        <v>441</v>
      </c>
    </row>
    <row r="174" spans="1:66" ht="15.75" customHeight="1" thickBot="1">
      <c r="A174" s="93" t="s">
        <v>123</v>
      </c>
      <c r="B174" s="122" t="s">
        <v>199</v>
      </c>
      <c r="C174" s="299"/>
      <c r="D174" s="295"/>
      <c r="E174" s="295"/>
      <c r="F174" s="297"/>
      <c r="G174" s="78">
        <v>2021</v>
      </c>
      <c r="H174" s="76" t="s">
        <v>211</v>
      </c>
      <c r="I174" s="76" t="s">
        <v>212</v>
      </c>
      <c r="J174" s="77" t="s">
        <v>197</v>
      </c>
      <c r="K174" s="81" t="s">
        <v>191</v>
      </c>
      <c r="L174" s="76" t="s">
        <v>192</v>
      </c>
      <c r="M174" s="13" t="s">
        <v>193</v>
      </c>
      <c r="N174" s="75">
        <v>7.48</v>
      </c>
      <c r="O174" s="75">
        <v>7.48</v>
      </c>
      <c r="P174" s="75">
        <v>7.48</v>
      </c>
      <c r="Q174" s="75">
        <v>7.48</v>
      </c>
      <c r="R174" s="75">
        <v>7.48</v>
      </c>
      <c r="S174" s="75">
        <v>7.48</v>
      </c>
      <c r="T174" s="75">
        <v>7.48</v>
      </c>
      <c r="U174" s="75">
        <v>7.48</v>
      </c>
      <c r="V174" s="75">
        <v>7.48</v>
      </c>
      <c r="W174" s="75">
        <v>7.48</v>
      </c>
      <c r="X174" s="75">
        <v>7.48</v>
      </c>
      <c r="Y174" s="75">
        <v>7.48</v>
      </c>
      <c r="Z174" s="75">
        <v>7.48</v>
      </c>
      <c r="AA174" s="13">
        <v>0</v>
      </c>
      <c r="AB174" s="72">
        <v>0</v>
      </c>
      <c r="AC174" s="72">
        <v>0</v>
      </c>
      <c r="AD174" s="72">
        <v>0</v>
      </c>
      <c r="AE174" s="72">
        <v>0</v>
      </c>
      <c r="AF174" s="72">
        <v>0</v>
      </c>
      <c r="AG174" s="72">
        <v>0</v>
      </c>
      <c r="AH174" s="69">
        <v>0</v>
      </c>
      <c r="AI174" s="69">
        <v>0</v>
      </c>
      <c r="AJ174" s="69">
        <v>0</v>
      </c>
      <c r="AK174" s="69">
        <v>0</v>
      </c>
      <c r="AL174" s="69">
        <v>0</v>
      </c>
      <c r="AM174" s="69">
        <v>0</v>
      </c>
      <c r="AN174" s="73">
        <v>0</v>
      </c>
      <c r="AO174" s="95">
        <f t="shared" si="24"/>
        <v>0</v>
      </c>
      <c r="AP174" s="73">
        <v>0</v>
      </c>
      <c r="AQ174" s="95">
        <f t="shared" si="25"/>
        <v>0</v>
      </c>
      <c r="AR174" s="73">
        <v>0</v>
      </c>
      <c r="AS174" s="96">
        <f t="shared" si="26"/>
        <v>0</v>
      </c>
      <c r="AT174" s="73">
        <v>0</v>
      </c>
      <c r="AU174" s="97">
        <f t="shared" si="27"/>
        <v>0</v>
      </c>
      <c r="AV174" s="73">
        <v>0</v>
      </c>
      <c r="AW174" s="97">
        <f t="shared" si="28"/>
        <v>0</v>
      </c>
      <c r="AX174" s="73">
        <v>0</v>
      </c>
      <c r="AY174" s="97">
        <f t="shared" si="29"/>
        <v>0</v>
      </c>
      <c r="AZ174" s="74">
        <v>0</v>
      </c>
      <c r="BA174" s="97">
        <f t="shared" si="30"/>
        <v>0</v>
      </c>
      <c r="BB174" s="70">
        <v>1200</v>
      </c>
      <c r="BC174" s="97">
        <f t="shared" si="31"/>
        <v>0</v>
      </c>
      <c r="BD174" s="70">
        <v>0</v>
      </c>
      <c r="BE174" s="97">
        <f t="shared" si="32"/>
        <v>0</v>
      </c>
      <c r="BF174" s="70">
        <v>0</v>
      </c>
      <c r="BG174" s="97">
        <f t="shared" si="33"/>
        <v>0</v>
      </c>
      <c r="BH174" s="70">
        <v>0</v>
      </c>
      <c r="BI174" s="97">
        <f t="shared" si="34"/>
        <v>0</v>
      </c>
      <c r="BJ174" s="73">
        <v>0</v>
      </c>
      <c r="BK174" s="97">
        <f t="shared" si="35"/>
        <v>0</v>
      </c>
      <c r="BL174" s="128"/>
      <c r="BM174" s="131" t="s">
        <v>442</v>
      </c>
    </row>
    <row r="175" spans="1:66" ht="15.75" customHeight="1" thickBot="1">
      <c r="A175" s="93" t="s">
        <v>123</v>
      </c>
      <c r="B175" s="122" t="s">
        <v>199</v>
      </c>
      <c r="C175" s="299"/>
      <c r="D175" s="295"/>
      <c r="E175" s="295"/>
      <c r="F175" s="297"/>
      <c r="G175" s="78">
        <v>2022</v>
      </c>
      <c r="H175" s="76" t="s">
        <v>229</v>
      </c>
      <c r="I175" s="76" t="s">
        <v>212</v>
      </c>
      <c r="J175" s="77" t="s">
        <v>197</v>
      </c>
      <c r="K175" s="81" t="s">
        <v>221</v>
      </c>
      <c r="L175" s="76" t="s">
        <v>192</v>
      </c>
      <c r="M175" s="13" t="s">
        <v>193</v>
      </c>
      <c r="N175" s="75">
        <v>3.77</v>
      </c>
      <c r="O175" s="75">
        <v>3.77</v>
      </c>
      <c r="P175" s="75">
        <v>3.77</v>
      </c>
      <c r="Q175" s="75">
        <v>3.77</v>
      </c>
      <c r="R175" s="75">
        <v>3.77</v>
      </c>
      <c r="S175" s="75">
        <v>3.77</v>
      </c>
      <c r="T175" s="75">
        <v>3.77</v>
      </c>
      <c r="U175" s="75">
        <v>3.77</v>
      </c>
      <c r="V175" s="75">
        <v>3.77</v>
      </c>
      <c r="W175" s="75">
        <v>3.77</v>
      </c>
      <c r="X175" s="75">
        <v>3.77</v>
      </c>
      <c r="Y175" s="75">
        <v>3.77</v>
      </c>
      <c r="Z175" s="75">
        <v>3.77</v>
      </c>
      <c r="AA175" s="13">
        <v>0.21</v>
      </c>
      <c r="AB175" s="72">
        <v>0.21</v>
      </c>
      <c r="AC175" s="72">
        <v>0.21</v>
      </c>
      <c r="AD175" s="72">
        <v>0.21</v>
      </c>
      <c r="AE175" s="69">
        <v>0.21</v>
      </c>
      <c r="AF175" s="69">
        <v>0.21</v>
      </c>
      <c r="AG175" s="69">
        <v>0.21</v>
      </c>
      <c r="AH175" s="69">
        <v>0.21</v>
      </c>
      <c r="AI175" s="69">
        <v>0.21</v>
      </c>
      <c r="AJ175" s="69">
        <v>0.21</v>
      </c>
      <c r="AK175" s="69">
        <v>0.21</v>
      </c>
      <c r="AL175" s="69">
        <v>0.21</v>
      </c>
      <c r="AM175" s="69">
        <v>0.21</v>
      </c>
      <c r="AN175" s="73">
        <v>0</v>
      </c>
      <c r="AO175" s="95">
        <f t="shared" si="24"/>
        <v>0</v>
      </c>
      <c r="AP175" s="73">
        <v>0</v>
      </c>
      <c r="AQ175" s="95">
        <f t="shared" si="25"/>
        <v>0</v>
      </c>
      <c r="AR175" s="73">
        <v>0</v>
      </c>
      <c r="AS175" s="96">
        <f t="shared" si="26"/>
        <v>0</v>
      </c>
      <c r="AT175" s="79">
        <v>0</v>
      </c>
      <c r="AU175" s="97">
        <f t="shared" si="27"/>
        <v>0</v>
      </c>
      <c r="AV175" s="79">
        <v>0</v>
      </c>
      <c r="AW175" s="97">
        <f t="shared" si="28"/>
        <v>0</v>
      </c>
      <c r="AX175" s="79">
        <v>0</v>
      </c>
      <c r="AY175" s="97">
        <f t="shared" si="29"/>
        <v>0</v>
      </c>
      <c r="AZ175" s="70">
        <v>0</v>
      </c>
      <c r="BA175" s="97">
        <f t="shared" si="30"/>
        <v>0</v>
      </c>
      <c r="BB175" s="74">
        <v>0</v>
      </c>
      <c r="BC175" s="97">
        <f t="shared" si="31"/>
        <v>0</v>
      </c>
      <c r="BD175" s="73">
        <v>0</v>
      </c>
      <c r="BE175" s="97">
        <f t="shared" si="32"/>
        <v>0</v>
      </c>
      <c r="BF175" s="73">
        <v>0</v>
      </c>
      <c r="BG175" s="97">
        <f t="shared" si="33"/>
        <v>0</v>
      </c>
      <c r="BH175" s="73">
        <v>0</v>
      </c>
      <c r="BI175" s="97">
        <f t="shared" si="34"/>
        <v>0</v>
      </c>
      <c r="BJ175" s="70">
        <v>0</v>
      </c>
      <c r="BK175" s="97">
        <f t="shared" si="35"/>
        <v>0</v>
      </c>
      <c r="BL175" s="128"/>
      <c r="BM175" s="131" t="s">
        <v>443</v>
      </c>
    </row>
    <row r="176" spans="1:66" ht="15.75" customHeight="1" thickBot="1">
      <c r="A176" s="93" t="s">
        <v>123</v>
      </c>
      <c r="B176" s="122" t="s">
        <v>199</v>
      </c>
      <c r="C176" s="299"/>
      <c r="D176" s="295"/>
      <c r="E176" s="295"/>
      <c r="F176" s="297"/>
      <c r="G176" s="78">
        <v>2020</v>
      </c>
      <c r="H176" s="76" t="s">
        <v>258</v>
      </c>
      <c r="I176" s="76" t="s">
        <v>201</v>
      </c>
      <c r="J176" s="77" t="s">
        <v>197</v>
      </c>
      <c r="K176" s="81" t="s">
        <v>221</v>
      </c>
      <c r="L176" s="76" t="s">
        <v>192</v>
      </c>
      <c r="M176" s="13" t="s">
        <v>193</v>
      </c>
      <c r="N176" s="75">
        <v>7.82</v>
      </c>
      <c r="O176" s="75">
        <v>7.82</v>
      </c>
      <c r="P176" s="75">
        <v>7.82</v>
      </c>
      <c r="Q176" s="75">
        <v>7.82</v>
      </c>
      <c r="R176" s="75">
        <v>7.82</v>
      </c>
      <c r="S176" s="75">
        <v>7.82</v>
      </c>
      <c r="T176" s="75">
        <v>7.82</v>
      </c>
      <c r="U176" s="75">
        <v>7.82</v>
      </c>
      <c r="V176" s="75">
        <v>7.82</v>
      </c>
      <c r="W176" s="75">
        <v>7.82</v>
      </c>
      <c r="X176" s="75">
        <v>7.82</v>
      </c>
      <c r="Y176" s="75">
        <v>7.82</v>
      </c>
      <c r="Z176" s="75">
        <v>7.82</v>
      </c>
      <c r="AA176" s="13">
        <v>0</v>
      </c>
      <c r="AB176" s="72">
        <v>0</v>
      </c>
      <c r="AC176" s="72">
        <v>0</v>
      </c>
      <c r="AD176" s="72">
        <v>0</v>
      </c>
      <c r="AE176" s="72">
        <v>0</v>
      </c>
      <c r="AF176" s="72">
        <v>0</v>
      </c>
      <c r="AG176" s="72">
        <v>0</v>
      </c>
      <c r="AH176" s="69">
        <v>0</v>
      </c>
      <c r="AI176" s="69">
        <v>0</v>
      </c>
      <c r="AJ176" s="69">
        <v>0</v>
      </c>
      <c r="AK176" s="72">
        <v>0</v>
      </c>
      <c r="AL176" s="72">
        <v>0</v>
      </c>
      <c r="AM176" s="72">
        <v>0</v>
      </c>
      <c r="AN176" s="73">
        <v>0</v>
      </c>
      <c r="AO176" s="95">
        <f t="shared" si="24"/>
        <v>0</v>
      </c>
      <c r="AP176" s="73">
        <v>0</v>
      </c>
      <c r="AQ176" s="95">
        <f t="shared" si="25"/>
        <v>0</v>
      </c>
      <c r="AR176" s="73">
        <v>0</v>
      </c>
      <c r="AS176" s="96">
        <f t="shared" si="26"/>
        <v>0</v>
      </c>
      <c r="AT176" s="73">
        <v>0</v>
      </c>
      <c r="AU176" s="97">
        <f t="shared" si="27"/>
        <v>0</v>
      </c>
      <c r="AV176" s="73">
        <v>0</v>
      </c>
      <c r="AW176" s="97">
        <f t="shared" si="28"/>
        <v>0</v>
      </c>
      <c r="AX176" s="73">
        <v>0</v>
      </c>
      <c r="AY176" s="97">
        <f t="shared" si="29"/>
        <v>0</v>
      </c>
      <c r="AZ176" s="73">
        <v>0</v>
      </c>
      <c r="BA176" s="97">
        <f t="shared" si="30"/>
        <v>0</v>
      </c>
      <c r="BB176" s="74">
        <v>0</v>
      </c>
      <c r="BC176" s="97">
        <f t="shared" si="31"/>
        <v>0</v>
      </c>
      <c r="BD176" s="73">
        <v>0</v>
      </c>
      <c r="BE176" s="97">
        <f t="shared" si="32"/>
        <v>0</v>
      </c>
      <c r="BF176" s="73">
        <v>0</v>
      </c>
      <c r="BG176" s="97">
        <f t="shared" si="33"/>
        <v>0</v>
      </c>
      <c r="BH176" s="70">
        <v>0</v>
      </c>
      <c r="BI176" s="97">
        <f t="shared" si="34"/>
        <v>0</v>
      </c>
      <c r="BJ176" s="73">
        <v>0</v>
      </c>
      <c r="BK176" s="97">
        <f t="shared" si="35"/>
        <v>0</v>
      </c>
      <c r="BL176" s="128"/>
      <c r="BM176" s="131" t="s">
        <v>444</v>
      </c>
    </row>
    <row r="177" spans="1:66" ht="15.75" customHeight="1" thickBot="1">
      <c r="A177" s="93" t="s">
        <v>123</v>
      </c>
      <c r="B177" s="122" t="s">
        <v>199</v>
      </c>
      <c r="C177" s="299"/>
      <c r="D177" s="295"/>
      <c r="E177" s="295"/>
      <c r="F177" s="297"/>
      <c r="G177" s="78">
        <v>2023</v>
      </c>
      <c r="H177" s="76" t="s">
        <v>445</v>
      </c>
      <c r="I177" s="76" t="s">
        <v>212</v>
      </c>
      <c r="J177" s="77" t="s">
        <v>197</v>
      </c>
      <c r="K177" s="81" t="s">
        <v>221</v>
      </c>
      <c r="L177" s="76" t="s">
        <v>192</v>
      </c>
      <c r="M177" s="13" t="s">
        <v>193</v>
      </c>
      <c r="N177" s="75">
        <v>6.6</v>
      </c>
      <c r="O177" s="75">
        <v>6.6</v>
      </c>
      <c r="P177" s="75">
        <v>6.6</v>
      </c>
      <c r="Q177" s="75">
        <v>6.6</v>
      </c>
      <c r="R177" s="75">
        <v>6.6</v>
      </c>
      <c r="S177" s="75">
        <v>6.6</v>
      </c>
      <c r="T177" s="75">
        <v>6.6</v>
      </c>
      <c r="U177" s="75">
        <v>6.6</v>
      </c>
      <c r="V177" s="75">
        <v>6.6</v>
      </c>
      <c r="W177" s="75">
        <v>6.6</v>
      </c>
      <c r="X177" s="75">
        <v>6.6</v>
      </c>
      <c r="Y177" s="75">
        <v>6.6</v>
      </c>
      <c r="Z177" s="75">
        <v>6.6</v>
      </c>
      <c r="AA177" s="13">
        <v>0</v>
      </c>
      <c r="AB177" s="72">
        <v>0</v>
      </c>
      <c r="AC177" s="72">
        <v>0</v>
      </c>
      <c r="AD177" s="72">
        <v>0</v>
      </c>
      <c r="AE177" s="72">
        <v>0</v>
      </c>
      <c r="AF177" s="72">
        <v>0</v>
      </c>
      <c r="AG177" s="72">
        <v>0</v>
      </c>
      <c r="AH177" s="69">
        <v>0</v>
      </c>
      <c r="AI177" s="69">
        <v>0</v>
      </c>
      <c r="AJ177" s="69">
        <v>0</v>
      </c>
      <c r="AK177" s="72">
        <v>0</v>
      </c>
      <c r="AL177" s="72">
        <v>0</v>
      </c>
      <c r="AM177" s="72">
        <v>0</v>
      </c>
      <c r="AN177" s="73">
        <v>0</v>
      </c>
      <c r="AO177" s="95">
        <f t="shared" si="24"/>
        <v>0</v>
      </c>
      <c r="AP177" s="73">
        <v>0</v>
      </c>
      <c r="AQ177" s="95">
        <f t="shared" si="25"/>
        <v>0</v>
      </c>
      <c r="AR177" s="73">
        <v>0</v>
      </c>
      <c r="AS177" s="96">
        <f t="shared" si="26"/>
        <v>0</v>
      </c>
      <c r="AT177" s="73">
        <v>0</v>
      </c>
      <c r="AU177" s="97">
        <f t="shared" si="27"/>
        <v>0</v>
      </c>
      <c r="AV177" s="73">
        <v>0</v>
      </c>
      <c r="AW177" s="97">
        <f t="shared" si="28"/>
        <v>0</v>
      </c>
      <c r="AX177" s="73">
        <v>0</v>
      </c>
      <c r="AY177" s="97">
        <f t="shared" si="29"/>
        <v>0</v>
      </c>
      <c r="AZ177" s="73">
        <v>0</v>
      </c>
      <c r="BA177" s="97">
        <f t="shared" si="30"/>
        <v>0</v>
      </c>
      <c r="BB177" s="70">
        <v>0</v>
      </c>
      <c r="BC177" s="97">
        <f t="shared" si="31"/>
        <v>0</v>
      </c>
      <c r="BD177" s="71">
        <v>6000</v>
      </c>
      <c r="BE177" s="97">
        <f t="shared" si="32"/>
        <v>0</v>
      </c>
      <c r="BF177" s="73">
        <v>10800</v>
      </c>
      <c r="BG177" s="97">
        <f t="shared" si="33"/>
        <v>0</v>
      </c>
      <c r="BH177" s="73">
        <v>10800</v>
      </c>
      <c r="BI177" s="97">
        <f t="shared" si="34"/>
        <v>0</v>
      </c>
      <c r="BJ177" s="73">
        <v>0</v>
      </c>
      <c r="BK177" s="97">
        <f t="shared" si="35"/>
        <v>0</v>
      </c>
      <c r="BL177" s="128"/>
      <c r="BM177" s="131" t="s">
        <v>446</v>
      </c>
    </row>
    <row r="178" spans="1:66" ht="15.75" customHeight="1" thickBot="1">
      <c r="A178" s="93" t="s">
        <v>123</v>
      </c>
      <c r="B178" s="122" t="s">
        <v>199</v>
      </c>
      <c r="C178" s="299"/>
      <c r="D178" s="295"/>
      <c r="E178" s="295"/>
      <c r="F178" s="297"/>
      <c r="G178" s="78">
        <v>2023</v>
      </c>
      <c r="H178" s="76" t="s">
        <v>445</v>
      </c>
      <c r="I178" s="76" t="s">
        <v>212</v>
      </c>
      <c r="J178" s="77" t="s">
        <v>197</v>
      </c>
      <c r="K178" s="81" t="s">
        <v>221</v>
      </c>
      <c r="L178" s="76" t="s">
        <v>192</v>
      </c>
      <c r="M178" s="13" t="s">
        <v>193</v>
      </c>
      <c r="N178" s="75">
        <v>6.6</v>
      </c>
      <c r="O178" s="75">
        <v>6.6</v>
      </c>
      <c r="P178" s="75">
        <v>6.6</v>
      </c>
      <c r="Q178" s="75">
        <v>6.6</v>
      </c>
      <c r="R178" s="75">
        <v>6.6</v>
      </c>
      <c r="S178" s="75">
        <v>6.6</v>
      </c>
      <c r="T178" s="75">
        <v>6.6</v>
      </c>
      <c r="U178" s="75">
        <v>6.6</v>
      </c>
      <c r="V178" s="75">
        <v>6.6</v>
      </c>
      <c r="W178" s="75">
        <v>6.6</v>
      </c>
      <c r="X178" s="75">
        <v>6.6</v>
      </c>
      <c r="Y178" s="75">
        <v>6.6</v>
      </c>
      <c r="Z178" s="75">
        <v>6.6</v>
      </c>
      <c r="AA178" s="13">
        <v>0</v>
      </c>
      <c r="AB178" s="72">
        <v>0</v>
      </c>
      <c r="AC178" s="72">
        <v>0</v>
      </c>
      <c r="AD178" s="72">
        <v>0</v>
      </c>
      <c r="AE178" s="72">
        <v>0</v>
      </c>
      <c r="AF178" s="72">
        <v>0</v>
      </c>
      <c r="AG178" s="72">
        <v>0</v>
      </c>
      <c r="AH178" s="69">
        <v>0</v>
      </c>
      <c r="AI178" s="69">
        <v>0</v>
      </c>
      <c r="AJ178" s="69">
        <v>0</v>
      </c>
      <c r="AK178" s="72">
        <v>0</v>
      </c>
      <c r="AL178" s="72">
        <v>0</v>
      </c>
      <c r="AM178" s="72">
        <v>0</v>
      </c>
      <c r="AN178" s="73">
        <v>0</v>
      </c>
      <c r="AO178" s="95">
        <f t="shared" si="24"/>
        <v>0</v>
      </c>
      <c r="AP178" s="73">
        <v>0</v>
      </c>
      <c r="AQ178" s="95">
        <f t="shared" si="25"/>
        <v>0</v>
      </c>
      <c r="AR178" s="73">
        <v>0</v>
      </c>
      <c r="AS178" s="96">
        <f t="shared" si="26"/>
        <v>0</v>
      </c>
      <c r="AT178" s="73">
        <v>0</v>
      </c>
      <c r="AU178" s="97">
        <f t="shared" si="27"/>
        <v>0</v>
      </c>
      <c r="AV178" s="73">
        <v>0</v>
      </c>
      <c r="AW178" s="97">
        <f t="shared" si="28"/>
        <v>0</v>
      </c>
      <c r="AX178" s="73">
        <v>0</v>
      </c>
      <c r="AY178" s="97">
        <f t="shared" si="29"/>
        <v>0</v>
      </c>
      <c r="AZ178" s="71">
        <v>0</v>
      </c>
      <c r="BA178" s="97">
        <f t="shared" si="30"/>
        <v>0</v>
      </c>
      <c r="BB178" s="70">
        <v>0</v>
      </c>
      <c r="BC178" s="97">
        <f t="shared" si="31"/>
        <v>0</v>
      </c>
      <c r="BD178" s="70">
        <v>7000</v>
      </c>
      <c r="BE178" s="97">
        <f t="shared" si="32"/>
        <v>0</v>
      </c>
      <c r="BF178" s="70">
        <v>10800</v>
      </c>
      <c r="BG178" s="97">
        <f t="shared" si="33"/>
        <v>0</v>
      </c>
      <c r="BH178" s="73">
        <v>5400</v>
      </c>
      <c r="BI178" s="97">
        <f t="shared" si="34"/>
        <v>0</v>
      </c>
      <c r="BJ178" s="70">
        <v>0</v>
      </c>
      <c r="BK178" s="97">
        <f t="shared" si="35"/>
        <v>0</v>
      </c>
      <c r="BL178" s="128"/>
      <c r="BM178" s="131" t="s">
        <v>447</v>
      </c>
    </row>
    <row r="179" spans="1:66" ht="15" thickBot="1">
      <c r="A179" s="93" t="s">
        <v>123</v>
      </c>
      <c r="B179" s="122" t="s">
        <v>184</v>
      </c>
      <c r="C179" s="299"/>
      <c r="D179" s="295"/>
      <c r="E179" s="295"/>
      <c r="F179" s="297"/>
      <c r="G179" s="78">
        <v>2016</v>
      </c>
      <c r="H179" s="76" t="s">
        <v>232</v>
      </c>
      <c r="I179" s="76" t="s">
        <v>196</v>
      </c>
      <c r="J179" s="77" t="s">
        <v>197</v>
      </c>
      <c r="K179" s="81" t="s">
        <v>221</v>
      </c>
      <c r="L179" s="76" t="s">
        <v>192</v>
      </c>
      <c r="M179" s="13" t="s">
        <v>193</v>
      </c>
      <c r="N179" s="75">
        <v>5.42</v>
      </c>
      <c r="O179" s="75">
        <v>5.42</v>
      </c>
      <c r="P179" s="75">
        <v>5.42</v>
      </c>
      <c r="Q179" s="75">
        <v>5.42</v>
      </c>
      <c r="R179" s="75">
        <v>5.42</v>
      </c>
      <c r="S179" s="75">
        <v>5.42</v>
      </c>
      <c r="T179" s="75">
        <v>5.42</v>
      </c>
      <c r="U179" s="75">
        <v>5.42</v>
      </c>
      <c r="V179" s="75">
        <v>5.42</v>
      </c>
      <c r="W179" s="75">
        <v>5.42</v>
      </c>
      <c r="X179" s="75">
        <v>5.42</v>
      </c>
      <c r="Y179" s="75">
        <v>5.42</v>
      </c>
      <c r="Z179" s="75">
        <v>5.42</v>
      </c>
      <c r="AA179" s="13">
        <v>0</v>
      </c>
      <c r="AB179" s="72">
        <v>0.05</v>
      </c>
      <c r="AC179" s="72">
        <v>0.05</v>
      </c>
      <c r="AD179" s="72">
        <v>0.05</v>
      </c>
      <c r="AE179" s="69">
        <v>0.05</v>
      </c>
      <c r="AF179" s="69">
        <v>0.05</v>
      </c>
      <c r="AG179" s="69">
        <v>0.05</v>
      </c>
      <c r="AH179" s="69">
        <v>0.05</v>
      </c>
      <c r="AI179" s="98">
        <v>0.14000000000000001</v>
      </c>
      <c r="AJ179" s="98">
        <v>0.14000000000000001</v>
      </c>
      <c r="AK179" s="98">
        <v>0.14000000000000001</v>
      </c>
      <c r="AL179" s="98">
        <v>0.14000000000000001</v>
      </c>
      <c r="AM179" s="98">
        <v>0.14000000000000001</v>
      </c>
      <c r="AN179" s="73">
        <v>0</v>
      </c>
      <c r="AO179" s="95">
        <f t="shared" si="24"/>
        <v>0</v>
      </c>
      <c r="AP179" s="73">
        <v>0</v>
      </c>
      <c r="AQ179" s="95">
        <f t="shared" si="25"/>
        <v>0</v>
      </c>
      <c r="AR179" s="73">
        <v>0</v>
      </c>
      <c r="AS179" s="96">
        <f t="shared" si="26"/>
        <v>0</v>
      </c>
      <c r="AT179" s="71">
        <v>0</v>
      </c>
      <c r="AU179" s="97">
        <f t="shared" si="27"/>
        <v>0</v>
      </c>
      <c r="AV179" s="71">
        <v>0</v>
      </c>
      <c r="AW179" s="97">
        <f t="shared" si="28"/>
        <v>0</v>
      </c>
      <c r="AX179" s="71">
        <v>0</v>
      </c>
      <c r="AY179" s="97">
        <f t="shared" si="29"/>
        <v>0</v>
      </c>
      <c r="AZ179" s="73">
        <v>0</v>
      </c>
      <c r="BA179" s="97">
        <f t="shared" si="30"/>
        <v>0</v>
      </c>
      <c r="BB179" s="74">
        <v>0</v>
      </c>
      <c r="BC179" s="97">
        <f t="shared" si="31"/>
        <v>0</v>
      </c>
      <c r="BD179" s="74">
        <v>0</v>
      </c>
      <c r="BE179" s="97">
        <f t="shared" si="32"/>
        <v>0</v>
      </c>
      <c r="BF179" s="73">
        <v>0</v>
      </c>
      <c r="BG179" s="97">
        <f t="shared" si="33"/>
        <v>0</v>
      </c>
      <c r="BH179" s="70">
        <v>0</v>
      </c>
      <c r="BI179" s="97">
        <f t="shared" si="34"/>
        <v>0</v>
      </c>
      <c r="BJ179" s="73">
        <v>0</v>
      </c>
      <c r="BK179" s="97">
        <f t="shared" si="35"/>
        <v>0</v>
      </c>
      <c r="BL179" s="128"/>
      <c r="BM179" s="131" t="s">
        <v>448</v>
      </c>
    </row>
    <row r="180" spans="1:66" ht="15" thickBot="1">
      <c r="A180" s="93" t="s">
        <v>123</v>
      </c>
      <c r="B180" s="122" t="s">
        <v>184</v>
      </c>
      <c r="C180" s="299"/>
      <c r="D180" s="295"/>
      <c r="E180" s="295"/>
      <c r="F180" s="297"/>
      <c r="G180" s="78">
        <v>2016</v>
      </c>
      <c r="H180" s="76" t="s">
        <v>232</v>
      </c>
      <c r="I180" s="76" t="s">
        <v>196</v>
      </c>
      <c r="J180" s="77" t="s">
        <v>197</v>
      </c>
      <c r="K180" s="81" t="s">
        <v>235</v>
      </c>
      <c r="L180" s="76" t="s">
        <v>192</v>
      </c>
      <c r="M180" s="13" t="s">
        <v>193</v>
      </c>
      <c r="N180" s="75">
        <v>5.32</v>
      </c>
      <c r="O180" s="75">
        <v>5.32</v>
      </c>
      <c r="P180" s="75">
        <v>5.32</v>
      </c>
      <c r="Q180" s="75">
        <v>5.32</v>
      </c>
      <c r="R180" s="75">
        <v>5.32</v>
      </c>
      <c r="S180" s="75">
        <v>5.32</v>
      </c>
      <c r="T180" s="75">
        <v>5.32</v>
      </c>
      <c r="U180" s="75">
        <v>5.32</v>
      </c>
      <c r="V180" s="75">
        <v>5.32</v>
      </c>
      <c r="W180" s="75">
        <v>5.32</v>
      </c>
      <c r="X180" s="75">
        <v>5.32</v>
      </c>
      <c r="Y180" s="75">
        <v>5.32</v>
      </c>
      <c r="Z180" s="75">
        <v>5.32</v>
      </c>
      <c r="AA180" s="13">
        <v>0</v>
      </c>
      <c r="AB180" s="72">
        <v>0.05</v>
      </c>
      <c r="AC180" s="72">
        <v>0.05</v>
      </c>
      <c r="AD180" s="72">
        <v>0.05</v>
      </c>
      <c r="AE180" s="69">
        <v>0.05</v>
      </c>
      <c r="AF180" s="69">
        <v>0.05</v>
      </c>
      <c r="AG180" s="69">
        <v>0.05</v>
      </c>
      <c r="AH180" s="69">
        <v>0.05</v>
      </c>
      <c r="AI180" s="98">
        <v>0.14000000000000001</v>
      </c>
      <c r="AJ180" s="98">
        <v>0.14000000000000001</v>
      </c>
      <c r="AK180" s="98">
        <v>0.14000000000000001</v>
      </c>
      <c r="AL180" s="98">
        <v>0.14000000000000001</v>
      </c>
      <c r="AM180" s="98">
        <v>0.14000000000000001</v>
      </c>
      <c r="AN180" s="73">
        <v>0</v>
      </c>
      <c r="AO180" s="95">
        <f t="shared" si="24"/>
        <v>0</v>
      </c>
      <c r="AP180" s="73">
        <v>0</v>
      </c>
      <c r="AQ180" s="95">
        <f t="shared" si="25"/>
        <v>0</v>
      </c>
      <c r="AR180" s="73">
        <v>0</v>
      </c>
      <c r="AS180" s="96">
        <f t="shared" si="26"/>
        <v>0</v>
      </c>
      <c r="AT180" s="73">
        <v>0</v>
      </c>
      <c r="AU180" s="97">
        <f t="shared" si="27"/>
        <v>0</v>
      </c>
      <c r="AV180" s="73">
        <v>0</v>
      </c>
      <c r="AW180" s="97">
        <f t="shared" si="28"/>
        <v>0</v>
      </c>
      <c r="AX180" s="73">
        <v>0</v>
      </c>
      <c r="AY180" s="97">
        <f t="shared" si="29"/>
        <v>0</v>
      </c>
      <c r="AZ180" s="73">
        <v>0</v>
      </c>
      <c r="BA180" s="97">
        <f t="shared" si="30"/>
        <v>0</v>
      </c>
      <c r="BB180" s="74">
        <v>0</v>
      </c>
      <c r="BC180" s="97">
        <f t="shared" si="31"/>
        <v>0</v>
      </c>
      <c r="BD180" s="74">
        <v>0</v>
      </c>
      <c r="BE180" s="97">
        <f t="shared" si="32"/>
        <v>0</v>
      </c>
      <c r="BF180" s="73">
        <v>0</v>
      </c>
      <c r="BG180" s="97">
        <f t="shared" si="33"/>
        <v>0</v>
      </c>
      <c r="BH180" s="73">
        <v>0</v>
      </c>
      <c r="BI180" s="97">
        <f t="shared" si="34"/>
        <v>0</v>
      </c>
      <c r="BJ180" s="73">
        <v>0</v>
      </c>
      <c r="BK180" s="97">
        <f t="shared" si="35"/>
        <v>0</v>
      </c>
      <c r="BL180" s="128"/>
      <c r="BM180" s="131" t="s">
        <v>449</v>
      </c>
      <c r="BN180" s="1" t="s">
        <v>450</v>
      </c>
    </row>
    <row r="181" spans="1:66" ht="15" thickBot="1">
      <c r="A181" s="93" t="s">
        <v>123</v>
      </c>
      <c r="B181" s="122" t="s">
        <v>184</v>
      </c>
      <c r="C181" s="299"/>
      <c r="D181" s="295"/>
      <c r="E181" s="295"/>
      <c r="F181" s="297"/>
      <c r="G181" s="78">
        <v>2016</v>
      </c>
      <c r="H181" s="76" t="s">
        <v>232</v>
      </c>
      <c r="I181" s="76" t="s">
        <v>196</v>
      </c>
      <c r="J181" s="77" t="s">
        <v>197</v>
      </c>
      <c r="K181" s="81" t="s">
        <v>247</v>
      </c>
      <c r="L181" s="76" t="s">
        <v>192</v>
      </c>
      <c r="M181" s="13" t="s">
        <v>193</v>
      </c>
      <c r="N181" s="75">
        <v>5.62</v>
      </c>
      <c r="O181" s="75">
        <v>5.62</v>
      </c>
      <c r="P181" s="75">
        <v>5.62</v>
      </c>
      <c r="Q181" s="75">
        <v>5.62</v>
      </c>
      <c r="R181" s="75">
        <v>5.62</v>
      </c>
      <c r="S181" s="75">
        <v>5.62</v>
      </c>
      <c r="T181" s="75">
        <v>5.62</v>
      </c>
      <c r="U181" s="75">
        <v>5.62</v>
      </c>
      <c r="V181" s="75">
        <v>5.62</v>
      </c>
      <c r="W181" s="75">
        <v>5.62</v>
      </c>
      <c r="X181" s="75">
        <v>5.62</v>
      </c>
      <c r="Y181" s="75">
        <v>5.62</v>
      </c>
      <c r="Z181" s="75">
        <v>5.62</v>
      </c>
      <c r="AA181" s="13">
        <v>0</v>
      </c>
      <c r="AB181" s="72">
        <v>0.05</v>
      </c>
      <c r="AC181" s="72">
        <v>0.05</v>
      </c>
      <c r="AD181" s="72">
        <v>0.05</v>
      </c>
      <c r="AE181" s="69">
        <v>0.05</v>
      </c>
      <c r="AF181" s="69">
        <v>0.05</v>
      </c>
      <c r="AG181" s="69">
        <v>0.05</v>
      </c>
      <c r="AH181" s="69">
        <v>0.05</v>
      </c>
      <c r="AI181" s="98">
        <v>0.14000000000000001</v>
      </c>
      <c r="AJ181" s="98">
        <v>0.14000000000000001</v>
      </c>
      <c r="AK181" s="98">
        <v>0.14000000000000001</v>
      </c>
      <c r="AL181" s="98">
        <v>0.14000000000000001</v>
      </c>
      <c r="AM181" s="98">
        <v>0.14000000000000001</v>
      </c>
      <c r="AN181" s="73">
        <v>0</v>
      </c>
      <c r="AO181" s="95">
        <f t="shared" si="24"/>
        <v>0</v>
      </c>
      <c r="AP181" s="73">
        <v>0</v>
      </c>
      <c r="AQ181" s="95">
        <f t="shared" si="25"/>
        <v>0</v>
      </c>
      <c r="AR181" s="73">
        <v>0</v>
      </c>
      <c r="AS181" s="96">
        <f t="shared" si="26"/>
        <v>0</v>
      </c>
      <c r="AT181" s="73">
        <v>0</v>
      </c>
      <c r="AU181" s="97">
        <f t="shared" si="27"/>
        <v>0</v>
      </c>
      <c r="AV181" s="73">
        <v>0</v>
      </c>
      <c r="AW181" s="97">
        <f t="shared" si="28"/>
        <v>0</v>
      </c>
      <c r="AX181" s="73">
        <v>0</v>
      </c>
      <c r="AY181" s="97">
        <f t="shared" si="29"/>
        <v>0</v>
      </c>
      <c r="AZ181" s="70">
        <v>0</v>
      </c>
      <c r="BA181" s="97">
        <f t="shared" si="30"/>
        <v>0</v>
      </c>
      <c r="BB181" s="70">
        <v>0</v>
      </c>
      <c r="BC181" s="97">
        <f t="shared" si="31"/>
        <v>0</v>
      </c>
      <c r="BD181" s="70">
        <v>0</v>
      </c>
      <c r="BE181" s="97">
        <f t="shared" si="32"/>
        <v>0</v>
      </c>
      <c r="BF181" s="73">
        <v>0</v>
      </c>
      <c r="BG181" s="97">
        <f t="shared" si="33"/>
        <v>0</v>
      </c>
      <c r="BH181" s="73">
        <v>0</v>
      </c>
      <c r="BI181" s="97">
        <f t="shared" si="34"/>
        <v>0</v>
      </c>
      <c r="BJ181" s="70">
        <v>0</v>
      </c>
      <c r="BK181" s="97">
        <f t="shared" si="35"/>
        <v>0</v>
      </c>
      <c r="BL181" s="128"/>
      <c r="BM181" s="131" t="s">
        <v>451</v>
      </c>
      <c r="BN181" s="1" t="s">
        <v>450</v>
      </c>
    </row>
    <row r="182" spans="1:66" ht="15" thickBot="1">
      <c r="A182" s="93" t="s">
        <v>123</v>
      </c>
      <c r="B182" s="122" t="s">
        <v>184</v>
      </c>
      <c r="C182" s="299"/>
      <c r="D182" s="295"/>
      <c r="E182" s="295"/>
      <c r="F182" s="297"/>
      <c r="G182" s="78">
        <v>2016</v>
      </c>
      <c r="H182" s="76" t="s">
        <v>232</v>
      </c>
      <c r="I182" s="76" t="s">
        <v>196</v>
      </c>
      <c r="J182" s="77" t="s">
        <v>197</v>
      </c>
      <c r="K182" s="81" t="s">
        <v>251</v>
      </c>
      <c r="L182" s="76" t="s">
        <v>192</v>
      </c>
      <c r="M182" s="13" t="s">
        <v>193</v>
      </c>
      <c r="N182" s="75">
        <v>5.62</v>
      </c>
      <c r="O182" s="75">
        <v>5.62</v>
      </c>
      <c r="P182" s="75">
        <v>5.62</v>
      </c>
      <c r="Q182" s="75">
        <v>5.62</v>
      </c>
      <c r="R182" s="75">
        <v>5.62</v>
      </c>
      <c r="S182" s="75">
        <v>5.62</v>
      </c>
      <c r="T182" s="75">
        <v>5.62</v>
      </c>
      <c r="U182" s="75">
        <v>5.62</v>
      </c>
      <c r="V182" s="75">
        <v>5.62</v>
      </c>
      <c r="W182" s="75">
        <v>5.62</v>
      </c>
      <c r="X182" s="75">
        <v>5.62</v>
      </c>
      <c r="Y182" s="75">
        <v>5.62</v>
      </c>
      <c r="Z182" s="75">
        <v>5.62</v>
      </c>
      <c r="AA182" s="13">
        <v>0</v>
      </c>
      <c r="AB182" s="72">
        <v>0.05</v>
      </c>
      <c r="AC182" s="72">
        <v>0.05</v>
      </c>
      <c r="AD182" s="72">
        <v>0.05</v>
      </c>
      <c r="AE182" s="69">
        <v>0.05</v>
      </c>
      <c r="AF182" s="69">
        <v>0.05</v>
      </c>
      <c r="AG182" s="69">
        <v>0.05</v>
      </c>
      <c r="AH182" s="69">
        <v>0.05</v>
      </c>
      <c r="AI182" s="98">
        <v>0.14000000000000001</v>
      </c>
      <c r="AJ182" s="98">
        <v>0.14000000000000001</v>
      </c>
      <c r="AK182" s="98">
        <v>0.14000000000000001</v>
      </c>
      <c r="AL182" s="98">
        <v>0.14000000000000001</v>
      </c>
      <c r="AM182" s="98">
        <v>0.14000000000000001</v>
      </c>
      <c r="AN182" s="71">
        <v>0</v>
      </c>
      <c r="AO182" s="95">
        <f t="shared" si="24"/>
        <v>0</v>
      </c>
      <c r="AP182" s="71">
        <v>0</v>
      </c>
      <c r="AQ182" s="95">
        <f t="shared" si="25"/>
        <v>0</v>
      </c>
      <c r="AR182" s="71">
        <v>0</v>
      </c>
      <c r="AS182" s="96">
        <f t="shared" si="26"/>
        <v>0</v>
      </c>
      <c r="AT182" s="71">
        <v>0</v>
      </c>
      <c r="AU182" s="97">
        <f t="shared" si="27"/>
        <v>0</v>
      </c>
      <c r="AV182" s="71">
        <v>0</v>
      </c>
      <c r="AW182" s="97">
        <f t="shared" si="28"/>
        <v>0</v>
      </c>
      <c r="AX182" s="71">
        <v>0</v>
      </c>
      <c r="AY182" s="97">
        <f t="shared" si="29"/>
        <v>0</v>
      </c>
      <c r="AZ182" s="73">
        <v>0</v>
      </c>
      <c r="BA182" s="97">
        <f t="shared" si="30"/>
        <v>0</v>
      </c>
      <c r="BB182" s="70">
        <v>0</v>
      </c>
      <c r="BC182" s="97">
        <f t="shared" si="31"/>
        <v>0</v>
      </c>
      <c r="BD182" s="73">
        <v>0</v>
      </c>
      <c r="BE182" s="97">
        <f t="shared" si="32"/>
        <v>0</v>
      </c>
      <c r="BF182" s="70">
        <v>0</v>
      </c>
      <c r="BG182" s="97">
        <f t="shared" si="33"/>
        <v>0</v>
      </c>
      <c r="BH182" s="70">
        <v>0</v>
      </c>
      <c r="BI182" s="97">
        <f t="shared" si="34"/>
        <v>0</v>
      </c>
      <c r="BJ182" s="73">
        <v>0</v>
      </c>
      <c r="BK182" s="97">
        <f t="shared" si="35"/>
        <v>0</v>
      </c>
      <c r="BL182" s="128"/>
      <c r="BM182" s="131" t="s">
        <v>452</v>
      </c>
      <c r="BN182" s="1" t="s">
        <v>450</v>
      </c>
    </row>
    <row r="183" spans="1:66" ht="15" thickBot="1">
      <c r="A183" s="93" t="s">
        <v>123</v>
      </c>
      <c r="B183" s="122" t="s">
        <v>184</v>
      </c>
      <c r="C183" s="299"/>
      <c r="D183" s="295"/>
      <c r="E183" s="295"/>
      <c r="F183" s="297"/>
      <c r="G183" s="78">
        <v>2018</v>
      </c>
      <c r="H183" s="81" t="s">
        <v>286</v>
      </c>
      <c r="I183" s="76" t="s">
        <v>196</v>
      </c>
      <c r="J183" s="77" t="s">
        <v>197</v>
      </c>
      <c r="K183" s="81" t="s">
        <v>221</v>
      </c>
      <c r="L183" s="76" t="s">
        <v>192</v>
      </c>
      <c r="M183" s="13" t="s">
        <v>193</v>
      </c>
      <c r="N183" s="75">
        <v>5.14</v>
      </c>
      <c r="O183" s="75">
        <v>5.14</v>
      </c>
      <c r="P183" s="75">
        <v>5.14</v>
      </c>
      <c r="Q183" s="75">
        <v>5.14</v>
      </c>
      <c r="R183" s="75">
        <v>5.14</v>
      </c>
      <c r="S183" s="75">
        <v>5.14</v>
      </c>
      <c r="T183" s="75">
        <v>5.14</v>
      </c>
      <c r="U183" s="75">
        <v>5.14</v>
      </c>
      <c r="V183" s="75">
        <v>5.14</v>
      </c>
      <c r="W183" s="75">
        <v>5.14</v>
      </c>
      <c r="X183" s="75">
        <v>5.14</v>
      </c>
      <c r="Y183" s="75">
        <v>5.14</v>
      </c>
      <c r="Z183" s="75">
        <v>5.14</v>
      </c>
      <c r="AA183" s="13">
        <v>0</v>
      </c>
      <c r="AB183" s="72">
        <v>0.05</v>
      </c>
      <c r="AC183" s="72">
        <v>0.05</v>
      </c>
      <c r="AD183" s="72">
        <v>0.05</v>
      </c>
      <c r="AE183" s="69">
        <v>0.05</v>
      </c>
      <c r="AF183" s="69">
        <v>0.05</v>
      </c>
      <c r="AG183" s="69">
        <v>0.05</v>
      </c>
      <c r="AH183" s="69">
        <v>0.05</v>
      </c>
      <c r="AI183" s="98">
        <v>0.14000000000000001</v>
      </c>
      <c r="AJ183" s="98">
        <v>0.14000000000000001</v>
      </c>
      <c r="AK183" s="98">
        <v>0.14000000000000001</v>
      </c>
      <c r="AL183" s="98">
        <v>0.14000000000000001</v>
      </c>
      <c r="AM183" s="98">
        <v>0.14000000000000001</v>
      </c>
      <c r="AN183" s="73">
        <v>0</v>
      </c>
      <c r="AO183" s="95">
        <f t="shared" si="24"/>
        <v>0</v>
      </c>
      <c r="AP183" s="73">
        <v>0</v>
      </c>
      <c r="AQ183" s="95">
        <f t="shared" si="25"/>
        <v>0</v>
      </c>
      <c r="AR183" s="73">
        <v>0</v>
      </c>
      <c r="AS183" s="96">
        <f t="shared" si="26"/>
        <v>0</v>
      </c>
      <c r="AT183" s="73">
        <v>0</v>
      </c>
      <c r="AU183" s="97">
        <f t="shared" si="27"/>
        <v>0</v>
      </c>
      <c r="AV183" s="73">
        <v>0</v>
      </c>
      <c r="AW183" s="97">
        <f t="shared" si="28"/>
        <v>0</v>
      </c>
      <c r="AX183" s="73">
        <v>0</v>
      </c>
      <c r="AY183" s="97">
        <f t="shared" si="29"/>
        <v>0</v>
      </c>
      <c r="AZ183" s="73">
        <v>0</v>
      </c>
      <c r="BA183" s="97">
        <f t="shared" si="30"/>
        <v>0</v>
      </c>
      <c r="BB183" s="74">
        <v>0</v>
      </c>
      <c r="BC183" s="97">
        <f t="shared" si="31"/>
        <v>0</v>
      </c>
      <c r="BD183" s="73">
        <v>0</v>
      </c>
      <c r="BE183" s="97">
        <f t="shared" si="32"/>
        <v>0</v>
      </c>
      <c r="BF183" s="73">
        <v>0</v>
      </c>
      <c r="BG183" s="97">
        <f t="shared" si="33"/>
        <v>0</v>
      </c>
      <c r="BH183" s="73">
        <v>0</v>
      </c>
      <c r="BI183" s="97">
        <f t="shared" si="34"/>
        <v>0</v>
      </c>
      <c r="BJ183" s="73">
        <v>0</v>
      </c>
      <c r="BK183" s="97">
        <f t="shared" si="35"/>
        <v>0</v>
      </c>
      <c r="BL183" s="128"/>
      <c r="BM183" s="131" t="s">
        <v>453</v>
      </c>
    </row>
    <row r="184" spans="1:66" ht="15" thickBot="1">
      <c r="A184" s="93" t="s">
        <v>123</v>
      </c>
      <c r="B184" s="122" t="s">
        <v>184</v>
      </c>
      <c r="C184" s="299"/>
      <c r="D184" s="295"/>
      <c r="E184" s="295"/>
      <c r="F184" s="297"/>
      <c r="G184" s="78">
        <v>2016</v>
      </c>
      <c r="H184" s="76" t="s">
        <v>305</v>
      </c>
      <c r="I184" s="76" t="s">
        <v>196</v>
      </c>
      <c r="J184" s="77" t="s">
        <v>197</v>
      </c>
      <c r="K184" s="81" t="s">
        <v>221</v>
      </c>
      <c r="L184" s="76" t="s">
        <v>192</v>
      </c>
      <c r="M184" s="13" t="s">
        <v>193</v>
      </c>
      <c r="N184" s="75">
        <v>3.88</v>
      </c>
      <c r="O184" s="75">
        <v>3.88</v>
      </c>
      <c r="P184" s="75">
        <v>3.88</v>
      </c>
      <c r="Q184" s="75">
        <v>3.88</v>
      </c>
      <c r="R184" s="75">
        <v>3.88</v>
      </c>
      <c r="S184" s="75">
        <v>3.88</v>
      </c>
      <c r="T184" s="75">
        <v>3.88</v>
      </c>
      <c r="U184" s="75">
        <v>3.88</v>
      </c>
      <c r="V184" s="75">
        <v>3.88</v>
      </c>
      <c r="W184" s="75">
        <v>3.88</v>
      </c>
      <c r="X184" s="75">
        <v>3.88</v>
      </c>
      <c r="Y184" s="75">
        <v>3.88</v>
      </c>
      <c r="Z184" s="75">
        <v>3.88</v>
      </c>
      <c r="AA184" s="13">
        <v>0</v>
      </c>
      <c r="AB184" s="72">
        <v>0.04</v>
      </c>
      <c r="AC184" s="72">
        <v>0.04</v>
      </c>
      <c r="AD184" s="72">
        <v>0.04</v>
      </c>
      <c r="AE184" s="69">
        <v>0.04</v>
      </c>
      <c r="AF184" s="69">
        <v>0.04</v>
      </c>
      <c r="AG184" s="69">
        <v>0.04</v>
      </c>
      <c r="AH184" s="69">
        <v>0.04</v>
      </c>
      <c r="AI184" s="69">
        <v>0.04</v>
      </c>
      <c r="AJ184" s="69">
        <v>0.04</v>
      </c>
      <c r="AK184" s="69">
        <v>0.04</v>
      </c>
      <c r="AL184" s="69">
        <v>0.04</v>
      </c>
      <c r="AM184" s="69">
        <v>0.04</v>
      </c>
      <c r="AN184" s="73">
        <v>0</v>
      </c>
      <c r="AO184" s="95">
        <f t="shared" si="24"/>
        <v>0</v>
      </c>
      <c r="AP184" s="73">
        <v>0</v>
      </c>
      <c r="AQ184" s="95">
        <f t="shared" si="25"/>
        <v>0</v>
      </c>
      <c r="AR184" s="73">
        <v>0</v>
      </c>
      <c r="AS184" s="96">
        <f t="shared" si="26"/>
        <v>0</v>
      </c>
      <c r="AT184" s="73">
        <v>0</v>
      </c>
      <c r="AU184" s="97">
        <f t="shared" si="27"/>
        <v>0</v>
      </c>
      <c r="AV184" s="73">
        <v>0</v>
      </c>
      <c r="AW184" s="97">
        <f t="shared" si="28"/>
        <v>0</v>
      </c>
      <c r="AX184" s="73">
        <v>0</v>
      </c>
      <c r="AY184" s="97">
        <f t="shared" si="29"/>
        <v>0</v>
      </c>
      <c r="AZ184" s="71">
        <v>4320</v>
      </c>
      <c r="BA184" s="97">
        <f t="shared" si="30"/>
        <v>172.8</v>
      </c>
      <c r="BB184" s="74">
        <v>12960</v>
      </c>
      <c r="BC184" s="97">
        <f t="shared" si="31"/>
        <v>518.4</v>
      </c>
      <c r="BD184" s="71">
        <v>0</v>
      </c>
      <c r="BE184" s="97">
        <f t="shared" si="32"/>
        <v>0</v>
      </c>
      <c r="BF184" s="73">
        <v>8640</v>
      </c>
      <c r="BG184" s="97">
        <f t="shared" si="33"/>
        <v>345.6</v>
      </c>
      <c r="BH184" s="70">
        <v>8640</v>
      </c>
      <c r="BI184" s="97">
        <f t="shared" si="34"/>
        <v>345.6</v>
      </c>
      <c r="BJ184" s="70">
        <v>0</v>
      </c>
      <c r="BK184" s="97">
        <f t="shared" si="35"/>
        <v>0</v>
      </c>
      <c r="BL184" s="128"/>
      <c r="BM184" s="131" t="s">
        <v>454</v>
      </c>
      <c r="BN184" s="1" t="s">
        <v>455</v>
      </c>
    </row>
    <row r="185" spans="1:66" ht="15" thickBot="1">
      <c r="A185" s="93" t="s">
        <v>123</v>
      </c>
      <c r="B185" s="122" t="s">
        <v>184</v>
      </c>
      <c r="C185" s="299"/>
      <c r="D185" s="295"/>
      <c r="E185" s="295"/>
      <c r="F185" s="297"/>
      <c r="G185" s="78">
        <v>2016</v>
      </c>
      <c r="H185" s="76" t="s">
        <v>305</v>
      </c>
      <c r="I185" s="76" t="s">
        <v>196</v>
      </c>
      <c r="J185" s="77" t="s">
        <v>197</v>
      </c>
      <c r="K185" s="81" t="s">
        <v>221</v>
      </c>
      <c r="L185" s="76" t="s">
        <v>192</v>
      </c>
      <c r="M185" s="13" t="s">
        <v>193</v>
      </c>
      <c r="N185" s="75">
        <v>4.72</v>
      </c>
      <c r="O185" s="75">
        <v>4.72</v>
      </c>
      <c r="P185" s="75">
        <v>4.72</v>
      </c>
      <c r="Q185" s="75">
        <v>4.72</v>
      </c>
      <c r="R185" s="75">
        <v>4.72</v>
      </c>
      <c r="S185" s="75">
        <v>4.72</v>
      </c>
      <c r="T185" s="75">
        <v>4.72</v>
      </c>
      <c r="U185" s="75">
        <v>4.72</v>
      </c>
      <c r="V185" s="75">
        <v>4.72</v>
      </c>
      <c r="W185" s="75">
        <v>4.72</v>
      </c>
      <c r="X185" s="75">
        <v>4.72</v>
      </c>
      <c r="Y185" s="75">
        <v>4.72</v>
      </c>
      <c r="Z185" s="75">
        <v>4.72</v>
      </c>
      <c r="AA185" s="13">
        <v>0</v>
      </c>
      <c r="AB185" s="72">
        <v>0.04</v>
      </c>
      <c r="AC185" s="72">
        <v>0.04</v>
      </c>
      <c r="AD185" s="72">
        <v>0.04</v>
      </c>
      <c r="AE185" s="69">
        <v>0.04</v>
      </c>
      <c r="AF185" s="69">
        <v>0.04</v>
      </c>
      <c r="AG185" s="69">
        <v>0.04</v>
      </c>
      <c r="AH185" s="69">
        <v>0.04</v>
      </c>
      <c r="AI185" s="69">
        <v>0.04</v>
      </c>
      <c r="AJ185" s="69">
        <v>0.04</v>
      </c>
      <c r="AK185" s="69">
        <v>0.04</v>
      </c>
      <c r="AL185" s="69">
        <v>0.04</v>
      </c>
      <c r="AM185" s="69">
        <v>0.04</v>
      </c>
      <c r="AN185" s="70">
        <v>0</v>
      </c>
      <c r="AO185" s="95">
        <f t="shared" si="24"/>
        <v>0</v>
      </c>
      <c r="AP185" s="70">
        <v>0</v>
      </c>
      <c r="AQ185" s="95">
        <f t="shared" si="25"/>
        <v>0</v>
      </c>
      <c r="AR185" s="70">
        <v>0</v>
      </c>
      <c r="AS185" s="96">
        <f t="shared" si="26"/>
        <v>0</v>
      </c>
      <c r="AT185" s="70">
        <v>0</v>
      </c>
      <c r="AU185" s="97">
        <f t="shared" si="27"/>
        <v>0</v>
      </c>
      <c r="AV185" s="70">
        <v>0</v>
      </c>
      <c r="AW185" s="97">
        <f t="shared" si="28"/>
        <v>0</v>
      </c>
      <c r="AX185" s="70">
        <v>0</v>
      </c>
      <c r="AY185" s="97">
        <f t="shared" si="29"/>
        <v>0</v>
      </c>
      <c r="AZ185" s="70">
        <v>17100</v>
      </c>
      <c r="BA185" s="97">
        <f t="shared" si="30"/>
        <v>684</v>
      </c>
      <c r="BB185" s="70">
        <v>9500</v>
      </c>
      <c r="BC185" s="97">
        <f t="shared" si="31"/>
        <v>380</v>
      </c>
      <c r="BD185" s="73">
        <v>3600</v>
      </c>
      <c r="BE185" s="97">
        <f t="shared" si="32"/>
        <v>144</v>
      </c>
      <c r="BF185" s="73">
        <v>0</v>
      </c>
      <c r="BG185" s="97">
        <f t="shared" si="33"/>
        <v>0</v>
      </c>
      <c r="BH185" s="73">
        <v>3600</v>
      </c>
      <c r="BI185" s="97">
        <f t="shared" si="34"/>
        <v>144</v>
      </c>
      <c r="BJ185" s="73">
        <v>7200</v>
      </c>
      <c r="BK185" s="97">
        <f t="shared" si="35"/>
        <v>288</v>
      </c>
      <c r="BL185" s="128"/>
      <c r="BM185" s="131" t="s">
        <v>456</v>
      </c>
    </row>
    <row r="186" spans="1:66" ht="15" thickBot="1">
      <c r="A186" s="93" t="s">
        <v>123</v>
      </c>
      <c r="B186" s="122"/>
      <c r="C186" s="299"/>
      <c r="D186" s="295"/>
      <c r="E186" s="295"/>
      <c r="F186" s="297"/>
      <c r="G186" s="78">
        <v>2022</v>
      </c>
      <c r="H186" s="81" t="s">
        <v>323</v>
      </c>
      <c r="I186" s="81" t="s">
        <v>262</v>
      </c>
      <c r="J186" s="77" t="s">
        <v>197</v>
      </c>
      <c r="K186" s="81" t="s">
        <v>191</v>
      </c>
      <c r="L186" s="76" t="s">
        <v>192</v>
      </c>
      <c r="M186" s="13" t="s">
        <v>193</v>
      </c>
      <c r="N186" s="75">
        <v>6</v>
      </c>
      <c r="O186" s="75">
        <v>6</v>
      </c>
      <c r="P186" s="75">
        <v>6</v>
      </c>
      <c r="Q186" s="75">
        <v>6</v>
      </c>
      <c r="R186" s="75">
        <v>6</v>
      </c>
      <c r="S186" s="75">
        <v>6</v>
      </c>
      <c r="T186" s="75">
        <v>6</v>
      </c>
      <c r="U186" s="75">
        <v>6</v>
      </c>
      <c r="V186" s="75">
        <v>6</v>
      </c>
      <c r="W186" s="75">
        <v>6</v>
      </c>
      <c r="X186" s="75">
        <v>6</v>
      </c>
      <c r="Y186" s="75">
        <v>6</v>
      </c>
      <c r="Z186" s="75">
        <v>6</v>
      </c>
      <c r="AA186" s="13">
        <v>0</v>
      </c>
      <c r="AB186" s="72">
        <v>0</v>
      </c>
      <c r="AC186" s="72">
        <v>0</v>
      </c>
      <c r="AD186" s="72">
        <v>0</v>
      </c>
      <c r="AE186" s="69">
        <v>0</v>
      </c>
      <c r="AF186" s="69">
        <v>0</v>
      </c>
      <c r="AG186" s="69">
        <v>0</v>
      </c>
      <c r="AH186" s="69">
        <v>0</v>
      </c>
      <c r="AI186" s="69">
        <v>0</v>
      </c>
      <c r="AJ186" s="69">
        <v>0</v>
      </c>
      <c r="AK186" s="69">
        <v>0</v>
      </c>
      <c r="AL186" s="69">
        <v>0</v>
      </c>
      <c r="AM186" s="69">
        <v>0</v>
      </c>
      <c r="AN186" s="73">
        <v>0</v>
      </c>
      <c r="AO186" s="95">
        <f t="shared" si="24"/>
        <v>0</v>
      </c>
      <c r="AP186" s="73">
        <v>0</v>
      </c>
      <c r="AQ186" s="95">
        <f t="shared" si="25"/>
        <v>0</v>
      </c>
      <c r="AR186" s="73">
        <v>0</v>
      </c>
      <c r="AS186" s="96">
        <f t="shared" si="26"/>
        <v>0</v>
      </c>
      <c r="AT186" s="73">
        <v>0</v>
      </c>
      <c r="AU186" s="97">
        <f t="shared" si="27"/>
        <v>0</v>
      </c>
      <c r="AV186" s="73">
        <v>0</v>
      </c>
      <c r="AW186" s="97">
        <f t="shared" si="28"/>
        <v>0</v>
      </c>
      <c r="AX186" s="73">
        <v>0</v>
      </c>
      <c r="AY186" s="97">
        <f t="shared" si="29"/>
        <v>0</v>
      </c>
      <c r="AZ186" s="73">
        <v>1000</v>
      </c>
      <c r="BA186" s="97">
        <f t="shared" si="30"/>
        <v>0</v>
      </c>
      <c r="BB186" s="70">
        <v>0</v>
      </c>
      <c r="BC186" s="97">
        <f t="shared" si="31"/>
        <v>0</v>
      </c>
      <c r="BD186" s="73">
        <v>0</v>
      </c>
      <c r="BE186" s="97">
        <f t="shared" si="32"/>
        <v>0</v>
      </c>
      <c r="BF186" s="70">
        <v>1000</v>
      </c>
      <c r="BG186" s="97">
        <f t="shared" si="33"/>
        <v>0</v>
      </c>
      <c r="BH186" s="73">
        <v>0</v>
      </c>
      <c r="BI186" s="97">
        <f t="shared" si="34"/>
        <v>0</v>
      </c>
      <c r="BJ186" s="73">
        <v>2000</v>
      </c>
      <c r="BK186" s="97">
        <f t="shared" si="35"/>
        <v>0</v>
      </c>
      <c r="BL186" s="128"/>
      <c r="BM186" s="131" t="s">
        <v>457</v>
      </c>
    </row>
    <row r="187" spans="1:66" ht="15" thickBot="1">
      <c r="A187" s="93" t="s">
        <v>123</v>
      </c>
      <c r="B187" s="122" t="s">
        <v>199</v>
      </c>
      <c r="C187" s="299"/>
      <c r="D187" s="295"/>
      <c r="E187" s="295"/>
      <c r="F187" s="297"/>
      <c r="G187" s="78">
        <v>2023</v>
      </c>
      <c r="H187" s="76" t="s">
        <v>445</v>
      </c>
      <c r="I187" s="76" t="s">
        <v>212</v>
      </c>
      <c r="J187" s="77" t="s">
        <v>197</v>
      </c>
      <c r="K187" s="81" t="s">
        <v>221</v>
      </c>
      <c r="L187" s="76" t="s">
        <v>192</v>
      </c>
      <c r="M187" s="13" t="s">
        <v>193</v>
      </c>
      <c r="N187" s="75">
        <v>6.35</v>
      </c>
      <c r="O187" s="75">
        <v>6.35</v>
      </c>
      <c r="P187" s="75">
        <v>6.35</v>
      </c>
      <c r="Q187" s="75">
        <v>6.35</v>
      </c>
      <c r="R187" s="75">
        <v>6.35</v>
      </c>
      <c r="S187" s="75">
        <v>6.35</v>
      </c>
      <c r="T187" s="75">
        <v>6.35</v>
      </c>
      <c r="U187" s="75">
        <v>6.35</v>
      </c>
      <c r="V187" s="75">
        <v>6.35</v>
      </c>
      <c r="W187" s="75">
        <v>6.35</v>
      </c>
      <c r="X187" s="75">
        <v>6.35</v>
      </c>
      <c r="Y187" s="75">
        <v>6.35</v>
      </c>
      <c r="Z187" s="75">
        <v>6.35</v>
      </c>
      <c r="AA187" s="13">
        <v>0</v>
      </c>
      <c r="AB187" s="72">
        <v>0</v>
      </c>
      <c r="AC187" s="72">
        <v>0</v>
      </c>
      <c r="AD187" s="72">
        <v>0</v>
      </c>
      <c r="AE187" s="72">
        <v>0</v>
      </c>
      <c r="AF187" s="72">
        <v>0</v>
      </c>
      <c r="AG187" s="72">
        <v>0</v>
      </c>
      <c r="AH187" s="72">
        <v>0</v>
      </c>
      <c r="AI187" s="72">
        <v>0</v>
      </c>
      <c r="AJ187" s="72">
        <v>0</v>
      </c>
      <c r="AK187" s="72">
        <v>0</v>
      </c>
      <c r="AL187" s="72">
        <v>0</v>
      </c>
      <c r="AM187" s="72">
        <v>0</v>
      </c>
      <c r="AN187" s="73">
        <v>0</v>
      </c>
      <c r="AO187" s="95">
        <f t="shared" si="24"/>
        <v>0</v>
      </c>
      <c r="AP187" s="73">
        <v>0</v>
      </c>
      <c r="AQ187" s="95">
        <f t="shared" si="25"/>
        <v>0</v>
      </c>
      <c r="AR187" s="73">
        <v>0</v>
      </c>
      <c r="AS187" s="96">
        <f t="shared" si="26"/>
        <v>0</v>
      </c>
      <c r="AT187" s="73">
        <v>0</v>
      </c>
      <c r="AU187" s="97">
        <f t="shared" si="27"/>
        <v>0</v>
      </c>
      <c r="AV187" s="73">
        <v>0</v>
      </c>
      <c r="AW187" s="97">
        <f t="shared" si="28"/>
        <v>0</v>
      </c>
      <c r="AX187" s="73">
        <v>0</v>
      </c>
      <c r="AY187" s="97">
        <f t="shared" si="29"/>
        <v>0</v>
      </c>
      <c r="AZ187" s="73">
        <v>0</v>
      </c>
      <c r="BA187" s="97">
        <f t="shared" si="30"/>
        <v>0</v>
      </c>
      <c r="BB187" s="74">
        <v>0</v>
      </c>
      <c r="BC187" s="97">
        <f t="shared" si="31"/>
        <v>0</v>
      </c>
      <c r="BD187" s="70">
        <v>0</v>
      </c>
      <c r="BE187" s="97">
        <f t="shared" si="32"/>
        <v>0</v>
      </c>
      <c r="BF187" s="73">
        <v>5400</v>
      </c>
      <c r="BG187" s="97">
        <f t="shared" si="33"/>
        <v>0</v>
      </c>
      <c r="BH187" s="70">
        <v>0</v>
      </c>
      <c r="BI187" s="97">
        <f t="shared" si="34"/>
        <v>0</v>
      </c>
      <c r="BJ187" s="70">
        <v>0</v>
      </c>
      <c r="BK187" s="97">
        <f t="shared" si="35"/>
        <v>0</v>
      </c>
      <c r="BL187" s="128"/>
      <c r="BM187" s="131" t="s">
        <v>458</v>
      </c>
    </row>
    <row r="188" spans="1:66" ht="15" thickBot="1">
      <c r="A188" s="93" t="s">
        <v>123</v>
      </c>
      <c r="B188" s="122" t="s">
        <v>199</v>
      </c>
      <c r="C188" s="299"/>
      <c r="D188" s="295"/>
      <c r="E188" s="295"/>
      <c r="F188" s="297"/>
      <c r="G188" s="78">
        <v>2023</v>
      </c>
      <c r="H188" s="76" t="s">
        <v>445</v>
      </c>
      <c r="I188" s="76" t="s">
        <v>212</v>
      </c>
      <c r="J188" s="77" t="s">
        <v>197</v>
      </c>
      <c r="K188" s="81" t="s">
        <v>221</v>
      </c>
      <c r="L188" s="76" t="s">
        <v>192</v>
      </c>
      <c r="M188" s="13" t="s">
        <v>193</v>
      </c>
      <c r="N188" s="75">
        <v>6.35</v>
      </c>
      <c r="O188" s="75">
        <v>6.35</v>
      </c>
      <c r="P188" s="75">
        <v>6.35</v>
      </c>
      <c r="Q188" s="75">
        <v>6.35</v>
      </c>
      <c r="R188" s="75">
        <v>6.35</v>
      </c>
      <c r="S188" s="75">
        <v>6.35</v>
      </c>
      <c r="T188" s="75">
        <v>6.35</v>
      </c>
      <c r="U188" s="75">
        <v>6.35</v>
      </c>
      <c r="V188" s="75">
        <v>6.35</v>
      </c>
      <c r="W188" s="75">
        <v>6.35</v>
      </c>
      <c r="X188" s="75">
        <v>6.35</v>
      </c>
      <c r="Y188" s="75">
        <v>6.35</v>
      </c>
      <c r="Z188" s="75">
        <v>6.35</v>
      </c>
      <c r="AA188" s="13">
        <v>0</v>
      </c>
      <c r="AB188" s="72">
        <v>0</v>
      </c>
      <c r="AC188" s="72">
        <v>0</v>
      </c>
      <c r="AD188" s="72">
        <v>0</v>
      </c>
      <c r="AE188" s="72">
        <v>0</v>
      </c>
      <c r="AF188" s="72">
        <v>0</v>
      </c>
      <c r="AG188" s="72">
        <v>0</v>
      </c>
      <c r="AH188" s="72">
        <v>0</v>
      </c>
      <c r="AI188" s="72">
        <v>0</v>
      </c>
      <c r="AJ188" s="72">
        <v>0</v>
      </c>
      <c r="AK188" s="72">
        <v>0</v>
      </c>
      <c r="AL188" s="72">
        <v>0</v>
      </c>
      <c r="AM188" s="72">
        <v>0</v>
      </c>
      <c r="AN188" s="71">
        <v>0</v>
      </c>
      <c r="AO188" s="95">
        <f t="shared" si="24"/>
        <v>0</v>
      </c>
      <c r="AP188" s="71">
        <v>0</v>
      </c>
      <c r="AQ188" s="95">
        <f t="shared" si="25"/>
        <v>0</v>
      </c>
      <c r="AR188" s="71">
        <v>0</v>
      </c>
      <c r="AS188" s="96">
        <f t="shared" si="26"/>
        <v>0</v>
      </c>
      <c r="AT188" s="71">
        <v>0</v>
      </c>
      <c r="AU188" s="97">
        <f t="shared" si="27"/>
        <v>0</v>
      </c>
      <c r="AV188" s="71">
        <v>0</v>
      </c>
      <c r="AW188" s="97">
        <f t="shared" si="28"/>
        <v>0</v>
      </c>
      <c r="AX188" s="71">
        <v>0</v>
      </c>
      <c r="AY188" s="97">
        <f t="shared" si="29"/>
        <v>0</v>
      </c>
      <c r="AZ188" s="71">
        <v>0</v>
      </c>
      <c r="BA188" s="97">
        <f t="shared" si="30"/>
        <v>0</v>
      </c>
      <c r="BB188" s="74">
        <v>0</v>
      </c>
      <c r="BC188" s="97">
        <f t="shared" si="31"/>
        <v>0</v>
      </c>
      <c r="BD188" s="73">
        <v>0</v>
      </c>
      <c r="BE188" s="97">
        <f t="shared" si="32"/>
        <v>0</v>
      </c>
      <c r="BF188" s="73">
        <v>5400</v>
      </c>
      <c r="BG188" s="97">
        <f t="shared" si="33"/>
        <v>0</v>
      </c>
      <c r="BH188" s="73">
        <v>0</v>
      </c>
      <c r="BI188" s="97">
        <f t="shared" si="34"/>
        <v>0</v>
      </c>
      <c r="BJ188" s="73">
        <v>0</v>
      </c>
      <c r="BK188" s="97">
        <f t="shared" si="35"/>
        <v>0</v>
      </c>
      <c r="BL188" s="128"/>
      <c r="BM188" s="131" t="s">
        <v>459</v>
      </c>
    </row>
    <row r="189" spans="1:66" ht="15" thickBot="1">
      <c r="A189" s="93" t="s">
        <v>123</v>
      </c>
      <c r="B189" s="122" t="s">
        <v>184</v>
      </c>
      <c r="C189" s="299"/>
      <c r="D189" s="295"/>
      <c r="E189" s="295"/>
      <c r="F189" s="297"/>
      <c r="G189" s="78">
        <v>2023</v>
      </c>
      <c r="H189" s="76" t="s">
        <v>253</v>
      </c>
      <c r="I189" s="76" t="s">
        <v>196</v>
      </c>
      <c r="J189" s="77" t="s">
        <v>197</v>
      </c>
      <c r="K189" s="76" t="s">
        <v>191</v>
      </c>
      <c r="L189" s="76" t="s">
        <v>192</v>
      </c>
      <c r="M189" s="13" t="s">
        <v>193</v>
      </c>
      <c r="N189" s="75">
        <v>1.89</v>
      </c>
      <c r="O189" s="75">
        <v>1.89</v>
      </c>
      <c r="P189" s="75">
        <v>1.89</v>
      </c>
      <c r="Q189" s="75">
        <v>1.89</v>
      </c>
      <c r="R189" s="75">
        <v>1.89</v>
      </c>
      <c r="S189" s="75">
        <v>1.89</v>
      </c>
      <c r="T189" s="75">
        <v>1.89</v>
      </c>
      <c r="U189" s="75">
        <v>1.89</v>
      </c>
      <c r="V189" s="75">
        <v>1.89</v>
      </c>
      <c r="W189" s="75">
        <v>1.89</v>
      </c>
      <c r="X189" s="75">
        <v>1.89</v>
      </c>
      <c r="Y189" s="75">
        <v>1.89</v>
      </c>
      <c r="Z189" s="75">
        <v>1.89</v>
      </c>
      <c r="AA189" s="13">
        <v>0</v>
      </c>
      <c r="AB189" s="72">
        <v>0</v>
      </c>
      <c r="AC189" s="72">
        <v>0</v>
      </c>
      <c r="AD189" s="72">
        <v>0</v>
      </c>
      <c r="AE189" s="69">
        <v>0</v>
      </c>
      <c r="AF189" s="69">
        <v>0</v>
      </c>
      <c r="AG189" s="69">
        <v>0</v>
      </c>
      <c r="AH189" s="69">
        <v>0</v>
      </c>
      <c r="AI189" s="69">
        <v>0</v>
      </c>
      <c r="AJ189" s="69">
        <v>0</v>
      </c>
      <c r="AK189" s="69">
        <v>0</v>
      </c>
      <c r="AL189" s="69">
        <v>0</v>
      </c>
      <c r="AM189" s="69">
        <v>0</v>
      </c>
      <c r="AN189" s="70">
        <v>0</v>
      </c>
      <c r="AO189" s="95">
        <f t="shared" si="24"/>
        <v>0</v>
      </c>
      <c r="AP189" s="70">
        <v>0</v>
      </c>
      <c r="AQ189" s="95">
        <f t="shared" si="25"/>
        <v>0</v>
      </c>
      <c r="AR189" s="70">
        <v>0</v>
      </c>
      <c r="AS189" s="96">
        <f t="shared" si="26"/>
        <v>0</v>
      </c>
      <c r="AT189" s="70">
        <v>0</v>
      </c>
      <c r="AU189" s="97">
        <f t="shared" si="27"/>
        <v>0</v>
      </c>
      <c r="AV189" s="70">
        <v>0</v>
      </c>
      <c r="AW189" s="97">
        <f t="shared" si="28"/>
        <v>0</v>
      </c>
      <c r="AX189" s="70">
        <v>0</v>
      </c>
      <c r="AY189" s="97">
        <f t="shared" si="29"/>
        <v>0</v>
      </c>
      <c r="AZ189" s="70">
        <v>0</v>
      </c>
      <c r="BA189" s="97">
        <f t="shared" si="30"/>
        <v>0</v>
      </c>
      <c r="BB189" s="70">
        <v>8640</v>
      </c>
      <c r="BC189" s="97">
        <f t="shared" si="31"/>
        <v>0</v>
      </c>
      <c r="BD189" s="73">
        <v>0</v>
      </c>
      <c r="BE189" s="97">
        <f t="shared" si="32"/>
        <v>0</v>
      </c>
      <c r="BF189" s="73">
        <v>0</v>
      </c>
      <c r="BG189" s="97">
        <f t="shared" si="33"/>
        <v>0</v>
      </c>
      <c r="BH189" s="73">
        <v>0</v>
      </c>
      <c r="BI189" s="97">
        <f t="shared" si="34"/>
        <v>0</v>
      </c>
      <c r="BJ189" s="73">
        <v>0</v>
      </c>
      <c r="BK189" s="97">
        <f t="shared" si="35"/>
        <v>0</v>
      </c>
      <c r="BL189" s="128"/>
      <c r="BM189" s="131" t="s">
        <v>460</v>
      </c>
    </row>
    <row r="190" spans="1:66" ht="15" thickBot="1">
      <c r="A190" s="93" t="s">
        <v>123</v>
      </c>
      <c r="B190" s="122" t="s">
        <v>184</v>
      </c>
      <c r="C190" s="299"/>
      <c r="D190" s="295"/>
      <c r="E190" s="295"/>
      <c r="F190" s="297"/>
      <c r="G190" s="78">
        <v>2023</v>
      </c>
      <c r="H190" s="76" t="s">
        <v>253</v>
      </c>
      <c r="I190" s="76" t="s">
        <v>196</v>
      </c>
      <c r="J190" s="77" t="s">
        <v>197</v>
      </c>
      <c r="K190" s="76" t="s">
        <v>191</v>
      </c>
      <c r="L190" s="76" t="s">
        <v>192</v>
      </c>
      <c r="M190" s="13" t="s">
        <v>193</v>
      </c>
      <c r="N190" s="75">
        <v>1.89</v>
      </c>
      <c r="O190" s="75">
        <v>1.89</v>
      </c>
      <c r="P190" s="75">
        <v>1.89</v>
      </c>
      <c r="Q190" s="75">
        <v>1.89</v>
      </c>
      <c r="R190" s="75">
        <v>1.89</v>
      </c>
      <c r="S190" s="75">
        <v>1.89</v>
      </c>
      <c r="T190" s="75">
        <v>1.89</v>
      </c>
      <c r="U190" s="75">
        <v>1.89</v>
      </c>
      <c r="V190" s="75">
        <v>1.89</v>
      </c>
      <c r="W190" s="75">
        <v>1.89</v>
      </c>
      <c r="X190" s="75">
        <v>1.89</v>
      </c>
      <c r="Y190" s="75">
        <v>1.89</v>
      </c>
      <c r="Z190" s="75">
        <v>1.89</v>
      </c>
      <c r="AA190" s="13">
        <v>0</v>
      </c>
      <c r="AB190" s="72">
        <v>0</v>
      </c>
      <c r="AC190" s="72">
        <v>0</v>
      </c>
      <c r="AD190" s="72">
        <v>0</v>
      </c>
      <c r="AE190" s="69">
        <v>0</v>
      </c>
      <c r="AF190" s="69">
        <v>0</v>
      </c>
      <c r="AG190" s="69">
        <v>0</v>
      </c>
      <c r="AH190" s="69">
        <v>0</v>
      </c>
      <c r="AI190" s="69">
        <v>0</v>
      </c>
      <c r="AJ190" s="69">
        <v>0</v>
      </c>
      <c r="AK190" s="69">
        <v>0</v>
      </c>
      <c r="AL190" s="69">
        <v>0</v>
      </c>
      <c r="AM190" s="69">
        <v>0</v>
      </c>
      <c r="AN190" s="70">
        <v>0</v>
      </c>
      <c r="AO190" s="95">
        <f t="shared" si="24"/>
        <v>0</v>
      </c>
      <c r="AP190" s="70">
        <v>0</v>
      </c>
      <c r="AQ190" s="95">
        <f t="shared" si="25"/>
        <v>0</v>
      </c>
      <c r="AR190" s="70">
        <v>0</v>
      </c>
      <c r="AS190" s="96">
        <f t="shared" si="26"/>
        <v>0</v>
      </c>
      <c r="AT190" s="70">
        <v>0</v>
      </c>
      <c r="AU190" s="97">
        <f t="shared" si="27"/>
        <v>0</v>
      </c>
      <c r="AV190" s="70">
        <v>0</v>
      </c>
      <c r="AW190" s="97">
        <f t="shared" si="28"/>
        <v>0</v>
      </c>
      <c r="AX190" s="70">
        <v>0</v>
      </c>
      <c r="AY190" s="97">
        <f t="shared" si="29"/>
        <v>0</v>
      </c>
      <c r="AZ190" s="70">
        <v>0</v>
      </c>
      <c r="BA190" s="97">
        <f t="shared" si="30"/>
        <v>0</v>
      </c>
      <c r="BB190" s="70">
        <v>8640</v>
      </c>
      <c r="BC190" s="97">
        <f t="shared" si="31"/>
        <v>0</v>
      </c>
      <c r="BD190" s="71">
        <v>0</v>
      </c>
      <c r="BE190" s="97">
        <f t="shared" si="32"/>
        <v>0</v>
      </c>
      <c r="BF190" s="70">
        <v>0</v>
      </c>
      <c r="BG190" s="97">
        <f t="shared" si="33"/>
        <v>0</v>
      </c>
      <c r="BH190" s="70">
        <v>11520</v>
      </c>
      <c r="BI190" s="97">
        <f t="shared" si="34"/>
        <v>0</v>
      </c>
      <c r="BJ190" s="70">
        <v>0</v>
      </c>
      <c r="BK190" s="97">
        <f t="shared" si="35"/>
        <v>0</v>
      </c>
      <c r="BL190" s="128"/>
      <c r="BM190" s="131" t="s">
        <v>461</v>
      </c>
    </row>
    <row r="191" spans="1:66" ht="15" thickBot="1">
      <c r="A191" s="93" t="s">
        <v>123</v>
      </c>
      <c r="B191" s="122" t="s">
        <v>184</v>
      </c>
      <c r="C191" s="299"/>
      <c r="D191" s="295"/>
      <c r="E191" s="295"/>
      <c r="F191" s="297"/>
      <c r="G191" s="78">
        <v>2023</v>
      </c>
      <c r="H191" s="76" t="s">
        <v>280</v>
      </c>
      <c r="I191" s="76" t="s">
        <v>196</v>
      </c>
      <c r="J191" s="77" t="s">
        <v>197</v>
      </c>
      <c r="K191" s="81" t="s">
        <v>221</v>
      </c>
      <c r="L191" s="76" t="s">
        <v>192</v>
      </c>
      <c r="M191" s="13" t="s">
        <v>193</v>
      </c>
      <c r="N191" s="75">
        <v>4.26</v>
      </c>
      <c r="O191" s="75">
        <v>4.26</v>
      </c>
      <c r="P191" s="75">
        <v>4.26</v>
      </c>
      <c r="Q191" s="75">
        <v>4.26</v>
      </c>
      <c r="R191" s="75">
        <v>4.26</v>
      </c>
      <c r="S191" s="75">
        <v>4.26</v>
      </c>
      <c r="T191" s="75">
        <v>4.26</v>
      </c>
      <c r="U191" s="75">
        <v>4.26</v>
      </c>
      <c r="V191" s="75">
        <v>4.26</v>
      </c>
      <c r="W191" s="75">
        <v>4.26</v>
      </c>
      <c r="X191" s="75">
        <v>4.26</v>
      </c>
      <c r="Y191" s="75">
        <v>4.26</v>
      </c>
      <c r="Z191" s="75">
        <v>4.26</v>
      </c>
      <c r="AA191" s="13">
        <v>0</v>
      </c>
      <c r="AB191" s="72">
        <v>0</v>
      </c>
      <c r="AC191" s="72">
        <v>0</v>
      </c>
      <c r="AD191" s="72">
        <v>0</v>
      </c>
      <c r="AE191" s="69">
        <v>0</v>
      </c>
      <c r="AF191" s="69">
        <v>0</v>
      </c>
      <c r="AG191" s="69">
        <v>0</v>
      </c>
      <c r="AH191" s="69">
        <v>0</v>
      </c>
      <c r="AI191" s="69">
        <v>0</v>
      </c>
      <c r="AJ191" s="69">
        <v>0</v>
      </c>
      <c r="AK191" s="69">
        <v>0</v>
      </c>
      <c r="AL191" s="69">
        <v>0</v>
      </c>
      <c r="AM191" s="69">
        <v>0</v>
      </c>
      <c r="AN191" s="70">
        <v>0</v>
      </c>
      <c r="AO191" s="95">
        <f t="shared" si="24"/>
        <v>0</v>
      </c>
      <c r="AP191" s="70">
        <v>0</v>
      </c>
      <c r="AQ191" s="95">
        <f t="shared" si="25"/>
        <v>0</v>
      </c>
      <c r="AR191" s="70">
        <v>0</v>
      </c>
      <c r="AS191" s="96">
        <f t="shared" si="26"/>
        <v>0</v>
      </c>
      <c r="AT191" s="70">
        <v>0</v>
      </c>
      <c r="AU191" s="97">
        <f t="shared" si="27"/>
        <v>0</v>
      </c>
      <c r="AV191" s="70">
        <v>0</v>
      </c>
      <c r="AW191" s="97">
        <f t="shared" si="28"/>
        <v>0</v>
      </c>
      <c r="AX191" s="70">
        <v>0</v>
      </c>
      <c r="AY191" s="97">
        <f t="shared" si="29"/>
        <v>0</v>
      </c>
      <c r="AZ191" s="70">
        <v>0</v>
      </c>
      <c r="BA191" s="97">
        <f t="shared" si="30"/>
        <v>0</v>
      </c>
      <c r="BB191" s="74">
        <v>0</v>
      </c>
      <c r="BC191" s="97">
        <f t="shared" si="31"/>
        <v>0</v>
      </c>
      <c r="BD191" s="73">
        <v>14400</v>
      </c>
      <c r="BE191" s="97">
        <f t="shared" si="32"/>
        <v>0</v>
      </c>
      <c r="BF191" s="73">
        <v>0</v>
      </c>
      <c r="BG191" s="97">
        <f t="shared" si="33"/>
        <v>0</v>
      </c>
      <c r="BH191" s="73">
        <v>0</v>
      </c>
      <c r="BI191" s="97">
        <f t="shared" si="34"/>
        <v>0</v>
      </c>
      <c r="BJ191" s="73">
        <v>0</v>
      </c>
      <c r="BK191" s="97">
        <f t="shared" si="35"/>
        <v>0</v>
      </c>
      <c r="BL191" s="128"/>
      <c r="BM191" s="131" t="s">
        <v>462</v>
      </c>
    </row>
    <row r="192" spans="1:66" ht="15" thickBot="1">
      <c r="A192" s="93" t="s">
        <v>123</v>
      </c>
      <c r="B192" s="122" t="s">
        <v>184</v>
      </c>
      <c r="C192" s="299"/>
      <c r="D192" s="295"/>
      <c r="E192" s="295"/>
      <c r="F192" s="297"/>
      <c r="G192" s="78">
        <v>2023</v>
      </c>
      <c r="H192" s="76" t="s">
        <v>280</v>
      </c>
      <c r="I192" s="76" t="s">
        <v>196</v>
      </c>
      <c r="J192" s="77" t="s">
        <v>197</v>
      </c>
      <c r="K192" s="81" t="s">
        <v>221</v>
      </c>
      <c r="L192" s="76" t="s">
        <v>192</v>
      </c>
      <c r="M192" s="13" t="s">
        <v>193</v>
      </c>
      <c r="N192" s="75">
        <v>4.32</v>
      </c>
      <c r="O192" s="75">
        <v>4.32</v>
      </c>
      <c r="P192" s="75">
        <v>4.32</v>
      </c>
      <c r="Q192" s="75">
        <v>4.32</v>
      </c>
      <c r="R192" s="75">
        <v>4.32</v>
      </c>
      <c r="S192" s="75">
        <v>4.32</v>
      </c>
      <c r="T192" s="75">
        <v>4.32</v>
      </c>
      <c r="U192" s="75">
        <v>4.32</v>
      </c>
      <c r="V192" s="75">
        <v>4.32</v>
      </c>
      <c r="W192" s="75">
        <v>4.32</v>
      </c>
      <c r="X192" s="75">
        <v>4.32</v>
      </c>
      <c r="Y192" s="75">
        <v>4.32</v>
      </c>
      <c r="Z192" s="75">
        <v>4.32</v>
      </c>
      <c r="AA192" s="13">
        <v>0</v>
      </c>
      <c r="AB192" s="72">
        <v>0</v>
      </c>
      <c r="AC192" s="72">
        <v>0</v>
      </c>
      <c r="AD192" s="72">
        <v>0</v>
      </c>
      <c r="AE192" s="69">
        <v>0</v>
      </c>
      <c r="AF192" s="69">
        <v>0</v>
      </c>
      <c r="AG192" s="69">
        <v>0</v>
      </c>
      <c r="AH192" s="69">
        <v>0</v>
      </c>
      <c r="AI192" s="69">
        <v>0</v>
      </c>
      <c r="AJ192" s="69">
        <v>0</v>
      </c>
      <c r="AK192" s="69">
        <v>0</v>
      </c>
      <c r="AL192" s="69">
        <v>0</v>
      </c>
      <c r="AM192" s="69">
        <v>0</v>
      </c>
      <c r="AN192" s="70">
        <v>0</v>
      </c>
      <c r="AO192" s="95">
        <f t="shared" si="24"/>
        <v>0</v>
      </c>
      <c r="AP192" s="70">
        <v>0</v>
      </c>
      <c r="AQ192" s="95">
        <f t="shared" si="25"/>
        <v>0</v>
      </c>
      <c r="AR192" s="70">
        <v>0</v>
      </c>
      <c r="AS192" s="96">
        <f t="shared" si="26"/>
        <v>0</v>
      </c>
      <c r="AT192" s="70">
        <v>0</v>
      </c>
      <c r="AU192" s="97">
        <f t="shared" si="27"/>
        <v>0</v>
      </c>
      <c r="AV192" s="70">
        <v>0</v>
      </c>
      <c r="AW192" s="97">
        <f t="shared" si="28"/>
        <v>0</v>
      </c>
      <c r="AX192" s="70">
        <v>0</v>
      </c>
      <c r="AY192" s="97">
        <f t="shared" si="29"/>
        <v>0</v>
      </c>
      <c r="AZ192" s="70">
        <v>0</v>
      </c>
      <c r="BA192" s="97">
        <f t="shared" si="30"/>
        <v>0</v>
      </c>
      <c r="BB192" s="74">
        <v>5760</v>
      </c>
      <c r="BC192" s="97">
        <f t="shared" si="31"/>
        <v>0</v>
      </c>
      <c r="BD192" s="73">
        <v>0</v>
      </c>
      <c r="BE192" s="97">
        <f t="shared" si="32"/>
        <v>0</v>
      </c>
      <c r="BF192" s="73">
        <v>0</v>
      </c>
      <c r="BG192" s="97">
        <f t="shared" si="33"/>
        <v>0</v>
      </c>
      <c r="BH192" s="70">
        <v>0</v>
      </c>
      <c r="BI192" s="97">
        <f t="shared" si="34"/>
        <v>0</v>
      </c>
      <c r="BJ192" s="73">
        <v>5760</v>
      </c>
      <c r="BK192" s="97">
        <f t="shared" si="35"/>
        <v>0</v>
      </c>
      <c r="BL192" s="128"/>
      <c r="BM192" s="131" t="s">
        <v>463</v>
      </c>
    </row>
    <row r="193" spans="1:66" ht="15" thickBot="1">
      <c r="A193" s="93" t="s">
        <v>123</v>
      </c>
      <c r="B193" s="122" t="s">
        <v>184</v>
      </c>
      <c r="C193" s="299"/>
      <c r="D193" s="295"/>
      <c r="E193" s="295"/>
      <c r="F193" s="297"/>
      <c r="G193" s="78">
        <v>2016</v>
      </c>
      <c r="H193" s="76" t="s">
        <v>232</v>
      </c>
      <c r="I193" s="76" t="s">
        <v>196</v>
      </c>
      <c r="J193" s="77" t="s">
        <v>197</v>
      </c>
      <c r="K193" s="81" t="s">
        <v>239</v>
      </c>
      <c r="L193" s="76" t="s">
        <v>192</v>
      </c>
      <c r="M193" s="13" t="s">
        <v>193</v>
      </c>
      <c r="N193" s="75">
        <v>5.81</v>
      </c>
      <c r="O193" s="75">
        <v>5.81</v>
      </c>
      <c r="P193" s="75">
        <v>5.81</v>
      </c>
      <c r="Q193" s="75">
        <v>5.81</v>
      </c>
      <c r="R193" s="75">
        <v>5.81</v>
      </c>
      <c r="S193" s="75">
        <v>5.81</v>
      </c>
      <c r="T193" s="75">
        <v>5.81</v>
      </c>
      <c r="U193" s="75">
        <v>5.81</v>
      </c>
      <c r="V193" s="75">
        <v>5.81</v>
      </c>
      <c r="W193" s="75">
        <v>5.81</v>
      </c>
      <c r="X193" s="75">
        <v>5.81</v>
      </c>
      <c r="Y193" s="75">
        <v>5.81</v>
      </c>
      <c r="Z193" s="75">
        <v>5.81</v>
      </c>
      <c r="AA193" s="13">
        <v>0</v>
      </c>
      <c r="AB193" s="72">
        <v>0.05</v>
      </c>
      <c r="AC193" s="72">
        <v>0.05</v>
      </c>
      <c r="AD193" s="72">
        <v>0.05</v>
      </c>
      <c r="AE193" s="69">
        <v>0.05</v>
      </c>
      <c r="AF193" s="69">
        <v>0.05</v>
      </c>
      <c r="AG193" s="69">
        <v>0.05</v>
      </c>
      <c r="AH193" s="69">
        <v>0.05</v>
      </c>
      <c r="AI193" s="69">
        <v>0.05</v>
      </c>
      <c r="AJ193" s="69">
        <v>0.05</v>
      </c>
      <c r="AK193" s="69">
        <v>0.05</v>
      </c>
      <c r="AL193" s="69">
        <v>0.05</v>
      </c>
      <c r="AM193" s="69">
        <v>0.05</v>
      </c>
      <c r="AN193" s="70">
        <v>0</v>
      </c>
      <c r="AO193" s="95">
        <f>AB193*AN193</f>
        <v>0</v>
      </c>
      <c r="AP193" s="70">
        <v>0</v>
      </c>
      <c r="AQ193" s="95">
        <f>AC193*AP193</f>
        <v>0</v>
      </c>
      <c r="AR193" s="70">
        <v>0</v>
      </c>
      <c r="AS193" s="96">
        <f>AD193*AR193</f>
        <v>0</v>
      </c>
      <c r="AT193" s="70">
        <v>0</v>
      </c>
      <c r="AU193" s="97">
        <f>AE193*AT193</f>
        <v>0</v>
      </c>
      <c r="AV193" s="70">
        <v>0</v>
      </c>
      <c r="AW193" s="97">
        <f>AF193*AV193</f>
        <v>0</v>
      </c>
      <c r="AX193" s="70">
        <v>0</v>
      </c>
      <c r="AY193" s="97">
        <f>AG193*AX193</f>
        <v>0</v>
      </c>
      <c r="AZ193" s="70">
        <v>0</v>
      </c>
      <c r="BA193" s="97">
        <f t="shared" ref="BA193:BA220" si="36">AH193*AZ193</f>
        <v>0</v>
      </c>
      <c r="BB193" s="70">
        <v>4320</v>
      </c>
      <c r="BC193" s="97">
        <f t="shared" si="31"/>
        <v>216</v>
      </c>
      <c r="BD193" s="70">
        <v>0</v>
      </c>
      <c r="BE193" s="97">
        <f t="shared" si="32"/>
        <v>0</v>
      </c>
      <c r="BF193" s="73">
        <v>0</v>
      </c>
      <c r="BG193" s="97">
        <f t="shared" si="33"/>
        <v>0</v>
      </c>
      <c r="BH193" s="73">
        <v>0</v>
      </c>
      <c r="BI193" s="97">
        <f t="shared" si="34"/>
        <v>0</v>
      </c>
      <c r="BJ193" s="70">
        <v>0</v>
      </c>
      <c r="BK193" s="97">
        <f t="shared" si="35"/>
        <v>0</v>
      </c>
      <c r="BL193" s="128"/>
      <c r="BM193" s="131" t="s">
        <v>464</v>
      </c>
      <c r="BN193" s="1" t="s">
        <v>450</v>
      </c>
    </row>
    <row r="194" spans="1:66" ht="15" thickBot="1">
      <c r="A194" s="93" t="s">
        <v>123</v>
      </c>
      <c r="B194" s="122" t="s">
        <v>184</v>
      </c>
      <c r="C194" s="299"/>
      <c r="D194" s="295"/>
      <c r="E194" s="295"/>
      <c r="F194" s="297"/>
      <c r="G194" s="78">
        <v>2016</v>
      </c>
      <c r="H194" s="76" t="s">
        <v>232</v>
      </c>
      <c r="I194" s="76" t="s">
        <v>196</v>
      </c>
      <c r="J194" s="77" t="s">
        <v>197</v>
      </c>
      <c r="K194" s="81" t="s">
        <v>237</v>
      </c>
      <c r="L194" s="76" t="s">
        <v>192</v>
      </c>
      <c r="M194" s="13" t="s">
        <v>193</v>
      </c>
      <c r="N194" s="75">
        <v>6.24</v>
      </c>
      <c r="O194" s="75">
        <v>6.24</v>
      </c>
      <c r="P194" s="75">
        <v>6.24</v>
      </c>
      <c r="Q194" s="75">
        <v>6.24</v>
      </c>
      <c r="R194" s="75">
        <v>6.24</v>
      </c>
      <c r="S194" s="75">
        <v>6.24</v>
      </c>
      <c r="T194" s="75">
        <v>6.24</v>
      </c>
      <c r="U194" s="75">
        <v>6.24</v>
      </c>
      <c r="V194" s="75">
        <v>6.24</v>
      </c>
      <c r="W194" s="75">
        <v>6.24</v>
      </c>
      <c r="X194" s="75">
        <v>6.24</v>
      </c>
      <c r="Y194" s="75">
        <v>6.24</v>
      </c>
      <c r="Z194" s="75">
        <v>6.24</v>
      </c>
      <c r="AA194" s="13">
        <v>0</v>
      </c>
      <c r="AB194" s="72">
        <v>0.05</v>
      </c>
      <c r="AC194" s="72">
        <v>0.05</v>
      </c>
      <c r="AD194" s="72">
        <v>0.05</v>
      </c>
      <c r="AE194" s="69">
        <v>0.05</v>
      </c>
      <c r="AF194" s="69">
        <v>0.05</v>
      </c>
      <c r="AG194" s="69">
        <v>0.05</v>
      </c>
      <c r="AH194" s="69">
        <v>0.05</v>
      </c>
      <c r="AI194" s="69">
        <v>0.05</v>
      </c>
      <c r="AJ194" s="69">
        <v>0.05</v>
      </c>
      <c r="AK194" s="69">
        <v>0.05</v>
      </c>
      <c r="AL194" s="69">
        <v>0.05</v>
      </c>
      <c r="AM194" s="69">
        <v>0.05</v>
      </c>
      <c r="AN194" s="70">
        <v>0</v>
      </c>
      <c r="AO194" s="95">
        <f>AB194*AN194</f>
        <v>0</v>
      </c>
      <c r="AP194" s="70">
        <v>0</v>
      </c>
      <c r="AQ194" s="95">
        <f>AC194*AP194</f>
        <v>0</v>
      </c>
      <c r="AR194" s="70">
        <v>0</v>
      </c>
      <c r="AS194" s="96">
        <f>AD194*AR194</f>
        <v>0</v>
      </c>
      <c r="AT194" s="70">
        <v>0</v>
      </c>
      <c r="AU194" s="97">
        <f>AE194*AT194</f>
        <v>0</v>
      </c>
      <c r="AV194" s="70">
        <v>0</v>
      </c>
      <c r="AW194" s="97">
        <f>AF194*AV194</f>
        <v>0</v>
      </c>
      <c r="AX194" s="70">
        <v>0</v>
      </c>
      <c r="AY194" s="97">
        <f>AG194*AX194</f>
        <v>0</v>
      </c>
      <c r="AZ194" s="70">
        <v>0</v>
      </c>
      <c r="BA194" s="97">
        <f t="shared" si="36"/>
        <v>0</v>
      </c>
      <c r="BB194" s="74">
        <v>3000</v>
      </c>
      <c r="BC194" s="97">
        <f t="shared" si="31"/>
        <v>150</v>
      </c>
      <c r="BD194" s="73">
        <v>3600</v>
      </c>
      <c r="BE194" s="97">
        <f t="shared" si="32"/>
        <v>180</v>
      </c>
      <c r="BF194" s="70">
        <v>0</v>
      </c>
      <c r="BG194" s="97">
        <f t="shared" si="33"/>
        <v>0</v>
      </c>
      <c r="BH194" s="73">
        <v>11000</v>
      </c>
      <c r="BI194" s="97">
        <f t="shared" si="34"/>
        <v>550</v>
      </c>
      <c r="BJ194" s="73">
        <v>0</v>
      </c>
      <c r="BK194" s="97">
        <f t="shared" si="35"/>
        <v>0</v>
      </c>
      <c r="BL194" s="128"/>
      <c r="BM194" s="131" t="s">
        <v>465</v>
      </c>
    </row>
    <row r="195" spans="1:66" ht="15" thickBot="1">
      <c r="A195" s="93" t="s">
        <v>123</v>
      </c>
      <c r="B195" s="122" t="s">
        <v>184</v>
      </c>
      <c r="C195" s="299"/>
      <c r="D195" s="295"/>
      <c r="E195" s="295"/>
      <c r="F195" s="297"/>
      <c r="G195" s="78">
        <v>2016</v>
      </c>
      <c r="H195" s="76" t="s">
        <v>232</v>
      </c>
      <c r="I195" s="76" t="s">
        <v>196</v>
      </c>
      <c r="J195" s="77" t="s">
        <v>197</v>
      </c>
      <c r="K195" s="81" t="s">
        <v>249</v>
      </c>
      <c r="L195" s="76" t="s">
        <v>192</v>
      </c>
      <c r="M195" s="13" t="s">
        <v>193</v>
      </c>
      <c r="N195" s="75">
        <v>6.24</v>
      </c>
      <c r="O195" s="75">
        <v>6.24</v>
      </c>
      <c r="P195" s="75">
        <v>6.24</v>
      </c>
      <c r="Q195" s="75">
        <v>6.24</v>
      </c>
      <c r="R195" s="75">
        <v>6.24</v>
      </c>
      <c r="S195" s="75">
        <v>6.24</v>
      </c>
      <c r="T195" s="75">
        <v>6.24</v>
      </c>
      <c r="U195" s="75">
        <v>6.24</v>
      </c>
      <c r="V195" s="75">
        <v>6.24</v>
      </c>
      <c r="W195" s="75">
        <v>6.24</v>
      </c>
      <c r="X195" s="75">
        <v>6.24</v>
      </c>
      <c r="Y195" s="75">
        <v>6.24</v>
      </c>
      <c r="Z195" s="75">
        <v>6.24</v>
      </c>
      <c r="AA195" s="13">
        <v>0</v>
      </c>
      <c r="AB195" s="72">
        <v>0.05</v>
      </c>
      <c r="AC195" s="72">
        <v>0.05</v>
      </c>
      <c r="AD195" s="72">
        <v>0.05</v>
      </c>
      <c r="AE195" s="69">
        <v>0.05</v>
      </c>
      <c r="AF195" s="69">
        <v>0.05</v>
      </c>
      <c r="AG195" s="69">
        <v>0.05</v>
      </c>
      <c r="AH195" s="72">
        <v>0.05</v>
      </c>
      <c r="AI195" s="72">
        <v>0.05</v>
      </c>
      <c r="AJ195" s="69">
        <v>0.05</v>
      </c>
      <c r="AK195" s="69">
        <v>0.05</v>
      </c>
      <c r="AL195" s="69">
        <v>0.05</v>
      </c>
      <c r="AM195" s="69">
        <v>0.05</v>
      </c>
      <c r="AN195" s="70">
        <v>0</v>
      </c>
      <c r="AO195" s="95">
        <f>AB195*AN195</f>
        <v>0</v>
      </c>
      <c r="AP195" s="70">
        <v>0</v>
      </c>
      <c r="AQ195" s="95">
        <f>AC195*AP195</f>
        <v>0</v>
      </c>
      <c r="AR195" s="70">
        <v>0</v>
      </c>
      <c r="AS195" s="96">
        <f>AD195*AR195</f>
        <v>0</v>
      </c>
      <c r="AT195" s="70">
        <v>0</v>
      </c>
      <c r="AU195" s="97">
        <f>AE195*AT195</f>
        <v>0</v>
      </c>
      <c r="AV195" s="70">
        <v>0</v>
      </c>
      <c r="AW195" s="97">
        <f>AF195*AV195</f>
        <v>0</v>
      </c>
      <c r="AX195" s="70">
        <v>0</v>
      </c>
      <c r="AY195" s="97">
        <f>AG195*AX195</f>
        <v>0</v>
      </c>
      <c r="AZ195" s="70">
        <v>0</v>
      </c>
      <c r="BA195" s="97">
        <f t="shared" si="36"/>
        <v>0</v>
      </c>
      <c r="BB195" s="74">
        <v>22500</v>
      </c>
      <c r="BC195" s="97">
        <f t="shared" si="31"/>
        <v>1125</v>
      </c>
      <c r="BD195" s="73">
        <v>21600</v>
      </c>
      <c r="BE195" s="97">
        <f t="shared" si="32"/>
        <v>1080</v>
      </c>
      <c r="BF195" s="73">
        <v>66100</v>
      </c>
      <c r="BG195" s="97">
        <f t="shared" si="33"/>
        <v>3305</v>
      </c>
      <c r="BH195" s="70">
        <v>10800</v>
      </c>
      <c r="BI195" s="97">
        <f t="shared" si="34"/>
        <v>540</v>
      </c>
      <c r="BJ195" s="73">
        <v>0</v>
      </c>
      <c r="BK195" s="97">
        <f t="shared" si="35"/>
        <v>0</v>
      </c>
      <c r="BL195" s="128"/>
      <c r="BM195" s="131" t="s">
        <v>466</v>
      </c>
    </row>
    <row r="196" spans="1:66" ht="15" thickBot="1">
      <c r="A196" s="93" t="s">
        <v>123</v>
      </c>
      <c r="B196" s="122" t="s">
        <v>184</v>
      </c>
      <c r="C196" s="299"/>
      <c r="D196" s="295"/>
      <c r="E196" s="295"/>
      <c r="F196" s="297"/>
      <c r="G196" s="78">
        <v>2016</v>
      </c>
      <c r="H196" s="76" t="s">
        <v>232</v>
      </c>
      <c r="I196" s="76" t="s">
        <v>196</v>
      </c>
      <c r="J196" s="77" t="s">
        <v>197</v>
      </c>
      <c r="K196" s="81" t="s">
        <v>221</v>
      </c>
      <c r="L196" s="76" t="s">
        <v>192</v>
      </c>
      <c r="M196" s="13" t="s">
        <v>193</v>
      </c>
      <c r="N196" s="75">
        <v>4.79</v>
      </c>
      <c r="O196" s="75">
        <v>4.79</v>
      </c>
      <c r="P196" s="75">
        <v>4.79</v>
      </c>
      <c r="Q196" s="75">
        <v>4.79</v>
      </c>
      <c r="R196" s="75">
        <v>4.79</v>
      </c>
      <c r="S196" s="75">
        <v>4.79</v>
      </c>
      <c r="T196" s="75">
        <v>4.79</v>
      </c>
      <c r="U196" s="75">
        <v>4.79</v>
      </c>
      <c r="V196" s="75">
        <v>4.79</v>
      </c>
      <c r="W196" s="75">
        <v>4.79</v>
      </c>
      <c r="X196" s="75">
        <v>4.79</v>
      </c>
      <c r="Y196" s="75">
        <v>4.79</v>
      </c>
      <c r="Z196" s="75">
        <v>4.79</v>
      </c>
      <c r="AA196" s="13">
        <v>0</v>
      </c>
      <c r="AB196" s="72">
        <v>0.05</v>
      </c>
      <c r="AC196" s="72">
        <v>0.05</v>
      </c>
      <c r="AD196" s="72">
        <v>0.05</v>
      </c>
      <c r="AE196" s="69">
        <v>0.05</v>
      </c>
      <c r="AF196" s="69">
        <v>0.05</v>
      </c>
      <c r="AG196" s="69">
        <v>0.05</v>
      </c>
      <c r="AH196" s="69">
        <v>0.05</v>
      </c>
      <c r="AI196" s="69">
        <v>0.05</v>
      </c>
      <c r="AJ196" s="69">
        <v>0.05</v>
      </c>
      <c r="AK196" s="69">
        <v>0.05</v>
      </c>
      <c r="AL196" s="69">
        <v>0.05</v>
      </c>
      <c r="AM196" s="69">
        <v>0.05</v>
      </c>
      <c r="AN196" s="70">
        <v>0</v>
      </c>
      <c r="AO196" s="95">
        <f>AB196*AN196</f>
        <v>0</v>
      </c>
      <c r="AP196" s="70">
        <v>0</v>
      </c>
      <c r="AQ196" s="95">
        <f>AC196*AP196</f>
        <v>0</v>
      </c>
      <c r="AR196" s="70">
        <v>0</v>
      </c>
      <c r="AS196" s="96">
        <f>AD196*AR196</f>
        <v>0</v>
      </c>
      <c r="AT196" s="70">
        <v>0</v>
      </c>
      <c r="AU196" s="97">
        <f>AE196*AT196</f>
        <v>0</v>
      </c>
      <c r="AV196" s="70">
        <v>0</v>
      </c>
      <c r="AW196" s="97">
        <f>AF196*AV196</f>
        <v>0</v>
      </c>
      <c r="AX196" s="70">
        <v>0</v>
      </c>
      <c r="AY196" s="97">
        <f>AG196*AX196</f>
        <v>0</v>
      </c>
      <c r="AZ196" s="70">
        <v>0</v>
      </c>
      <c r="BA196" s="97">
        <f t="shared" si="36"/>
        <v>0</v>
      </c>
      <c r="BB196" s="70">
        <v>8640</v>
      </c>
      <c r="BC196" s="97">
        <f t="shared" si="31"/>
        <v>432</v>
      </c>
      <c r="BD196" s="71">
        <v>0</v>
      </c>
      <c r="BE196" s="97">
        <f t="shared" si="32"/>
        <v>0</v>
      </c>
      <c r="BF196" s="73">
        <v>0</v>
      </c>
      <c r="BG196" s="97">
        <f t="shared" si="33"/>
        <v>0</v>
      </c>
      <c r="BH196" s="73">
        <v>4320</v>
      </c>
      <c r="BI196" s="97">
        <f t="shared" si="34"/>
        <v>216</v>
      </c>
      <c r="BJ196" s="70">
        <v>4320</v>
      </c>
      <c r="BK196" s="97">
        <f t="shared" si="35"/>
        <v>216</v>
      </c>
      <c r="BL196" s="128"/>
      <c r="BM196" s="131" t="s">
        <v>467</v>
      </c>
      <c r="BN196" s="1" t="s">
        <v>450</v>
      </c>
    </row>
    <row r="197" spans="1:66" ht="15" thickBot="1">
      <c r="A197" s="93" t="s">
        <v>123</v>
      </c>
      <c r="B197" s="122" t="s">
        <v>184</v>
      </c>
      <c r="C197" s="299"/>
      <c r="D197" s="295"/>
      <c r="E197" s="295"/>
      <c r="F197" s="297"/>
      <c r="G197" s="78">
        <v>2016</v>
      </c>
      <c r="H197" s="76" t="s">
        <v>232</v>
      </c>
      <c r="I197" s="76" t="s">
        <v>196</v>
      </c>
      <c r="J197" s="77" t="s">
        <v>197</v>
      </c>
      <c r="K197" s="81" t="s">
        <v>235</v>
      </c>
      <c r="L197" s="76" t="s">
        <v>192</v>
      </c>
      <c r="M197" s="13" t="s">
        <v>193</v>
      </c>
      <c r="N197" s="75">
        <v>4.87</v>
      </c>
      <c r="O197" s="75">
        <v>4.87</v>
      </c>
      <c r="P197" s="75">
        <v>4.87</v>
      </c>
      <c r="Q197" s="75">
        <v>4.87</v>
      </c>
      <c r="R197" s="75">
        <v>4.87</v>
      </c>
      <c r="S197" s="75">
        <v>4.87</v>
      </c>
      <c r="T197" s="75">
        <v>4.87</v>
      </c>
      <c r="U197" s="75">
        <v>4.87</v>
      </c>
      <c r="V197" s="75">
        <v>4.87</v>
      </c>
      <c r="W197" s="75">
        <v>4.87</v>
      </c>
      <c r="X197" s="75">
        <v>4.87</v>
      </c>
      <c r="Y197" s="75">
        <v>4.87</v>
      </c>
      <c r="Z197" s="75">
        <v>4.87</v>
      </c>
      <c r="AA197" s="13">
        <v>0</v>
      </c>
      <c r="AB197" s="72">
        <v>0.05</v>
      </c>
      <c r="AC197" s="72">
        <v>0.05</v>
      </c>
      <c r="AD197" s="72">
        <v>0.05</v>
      </c>
      <c r="AE197" s="69">
        <v>0.05</v>
      </c>
      <c r="AF197" s="69">
        <v>0.05</v>
      </c>
      <c r="AG197" s="69">
        <v>0.05</v>
      </c>
      <c r="AH197" s="69">
        <v>0.05</v>
      </c>
      <c r="AI197" s="69">
        <v>0.05</v>
      </c>
      <c r="AJ197" s="69">
        <v>0.05</v>
      </c>
      <c r="AK197" s="69">
        <v>0.05</v>
      </c>
      <c r="AL197" s="69">
        <v>0.05</v>
      </c>
      <c r="AM197" s="69">
        <v>0.05</v>
      </c>
      <c r="AN197" s="70">
        <v>0</v>
      </c>
      <c r="AO197" s="95">
        <f>AB197*AN197</f>
        <v>0</v>
      </c>
      <c r="AP197" s="70">
        <v>0</v>
      </c>
      <c r="AQ197" s="95">
        <f>AC197*AP197</f>
        <v>0</v>
      </c>
      <c r="AR197" s="70">
        <v>0</v>
      </c>
      <c r="AS197" s="96">
        <f>AD197*AR197</f>
        <v>0</v>
      </c>
      <c r="AT197" s="70">
        <v>0</v>
      </c>
      <c r="AU197" s="97">
        <f>AE197*AT197</f>
        <v>0</v>
      </c>
      <c r="AV197" s="70">
        <v>0</v>
      </c>
      <c r="AW197" s="97">
        <f>AF197*AV197</f>
        <v>0</v>
      </c>
      <c r="AX197" s="70">
        <v>0</v>
      </c>
      <c r="AY197" s="97">
        <f>AG197*AX197</f>
        <v>0</v>
      </c>
      <c r="AZ197" s="70">
        <v>0</v>
      </c>
      <c r="BA197" s="97">
        <f t="shared" si="36"/>
        <v>0</v>
      </c>
      <c r="BB197" s="74">
        <v>4320</v>
      </c>
      <c r="BC197" s="97">
        <f t="shared" si="31"/>
        <v>216</v>
      </c>
      <c r="BD197" s="70">
        <v>0</v>
      </c>
      <c r="BE197" s="97">
        <f t="shared" si="32"/>
        <v>0</v>
      </c>
      <c r="BF197" s="73">
        <v>4320</v>
      </c>
      <c r="BG197" s="97">
        <f t="shared" si="33"/>
        <v>216</v>
      </c>
      <c r="BH197" s="73">
        <v>0</v>
      </c>
      <c r="BI197" s="97">
        <f t="shared" si="34"/>
        <v>0</v>
      </c>
      <c r="BJ197" s="73">
        <v>0</v>
      </c>
      <c r="BK197" s="97">
        <f t="shared" si="35"/>
        <v>0</v>
      </c>
      <c r="BL197" s="128"/>
      <c r="BM197" s="131" t="s">
        <v>468</v>
      </c>
      <c r="BN197" s="1" t="s">
        <v>450</v>
      </c>
    </row>
    <row r="198" spans="1:66" ht="15" thickBot="1">
      <c r="A198" s="93" t="s">
        <v>123</v>
      </c>
      <c r="B198" s="122" t="s">
        <v>184</v>
      </c>
      <c r="C198" s="299"/>
      <c r="D198" s="295"/>
      <c r="E198" s="295"/>
      <c r="F198" s="297"/>
      <c r="G198" s="78">
        <v>2016</v>
      </c>
      <c r="H198" s="76" t="s">
        <v>232</v>
      </c>
      <c r="I198" s="76" t="s">
        <v>196</v>
      </c>
      <c r="J198" s="77" t="s">
        <v>197</v>
      </c>
      <c r="K198" s="81" t="s">
        <v>247</v>
      </c>
      <c r="L198" s="76" t="s">
        <v>192</v>
      </c>
      <c r="M198" s="13" t="s">
        <v>193</v>
      </c>
      <c r="N198" s="75">
        <v>5.17</v>
      </c>
      <c r="O198" s="75">
        <v>5.17</v>
      </c>
      <c r="P198" s="75">
        <v>5.17</v>
      </c>
      <c r="Q198" s="75">
        <v>5.17</v>
      </c>
      <c r="R198" s="75">
        <v>5.17</v>
      </c>
      <c r="S198" s="75">
        <v>5.17</v>
      </c>
      <c r="T198" s="75">
        <v>5.17</v>
      </c>
      <c r="U198" s="75">
        <v>5.17</v>
      </c>
      <c r="V198" s="75">
        <v>5.17</v>
      </c>
      <c r="W198" s="75">
        <v>5.17</v>
      </c>
      <c r="X198" s="75">
        <v>5.17</v>
      </c>
      <c r="Y198" s="75">
        <v>5.17</v>
      </c>
      <c r="Z198" s="75">
        <v>5.17</v>
      </c>
      <c r="AA198" s="13">
        <v>0</v>
      </c>
      <c r="AB198" s="72">
        <v>0.05</v>
      </c>
      <c r="AC198" s="72">
        <v>0.05</v>
      </c>
      <c r="AD198" s="72">
        <v>0.05</v>
      </c>
      <c r="AE198" s="69">
        <v>0.05</v>
      </c>
      <c r="AF198" s="69">
        <v>0.05</v>
      </c>
      <c r="AG198" s="69">
        <v>0.05</v>
      </c>
      <c r="AH198" s="69">
        <v>0.05</v>
      </c>
      <c r="AI198" s="69">
        <v>0.05</v>
      </c>
      <c r="AJ198" s="69">
        <v>0.05</v>
      </c>
      <c r="AK198" s="69">
        <v>0.05</v>
      </c>
      <c r="AL198" s="69">
        <v>0.05</v>
      </c>
      <c r="AM198" s="69">
        <v>0.05</v>
      </c>
      <c r="AN198" s="70">
        <v>0</v>
      </c>
      <c r="AO198" s="95">
        <f t="shared" ref="AO198:AO220" si="37">AB198*AN198</f>
        <v>0</v>
      </c>
      <c r="AP198" s="70">
        <v>0</v>
      </c>
      <c r="AQ198" s="95">
        <f t="shared" ref="AQ198:AQ220" si="38">AC198*AP198</f>
        <v>0</v>
      </c>
      <c r="AR198" s="70">
        <v>0</v>
      </c>
      <c r="AS198" s="96">
        <f t="shared" ref="AS198:AS220" si="39">AD198*AR198</f>
        <v>0</v>
      </c>
      <c r="AT198" s="70">
        <v>0</v>
      </c>
      <c r="AU198" s="97">
        <f t="shared" ref="AU198:AU220" si="40">AE198*AT198</f>
        <v>0</v>
      </c>
      <c r="AV198" s="70">
        <v>0</v>
      </c>
      <c r="AW198" s="97">
        <f t="shared" ref="AW198:AW220" si="41">AF198*AV198</f>
        <v>0</v>
      </c>
      <c r="AX198" s="70">
        <v>0</v>
      </c>
      <c r="AY198" s="97">
        <f t="shared" ref="AY198:AY220" si="42">AG198*AX198</f>
        <v>0</v>
      </c>
      <c r="AZ198" s="70">
        <v>0</v>
      </c>
      <c r="BA198" s="97">
        <f t="shared" si="36"/>
        <v>0</v>
      </c>
      <c r="BB198" s="70">
        <v>4320</v>
      </c>
      <c r="BC198" s="97">
        <f t="shared" si="31"/>
        <v>216</v>
      </c>
      <c r="BD198" s="74">
        <v>0</v>
      </c>
      <c r="BE198" s="97">
        <f t="shared" ref="BE198:BE220" si="43">AJ198*BD198</f>
        <v>0</v>
      </c>
      <c r="BF198" s="70">
        <v>0</v>
      </c>
      <c r="BG198" s="97">
        <f t="shared" ref="BG198:BG220" si="44">AK198*BF198</f>
        <v>0</v>
      </c>
      <c r="BH198" s="70">
        <v>0</v>
      </c>
      <c r="BI198" s="97">
        <f t="shared" ref="BI198:BI220" si="45">AL198*BH198</f>
        <v>0</v>
      </c>
      <c r="BJ198" s="73">
        <v>0</v>
      </c>
      <c r="BK198" s="97">
        <f t="shared" ref="BK198:BK220" si="46">AM198*BJ198</f>
        <v>0</v>
      </c>
      <c r="BL198" s="128"/>
      <c r="BM198" s="131" t="s">
        <v>469</v>
      </c>
      <c r="BN198" s="1" t="s">
        <v>450</v>
      </c>
    </row>
    <row r="199" spans="1:66" ht="15" thickBot="1">
      <c r="A199" s="93" t="s">
        <v>123</v>
      </c>
      <c r="B199" s="122" t="s">
        <v>184</v>
      </c>
      <c r="C199" s="299"/>
      <c r="D199" s="295"/>
      <c r="E199" s="295"/>
      <c r="F199" s="297"/>
      <c r="G199" s="78">
        <v>2016</v>
      </c>
      <c r="H199" s="76" t="s">
        <v>232</v>
      </c>
      <c r="I199" s="76" t="s">
        <v>196</v>
      </c>
      <c r="J199" s="77" t="s">
        <v>197</v>
      </c>
      <c r="K199" s="81" t="s">
        <v>251</v>
      </c>
      <c r="L199" s="76" t="s">
        <v>192</v>
      </c>
      <c r="M199" s="13" t="s">
        <v>193</v>
      </c>
      <c r="N199" s="75">
        <v>5.17</v>
      </c>
      <c r="O199" s="75">
        <v>5.17</v>
      </c>
      <c r="P199" s="75">
        <v>5.17</v>
      </c>
      <c r="Q199" s="75">
        <v>5.17</v>
      </c>
      <c r="R199" s="75">
        <v>5.17</v>
      </c>
      <c r="S199" s="75">
        <v>5.17</v>
      </c>
      <c r="T199" s="75">
        <v>5.17</v>
      </c>
      <c r="U199" s="75">
        <v>5.17</v>
      </c>
      <c r="V199" s="75">
        <v>5.17</v>
      </c>
      <c r="W199" s="75">
        <v>5.17</v>
      </c>
      <c r="X199" s="75">
        <v>5.17</v>
      </c>
      <c r="Y199" s="75">
        <v>5.17</v>
      </c>
      <c r="Z199" s="75">
        <v>5.17</v>
      </c>
      <c r="AA199" s="13">
        <v>0</v>
      </c>
      <c r="AB199" s="72">
        <v>0.05</v>
      </c>
      <c r="AC199" s="72">
        <v>0.05</v>
      </c>
      <c r="AD199" s="72">
        <v>0.05</v>
      </c>
      <c r="AE199" s="69">
        <v>0.05</v>
      </c>
      <c r="AF199" s="69">
        <v>0.05</v>
      </c>
      <c r="AG199" s="69">
        <v>0.05</v>
      </c>
      <c r="AH199" s="69">
        <v>0.05</v>
      </c>
      <c r="AI199" s="69">
        <v>0.05</v>
      </c>
      <c r="AJ199" s="69">
        <v>0.05</v>
      </c>
      <c r="AK199" s="69">
        <v>0.05</v>
      </c>
      <c r="AL199" s="69">
        <v>0.05</v>
      </c>
      <c r="AM199" s="69">
        <v>0.05</v>
      </c>
      <c r="AN199" s="70">
        <v>0</v>
      </c>
      <c r="AO199" s="95">
        <f t="shared" si="37"/>
        <v>0</v>
      </c>
      <c r="AP199" s="70">
        <v>0</v>
      </c>
      <c r="AQ199" s="95">
        <f t="shared" si="38"/>
        <v>0</v>
      </c>
      <c r="AR199" s="70">
        <v>0</v>
      </c>
      <c r="AS199" s="96">
        <f t="shared" si="39"/>
        <v>0</v>
      </c>
      <c r="AT199" s="70">
        <v>0</v>
      </c>
      <c r="AU199" s="97">
        <f t="shared" si="40"/>
        <v>0</v>
      </c>
      <c r="AV199" s="70">
        <v>0</v>
      </c>
      <c r="AW199" s="97">
        <f t="shared" si="41"/>
        <v>0</v>
      </c>
      <c r="AX199" s="70">
        <v>0</v>
      </c>
      <c r="AY199" s="97">
        <f t="shared" si="42"/>
        <v>0</v>
      </c>
      <c r="AZ199" s="70">
        <v>0</v>
      </c>
      <c r="BA199" s="97">
        <f t="shared" si="36"/>
        <v>0</v>
      </c>
      <c r="BB199" s="70">
        <v>8640</v>
      </c>
      <c r="BC199" s="97">
        <f t="shared" ref="BC199:BC220" si="47">AI199*BB199</f>
        <v>432</v>
      </c>
      <c r="BD199" s="74">
        <v>0</v>
      </c>
      <c r="BE199" s="97">
        <f t="shared" si="43"/>
        <v>0</v>
      </c>
      <c r="BF199" s="73">
        <v>0</v>
      </c>
      <c r="BG199" s="97">
        <f t="shared" si="44"/>
        <v>0</v>
      </c>
      <c r="BH199" s="73">
        <v>0</v>
      </c>
      <c r="BI199" s="97">
        <f t="shared" si="45"/>
        <v>0</v>
      </c>
      <c r="BJ199" s="70">
        <v>0</v>
      </c>
      <c r="BK199" s="97">
        <f t="shared" si="46"/>
        <v>0</v>
      </c>
      <c r="BL199" s="128"/>
      <c r="BM199" s="131" t="s">
        <v>470</v>
      </c>
      <c r="BN199" s="1" t="s">
        <v>450</v>
      </c>
    </row>
    <row r="200" spans="1:66" ht="15" thickBot="1">
      <c r="A200" s="93" t="s">
        <v>123</v>
      </c>
      <c r="B200" s="122" t="s">
        <v>199</v>
      </c>
      <c r="C200" s="299"/>
      <c r="D200" s="295"/>
      <c r="E200" s="295"/>
      <c r="F200" s="297"/>
      <c r="G200" s="78">
        <v>2020</v>
      </c>
      <c r="H200" s="76" t="s">
        <v>258</v>
      </c>
      <c r="I200" s="76" t="s">
        <v>201</v>
      </c>
      <c r="J200" s="77" t="s">
        <v>197</v>
      </c>
      <c r="K200" s="81" t="s">
        <v>221</v>
      </c>
      <c r="L200" s="76" t="s">
        <v>192</v>
      </c>
      <c r="M200" s="13" t="s">
        <v>193</v>
      </c>
      <c r="N200" s="75">
        <v>7.92</v>
      </c>
      <c r="O200" s="75">
        <v>7.92</v>
      </c>
      <c r="P200" s="75">
        <v>7.92</v>
      </c>
      <c r="Q200" s="75">
        <v>7.92</v>
      </c>
      <c r="R200" s="75">
        <v>7.92</v>
      </c>
      <c r="S200" s="75">
        <v>7.92</v>
      </c>
      <c r="T200" s="75">
        <v>7.92</v>
      </c>
      <c r="U200" s="75">
        <v>7.92</v>
      </c>
      <c r="V200" s="75">
        <v>7.92</v>
      </c>
      <c r="W200" s="75">
        <v>7.92</v>
      </c>
      <c r="X200" s="75">
        <v>7.92</v>
      </c>
      <c r="Y200" s="75">
        <v>7.92</v>
      </c>
      <c r="Z200" s="75">
        <v>7.92</v>
      </c>
      <c r="AA200" s="13">
        <v>0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69">
        <v>0</v>
      </c>
      <c r="AI200" s="69">
        <v>0</v>
      </c>
      <c r="AJ200" s="69">
        <v>0</v>
      </c>
      <c r="AK200" s="72">
        <v>0</v>
      </c>
      <c r="AL200" s="72">
        <v>0</v>
      </c>
      <c r="AM200" s="72">
        <v>0</v>
      </c>
      <c r="AN200" s="70">
        <v>0</v>
      </c>
      <c r="AO200" s="95">
        <f t="shared" si="37"/>
        <v>0</v>
      </c>
      <c r="AP200" s="70">
        <v>0</v>
      </c>
      <c r="AQ200" s="95">
        <f t="shared" si="38"/>
        <v>0</v>
      </c>
      <c r="AR200" s="70">
        <v>0</v>
      </c>
      <c r="AS200" s="96">
        <f t="shared" si="39"/>
        <v>0</v>
      </c>
      <c r="AT200" s="70">
        <v>0</v>
      </c>
      <c r="AU200" s="97">
        <f t="shared" si="40"/>
        <v>0</v>
      </c>
      <c r="AV200" s="70">
        <v>0</v>
      </c>
      <c r="AW200" s="97">
        <f t="shared" si="41"/>
        <v>0</v>
      </c>
      <c r="AX200" s="70">
        <v>0</v>
      </c>
      <c r="AY200" s="97">
        <f t="shared" si="42"/>
        <v>0</v>
      </c>
      <c r="AZ200" s="70">
        <v>0</v>
      </c>
      <c r="BA200" s="97">
        <f t="shared" si="36"/>
        <v>0</v>
      </c>
      <c r="BB200" s="70">
        <v>10000</v>
      </c>
      <c r="BC200" s="97">
        <f t="shared" si="47"/>
        <v>0</v>
      </c>
      <c r="BD200" s="70">
        <v>0</v>
      </c>
      <c r="BE200" s="97">
        <f t="shared" si="43"/>
        <v>0</v>
      </c>
      <c r="BF200" s="73">
        <v>0</v>
      </c>
      <c r="BG200" s="97">
        <f t="shared" si="44"/>
        <v>0</v>
      </c>
      <c r="BH200" s="70">
        <v>0</v>
      </c>
      <c r="BI200" s="97">
        <f t="shared" si="45"/>
        <v>0</v>
      </c>
      <c r="BJ200" s="73">
        <v>0</v>
      </c>
      <c r="BK200" s="97">
        <f t="shared" si="46"/>
        <v>0</v>
      </c>
      <c r="BL200" s="128"/>
      <c r="BM200" s="131" t="s">
        <v>444</v>
      </c>
    </row>
    <row r="201" spans="1:66" ht="15" thickBot="1">
      <c r="A201" s="93" t="s">
        <v>123</v>
      </c>
      <c r="B201" s="122" t="s">
        <v>184</v>
      </c>
      <c r="C201" s="299"/>
      <c r="D201" s="295"/>
      <c r="E201" s="295"/>
      <c r="F201" s="297"/>
      <c r="G201" s="78">
        <v>2018</v>
      </c>
      <c r="H201" s="76" t="s">
        <v>195</v>
      </c>
      <c r="I201" s="76" t="s">
        <v>196</v>
      </c>
      <c r="J201" s="77" t="s">
        <v>197</v>
      </c>
      <c r="K201" s="81" t="s">
        <v>191</v>
      </c>
      <c r="L201" s="76" t="s">
        <v>192</v>
      </c>
      <c r="M201" s="13" t="s">
        <v>193</v>
      </c>
      <c r="N201" s="75">
        <v>2.04</v>
      </c>
      <c r="O201" s="75">
        <v>2.04</v>
      </c>
      <c r="P201" s="75">
        <v>2.04</v>
      </c>
      <c r="Q201" s="75">
        <v>2.04</v>
      </c>
      <c r="R201" s="75">
        <v>2.04</v>
      </c>
      <c r="S201" s="75">
        <v>2.04</v>
      </c>
      <c r="T201" s="75">
        <v>2.04</v>
      </c>
      <c r="U201" s="75">
        <v>2.04</v>
      </c>
      <c r="V201" s="75">
        <v>2.04</v>
      </c>
      <c r="W201" s="75">
        <v>2.04</v>
      </c>
      <c r="X201" s="75">
        <v>2.04</v>
      </c>
      <c r="Y201" s="75">
        <v>2.04</v>
      </c>
      <c r="Z201" s="75">
        <v>2.04</v>
      </c>
      <c r="AA201" s="13">
        <v>0</v>
      </c>
      <c r="AB201" s="72">
        <v>0</v>
      </c>
      <c r="AC201" s="72">
        <v>0</v>
      </c>
      <c r="AD201" s="72">
        <v>0</v>
      </c>
      <c r="AE201" s="69">
        <v>0</v>
      </c>
      <c r="AF201" s="69">
        <v>0</v>
      </c>
      <c r="AG201" s="69">
        <v>0</v>
      </c>
      <c r="AH201" s="69">
        <v>0</v>
      </c>
      <c r="AI201" s="69">
        <v>0</v>
      </c>
      <c r="AJ201" s="69">
        <v>0</v>
      </c>
      <c r="AK201" s="69">
        <v>0</v>
      </c>
      <c r="AL201" s="69">
        <v>0</v>
      </c>
      <c r="AM201" s="69">
        <v>0</v>
      </c>
      <c r="AN201" s="70">
        <v>0</v>
      </c>
      <c r="AO201" s="95">
        <f t="shared" si="37"/>
        <v>0</v>
      </c>
      <c r="AP201" s="70">
        <v>0</v>
      </c>
      <c r="AQ201" s="95">
        <f t="shared" si="38"/>
        <v>0</v>
      </c>
      <c r="AR201" s="70">
        <v>0</v>
      </c>
      <c r="AS201" s="96">
        <f t="shared" si="39"/>
        <v>0</v>
      </c>
      <c r="AT201" s="70">
        <v>0</v>
      </c>
      <c r="AU201" s="97">
        <f t="shared" si="40"/>
        <v>0</v>
      </c>
      <c r="AV201" s="70">
        <v>0</v>
      </c>
      <c r="AW201" s="97">
        <f t="shared" si="41"/>
        <v>0</v>
      </c>
      <c r="AX201" s="70">
        <v>0</v>
      </c>
      <c r="AY201" s="97">
        <f t="shared" si="42"/>
        <v>0</v>
      </c>
      <c r="AZ201" s="70">
        <v>0</v>
      </c>
      <c r="BA201" s="97">
        <f t="shared" si="36"/>
        <v>0</v>
      </c>
      <c r="BB201" s="70">
        <v>0</v>
      </c>
      <c r="BC201" s="97">
        <f t="shared" si="47"/>
        <v>0</v>
      </c>
      <c r="BD201" s="73">
        <v>0</v>
      </c>
      <c r="BE201" s="97">
        <f t="shared" si="43"/>
        <v>0</v>
      </c>
      <c r="BF201" s="73">
        <v>0</v>
      </c>
      <c r="BG201" s="97">
        <f t="shared" si="44"/>
        <v>0</v>
      </c>
      <c r="BH201" s="73">
        <v>0</v>
      </c>
      <c r="BI201" s="97">
        <f t="shared" si="45"/>
        <v>0</v>
      </c>
      <c r="BJ201" s="73">
        <v>0</v>
      </c>
      <c r="BK201" s="97">
        <f t="shared" si="46"/>
        <v>0</v>
      </c>
      <c r="BL201" s="128"/>
      <c r="BM201" s="131" t="s">
        <v>471</v>
      </c>
    </row>
    <row r="202" spans="1:66" ht="15" thickBot="1">
      <c r="A202" s="93" t="s">
        <v>123</v>
      </c>
      <c r="B202" s="122" t="s">
        <v>199</v>
      </c>
      <c r="C202" s="299"/>
      <c r="D202" s="295"/>
      <c r="E202" s="295"/>
      <c r="F202" s="297"/>
      <c r="G202" s="78">
        <v>2020</v>
      </c>
      <c r="H202" s="76" t="s">
        <v>225</v>
      </c>
      <c r="I202" s="76" t="s">
        <v>201</v>
      </c>
      <c r="J202" s="77" t="s">
        <v>197</v>
      </c>
      <c r="K202" s="81" t="s">
        <v>221</v>
      </c>
      <c r="L202" s="76" t="s">
        <v>192</v>
      </c>
      <c r="M202" s="13" t="s">
        <v>193</v>
      </c>
      <c r="N202" s="75">
        <v>5.05</v>
      </c>
      <c r="O202" s="75">
        <v>5.05</v>
      </c>
      <c r="P202" s="75">
        <v>5.05</v>
      </c>
      <c r="Q202" s="75">
        <v>5.05</v>
      </c>
      <c r="R202" s="75">
        <v>5.05</v>
      </c>
      <c r="S202" s="75">
        <v>5.05</v>
      </c>
      <c r="T202" s="75">
        <v>5.05</v>
      </c>
      <c r="U202" s="75">
        <v>5.05</v>
      </c>
      <c r="V202" s="75">
        <v>5.05</v>
      </c>
      <c r="W202" s="75">
        <v>5.05</v>
      </c>
      <c r="X202" s="75">
        <v>5.05</v>
      </c>
      <c r="Y202" s="75">
        <v>5.05</v>
      </c>
      <c r="Z202" s="75">
        <v>5.05</v>
      </c>
      <c r="AA202" s="13">
        <v>0</v>
      </c>
      <c r="AB202" s="72">
        <v>0</v>
      </c>
      <c r="AC202" s="72">
        <v>0</v>
      </c>
      <c r="AD202" s="72">
        <v>0</v>
      </c>
      <c r="AE202" s="69">
        <v>0</v>
      </c>
      <c r="AF202" s="69">
        <v>0</v>
      </c>
      <c r="AG202" s="69">
        <v>0</v>
      </c>
      <c r="AH202" s="69">
        <v>0</v>
      </c>
      <c r="AI202" s="69">
        <v>0</v>
      </c>
      <c r="AJ202" s="69">
        <v>0</v>
      </c>
      <c r="AK202" s="69">
        <v>0</v>
      </c>
      <c r="AL202" s="69">
        <v>0</v>
      </c>
      <c r="AM202" s="69">
        <v>0</v>
      </c>
      <c r="AN202" s="70">
        <v>0</v>
      </c>
      <c r="AO202" s="95">
        <f>AB202*AN202</f>
        <v>0</v>
      </c>
      <c r="AP202" s="70">
        <v>0</v>
      </c>
      <c r="AQ202" s="95">
        <f>AC202*AP202</f>
        <v>0</v>
      </c>
      <c r="AR202" s="70">
        <v>0</v>
      </c>
      <c r="AS202" s="96">
        <f>AD202*AR202</f>
        <v>0</v>
      </c>
      <c r="AT202" s="70">
        <v>0</v>
      </c>
      <c r="AU202" s="97">
        <f>AE202*AT202</f>
        <v>0</v>
      </c>
      <c r="AV202" s="70">
        <v>0</v>
      </c>
      <c r="AW202" s="97">
        <f>AF202*AV202</f>
        <v>0</v>
      </c>
      <c r="AX202" s="70">
        <v>0</v>
      </c>
      <c r="AY202" s="97">
        <f>AG202*AX202</f>
        <v>0</v>
      </c>
      <c r="AZ202" s="70">
        <v>0</v>
      </c>
      <c r="BA202" s="97">
        <f>AH202*AZ202</f>
        <v>0</v>
      </c>
      <c r="BB202" s="70">
        <v>0</v>
      </c>
      <c r="BC202" s="97">
        <f t="shared" si="47"/>
        <v>0</v>
      </c>
      <c r="BD202" s="73">
        <v>0</v>
      </c>
      <c r="BE202" s="97">
        <f t="shared" si="43"/>
        <v>0</v>
      </c>
      <c r="BF202" s="70">
        <v>5200</v>
      </c>
      <c r="BG202" s="97">
        <f t="shared" si="44"/>
        <v>0</v>
      </c>
      <c r="BH202" s="73">
        <v>0</v>
      </c>
      <c r="BI202" s="97">
        <f t="shared" si="45"/>
        <v>0</v>
      </c>
      <c r="BJ202" s="70">
        <v>0</v>
      </c>
      <c r="BK202" s="97">
        <f t="shared" si="46"/>
        <v>0</v>
      </c>
      <c r="BL202" s="128"/>
      <c r="BM202" s="131" t="s">
        <v>472</v>
      </c>
    </row>
    <row r="203" spans="1:66" ht="15" thickBot="1">
      <c r="A203" s="93" t="s">
        <v>123</v>
      </c>
      <c r="B203" s="122" t="s">
        <v>199</v>
      </c>
      <c r="C203" s="299"/>
      <c r="D203" s="295"/>
      <c r="E203" s="295"/>
      <c r="F203" s="297"/>
      <c r="G203" s="78">
        <v>2023</v>
      </c>
      <c r="H203" s="76" t="s">
        <v>445</v>
      </c>
      <c r="I203" s="76" t="s">
        <v>212</v>
      </c>
      <c r="J203" s="77" t="s">
        <v>197</v>
      </c>
      <c r="K203" s="81" t="s">
        <v>221</v>
      </c>
      <c r="L203" s="76" t="s">
        <v>192</v>
      </c>
      <c r="M203" s="13" t="s">
        <v>193</v>
      </c>
      <c r="N203" s="75">
        <v>6.35</v>
      </c>
      <c r="O203" s="75">
        <v>6.35</v>
      </c>
      <c r="P203" s="75">
        <v>6.35</v>
      </c>
      <c r="Q203" s="75">
        <v>6.35</v>
      </c>
      <c r="R203" s="75">
        <v>6.35</v>
      </c>
      <c r="S203" s="75">
        <v>6.35</v>
      </c>
      <c r="T203" s="75">
        <v>6.35</v>
      </c>
      <c r="U203" s="75">
        <v>6.35</v>
      </c>
      <c r="V203" s="75">
        <v>6.35</v>
      </c>
      <c r="W203" s="75">
        <v>6.35</v>
      </c>
      <c r="X203" s="75">
        <v>6.35</v>
      </c>
      <c r="Y203" s="75">
        <v>6.35</v>
      </c>
      <c r="Z203" s="75">
        <v>6.35</v>
      </c>
      <c r="AA203" s="13">
        <v>0</v>
      </c>
      <c r="AB203" s="72">
        <v>0</v>
      </c>
      <c r="AC203" s="72">
        <v>0</v>
      </c>
      <c r="AD203" s="72">
        <v>0</v>
      </c>
      <c r="AE203" s="72">
        <v>0</v>
      </c>
      <c r="AF203" s="72">
        <v>0</v>
      </c>
      <c r="AG203" s="72">
        <v>0</v>
      </c>
      <c r="AH203" s="72">
        <v>0</v>
      </c>
      <c r="AI203" s="72">
        <v>0</v>
      </c>
      <c r="AJ203" s="72">
        <v>0</v>
      </c>
      <c r="AK203" s="72">
        <v>0</v>
      </c>
      <c r="AL203" s="72">
        <v>0</v>
      </c>
      <c r="AM203" s="72">
        <v>0</v>
      </c>
      <c r="AN203" s="70">
        <v>0</v>
      </c>
      <c r="AO203" s="95">
        <f>AB203*AN203</f>
        <v>0</v>
      </c>
      <c r="AP203" s="70">
        <v>0</v>
      </c>
      <c r="AQ203" s="95">
        <f>AC203*AP203</f>
        <v>0</v>
      </c>
      <c r="AR203" s="70">
        <v>0</v>
      </c>
      <c r="AS203" s="96">
        <f>AD203*AR203</f>
        <v>0</v>
      </c>
      <c r="AT203" s="70">
        <v>0</v>
      </c>
      <c r="AU203" s="97">
        <f t="shared" si="40"/>
        <v>0</v>
      </c>
      <c r="AV203" s="70">
        <v>0</v>
      </c>
      <c r="AW203" s="97">
        <f t="shared" si="41"/>
        <v>0</v>
      </c>
      <c r="AX203" s="70">
        <v>0</v>
      </c>
      <c r="AY203" s="97">
        <f t="shared" si="42"/>
        <v>0</v>
      </c>
      <c r="AZ203" s="70">
        <v>0</v>
      </c>
      <c r="BA203" s="97">
        <f t="shared" si="36"/>
        <v>0</v>
      </c>
      <c r="BB203" s="70">
        <v>0</v>
      </c>
      <c r="BC203" s="97">
        <f t="shared" si="47"/>
        <v>0</v>
      </c>
      <c r="BD203" s="71">
        <v>0</v>
      </c>
      <c r="BE203" s="97">
        <f t="shared" si="43"/>
        <v>0</v>
      </c>
      <c r="BF203" s="73">
        <v>5400</v>
      </c>
      <c r="BG203" s="97">
        <f t="shared" si="44"/>
        <v>0</v>
      </c>
      <c r="BH203" s="70">
        <v>0</v>
      </c>
      <c r="BI203" s="97">
        <f t="shared" si="45"/>
        <v>0</v>
      </c>
      <c r="BJ203" s="73">
        <v>0</v>
      </c>
      <c r="BK203" s="97">
        <f t="shared" si="46"/>
        <v>0</v>
      </c>
      <c r="BL203" s="128"/>
      <c r="BM203" s="131" t="s">
        <v>473</v>
      </c>
    </row>
    <row r="204" spans="1:66" ht="15" thickBot="1">
      <c r="A204" s="93" t="s">
        <v>123</v>
      </c>
      <c r="B204" s="122" t="s">
        <v>199</v>
      </c>
      <c r="C204" s="299"/>
      <c r="D204" s="295"/>
      <c r="E204" s="295"/>
      <c r="F204" s="297"/>
      <c r="G204" s="78">
        <v>2023</v>
      </c>
      <c r="H204" s="76" t="s">
        <v>445</v>
      </c>
      <c r="I204" s="76" t="s">
        <v>212</v>
      </c>
      <c r="J204" s="77" t="s">
        <v>197</v>
      </c>
      <c r="K204" s="81" t="s">
        <v>221</v>
      </c>
      <c r="L204" s="76" t="s">
        <v>192</v>
      </c>
      <c r="M204" s="13" t="s">
        <v>193</v>
      </c>
      <c r="N204" s="75">
        <v>6.35</v>
      </c>
      <c r="O204" s="75">
        <v>6.35</v>
      </c>
      <c r="P204" s="75">
        <v>6.35</v>
      </c>
      <c r="Q204" s="75">
        <v>6.35</v>
      </c>
      <c r="R204" s="75">
        <v>6.35</v>
      </c>
      <c r="S204" s="75">
        <v>6.35</v>
      </c>
      <c r="T204" s="75">
        <v>6.35</v>
      </c>
      <c r="U204" s="75">
        <v>6.35</v>
      </c>
      <c r="V204" s="75">
        <v>6.35</v>
      </c>
      <c r="W204" s="75">
        <v>6.35</v>
      </c>
      <c r="X204" s="75">
        <v>6.35</v>
      </c>
      <c r="Y204" s="75">
        <v>6.35</v>
      </c>
      <c r="Z204" s="75">
        <v>6.35</v>
      </c>
      <c r="AA204" s="13">
        <v>0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>
        <v>0</v>
      </c>
      <c r="AJ204" s="72">
        <v>0</v>
      </c>
      <c r="AK204" s="72">
        <v>0</v>
      </c>
      <c r="AL204" s="72">
        <v>0</v>
      </c>
      <c r="AM204" s="72">
        <v>0</v>
      </c>
      <c r="AN204" s="70">
        <v>0</v>
      </c>
      <c r="AO204" s="95">
        <f>AB204*AN204</f>
        <v>0</v>
      </c>
      <c r="AP204" s="70">
        <v>0</v>
      </c>
      <c r="AQ204" s="95">
        <f>AC204*AP204</f>
        <v>0</v>
      </c>
      <c r="AR204" s="70">
        <v>0</v>
      </c>
      <c r="AS204" s="96">
        <f>AD204*AR204</f>
        <v>0</v>
      </c>
      <c r="AT204" s="70">
        <v>0</v>
      </c>
      <c r="AU204" s="97">
        <f t="shared" si="40"/>
        <v>0</v>
      </c>
      <c r="AV204" s="70">
        <v>0</v>
      </c>
      <c r="AW204" s="97">
        <f t="shared" si="41"/>
        <v>0</v>
      </c>
      <c r="AX204" s="70">
        <v>0</v>
      </c>
      <c r="AY204" s="97">
        <f t="shared" si="42"/>
        <v>0</v>
      </c>
      <c r="AZ204" s="70">
        <v>0</v>
      </c>
      <c r="BA204" s="97">
        <f t="shared" si="36"/>
        <v>0</v>
      </c>
      <c r="BB204" s="70">
        <v>0</v>
      </c>
      <c r="BC204" s="97">
        <f t="shared" si="47"/>
        <v>0</v>
      </c>
      <c r="BD204" s="73">
        <v>0</v>
      </c>
      <c r="BE204" s="97">
        <f t="shared" si="43"/>
        <v>0</v>
      </c>
      <c r="BF204" s="73">
        <v>5400</v>
      </c>
      <c r="BG204" s="97">
        <f t="shared" si="44"/>
        <v>0</v>
      </c>
      <c r="BH204" s="73">
        <v>0</v>
      </c>
      <c r="BI204" s="97">
        <f t="shared" si="45"/>
        <v>0</v>
      </c>
      <c r="BJ204" s="73">
        <v>0</v>
      </c>
      <c r="BK204" s="97">
        <f t="shared" si="46"/>
        <v>0</v>
      </c>
      <c r="BL204" s="128"/>
      <c r="BM204" s="131" t="s">
        <v>474</v>
      </c>
    </row>
    <row r="205" spans="1:66" ht="15" thickBot="1">
      <c r="A205" s="93" t="s">
        <v>123</v>
      </c>
      <c r="B205" s="122" t="s">
        <v>199</v>
      </c>
      <c r="C205" s="299"/>
      <c r="D205" s="295"/>
      <c r="E205" s="295"/>
      <c r="F205" s="297"/>
      <c r="G205" s="78">
        <v>2020</v>
      </c>
      <c r="H205" s="76" t="s">
        <v>258</v>
      </c>
      <c r="I205" s="76" t="s">
        <v>201</v>
      </c>
      <c r="J205" s="77" t="s">
        <v>197</v>
      </c>
      <c r="K205" s="81" t="s">
        <v>221</v>
      </c>
      <c r="L205" s="76" t="s">
        <v>192</v>
      </c>
      <c r="M205" s="13" t="s">
        <v>193</v>
      </c>
      <c r="N205" s="75">
        <v>7.92</v>
      </c>
      <c r="O205" s="75">
        <v>7.92</v>
      </c>
      <c r="P205" s="75">
        <v>7.92</v>
      </c>
      <c r="Q205" s="75">
        <v>7.92</v>
      </c>
      <c r="R205" s="75">
        <v>7.92</v>
      </c>
      <c r="S205" s="75">
        <v>7.92</v>
      </c>
      <c r="T205" s="75">
        <v>7.92</v>
      </c>
      <c r="U205" s="75">
        <v>7.92</v>
      </c>
      <c r="V205" s="75">
        <v>7.92</v>
      </c>
      <c r="W205" s="75">
        <v>7.92</v>
      </c>
      <c r="X205" s="75">
        <v>7.92</v>
      </c>
      <c r="Y205" s="75">
        <v>7.92</v>
      </c>
      <c r="Z205" s="75">
        <v>7.92</v>
      </c>
      <c r="AA205" s="13">
        <v>0</v>
      </c>
      <c r="AB205" s="72">
        <v>0</v>
      </c>
      <c r="AC205" s="72">
        <v>0</v>
      </c>
      <c r="AD205" s="72">
        <v>0</v>
      </c>
      <c r="AE205" s="72">
        <v>0</v>
      </c>
      <c r="AF205" s="72">
        <v>0</v>
      </c>
      <c r="AG205" s="72">
        <v>0</v>
      </c>
      <c r="AH205" s="69">
        <v>0</v>
      </c>
      <c r="AI205" s="69">
        <v>0</v>
      </c>
      <c r="AJ205" s="69">
        <v>0</v>
      </c>
      <c r="AK205" s="72">
        <v>0</v>
      </c>
      <c r="AL205" s="72">
        <v>0</v>
      </c>
      <c r="AM205" s="72">
        <v>0</v>
      </c>
      <c r="AN205" s="70">
        <v>0</v>
      </c>
      <c r="AO205" s="95">
        <f>AB205*AN205</f>
        <v>0</v>
      </c>
      <c r="AP205" s="70">
        <v>0</v>
      </c>
      <c r="AQ205" s="95">
        <f>AC205*AP205</f>
        <v>0</v>
      </c>
      <c r="AR205" s="70">
        <v>0</v>
      </c>
      <c r="AS205" s="96">
        <f>AD205*AR205</f>
        <v>0</v>
      </c>
      <c r="AT205" s="70">
        <v>0</v>
      </c>
      <c r="AU205" s="97">
        <f t="shared" si="40"/>
        <v>0</v>
      </c>
      <c r="AV205" s="70">
        <v>0</v>
      </c>
      <c r="AW205" s="97">
        <f t="shared" si="41"/>
        <v>0</v>
      </c>
      <c r="AX205" s="70">
        <v>0</v>
      </c>
      <c r="AY205" s="97">
        <f t="shared" si="42"/>
        <v>0</v>
      </c>
      <c r="AZ205" s="70">
        <v>0</v>
      </c>
      <c r="BA205" s="97">
        <f t="shared" si="36"/>
        <v>0</v>
      </c>
      <c r="BB205" s="70">
        <v>0</v>
      </c>
      <c r="BC205" s="97">
        <f t="shared" si="47"/>
        <v>0</v>
      </c>
      <c r="BD205" s="73">
        <v>0</v>
      </c>
      <c r="BE205" s="97">
        <f t="shared" si="43"/>
        <v>0</v>
      </c>
      <c r="BF205" s="73">
        <v>0</v>
      </c>
      <c r="BG205" s="97">
        <f t="shared" si="44"/>
        <v>0</v>
      </c>
      <c r="BH205" s="73">
        <v>0</v>
      </c>
      <c r="BI205" s="97">
        <f t="shared" si="45"/>
        <v>0</v>
      </c>
      <c r="BJ205" s="70">
        <v>5280</v>
      </c>
      <c r="BK205" s="97">
        <f t="shared" si="46"/>
        <v>0</v>
      </c>
      <c r="BL205" s="128"/>
      <c r="BM205" s="131" t="s">
        <v>475</v>
      </c>
    </row>
    <row r="206" spans="1:66" ht="15" thickBot="1">
      <c r="A206" s="93" t="s">
        <v>123</v>
      </c>
      <c r="B206" s="122" t="s">
        <v>199</v>
      </c>
      <c r="C206" s="299"/>
      <c r="D206" s="295"/>
      <c r="E206" s="295"/>
      <c r="F206" s="297"/>
      <c r="G206" s="78">
        <v>2020</v>
      </c>
      <c r="H206" s="76" t="s">
        <v>200</v>
      </c>
      <c r="I206" s="76" t="s">
        <v>201</v>
      </c>
      <c r="J206" s="77" t="s">
        <v>197</v>
      </c>
      <c r="K206" s="81" t="s">
        <v>191</v>
      </c>
      <c r="L206" s="76" t="s">
        <v>192</v>
      </c>
      <c r="M206" s="13" t="s">
        <v>193</v>
      </c>
      <c r="N206" s="75">
        <v>8.84</v>
      </c>
      <c r="O206" s="75">
        <v>8.84</v>
      </c>
      <c r="P206" s="75">
        <v>8.84</v>
      </c>
      <c r="Q206" s="75">
        <v>8.84</v>
      </c>
      <c r="R206" s="75">
        <v>8.84</v>
      </c>
      <c r="S206" s="75">
        <v>8.84</v>
      </c>
      <c r="T206" s="75">
        <v>8.84</v>
      </c>
      <c r="U206" s="75">
        <v>8.84</v>
      </c>
      <c r="V206" s="75">
        <v>8.84</v>
      </c>
      <c r="W206" s="75">
        <v>8.84</v>
      </c>
      <c r="X206" s="75">
        <v>8.84</v>
      </c>
      <c r="Y206" s="75">
        <v>8.84</v>
      </c>
      <c r="Z206" s="75">
        <v>8.84</v>
      </c>
      <c r="AA206" s="13">
        <v>0</v>
      </c>
      <c r="AB206" s="72">
        <v>0</v>
      </c>
      <c r="AC206" s="72">
        <v>0</v>
      </c>
      <c r="AD206" s="72">
        <v>0</v>
      </c>
      <c r="AE206" s="69">
        <v>0</v>
      </c>
      <c r="AF206" s="69">
        <v>0</v>
      </c>
      <c r="AG206" s="69">
        <v>0</v>
      </c>
      <c r="AH206" s="69">
        <v>0</v>
      </c>
      <c r="AI206" s="69">
        <v>0</v>
      </c>
      <c r="AJ206" s="69">
        <v>0</v>
      </c>
      <c r="AK206" s="69">
        <v>0</v>
      </c>
      <c r="AL206" s="69">
        <v>0</v>
      </c>
      <c r="AM206" s="69">
        <v>0</v>
      </c>
      <c r="AN206" s="73">
        <v>0</v>
      </c>
      <c r="AO206" s="95">
        <f t="shared" si="37"/>
        <v>0</v>
      </c>
      <c r="AP206" s="73">
        <v>0</v>
      </c>
      <c r="AQ206" s="95">
        <f t="shared" si="38"/>
        <v>0</v>
      </c>
      <c r="AR206" s="73">
        <v>0</v>
      </c>
      <c r="AS206" s="96">
        <f t="shared" si="39"/>
        <v>0</v>
      </c>
      <c r="AT206" s="73">
        <v>0</v>
      </c>
      <c r="AU206" s="97">
        <f t="shared" si="40"/>
        <v>0</v>
      </c>
      <c r="AV206" s="73">
        <v>0</v>
      </c>
      <c r="AW206" s="97">
        <f t="shared" si="41"/>
        <v>0</v>
      </c>
      <c r="AX206" s="73">
        <v>0</v>
      </c>
      <c r="AY206" s="97">
        <f t="shared" si="42"/>
        <v>0</v>
      </c>
      <c r="AZ206" s="73">
        <v>0</v>
      </c>
      <c r="BA206" s="97">
        <f t="shared" si="36"/>
        <v>0</v>
      </c>
      <c r="BB206" s="73">
        <v>0</v>
      </c>
      <c r="BC206" s="97">
        <f t="shared" si="47"/>
        <v>0</v>
      </c>
      <c r="BD206" s="73">
        <v>1280</v>
      </c>
      <c r="BE206" s="97">
        <f t="shared" si="43"/>
        <v>0</v>
      </c>
      <c r="BF206" s="70">
        <v>0</v>
      </c>
      <c r="BG206" s="97">
        <f t="shared" si="44"/>
        <v>0</v>
      </c>
      <c r="BH206" s="70">
        <v>0</v>
      </c>
      <c r="BI206" s="97">
        <f t="shared" si="45"/>
        <v>0</v>
      </c>
      <c r="BJ206" s="73">
        <v>0</v>
      </c>
      <c r="BK206" s="97">
        <f t="shared" si="46"/>
        <v>0</v>
      </c>
      <c r="BL206" s="128"/>
      <c r="BM206" s="131" t="s">
        <v>476</v>
      </c>
    </row>
    <row r="207" spans="1:66" ht="15" thickBot="1">
      <c r="A207" s="93" t="s">
        <v>123</v>
      </c>
      <c r="B207" s="122" t="s">
        <v>184</v>
      </c>
      <c r="C207" s="299"/>
      <c r="D207" s="295"/>
      <c r="E207" s="295"/>
      <c r="F207" s="297"/>
      <c r="G207" s="78">
        <v>2016</v>
      </c>
      <c r="H207" s="76" t="s">
        <v>232</v>
      </c>
      <c r="I207" s="76" t="s">
        <v>196</v>
      </c>
      <c r="J207" s="77" t="s">
        <v>197</v>
      </c>
      <c r="K207" s="81" t="s">
        <v>387</v>
      </c>
      <c r="L207" s="76" t="s">
        <v>192</v>
      </c>
      <c r="M207" s="13" t="s">
        <v>193</v>
      </c>
      <c r="N207" s="75">
        <v>4.87</v>
      </c>
      <c r="O207" s="75">
        <v>4.87</v>
      </c>
      <c r="P207" s="75">
        <v>4.87</v>
      </c>
      <c r="Q207" s="75">
        <v>4.87</v>
      </c>
      <c r="R207" s="75">
        <v>4.87</v>
      </c>
      <c r="S207" s="75">
        <v>4.87</v>
      </c>
      <c r="T207" s="75">
        <v>4.87</v>
      </c>
      <c r="U207" s="75">
        <v>4.87</v>
      </c>
      <c r="V207" s="75">
        <v>4.87</v>
      </c>
      <c r="W207" s="75">
        <v>4.87</v>
      </c>
      <c r="X207" s="75">
        <v>4.87</v>
      </c>
      <c r="Y207" s="75">
        <v>4.87</v>
      </c>
      <c r="Z207" s="75">
        <v>4.87</v>
      </c>
      <c r="AA207" s="13">
        <v>0</v>
      </c>
      <c r="AB207" s="72">
        <v>0.05</v>
      </c>
      <c r="AC207" s="72">
        <v>0.05</v>
      </c>
      <c r="AD207" s="72">
        <v>0.05</v>
      </c>
      <c r="AE207" s="69">
        <v>0.05</v>
      </c>
      <c r="AF207" s="69">
        <v>0.05</v>
      </c>
      <c r="AG207" s="69">
        <v>0.05</v>
      </c>
      <c r="AH207" s="69">
        <v>0.05</v>
      </c>
      <c r="AI207" s="69">
        <v>0.05</v>
      </c>
      <c r="AJ207" s="69">
        <v>0.05</v>
      </c>
      <c r="AK207" s="69">
        <v>0.05</v>
      </c>
      <c r="AL207" s="69">
        <v>0.05</v>
      </c>
      <c r="AM207" s="69">
        <v>0.05</v>
      </c>
      <c r="AN207" s="73">
        <v>0</v>
      </c>
      <c r="AO207" s="95">
        <f t="shared" si="37"/>
        <v>0</v>
      </c>
      <c r="AP207" s="73">
        <v>0</v>
      </c>
      <c r="AQ207" s="95">
        <f t="shared" si="38"/>
        <v>0</v>
      </c>
      <c r="AR207" s="73">
        <v>0</v>
      </c>
      <c r="AS207" s="96">
        <f t="shared" si="39"/>
        <v>0</v>
      </c>
      <c r="AT207" s="73">
        <v>0</v>
      </c>
      <c r="AU207" s="97">
        <f t="shared" si="40"/>
        <v>0</v>
      </c>
      <c r="AV207" s="73">
        <v>0</v>
      </c>
      <c r="AW207" s="97">
        <f t="shared" si="41"/>
        <v>0</v>
      </c>
      <c r="AX207" s="73">
        <v>0</v>
      </c>
      <c r="AY207" s="97">
        <f t="shared" si="42"/>
        <v>0</v>
      </c>
      <c r="AZ207" s="73">
        <v>0</v>
      </c>
      <c r="BA207" s="97">
        <f t="shared" si="36"/>
        <v>0</v>
      </c>
      <c r="BB207" s="73">
        <v>0</v>
      </c>
      <c r="BC207" s="97">
        <f t="shared" si="47"/>
        <v>0</v>
      </c>
      <c r="BD207" s="73">
        <v>4320</v>
      </c>
      <c r="BE207" s="97">
        <f t="shared" si="43"/>
        <v>216</v>
      </c>
      <c r="BF207" s="73">
        <v>0</v>
      </c>
      <c r="BG207" s="97">
        <f t="shared" si="44"/>
        <v>0</v>
      </c>
      <c r="BH207" s="73">
        <v>0</v>
      </c>
      <c r="BI207" s="97">
        <f t="shared" si="45"/>
        <v>0</v>
      </c>
      <c r="BJ207" s="73">
        <v>0</v>
      </c>
      <c r="BK207" s="97">
        <f t="shared" si="46"/>
        <v>0</v>
      </c>
      <c r="BL207" s="128"/>
      <c r="BM207" s="131" t="s">
        <v>477</v>
      </c>
      <c r="BN207" s="1" t="s">
        <v>450</v>
      </c>
    </row>
    <row r="208" spans="1:66" ht="15" thickBot="1">
      <c r="A208" s="93" t="s">
        <v>123</v>
      </c>
      <c r="B208" s="122" t="s">
        <v>184</v>
      </c>
      <c r="C208" s="299"/>
      <c r="D208" s="295"/>
      <c r="E208" s="295"/>
      <c r="F208" s="297"/>
      <c r="G208" s="78">
        <v>2023</v>
      </c>
      <c r="H208" s="76" t="s">
        <v>280</v>
      </c>
      <c r="I208" s="76" t="s">
        <v>196</v>
      </c>
      <c r="J208" s="77" t="s">
        <v>197</v>
      </c>
      <c r="K208" s="81" t="s">
        <v>235</v>
      </c>
      <c r="L208" s="76" t="s">
        <v>192</v>
      </c>
      <c r="M208" s="13" t="s">
        <v>193</v>
      </c>
      <c r="N208" s="75">
        <v>4.42</v>
      </c>
      <c r="O208" s="75">
        <v>4.42</v>
      </c>
      <c r="P208" s="75">
        <v>4.42</v>
      </c>
      <c r="Q208" s="75">
        <v>4.42</v>
      </c>
      <c r="R208" s="75">
        <v>4.42</v>
      </c>
      <c r="S208" s="75">
        <v>4.42</v>
      </c>
      <c r="T208" s="75">
        <v>4.42</v>
      </c>
      <c r="U208" s="75">
        <v>4.42</v>
      </c>
      <c r="V208" s="75">
        <v>4.42</v>
      </c>
      <c r="W208" s="75">
        <v>4.42</v>
      </c>
      <c r="X208" s="75">
        <v>4.42</v>
      </c>
      <c r="Y208" s="75">
        <v>4.42</v>
      </c>
      <c r="Z208" s="75">
        <v>4.42</v>
      </c>
      <c r="AA208" s="13">
        <v>0</v>
      </c>
      <c r="AB208" s="72">
        <v>0</v>
      </c>
      <c r="AC208" s="72">
        <v>0</v>
      </c>
      <c r="AD208" s="72">
        <v>0</v>
      </c>
      <c r="AE208" s="69">
        <v>0</v>
      </c>
      <c r="AF208" s="69">
        <v>0</v>
      </c>
      <c r="AG208" s="69">
        <v>0</v>
      </c>
      <c r="AH208" s="69">
        <v>0</v>
      </c>
      <c r="AI208" s="69">
        <v>0</v>
      </c>
      <c r="AJ208" s="69">
        <v>0</v>
      </c>
      <c r="AK208" s="69">
        <v>0</v>
      </c>
      <c r="AL208" s="69">
        <v>0</v>
      </c>
      <c r="AM208" s="69">
        <v>0</v>
      </c>
      <c r="AN208" s="71">
        <v>0</v>
      </c>
      <c r="AO208" s="95">
        <f t="shared" si="37"/>
        <v>0</v>
      </c>
      <c r="AP208" s="71">
        <v>0</v>
      </c>
      <c r="AQ208" s="95">
        <f t="shared" si="38"/>
        <v>0</v>
      </c>
      <c r="AR208" s="71">
        <v>0</v>
      </c>
      <c r="AS208" s="96">
        <f t="shared" si="39"/>
        <v>0</v>
      </c>
      <c r="AT208" s="71">
        <v>0</v>
      </c>
      <c r="AU208" s="97">
        <f t="shared" si="40"/>
        <v>0</v>
      </c>
      <c r="AV208" s="71">
        <v>0</v>
      </c>
      <c r="AW208" s="97">
        <f t="shared" si="41"/>
        <v>0</v>
      </c>
      <c r="AX208" s="71">
        <v>0</v>
      </c>
      <c r="AY208" s="97">
        <f t="shared" si="42"/>
        <v>0</v>
      </c>
      <c r="AZ208" s="71">
        <v>0</v>
      </c>
      <c r="BA208" s="97">
        <f t="shared" si="36"/>
        <v>0</v>
      </c>
      <c r="BB208" s="71">
        <v>0</v>
      </c>
      <c r="BC208" s="97">
        <f t="shared" si="47"/>
        <v>0</v>
      </c>
      <c r="BD208" s="71">
        <v>2880</v>
      </c>
      <c r="BE208" s="97">
        <f t="shared" si="43"/>
        <v>0</v>
      </c>
      <c r="BF208" s="73">
        <v>0</v>
      </c>
      <c r="BG208" s="97">
        <f t="shared" si="44"/>
        <v>0</v>
      </c>
      <c r="BH208" s="70">
        <v>2880</v>
      </c>
      <c r="BI208" s="97">
        <f t="shared" si="45"/>
        <v>0</v>
      </c>
      <c r="BJ208" s="70">
        <v>0</v>
      </c>
      <c r="BK208" s="97">
        <f t="shared" si="46"/>
        <v>0</v>
      </c>
      <c r="BL208" s="128"/>
      <c r="BM208" s="131" t="s">
        <v>424</v>
      </c>
    </row>
    <row r="209" spans="1:66" ht="15" thickBot="1">
      <c r="A209" s="93" t="s">
        <v>123</v>
      </c>
      <c r="B209" s="122" t="s">
        <v>184</v>
      </c>
      <c r="C209" s="299"/>
      <c r="D209" s="295"/>
      <c r="E209" s="295"/>
      <c r="F209" s="297"/>
      <c r="G209" s="78">
        <v>2016</v>
      </c>
      <c r="H209" s="76" t="s">
        <v>305</v>
      </c>
      <c r="I209" s="76" t="s">
        <v>196</v>
      </c>
      <c r="J209" s="77" t="s">
        <v>197</v>
      </c>
      <c r="K209" s="81" t="s">
        <v>310</v>
      </c>
      <c r="L209" s="76" t="s">
        <v>192</v>
      </c>
      <c r="M209" s="13" t="s">
        <v>193</v>
      </c>
      <c r="N209" s="75">
        <v>4.38</v>
      </c>
      <c r="O209" s="75">
        <v>4.38</v>
      </c>
      <c r="P209" s="75">
        <v>4.38</v>
      </c>
      <c r="Q209" s="75">
        <v>4.38</v>
      </c>
      <c r="R209" s="75">
        <v>4.38</v>
      </c>
      <c r="S209" s="75">
        <v>4.38</v>
      </c>
      <c r="T209" s="75">
        <v>4.38</v>
      </c>
      <c r="U209" s="75">
        <v>4.38</v>
      </c>
      <c r="V209" s="75">
        <v>4.38</v>
      </c>
      <c r="W209" s="75">
        <v>4.38</v>
      </c>
      <c r="X209" s="75">
        <v>4.38</v>
      </c>
      <c r="Y209" s="75">
        <v>4.38</v>
      </c>
      <c r="Z209" s="75">
        <v>4.38</v>
      </c>
      <c r="AA209" s="13">
        <v>0</v>
      </c>
      <c r="AB209" s="72">
        <v>0.04</v>
      </c>
      <c r="AC209" s="72">
        <v>0.04</v>
      </c>
      <c r="AD209" s="72">
        <v>0.04</v>
      </c>
      <c r="AE209" s="69">
        <v>0.04</v>
      </c>
      <c r="AF209" s="69">
        <v>0.04</v>
      </c>
      <c r="AG209" s="69">
        <v>0.04</v>
      </c>
      <c r="AH209" s="69">
        <v>0.04</v>
      </c>
      <c r="AI209" s="69">
        <v>0.04</v>
      </c>
      <c r="AJ209" s="69">
        <v>0.04</v>
      </c>
      <c r="AK209" s="69">
        <v>0.04</v>
      </c>
      <c r="AL209" s="69">
        <v>0.04</v>
      </c>
      <c r="AM209" s="69">
        <v>0.04</v>
      </c>
      <c r="AN209" s="73">
        <v>0</v>
      </c>
      <c r="AO209" s="95">
        <f t="shared" si="37"/>
        <v>0</v>
      </c>
      <c r="AP209" s="73">
        <v>0</v>
      </c>
      <c r="AQ209" s="95">
        <f t="shared" si="38"/>
        <v>0</v>
      </c>
      <c r="AR209" s="73">
        <v>0</v>
      </c>
      <c r="AS209" s="96">
        <f t="shared" si="39"/>
        <v>0</v>
      </c>
      <c r="AT209" s="73">
        <v>0</v>
      </c>
      <c r="AU209" s="97">
        <f t="shared" si="40"/>
        <v>0</v>
      </c>
      <c r="AV209" s="73">
        <v>0</v>
      </c>
      <c r="AW209" s="97">
        <f t="shared" si="41"/>
        <v>0</v>
      </c>
      <c r="AX209" s="73">
        <v>0</v>
      </c>
      <c r="AY209" s="97">
        <f t="shared" si="42"/>
        <v>0</v>
      </c>
      <c r="AZ209" s="73">
        <v>0</v>
      </c>
      <c r="BA209" s="97">
        <f t="shared" si="36"/>
        <v>0</v>
      </c>
      <c r="BB209" s="73">
        <v>0</v>
      </c>
      <c r="BC209" s="97">
        <f t="shared" si="47"/>
        <v>0</v>
      </c>
      <c r="BD209" s="73">
        <v>21600</v>
      </c>
      <c r="BE209" s="97">
        <f t="shared" si="43"/>
        <v>864</v>
      </c>
      <c r="BF209" s="73">
        <v>12960</v>
      </c>
      <c r="BG209" s="97">
        <f t="shared" si="44"/>
        <v>518.4</v>
      </c>
      <c r="BH209" s="73">
        <v>4320</v>
      </c>
      <c r="BI209" s="97">
        <f t="shared" si="45"/>
        <v>172.8</v>
      </c>
      <c r="BJ209" s="73">
        <v>0</v>
      </c>
      <c r="BK209" s="97">
        <f t="shared" si="46"/>
        <v>0</v>
      </c>
      <c r="BL209" s="128"/>
      <c r="BM209" s="131" t="s">
        <v>478</v>
      </c>
      <c r="BN209" s="1" t="s">
        <v>455</v>
      </c>
    </row>
    <row r="210" spans="1:66" ht="15" thickBot="1">
      <c r="A210" s="93" t="s">
        <v>123</v>
      </c>
      <c r="B210" s="122" t="s">
        <v>184</v>
      </c>
      <c r="C210" s="299"/>
      <c r="D210" s="295"/>
      <c r="E210" s="295"/>
      <c r="F210" s="297"/>
      <c r="G210" s="78">
        <v>2018</v>
      </c>
      <c r="H210" s="81" t="s">
        <v>286</v>
      </c>
      <c r="I210" s="76" t="s">
        <v>196</v>
      </c>
      <c r="J210" s="77" t="s">
        <v>197</v>
      </c>
      <c r="K210" s="81" t="s">
        <v>221</v>
      </c>
      <c r="L210" s="76" t="s">
        <v>192</v>
      </c>
      <c r="M210" s="13" t="s">
        <v>193</v>
      </c>
      <c r="N210" s="75">
        <v>5.66</v>
      </c>
      <c r="O210" s="75">
        <v>5.66</v>
      </c>
      <c r="P210" s="75">
        <v>5.66</v>
      </c>
      <c r="Q210" s="75">
        <v>5.66</v>
      </c>
      <c r="R210" s="75">
        <v>5.66</v>
      </c>
      <c r="S210" s="75">
        <v>5.66</v>
      </c>
      <c r="T210" s="75">
        <v>5.66</v>
      </c>
      <c r="U210" s="75">
        <v>5.66</v>
      </c>
      <c r="V210" s="75">
        <v>5.66</v>
      </c>
      <c r="W210" s="75">
        <v>5.66</v>
      </c>
      <c r="X210" s="75">
        <v>5.66</v>
      </c>
      <c r="Y210" s="75">
        <v>5.66</v>
      </c>
      <c r="Z210" s="75">
        <v>5.66</v>
      </c>
      <c r="AA210" s="13">
        <v>0</v>
      </c>
      <c r="AB210" s="72">
        <v>0.05</v>
      </c>
      <c r="AC210" s="72">
        <v>0.05</v>
      </c>
      <c r="AD210" s="72">
        <v>0.05</v>
      </c>
      <c r="AE210" s="69">
        <v>0.05</v>
      </c>
      <c r="AF210" s="69">
        <v>0.05</v>
      </c>
      <c r="AG210" s="69">
        <v>0.05</v>
      </c>
      <c r="AH210" s="69">
        <v>0.05</v>
      </c>
      <c r="AI210" s="69">
        <v>0.05</v>
      </c>
      <c r="AJ210" s="69">
        <v>0.05</v>
      </c>
      <c r="AK210" s="69">
        <v>0.05</v>
      </c>
      <c r="AL210" s="69">
        <v>0.05</v>
      </c>
      <c r="AM210" s="69">
        <v>0.05</v>
      </c>
      <c r="AN210" s="73">
        <v>0</v>
      </c>
      <c r="AO210" s="95">
        <f t="shared" si="37"/>
        <v>0</v>
      </c>
      <c r="AP210" s="73">
        <v>0</v>
      </c>
      <c r="AQ210" s="95">
        <f t="shared" si="38"/>
        <v>0</v>
      </c>
      <c r="AR210" s="73">
        <v>0</v>
      </c>
      <c r="AS210" s="96">
        <f t="shared" si="39"/>
        <v>0</v>
      </c>
      <c r="AT210" s="73">
        <v>0</v>
      </c>
      <c r="AU210" s="97">
        <f t="shared" si="40"/>
        <v>0</v>
      </c>
      <c r="AV210" s="73">
        <v>0</v>
      </c>
      <c r="AW210" s="97">
        <f t="shared" si="41"/>
        <v>0</v>
      </c>
      <c r="AX210" s="73">
        <v>0</v>
      </c>
      <c r="AY210" s="97">
        <f t="shared" si="42"/>
        <v>0</v>
      </c>
      <c r="AZ210" s="73">
        <v>0</v>
      </c>
      <c r="BA210" s="97">
        <f t="shared" si="36"/>
        <v>0</v>
      </c>
      <c r="BB210" s="73">
        <v>0</v>
      </c>
      <c r="BC210" s="97">
        <f t="shared" si="47"/>
        <v>0</v>
      </c>
      <c r="BD210" s="73">
        <v>0</v>
      </c>
      <c r="BE210" s="97">
        <f t="shared" si="43"/>
        <v>0</v>
      </c>
      <c r="BF210" s="70">
        <v>0</v>
      </c>
      <c r="BG210" s="97">
        <f t="shared" si="44"/>
        <v>0</v>
      </c>
      <c r="BH210" s="73">
        <v>0</v>
      </c>
      <c r="BI210" s="97">
        <f t="shared" si="45"/>
        <v>0</v>
      </c>
      <c r="BJ210" s="73">
        <v>0</v>
      </c>
      <c r="BK210" s="97">
        <f t="shared" si="46"/>
        <v>0</v>
      </c>
      <c r="BL210" s="128"/>
      <c r="BM210" s="131" t="s">
        <v>479</v>
      </c>
    </row>
    <row r="211" spans="1:66" ht="15" thickBot="1">
      <c r="A211" s="93" t="s">
        <v>123</v>
      </c>
      <c r="B211" s="122" t="s">
        <v>199</v>
      </c>
      <c r="C211" s="299"/>
      <c r="D211" s="295"/>
      <c r="E211" s="295"/>
      <c r="F211" s="297"/>
      <c r="G211" s="78">
        <v>2021</v>
      </c>
      <c r="H211" s="76" t="s">
        <v>211</v>
      </c>
      <c r="I211" s="76" t="s">
        <v>212</v>
      </c>
      <c r="J211" s="77" t="s">
        <v>197</v>
      </c>
      <c r="K211" s="81" t="s">
        <v>191</v>
      </c>
      <c r="L211" s="76" t="s">
        <v>192</v>
      </c>
      <c r="M211" s="13" t="s">
        <v>193</v>
      </c>
      <c r="N211" s="75">
        <v>7.42</v>
      </c>
      <c r="O211" s="75">
        <v>7.42</v>
      </c>
      <c r="P211" s="75">
        <v>7.42</v>
      </c>
      <c r="Q211" s="75">
        <v>7.42</v>
      </c>
      <c r="R211" s="75">
        <v>7.42</v>
      </c>
      <c r="S211" s="75">
        <v>7.42</v>
      </c>
      <c r="T211" s="75">
        <v>7.42</v>
      </c>
      <c r="U211" s="75">
        <v>7.42</v>
      </c>
      <c r="V211" s="75">
        <v>7.42</v>
      </c>
      <c r="W211" s="75">
        <v>7.42</v>
      </c>
      <c r="X211" s="75">
        <v>7.42</v>
      </c>
      <c r="Y211" s="75">
        <v>7.42</v>
      </c>
      <c r="Z211" s="75">
        <v>7.42</v>
      </c>
      <c r="AA211" s="13">
        <v>0</v>
      </c>
      <c r="AB211" s="72">
        <v>0</v>
      </c>
      <c r="AC211" s="72">
        <v>0</v>
      </c>
      <c r="AD211" s="72">
        <v>0</v>
      </c>
      <c r="AE211" s="72">
        <v>0</v>
      </c>
      <c r="AF211" s="72">
        <v>0</v>
      </c>
      <c r="AG211" s="72">
        <v>0</v>
      </c>
      <c r="AH211" s="69">
        <v>0</v>
      </c>
      <c r="AI211" s="69">
        <v>0</v>
      </c>
      <c r="AJ211" s="69">
        <v>0</v>
      </c>
      <c r="AK211" s="69">
        <v>0</v>
      </c>
      <c r="AL211" s="69">
        <v>0</v>
      </c>
      <c r="AM211" s="69">
        <v>0</v>
      </c>
      <c r="AN211" s="73">
        <v>0</v>
      </c>
      <c r="AO211" s="95">
        <f t="shared" si="37"/>
        <v>0</v>
      </c>
      <c r="AP211" s="73">
        <v>0</v>
      </c>
      <c r="AQ211" s="95">
        <f t="shared" si="38"/>
        <v>0</v>
      </c>
      <c r="AR211" s="73">
        <v>0</v>
      </c>
      <c r="AS211" s="96">
        <f t="shared" si="39"/>
        <v>0</v>
      </c>
      <c r="AT211" s="73">
        <v>0</v>
      </c>
      <c r="AU211" s="97">
        <f t="shared" si="40"/>
        <v>0</v>
      </c>
      <c r="AV211" s="73">
        <v>0</v>
      </c>
      <c r="AW211" s="97">
        <f t="shared" si="41"/>
        <v>0</v>
      </c>
      <c r="AX211" s="73">
        <v>0</v>
      </c>
      <c r="AY211" s="97">
        <f t="shared" si="42"/>
        <v>0</v>
      </c>
      <c r="AZ211" s="73">
        <v>0</v>
      </c>
      <c r="BA211" s="97">
        <f t="shared" si="36"/>
        <v>0</v>
      </c>
      <c r="BB211" s="73">
        <v>0</v>
      </c>
      <c r="BC211" s="97">
        <f t="shared" si="47"/>
        <v>0</v>
      </c>
      <c r="BD211" s="73">
        <v>0</v>
      </c>
      <c r="BE211" s="97">
        <f t="shared" si="43"/>
        <v>0</v>
      </c>
      <c r="BF211" s="73">
        <v>0</v>
      </c>
      <c r="BG211" s="97">
        <f t="shared" si="44"/>
        <v>0</v>
      </c>
      <c r="BH211" s="70">
        <v>0</v>
      </c>
      <c r="BI211" s="97">
        <f t="shared" si="45"/>
        <v>0</v>
      </c>
      <c r="BJ211" s="70">
        <v>0</v>
      </c>
      <c r="BK211" s="97">
        <f t="shared" si="46"/>
        <v>0</v>
      </c>
      <c r="BL211" s="128"/>
      <c r="BM211" s="131" t="s">
        <v>480</v>
      </c>
    </row>
    <row r="212" spans="1:66" ht="15" thickBot="1">
      <c r="A212" s="93" t="s">
        <v>123</v>
      </c>
      <c r="B212" s="122" t="s">
        <v>184</v>
      </c>
      <c r="C212" s="299"/>
      <c r="D212" s="295"/>
      <c r="E212" s="295"/>
      <c r="F212" s="297"/>
      <c r="G212" s="78">
        <v>2016</v>
      </c>
      <c r="H212" s="76" t="s">
        <v>232</v>
      </c>
      <c r="I212" s="76" t="s">
        <v>196</v>
      </c>
      <c r="J212" s="77" t="s">
        <v>197</v>
      </c>
      <c r="K212" s="81" t="s">
        <v>481</v>
      </c>
      <c r="L212" s="76" t="s">
        <v>192</v>
      </c>
      <c r="M212" s="13" t="s">
        <v>193</v>
      </c>
      <c r="N212" s="75">
        <v>5.76</v>
      </c>
      <c r="O212" s="75">
        <v>5.76</v>
      </c>
      <c r="P212" s="75">
        <v>5.76</v>
      </c>
      <c r="Q212" s="75">
        <v>5.76</v>
      </c>
      <c r="R212" s="75">
        <v>5.76</v>
      </c>
      <c r="S212" s="75">
        <v>5.76</v>
      </c>
      <c r="T212" s="75">
        <v>5.76</v>
      </c>
      <c r="U212" s="75">
        <v>5.76</v>
      </c>
      <c r="V212" s="75">
        <v>5.76</v>
      </c>
      <c r="W212" s="75">
        <v>5.76</v>
      </c>
      <c r="X212" s="75">
        <v>5.76</v>
      </c>
      <c r="Y212" s="75">
        <v>5.76</v>
      </c>
      <c r="Z212" s="75">
        <v>5.76</v>
      </c>
      <c r="AA212" s="13">
        <v>0</v>
      </c>
      <c r="AB212" s="72">
        <v>0.05</v>
      </c>
      <c r="AC212" s="72">
        <v>0.05</v>
      </c>
      <c r="AD212" s="72">
        <v>0.05</v>
      </c>
      <c r="AE212" s="69">
        <v>0.05</v>
      </c>
      <c r="AF212" s="69">
        <v>0.05</v>
      </c>
      <c r="AG212" s="69">
        <v>0.05</v>
      </c>
      <c r="AH212" s="69">
        <v>0.05</v>
      </c>
      <c r="AI212" s="69">
        <v>0.05</v>
      </c>
      <c r="AJ212" s="69">
        <v>0.05</v>
      </c>
      <c r="AK212" s="69">
        <v>0.05</v>
      </c>
      <c r="AL212" s="69">
        <v>0.05</v>
      </c>
      <c r="AM212" s="69">
        <v>0.05</v>
      </c>
      <c r="AN212" s="73">
        <v>0</v>
      </c>
      <c r="AO212" s="95">
        <f t="shared" ref="AO212:AO219" si="48">AB212*AN212</f>
        <v>0</v>
      </c>
      <c r="AP212" s="73">
        <v>0</v>
      </c>
      <c r="AQ212" s="95">
        <f t="shared" ref="AQ212:AQ219" si="49">AC212*AP212</f>
        <v>0</v>
      </c>
      <c r="AR212" s="73">
        <v>0</v>
      </c>
      <c r="AS212" s="96">
        <f t="shared" ref="AS212:AS219" si="50">AD212*AR212</f>
        <v>0</v>
      </c>
      <c r="AT212" s="73">
        <v>0</v>
      </c>
      <c r="AU212" s="97">
        <f t="shared" ref="AU212:AU219" si="51">AE212*AT212</f>
        <v>0</v>
      </c>
      <c r="AV212" s="73">
        <v>0</v>
      </c>
      <c r="AW212" s="97">
        <f t="shared" ref="AW212:AW219" si="52">AF212*AV212</f>
        <v>0</v>
      </c>
      <c r="AX212" s="73">
        <v>0</v>
      </c>
      <c r="AY212" s="97">
        <f t="shared" ref="AY212:AY219" si="53">AG212*AX212</f>
        <v>0</v>
      </c>
      <c r="AZ212" s="73">
        <v>0</v>
      </c>
      <c r="BA212" s="97">
        <f t="shared" ref="BA212:BA219" si="54">AH212*AZ212</f>
        <v>0</v>
      </c>
      <c r="BB212" s="73">
        <v>0</v>
      </c>
      <c r="BC212" s="97">
        <f t="shared" ref="BC212:BC219" si="55">AI212*BB212</f>
        <v>0</v>
      </c>
      <c r="BD212" s="73">
        <v>0</v>
      </c>
      <c r="BE212" s="97">
        <f t="shared" ref="BE212:BE219" si="56">AJ212*BD212</f>
        <v>0</v>
      </c>
      <c r="BF212" s="73">
        <v>0</v>
      </c>
      <c r="BG212" s="97">
        <f t="shared" si="44"/>
        <v>0</v>
      </c>
      <c r="BH212" s="73">
        <v>0</v>
      </c>
      <c r="BI212" s="97">
        <f t="shared" si="45"/>
        <v>0</v>
      </c>
      <c r="BJ212" s="73">
        <v>0</v>
      </c>
      <c r="BK212" s="97">
        <f t="shared" si="46"/>
        <v>0</v>
      </c>
      <c r="BL212" s="128"/>
      <c r="BM212" s="131" t="s">
        <v>482</v>
      </c>
    </row>
    <row r="213" spans="1:66" ht="15" thickBot="1">
      <c r="A213" s="93" t="s">
        <v>123</v>
      </c>
      <c r="B213" s="122" t="s">
        <v>184</v>
      </c>
      <c r="C213" s="299"/>
      <c r="D213" s="295"/>
      <c r="E213" s="295"/>
      <c r="F213" s="297"/>
      <c r="G213" s="78">
        <v>2016</v>
      </c>
      <c r="H213" s="76" t="s">
        <v>232</v>
      </c>
      <c r="I213" s="76" t="s">
        <v>196</v>
      </c>
      <c r="J213" s="77" t="s">
        <v>197</v>
      </c>
      <c r="K213" s="81" t="s">
        <v>247</v>
      </c>
      <c r="L213" s="76" t="s">
        <v>192</v>
      </c>
      <c r="M213" s="13" t="s">
        <v>193</v>
      </c>
      <c r="N213" s="75">
        <v>5.84</v>
      </c>
      <c r="O213" s="75">
        <v>5.84</v>
      </c>
      <c r="P213" s="75">
        <v>5.84</v>
      </c>
      <c r="Q213" s="75">
        <v>5.84</v>
      </c>
      <c r="R213" s="75">
        <v>5.84</v>
      </c>
      <c r="S213" s="75">
        <v>5.84</v>
      </c>
      <c r="T213" s="75">
        <v>5.84</v>
      </c>
      <c r="U213" s="75">
        <v>5.84</v>
      </c>
      <c r="V213" s="75">
        <v>5.84</v>
      </c>
      <c r="W213" s="75">
        <v>5.84</v>
      </c>
      <c r="X213" s="75">
        <v>5.84</v>
      </c>
      <c r="Y213" s="75">
        <v>5.84</v>
      </c>
      <c r="Z213" s="75">
        <v>5.84</v>
      </c>
      <c r="AA213" s="13">
        <v>0</v>
      </c>
      <c r="AB213" s="72">
        <v>0.05</v>
      </c>
      <c r="AC213" s="72">
        <v>0.05</v>
      </c>
      <c r="AD213" s="72">
        <v>0.05</v>
      </c>
      <c r="AE213" s="69">
        <v>0.05</v>
      </c>
      <c r="AF213" s="69">
        <v>0.05</v>
      </c>
      <c r="AG213" s="69">
        <v>0.05</v>
      </c>
      <c r="AH213" s="69">
        <v>0.05</v>
      </c>
      <c r="AI213" s="69">
        <v>0.05</v>
      </c>
      <c r="AJ213" s="69">
        <v>0.05</v>
      </c>
      <c r="AK213" s="69">
        <v>0.05</v>
      </c>
      <c r="AL213" s="69">
        <v>0.05</v>
      </c>
      <c r="AM213" s="69">
        <v>0.05</v>
      </c>
      <c r="AN213" s="73">
        <v>0</v>
      </c>
      <c r="AO213" s="95">
        <f t="shared" si="48"/>
        <v>0</v>
      </c>
      <c r="AP213" s="73">
        <v>0</v>
      </c>
      <c r="AQ213" s="95">
        <f t="shared" si="49"/>
        <v>0</v>
      </c>
      <c r="AR213" s="73">
        <v>0</v>
      </c>
      <c r="AS213" s="96">
        <f t="shared" si="50"/>
        <v>0</v>
      </c>
      <c r="AT213" s="73">
        <v>0</v>
      </c>
      <c r="AU213" s="97">
        <f t="shared" si="51"/>
        <v>0</v>
      </c>
      <c r="AV213" s="73">
        <v>0</v>
      </c>
      <c r="AW213" s="97">
        <f t="shared" si="52"/>
        <v>0</v>
      </c>
      <c r="AX213" s="73">
        <v>0</v>
      </c>
      <c r="AY213" s="97">
        <f t="shared" si="53"/>
        <v>0</v>
      </c>
      <c r="AZ213" s="73">
        <v>0</v>
      </c>
      <c r="BA213" s="97">
        <f t="shared" si="54"/>
        <v>0</v>
      </c>
      <c r="BB213" s="73">
        <v>0</v>
      </c>
      <c r="BC213" s="97">
        <f t="shared" si="55"/>
        <v>0</v>
      </c>
      <c r="BD213" s="73">
        <v>0</v>
      </c>
      <c r="BE213" s="97">
        <f t="shared" si="56"/>
        <v>0</v>
      </c>
      <c r="BF213" s="73">
        <v>0</v>
      </c>
      <c r="BG213" s="97">
        <f t="shared" si="44"/>
        <v>0</v>
      </c>
      <c r="BH213" s="73">
        <v>0</v>
      </c>
      <c r="BI213" s="97">
        <f t="shared" si="45"/>
        <v>0</v>
      </c>
      <c r="BJ213" s="73">
        <v>0</v>
      </c>
      <c r="BK213" s="97">
        <f t="shared" si="46"/>
        <v>0</v>
      </c>
      <c r="BL213" s="128"/>
      <c r="BM213" s="131" t="s">
        <v>483</v>
      </c>
    </row>
    <row r="214" spans="1:66" ht="15" thickBot="1">
      <c r="A214" s="93" t="s">
        <v>123</v>
      </c>
      <c r="B214" s="122" t="s">
        <v>184</v>
      </c>
      <c r="C214" s="299"/>
      <c r="D214" s="295"/>
      <c r="E214" s="295"/>
      <c r="F214" s="297"/>
      <c r="G214" s="78">
        <v>2016</v>
      </c>
      <c r="H214" s="76" t="s">
        <v>232</v>
      </c>
      <c r="I214" s="76" t="s">
        <v>196</v>
      </c>
      <c r="J214" s="77" t="s">
        <v>197</v>
      </c>
      <c r="K214" s="81" t="s">
        <v>387</v>
      </c>
      <c r="L214" s="76" t="s">
        <v>192</v>
      </c>
      <c r="M214" s="13" t="s">
        <v>193</v>
      </c>
      <c r="N214" s="75">
        <v>5.54</v>
      </c>
      <c r="O214" s="75">
        <v>5.54</v>
      </c>
      <c r="P214" s="75">
        <v>5.54</v>
      </c>
      <c r="Q214" s="75">
        <v>5.54</v>
      </c>
      <c r="R214" s="75">
        <v>5.54</v>
      </c>
      <c r="S214" s="75">
        <v>5.54</v>
      </c>
      <c r="T214" s="75">
        <v>5.54</v>
      </c>
      <c r="U214" s="75">
        <v>5.54</v>
      </c>
      <c r="V214" s="75">
        <v>5.54</v>
      </c>
      <c r="W214" s="75">
        <v>5.54</v>
      </c>
      <c r="X214" s="75">
        <v>5.54</v>
      </c>
      <c r="Y214" s="75">
        <v>5.54</v>
      </c>
      <c r="Z214" s="75">
        <v>5.54</v>
      </c>
      <c r="AA214" s="13">
        <v>0</v>
      </c>
      <c r="AB214" s="72">
        <v>0.05</v>
      </c>
      <c r="AC214" s="72">
        <v>0.05</v>
      </c>
      <c r="AD214" s="72">
        <v>0.05</v>
      </c>
      <c r="AE214" s="69">
        <v>0.05</v>
      </c>
      <c r="AF214" s="69">
        <v>0.05</v>
      </c>
      <c r="AG214" s="69">
        <v>0.05</v>
      </c>
      <c r="AH214" s="69">
        <v>0.05</v>
      </c>
      <c r="AI214" s="69">
        <v>0.05</v>
      </c>
      <c r="AJ214" s="69">
        <v>0.05</v>
      </c>
      <c r="AK214" s="69">
        <v>0.05</v>
      </c>
      <c r="AL214" s="69">
        <v>0.05</v>
      </c>
      <c r="AM214" s="69">
        <v>0.05</v>
      </c>
      <c r="AN214" s="73">
        <v>0</v>
      </c>
      <c r="AO214" s="95">
        <f t="shared" si="48"/>
        <v>0</v>
      </c>
      <c r="AP214" s="73">
        <v>0</v>
      </c>
      <c r="AQ214" s="95">
        <f t="shared" si="49"/>
        <v>0</v>
      </c>
      <c r="AR214" s="73">
        <v>0</v>
      </c>
      <c r="AS214" s="96">
        <f t="shared" si="50"/>
        <v>0</v>
      </c>
      <c r="AT214" s="73">
        <v>0</v>
      </c>
      <c r="AU214" s="97">
        <f t="shared" si="51"/>
        <v>0</v>
      </c>
      <c r="AV214" s="73">
        <v>0</v>
      </c>
      <c r="AW214" s="97">
        <f t="shared" si="52"/>
        <v>0</v>
      </c>
      <c r="AX214" s="73">
        <v>0</v>
      </c>
      <c r="AY214" s="97">
        <f t="shared" si="53"/>
        <v>0</v>
      </c>
      <c r="AZ214" s="73">
        <v>0</v>
      </c>
      <c r="BA214" s="97">
        <f t="shared" si="54"/>
        <v>0</v>
      </c>
      <c r="BB214" s="73">
        <v>0</v>
      </c>
      <c r="BC214" s="97">
        <f t="shared" si="55"/>
        <v>0</v>
      </c>
      <c r="BD214" s="73">
        <v>0</v>
      </c>
      <c r="BE214" s="97">
        <f t="shared" si="56"/>
        <v>0</v>
      </c>
      <c r="BF214" s="70">
        <v>0</v>
      </c>
      <c r="BG214" s="97">
        <f t="shared" si="44"/>
        <v>0</v>
      </c>
      <c r="BH214" s="70">
        <v>0</v>
      </c>
      <c r="BI214" s="97">
        <f t="shared" si="45"/>
        <v>0</v>
      </c>
      <c r="BJ214" s="70">
        <v>0</v>
      </c>
      <c r="BK214" s="97">
        <f t="shared" si="46"/>
        <v>0</v>
      </c>
      <c r="BL214" s="128"/>
      <c r="BM214" s="131" t="s">
        <v>484</v>
      </c>
    </row>
    <row r="215" spans="1:66" ht="15" thickBot="1">
      <c r="A215" s="93" t="s">
        <v>123</v>
      </c>
      <c r="B215" s="122" t="s">
        <v>184</v>
      </c>
      <c r="C215" s="299"/>
      <c r="D215" s="295"/>
      <c r="E215" s="295"/>
      <c r="F215" s="297"/>
      <c r="G215" s="78">
        <v>2021</v>
      </c>
      <c r="H215" s="76" t="s">
        <v>266</v>
      </c>
      <c r="I215" s="76" t="s">
        <v>196</v>
      </c>
      <c r="J215" s="77" t="s">
        <v>197</v>
      </c>
      <c r="K215" s="81" t="s">
        <v>221</v>
      </c>
      <c r="L215" s="76" t="s">
        <v>192</v>
      </c>
      <c r="M215" s="13" t="s">
        <v>193</v>
      </c>
      <c r="N215" s="75">
        <v>4.51</v>
      </c>
      <c r="O215" s="75">
        <v>4.51</v>
      </c>
      <c r="P215" s="75">
        <v>4.51</v>
      </c>
      <c r="Q215" s="75">
        <v>4.51</v>
      </c>
      <c r="R215" s="75">
        <v>4.51</v>
      </c>
      <c r="S215" s="75">
        <v>4.51</v>
      </c>
      <c r="T215" s="75">
        <v>4.51</v>
      </c>
      <c r="U215" s="75">
        <v>4.51</v>
      </c>
      <c r="V215" s="75">
        <v>4.51</v>
      </c>
      <c r="W215" s="75">
        <v>4.51</v>
      </c>
      <c r="X215" s="75">
        <v>4.51</v>
      </c>
      <c r="Y215" s="75">
        <v>4.51</v>
      </c>
      <c r="Z215" s="75">
        <v>4.51</v>
      </c>
      <c r="AA215" s="13">
        <v>0</v>
      </c>
      <c r="AB215" s="72">
        <v>0</v>
      </c>
      <c r="AC215" s="72">
        <v>0</v>
      </c>
      <c r="AD215" s="72">
        <v>0</v>
      </c>
      <c r="AE215" s="69">
        <v>0</v>
      </c>
      <c r="AF215" s="69">
        <v>0</v>
      </c>
      <c r="AG215" s="69">
        <v>0</v>
      </c>
      <c r="AH215" s="69">
        <v>0</v>
      </c>
      <c r="AI215" s="69">
        <v>0</v>
      </c>
      <c r="AJ215" s="69">
        <v>0</v>
      </c>
      <c r="AK215" s="69">
        <v>0</v>
      </c>
      <c r="AL215" s="69">
        <v>0</v>
      </c>
      <c r="AM215" s="69">
        <v>0</v>
      </c>
      <c r="AN215" s="73">
        <v>0</v>
      </c>
      <c r="AO215" s="95">
        <f t="shared" si="48"/>
        <v>0</v>
      </c>
      <c r="AP215" s="73">
        <v>0</v>
      </c>
      <c r="AQ215" s="95">
        <f t="shared" si="49"/>
        <v>0</v>
      </c>
      <c r="AR215" s="73">
        <v>0</v>
      </c>
      <c r="AS215" s="96">
        <f t="shared" si="50"/>
        <v>0</v>
      </c>
      <c r="AT215" s="73">
        <v>0</v>
      </c>
      <c r="AU215" s="97">
        <f t="shared" si="51"/>
        <v>0</v>
      </c>
      <c r="AV215" s="73">
        <v>0</v>
      </c>
      <c r="AW215" s="97">
        <f t="shared" si="52"/>
        <v>0</v>
      </c>
      <c r="AX215" s="73">
        <v>0</v>
      </c>
      <c r="AY215" s="97">
        <f t="shared" si="53"/>
        <v>0</v>
      </c>
      <c r="AZ215" s="73">
        <v>0</v>
      </c>
      <c r="BA215" s="97">
        <f t="shared" si="54"/>
        <v>0</v>
      </c>
      <c r="BB215" s="73">
        <v>0</v>
      </c>
      <c r="BC215" s="97">
        <f t="shared" si="55"/>
        <v>0</v>
      </c>
      <c r="BD215" s="73">
        <v>0</v>
      </c>
      <c r="BE215" s="97">
        <f t="shared" si="56"/>
        <v>0</v>
      </c>
      <c r="BF215" s="73">
        <v>0</v>
      </c>
      <c r="BG215" s="97">
        <f t="shared" si="44"/>
        <v>0</v>
      </c>
      <c r="BH215" s="73">
        <v>0</v>
      </c>
      <c r="BI215" s="97">
        <f t="shared" si="45"/>
        <v>0</v>
      </c>
      <c r="BJ215" s="73">
        <v>0</v>
      </c>
      <c r="BK215" s="97">
        <f t="shared" si="46"/>
        <v>0</v>
      </c>
      <c r="BL215" s="128"/>
      <c r="BM215" s="131" t="s">
        <v>485</v>
      </c>
    </row>
    <row r="216" spans="1:66" ht="15" thickBot="1">
      <c r="A216" s="93" t="s">
        <v>123</v>
      </c>
      <c r="B216" s="122" t="s">
        <v>184</v>
      </c>
      <c r="C216" s="299"/>
      <c r="D216" s="295"/>
      <c r="E216" s="295"/>
      <c r="F216" s="297"/>
      <c r="G216" s="78">
        <v>2016</v>
      </c>
      <c r="H216" s="76" t="s">
        <v>232</v>
      </c>
      <c r="I216" s="76" t="s">
        <v>196</v>
      </c>
      <c r="J216" s="77" t="s">
        <v>197</v>
      </c>
      <c r="K216" s="81" t="s">
        <v>235</v>
      </c>
      <c r="L216" s="76" t="s">
        <v>192</v>
      </c>
      <c r="M216" s="13" t="s">
        <v>193</v>
      </c>
      <c r="N216" s="75">
        <v>5.5</v>
      </c>
      <c r="O216" s="75">
        <v>5.5</v>
      </c>
      <c r="P216" s="75">
        <v>5.5</v>
      </c>
      <c r="Q216" s="75">
        <v>5.5</v>
      </c>
      <c r="R216" s="75">
        <v>5.5</v>
      </c>
      <c r="S216" s="75">
        <v>5.5</v>
      </c>
      <c r="T216" s="75">
        <v>5.5</v>
      </c>
      <c r="U216" s="75">
        <v>5.5</v>
      </c>
      <c r="V216" s="75">
        <v>5.5</v>
      </c>
      <c r="W216" s="75">
        <v>5.5</v>
      </c>
      <c r="X216" s="75">
        <v>5.5</v>
      </c>
      <c r="Y216" s="75">
        <v>5.5</v>
      </c>
      <c r="Z216" s="75">
        <v>5.5</v>
      </c>
      <c r="AA216" s="13">
        <v>0</v>
      </c>
      <c r="AB216" s="72">
        <v>0.05</v>
      </c>
      <c r="AC216" s="72">
        <v>0.05</v>
      </c>
      <c r="AD216" s="72">
        <v>0.05</v>
      </c>
      <c r="AE216" s="69">
        <v>0.05</v>
      </c>
      <c r="AF216" s="69">
        <v>0.05</v>
      </c>
      <c r="AG216" s="69">
        <v>0.05</v>
      </c>
      <c r="AH216" s="69">
        <v>0.05</v>
      </c>
      <c r="AI216" s="69">
        <v>0.05</v>
      </c>
      <c r="AJ216" s="69">
        <v>0.05</v>
      </c>
      <c r="AK216" s="69">
        <v>0.05</v>
      </c>
      <c r="AL216" s="69">
        <v>0.05</v>
      </c>
      <c r="AM216" s="69">
        <v>0.05</v>
      </c>
      <c r="AN216" s="73">
        <v>0</v>
      </c>
      <c r="AO216" s="95">
        <f t="shared" si="48"/>
        <v>0</v>
      </c>
      <c r="AP216" s="73">
        <v>0</v>
      </c>
      <c r="AQ216" s="95">
        <f t="shared" si="49"/>
        <v>0</v>
      </c>
      <c r="AR216" s="73">
        <v>0</v>
      </c>
      <c r="AS216" s="96">
        <f t="shared" si="50"/>
        <v>0</v>
      </c>
      <c r="AT216" s="73">
        <v>0</v>
      </c>
      <c r="AU216" s="97">
        <f t="shared" si="51"/>
        <v>0</v>
      </c>
      <c r="AV216" s="73">
        <v>0</v>
      </c>
      <c r="AW216" s="97">
        <f t="shared" si="52"/>
        <v>0</v>
      </c>
      <c r="AX216" s="73">
        <v>0</v>
      </c>
      <c r="AY216" s="97">
        <f t="shared" si="53"/>
        <v>0</v>
      </c>
      <c r="AZ216" s="73">
        <v>0</v>
      </c>
      <c r="BA216" s="97">
        <f t="shared" si="54"/>
        <v>0</v>
      </c>
      <c r="BB216" s="73">
        <v>0</v>
      </c>
      <c r="BC216" s="97">
        <f t="shared" si="55"/>
        <v>0</v>
      </c>
      <c r="BD216" s="73">
        <v>0</v>
      </c>
      <c r="BE216" s="97">
        <f>AJ216*BD216</f>
        <v>0</v>
      </c>
      <c r="BF216" s="73">
        <v>1560</v>
      </c>
      <c r="BG216" s="97">
        <f t="shared" si="44"/>
        <v>78</v>
      </c>
      <c r="BH216" s="70">
        <v>0</v>
      </c>
      <c r="BI216" s="97">
        <f>AL216*BH216</f>
        <v>0</v>
      </c>
      <c r="BJ216" s="73">
        <v>0</v>
      </c>
      <c r="BK216" s="97">
        <f>AM216*BJ216</f>
        <v>0</v>
      </c>
      <c r="BL216" s="128"/>
      <c r="BM216" s="131" t="s">
        <v>486</v>
      </c>
    </row>
    <row r="217" spans="1:66" ht="15" thickBot="1">
      <c r="A217" s="93" t="s">
        <v>123</v>
      </c>
      <c r="B217" s="122" t="s">
        <v>184</v>
      </c>
      <c r="C217" s="299"/>
      <c r="D217" s="295"/>
      <c r="E217" s="295"/>
      <c r="F217" s="297"/>
      <c r="G217" s="78">
        <v>2016</v>
      </c>
      <c r="H217" s="76" t="s">
        <v>305</v>
      </c>
      <c r="I217" s="76" t="s">
        <v>196</v>
      </c>
      <c r="J217" s="77" t="s">
        <v>197</v>
      </c>
      <c r="K217" s="81" t="s">
        <v>306</v>
      </c>
      <c r="L217" s="76" t="s">
        <v>192</v>
      </c>
      <c r="M217" s="13" t="s">
        <v>193</v>
      </c>
      <c r="N217" s="75">
        <v>4.1399999999999997</v>
      </c>
      <c r="O217" s="75">
        <v>4.1399999999999997</v>
      </c>
      <c r="P217" s="75">
        <v>4.1399999999999997</v>
      </c>
      <c r="Q217" s="75">
        <v>4.1399999999999997</v>
      </c>
      <c r="R217" s="75">
        <v>4.1399999999999997</v>
      </c>
      <c r="S217" s="75">
        <v>4.1399999999999997</v>
      </c>
      <c r="T217" s="75">
        <v>4.1399999999999997</v>
      </c>
      <c r="U217" s="75">
        <v>4.1399999999999997</v>
      </c>
      <c r="V217" s="75">
        <v>4.1399999999999997</v>
      </c>
      <c r="W217" s="75">
        <v>4.1399999999999997</v>
      </c>
      <c r="X217" s="75">
        <v>4.1399999999999997</v>
      </c>
      <c r="Y217" s="75">
        <v>4.1399999999999997</v>
      </c>
      <c r="Z217" s="75">
        <v>4.1399999999999997</v>
      </c>
      <c r="AA217" s="13">
        <v>0</v>
      </c>
      <c r="AB217" s="72">
        <v>0.04</v>
      </c>
      <c r="AC217" s="72">
        <v>0.04</v>
      </c>
      <c r="AD217" s="72">
        <v>0.04</v>
      </c>
      <c r="AE217" s="69">
        <v>0.04</v>
      </c>
      <c r="AF217" s="69">
        <v>0.04</v>
      </c>
      <c r="AG217" s="69">
        <v>0.04</v>
      </c>
      <c r="AH217" s="69">
        <v>0.04</v>
      </c>
      <c r="AI217" s="72">
        <v>0.04</v>
      </c>
      <c r="AJ217" s="69">
        <v>0.04</v>
      </c>
      <c r="AK217" s="69">
        <v>0.04</v>
      </c>
      <c r="AL217" s="69">
        <v>0.04</v>
      </c>
      <c r="AM217" s="69">
        <v>0.04</v>
      </c>
      <c r="AN217" s="73">
        <v>0</v>
      </c>
      <c r="AO217" s="95">
        <f t="shared" si="48"/>
        <v>0</v>
      </c>
      <c r="AP217" s="73">
        <v>0</v>
      </c>
      <c r="AQ217" s="95">
        <f t="shared" si="49"/>
        <v>0</v>
      </c>
      <c r="AR217" s="73">
        <v>0</v>
      </c>
      <c r="AS217" s="96">
        <f t="shared" si="50"/>
        <v>0</v>
      </c>
      <c r="AT217" s="73">
        <v>0</v>
      </c>
      <c r="AU217" s="97">
        <f t="shared" si="51"/>
        <v>0</v>
      </c>
      <c r="AV217" s="73">
        <v>0</v>
      </c>
      <c r="AW217" s="97">
        <f t="shared" si="52"/>
        <v>0</v>
      </c>
      <c r="AX217" s="73">
        <v>0</v>
      </c>
      <c r="AY217" s="97">
        <f t="shared" si="53"/>
        <v>0</v>
      </c>
      <c r="AZ217" s="73">
        <v>0</v>
      </c>
      <c r="BA217" s="97">
        <f t="shared" si="54"/>
        <v>0</v>
      </c>
      <c r="BB217" s="73">
        <v>0</v>
      </c>
      <c r="BC217" s="97">
        <f t="shared" si="55"/>
        <v>0</v>
      </c>
      <c r="BD217" s="73">
        <v>2880</v>
      </c>
      <c r="BE217" s="97">
        <f t="shared" si="56"/>
        <v>115.2</v>
      </c>
      <c r="BF217" s="73">
        <v>0</v>
      </c>
      <c r="BG217" s="97">
        <f t="shared" si="44"/>
        <v>0</v>
      </c>
      <c r="BH217" s="73">
        <v>0</v>
      </c>
      <c r="BI217" s="97">
        <f>AL217*BH217</f>
        <v>0</v>
      </c>
      <c r="BJ217" s="70">
        <v>0</v>
      </c>
      <c r="BK217" s="97">
        <f>AM217*BJ217</f>
        <v>0</v>
      </c>
      <c r="BL217" s="128"/>
      <c r="BM217" s="131" t="s">
        <v>394</v>
      </c>
    </row>
    <row r="218" spans="1:66" ht="15" thickBot="1">
      <c r="A218" s="93" t="s">
        <v>123</v>
      </c>
      <c r="B218" s="122" t="s">
        <v>184</v>
      </c>
      <c r="C218" s="299"/>
      <c r="D218" s="295"/>
      <c r="E218" s="295"/>
      <c r="F218" s="297"/>
      <c r="G218" s="78">
        <v>2016</v>
      </c>
      <c r="H218" s="76" t="s">
        <v>305</v>
      </c>
      <c r="I218" s="76" t="s">
        <v>196</v>
      </c>
      <c r="J218" s="77" t="s">
        <v>197</v>
      </c>
      <c r="K218" s="81" t="s">
        <v>397</v>
      </c>
      <c r="L218" s="76" t="s">
        <v>192</v>
      </c>
      <c r="M218" s="13" t="s">
        <v>193</v>
      </c>
      <c r="N218" s="75">
        <v>4.1399999999999997</v>
      </c>
      <c r="O218" s="75">
        <v>4.1399999999999997</v>
      </c>
      <c r="P218" s="75">
        <v>4.1399999999999997</v>
      </c>
      <c r="Q218" s="75">
        <v>4.1399999999999997</v>
      </c>
      <c r="R218" s="75">
        <v>4.1399999999999997</v>
      </c>
      <c r="S218" s="75">
        <v>4.1399999999999997</v>
      </c>
      <c r="T218" s="75">
        <v>4.1399999999999997</v>
      </c>
      <c r="U218" s="75">
        <v>4.1399999999999997</v>
      </c>
      <c r="V218" s="75">
        <v>4.1399999999999997</v>
      </c>
      <c r="W218" s="75">
        <v>4.1399999999999997</v>
      </c>
      <c r="X218" s="75">
        <v>4.1399999999999997</v>
      </c>
      <c r="Y218" s="75">
        <v>4.1399999999999997</v>
      </c>
      <c r="Z218" s="75">
        <v>4.1399999999999997</v>
      </c>
      <c r="AA218" s="13">
        <v>0</v>
      </c>
      <c r="AB218" s="72">
        <v>0.04</v>
      </c>
      <c r="AC218" s="72">
        <v>0.04</v>
      </c>
      <c r="AD218" s="72">
        <v>0.04</v>
      </c>
      <c r="AE218" s="69">
        <v>0.04</v>
      </c>
      <c r="AF218" s="69">
        <v>0.04</v>
      </c>
      <c r="AG218" s="69">
        <v>0.04</v>
      </c>
      <c r="AH218" s="69">
        <v>0.04</v>
      </c>
      <c r="AI218" s="72">
        <v>0.04</v>
      </c>
      <c r="AJ218" s="69">
        <v>0.04</v>
      </c>
      <c r="AK218" s="69">
        <v>0.04</v>
      </c>
      <c r="AL218" s="69">
        <v>0.04</v>
      </c>
      <c r="AM218" s="69">
        <v>0.04</v>
      </c>
      <c r="AN218" s="73">
        <v>0</v>
      </c>
      <c r="AO218" s="95">
        <f t="shared" si="48"/>
        <v>0</v>
      </c>
      <c r="AP218" s="73">
        <v>0</v>
      </c>
      <c r="AQ218" s="95">
        <f t="shared" si="49"/>
        <v>0</v>
      </c>
      <c r="AR218" s="73">
        <v>0</v>
      </c>
      <c r="AS218" s="96">
        <f t="shared" si="50"/>
        <v>0</v>
      </c>
      <c r="AT218" s="73">
        <v>0</v>
      </c>
      <c r="AU218" s="97">
        <f t="shared" si="51"/>
        <v>0</v>
      </c>
      <c r="AV218" s="73">
        <v>0</v>
      </c>
      <c r="AW218" s="97">
        <f t="shared" si="52"/>
        <v>0</v>
      </c>
      <c r="AX218" s="73">
        <v>0</v>
      </c>
      <c r="AY218" s="97">
        <f t="shared" si="53"/>
        <v>0</v>
      </c>
      <c r="AZ218" s="73">
        <v>0</v>
      </c>
      <c r="BA218" s="97">
        <f t="shared" si="54"/>
        <v>0</v>
      </c>
      <c r="BB218" s="73">
        <v>0</v>
      </c>
      <c r="BC218" s="97">
        <f t="shared" si="55"/>
        <v>0</v>
      </c>
      <c r="BD218" s="73">
        <v>2880</v>
      </c>
      <c r="BE218" s="97">
        <f t="shared" si="56"/>
        <v>115.2</v>
      </c>
      <c r="BF218" s="73">
        <v>0</v>
      </c>
      <c r="BG218" s="97">
        <f t="shared" si="44"/>
        <v>0</v>
      </c>
      <c r="BH218" s="73">
        <v>0</v>
      </c>
      <c r="BI218" s="97">
        <f t="shared" si="45"/>
        <v>0</v>
      </c>
      <c r="BJ218" s="73">
        <v>0</v>
      </c>
      <c r="BK218" s="97">
        <f t="shared" si="46"/>
        <v>0</v>
      </c>
      <c r="BL218" s="128"/>
      <c r="BM218" s="131" t="s">
        <v>399</v>
      </c>
    </row>
    <row r="219" spans="1:66" ht="15" thickBot="1">
      <c r="A219" s="93" t="s">
        <v>123</v>
      </c>
      <c r="B219" s="122" t="s">
        <v>184</v>
      </c>
      <c r="C219" s="299"/>
      <c r="D219" s="295"/>
      <c r="E219" s="295"/>
      <c r="F219" s="297"/>
      <c r="G219" s="78">
        <v>2016</v>
      </c>
      <c r="H219" s="76" t="s">
        <v>232</v>
      </c>
      <c r="I219" s="76" t="s">
        <v>196</v>
      </c>
      <c r="J219" s="77" t="s">
        <v>197</v>
      </c>
      <c r="K219" s="81" t="s">
        <v>434</v>
      </c>
      <c r="L219" s="76" t="s">
        <v>192</v>
      </c>
      <c r="M219" s="13" t="s">
        <v>193</v>
      </c>
      <c r="N219" s="75">
        <v>7.45</v>
      </c>
      <c r="O219" s="75">
        <v>7.45</v>
      </c>
      <c r="P219" s="75">
        <v>7.45</v>
      </c>
      <c r="Q219" s="75">
        <v>7.45</v>
      </c>
      <c r="R219" s="75">
        <v>7.45</v>
      </c>
      <c r="S219" s="75">
        <v>7.45</v>
      </c>
      <c r="T219" s="75">
        <v>7.45</v>
      </c>
      <c r="U219" s="75">
        <v>7.45</v>
      </c>
      <c r="V219" s="75">
        <v>7.45</v>
      </c>
      <c r="W219" s="75">
        <v>7.45</v>
      </c>
      <c r="X219" s="75">
        <v>7.45</v>
      </c>
      <c r="Y219" s="75">
        <v>7.45</v>
      </c>
      <c r="Z219" s="75">
        <v>7.45</v>
      </c>
      <c r="AA219" s="13">
        <v>0</v>
      </c>
      <c r="AB219" s="72">
        <v>0.05</v>
      </c>
      <c r="AC219" s="72">
        <v>0.05</v>
      </c>
      <c r="AD219" s="72">
        <v>0.05</v>
      </c>
      <c r="AE219" s="72">
        <v>0.05</v>
      </c>
      <c r="AF219" s="72">
        <v>0.05</v>
      </c>
      <c r="AG219" s="72">
        <v>0.05</v>
      </c>
      <c r="AH219" s="72">
        <v>0.05</v>
      </c>
      <c r="AI219" s="72">
        <v>0.05</v>
      </c>
      <c r="AJ219" s="72">
        <v>0.05</v>
      </c>
      <c r="AK219" s="72">
        <v>0.05</v>
      </c>
      <c r="AL219" s="72">
        <v>0.05</v>
      </c>
      <c r="AM219" s="72">
        <v>0.05</v>
      </c>
      <c r="AN219" s="73">
        <v>0</v>
      </c>
      <c r="AO219" s="95">
        <f t="shared" si="48"/>
        <v>0</v>
      </c>
      <c r="AP219" s="73">
        <v>0</v>
      </c>
      <c r="AQ219" s="95">
        <f t="shared" si="49"/>
        <v>0</v>
      </c>
      <c r="AR219" s="73">
        <v>0</v>
      </c>
      <c r="AS219" s="96">
        <f t="shared" si="50"/>
        <v>0</v>
      </c>
      <c r="AT219" s="79">
        <v>0</v>
      </c>
      <c r="AU219" s="97">
        <f t="shared" si="51"/>
        <v>0</v>
      </c>
      <c r="AV219" s="79">
        <v>0</v>
      </c>
      <c r="AW219" s="97">
        <f t="shared" si="52"/>
        <v>0</v>
      </c>
      <c r="AX219" s="79">
        <v>0</v>
      </c>
      <c r="AY219" s="97">
        <f t="shared" si="53"/>
        <v>0</v>
      </c>
      <c r="AZ219" s="73">
        <v>0</v>
      </c>
      <c r="BA219" s="97">
        <f t="shared" si="54"/>
        <v>0</v>
      </c>
      <c r="BB219" s="73">
        <v>0</v>
      </c>
      <c r="BC219" s="97">
        <f t="shared" si="55"/>
        <v>0</v>
      </c>
      <c r="BD219" s="73">
        <v>0</v>
      </c>
      <c r="BE219" s="97">
        <f t="shared" si="56"/>
        <v>0</v>
      </c>
      <c r="BF219" s="73">
        <v>0</v>
      </c>
      <c r="BG219" s="97">
        <f t="shared" si="44"/>
        <v>0</v>
      </c>
      <c r="BH219" s="73">
        <v>0</v>
      </c>
      <c r="BI219" s="97">
        <f t="shared" si="45"/>
        <v>0</v>
      </c>
      <c r="BJ219" s="73">
        <v>6000</v>
      </c>
      <c r="BK219" s="97">
        <f t="shared" si="46"/>
        <v>300</v>
      </c>
      <c r="BL219" s="128"/>
      <c r="BM219" s="131" t="s">
        <v>435</v>
      </c>
    </row>
    <row r="220" spans="1:66">
      <c r="A220" s="93" t="s">
        <v>123</v>
      </c>
      <c r="B220" s="124" t="s">
        <v>199</v>
      </c>
      <c r="C220" s="299"/>
      <c r="D220" s="295"/>
      <c r="E220" s="295"/>
      <c r="F220" s="297"/>
      <c r="G220" s="78">
        <v>2020</v>
      </c>
      <c r="H220" s="76" t="s">
        <v>200</v>
      </c>
      <c r="I220" s="76" t="s">
        <v>201</v>
      </c>
      <c r="J220" s="77" t="s">
        <v>197</v>
      </c>
      <c r="K220" s="81" t="s">
        <v>191</v>
      </c>
      <c r="L220" s="76" t="s">
        <v>192</v>
      </c>
      <c r="M220" s="13" t="s">
        <v>193</v>
      </c>
      <c r="N220" s="75">
        <v>9.02</v>
      </c>
      <c r="O220" s="75">
        <v>9.02</v>
      </c>
      <c r="P220" s="75">
        <v>9.02</v>
      </c>
      <c r="Q220" s="75">
        <v>9.02</v>
      </c>
      <c r="R220" s="75">
        <v>9.02</v>
      </c>
      <c r="S220" s="75">
        <v>9.02</v>
      </c>
      <c r="T220" s="75">
        <v>9.02</v>
      </c>
      <c r="U220" s="75">
        <v>9.02</v>
      </c>
      <c r="V220" s="75">
        <v>9.02</v>
      </c>
      <c r="W220" s="75">
        <v>9.02</v>
      </c>
      <c r="X220" s="75">
        <v>9.02</v>
      </c>
      <c r="Y220" s="75">
        <v>9.02</v>
      </c>
      <c r="Z220" s="75">
        <v>9.02</v>
      </c>
      <c r="AA220" s="13">
        <v>0</v>
      </c>
      <c r="AB220" s="72">
        <v>0</v>
      </c>
      <c r="AC220" s="72">
        <v>0</v>
      </c>
      <c r="AD220" s="72">
        <v>0</v>
      </c>
      <c r="AE220" s="69">
        <v>0</v>
      </c>
      <c r="AF220" s="69">
        <v>0</v>
      </c>
      <c r="AG220" s="69">
        <v>0</v>
      </c>
      <c r="AH220" s="69">
        <v>0</v>
      </c>
      <c r="AI220" s="69">
        <v>0</v>
      </c>
      <c r="AJ220" s="69">
        <v>0</v>
      </c>
      <c r="AK220" s="69">
        <v>0</v>
      </c>
      <c r="AL220" s="69">
        <v>0</v>
      </c>
      <c r="AM220" s="69">
        <v>0</v>
      </c>
      <c r="AN220" s="70">
        <v>0</v>
      </c>
      <c r="AO220" s="95">
        <f t="shared" si="37"/>
        <v>0</v>
      </c>
      <c r="AP220" s="70">
        <v>0</v>
      </c>
      <c r="AQ220" s="95">
        <f t="shared" si="38"/>
        <v>0</v>
      </c>
      <c r="AR220" s="70">
        <v>0</v>
      </c>
      <c r="AS220" s="96">
        <f t="shared" si="39"/>
        <v>0</v>
      </c>
      <c r="AT220" s="70">
        <v>0</v>
      </c>
      <c r="AU220" s="97">
        <f t="shared" si="40"/>
        <v>0</v>
      </c>
      <c r="AV220" s="70">
        <v>0</v>
      </c>
      <c r="AW220" s="97">
        <f t="shared" si="41"/>
        <v>0</v>
      </c>
      <c r="AX220" s="70">
        <v>0</v>
      </c>
      <c r="AY220" s="97">
        <f t="shared" si="42"/>
        <v>0</v>
      </c>
      <c r="AZ220" s="70">
        <v>0</v>
      </c>
      <c r="BA220" s="97">
        <f t="shared" si="36"/>
        <v>0</v>
      </c>
      <c r="BB220" s="70">
        <v>0</v>
      </c>
      <c r="BC220" s="97">
        <f t="shared" si="47"/>
        <v>0</v>
      </c>
      <c r="BD220" s="70">
        <v>0</v>
      </c>
      <c r="BE220" s="97">
        <f t="shared" si="43"/>
        <v>0</v>
      </c>
      <c r="BF220" s="70">
        <v>1280</v>
      </c>
      <c r="BG220" s="97">
        <f t="shared" si="44"/>
        <v>0</v>
      </c>
      <c r="BH220" s="70">
        <v>0</v>
      </c>
      <c r="BI220" s="97">
        <f t="shared" si="45"/>
        <v>0</v>
      </c>
      <c r="BJ220" s="73">
        <v>2560</v>
      </c>
      <c r="BK220" s="97">
        <f t="shared" si="46"/>
        <v>0</v>
      </c>
      <c r="BL220" s="108"/>
      <c r="BM220" s="132" t="s">
        <v>487</v>
      </c>
    </row>
    <row r="221" spans="1:66">
      <c r="BJ221" s="73"/>
      <c r="BK221" s="97"/>
    </row>
    <row r="222" spans="1:66">
      <c r="BJ222" s="73"/>
    </row>
    <row r="223" spans="1:66">
      <c r="BJ223" s="73"/>
    </row>
    <row r="225" spans="62:62">
      <c r="BJ225" s="73"/>
    </row>
    <row r="226" spans="62:62">
      <c r="BJ226" s="73"/>
    </row>
  </sheetData>
  <autoFilter ref="A2:BN220" xr:uid="{00000000-0009-0000-0000-000004000000}"/>
  <mergeCells count="4">
    <mergeCell ref="D3:D220"/>
    <mergeCell ref="E3:E220"/>
    <mergeCell ref="F3:F220"/>
    <mergeCell ref="C3:C220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13" orientation="landscape" r:id="rId1"/>
  <customProperties>
    <customPr name="EpmWorksheetKeyString_GU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3:G143"/>
  <sheetViews>
    <sheetView zoomScale="85" zoomScaleNormal="85" workbookViewId="0">
      <selection activeCell="F138" sqref="F138"/>
    </sheetView>
  </sheetViews>
  <sheetFormatPr defaultRowHeight="16.2"/>
  <cols>
    <col min="1" max="1" width="2.33203125" customWidth="1"/>
    <col min="2" max="2" width="26.33203125" customWidth="1"/>
    <col min="3" max="3" width="22.33203125" customWidth="1"/>
    <col min="4" max="4" width="20.33203125" customWidth="1"/>
    <col min="5" max="5" width="14.33203125" customWidth="1"/>
    <col min="6" max="7" width="18.33203125" customWidth="1"/>
  </cols>
  <sheetData>
    <row r="3" spans="2:7" ht="16.8" thickBot="1">
      <c r="B3" s="24" t="s">
        <v>77</v>
      </c>
      <c r="C3" s="25"/>
      <c r="D3" s="25"/>
      <c r="E3" s="25"/>
      <c r="F3" s="25"/>
      <c r="G3" s="25"/>
    </row>
    <row r="4" spans="2:7" ht="29.4" thickBot="1">
      <c r="B4" s="26"/>
      <c r="C4" s="27" t="s">
        <v>78</v>
      </c>
      <c r="D4" s="36">
        <v>45231</v>
      </c>
      <c r="E4" s="36">
        <v>45261</v>
      </c>
      <c r="F4" s="36">
        <v>45292</v>
      </c>
      <c r="G4" s="28" t="s">
        <v>488</v>
      </c>
    </row>
    <row r="5" spans="2:7" ht="16.8" thickBot="1">
      <c r="B5" s="287" t="s">
        <v>80</v>
      </c>
      <c r="C5" s="30" t="s">
        <v>81</v>
      </c>
      <c r="D5" s="30"/>
      <c r="E5" s="30"/>
      <c r="F5" s="30"/>
      <c r="G5" s="30"/>
    </row>
    <row r="6" spans="2:7" ht="16.8" thickBot="1">
      <c r="B6" s="288"/>
      <c r="C6" s="30" t="s">
        <v>82</v>
      </c>
      <c r="D6" s="30"/>
      <c r="E6" s="30"/>
      <c r="F6" s="30"/>
      <c r="G6" s="30"/>
    </row>
    <row r="7" spans="2:7" ht="16.8" thickBot="1">
      <c r="B7" s="288"/>
      <c r="C7" s="30" t="s">
        <v>83</v>
      </c>
      <c r="D7" s="30"/>
      <c r="E7" s="30"/>
      <c r="F7" s="30"/>
      <c r="G7" s="30"/>
    </row>
    <row r="8" spans="2:7" ht="16.8" thickBot="1">
      <c r="B8" s="288"/>
      <c r="C8" s="30" t="s">
        <v>84</v>
      </c>
      <c r="D8" s="30"/>
      <c r="E8" s="30"/>
      <c r="F8" s="30"/>
      <c r="G8" s="30"/>
    </row>
    <row r="9" spans="2:7" ht="16.8" thickBot="1">
      <c r="B9" s="288"/>
      <c r="C9" s="30" t="s">
        <v>85</v>
      </c>
      <c r="D9" s="30"/>
      <c r="E9" s="30"/>
      <c r="F9" s="30"/>
      <c r="G9" s="30"/>
    </row>
    <row r="10" spans="2:7" ht="16.8" thickBot="1">
      <c r="B10" s="288"/>
      <c r="C10" s="30" t="s">
        <v>86</v>
      </c>
      <c r="D10" s="30"/>
      <c r="E10" s="30"/>
      <c r="F10" s="30"/>
      <c r="G10" s="30"/>
    </row>
    <row r="11" spans="2:7" ht="16.8" thickBot="1">
      <c r="B11" s="288"/>
      <c r="C11" s="30" t="s">
        <v>87</v>
      </c>
      <c r="D11" s="30"/>
      <c r="E11" s="30"/>
      <c r="F11" s="30"/>
      <c r="G11" s="30"/>
    </row>
    <row r="12" spans="2:7" ht="16.8" thickBot="1">
      <c r="B12" s="288"/>
      <c r="C12" s="30" t="s">
        <v>88</v>
      </c>
      <c r="D12" s="30"/>
      <c r="E12" s="30"/>
      <c r="F12" s="30"/>
      <c r="G12" s="30"/>
    </row>
    <row r="13" spans="2:7" ht="16.8" thickBot="1">
      <c r="B13" s="288"/>
      <c r="C13" s="30" t="s">
        <v>89</v>
      </c>
      <c r="D13" s="30"/>
      <c r="E13" s="30"/>
      <c r="F13" s="30"/>
      <c r="G13" s="30"/>
    </row>
    <row r="14" spans="2:7" ht="16.8" thickBot="1">
      <c r="B14" s="288"/>
      <c r="C14" s="30" t="s">
        <v>90</v>
      </c>
      <c r="D14" s="31"/>
      <c r="E14" s="30"/>
      <c r="F14" s="30"/>
      <c r="G14" s="30"/>
    </row>
    <row r="15" spans="2:7" ht="16.8" thickBot="1">
      <c r="B15" s="288"/>
      <c r="C15" s="29" t="s">
        <v>91</v>
      </c>
      <c r="D15" s="32"/>
      <c r="E15" s="30"/>
      <c r="F15" s="30"/>
      <c r="G15" s="30"/>
    </row>
    <row r="16" spans="2:7" ht="16.8" thickBot="1">
      <c r="B16" s="289"/>
      <c r="C16" s="33" t="s">
        <v>92</v>
      </c>
      <c r="D16" s="30"/>
      <c r="E16" s="30"/>
      <c r="F16" s="30"/>
      <c r="G16" s="30"/>
    </row>
    <row r="17" spans="2:7" ht="16.8" thickBot="1">
      <c r="B17" s="290" t="s">
        <v>93</v>
      </c>
      <c r="C17" s="30" t="s">
        <v>94</v>
      </c>
      <c r="D17" s="30"/>
      <c r="E17" s="30"/>
      <c r="F17" s="30"/>
      <c r="G17" s="30"/>
    </row>
    <row r="18" spans="2:7" ht="16.8" thickBot="1">
      <c r="B18" s="291"/>
      <c r="C18" s="30" t="s">
        <v>88</v>
      </c>
      <c r="D18" s="30"/>
      <c r="E18" s="30"/>
      <c r="F18" s="30"/>
      <c r="G18" s="30"/>
    </row>
    <row r="19" spans="2:7" ht="16.8" thickBot="1">
      <c r="B19" s="291"/>
      <c r="C19" s="30" t="s">
        <v>95</v>
      </c>
      <c r="D19" s="30"/>
      <c r="E19" s="30"/>
      <c r="F19" s="30"/>
      <c r="G19" s="30"/>
    </row>
    <row r="20" spans="2:7" ht="16.8" thickBot="1">
      <c r="B20" s="291"/>
      <c r="C20" s="30" t="s">
        <v>96</v>
      </c>
      <c r="D20" s="30"/>
      <c r="E20" s="30"/>
      <c r="F20" s="30"/>
      <c r="G20" s="30"/>
    </row>
    <row r="21" spans="2:7" ht="16.8" thickBot="1">
      <c r="B21" s="291"/>
      <c r="C21" s="30" t="s">
        <v>97</v>
      </c>
      <c r="D21" s="31"/>
      <c r="E21" s="31"/>
      <c r="F21" s="31"/>
      <c r="G21" s="30"/>
    </row>
    <row r="22" spans="2:7" ht="16.8" thickBot="1">
      <c r="B22" s="291"/>
      <c r="C22" s="30" t="s">
        <v>98</v>
      </c>
      <c r="D22" s="31"/>
      <c r="E22" s="31"/>
      <c r="F22" s="30"/>
      <c r="G22" s="30"/>
    </row>
    <row r="23" spans="2:7" ht="16.8" thickBot="1">
      <c r="B23" s="291"/>
      <c r="C23" s="30" t="s">
        <v>99</v>
      </c>
      <c r="D23" s="30"/>
      <c r="E23" s="31"/>
      <c r="F23" s="30"/>
      <c r="G23" s="30"/>
    </row>
    <row r="24" spans="2:7" ht="16.8" thickBot="1">
      <c r="B24" s="291"/>
      <c r="C24" s="30" t="s">
        <v>91</v>
      </c>
      <c r="D24" s="30"/>
      <c r="E24" s="31"/>
      <c r="F24" s="30"/>
      <c r="G24" s="30"/>
    </row>
    <row r="25" spans="2:7" ht="16.8" thickBot="1">
      <c r="B25" s="292"/>
      <c r="C25" s="30" t="s">
        <v>92</v>
      </c>
      <c r="D25" s="30"/>
      <c r="E25" s="31"/>
      <c r="F25" s="31"/>
      <c r="G25" s="30"/>
    </row>
    <row r="26" spans="2:7" ht="16.8" thickBot="1">
      <c r="B26" s="25"/>
      <c r="C26" s="25"/>
      <c r="D26" s="25"/>
      <c r="E26" s="25"/>
      <c r="F26" s="25"/>
      <c r="G26" s="34"/>
    </row>
    <row r="27" spans="2:7">
      <c r="B27" s="25"/>
      <c r="C27" s="25"/>
      <c r="D27" s="25"/>
      <c r="E27" s="25"/>
      <c r="F27" s="25"/>
      <c r="G27" s="25"/>
    </row>
    <row r="28" spans="2:7" ht="16.8" thickBot="1">
      <c r="B28" s="24" t="s">
        <v>77</v>
      </c>
      <c r="C28" s="25"/>
      <c r="D28" s="25"/>
      <c r="E28" s="25"/>
      <c r="F28" s="25"/>
      <c r="G28" s="25"/>
    </row>
    <row r="29" spans="2:7" ht="29.4" thickBot="1">
      <c r="B29" s="43"/>
      <c r="C29" s="27" t="s">
        <v>100</v>
      </c>
      <c r="D29" s="36">
        <v>45231</v>
      </c>
      <c r="E29" s="36">
        <v>45261</v>
      </c>
      <c r="F29" s="36">
        <v>45292</v>
      </c>
      <c r="G29" s="28" t="s">
        <v>488</v>
      </c>
    </row>
    <row r="30" spans="2:7" ht="16.8" thickBot="1">
      <c r="B30" s="293" t="s">
        <v>101</v>
      </c>
      <c r="C30" s="30" t="s">
        <v>102</v>
      </c>
      <c r="D30" s="30">
        <f>'FY24 Summary_1'!C4</f>
        <v>36153.599999999999</v>
      </c>
      <c r="E30" s="30">
        <f>'FY24 Summary_1'!D4</f>
        <v>24589.200000000001</v>
      </c>
      <c r="F30" s="30">
        <f>'FY24 Summary_1'!E4</f>
        <v>45935.6</v>
      </c>
      <c r="G30" s="30">
        <f>SUM(D30:F30)</f>
        <v>106678.39999999999</v>
      </c>
    </row>
    <row r="31" spans="2:7" ht="16.8" thickBot="1">
      <c r="B31" s="293"/>
      <c r="C31" s="30" t="s">
        <v>103</v>
      </c>
      <c r="D31" s="30"/>
      <c r="E31" s="30"/>
      <c r="F31" s="30"/>
      <c r="G31" s="30"/>
    </row>
    <row r="32" spans="2:7" ht="16.8" thickBot="1">
      <c r="B32" s="293"/>
      <c r="C32" s="30" t="s">
        <v>104</v>
      </c>
      <c r="D32" s="30"/>
      <c r="E32" s="30"/>
      <c r="F32" s="30"/>
      <c r="G32" s="30"/>
    </row>
    <row r="33" spans="2:7" ht="16.8" thickBot="1">
      <c r="B33" s="293"/>
      <c r="C33" s="30" t="s">
        <v>105</v>
      </c>
      <c r="D33" s="30"/>
      <c r="E33" s="30"/>
      <c r="F33" s="30"/>
      <c r="G33" s="30"/>
    </row>
    <row r="34" spans="2:7" ht="16.8" thickBot="1">
      <c r="B34" s="293"/>
      <c r="C34" s="30" t="s">
        <v>106</v>
      </c>
      <c r="D34" s="30"/>
      <c r="E34" s="30"/>
      <c r="F34" s="30"/>
      <c r="G34" s="30"/>
    </row>
    <row r="35" spans="2:7" ht="16.8" thickBot="1">
      <c r="B35" s="293"/>
      <c r="C35" s="30" t="s">
        <v>107</v>
      </c>
      <c r="D35" s="30"/>
      <c r="E35" s="30"/>
      <c r="F35" s="30"/>
      <c r="G35" s="30"/>
    </row>
    <row r="36" spans="2:7" ht="16.8" thickBot="1">
      <c r="B36" s="25"/>
      <c r="C36" s="25"/>
      <c r="D36" s="25"/>
      <c r="E36" s="25"/>
      <c r="F36" s="34" t="s">
        <v>108</v>
      </c>
      <c r="G36" s="35"/>
    </row>
    <row r="39" spans="2:7" ht="16.8" thickBot="1">
      <c r="B39" s="24" t="s">
        <v>109</v>
      </c>
      <c r="C39" s="25"/>
      <c r="D39" s="25"/>
      <c r="E39" s="25"/>
      <c r="F39" s="25"/>
      <c r="G39" s="25"/>
    </row>
    <row r="40" spans="2:7" ht="29.4" thickBot="1">
      <c r="B40" s="26"/>
      <c r="C40" s="27" t="s">
        <v>78</v>
      </c>
      <c r="D40" s="36">
        <v>45323</v>
      </c>
      <c r="E40" s="36">
        <v>45352</v>
      </c>
      <c r="F40" s="36">
        <v>45383</v>
      </c>
      <c r="G40" s="28" t="s">
        <v>489</v>
      </c>
    </row>
    <row r="41" spans="2:7" ht="16.8" thickBot="1">
      <c r="B41" s="287" t="s">
        <v>80</v>
      </c>
      <c r="C41" s="30" t="s">
        <v>81</v>
      </c>
      <c r="D41" s="30"/>
      <c r="E41" s="30"/>
      <c r="F41" s="30"/>
      <c r="G41" s="30"/>
    </row>
    <row r="42" spans="2:7" ht="16.8" thickBot="1">
      <c r="B42" s="288"/>
      <c r="C42" s="30" t="s">
        <v>82</v>
      </c>
      <c r="D42" s="30"/>
      <c r="E42" s="30"/>
      <c r="F42" s="30"/>
      <c r="G42" s="30"/>
    </row>
    <row r="43" spans="2:7" ht="16.8" thickBot="1">
      <c r="B43" s="288"/>
      <c r="C43" s="30" t="s">
        <v>83</v>
      </c>
      <c r="D43" s="30"/>
      <c r="E43" s="30"/>
      <c r="F43" s="30"/>
      <c r="G43" s="30"/>
    </row>
    <row r="44" spans="2:7" ht="16.8" thickBot="1">
      <c r="B44" s="288"/>
      <c r="C44" s="30" t="s">
        <v>84</v>
      </c>
      <c r="D44" s="30"/>
      <c r="E44" s="30"/>
      <c r="F44" s="30"/>
      <c r="G44" s="30"/>
    </row>
    <row r="45" spans="2:7" ht="16.8" thickBot="1">
      <c r="B45" s="288"/>
      <c r="C45" s="30" t="s">
        <v>85</v>
      </c>
      <c r="D45" s="30"/>
      <c r="E45" s="30"/>
      <c r="F45" s="30"/>
      <c r="G45" s="30"/>
    </row>
    <row r="46" spans="2:7" ht="16.8" thickBot="1">
      <c r="B46" s="288"/>
      <c r="C46" s="30" t="s">
        <v>86</v>
      </c>
      <c r="D46" s="30"/>
      <c r="E46" s="30"/>
      <c r="F46" s="30"/>
      <c r="G46" s="30"/>
    </row>
    <row r="47" spans="2:7" ht="16.8" thickBot="1">
      <c r="B47" s="288"/>
      <c r="C47" s="30" t="s">
        <v>87</v>
      </c>
      <c r="D47" s="30"/>
      <c r="E47" s="30"/>
      <c r="F47" s="30"/>
      <c r="G47" s="30"/>
    </row>
    <row r="48" spans="2:7" ht="16.8" thickBot="1">
      <c r="B48" s="288"/>
      <c r="C48" s="30" t="s">
        <v>88</v>
      </c>
      <c r="D48" s="30"/>
      <c r="E48" s="30"/>
      <c r="F48" s="30"/>
      <c r="G48" s="30"/>
    </row>
    <row r="49" spans="2:7" ht="16.8" thickBot="1">
      <c r="B49" s="288"/>
      <c r="C49" s="30" t="s">
        <v>89</v>
      </c>
      <c r="D49" s="30"/>
      <c r="E49" s="30"/>
      <c r="F49" s="30"/>
      <c r="G49" s="30"/>
    </row>
    <row r="50" spans="2:7" ht="16.8" thickBot="1">
      <c r="B50" s="288"/>
      <c r="C50" s="30" t="s">
        <v>90</v>
      </c>
      <c r="D50" s="31"/>
      <c r="E50" s="30"/>
      <c r="F50" s="30"/>
      <c r="G50" s="30"/>
    </row>
    <row r="51" spans="2:7" ht="16.8" thickBot="1">
      <c r="B51" s="288"/>
      <c r="C51" s="29" t="s">
        <v>91</v>
      </c>
      <c r="D51" s="32"/>
      <c r="E51" s="30"/>
      <c r="F51" s="30"/>
      <c r="G51" s="30"/>
    </row>
    <row r="52" spans="2:7" ht="16.8" thickBot="1">
      <c r="B52" s="289"/>
      <c r="C52" s="33" t="s">
        <v>92</v>
      </c>
      <c r="D52" s="30"/>
      <c r="E52" s="30"/>
      <c r="F52" s="30"/>
      <c r="G52" s="30"/>
    </row>
    <row r="53" spans="2:7" ht="16.8" thickBot="1">
      <c r="B53" s="290" t="s">
        <v>93</v>
      </c>
      <c r="C53" s="30" t="s">
        <v>94</v>
      </c>
      <c r="D53" s="30"/>
      <c r="E53" s="30"/>
      <c r="F53" s="30"/>
      <c r="G53" s="30"/>
    </row>
    <row r="54" spans="2:7" ht="16.8" thickBot="1">
      <c r="B54" s="291"/>
      <c r="C54" s="30" t="s">
        <v>88</v>
      </c>
      <c r="D54" s="30"/>
      <c r="E54" s="30"/>
      <c r="F54" s="30"/>
      <c r="G54" s="30"/>
    </row>
    <row r="55" spans="2:7" ht="16.8" thickBot="1">
      <c r="B55" s="291"/>
      <c r="C55" s="30" t="s">
        <v>95</v>
      </c>
      <c r="D55" s="30"/>
      <c r="E55" s="30"/>
      <c r="F55" s="30"/>
      <c r="G55" s="30"/>
    </row>
    <row r="56" spans="2:7" ht="16.8" thickBot="1">
      <c r="B56" s="291"/>
      <c r="C56" s="30" t="s">
        <v>96</v>
      </c>
      <c r="D56" s="30"/>
      <c r="E56" s="30"/>
      <c r="F56" s="30"/>
      <c r="G56" s="30"/>
    </row>
    <row r="57" spans="2:7" ht="16.8" thickBot="1">
      <c r="B57" s="291"/>
      <c r="C57" s="30" t="s">
        <v>97</v>
      </c>
      <c r="D57" s="31"/>
      <c r="E57" s="31"/>
      <c r="F57" s="31"/>
      <c r="G57" s="30"/>
    </row>
    <row r="58" spans="2:7" ht="16.8" thickBot="1">
      <c r="B58" s="291"/>
      <c r="C58" s="30" t="s">
        <v>98</v>
      </c>
      <c r="D58" s="31"/>
      <c r="E58" s="31"/>
      <c r="F58" s="30"/>
      <c r="G58" s="30"/>
    </row>
    <row r="59" spans="2:7" ht="16.8" thickBot="1">
      <c r="B59" s="291"/>
      <c r="C59" s="30" t="s">
        <v>99</v>
      </c>
      <c r="D59" s="30"/>
      <c r="E59" s="31"/>
      <c r="F59" s="30"/>
      <c r="G59" s="30"/>
    </row>
    <row r="60" spans="2:7" ht="16.8" thickBot="1">
      <c r="B60" s="291"/>
      <c r="C60" s="30" t="s">
        <v>91</v>
      </c>
      <c r="D60" s="30"/>
      <c r="E60" s="31"/>
      <c r="F60" s="30"/>
      <c r="G60" s="30"/>
    </row>
    <row r="61" spans="2:7" ht="16.8" thickBot="1">
      <c r="B61" s="292"/>
      <c r="C61" s="30" t="s">
        <v>92</v>
      </c>
      <c r="D61" s="30"/>
      <c r="E61" s="31"/>
      <c r="F61" s="31"/>
      <c r="G61" s="30"/>
    </row>
    <row r="62" spans="2:7" ht="16.8" thickBot="1">
      <c r="B62" s="25"/>
      <c r="C62" s="25"/>
      <c r="D62" s="25"/>
      <c r="E62" s="25"/>
      <c r="F62" s="25"/>
      <c r="G62" s="34"/>
    </row>
    <row r="63" spans="2:7">
      <c r="B63" s="25"/>
      <c r="C63" s="25"/>
      <c r="D63" s="25"/>
      <c r="E63" s="25"/>
      <c r="F63" s="25"/>
      <c r="G63" s="25"/>
    </row>
    <row r="64" spans="2:7" ht="16.8" thickBot="1">
      <c r="B64" s="24" t="s">
        <v>109</v>
      </c>
      <c r="C64" s="25"/>
      <c r="D64" s="25"/>
      <c r="E64" s="25"/>
      <c r="F64" s="25"/>
      <c r="G64" s="25"/>
    </row>
    <row r="65" spans="2:7" ht="29.4" thickBot="1">
      <c r="B65" s="26"/>
      <c r="C65" s="27" t="s">
        <v>100</v>
      </c>
      <c r="D65" s="36">
        <v>45323</v>
      </c>
      <c r="E65" s="36">
        <v>45352</v>
      </c>
      <c r="F65" s="36">
        <v>45383</v>
      </c>
      <c r="G65" s="28" t="s">
        <v>489</v>
      </c>
    </row>
    <row r="66" spans="2:7" ht="16.8" thickBot="1">
      <c r="B66" s="293" t="s">
        <v>101</v>
      </c>
      <c r="C66" s="30" t="s">
        <v>102</v>
      </c>
      <c r="D66" s="30">
        <f>'FY24 Summary_1'!C11</f>
        <v>12514.2</v>
      </c>
      <c r="E66" s="30">
        <f>'FY24 Summary_1'!D11</f>
        <v>37755</v>
      </c>
      <c r="F66" s="30">
        <f>'FY24 Summary_1'!E11</f>
        <v>54170.000000000015</v>
      </c>
      <c r="G66" s="30">
        <f>SUM(D66:F66)</f>
        <v>104439.20000000001</v>
      </c>
    </row>
    <row r="67" spans="2:7" ht="16.8" thickBot="1">
      <c r="B67" s="293" t="s">
        <v>101</v>
      </c>
      <c r="C67" s="30" t="s">
        <v>103</v>
      </c>
      <c r="D67" s="30"/>
      <c r="E67" s="30"/>
      <c r="F67" s="30"/>
      <c r="G67" s="30"/>
    </row>
    <row r="68" spans="2:7" ht="16.8" thickBot="1">
      <c r="B68" s="293"/>
      <c r="C68" s="30" t="s">
        <v>104</v>
      </c>
      <c r="D68" s="30"/>
      <c r="E68" s="30"/>
      <c r="F68" s="30"/>
      <c r="G68" s="30"/>
    </row>
    <row r="69" spans="2:7" ht="16.8" thickBot="1">
      <c r="B69" s="293"/>
      <c r="C69" s="30" t="s">
        <v>105</v>
      </c>
      <c r="D69" s="30"/>
      <c r="E69" s="30"/>
      <c r="F69" s="30"/>
      <c r="G69" s="30"/>
    </row>
    <row r="70" spans="2:7" ht="16.8" thickBot="1">
      <c r="B70" s="293"/>
      <c r="C70" s="30" t="s">
        <v>106</v>
      </c>
      <c r="D70" s="30"/>
      <c r="E70" s="30"/>
      <c r="F70" s="30"/>
      <c r="G70" s="30"/>
    </row>
    <row r="71" spans="2:7" ht="16.8" thickBot="1">
      <c r="B71" s="293"/>
      <c r="C71" s="30" t="s">
        <v>107</v>
      </c>
      <c r="D71" s="30"/>
      <c r="E71" s="30"/>
      <c r="F71" s="30"/>
      <c r="G71" s="30"/>
    </row>
    <row r="72" spans="2:7" ht="16.8" thickBot="1">
      <c r="B72" s="25"/>
      <c r="C72" s="25"/>
      <c r="D72" s="25"/>
      <c r="E72" s="25"/>
      <c r="F72" s="34" t="s">
        <v>108</v>
      </c>
      <c r="G72" s="35"/>
    </row>
    <row r="75" spans="2:7" ht="16.8" thickBot="1">
      <c r="B75" s="24" t="s">
        <v>111</v>
      </c>
      <c r="C75" s="25"/>
      <c r="D75" s="25"/>
      <c r="E75" s="25"/>
      <c r="F75" s="25"/>
      <c r="G75" s="25"/>
    </row>
    <row r="76" spans="2:7" ht="29.4" thickBot="1">
      <c r="B76" s="26"/>
      <c r="C76" s="27" t="s">
        <v>78</v>
      </c>
      <c r="D76" s="36">
        <v>45413</v>
      </c>
      <c r="E76" s="36">
        <v>45444</v>
      </c>
      <c r="F76" s="36">
        <v>45474</v>
      </c>
      <c r="G76" s="28" t="s">
        <v>490</v>
      </c>
    </row>
    <row r="77" spans="2:7" ht="16.8" thickBot="1">
      <c r="B77" s="287" t="s">
        <v>80</v>
      </c>
      <c r="C77" s="30" t="s">
        <v>81</v>
      </c>
      <c r="D77" s="30"/>
      <c r="E77" s="30"/>
      <c r="F77" s="30"/>
      <c r="G77" s="30"/>
    </row>
    <row r="78" spans="2:7" ht="16.8" thickBot="1">
      <c r="B78" s="288"/>
      <c r="C78" s="30" t="s">
        <v>82</v>
      </c>
      <c r="D78" s="30"/>
      <c r="E78" s="30"/>
      <c r="F78" s="30"/>
      <c r="G78" s="30"/>
    </row>
    <row r="79" spans="2:7" ht="16.8" thickBot="1">
      <c r="B79" s="288"/>
      <c r="C79" s="30" t="s">
        <v>83</v>
      </c>
      <c r="D79" s="30"/>
      <c r="E79" s="30"/>
      <c r="F79" s="30"/>
      <c r="G79" s="30"/>
    </row>
    <row r="80" spans="2:7" ht="16.8" thickBot="1">
      <c r="B80" s="288"/>
      <c r="C80" s="30" t="s">
        <v>84</v>
      </c>
      <c r="D80" s="30"/>
      <c r="E80" s="30"/>
      <c r="F80" s="30"/>
      <c r="G80" s="30"/>
    </row>
    <row r="81" spans="2:7" ht="16.8" thickBot="1">
      <c r="B81" s="288"/>
      <c r="C81" s="30" t="s">
        <v>85</v>
      </c>
      <c r="D81" s="30"/>
      <c r="E81" s="30"/>
      <c r="F81" s="30"/>
      <c r="G81" s="30"/>
    </row>
    <row r="82" spans="2:7" ht="16.8" thickBot="1">
      <c r="B82" s="288"/>
      <c r="C82" s="30" t="s">
        <v>86</v>
      </c>
      <c r="D82" s="30"/>
      <c r="E82" s="30"/>
      <c r="F82" s="30"/>
      <c r="G82" s="30"/>
    </row>
    <row r="83" spans="2:7" ht="16.8" thickBot="1">
      <c r="B83" s="288"/>
      <c r="C83" s="30" t="s">
        <v>87</v>
      </c>
      <c r="D83" s="30"/>
      <c r="E83" s="30"/>
      <c r="F83" s="30"/>
      <c r="G83" s="30"/>
    </row>
    <row r="84" spans="2:7" ht="16.8" thickBot="1">
      <c r="B84" s="288"/>
      <c r="C84" s="30" t="s">
        <v>88</v>
      </c>
      <c r="D84" s="30"/>
      <c r="E84" s="30"/>
      <c r="F84" s="30"/>
      <c r="G84" s="30"/>
    </row>
    <row r="85" spans="2:7" ht="16.8" thickBot="1">
      <c r="B85" s="288"/>
      <c r="C85" s="30" t="s">
        <v>89</v>
      </c>
      <c r="D85" s="30"/>
      <c r="E85" s="30"/>
      <c r="F85" s="30"/>
      <c r="G85" s="30"/>
    </row>
    <row r="86" spans="2:7" ht="16.8" thickBot="1">
      <c r="B86" s="288"/>
      <c r="C86" s="30" t="s">
        <v>90</v>
      </c>
      <c r="D86" s="31"/>
      <c r="E86" s="30"/>
      <c r="F86" s="30"/>
      <c r="G86" s="30"/>
    </row>
    <row r="87" spans="2:7" ht="16.8" thickBot="1">
      <c r="B87" s="288"/>
      <c r="C87" s="29" t="s">
        <v>91</v>
      </c>
      <c r="D87" s="32"/>
      <c r="E87" s="30"/>
      <c r="F87" s="30"/>
      <c r="G87" s="30"/>
    </row>
    <row r="88" spans="2:7" ht="16.8" thickBot="1">
      <c r="B88" s="289"/>
      <c r="C88" s="33" t="s">
        <v>92</v>
      </c>
      <c r="D88" s="30"/>
      <c r="E88" s="30"/>
      <c r="F88" s="30"/>
      <c r="G88" s="30"/>
    </row>
    <row r="89" spans="2:7" ht="16.8" thickBot="1">
      <c r="B89" s="290" t="s">
        <v>93</v>
      </c>
      <c r="C89" s="30" t="s">
        <v>94</v>
      </c>
      <c r="D89" s="30"/>
      <c r="E89" s="30"/>
      <c r="F89" s="30"/>
      <c r="G89" s="30"/>
    </row>
    <row r="90" spans="2:7" ht="16.8" thickBot="1">
      <c r="B90" s="291"/>
      <c r="C90" s="30" t="s">
        <v>88</v>
      </c>
      <c r="D90" s="30"/>
      <c r="E90" s="30"/>
      <c r="F90" s="30"/>
      <c r="G90" s="30"/>
    </row>
    <row r="91" spans="2:7" ht="16.8" thickBot="1">
      <c r="B91" s="291"/>
      <c r="C91" s="30" t="s">
        <v>95</v>
      </c>
      <c r="D91" s="30"/>
      <c r="E91" s="30"/>
      <c r="F91" s="30"/>
      <c r="G91" s="30"/>
    </row>
    <row r="92" spans="2:7" ht="16.8" thickBot="1">
      <c r="B92" s="291"/>
      <c r="C92" s="30" t="s">
        <v>96</v>
      </c>
      <c r="D92" s="30"/>
      <c r="E92" s="30"/>
      <c r="F92" s="30"/>
      <c r="G92" s="30"/>
    </row>
    <row r="93" spans="2:7" ht="16.8" thickBot="1">
      <c r="B93" s="291"/>
      <c r="C93" s="30" t="s">
        <v>97</v>
      </c>
      <c r="D93" s="31"/>
      <c r="E93" s="31"/>
      <c r="F93" s="31"/>
      <c r="G93" s="30"/>
    </row>
    <row r="94" spans="2:7" ht="16.8" thickBot="1">
      <c r="B94" s="291"/>
      <c r="C94" s="30" t="s">
        <v>98</v>
      </c>
      <c r="D94" s="31"/>
      <c r="E94" s="31"/>
      <c r="F94" s="30"/>
      <c r="G94" s="30"/>
    </row>
    <row r="95" spans="2:7" ht="16.8" thickBot="1">
      <c r="B95" s="291"/>
      <c r="C95" s="30" t="s">
        <v>99</v>
      </c>
      <c r="D95" s="30"/>
      <c r="E95" s="31"/>
      <c r="F95" s="30"/>
      <c r="G95" s="30"/>
    </row>
    <row r="96" spans="2:7" ht="16.8" thickBot="1">
      <c r="B96" s="291"/>
      <c r="C96" s="30" t="s">
        <v>91</v>
      </c>
      <c r="D96" s="30"/>
      <c r="E96" s="31"/>
      <c r="F96" s="30"/>
      <c r="G96" s="30"/>
    </row>
    <row r="97" spans="2:7" ht="16.8" thickBot="1">
      <c r="B97" s="292"/>
      <c r="C97" s="30" t="s">
        <v>92</v>
      </c>
      <c r="D97" s="30"/>
      <c r="E97" s="31"/>
      <c r="F97" s="31"/>
      <c r="G97" s="30"/>
    </row>
    <row r="98" spans="2:7" ht="16.8" thickBot="1">
      <c r="B98" s="25"/>
      <c r="C98" s="25"/>
      <c r="D98" s="25"/>
      <c r="E98" s="25"/>
      <c r="F98" s="25"/>
      <c r="G98" s="34"/>
    </row>
    <row r="99" spans="2:7">
      <c r="B99" s="25"/>
      <c r="C99" s="25"/>
      <c r="D99" s="25"/>
      <c r="E99" s="25"/>
      <c r="F99" s="25"/>
      <c r="G99" s="25"/>
    </row>
    <row r="100" spans="2:7" ht="16.8" thickBot="1">
      <c r="B100" s="24" t="s">
        <v>111</v>
      </c>
      <c r="C100" s="25"/>
      <c r="D100" s="25"/>
      <c r="E100" s="25"/>
      <c r="F100" s="25"/>
      <c r="G100" s="25"/>
    </row>
    <row r="101" spans="2:7" ht="29.4" thickBot="1">
      <c r="B101" s="43"/>
      <c r="C101" s="27" t="s">
        <v>100</v>
      </c>
      <c r="D101" s="36">
        <v>45413</v>
      </c>
      <c r="E101" s="36">
        <v>45444</v>
      </c>
      <c r="F101" s="36">
        <v>45474</v>
      </c>
      <c r="G101" s="28" t="s">
        <v>490</v>
      </c>
    </row>
    <row r="102" spans="2:7" ht="16.8" thickBot="1">
      <c r="B102" s="293" t="s">
        <v>101</v>
      </c>
      <c r="C102" s="30" t="s">
        <v>102</v>
      </c>
      <c r="D102" s="30">
        <f>'FY24 Summary_1'!C18</f>
        <v>58734.600000000006</v>
      </c>
      <c r="E102" s="30">
        <f>'FY24 Summary_1'!D18</f>
        <v>46686</v>
      </c>
      <c r="F102" s="30">
        <f>'FY24 Summary_1'!E18</f>
        <v>40968.199999999997</v>
      </c>
      <c r="G102" s="30">
        <f>SUM(D102:F102)</f>
        <v>146388.79999999999</v>
      </c>
    </row>
    <row r="103" spans="2:7" ht="16.8" thickBot="1">
      <c r="B103" s="293"/>
      <c r="C103" s="30" t="s">
        <v>103</v>
      </c>
      <c r="D103" s="30"/>
      <c r="E103" s="30"/>
      <c r="F103" s="30"/>
      <c r="G103" s="30"/>
    </row>
    <row r="104" spans="2:7" ht="16.8" thickBot="1">
      <c r="B104" s="293"/>
      <c r="C104" s="30" t="s">
        <v>104</v>
      </c>
      <c r="D104" s="30"/>
      <c r="E104" s="30"/>
      <c r="F104" s="30"/>
      <c r="G104" s="30"/>
    </row>
    <row r="105" spans="2:7" ht="16.8" thickBot="1">
      <c r="B105" s="293"/>
      <c r="C105" s="30" t="s">
        <v>105</v>
      </c>
      <c r="D105" s="30"/>
      <c r="E105" s="30"/>
      <c r="F105" s="30"/>
      <c r="G105" s="30"/>
    </row>
    <row r="106" spans="2:7" ht="16.8" thickBot="1">
      <c r="B106" s="293"/>
      <c r="C106" s="30" t="s">
        <v>106</v>
      </c>
      <c r="D106" s="30"/>
      <c r="E106" s="30"/>
      <c r="F106" s="30"/>
      <c r="G106" s="30"/>
    </row>
    <row r="107" spans="2:7" ht="16.8" thickBot="1">
      <c r="B107" s="293"/>
      <c r="C107" s="30" t="s">
        <v>107</v>
      </c>
      <c r="D107" s="30"/>
      <c r="E107" s="30"/>
      <c r="F107" s="30"/>
      <c r="G107" s="30"/>
    </row>
    <row r="108" spans="2:7" ht="16.8" thickBot="1">
      <c r="B108" s="25"/>
      <c r="C108" s="25"/>
      <c r="D108" s="25"/>
      <c r="E108" s="25"/>
      <c r="F108" s="34" t="s">
        <v>108</v>
      </c>
      <c r="G108" s="35"/>
    </row>
    <row r="110" spans="2:7" ht="16.8" thickBot="1">
      <c r="B110" s="24" t="s">
        <v>113</v>
      </c>
      <c r="C110" s="25"/>
      <c r="D110" s="25"/>
      <c r="E110" s="25"/>
      <c r="F110" s="25"/>
      <c r="G110" s="25"/>
    </row>
    <row r="111" spans="2:7" ht="29.4" thickBot="1">
      <c r="B111" s="26"/>
      <c r="C111" s="27" t="s">
        <v>78</v>
      </c>
      <c r="D111" s="36">
        <v>45505</v>
      </c>
      <c r="E111" s="36">
        <v>45536</v>
      </c>
      <c r="F111" s="36">
        <v>45566</v>
      </c>
      <c r="G111" s="28" t="s">
        <v>491</v>
      </c>
    </row>
    <row r="112" spans="2:7" ht="16.8" thickBot="1">
      <c r="B112" s="287" t="s">
        <v>80</v>
      </c>
      <c r="C112" s="30" t="s">
        <v>81</v>
      </c>
      <c r="D112" s="30"/>
      <c r="E112" s="30"/>
      <c r="F112" s="30"/>
      <c r="G112" s="30"/>
    </row>
    <row r="113" spans="2:7" ht="16.8" thickBot="1">
      <c r="B113" s="288"/>
      <c r="C113" s="30" t="s">
        <v>82</v>
      </c>
      <c r="D113" s="30"/>
      <c r="E113" s="30"/>
      <c r="F113" s="30"/>
      <c r="G113" s="30"/>
    </row>
    <row r="114" spans="2:7" ht="16.8" thickBot="1">
      <c r="B114" s="288"/>
      <c r="C114" s="30" t="s">
        <v>83</v>
      </c>
      <c r="D114" s="30"/>
      <c r="E114" s="30"/>
      <c r="F114" s="30"/>
      <c r="G114" s="30"/>
    </row>
    <row r="115" spans="2:7" ht="16.8" thickBot="1">
      <c r="B115" s="288"/>
      <c r="C115" s="30" t="s">
        <v>84</v>
      </c>
      <c r="D115" s="30"/>
      <c r="E115" s="30"/>
      <c r="F115" s="30"/>
      <c r="G115" s="30"/>
    </row>
    <row r="116" spans="2:7" ht="16.8" thickBot="1">
      <c r="B116" s="288"/>
      <c r="C116" s="30" t="s">
        <v>85</v>
      </c>
      <c r="D116" s="30"/>
      <c r="E116" s="30"/>
      <c r="F116" s="30"/>
      <c r="G116" s="30"/>
    </row>
    <row r="117" spans="2:7" ht="16.8" thickBot="1">
      <c r="B117" s="288"/>
      <c r="C117" s="30" t="s">
        <v>86</v>
      </c>
      <c r="D117" s="30"/>
      <c r="E117" s="30"/>
      <c r="F117" s="30"/>
      <c r="G117" s="30"/>
    </row>
    <row r="118" spans="2:7" ht="16.8" thickBot="1">
      <c r="B118" s="288"/>
      <c r="C118" s="30" t="s">
        <v>87</v>
      </c>
      <c r="D118" s="30"/>
      <c r="E118" s="30"/>
      <c r="F118" s="30"/>
      <c r="G118" s="30"/>
    </row>
    <row r="119" spans="2:7" ht="16.8" thickBot="1">
      <c r="B119" s="288"/>
      <c r="C119" s="30" t="s">
        <v>88</v>
      </c>
      <c r="D119" s="30"/>
      <c r="E119" s="30"/>
      <c r="F119" s="30"/>
      <c r="G119" s="30"/>
    </row>
    <row r="120" spans="2:7" ht="16.8" thickBot="1">
      <c r="B120" s="288"/>
      <c r="C120" s="30" t="s">
        <v>89</v>
      </c>
      <c r="D120" s="30"/>
      <c r="E120" s="30"/>
      <c r="F120" s="30"/>
      <c r="G120" s="30"/>
    </row>
    <row r="121" spans="2:7" ht="16.8" thickBot="1">
      <c r="B121" s="288"/>
      <c r="C121" s="30" t="s">
        <v>90</v>
      </c>
      <c r="D121" s="31"/>
      <c r="E121" s="30"/>
      <c r="F121" s="30"/>
      <c r="G121" s="30"/>
    </row>
    <row r="122" spans="2:7" ht="16.8" thickBot="1">
      <c r="B122" s="288"/>
      <c r="C122" s="29" t="s">
        <v>91</v>
      </c>
      <c r="D122" s="32"/>
      <c r="E122" s="30"/>
      <c r="F122" s="30"/>
      <c r="G122" s="30"/>
    </row>
    <row r="123" spans="2:7" ht="16.8" thickBot="1">
      <c r="B123" s="289"/>
      <c r="C123" s="33" t="s">
        <v>92</v>
      </c>
      <c r="D123" s="30"/>
      <c r="E123" s="30"/>
      <c r="F123" s="30"/>
      <c r="G123" s="30"/>
    </row>
    <row r="124" spans="2:7" ht="16.8" thickBot="1">
      <c r="B124" s="290" t="s">
        <v>93</v>
      </c>
      <c r="C124" s="30" t="s">
        <v>94</v>
      </c>
      <c r="D124" s="30"/>
      <c r="E124" s="30"/>
      <c r="F124" s="30"/>
      <c r="G124" s="30"/>
    </row>
    <row r="125" spans="2:7" ht="16.8" thickBot="1">
      <c r="B125" s="291"/>
      <c r="C125" s="30" t="s">
        <v>88</v>
      </c>
      <c r="D125" s="30"/>
      <c r="E125" s="30"/>
      <c r="F125" s="30"/>
      <c r="G125" s="30"/>
    </row>
    <row r="126" spans="2:7" ht="16.8" thickBot="1">
      <c r="B126" s="291"/>
      <c r="C126" s="30" t="s">
        <v>95</v>
      </c>
      <c r="D126" s="30"/>
      <c r="E126" s="30"/>
      <c r="F126" s="30"/>
      <c r="G126" s="30"/>
    </row>
    <row r="127" spans="2:7" ht="16.8" thickBot="1">
      <c r="B127" s="291"/>
      <c r="C127" s="30" t="s">
        <v>96</v>
      </c>
      <c r="D127" s="30"/>
      <c r="E127" s="30"/>
      <c r="F127" s="30"/>
      <c r="G127" s="30"/>
    </row>
    <row r="128" spans="2:7" ht="16.8" thickBot="1">
      <c r="B128" s="291"/>
      <c r="C128" s="30" t="s">
        <v>97</v>
      </c>
      <c r="D128" s="31"/>
      <c r="E128" s="31"/>
      <c r="F128" s="31"/>
      <c r="G128" s="30"/>
    </row>
    <row r="129" spans="2:7" ht="16.8" thickBot="1">
      <c r="B129" s="291"/>
      <c r="C129" s="30" t="s">
        <v>98</v>
      </c>
      <c r="D129" s="31"/>
      <c r="E129" s="31"/>
      <c r="F129" s="30"/>
      <c r="G129" s="30"/>
    </row>
    <row r="130" spans="2:7" ht="16.8" thickBot="1">
      <c r="B130" s="291"/>
      <c r="C130" s="30" t="s">
        <v>99</v>
      </c>
      <c r="D130" s="30"/>
      <c r="E130" s="31"/>
      <c r="F130" s="30"/>
      <c r="G130" s="30"/>
    </row>
    <row r="131" spans="2:7" ht="16.8" thickBot="1">
      <c r="B131" s="291"/>
      <c r="C131" s="30" t="s">
        <v>91</v>
      </c>
      <c r="D131" s="30"/>
      <c r="E131" s="31"/>
      <c r="F131" s="30"/>
      <c r="G131" s="30"/>
    </row>
    <row r="132" spans="2:7" ht="16.8" thickBot="1">
      <c r="B132" s="292"/>
      <c r="C132" s="30" t="s">
        <v>92</v>
      </c>
      <c r="D132" s="30"/>
      <c r="E132" s="31"/>
      <c r="F132" s="31"/>
      <c r="G132" s="30"/>
    </row>
    <row r="133" spans="2:7" ht="16.8" thickBot="1">
      <c r="B133" s="25"/>
      <c r="C133" s="25"/>
      <c r="D133" s="25"/>
      <c r="E133" s="25"/>
      <c r="F133" s="25"/>
      <c r="G133" s="34"/>
    </row>
    <row r="134" spans="2:7">
      <c r="B134" s="25"/>
      <c r="C134" s="25"/>
      <c r="D134" s="25"/>
      <c r="E134" s="25"/>
      <c r="F134" s="25"/>
      <c r="G134" s="25"/>
    </row>
    <row r="135" spans="2:7" ht="16.8" thickBot="1">
      <c r="B135" s="24" t="s">
        <v>113</v>
      </c>
      <c r="C135" s="25"/>
      <c r="D135" s="25"/>
      <c r="E135" s="25"/>
      <c r="F135" s="25"/>
      <c r="G135" s="25"/>
    </row>
    <row r="136" spans="2:7" ht="29.4" thickBot="1">
      <c r="B136" s="43"/>
      <c r="C136" s="27" t="s">
        <v>100</v>
      </c>
      <c r="D136" s="36">
        <v>45505</v>
      </c>
      <c r="E136" s="36">
        <v>45536</v>
      </c>
      <c r="F136" s="36">
        <v>45566</v>
      </c>
      <c r="G136" s="28" t="s">
        <v>491</v>
      </c>
    </row>
    <row r="137" spans="2:7" ht="16.8" thickBot="1">
      <c r="B137" s="293" t="s">
        <v>101</v>
      </c>
      <c r="C137" s="30" t="s">
        <v>102</v>
      </c>
      <c r="D137" s="30">
        <f>'FY24 Summary_1'!C25</f>
        <v>43588.599999999991</v>
      </c>
      <c r="E137" s="30">
        <f>'FY24 Summary_1'!D25</f>
        <v>70368.159999999989</v>
      </c>
      <c r="F137" s="30">
        <f>'FY24 Summary_1'!E25</f>
        <v>59608.44</v>
      </c>
      <c r="G137" s="30">
        <f>SUM(D137:F137)</f>
        <v>173565.19999999998</v>
      </c>
    </row>
    <row r="138" spans="2:7" ht="16.8" thickBot="1">
      <c r="B138" s="293"/>
      <c r="C138" s="30" t="s">
        <v>103</v>
      </c>
      <c r="D138" s="30"/>
      <c r="E138" s="30"/>
      <c r="F138" s="30"/>
      <c r="G138" s="30"/>
    </row>
    <row r="139" spans="2:7" ht="16.8" thickBot="1">
      <c r="B139" s="293"/>
      <c r="C139" s="30" t="s">
        <v>104</v>
      </c>
      <c r="D139" s="30"/>
      <c r="E139" s="30"/>
      <c r="F139" s="30"/>
      <c r="G139" s="30"/>
    </row>
    <row r="140" spans="2:7" ht="16.8" thickBot="1">
      <c r="B140" s="293"/>
      <c r="C140" s="30" t="s">
        <v>105</v>
      </c>
      <c r="D140" s="30"/>
      <c r="E140" s="30"/>
      <c r="F140" s="30"/>
      <c r="G140" s="30"/>
    </row>
    <row r="141" spans="2:7" ht="16.8" thickBot="1">
      <c r="B141" s="293"/>
      <c r="C141" s="30" t="s">
        <v>106</v>
      </c>
      <c r="D141" s="30"/>
      <c r="E141" s="30"/>
      <c r="F141" s="30"/>
      <c r="G141" s="30"/>
    </row>
    <row r="142" spans="2:7" ht="16.8" thickBot="1">
      <c r="B142" s="293"/>
      <c r="C142" s="30" t="s">
        <v>107</v>
      </c>
      <c r="D142" s="30"/>
      <c r="E142" s="30"/>
      <c r="F142" s="30"/>
      <c r="G142" s="30"/>
    </row>
    <row r="143" spans="2:7" ht="16.8" thickBot="1">
      <c r="B143" s="25"/>
      <c r="C143" s="25"/>
      <c r="D143" s="25"/>
      <c r="E143" s="25"/>
      <c r="F143" s="34" t="s">
        <v>108</v>
      </c>
      <c r="G143" s="35"/>
    </row>
  </sheetData>
  <mergeCells count="12">
    <mergeCell ref="B137:B142"/>
    <mergeCell ref="B5:B16"/>
    <mergeCell ref="B17:B25"/>
    <mergeCell ref="B30:B35"/>
    <mergeCell ref="B41:B52"/>
    <mergeCell ref="B53:B61"/>
    <mergeCell ref="B66:B71"/>
    <mergeCell ref="B77:B88"/>
    <mergeCell ref="B89:B97"/>
    <mergeCell ref="B102:B107"/>
    <mergeCell ref="B112:B123"/>
    <mergeCell ref="B124:B132"/>
  </mergeCells>
  <phoneticPr fontId="4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EB70-2F17-45A0-9712-C1DC71463F7B}">
  <dimension ref="A3:E20"/>
  <sheetViews>
    <sheetView topLeftCell="A10" workbookViewId="0">
      <selection activeCell="H28" sqref="H28"/>
    </sheetView>
  </sheetViews>
  <sheetFormatPr defaultRowHeight="16.2"/>
  <cols>
    <col min="1" max="1" width="14.109375" bestFit="1" customWidth="1"/>
    <col min="2" max="2" width="13.109375" bestFit="1" customWidth="1"/>
    <col min="4" max="4" width="15.77734375" customWidth="1"/>
  </cols>
  <sheetData>
    <row r="3" spans="1:5">
      <c r="A3" s="243"/>
      <c r="B3" s="244"/>
      <c r="C3" s="245"/>
    </row>
    <row r="4" spans="1:5">
      <c r="A4" s="246"/>
      <c r="B4" s="173"/>
      <c r="C4" s="247"/>
      <c r="D4" t="s">
        <v>492</v>
      </c>
      <c r="E4" s="147">
        <v>3000</v>
      </c>
    </row>
    <row r="5" spans="1:5">
      <c r="A5" s="246"/>
      <c r="B5" s="173"/>
      <c r="C5" s="247"/>
      <c r="D5" t="s">
        <v>6</v>
      </c>
      <c r="E5" s="147">
        <v>63980</v>
      </c>
    </row>
    <row r="6" spans="1:5">
      <c r="A6" s="246"/>
      <c r="B6" s="173"/>
      <c r="C6" s="247"/>
      <c r="D6" t="s">
        <v>493</v>
      </c>
      <c r="E6" s="147">
        <v>10800</v>
      </c>
    </row>
    <row r="7" spans="1:5">
      <c r="A7" s="246"/>
      <c r="B7" s="173"/>
      <c r="C7" s="247"/>
      <c r="D7" t="s">
        <v>494</v>
      </c>
      <c r="E7" s="147">
        <v>58476</v>
      </c>
    </row>
    <row r="8" spans="1:5">
      <c r="A8" s="246"/>
      <c r="B8" s="173"/>
      <c r="C8" s="247"/>
      <c r="D8" t="s">
        <v>11</v>
      </c>
      <c r="E8" s="147">
        <v>28378</v>
      </c>
    </row>
    <row r="9" spans="1:5">
      <c r="A9" s="246"/>
      <c r="B9" s="173"/>
      <c r="C9" s="247"/>
      <c r="D9" t="s">
        <v>17</v>
      </c>
      <c r="E9" s="147">
        <v>210900</v>
      </c>
    </row>
    <row r="10" spans="1:5">
      <c r="A10" s="246"/>
      <c r="B10" s="173"/>
      <c r="C10" s="247"/>
      <c r="D10" t="s">
        <v>495</v>
      </c>
      <c r="E10" s="147">
        <v>16560</v>
      </c>
    </row>
    <row r="11" spans="1:5">
      <c r="A11" s="246"/>
      <c r="B11" s="173"/>
      <c r="C11" s="247"/>
      <c r="D11" t="s">
        <v>496</v>
      </c>
      <c r="E11" s="147">
        <v>3000</v>
      </c>
    </row>
    <row r="12" spans="1:5">
      <c r="A12" s="246"/>
      <c r="B12" s="173"/>
      <c r="C12" s="247"/>
      <c r="D12" t="s">
        <v>32</v>
      </c>
      <c r="E12" s="147">
        <v>23640</v>
      </c>
    </row>
    <row r="13" spans="1:5">
      <c r="A13" s="246"/>
      <c r="B13" s="173"/>
      <c r="C13" s="247"/>
      <c r="D13" t="s">
        <v>497</v>
      </c>
      <c r="E13" s="147">
        <v>43200</v>
      </c>
    </row>
    <row r="14" spans="1:5">
      <c r="A14" s="246"/>
      <c r="B14" s="173"/>
      <c r="C14" s="247"/>
      <c r="D14" t="s">
        <v>498</v>
      </c>
      <c r="E14" s="147">
        <v>1890</v>
      </c>
    </row>
    <row r="15" spans="1:5">
      <c r="A15" s="246"/>
      <c r="B15" s="173"/>
      <c r="C15" s="247"/>
      <c r="D15" s="148" t="s">
        <v>36</v>
      </c>
      <c r="E15" s="149">
        <v>463824</v>
      </c>
    </row>
    <row r="16" spans="1:5">
      <c r="A16" s="246"/>
      <c r="B16" s="173"/>
      <c r="C16" s="247"/>
    </row>
    <row r="17" spans="1:3">
      <c r="A17" s="246"/>
      <c r="B17" s="173"/>
      <c r="C17" s="247"/>
    </row>
    <row r="18" spans="1:3">
      <c r="A18" s="246"/>
      <c r="B18" s="173"/>
      <c r="C18" s="247"/>
    </row>
    <row r="19" spans="1:3">
      <c r="A19" s="246"/>
      <c r="B19" s="173"/>
      <c r="C19" s="247"/>
    </row>
    <row r="20" spans="1:3">
      <c r="A20" s="248"/>
      <c r="B20" s="249"/>
      <c r="C20" s="250"/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D743-B5D8-4825-9D96-BA466817D59D}">
  <dimension ref="A3:G251"/>
  <sheetViews>
    <sheetView topLeftCell="A226" workbookViewId="0">
      <selection activeCell="H28" sqref="H28"/>
    </sheetView>
  </sheetViews>
  <sheetFormatPr defaultRowHeight="16.2"/>
  <cols>
    <col min="1" max="2" width="16.109375" bestFit="1" customWidth="1"/>
    <col min="3" max="3" width="11.77734375" bestFit="1" customWidth="1"/>
    <col min="5" max="5" width="11.44140625" bestFit="1" customWidth="1"/>
    <col min="6" max="6" width="10.44140625" bestFit="1" customWidth="1"/>
    <col min="7" max="7" width="10.33203125" bestFit="1" customWidth="1"/>
  </cols>
  <sheetData>
    <row r="3" spans="1:7">
      <c r="A3" t="s">
        <v>500</v>
      </c>
    </row>
    <row r="4" spans="1:7">
      <c r="A4">
        <v>3214709.94</v>
      </c>
      <c r="C4" t="str">
        <f>_xlfn.XLOOKUP(A4,[1]工作表3!$A:$A,[1]工作表3!$B:$B,"0")</f>
        <v>0</v>
      </c>
      <c r="E4">
        <v>0</v>
      </c>
      <c r="F4">
        <v>0</v>
      </c>
      <c r="G4">
        <f>E4-F4</f>
        <v>0</v>
      </c>
    </row>
    <row r="5" spans="1:7">
      <c r="C5">
        <f>_xlfn.XLOOKUP(A5,[1]工作表3!$A:$A,[1]工作表3!$B:$B,"0")</f>
        <v>0</v>
      </c>
      <c r="E5">
        <v>0</v>
      </c>
      <c r="F5">
        <v>0</v>
      </c>
      <c r="G5">
        <f t="shared" ref="G5:G68" si="0">E5-F5</f>
        <v>0</v>
      </c>
    </row>
    <row r="6" spans="1:7">
      <c r="C6">
        <f>_xlfn.XLOOKUP(A6,[1]工作表3!$A:$A,[1]工作表3!$B:$B,"0")</f>
        <v>0</v>
      </c>
      <c r="E6">
        <v>11520</v>
      </c>
      <c r="F6">
        <v>11520</v>
      </c>
      <c r="G6">
        <f t="shared" si="0"/>
        <v>0</v>
      </c>
    </row>
    <row r="7" spans="1:7">
      <c r="C7">
        <f>_xlfn.XLOOKUP(A7,[1]工作表3!$A:$A,[1]工作表3!$B:$B,"0")</f>
        <v>0</v>
      </c>
      <c r="E7">
        <v>0</v>
      </c>
      <c r="F7">
        <v>0</v>
      </c>
      <c r="G7">
        <f t="shared" si="0"/>
        <v>0</v>
      </c>
    </row>
    <row r="8" spans="1:7">
      <c r="C8">
        <f>_xlfn.XLOOKUP(A8,[1]工作表3!$A:$A,[1]工作表3!$B:$B,"0")</f>
        <v>0</v>
      </c>
      <c r="E8">
        <v>25280</v>
      </c>
      <c r="F8">
        <v>25280</v>
      </c>
      <c r="G8">
        <f t="shared" si="0"/>
        <v>0</v>
      </c>
    </row>
    <row r="9" spans="1:7">
      <c r="C9" s="49">
        <f>_xlfn.XLOOKUP(A9,[1]工作表3!$A:$A,[1]工作表3!$B:$B,"0")</f>
        <v>0</v>
      </c>
      <c r="E9">
        <v>3840</v>
      </c>
      <c r="F9">
        <v>1280</v>
      </c>
      <c r="G9">
        <f t="shared" si="0"/>
        <v>2560</v>
      </c>
    </row>
    <row r="10" spans="1:7">
      <c r="C10">
        <f>_xlfn.XLOOKUP(A10,[1]工作表3!$A:$A,[1]工作表3!$B:$B,"0")</f>
        <v>0</v>
      </c>
      <c r="E10">
        <v>6400</v>
      </c>
      <c r="F10">
        <v>6400</v>
      </c>
      <c r="G10">
        <f t="shared" si="0"/>
        <v>0</v>
      </c>
    </row>
    <row r="11" spans="1:7">
      <c r="C11">
        <f>_xlfn.XLOOKUP(A11,[1]工作表3!$A:$A,[1]工作表3!$B:$B,"0")</f>
        <v>0</v>
      </c>
      <c r="E11">
        <v>1008</v>
      </c>
      <c r="F11">
        <v>1008</v>
      </c>
      <c r="G11">
        <f t="shared" si="0"/>
        <v>0</v>
      </c>
    </row>
    <row r="12" spans="1:7">
      <c r="C12">
        <f>_xlfn.XLOOKUP(A12,[1]工作表3!$A:$A,[1]工作表3!$B:$B,"0")</f>
        <v>0</v>
      </c>
      <c r="E12">
        <v>1008</v>
      </c>
      <c r="F12">
        <v>1008</v>
      </c>
      <c r="G12">
        <f t="shared" si="0"/>
        <v>0</v>
      </c>
    </row>
    <row r="13" spans="1:7">
      <c r="C13">
        <f>_xlfn.XLOOKUP(A13,[1]工作表3!$A:$A,[1]工作表3!$B:$B,"0")</f>
        <v>0</v>
      </c>
      <c r="E13">
        <v>0</v>
      </c>
      <c r="F13">
        <v>0</v>
      </c>
      <c r="G13">
        <f t="shared" si="0"/>
        <v>0</v>
      </c>
    </row>
    <row r="14" spans="1:7">
      <c r="C14">
        <f>_xlfn.XLOOKUP(A14,[1]工作表3!$A:$A,[1]工作表3!$B:$B,"0")</f>
        <v>0</v>
      </c>
      <c r="E14">
        <v>0</v>
      </c>
      <c r="F14">
        <v>0</v>
      </c>
      <c r="G14">
        <f t="shared" si="0"/>
        <v>0</v>
      </c>
    </row>
    <row r="15" spans="1:7">
      <c r="C15">
        <f>_xlfn.XLOOKUP(A15,[1]工作表3!$A:$A,[1]工作表3!$B:$B,"0")</f>
        <v>0</v>
      </c>
      <c r="E15">
        <v>1008</v>
      </c>
      <c r="F15">
        <v>1008</v>
      </c>
      <c r="G15">
        <f t="shared" si="0"/>
        <v>0</v>
      </c>
    </row>
    <row r="16" spans="1:7">
      <c r="C16">
        <f>_xlfn.XLOOKUP(A16,[1]工作表3!$A:$A,[1]工作表3!$B:$B,"0")</f>
        <v>0</v>
      </c>
      <c r="E16">
        <v>0</v>
      </c>
      <c r="F16">
        <v>0</v>
      </c>
      <c r="G16">
        <f t="shared" si="0"/>
        <v>0</v>
      </c>
    </row>
    <row r="17" spans="3:7">
      <c r="C17">
        <f>_xlfn.XLOOKUP(A17,[1]工作表3!$A:$A,[1]工作表3!$B:$B,"0")</f>
        <v>0</v>
      </c>
      <c r="E17">
        <v>0</v>
      </c>
      <c r="F17">
        <v>0</v>
      </c>
      <c r="G17">
        <f t="shared" si="0"/>
        <v>0</v>
      </c>
    </row>
    <row r="18" spans="3:7">
      <c r="C18">
        <f>_xlfn.XLOOKUP(A18,[1]工作表3!$A:$A,[1]工作表3!$B:$B,"0")</f>
        <v>0</v>
      </c>
      <c r="E18">
        <v>0</v>
      </c>
      <c r="F18">
        <v>0</v>
      </c>
      <c r="G18">
        <f t="shared" si="0"/>
        <v>0</v>
      </c>
    </row>
    <row r="19" spans="3:7">
      <c r="C19">
        <f>_xlfn.XLOOKUP(A19,[1]工作表3!$A:$A,[1]工作表3!$B:$B,"0")</f>
        <v>0</v>
      </c>
      <c r="E19">
        <v>0</v>
      </c>
      <c r="F19">
        <v>0</v>
      </c>
      <c r="G19">
        <f t="shared" si="0"/>
        <v>0</v>
      </c>
    </row>
    <row r="20" spans="3:7">
      <c r="C20">
        <f>_xlfn.XLOOKUP(A20,[1]工作表3!$A:$A,[1]工作表3!$B:$B,"0")</f>
        <v>0</v>
      </c>
      <c r="E20">
        <v>0</v>
      </c>
      <c r="F20">
        <v>0</v>
      </c>
      <c r="G20">
        <f t="shared" si="0"/>
        <v>0</v>
      </c>
    </row>
    <row r="21" spans="3:7">
      <c r="C21">
        <f>_xlfn.XLOOKUP(A21,[1]工作表3!$A:$A,[1]工作表3!$B:$B,"0")</f>
        <v>0</v>
      </c>
      <c r="E21">
        <v>0</v>
      </c>
      <c r="F21">
        <v>0</v>
      </c>
      <c r="G21">
        <f t="shared" si="0"/>
        <v>0</v>
      </c>
    </row>
    <row r="22" spans="3:7">
      <c r="C22">
        <f>_xlfn.XLOOKUP(A22,[1]工作表3!$A:$A,[1]工作表3!$B:$B,"0")</f>
        <v>0</v>
      </c>
      <c r="E22">
        <v>0</v>
      </c>
      <c r="F22">
        <v>0</v>
      </c>
      <c r="G22">
        <f t="shared" si="0"/>
        <v>0</v>
      </c>
    </row>
    <row r="23" spans="3:7">
      <c r="C23">
        <f>_xlfn.XLOOKUP(A23,[1]工作表3!$A:$A,[1]工作表3!$B:$B,"0")</f>
        <v>0</v>
      </c>
      <c r="E23">
        <v>0</v>
      </c>
      <c r="F23">
        <v>0</v>
      </c>
      <c r="G23">
        <f t="shared" si="0"/>
        <v>0</v>
      </c>
    </row>
    <row r="24" spans="3:7">
      <c r="C24">
        <f>_xlfn.XLOOKUP(A24,[1]工作表3!$A:$A,[1]工作表3!$B:$B,"0")</f>
        <v>0</v>
      </c>
      <c r="E24">
        <v>0</v>
      </c>
      <c r="F24">
        <v>0</v>
      </c>
      <c r="G24">
        <f t="shared" si="0"/>
        <v>0</v>
      </c>
    </row>
    <row r="25" spans="3:7">
      <c r="C25">
        <f>_xlfn.XLOOKUP(A25,[1]工作表3!$A:$A,[1]工作表3!$B:$B,"0")</f>
        <v>0</v>
      </c>
      <c r="E25">
        <v>0</v>
      </c>
      <c r="F25">
        <v>0</v>
      </c>
      <c r="G25">
        <f t="shared" si="0"/>
        <v>0</v>
      </c>
    </row>
    <row r="26" spans="3:7">
      <c r="C26">
        <f>_xlfn.XLOOKUP(A26,[1]工作表3!$A:$A,[1]工作表3!$B:$B,"0")</f>
        <v>0</v>
      </c>
      <c r="E26">
        <v>0</v>
      </c>
      <c r="F26">
        <v>0</v>
      </c>
      <c r="G26">
        <f t="shared" si="0"/>
        <v>0</v>
      </c>
    </row>
    <row r="27" spans="3:7">
      <c r="C27">
        <f>_xlfn.XLOOKUP(A27,[1]工作表3!$A:$A,[1]工作表3!$B:$B,"0")</f>
        <v>0</v>
      </c>
      <c r="E27">
        <v>1280</v>
      </c>
      <c r="F27">
        <v>1280</v>
      </c>
      <c r="G27">
        <f t="shared" si="0"/>
        <v>0</v>
      </c>
    </row>
    <row r="28" spans="3:7">
      <c r="C28">
        <f>_xlfn.XLOOKUP(A28,[1]工作表3!$A:$A,[1]工作表3!$B:$B,"0")</f>
        <v>0</v>
      </c>
      <c r="E28">
        <v>26240</v>
      </c>
      <c r="F28">
        <v>26240</v>
      </c>
      <c r="G28">
        <f t="shared" si="0"/>
        <v>0</v>
      </c>
    </row>
    <row r="29" spans="3:7">
      <c r="C29">
        <f>_xlfn.XLOOKUP(A29,[1]工作表3!$A:$A,[1]工作表3!$B:$B,"0")</f>
        <v>0</v>
      </c>
      <c r="E29">
        <v>1130</v>
      </c>
      <c r="F29">
        <v>1130</v>
      </c>
      <c r="G29">
        <f t="shared" si="0"/>
        <v>0</v>
      </c>
    </row>
    <row r="30" spans="3:7">
      <c r="C30">
        <f>_xlfn.XLOOKUP(A30,[1]工作表3!$A:$A,[1]工作表3!$B:$B,"0")</f>
        <v>0</v>
      </c>
      <c r="E30">
        <v>3840</v>
      </c>
      <c r="F30">
        <v>3840</v>
      </c>
      <c r="G30">
        <f t="shared" si="0"/>
        <v>0</v>
      </c>
    </row>
    <row r="31" spans="3:7">
      <c r="C31">
        <f>_xlfn.XLOOKUP(A31,[1]工作表3!$A:$A,[1]工作表3!$B:$B,"0")</f>
        <v>0</v>
      </c>
      <c r="E31">
        <v>8200</v>
      </c>
      <c r="F31">
        <v>8200</v>
      </c>
      <c r="G31">
        <f t="shared" si="0"/>
        <v>0</v>
      </c>
    </row>
    <row r="32" spans="3:7">
      <c r="C32">
        <f>_xlfn.XLOOKUP(A32,[1]工作表3!$A:$A,[1]工作表3!$B:$B,"0")</f>
        <v>0</v>
      </c>
      <c r="E32">
        <v>0</v>
      </c>
      <c r="F32">
        <v>0</v>
      </c>
      <c r="G32">
        <f t="shared" si="0"/>
        <v>0</v>
      </c>
    </row>
    <row r="33" spans="3:7">
      <c r="C33">
        <f>_xlfn.XLOOKUP(A33,[1]工作表3!$A:$A,[1]工作表3!$B:$B,"0")</f>
        <v>0</v>
      </c>
      <c r="E33">
        <v>8960</v>
      </c>
      <c r="F33">
        <v>8960</v>
      </c>
      <c r="G33">
        <f t="shared" si="0"/>
        <v>0</v>
      </c>
    </row>
    <row r="34" spans="3:7">
      <c r="C34">
        <f>_xlfn.XLOOKUP(A34,[1]工作表3!$A:$A,[1]工作表3!$B:$B,"0")</f>
        <v>0</v>
      </c>
      <c r="E34">
        <v>0</v>
      </c>
      <c r="F34">
        <v>0</v>
      </c>
      <c r="G34">
        <f t="shared" si="0"/>
        <v>0</v>
      </c>
    </row>
    <row r="35" spans="3:7">
      <c r="C35">
        <f>_xlfn.XLOOKUP(A35,[1]工作表3!$A:$A,[1]工作表3!$B:$B,"0")</f>
        <v>0</v>
      </c>
      <c r="E35">
        <v>26880</v>
      </c>
      <c r="F35">
        <v>26880</v>
      </c>
      <c r="G35">
        <f t="shared" si="0"/>
        <v>0</v>
      </c>
    </row>
    <row r="36" spans="3:7">
      <c r="C36">
        <f>_xlfn.XLOOKUP(A36,[1]工作表3!$A:$A,[1]工作表3!$B:$B,"0")</f>
        <v>0</v>
      </c>
      <c r="E36">
        <v>0</v>
      </c>
      <c r="F36">
        <v>0</v>
      </c>
      <c r="G36">
        <f t="shared" si="0"/>
        <v>0</v>
      </c>
    </row>
    <row r="37" spans="3:7">
      <c r="C37">
        <f>_xlfn.XLOOKUP(A37,[1]工作表3!$A:$A,[1]工作表3!$B:$B,"0")</f>
        <v>0</v>
      </c>
      <c r="E37">
        <v>0</v>
      </c>
      <c r="F37">
        <v>0</v>
      </c>
      <c r="G37">
        <f t="shared" si="0"/>
        <v>0</v>
      </c>
    </row>
    <row r="38" spans="3:7">
      <c r="C38">
        <f>_xlfn.XLOOKUP(A38,[1]工作表3!$A:$A,[1]工作表3!$B:$B,"0")</f>
        <v>0</v>
      </c>
      <c r="E38">
        <v>0</v>
      </c>
      <c r="F38">
        <v>0</v>
      </c>
      <c r="G38">
        <f t="shared" si="0"/>
        <v>0</v>
      </c>
    </row>
    <row r="39" spans="3:7">
      <c r="C39">
        <f>_xlfn.XLOOKUP(A39,[1]工作表3!$A:$A,[1]工作表3!$B:$B,"0")</f>
        <v>0</v>
      </c>
      <c r="E39">
        <v>0</v>
      </c>
      <c r="F39">
        <v>0</v>
      </c>
      <c r="G39">
        <f t="shared" si="0"/>
        <v>0</v>
      </c>
    </row>
    <row r="40" spans="3:7">
      <c r="C40">
        <f>_xlfn.XLOOKUP(A40,[1]工作表3!$A:$A,[1]工作表3!$B:$B,"0")</f>
        <v>0</v>
      </c>
      <c r="E40">
        <v>0</v>
      </c>
      <c r="F40">
        <v>0</v>
      </c>
      <c r="G40">
        <f t="shared" si="0"/>
        <v>0</v>
      </c>
    </row>
    <row r="41" spans="3:7">
      <c r="C41">
        <f>_xlfn.XLOOKUP(A41,[1]工作表3!$A:$A,[1]工作表3!$B:$B,"0")</f>
        <v>0</v>
      </c>
      <c r="E41">
        <v>0</v>
      </c>
      <c r="F41">
        <v>0</v>
      </c>
      <c r="G41">
        <f t="shared" si="0"/>
        <v>0</v>
      </c>
    </row>
    <row r="42" spans="3:7">
      <c r="C42">
        <f>_xlfn.XLOOKUP(A42,[1]工作表3!$A:$A,[1]工作表3!$B:$B,"0")</f>
        <v>0</v>
      </c>
      <c r="E42">
        <v>0</v>
      </c>
      <c r="F42">
        <v>0</v>
      </c>
      <c r="G42">
        <f t="shared" si="0"/>
        <v>0</v>
      </c>
    </row>
    <row r="43" spans="3:7">
      <c r="C43">
        <f>_xlfn.XLOOKUP(A43,[1]工作表3!$A:$A,[1]工作表3!$B:$B,"0")</f>
        <v>0</v>
      </c>
      <c r="E43">
        <v>0</v>
      </c>
      <c r="F43">
        <v>0</v>
      </c>
      <c r="G43">
        <f t="shared" si="0"/>
        <v>0</v>
      </c>
    </row>
    <row r="44" spans="3:7">
      <c r="C44">
        <f>_xlfn.XLOOKUP(A44,[1]工作表3!$A:$A,[1]工作表3!$B:$B,"0")</f>
        <v>0</v>
      </c>
      <c r="E44">
        <v>0</v>
      </c>
      <c r="F44">
        <v>0</v>
      </c>
      <c r="G44">
        <f t="shared" si="0"/>
        <v>0</v>
      </c>
    </row>
    <row r="45" spans="3:7">
      <c r="C45">
        <f>_xlfn.XLOOKUP(A45,[1]工作表3!$A:$A,[1]工作表3!$B:$B,"0")</f>
        <v>0</v>
      </c>
      <c r="E45">
        <v>0</v>
      </c>
      <c r="F45">
        <v>0</v>
      </c>
      <c r="G45">
        <f t="shared" si="0"/>
        <v>0</v>
      </c>
    </row>
    <row r="46" spans="3:7">
      <c r="C46">
        <f>_xlfn.XLOOKUP(A46,[1]工作表3!$A:$A,[1]工作表3!$B:$B,"0")</f>
        <v>0</v>
      </c>
      <c r="E46">
        <v>2880</v>
      </c>
      <c r="F46">
        <v>2880</v>
      </c>
      <c r="G46">
        <f t="shared" si="0"/>
        <v>0</v>
      </c>
    </row>
    <row r="47" spans="3:7">
      <c r="C47">
        <f>_xlfn.XLOOKUP(A47,[1]工作表3!$A:$A,[1]工作表3!$B:$B,"0")</f>
        <v>0</v>
      </c>
      <c r="E47">
        <v>0</v>
      </c>
      <c r="F47">
        <v>0</v>
      </c>
      <c r="G47">
        <f t="shared" si="0"/>
        <v>0</v>
      </c>
    </row>
    <row r="48" spans="3:7">
      <c r="C48">
        <f>_xlfn.XLOOKUP(A48,[1]工作表3!$A:$A,[1]工作表3!$B:$B,"0")</f>
        <v>0</v>
      </c>
      <c r="E48">
        <v>2880</v>
      </c>
      <c r="F48">
        <v>2880</v>
      </c>
      <c r="G48">
        <f t="shared" si="0"/>
        <v>0</v>
      </c>
    </row>
    <row r="49" spans="3:7">
      <c r="C49">
        <f>_xlfn.XLOOKUP(A49,[1]工作表3!$A:$A,[1]工作表3!$B:$B,"0")</f>
        <v>0</v>
      </c>
      <c r="E49">
        <v>4320</v>
      </c>
      <c r="F49">
        <v>4320</v>
      </c>
      <c r="G49">
        <f t="shared" si="0"/>
        <v>0</v>
      </c>
    </row>
    <row r="50" spans="3:7">
      <c r="C50">
        <f>_xlfn.XLOOKUP(A50,[1]工作表3!$A:$A,[1]工作表3!$B:$B,"0")</f>
        <v>0</v>
      </c>
      <c r="E50">
        <v>5760</v>
      </c>
      <c r="F50">
        <v>5760</v>
      </c>
      <c r="G50">
        <f t="shared" si="0"/>
        <v>0</v>
      </c>
    </row>
    <row r="51" spans="3:7">
      <c r="C51">
        <f>_xlfn.XLOOKUP(A51,[1]工作表3!$A:$A,[1]工作表3!$B:$B,"0")</f>
        <v>0</v>
      </c>
      <c r="E51">
        <v>0</v>
      </c>
      <c r="F51">
        <v>0</v>
      </c>
      <c r="G51">
        <f t="shared" si="0"/>
        <v>0</v>
      </c>
    </row>
    <row r="52" spans="3:7">
      <c r="C52">
        <f>_xlfn.XLOOKUP(A52,[1]工作表3!$A:$A,[1]工作表3!$B:$B,"0")</f>
        <v>0</v>
      </c>
      <c r="E52">
        <v>8640</v>
      </c>
      <c r="F52">
        <v>8640</v>
      </c>
      <c r="G52">
        <f t="shared" si="0"/>
        <v>0</v>
      </c>
    </row>
    <row r="53" spans="3:7">
      <c r="C53">
        <f>_xlfn.XLOOKUP(A53,[1]工作表3!$A:$A,[1]工作表3!$B:$B,"0")</f>
        <v>0</v>
      </c>
      <c r="E53">
        <v>2880</v>
      </c>
      <c r="F53">
        <v>2880</v>
      </c>
      <c r="G53">
        <f t="shared" si="0"/>
        <v>0</v>
      </c>
    </row>
    <row r="54" spans="3:7">
      <c r="C54">
        <f>_xlfn.XLOOKUP(A54,[1]工作表3!$A:$A,[1]工作表3!$B:$B,"0")</f>
        <v>0</v>
      </c>
      <c r="E54">
        <v>0</v>
      </c>
      <c r="F54">
        <v>0</v>
      </c>
      <c r="G54">
        <f t="shared" si="0"/>
        <v>0</v>
      </c>
    </row>
    <row r="55" spans="3:7">
      <c r="C55">
        <f>_xlfn.XLOOKUP(A55,[1]工作表3!$A:$A,[1]工作表3!$B:$B,"0")</f>
        <v>0</v>
      </c>
      <c r="E55">
        <v>0</v>
      </c>
      <c r="F55">
        <v>0</v>
      </c>
      <c r="G55">
        <f t="shared" si="0"/>
        <v>0</v>
      </c>
    </row>
    <row r="56" spans="3:7">
      <c r="C56">
        <f>_xlfn.XLOOKUP(A56,[1]工作表3!$A:$A,[1]工作表3!$B:$B,"0")</f>
        <v>0</v>
      </c>
      <c r="E56">
        <v>0</v>
      </c>
      <c r="F56">
        <v>0</v>
      </c>
      <c r="G56">
        <f t="shared" si="0"/>
        <v>0</v>
      </c>
    </row>
    <row r="57" spans="3:7">
      <c r="C57">
        <f>_xlfn.XLOOKUP(A57,[1]工作表3!$A:$A,[1]工作表3!$B:$B,"0")</f>
        <v>0</v>
      </c>
      <c r="E57">
        <v>0</v>
      </c>
      <c r="F57">
        <v>0</v>
      </c>
      <c r="G57">
        <f t="shared" si="0"/>
        <v>0</v>
      </c>
    </row>
    <row r="58" spans="3:7">
      <c r="C58">
        <f>_xlfn.XLOOKUP(A58,[1]工作表3!$A:$A,[1]工作表3!$B:$B,"0")</f>
        <v>0</v>
      </c>
      <c r="E58">
        <v>0</v>
      </c>
      <c r="F58">
        <v>0</v>
      </c>
      <c r="G58">
        <f t="shared" si="0"/>
        <v>0</v>
      </c>
    </row>
    <row r="59" spans="3:7">
      <c r="C59">
        <f>_xlfn.XLOOKUP(A59,[1]工作表3!$A:$A,[1]工作表3!$B:$B,"0")</f>
        <v>0</v>
      </c>
      <c r="E59">
        <v>1890</v>
      </c>
      <c r="F59">
        <v>1890</v>
      </c>
      <c r="G59">
        <f t="shared" si="0"/>
        <v>0</v>
      </c>
    </row>
    <row r="60" spans="3:7">
      <c r="C60">
        <f>_xlfn.XLOOKUP(A60,[1]工作表3!$A:$A,[1]工作表3!$B:$B,"0")</f>
        <v>0</v>
      </c>
      <c r="E60">
        <v>0</v>
      </c>
      <c r="F60">
        <v>0</v>
      </c>
      <c r="G60">
        <f t="shared" si="0"/>
        <v>0</v>
      </c>
    </row>
    <row r="61" spans="3:7">
      <c r="C61">
        <f>_xlfn.XLOOKUP(A61,[1]工作表3!$A:$A,[1]工作表3!$B:$B,"0")</f>
        <v>0</v>
      </c>
      <c r="E61">
        <v>0</v>
      </c>
      <c r="F61">
        <v>0</v>
      </c>
      <c r="G61">
        <f t="shared" si="0"/>
        <v>0</v>
      </c>
    </row>
    <row r="62" spans="3:7">
      <c r="C62">
        <f>_xlfn.XLOOKUP(A62,[1]工作表3!$A:$A,[1]工作表3!$B:$B,"0")</f>
        <v>0</v>
      </c>
      <c r="E62">
        <v>25000</v>
      </c>
      <c r="F62">
        <v>25000</v>
      </c>
      <c r="G62">
        <f t="shared" si="0"/>
        <v>0</v>
      </c>
    </row>
    <row r="63" spans="3:7">
      <c r="C63">
        <f>_xlfn.XLOOKUP(A63,[1]工作表3!$A:$A,[1]工作表3!$B:$B,"0")</f>
        <v>0</v>
      </c>
      <c r="E63">
        <v>5280</v>
      </c>
      <c r="F63">
        <v>5280</v>
      </c>
      <c r="G63">
        <f t="shared" si="0"/>
        <v>0</v>
      </c>
    </row>
    <row r="64" spans="3:7">
      <c r="C64">
        <f>_xlfn.XLOOKUP(A64,[1]工作表3!$A:$A,[1]工作表3!$B:$B,"0")</f>
        <v>0</v>
      </c>
      <c r="E64">
        <v>7920</v>
      </c>
      <c r="F64">
        <v>7920</v>
      </c>
      <c r="G64">
        <f t="shared" si="0"/>
        <v>0</v>
      </c>
    </row>
    <row r="65" spans="3:7">
      <c r="C65">
        <f>_xlfn.XLOOKUP(A65,[1]工作表3!$A:$A,[1]工作表3!$B:$B,"0")</f>
        <v>0</v>
      </c>
      <c r="E65">
        <v>5280</v>
      </c>
      <c r="F65">
        <v>5280</v>
      </c>
      <c r="G65">
        <f t="shared" si="0"/>
        <v>0</v>
      </c>
    </row>
    <row r="66" spans="3:7">
      <c r="C66">
        <f>_xlfn.XLOOKUP(A66,[1]工作表3!$A:$A,[1]工作表3!$B:$B,"0")</f>
        <v>0</v>
      </c>
      <c r="E66">
        <v>0</v>
      </c>
      <c r="F66">
        <v>0</v>
      </c>
      <c r="G66">
        <f t="shared" si="0"/>
        <v>0</v>
      </c>
    </row>
    <row r="67" spans="3:7">
      <c r="C67">
        <f>_xlfn.XLOOKUP(A67,[1]工作表3!$A:$A,[1]工作表3!$B:$B,"0")</f>
        <v>0</v>
      </c>
      <c r="E67">
        <v>0</v>
      </c>
      <c r="F67">
        <v>0</v>
      </c>
      <c r="G67">
        <f t="shared" si="0"/>
        <v>0</v>
      </c>
    </row>
    <row r="68" spans="3:7">
      <c r="C68">
        <f>_xlfn.XLOOKUP(A68,[1]工作表3!$A:$A,[1]工作表3!$B:$B,"0")</f>
        <v>0</v>
      </c>
      <c r="E68">
        <v>3600</v>
      </c>
      <c r="F68">
        <v>3600</v>
      </c>
      <c r="G68">
        <f t="shared" si="0"/>
        <v>0</v>
      </c>
    </row>
    <row r="69" spans="3:7">
      <c r="C69">
        <f>_xlfn.XLOOKUP(A69,[1]工作表3!$A:$A,[1]工作表3!$B:$B,"0")</f>
        <v>0</v>
      </c>
      <c r="E69">
        <v>0</v>
      </c>
      <c r="F69">
        <v>0</v>
      </c>
      <c r="G69">
        <f t="shared" ref="G69:G132" si="1">E69-F69</f>
        <v>0</v>
      </c>
    </row>
    <row r="70" spans="3:7">
      <c r="C70">
        <f>_xlfn.XLOOKUP(A70,[1]工作表3!$A:$A,[1]工作表3!$B:$B,"0")</f>
        <v>0</v>
      </c>
      <c r="E70">
        <v>0</v>
      </c>
      <c r="F70">
        <v>0</v>
      </c>
      <c r="G70">
        <f t="shared" si="1"/>
        <v>0</v>
      </c>
    </row>
    <row r="71" spans="3:7">
      <c r="C71">
        <f>_xlfn.XLOOKUP(A71,[1]工作表3!$A:$A,[1]工作表3!$B:$B,"0")</f>
        <v>0</v>
      </c>
      <c r="E71">
        <v>0</v>
      </c>
      <c r="F71">
        <v>0</v>
      </c>
      <c r="G71">
        <f t="shared" si="1"/>
        <v>0</v>
      </c>
    </row>
    <row r="72" spans="3:7">
      <c r="C72">
        <f>_xlfn.XLOOKUP(A72,[1]工作表3!$A:$A,[1]工作表3!$B:$B,"0")</f>
        <v>0</v>
      </c>
      <c r="E72">
        <v>0</v>
      </c>
      <c r="F72">
        <v>0</v>
      </c>
      <c r="G72">
        <f t="shared" si="1"/>
        <v>0</v>
      </c>
    </row>
    <row r="73" spans="3:7">
      <c r="C73">
        <f>_xlfn.XLOOKUP(A73,[1]工作表3!$A:$A,[1]工作表3!$B:$B,"0")</f>
        <v>0</v>
      </c>
      <c r="E73">
        <v>1200</v>
      </c>
      <c r="F73">
        <v>1200</v>
      </c>
      <c r="G73">
        <f t="shared" si="1"/>
        <v>0</v>
      </c>
    </row>
    <row r="74" spans="3:7">
      <c r="C74">
        <f>_xlfn.XLOOKUP(A74,[1]工作表3!$A:$A,[1]工作表3!$B:$B,"0")</f>
        <v>0</v>
      </c>
      <c r="E74">
        <v>0</v>
      </c>
      <c r="F74">
        <v>0</v>
      </c>
      <c r="G74">
        <f t="shared" si="1"/>
        <v>0</v>
      </c>
    </row>
    <row r="75" spans="3:7">
      <c r="C75">
        <f>_xlfn.XLOOKUP(A75,[1]工作表3!$A:$A,[1]工作表3!$B:$B,"0")</f>
        <v>0</v>
      </c>
      <c r="E75">
        <v>0</v>
      </c>
      <c r="F75">
        <v>0</v>
      </c>
      <c r="G75">
        <f t="shared" si="1"/>
        <v>0</v>
      </c>
    </row>
    <row r="76" spans="3:7">
      <c r="C76">
        <f>_xlfn.XLOOKUP(A76,[1]工作表3!$A:$A,[1]工作表3!$B:$B,"0")</f>
        <v>0</v>
      </c>
      <c r="E76">
        <v>0</v>
      </c>
      <c r="F76">
        <v>0</v>
      </c>
      <c r="G76">
        <f t="shared" si="1"/>
        <v>0</v>
      </c>
    </row>
    <row r="77" spans="3:7">
      <c r="C77">
        <f>_xlfn.XLOOKUP(A77,[1]工作表3!$A:$A,[1]工作表3!$B:$B,"0")</f>
        <v>0</v>
      </c>
      <c r="E77">
        <v>0</v>
      </c>
      <c r="F77">
        <v>0</v>
      </c>
      <c r="G77">
        <f t="shared" si="1"/>
        <v>0</v>
      </c>
    </row>
    <row r="78" spans="3:7">
      <c r="C78">
        <f>_xlfn.XLOOKUP(A78,[1]工作表3!$A:$A,[1]工作表3!$B:$B,"0")</f>
        <v>0</v>
      </c>
      <c r="E78">
        <v>0</v>
      </c>
      <c r="F78">
        <v>0</v>
      </c>
      <c r="G78">
        <f t="shared" si="1"/>
        <v>0</v>
      </c>
    </row>
    <row r="79" spans="3:7">
      <c r="C79">
        <f>_xlfn.XLOOKUP(A79,[1]工作表3!$A:$A,[1]工作表3!$B:$B,"0")</f>
        <v>0</v>
      </c>
      <c r="E79">
        <v>0</v>
      </c>
      <c r="F79">
        <v>0</v>
      </c>
      <c r="G79">
        <f t="shared" si="1"/>
        <v>0</v>
      </c>
    </row>
    <row r="80" spans="3:7">
      <c r="C80">
        <f>_xlfn.XLOOKUP(A80,[1]工作表3!$A:$A,[1]工作表3!$B:$B,"0")</f>
        <v>0</v>
      </c>
      <c r="E80">
        <v>3840</v>
      </c>
      <c r="F80">
        <v>3840</v>
      </c>
      <c r="G80">
        <f t="shared" si="1"/>
        <v>0</v>
      </c>
    </row>
    <row r="81" spans="3:7">
      <c r="C81">
        <f>_xlfn.XLOOKUP(A81,[1]工作表3!$A:$A,[1]工作表3!$B:$B,"0")</f>
        <v>0</v>
      </c>
      <c r="E81">
        <v>0</v>
      </c>
      <c r="F81">
        <v>0</v>
      </c>
      <c r="G81">
        <f t="shared" si="1"/>
        <v>0</v>
      </c>
    </row>
    <row r="82" spans="3:7">
      <c r="C82">
        <f>_xlfn.XLOOKUP(A82,[1]工作表3!$A:$A,[1]工作表3!$B:$B,"0")</f>
        <v>0</v>
      </c>
      <c r="E82">
        <v>6160</v>
      </c>
      <c r="F82">
        <v>6160</v>
      </c>
      <c r="G82">
        <f t="shared" si="1"/>
        <v>0</v>
      </c>
    </row>
    <row r="83" spans="3:7">
      <c r="C83">
        <f>_xlfn.XLOOKUP(A83,[1]工作表3!$A:$A,[1]工作表3!$B:$B,"0")</f>
        <v>0</v>
      </c>
      <c r="E83">
        <v>5760</v>
      </c>
      <c r="F83">
        <v>5760</v>
      </c>
      <c r="G83">
        <f t="shared" si="1"/>
        <v>0</v>
      </c>
    </row>
    <row r="84" spans="3:7">
      <c r="C84">
        <f>_xlfn.XLOOKUP(A84,[1]工作表3!$A:$A,[1]工作表3!$B:$B,"0")</f>
        <v>0</v>
      </c>
      <c r="E84">
        <v>5760</v>
      </c>
      <c r="F84">
        <v>5760</v>
      </c>
      <c r="G84">
        <f t="shared" si="1"/>
        <v>0</v>
      </c>
    </row>
    <row r="85" spans="3:7">
      <c r="C85">
        <f>_xlfn.XLOOKUP(A85,[1]工作表3!$A:$A,[1]工作表3!$B:$B,"0")</f>
        <v>0</v>
      </c>
      <c r="E85">
        <v>0</v>
      </c>
      <c r="F85">
        <v>0</v>
      </c>
      <c r="G85">
        <f t="shared" si="1"/>
        <v>0</v>
      </c>
    </row>
    <row r="86" spans="3:7">
      <c r="C86">
        <f>_xlfn.XLOOKUP(A86,[1]工作表3!$A:$A,[1]工作表3!$B:$B,"0")</f>
        <v>0</v>
      </c>
      <c r="E86">
        <v>2880</v>
      </c>
      <c r="F86">
        <v>2880</v>
      </c>
      <c r="G86">
        <f t="shared" si="1"/>
        <v>0</v>
      </c>
    </row>
    <row r="87" spans="3:7">
      <c r="C87">
        <f>_xlfn.XLOOKUP(A87,[1]工作表3!$A:$A,[1]工作表3!$B:$B,"0")</f>
        <v>0</v>
      </c>
      <c r="E87">
        <v>0</v>
      </c>
      <c r="F87">
        <v>0</v>
      </c>
      <c r="G87">
        <f t="shared" si="1"/>
        <v>0</v>
      </c>
    </row>
    <row r="88" spans="3:7">
      <c r="C88">
        <f>_xlfn.XLOOKUP(A88,[1]工作表3!$A:$A,[1]工作表3!$B:$B,"0")</f>
        <v>0</v>
      </c>
      <c r="E88">
        <v>5760</v>
      </c>
      <c r="F88">
        <v>5760</v>
      </c>
      <c r="G88">
        <f t="shared" si="1"/>
        <v>0</v>
      </c>
    </row>
    <row r="89" spans="3:7">
      <c r="C89">
        <f>_xlfn.XLOOKUP(A89,[1]工作表3!$A:$A,[1]工作表3!$B:$B,"0")</f>
        <v>0</v>
      </c>
      <c r="E89">
        <v>0</v>
      </c>
      <c r="F89">
        <v>0</v>
      </c>
      <c r="G89">
        <f t="shared" si="1"/>
        <v>0</v>
      </c>
    </row>
    <row r="90" spans="3:7">
      <c r="C90">
        <f>_xlfn.XLOOKUP(A90,[1]工作表3!$A:$A,[1]工作表3!$B:$B,"0")</f>
        <v>0</v>
      </c>
      <c r="E90">
        <v>2880</v>
      </c>
      <c r="F90">
        <v>2880</v>
      </c>
      <c r="G90">
        <f t="shared" si="1"/>
        <v>0</v>
      </c>
    </row>
    <row r="91" spans="3:7">
      <c r="C91">
        <f>_xlfn.XLOOKUP(A91,[1]工作表3!$A:$A,[1]工作表3!$B:$B,"0")</f>
        <v>0</v>
      </c>
      <c r="E91">
        <v>0</v>
      </c>
      <c r="F91">
        <v>0</v>
      </c>
      <c r="G91">
        <f t="shared" si="1"/>
        <v>0</v>
      </c>
    </row>
    <row r="92" spans="3:7">
      <c r="C92">
        <f>_xlfn.XLOOKUP(A92,[1]工作表3!$A:$A,[1]工作表3!$B:$B,"0")</f>
        <v>0</v>
      </c>
      <c r="E92">
        <v>0</v>
      </c>
      <c r="F92">
        <v>0</v>
      </c>
      <c r="G92">
        <f t="shared" si="1"/>
        <v>0</v>
      </c>
    </row>
    <row r="93" spans="3:7">
      <c r="C93">
        <f>_xlfn.XLOOKUP(A93,[1]工作表3!$A:$A,[1]工作表3!$B:$B,"0")</f>
        <v>0</v>
      </c>
      <c r="E93">
        <v>0</v>
      </c>
      <c r="F93">
        <v>0</v>
      </c>
      <c r="G93">
        <f t="shared" si="1"/>
        <v>0</v>
      </c>
    </row>
    <row r="94" spans="3:7">
      <c r="C94">
        <f>_xlfn.XLOOKUP(A94,[1]工作表3!$A:$A,[1]工作表3!$B:$B,"0")</f>
        <v>0</v>
      </c>
      <c r="E94">
        <v>0</v>
      </c>
      <c r="F94">
        <v>0</v>
      </c>
      <c r="G94">
        <f t="shared" si="1"/>
        <v>0</v>
      </c>
    </row>
    <row r="95" spans="3:7">
      <c r="C95">
        <f>_xlfn.XLOOKUP(A95,[1]工作表3!$A:$A,[1]工作表3!$B:$B,"0")</f>
        <v>0</v>
      </c>
      <c r="E95">
        <v>0</v>
      </c>
      <c r="F95">
        <v>0</v>
      </c>
      <c r="G95">
        <f t="shared" si="1"/>
        <v>0</v>
      </c>
    </row>
    <row r="96" spans="3:7">
      <c r="C96">
        <f>_xlfn.XLOOKUP(A96,[1]工作表3!$A:$A,[1]工作表3!$B:$B,"0")</f>
        <v>0</v>
      </c>
      <c r="E96">
        <v>0</v>
      </c>
      <c r="F96">
        <v>0</v>
      </c>
      <c r="G96">
        <f t="shared" si="1"/>
        <v>0</v>
      </c>
    </row>
    <row r="97" spans="3:7">
      <c r="C97">
        <f>_xlfn.XLOOKUP(A97,[1]工作表3!$A:$A,[1]工作表3!$B:$B,"0")</f>
        <v>0</v>
      </c>
      <c r="E97">
        <v>0</v>
      </c>
      <c r="F97">
        <v>0</v>
      </c>
      <c r="G97">
        <f t="shared" si="1"/>
        <v>0</v>
      </c>
    </row>
    <row r="98" spans="3:7">
      <c r="C98">
        <f>_xlfn.XLOOKUP(A98,[1]工作表3!$A:$A,[1]工作表3!$B:$B,"0")</f>
        <v>0</v>
      </c>
      <c r="E98">
        <v>0</v>
      </c>
      <c r="F98" t="s">
        <v>573</v>
      </c>
      <c r="G98">
        <f t="shared" si="1"/>
        <v>0</v>
      </c>
    </row>
    <row r="99" spans="3:7">
      <c r="C99">
        <f>_xlfn.XLOOKUP(A99,[1]工作表3!$A:$A,[1]工作表3!$B:$B,"0")</f>
        <v>0</v>
      </c>
      <c r="E99">
        <v>2880</v>
      </c>
      <c r="F99">
        <v>2880</v>
      </c>
      <c r="G99">
        <f t="shared" si="1"/>
        <v>0</v>
      </c>
    </row>
    <row r="100" spans="3:7">
      <c r="C100">
        <f>_xlfn.XLOOKUP(A100,[1]工作表3!$A:$A,[1]工作表3!$B:$B,"0")</f>
        <v>0</v>
      </c>
      <c r="E100">
        <v>5760</v>
      </c>
      <c r="F100">
        <v>5760</v>
      </c>
      <c r="G100">
        <f t="shared" si="1"/>
        <v>0</v>
      </c>
    </row>
    <row r="101" spans="3:7">
      <c r="C101" s="49">
        <f>_xlfn.XLOOKUP(A101,[1]工作表3!$A:$A,[1]工作表3!$B:$B,"0")</f>
        <v>0</v>
      </c>
      <c r="E101">
        <v>8640</v>
      </c>
      <c r="F101">
        <v>5760</v>
      </c>
      <c r="G101">
        <f t="shared" si="1"/>
        <v>2880</v>
      </c>
    </row>
    <row r="102" spans="3:7">
      <c r="C102">
        <f>_xlfn.XLOOKUP(A102,[1]工作表3!$A:$A,[1]工作表3!$B:$B,"0")</f>
        <v>0</v>
      </c>
      <c r="E102">
        <v>6720</v>
      </c>
      <c r="F102">
        <v>6720</v>
      </c>
      <c r="G102">
        <f t="shared" si="1"/>
        <v>0</v>
      </c>
    </row>
    <row r="103" spans="3:7">
      <c r="C103">
        <f>_xlfn.XLOOKUP(A103,[1]工作表3!$A:$A,[1]工作表3!$B:$B,"0")</f>
        <v>0</v>
      </c>
      <c r="E103">
        <v>2880</v>
      </c>
      <c r="F103">
        <v>2880</v>
      </c>
      <c r="G103">
        <f t="shared" si="1"/>
        <v>0</v>
      </c>
    </row>
    <row r="104" spans="3:7">
      <c r="C104">
        <f>_xlfn.XLOOKUP(A104,[1]工作表3!$A:$A,[1]工作表3!$B:$B,"0")</f>
        <v>0</v>
      </c>
      <c r="E104">
        <v>0</v>
      </c>
      <c r="F104">
        <v>0</v>
      </c>
      <c r="G104">
        <f t="shared" si="1"/>
        <v>0</v>
      </c>
    </row>
    <row r="105" spans="3:7">
      <c r="C105">
        <f>_xlfn.XLOOKUP(A105,[1]工作表3!$A:$A,[1]工作表3!$B:$B,"0")</f>
        <v>0</v>
      </c>
      <c r="E105">
        <v>4320</v>
      </c>
      <c r="F105">
        <v>4320</v>
      </c>
      <c r="G105">
        <f t="shared" si="1"/>
        <v>0</v>
      </c>
    </row>
    <row r="106" spans="3:7">
      <c r="C106">
        <f>_xlfn.XLOOKUP(A106,[1]工作表3!$A:$A,[1]工作表3!$B:$B,"0")</f>
        <v>0</v>
      </c>
      <c r="E106">
        <v>0</v>
      </c>
      <c r="F106">
        <v>0</v>
      </c>
      <c r="G106">
        <f t="shared" si="1"/>
        <v>0</v>
      </c>
    </row>
    <row r="107" spans="3:7">
      <c r="C107">
        <f>_xlfn.XLOOKUP(A107,[1]工作表3!$A:$A,[1]工作表3!$B:$B,"0")</f>
        <v>0</v>
      </c>
      <c r="E107">
        <v>0</v>
      </c>
      <c r="F107">
        <v>0</v>
      </c>
      <c r="G107">
        <f t="shared" si="1"/>
        <v>0</v>
      </c>
    </row>
    <row r="108" spans="3:7">
      <c r="C108">
        <f>_xlfn.XLOOKUP(A108,[1]工作表3!$A:$A,[1]工作表3!$B:$B,"0")</f>
        <v>0</v>
      </c>
      <c r="E108">
        <v>0</v>
      </c>
      <c r="F108">
        <v>0</v>
      </c>
      <c r="G108">
        <f t="shared" si="1"/>
        <v>0</v>
      </c>
    </row>
    <row r="109" spans="3:7">
      <c r="C109">
        <f>_xlfn.XLOOKUP(A109,[1]工作表3!$A:$A,[1]工作表3!$B:$B,"0")</f>
        <v>0</v>
      </c>
      <c r="E109">
        <v>0</v>
      </c>
      <c r="F109">
        <v>0</v>
      </c>
      <c r="G109">
        <f t="shared" si="1"/>
        <v>0</v>
      </c>
    </row>
    <row r="110" spans="3:7">
      <c r="C110">
        <f>_xlfn.XLOOKUP(A110,[1]工作表3!$A:$A,[1]工作表3!$B:$B,"0")</f>
        <v>0</v>
      </c>
      <c r="E110">
        <v>2800</v>
      </c>
      <c r="F110">
        <v>2800</v>
      </c>
      <c r="G110">
        <f t="shared" si="1"/>
        <v>0</v>
      </c>
    </row>
    <row r="111" spans="3:7">
      <c r="C111">
        <f>_xlfn.XLOOKUP(A111,[1]工作表3!$A:$A,[1]工作表3!$B:$B,"0")</f>
        <v>0</v>
      </c>
      <c r="E111">
        <v>0</v>
      </c>
      <c r="F111">
        <v>0</v>
      </c>
      <c r="G111">
        <f t="shared" si="1"/>
        <v>0</v>
      </c>
    </row>
    <row r="112" spans="3:7">
      <c r="C112">
        <f>_xlfn.XLOOKUP(A112,[1]工作表3!$A:$A,[1]工作表3!$B:$B,"0")</f>
        <v>0</v>
      </c>
      <c r="E112">
        <v>0</v>
      </c>
      <c r="F112">
        <v>0</v>
      </c>
      <c r="G112">
        <f t="shared" si="1"/>
        <v>0</v>
      </c>
    </row>
    <row r="113" spans="3:7">
      <c r="C113">
        <f>_xlfn.XLOOKUP(A113,[1]工作表3!$A:$A,[1]工作表3!$B:$B,"0")</f>
        <v>0</v>
      </c>
      <c r="E113">
        <v>0</v>
      </c>
      <c r="F113">
        <v>0</v>
      </c>
      <c r="G113">
        <f t="shared" si="1"/>
        <v>0</v>
      </c>
    </row>
    <row r="114" spans="3:7">
      <c r="C114">
        <f>_xlfn.XLOOKUP(A114,[1]工作表3!$A:$A,[1]工作表3!$B:$B,"0")</f>
        <v>0</v>
      </c>
      <c r="E114">
        <v>0</v>
      </c>
      <c r="F114">
        <v>0</v>
      </c>
      <c r="G114">
        <f t="shared" si="1"/>
        <v>0</v>
      </c>
    </row>
    <row r="115" spans="3:7">
      <c r="C115">
        <f>_xlfn.XLOOKUP(A115,[1]工作表3!$A:$A,[1]工作表3!$B:$B,"0")</f>
        <v>0</v>
      </c>
      <c r="E115">
        <v>0</v>
      </c>
      <c r="F115">
        <v>0</v>
      </c>
      <c r="G115">
        <f t="shared" si="1"/>
        <v>0</v>
      </c>
    </row>
    <row r="116" spans="3:7">
      <c r="C116">
        <f>_xlfn.XLOOKUP(A116,[1]工作表3!$A:$A,[1]工作表3!$B:$B,"0")</f>
        <v>0</v>
      </c>
      <c r="E116">
        <v>0</v>
      </c>
      <c r="F116">
        <v>0</v>
      </c>
      <c r="G116">
        <f t="shared" si="1"/>
        <v>0</v>
      </c>
    </row>
    <row r="117" spans="3:7">
      <c r="C117">
        <f>_xlfn.XLOOKUP(A117,[1]工作表3!$A:$A,[1]工作表3!$B:$B,"0")</f>
        <v>0</v>
      </c>
      <c r="E117">
        <v>0</v>
      </c>
      <c r="F117">
        <v>0</v>
      </c>
      <c r="G117">
        <f t="shared" si="1"/>
        <v>0</v>
      </c>
    </row>
    <row r="118" spans="3:7">
      <c r="C118">
        <f>_xlfn.XLOOKUP(A118,[1]工作表3!$A:$A,[1]工作表3!$B:$B,"0")</f>
        <v>0</v>
      </c>
      <c r="E118">
        <v>0</v>
      </c>
      <c r="F118">
        <v>0</v>
      </c>
      <c r="G118">
        <f t="shared" si="1"/>
        <v>0</v>
      </c>
    </row>
    <row r="119" spans="3:7">
      <c r="C119">
        <f>_xlfn.XLOOKUP(A119,[1]工作表3!$A:$A,[1]工作表3!$B:$B,"0")</f>
        <v>0</v>
      </c>
      <c r="E119">
        <v>38880</v>
      </c>
      <c r="F119">
        <v>38880</v>
      </c>
      <c r="G119">
        <f t="shared" si="1"/>
        <v>0</v>
      </c>
    </row>
    <row r="120" spans="3:7">
      <c r="C120">
        <f>_xlfn.XLOOKUP(A120,[1]工作表3!$A:$A,[1]工作表3!$B:$B,"0")</f>
        <v>0</v>
      </c>
      <c r="E120">
        <v>4320</v>
      </c>
      <c r="F120">
        <v>4320</v>
      </c>
      <c r="G120">
        <f t="shared" si="1"/>
        <v>0</v>
      </c>
    </row>
    <row r="121" spans="3:7">
      <c r="C121">
        <f>_xlfn.XLOOKUP(A121,[1]工作表3!$A:$A,[1]工作表3!$B:$B,"0")</f>
        <v>0</v>
      </c>
      <c r="E121">
        <v>0</v>
      </c>
      <c r="F121">
        <v>0</v>
      </c>
      <c r="G121">
        <f t="shared" si="1"/>
        <v>0</v>
      </c>
    </row>
    <row r="122" spans="3:7">
      <c r="C122" s="49">
        <f>_xlfn.XLOOKUP(A122,[1]工作表3!$A:$A,[1]工作表3!$B:$B,"0")</f>
        <v>0</v>
      </c>
      <c r="E122">
        <v>0</v>
      </c>
      <c r="F122">
        <v>1000</v>
      </c>
      <c r="G122">
        <f t="shared" si="1"/>
        <v>-1000</v>
      </c>
    </row>
    <row r="123" spans="3:7">
      <c r="C123">
        <f>_xlfn.XLOOKUP(A123,[1]工作表3!$A:$A,[1]工作表3!$B:$B,"0")</f>
        <v>0</v>
      </c>
      <c r="E123">
        <v>0</v>
      </c>
      <c r="F123">
        <v>0</v>
      </c>
      <c r="G123">
        <f t="shared" si="1"/>
        <v>0</v>
      </c>
    </row>
    <row r="124" spans="3:7">
      <c r="C124">
        <f>_xlfn.XLOOKUP(A124,[1]工作表3!$A:$A,[1]工作表3!$B:$B,"0")</f>
        <v>0</v>
      </c>
      <c r="E124">
        <v>0</v>
      </c>
      <c r="F124">
        <v>0</v>
      </c>
      <c r="G124">
        <f t="shared" si="1"/>
        <v>0</v>
      </c>
    </row>
    <row r="125" spans="3:7">
      <c r="C125">
        <f>_xlfn.XLOOKUP(A125,[1]工作表3!$A:$A,[1]工作表3!$B:$B,"0")</f>
        <v>0</v>
      </c>
      <c r="E125">
        <v>0</v>
      </c>
      <c r="F125">
        <v>0</v>
      </c>
      <c r="G125">
        <f t="shared" si="1"/>
        <v>0</v>
      </c>
    </row>
    <row r="126" spans="3:7">
      <c r="C126">
        <f>_xlfn.XLOOKUP(A126,[1]工作表3!$A:$A,[1]工作表3!$B:$B,"0")</f>
        <v>0</v>
      </c>
      <c r="E126">
        <v>0</v>
      </c>
      <c r="F126">
        <v>0</v>
      </c>
      <c r="G126">
        <f t="shared" si="1"/>
        <v>0</v>
      </c>
    </row>
    <row r="127" spans="3:7">
      <c r="C127">
        <f>_xlfn.XLOOKUP(A127,[1]工作表3!$A:$A,[1]工作表3!$B:$B,"0")</f>
        <v>0</v>
      </c>
      <c r="E127">
        <v>0</v>
      </c>
      <c r="F127">
        <v>0</v>
      </c>
      <c r="G127">
        <f t="shared" si="1"/>
        <v>0</v>
      </c>
    </row>
    <row r="128" spans="3:7">
      <c r="C128">
        <f>_xlfn.XLOOKUP(A128,[1]工作表3!$A:$A,[1]工作表3!$B:$B,"0")</f>
        <v>0</v>
      </c>
      <c r="E128">
        <v>0</v>
      </c>
      <c r="F128">
        <v>0</v>
      </c>
      <c r="G128">
        <f t="shared" si="1"/>
        <v>0</v>
      </c>
    </row>
    <row r="129" spans="3:7">
      <c r="C129">
        <f>_xlfn.XLOOKUP(A129,[1]工作表3!$A:$A,[1]工作表3!$B:$B,"0")</f>
        <v>0</v>
      </c>
      <c r="E129">
        <v>0</v>
      </c>
      <c r="F129">
        <v>0</v>
      </c>
      <c r="G129">
        <f t="shared" si="1"/>
        <v>0</v>
      </c>
    </row>
    <row r="130" spans="3:7">
      <c r="C130">
        <f>_xlfn.XLOOKUP(A130,[1]工作表3!$A:$A,[1]工作表3!$B:$B,"0")</f>
        <v>0</v>
      </c>
      <c r="E130">
        <v>0</v>
      </c>
      <c r="F130">
        <v>0</v>
      </c>
      <c r="G130">
        <f t="shared" si="1"/>
        <v>0</v>
      </c>
    </row>
    <row r="131" spans="3:7">
      <c r="C131">
        <f>_xlfn.XLOOKUP(A131,[1]工作表3!$A:$A,[1]工作表3!$B:$B,"0")</f>
        <v>0</v>
      </c>
      <c r="E131">
        <v>1200</v>
      </c>
      <c r="F131">
        <v>1200</v>
      </c>
      <c r="G131">
        <f t="shared" si="1"/>
        <v>0</v>
      </c>
    </row>
    <row r="132" spans="3:7">
      <c r="C132">
        <f>_xlfn.XLOOKUP(A132,[1]工作表3!$A:$A,[1]工作表3!$B:$B,"0")</f>
        <v>0</v>
      </c>
      <c r="E132">
        <v>0</v>
      </c>
      <c r="F132">
        <v>0</v>
      </c>
      <c r="G132">
        <f t="shared" si="1"/>
        <v>0</v>
      </c>
    </row>
    <row r="133" spans="3:7">
      <c r="C133">
        <f>_xlfn.XLOOKUP(A133,[1]工作表3!$A:$A,[1]工作表3!$B:$B,"0")</f>
        <v>0</v>
      </c>
      <c r="E133">
        <v>0</v>
      </c>
      <c r="F133">
        <v>0</v>
      </c>
      <c r="G133">
        <f t="shared" ref="G133:G196" si="2">E133-F133</f>
        <v>0</v>
      </c>
    </row>
    <row r="134" spans="3:7">
      <c r="C134">
        <f>_xlfn.XLOOKUP(A134,[1]工作表3!$A:$A,[1]工作表3!$B:$B,"0")</f>
        <v>0</v>
      </c>
      <c r="E134">
        <v>0</v>
      </c>
      <c r="F134">
        <v>0</v>
      </c>
      <c r="G134">
        <f t="shared" si="2"/>
        <v>0</v>
      </c>
    </row>
    <row r="135" spans="3:7">
      <c r="C135">
        <f>_xlfn.XLOOKUP(A135,[1]工作表3!$A:$A,[1]工作表3!$B:$B,"0")</f>
        <v>0</v>
      </c>
      <c r="E135">
        <v>3640</v>
      </c>
      <c r="F135">
        <v>3640</v>
      </c>
      <c r="G135">
        <f t="shared" si="2"/>
        <v>0</v>
      </c>
    </row>
    <row r="136" spans="3:7">
      <c r="C136">
        <f>_xlfn.XLOOKUP(A136,[1]工作表3!$A:$A,[1]工作表3!$B:$B,"0")</f>
        <v>0</v>
      </c>
      <c r="E136">
        <v>0</v>
      </c>
      <c r="F136">
        <v>0</v>
      </c>
      <c r="G136">
        <f t="shared" si="2"/>
        <v>0</v>
      </c>
    </row>
    <row r="137" spans="3:7">
      <c r="C137">
        <f>_xlfn.XLOOKUP(A137,[1]工作表3!$A:$A,[1]工作表3!$B:$B,"0")</f>
        <v>0</v>
      </c>
      <c r="E137">
        <v>8640</v>
      </c>
      <c r="F137">
        <v>8640</v>
      </c>
      <c r="G137">
        <f t="shared" si="2"/>
        <v>0</v>
      </c>
    </row>
    <row r="138" spans="3:7">
      <c r="C138">
        <f>_xlfn.XLOOKUP(A138,[1]工作表3!$A:$A,[1]工作表3!$B:$B,"0")</f>
        <v>0</v>
      </c>
      <c r="E138">
        <v>0</v>
      </c>
      <c r="F138">
        <v>0</v>
      </c>
      <c r="G138">
        <f t="shared" si="2"/>
        <v>0</v>
      </c>
    </row>
    <row r="139" spans="3:7">
      <c r="C139">
        <f>_xlfn.XLOOKUP(A139,[1]工作表3!$A:$A,[1]工作表3!$B:$B,"0")</f>
        <v>0</v>
      </c>
      <c r="E139">
        <v>5760</v>
      </c>
      <c r="F139">
        <v>5760</v>
      </c>
      <c r="G139">
        <f t="shared" si="2"/>
        <v>0</v>
      </c>
    </row>
    <row r="140" spans="3:7">
      <c r="C140">
        <f>_xlfn.XLOOKUP(A140,[1]工作表3!$A:$A,[1]工作表3!$B:$B,"0")</f>
        <v>0</v>
      </c>
      <c r="E140">
        <v>13440</v>
      </c>
      <c r="F140">
        <v>13440</v>
      </c>
      <c r="G140">
        <f t="shared" si="2"/>
        <v>0</v>
      </c>
    </row>
    <row r="141" spans="3:7">
      <c r="C141">
        <f>_xlfn.XLOOKUP(A141,[1]工作表3!$A:$A,[1]工作表3!$B:$B,"0")</f>
        <v>0</v>
      </c>
      <c r="E141">
        <v>0</v>
      </c>
      <c r="F141">
        <v>0</v>
      </c>
      <c r="G141">
        <f t="shared" si="2"/>
        <v>0</v>
      </c>
    </row>
    <row r="142" spans="3:7">
      <c r="C142">
        <f>_xlfn.XLOOKUP(A142,[1]工作表3!$A:$A,[1]工作表3!$B:$B,"0")</f>
        <v>0</v>
      </c>
      <c r="E142">
        <v>8640</v>
      </c>
      <c r="F142">
        <v>8640</v>
      </c>
      <c r="G142">
        <f t="shared" si="2"/>
        <v>0</v>
      </c>
    </row>
    <row r="143" spans="3:7">
      <c r="C143">
        <f>_xlfn.XLOOKUP(A143,[1]工作表3!$A:$A,[1]工作表3!$B:$B,"0")</f>
        <v>0</v>
      </c>
      <c r="E143">
        <v>2040</v>
      </c>
      <c r="F143">
        <v>2040</v>
      </c>
      <c r="G143">
        <f t="shared" si="2"/>
        <v>0</v>
      </c>
    </row>
    <row r="144" spans="3:7">
      <c r="C144">
        <f>_xlfn.XLOOKUP(A144,[1]工作表3!$A:$A,[1]工作表3!$B:$B,"0")</f>
        <v>0</v>
      </c>
      <c r="E144">
        <v>1020</v>
      </c>
      <c r="F144">
        <v>1020</v>
      </c>
      <c r="G144">
        <f t="shared" si="2"/>
        <v>0</v>
      </c>
    </row>
    <row r="145" spans="3:7">
      <c r="C145">
        <f>_xlfn.XLOOKUP(A145,[1]工作表3!$A:$A,[1]工作表3!$B:$B,"0")</f>
        <v>0</v>
      </c>
      <c r="E145">
        <v>6120</v>
      </c>
      <c r="F145">
        <v>6120</v>
      </c>
      <c r="G145">
        <f t="shared" si="2"/>
        <v>0</v>
      </c>
    </row>
    <row r="146" spans="3:7">
      <c r="C146">
        <f>_xlfn.XLOOKUP(A146,[1]工作表3!$A:$A,[1]工作表3!$B:$B,"0")</f>
        <v>0</v>
      </c>
      <c r="E146">
        <v>3060</v>
      </c>
      <c r="F146">
        <v>3060</v>
      </c>
      <c r="G146">
        <f t="shared" si="2"/>
        <v>0</v>
      </c>
    </row>
    <row r="147" spans="3:7">
      <c r="C147">
        <f>_xlfn.XLOOKUP(A147,[1]工作表3!$A:$A,[1]工作表3!$B:$B,"0")</f>
        <v>0</v>
      </c>
      <c r="E147">
        <v>0</v>
      </c>
      <c r="F147">
        <v>0</v>
      </c>
      <c r="G147">
        <f t="shared" si="2"/>
        <v>0</v>
      </c>
    </row>
    <row r="148" spans="3:7">
      <c r="C148">
        <f>_xlfn.XLOOKUP(A148,[1]工作表3!$A:$A,[1]工作表3!$B:$B,"0")</f>
        <v>0</v>
      </c>
      <c r="E148">
        <v>4080</v>
      </c>
      <c r="F148">
        <v>4080</v>
      </c>
      <c r="G148">
        <f t="shared" si="2"/>
        <v>0</v>
      </c>
    </row>
    <row r="149" spans="3:7">
      <c r="C149">
        <f>_xlfn.XLOOKUP(A149,[1]工作表3!$A:$A,[1]工作表3!$B:$B,"0")</f>
        <v>0</v>
      </c>
      <c r="E149">
        <v>2880</v>
      </c>
      <c r="F149">
        <v>2880</v>
      </c>
      <c r="G149">
        <f t="shared" si="2"/>
        <v>0</v>
      </c>
    </row>
    <row r="150" spans="3:7">
      <c r="C150">
        <f>_xlfn.XLOOKUP(A150,[1]工作表3!$A:$A,[1]工作表3!$B:$B,"0")</f>
        <v>0</v>
      </c>
      <c r="E150">
        <v>0</v>
      </c>
      <c r="F150">
        <v>0</v>
      </c>
      <c r="G150">
        <f t="shared" si="2"/>
        <v>0</v>
      </c>
    </row>
    <row r="151" spans="3:7">
      <c r="C151">
        <f>_xlfn.XLOOKUP(A151,[1]工作表3!$A:$A,[1]工作表3!$B:$B,"0")</f>
        <v>0</v>
      </c>
      <c r="E151">
        <v>0</v>
      </c>
      <c r="F151">
        <v>0</v>
      </c>
      <c r="G151">
        <f t="shared" si="2"/>
        <v>0</v>
      </c>
    </row>
    <row r="152" spans="3:7">
      <c r="C152">
        <f>_xlfn.XLOOKUP(A152,[1]工作表3!$A:$A,[1]工作表3!$B:$B,"0")</f>
        <v>0</v>
      </c>
      <c r="E152">
        <v>0</v>
      </c>
      <c r="F152">
        <v>0</v>
      </c>
      <c r="G152">
        <f t="shared" si="2"/>
        <v>0</v>
      </c>
    </row>
    <row r="153" spans="3:7">
      <c r="C153">
        <f>_xlfn.XLOOKUP(A153,[1]工作表3!$A:$A,[1]工作表3!$B:$B,"0")</f>
        <v>0</v>
      </c>
      <c r="E153">
        <v>0</v>
      </c>
      <c r="F153">
        <v>0</v>
      </c>
      <c r="G153">
        <f t="shared" si="2"/>
        <v>0</v>
      </c>
    </row>
    <row r="154" spans="3:7">
      <c r="C154">
        <f>_xlfn.XLOOKUP(A154,[1]工作表3!$A:$A,[1]工作表3!$B:$B,"0")</f>
        <v>0</v>
      </c>
      <c r="E154">
        <v>2760</v>
      </c>
      <c r="F154">
        <v>2760</v>
      </c>
      <c r="G154">
        <f t="shared" si="2"/>
        <v>0</v>
      </c>
    </row>
    <row r="155" spans="3:7">
      <c r="C155">
        <f>_xlfn.XLOOKUP(A155,[1]工作表3!$A:$A,[1]工作表3!$B:$B,"0")</f>
        <v>0</v>
      </c>
      <c r="E155">
        <v>0</v>
      </c>
      <c r="F155">
        <v>0</v>
      </c>
      <c r="G155">
        <f t="shared" si="2"/>
        <v>0</v>
      </c>
    </row>
    <row r="156" spans="3:7">
      <c r="C156">
        <f>_xlfn.XLOOKUP(A156,[1]工作表3!$A:$A,[1]工作表3!$B:$B,"0")</f>
        <v>0</v>
      </c>
      <c r="E156">
        <v>0</v>
      </c>
      <c r="F156">
        <v>0</v>
      </c>
      <c r="G156">
        <f t="shared" si="2"/>
        <v>0</v>
      </c>
    </row>
    <row r="157" spans="3:7">
      <c r="C157">
        <f>_xlfn.XLOOKUP(A157,[1]工作表3!$A:$A,[1]工作表3!$B:$B,"0")</f>
        <v>0</v>
      </c>
      <c r="E157">
        <v>0</v>
      </c>
      <c r="F157">
        <v>0</v>
      </c>
      <c r="G157">
        <f t="shared" si="2"/>
        <v>0</v>
      </c>
    </row>
    <row r="158" spans="3:7">
      <c r="C158">
        <f>_xlfn.XLOOKUP(A158,[1]工作表3!$A:$A,[1]工作表3!$B:$B,"0")</f>
        <v>0</v>
      </c>
      <c r="E158">
        <v>0</v>
      </c>
      <c r="F158">
        <v>0</v>
      </c>
      <c r="G158">
        <f t="shared" si="2"/>
        <v>0</v>
      </c>
    </row>
    <row r="159" spans="3:7">
      <c r="C159">
        <f>_xlfn.XLOOKUP(A159,[1]工作表3!$A:$A,[1]工作表3!$B:$B,"0")</f>
        <v>0</v>
      </c>
      <c r="E159">
        <v>0</v>
      </c>
      <c r="F159">
        <v>0</v>
      </c>
      <c r="G159">
        <f t="shared" si="2"/>
        <v>0</v>
      </c>
    </row>
    <row r="160" spans="3:7">
      <c r="C160">
        <f>_xlfn.XLOOKUP(A160,[1]工作表3!$A:$A,[1]工作表3!$B:$B,"0")</f>
        <v>0</v>
      </c>
      <c r="E160">
        <v>2700</v>
      </c>
      <c r="F160">
        <v>2700</v>
      </c>
      <c r="G160">
        <f t="shared" si="2"/>
        <v>0</v>
      </c>
    </row>
    <row r="161" spans="3:7">
      <c r="C161">
        <f>_xlfn.XLOOKUP(A161,[1]工作表3!$A:$A,[1]工作表3!$B:$B,"0")</f>
        <v>0</v>
      </c>
      <c r="E161">
        <v>0</v>
      </c>
      <c r="F161">
        <v>0</v>
      </c>
      <c r="G161">
        <f t="shared" si="2"/>
        <v>0</v>
      </c>
    </row>
    <row r="162" spans="3:7">
      <c r="C162">
        <f>_xlfn.XLOOKUP(A162,[1]工作表3!$A:$A,[1]工作表3!$B:$B,"0")</f>
        <v>0</v>
      </c>
      <c r="E162">
        <v>6680</v>
      </c>
      <c r="F162">
        <v>6680</v>
      </c>
      <c r="G162">
        <f t="shared" si="2"/>
        <v>0</v>
      </c>
    </row>
    <row r="163" spans="3:7">
      <c r="C163">
        <f>_xlfn.XLOOKUP(A163,[1]工作表3!$A:$A,[1]工作表3!$B:$B,"0")</f>
        <v>0</v>
      </c>
      <c r="E163">
        <v>0</v>
      </c>
      <c r="F163">
        <v>0</v>
      </c>
      <c r="G163">
        <f t="shared" si="2"/>
        <v>0</v>
      </c>
    </row>
    <row r="164" spans="3:7">
      <c r="C164">
        <f>_xlfn.XLOOKUP(A164,[1]工作表3!$A:$A,[1]工作表3!$B:$B,"0")</f>
        <v>0</v>
      </c>
      <c r="E164">
        <v>0</v>
      </c>
      <c r="F164">
        <v>0</v>
      </c>
      <c r="G164">
        <f t="shared" si="2"/>
        <v>0</v>
      </c>
    </row>
    <row r="165" spans="3:7">
      <c r="C165">
        <f>_xlfn.XLOOKUP(A165,[1]工作表3!$A:$A,[1]工作表3!$B:$B,"0")</f>
        <v>0</v>
      </c>
      <c r="E165">
        <v>0</v>
      </c>
      <c r="F165">
        <v>0</v>
      </c>
      <c r="G165">
        <f t="shared" si="2"/>
        <v>0</v>
      </c>
    </row>
    <row r="166" spans="3:7">
      <c r="C166">
        <f>_xlfn.XLOOKUP(A166,[1]工作表3!$A:$A,[1]工作表3!$B:$B,"0")</f>
        <v>0</v>
      </c>
      <c r="E166">
        <v>0</v>
      </c>
      <c r="F166">
        <v>0</v>
      </c>
      <c r="G166">
        <f t="shared" si="2"/>
        <v>0</v>
      </c>
    </row>
    <row r="167" spans="3:7">
      <c r="C167">
        <f>_xlfn.XLOOKUP(A167,[1]工作表3!$A:$A,[1]工作表3!$B:$B,"0")</f>
        <v>0</v>
      </c>
      <c r="E167">
        <v>0</v>
      </c>
      <c r="F167" t="s">
        <v>573</v>
      </c>
      <c r="G167">
        <f t="shared" si="2"/>
        <v>0</v>
      </c>
    </row>
    <row r="168" spans="3:7">
      <c r="C168">
        <f>_xlfn.XLOOKUP(A168,[1]工作表3!$A:$A,[1]工作表3!$B:$B,"0")</f>
        <v>0</v>
      </c>
      <c r="E168">
        <v>2880</v>
      </c>
      <c r="F168">
        <v>2880</v>
      </c>
      <c r="G168">
        <f t="shared" si="2"/>
        <v>0</v>
      </c>
    </row>
    <row r="169" spans="3:7">
      <c r="C169">
        <f>_xlfn.XLOOKUP(A169,[1]工作表3!$A:$A,[1]工作表3!$B:$B,"0")</f>
        <v>0</v>
      </c>
      <c r="E169">
        <v>0</v>
      </c>
      <c r="F169">
        <v>0</v>
      </c>
      <c r="G169">
        <f t="shared" si="2"/>
        <v>0</v>
      </c>
    </row>
    <row r="170" spans="3:7">
      <c r="C170">
        <f>_xlfn.XLOOKUP(A170,[1]工作表3!$A:$A,[1]工作表3!$B:$B,"0")</f>
        <v>0</v>
      </c>
      <c r="E170">
        <v>0</v>
      </c>
      <c r="F170">
        <v>0</v>
      </c>
      <c r="G170">
        <f t="shared" si="2"/>
        <v>0</v>
      </c>
    </row>
    <row r="171" spans="3:7">
      <c r="C171">
        <f>_xlfn.XLOOKUP(A171,[1]工作表3!$A:$A,[1]工作表3!$B:$B,"0")</f>
        <v>0</v>
      </c>
      <c r="E171">
        <v>0</v>
      </c>
      <c r="F171">
        <v>0</v>
      </c>
      <c r="G171">
        <f t="shared" si="2"/>
        <v>0</v>
      </c>
    </row>
    <row r="172" spans="3:7">
      <c r="C172">
        <f>_xlfn.XLOOKUP(A172,[1]工作表3!$A:$A,[1]工作表3!$B:$B,"0")</f>
        <v>0</v>
      </c>
      <c r="E172">
        <v>0</v>
      </c>
      <c r="F172">
        <v>0</v>
      </c>
      <c r="G172">
        <f t="shared" si="2"/>
        <v>0</v>
      </c>
    </row>
    <row r="173" spans="3:7">
      <c r="C173">
        <f>_xlfn.XLOOKUP(A173,[1]工作表3!$A:$A,[1]工作表3!$B:$B,"0")</f>
        <v>0</v>
      </c>
      <c r="E173">
        <v>0</v>
      </c>
      <c r="F173">
        <v>0</v>
      </c>
      <c r="G173">
        <f t="shared" si="2"/>
        <v>0</v>
      </c>
    </row>
    <row r="174" spans="3:7">
      <c r="C174">
        <f>_xlfn.XLOOKUP(A174,[1]工作表3!$A:$A,[1]工作表3!$B:$B,"0")</f>
        <v>0</v>
      </c>
      <c r="E174">
        <v>0</v>
      </c>
      <c r="F174" t="s">
        <v>573</v>
      </c>
      <c r="G174">
        <f t="shared" si="2"/>
        <v>0</v>
      </c>
    </row>
    <row r="175" spans="3:7">
      <c r="C175">
        <f>_xlfn.XLOOKUP(A175,[1]工作表3!$A:$A,[1]工作表3!$B:$B,"0")</f>
        <v>0</v>
      </c>
      <c r="E175">
        <v>0</v>
      </c>
      <c r="F175" t="s">
        <v>573</v>
      </c>
      <c r="G175">
        <f t="shared" si="2"/>
        <v>0</v>
      </c>
    </row>
    <row r="176" spans="3:7">
      <c r="C176">
        <f>_xlfn.XLOOKUP(A176,[1]工作表3!$A:$A,[1]工作表3!$B:$B,"0")</f>
        <v>0</v>
      </c>
      <c r="E176">
        <v>2880</v>
      </c>
      <c r="F176">
        <v>2880</v>
      </c>
      <c r="G176">
        <f t="shared" si="2"/>
        <v>0</v>
      </c>
    </row>
    <row r="177" spans="3:7">
      <c r="C177">
        <f>_xlfn.XLOOKUP(A177,[1]工作表3!$A:$A,[1]工作表3!$B:$B,"0")</f>
        <v>0</v>
      </c>
      <c r="E177">
        <v>1440</v>
      </c>
      <c r="F177">
        <v>1440</v>
      </c>
      <c r="G177">
        <f t="shared" si="2"/>
        <v>0</v>
      </c>
    </row>
    <row r="178" spans="3:7">
      <c r="C178">
        <f>_xlfn.XLOOKUP(A178,[1]工作表3!$A:$A,[1]工作表3!$B:$B,"0")</f>
        <v>0</v>
      </c>
      <c r="E178">
        <v>0</v>
      </c>
      <c r="F178">
        <v>0</v>
      </c>
      <c r="G178">
        <f t="shared" si="2"/>
        <v>0</v>
      </c>
    </row>
    <row r="179" spans="3:7">
      <c r="C179">
        <f>_xlfn.XLOOKUP(A179,[1]工作表3!$A:$A,[1]工作表3!$B:$B,"0")</f>
        <v>0</v>
      </c>
      <c r="E179">
        <v>0</v>
      </c>
      <c r="F179">
        <v>0</v>
      </c>
      <c r="G179">
        <f t="shared" si="2"/>
        <v>0</v>
      </c>
    </row>
    <row r="180" spans="3:7">
      <c r="C180">
        <f>_xlfn.XLOOKUP(A180,[1]工作表3!$A:$A,[1]工作表3!$B:$B,"0")</f>
        <v>0</v>
      </c>
      <c r="E180">
        <v>1440</v>
      </c>
      <c r="F180">
        <v>1440</v>
      </c>
      <c r="G180">
        <f t="shared" si="2"/>
        <v>0</v>
      </c>
    </row>
    <row r="181" spans="3:7">
      <c r="C181">
        <f>_xlfn.XLOOKUP(A181,[1]工作表3!$A:$A,[1]工作表3!$B:$B,"0")</f>
        <v>0</v>
      </c>
      <c r="E181">
        <v>0</v>
      </c>
      <c r="F181">
        <v>0</v>
      </c>
      <c r="G181">
        <f t="shared" si="2"/>
        <v>0</v>
      </c>
    </row>
    <row r="182" spans="3:7">
      <c r="C182">
        <f>_xlfn.XLOOKUP(A182,[1]工作表3!$A:$A,[1]工作表3!$B:$B,"0")</f>
        <v>0</v>
      </c>
      <c r="E182">
        <v>0</v>
      </c>
      <c r="F182">
        <v>0</v>
      </c>
      <c r="G182">
        <f t="shared" si="2"/>
        <v>0</v>
      </c>
    </row>
    <row r="183" spans="3:7">
      <c r="C183">
        <f>_xlfn.XLOOKUP(A183,[1]工作表3!$A:$A,[1]工作表3!$B:$B,"0")</f>
        <v>0</v>
      </c>
      <c r="E183">
        <v>0</v>
      </c>
      <c r="F183">
        <v>0</v>
      </c>
      <c r="G183">
        <f t="shared" si="2"/>
        <v>0</v>
      </c>
    </row>
    <row r="184" spans="3:7">
      <c r="C184" s="49">
        <f>_xlfn.XLOOKUP(A184,[1]工作表3!$A:$A,[1]工作表3!$B:$B,"0")</f>
        <v>0</v>
      </c>
      <c r="E184">
        <v>4320</v>
      </c>
      <c r="F184">
        <v>2880</v>
      </c>
      <c r="G184">
        <f t="shared" si="2"/>
        <v>1440</v>
      </c>
    </row>
    <row r="185" spans="3:7">
      <c r="C185">
        <f>_xlfn.XLOOKUP(A185,[1]工作表3!$A:$A,[1]工作表3!$B:$B,"0")</f>
        <v>0</v>
      </c>
      <c r="E185">
        <v>0</v>
      </c>
      <c r="F185">
        <v>0</v>
      </c>
      <c r="G185">
        <f t="shared" si="2"/>
        <v>0</v>
      </c>
    </row>
    <row r="186" spans="3:7">
      <c r="C186">
        <f>_xlfn.XLOOKUP(A186,[1]工作表3!$A:$A,[1]工作表3!$B:$B,"0")</f>
        <v>0</v>
      </c>
      <c r="E186">
        <v>0</v>
      </c>
      <c r="F186">
        <v>0</v>
      </c>
      <c r="G186">
        <f t="shared" si="2"/>
        <v>0</v>
      </c>
    </row>
    <row r="187" spans="3:7">
      <c r="C187">
        <f>_xlfn.XLOOKUP(A187,[1]工作表3!$A:$A,[1]工作表3!$B:$B,"0")</f>
        <v>0</v>
      </c>
      <c r="E187">
        <v>0</v>
      </c>
      <c r="F187">
        <v>0</v>
      </c>
      <c r="G187">
        <f t="shared" si="2"/>
        <v>0</v>
      </c>
    </row>
    <row r="188" spans="3:7">
      <c r="C188">
        <f>_xlfn.XLOOKUP(A188,[1]工作表3!$A:$A,[1]工作表3!$B:$B,"0")</f>
        <v>0</v>
      </c>
      <c r="E188">
        <v>0</v>
      </c>
      <c r="F188">
        <v>0</v>
      </c>
      <c r="G188">
        <f t="shared" si="2"/>
        <v>0</v>
      </c>
    </row>
    <row r="189" spans="3:7">
      <c r="C189">
        <f>_xlfn.XLOOKUP(A189,[1]工作表3!$A:$A,[1]工作表3!$B:$B,"0")</f>
        <v>0</v>
      </c>
      <c r="E189">
        <v>0</v>
      </c>
      <c r="F189">
        <v>0</v>
      </c>
      <c r="G189">
        <f t="shared" si="2"/>
        <v>0</v>
      </c>
    </row>
    <row r="190" spans="3:7">
      <c r="C190">
        <f>_xlfn.XLOOKUP(A190,[1]工作表3!$A:$A,[1]工作表3!$B:$B,"0")</f>
        <v>0</v>
      </c>
      <c r="E190">
        <v>0</v>
      </c>
      <c r="F190">
        <v>0</v>
      </c>
      <c r="G190">
        <f t="shared" si="2"/>
        <v>0</v>
      </c>
    </row>
    <row r="191" spans="3:7">
      <c r="C191">
        <f>_xlfn.XLOOKUP(A191,[1]工作表3!$A:$A,[1]工作表3!$B:$B,"0")</f>
        <v>0</v>
      </c>
      <c r="E191">
        <v>0</v>
      </c>
      <c r="F191">
        <v>0</v>
      </c>
      <c r="G191">
        <f t="shared" si="2"/>
        <v>0</v>
      </c>
    </row>
    <row r="192" spans="3:7">
      <c r="C192">
        <f>_xlfn.XLOOKUP(A192,[1]工作表3!$A:$A,[1]工作表3!$B:$B,"0")</f>
        <v>0</v>
      </c>
      <c r="E192">
        <v>0</v>
      </c>
      <c r="F192">
        <v>0</v>
      </c>
      <c r="G192">
        <f t="shared" si="2"/>
        <v>0</v>
      </c>
    </row>
    <row r="193" spans="3:7">
      <c r="C193">
        <f>_xlfn.XLOOKUP(A193,[1]工作表3!$A:$A,[1]工作表3!$B:$B,"0")</f>
        <v>0</v>
      </c>
      <c r="E193">
        <v>0</v>
      </c>
      <c r="F193">
        <v>0</v>
      </c>
      <c r="G193">
        <f t="shared" si="2"/>
        <v>0</v>
      </c>
    </row>
    <row r="194" spans="3:7">
      <c r="C194">
        <f>_xlfn.XLOOKUP(A194,[1]工作表3!$A:$A,[1]工作表3!$B:$B,"0")</f>
        <v>0</v>
      </c>
      <c r="E194">
        <v>0</v>
      </c>
      <c r="F194">
        <v>0</v>
      </c>
      <c r="G194">
        <f t="shared" si="2"/>
        <v>0</v>
      </c>
    </row>
    <row r="195" spans="3:7">
      <c r="C195">
        <f>_xlfn.XLOOKUP(A195,[1]工作表3!$A:$A,[1]工作表3!$B:$B,"0")</f>
        <v>0</v>
      </c>
      <c r="E195">
        <v>0</v>
      </c>
      <c r="F195">
        <v>0</v>
      </c>
      <c r="G195">
        <f t="shared" si="2"/>
        <v>0</v>
      </c>
    </row>
    <row r="196" spans="3:7">
      <c r="C196">
        <f>_xlfn.XLOOKUP(A196,[1]工作表3!$A:$A,[1]工作表3!$B:$B,"0")</f>
        <v>0</v>
      </c>
      <c r="E196">
        <v>0</v>
      </c>
      <c r="F196">
        <v>0</v>
      </c>
      <c r="G196">
        <f t="shared" si="2"/>
        <v>0</v>
      </c>
    </row>
    <row r="197" spans="3:7">
      <c r="C197">
        <f>_xlfn.XLOOKUP(A197,[1]工作表3!$A:$A,[1]工作表3!$B:$B,"0")</f>
        <v>0</v>
      </c>
      <c r="E197">
        <v>0</v>
      </c>
      <c r="F197">
        <v>0</v>
      </c>
      <c r="G197">
        <f t="shared" ref="G197:G249" si="3">E197-F197</f>
        <v>0</v>
      </c>
    </row>
    <row r="198" spans="3:7">
      <c r="C198">
        <f>_xlfn.XLOOKUP(A198,[1]工作表3!$A:$A,[1]工作表3!$B:$B,"0")</f>
        <v>0</v>
      </c>
      <c r="E198">
        <v>0</v>
      </c>
      <c r="F198">
        <v>0</v>
      </c>
      <c r="G198">
        <f t="shared" si="3"/>
        <v>0</v>
      </c>
    </row>
    <row r="199" spans="3:7">
      <c r="C199">
        <f>_xlfn.XLOOKUP(A199,[1]工作表3!$A:$A,[1]工作表3!$B:$B,"0")</f>
        <v>0</v>
      </c>
      <c r="E199">
        <v>0</v>
      </c>
      <c r="F199">
        <v>0</v>
      </c>
      <c r="G199">
        <f t="shared" si="3"/>
        <v>0</v>
      </c>
    </row>
    <row r="200" spans="3:7">
      <c r="C200">
        <f>_xlfn.XLOOKUP(A200,[1]工作表3!$A:$A,[1]工作表3!$B:$B,"0")</f>
        <v>0</v>
      </c>
      <c r="E200">
        <v>0</v>
      </c>
      <c r="F200">
        <v>0</v>
      </c>
      <c r="G200">
        <f t="shared" si="3"/>
        <v>0</v>
      </c>
    </row>
    <row r="201" spans="3:7">
      <c r="C201">
        <f>_xlfn.XLOOKUP(A201,[1]工作表3!$A:$A,[1]工作表3!$B:$B,"0")</f>
        <v>0</v>
      </c>
      <c r="E201">
        <v>0</v>
      </c>
      <c r="F201">
        <v>0</v>
      </c>
      <c r="G201">
        <f t="shared" si="3"/>
        <v>0</v>
      </c>
    </row>
    <row r="202" spans="3:7">
      <c r="C202">
        <f>_xlfn.XLOOKUP(A202,[1]工作表3!$A:$A,[1]工作表3!$B:$B,"0")</f>
        <v>0</v>
      </c>
      <c r="E202">
        <v>0</v>
      </c>
      <c r="F202">
        <v>0</v>
      </c>
      <c r="G202">
        <f t="shared" si="3"/>
        <v>0</v>
      </c>
    </row>
    <row r="203" spans="3:7">
      <c r="C203">
        <f>_xlfn.XLOOKUP(A203,[1]工作表3!$A:$A,[1]工作表3!$B:$B,"0")</f>
        <v>0</v>
      </c>
      <c r="E203">
        <v>0</v>
      </c>
      <c r="F203" t="s">
        <v>573</v>
      </c>
      <c r="G203">
        <f t="shared" si="3"/>
        <v>0</v>
      </c>
    </row>
    <row r="204" spans="3:7">
      <c r="C204">
        <f>_xlfn.XLOOKUP(A204,[1]工作表3!$A:$A,[1]工作表3!$B:$B,"0")</f>
        <v>0</v>
      </c>
      <c r="E204">
        <v>0</v>
      </c>
      <c r="F204">
        <v>0</v>
      </c>
      <c r="G204">
        <f t="shared" si="3"/>
        <v>0</v>
      </c>
    </row>
    <row r="205" spans="3:7">
      <c r="C205">
        <f>_xlfn.XLOOKUP(A205,[1]工作表3!$A:$A,[1]工作表3!$B:$B,"0")</f>
        <v>0</v>
      </c>
      <c r="E205">
        <v>0</v>
      </c>
      <c r="F205">
        <v>0</v>
      </c>
      <c r="G205">
        <f t="shared" si="3"/>
        <v>0</v>
      </c>
    </row>
    <row r="206" spans="3:7">
      <c r="C206">
        <f>_xlfn.XLOOKUP(A206,[1]工作表3!$A:$A,[1]工作表3!$B:$B,"0")</f>
        <v>0</v>
      </c>
      <c r="E206">
        <v>0</v>
      </c>
      <c r="F206">
        <v>0</v>
      </c>
      <c r="G206">
        <f t="shared" si="3"/>
        <v>0</v>
      </c>
    </row>
    <row r="207" spans="3:7">
      <c r="C207">
        <f>_xlfn.XLOOKUP(A207,[1]工作表3!$A:$A,[1]工作表3!$B:$B,"0")</f>
        <v>0</v>
      </c>
      <c r="E207">
        <v>0</v>
      </c>
      <c r="F207">
        <v>0</v>
      </c>
      <c r="G207">
        <f t="shared" si="3"/>
        <v>0</v>
      </c>
    </row>
    <row r="208" spans="3:7">
      <c r="C208">
        <f>_xlfn.XLOOKUP(A208,[1]工作表3!$A:$A,[1]工作表3!$B:$B,"0")</f>
        <v>0</v>
      </c>
      <c r="E208">
        <v>0</v>
      </c>
      <c r="F208">
        <v>0</v>
      </c>
      <c r="G208">
        <f t="shared" si="3"/>
        <v>0</v>
      </c>
    </row>
    <row r="209" spans="3:7">
      <c r="C209">
        <f>_xlfn.XLOOKUP(A209,[1]工作表3!$A:$A,[1]工作表3!$B:$B,"0")</f>
        <v>0</v>
      </c>
      <c r="E209">
        <v>2520</v>
      </c>
      <c r="F209">
        <v>2520</v>
      </c>
      <c r="G209">
        <f t="shared" si="3"/>
        <v>0</v>
      </c>
    </row>
    <row r="210" spans="3:7">
      <c r="C210">
        <f>_xlfn.XLOOKUP(A210,[1]工作表3!$A:$A,[1]工作表3!$B:$B,"0")</f>
        <v>0</v>
      </c>
      <c r="E210">
        <v>4320</v>
      </c>
      <c r="F210">
        <v>4320</v>
      </c>
      <c r="G210">
        <f t="shared" si="3"/>
        <v>0</v>
      </c>
    </row>
    <row r="211" spans="3:7">
      <c r="C211">
        <f>_xlfn.XLOOKUP(A211,[1]工作表3!$A:$A,[1]工作表3!$B:$B,"0")</f>
        <v>0</v>
      </c>
      <c r="E211">
        <v>10800</v>
      </c>
      <c r="F211">
        <v>10800</v>
      </c>
      <c r="G211">
        <f t="shared" si="3"/>
        <v>0</v>
      </c>
    </row>
    <row r="212" spans="3:7">
      <c r="C212">
        <f>_xlfn.XLOOKUP(A212,[1]工作表3!$A:$A,[1]工作表3!$B:$B,"0")</f>
        <v>0</v>
      </c>
      <c r="E212">
        <v>0</v>
      </c>
      <c r="F212">
        <v>0</v>
      </c>
      <c r="G212">
        <f t="shared" si="3"/>
        <v>0</v>
      </c>
    </row>
    <row r="213" spans="3:7">
      <c r="C213">
        <f>_xlfn.XLOOKUP(A213,[1]工作表3!$A:$A,[1]工作表3!$B:$B,"0")</f>
        <v>0</v>
      </c>
      <c r="E213">
        <v>3600</v>
      </c>
      <c r="F213">
        <v>3600</v>
      </c>
      <c r="G213">
        <f t="shared" si="3"/>
        <v>0</v>
      </c>
    </row>
    <row r="214" spans="3:7">
      <c r="C214">
        <f>_xlfn.XLOOKUP(A214,[1]工作表3!$A:$A,[1]工作表3!$B:$B,"0")</f>
        <v>0</v>
      </c>
      <c r="E214">
        <v>0</v>
      </c>
      <c r="F214">
        <v>0</v>
      </c>
      <c r="G214">
        <f t="shared" si="3"/>
        <v>0</v>
      </c>
    </row>
    <row r="215" spans="3:7">
      <c r="C215">
        <f>_xlfn.XLOOKUP(A215,[1]工作表3!$A:$A,[1]工作表3!$B:$B,"0")</f>
        <v>0</v>
      </c>
      <c r="E215">
        <v>0</v>
      </c>
      <c r="F215">
        <v>0</v>
      </c>
      <c r="G215">
        <f t="shared" si="3"/>
        <v>0</v>
      </c>
    </row>
    <row r="216" spans="3:7">
      <c r="C216">
        <f>_xlfn.XLOOKUP(A216,[1]工作表3!$A:$A,[1]工作表3!$B:$B,"0")</f>
        <v>0</v>
      </c>
      <c r="E216">
        <v>13200</v>
      </c>
      <c r="F216">
        <v>13200</v>
      </c>
      <c r="G216">
        <f t="shared" si="3"/>
        <v>0</v>
      </c>
    </row>
    <row r="217" spans="3:7">
      <c r="C217">
        <f>_xlfn.XLOOKUP(A217,[1]工作表3!$A:$A,[1]工作表3!$B:$B,"0")</f>
        <v>0</v>
      </c>
      <c r="E217">
        <v>0</v>
      </c>
      <c r="F217">
        <v>0</v>
      </c>
      <c r="G217">
        <f t="shared" si="3"/>
        <v>0</v>
      </c>
    </row>
    <row r="218" spans="3:7">
      <c r="C218">
        <f>_xlfn.XLOOKUP(A218,[1]工作表3!$A:$A,[1]工作表3!$B:$B,"0")</f>
        <v>0</v>
      </c>
      <c r="E218">
        <v>0</v>
      </c>
      <c r="F218">
        <v>0</v>
      </c>
      <c r="G218">
        <f t="shared" si="3"/>
        <v>0</v>
      </c>
    </row>
    <row r="219" spans="3:7">
      <c r="C219">
        <f>_xlfn.XLOOKUP(A219,[1]工作表3!$A:$A,[1]工作表3!$B:$B,"0")</f>
        <v>0</v>
      </c>
      <c r="E219">
        <v>0</v>
      </c>
      <c r="F219">
        <v>0</v>
      </c>
      <c r="G219">
        <f t="shared" si="3"/>
        <v>0</v>
      </c>
    </row>
    <row r="220" spans="3:7">
      <c r="C220">
        <f>_xlfn.XLOOKUP(A220,[1]工作表3!$A:$A,[1]工作表3!$B:$B,"0")</f>
        <v>0</v>
      </c>
      <c r="E220">
        <v>0</v>
      </c>
      <c r="F220">
        <v>0</v>
      </c>
      <c r="G220">
        <f t="shared" si="3"/>
        <v>0</v>
      </c>
    </row>
    <row r="221" spans="3:7">
      <c r="C221">
        <f>_xlfn.XLOOKUP(A221,[1]工作表3!$A:$A,[1]工作表3!$B:$B,"0")</f>
        <v>0</v>
      </c>
      <c r="E221">
        <v>0</v>
      </c>
      <c r="F221">
        <v>0</v>
      </c>
      <c r="G221">
        <f t="shared" si="3"/>
        <v>0</v>
      </c>
    </row>
    <row r="222" spans="3:7">
      <c r="C222">
        <f>_xlfn.XLOOKUP(A222,[1]工作表3!$A:$A,[1]工作表3!$B:$B,"0")</f>
        <v>0</v>
      </c>
      <c r="E222">
        <v>0</v>
      </c>
      <c r="F222">
        <v>0</v>
      </c>
      <c r="G222">
        <f t="shared" si="3"/>
        <v>0</v>
      </c>
    </row>
    <row r="223" spans="3:7">
      <c r="C223">
        <f>_xlfn.XLOOKUP(A223,[1]工作表3!$A:$A,[1]工作表3!$B:$B,"0")</f>
        <v>0</v>
      </c>
      <c r="E223">
        <v>0</v>
      </c>
      <c r="F223">
        <v>0</v>
      </c>
      <c r="G223">
        <f t="shared" si="3"/>
        <v>0</v>
      </c>
    </row>
    <row r="224" spans="3:7">
      <c r="C224">
        <f>_xlfn.XLOOKUP(A224,[1]工作表3!$A:$A,[1]工作表3!$B:$B,"0")</f>
        <v>0</v>
      </c>
      <c r="E224">
        <v>0</v>
      </c>
      <c r="F224">
        <v>0</v>
      </c>
      <c r="G224">
        <f t="shared" si="3"/>
        <v>0</v>
      </c>
    </row>
    <row r="225" spans="3:7">
      <c r="C225">
        <f>_xlfn.XLOOKUP(A225,[1]工作表3!$A:$A,[1]工作表3!$B:$B,"0")</f>
        <v>0</v>
      </c>
      <c r="E225">
        <v>0</v>
      </c>
      <c r="F225">
        <v>0</v>
      </c>
      <c r="G225">
        <f t="shared" si="3"/>
        <v>0</v>
      </c>
    </row>
    <row r="226" spans="3:7">
      <c r="C226">
        <f>_xlfn.XLOOKUP(A226,[1]工作表3!$A:$A,[1]工作表3!$B:$B,"0")</f>
        <v>0</v>
      </c>
      <c r="E226">
        <v>0</v>
      </c>
      <c r="F226">
        <v>0</v>
      </c>
      <c r="G226">
        <f t="shared" si="3"/>
        <v>0</v>
      </c>
    </row>
    <row r="227" spans="3:7">
      <c r="C227">
        <f>_xlfn.XLOOKUP(A227,[1]工作表3!$A:$A,[1]工作表3!$B:$B,"0")</f>
        <v>0</v>
      </c>
      <c r="E227">
        <v>0</v>
      </c>
      <c r="F227">
        <v>0</v>
      </c>
      <c r="G227">
        <f t="shared" si="3"/>
        <v>0</v>
      </c>
    </row>
    <row r="228" spans="3:7">
      <c r="C228">
        <f>_xlfn.XLOOKUP(A228,[1]工作表3!$A:$A,[1]工作表3!$B:$B,"0")</f>
        <v>0</v>
      </c>
      <c r="E228">
        <v>0</v>
      </c>
      <c r="F228">
        <v>0</v>
      </c>
      <c r="G228">
        <f t="shared" si="3"/>
        <v>0</v>
      </c>
    </row>
    <row r="229" spans="3:7">
      <c r="C229">
        <f>_xlfn.XLOOKUP(A229,[1]工作表3!$A:$A,[1]工作表3!$B:$B,"0")</f>
        <v>0</v>
      </c>
      <c r="E229">
        <v>0</v>
      </c>
      <c r="F229">
        <v>0</v>
      </c>
      <c r="G229">
        <f t="shared" si="3"/>
        <v>0</v>
      </c>
    </row>
    <row r="230" spans="3:7">
      <c r="C230">
        <f>_xlfn.XLOOKUP(A230,[1]工作表3!$A:$A,[1]工作表3!$B:$B,"0")</f>
        <v>0</v>
      </c>
      <c r="E230">
        <v>0</v>
      </c>
      <c r="F230">
        <v>0</v>
      </c>
      <c r="G230">
        <f t="shared" si="3"/>
        <v>0</v>
      </c>
    </row>
    <row r="231" spans="3:7">
      <c r="C231">
        <f>_xlfn.XLOOKUP(A231,[1]工作表3!$A:$A,[1]工作表3!$B:$B,"0")</f>
        <v>0</v>
      </c>
      <c r="E231">
        <v>0</v>
      </c>
      <c r="F231">
        <v>0</v>
      </c>
      <c r="G231">
        <f t="shared" si="3"/>
        <v>0</v>
      </c>
    </row>
    <row r="232" spans="3:7">
      <c r="C232">
        <f>_xlfn.XLOOKUP(A232,[1]工作表3!$A:$A,[1]工作表3!$B:$B,"0")</f>
        <v>0</v>
      </c>
      <c r="E232">
        <v>0</v>
      </c>
      <c r="F232">
        <v>0</v>
      </c>
      <c r="G232">
        <f t="shared" si="3"/>
        <v>0</v>
      </c>
    </row>
    <row r="233" spans="3:7">
      <c r="C233">
        <f>_xlfn.XLOOKUP(A233,[1]工作表3!$A:$A,[1]工作表3!$B:$B,"0")</f>
        <v>0</v>
      </c>
      <c r="E233">
        <v>0</v>
      </c>
      <c r="F233" t="s">
        <v>573</v>
      </c>
      <c r="G233">
        <f t="shared" si="3"/>
        <v>0</v>
      </c>
    </row>
    <row r="234" spans="3:7">
      <c r="C234">
        <f>_xlfn.XLOOKUP(A234,[1]工作表3!$A:$A,[1]工作表3!$B:$B,"0")</f>
        <v>0</v>
      </c>
      <c r="E234">
        <v>0</v>
      </c>
      <c r="F234">
        <v>120</v>
      </c>
      <c r="G234">
        <f t="shared" si="3"/>
        <v>-120</v>
      </c>
    </row>
    <row r="235" spans="3:7">
      <c r="C235">
        <f>_xlfn.XLOOKUP(A235,[1]工作表3!$A:$A,[1]工作表3!$B:$B,"0")</f>
        <v>0</v>
      </c>
      <c r="E235">
        <v>3000</v>
      </c>
      <c r="F235">
        <v>3000</v>
      </c>
      <c r="G235">
        <f t="shared" si="3"/>
        <v>0</v>
      </c>
    </row>
    <row r="236" spans="3:7">
      <c r="C236">
        <f>_xlfn.XLOOKUP(A236,[1]工作表3!$A:$A,[1]工作表3!$B:$B,"0")</f>
        <v>0</v>
      </c>
      <c r="E236">
        <v>3000</v>
      </c>
      <c r="F236">
        <v>3000</v>
      </c>
      <c r="G236">
        <f t="shared" si="3"/>
        <v>0</v>
      </c>
    </row>
    <row r="237" spans="3:7">
      <c r="C237">
        <f>_xlfn.XLOOKUP(A237,[1]工作表3!$A:$A,[1]工作表3!$B:$B,"0")</f>
        <v>0</v>
      </c>
      <c r="E237">
        <v>4320</v>
      </c>
      <c r="F237">
        <v>4320</v>
      </c>
      <c r="G237">
        <f t="shared" si="3"/>
        <v>0</v>
      </c>
    </row>
    <row r="238" spans="3:7">
      <c r="C238">
        <f>_xlfn.XLOOKUP(A238,[1]工作表3!$A:$A,[1]工作表3!$B:$B,"0")</f>
        <v>0</v>
      </c>
      <c r="E238">
        <v>3120</v>
      </c>
      <c r="F238">
        <v>3120</v>
      </c>
      <c r="G238">
        <f t="shared" si="3"/>
        <v>0</v>
      </c>
    </row>
    <row r="239" spans="3:7">
      <c r="C239">
        <f>_xlfn.XLOOKUP(A239,[1]工作表3!$A:$A,[1]工作表3!$B:$B,"0")</f>
        <v>0</v>
      </c>
      <c r="E239">
        <v>0</v>
      </c>
      <c r="F239">
        <v>0</v>
      </c>
      <c r="G239">
        <f t="shared" si="3"/>
        <v>0</v>
      </c>
    </row>
    <row r="240" spans="3:7">
      <c r="C240">
        <f>_xlfn.XLOOKUP(A240,[1]工作表3!$A:$A,[1]工作表3!$B:$B,"0")</f>
        <v>0</v>
      </c>
      <c r="E240">
        <v>0</v>
      </c>
      <c r="F240">
        <v>0</v>
      </c>
      <c r="G240">
        <f t="shared" si="3"/>
        <v>0</v>
      </c>
    </row>
    <row r="241" spans="3:7">
      <c r="C241">
        <f>_xlfn.XLOOKUP(A241,[1]工作表3!$A:$A,[1]工作表3!$B:$B,"0")</f>
        <v>0</v>
      </c>
      <c r="E241">
        <v>0</v>
      </c>
      <c r="F241">
        <v>0</v>
      </c>
      <c r="G241">
        <f t="shared" si="3"/>
        <v>0</v>
      </c>
    </row>
    <row r="242" spans="3:7">
      <c r="C242">
        <f>_xlfn.XLOOKUP(A242,[1]工作表3!$A:$A,[1]工作表3!$B:$B,"0")</f>
        <v>0</v>
      </c>
      <c r="E242">
        <v>0</v>
      </c>
      <c r="F242">
        <v>0</v>
      </c>
      <c r="G242">
        <f t="shared" si="3"/>
        <v>0</v>
      </c>
    </row>
    <row r="243" spans="3:7">
      <c r="C243">
        <f>_xlfn.XLOOKUP(A243,[1]工作表3!$A:$A,[1]工作表3!$B:$B,"0")</f>
        <v>0</v>
      </c>
      <c r="E243">
        <v>0</v>
      </c>
      <c r="F243">
        <v>0</v>
      </c>
      <c r="G243">
        <f t="shared" si="3"/>
        <v>0</v>
      </c>
    </row>
    <row r="244" spans="3:7">
      <c r="C244">
        <f>_xlfn.XLOOKUP(A244,[1]工作表3!$A:$A,[1]工作表3!$B:$B,"0")</f>
        <v>0</v>
      </c>
      <c r="E244">
        <v>8640</v>
      </c>
      <c r="F244">
        <v>8640</v>
      </c>
      <c r="G244">
        <f t="shared" si="3"/>
        <v>0</v>
      </c>
    </row>
    <row r="245" spans="3:7">
      <c r="C245">
        <f>_xlfn.XLOOKUP(A245,[1]工作表3!$A:$A,[1]工作表3!$B:$B,"0")</f>
        <v>0</v>
      </c>
      <c r="E245">
        <v>5760</v>
      </c>
      <c r="F245">
        <v>5760</v>
      </c>
      <c r="G245">
        <f t="shared" si="3"/>
        <v>0</v>
      </c>
    </row>
    <row r="246" spans="3:7">
      <c r="C246">
        <f>_xlfn.XLOOKUP(A246,[1]工作表3!$A:$A,[1]工作表3!$B:$B,"0")</f>
        <v>0</v>
      </c>
      <c r="E246">
        <v>0</v>
      </c>
      <c r="F246">
        <v>0</v>
      </c>
      <c r="G246">
        <f t="shared" si="3"/>
        <v>0</v>
      </c>
    </row>
    <row r="247" spans="3:7">
      <c r="C247">
        <f>_xlfn.XLOOKUP(A247,[1]工作表3!$A:$A,[1]工作表3!$B:$B,"0")</f>
        <v>0</v>
      </c>
      <c r="E247">
        <v>0</v>
      </c>
      <c r="F247">
        <v>0</v>
      </c>
      <c r="G247">
        <f t="shared" si="3"/>
        <v>0</v>
      </c>
    </row>
    <row r="248" spans="3:7">
      <c r="C248">
        <f>_xlfn.XLOOKUP(A248,[1]工作表3!$A:$A,[1]工作表3!$B:$B,"0")</f>
        <v>0</v>
      </c>
      <c r="E248">
        <v>0</v>
      </c>
      <c r="F248">
        <v>0</v>
      </c>
      <c r="G248">
        <f t="shared" si="3"/>
        <v>0</v>
      </c>
    </row>
    <row r="249" spans="3:7">
      <c r="C249">
        <f>_xlfn.XLOOKUP(A249,[1]工作表3!$A:$A,[1]工作表3!$B:$B,"0")</f>
        <v>0</v>
      </c>
      <c r="E249">
        <v>1560</v>
      </c>
      <c r="F249">
        <v>1560</v>
      </c>
      <c r="G249">
        <f t="shared" si="3"/>
        <v>0</v>
      </c>
    </row>
    <row r="250" spans="3:7">
      <c r="C250">
        <f>_xlfn.XLOOKUP(A250,[1]工作表3!$A:$A,[1]工作表3!$B:$B,"0")</f>
        <v>0</v>
      </c>
    </row>
    <row r="251" spans="3:7">
      <c r="C251">
        <f>_xlfn.XLOOKUP(A251,[1]工作表3!$A:$A,[1]工作表3!$B:$B,"0")</f>
        <v>0</v>
      </c>
      <c r="E251">
        <f>SUM(E4:E250)</f>
        <v>463824</v>
      </c>
      <c r="F251">
        <f>SUM(F4:F250)</f>
        <v>458064</v>
      </c>
      <c r="G251">
        <f>SUM(G4:G250)</f>
        <v>5760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C89C-31A4-4104-B1F9-E1D0B873415A}">
  <dimension ref="A3:G251"/>
  <sheetViews>
    <sheetView topLeftCell="A48" workbookViewId="0">
      <selection activeCell="H28" sqref="H28"/>
    </sheetView>
  </sheetViews>
  <sheetFormatPr defaultRowHeight="16.2"/>
  <cols>
    <col min="1" max="1" width="17.44140625" bestFit="1" customWidth="1"/>
    <col min="2" max="2" width="16.77734375" bestFit="1" customWidth="1"/>
    <col min="3" max="3" width="10.33203125" bestFit="1" customWidth="1"/>
    <col min="5" max="6" width="11.44140625" bestFit="1" customWidth="1"/>
  </cols>
  <sheetData>
    <row r="3" spans="1:7">
      <c r="A3" t="s">
        <v>4</v>
      </c>
    </row>
    <row r="4" spans="1:7">
      <c r="A4">
        <v>3610759.0999999992</v>
      </c>
      <c r="C4" t="str">
        <f>_xlfn.XLOOKUP(A4,[2]工作表1!$A:$A,[2]工作表1!$B:$B,"0")</f>
        <v>0</v>
      </c>
      <c r="E4">
        <v>0</v>
      </c>
      <c r="F4">
        <v>0</v>
      </c>
      <c r="G4">
        <f>E4-F4</f>
        <v>0</v>
      </c>
    </row>
    <row r="5" spans="1:7">
      <c r="C5">
        <f>_xlfn.XLOOKUP(A5,[2]工作表1!$A:$A,[2]工作表1!$B:$B,"0")</f>
        <v>0</v>
      </c>
      <c r="E5">
        <v>0</v>
      </c>
      <c r="F5">
        <v>0</v>
      </c>
      <c r="G5">
        <f t="shared" ref="G5:G68" si="0">E5-F5</f>
        <v>0</v>
      </c>
    </row>
    <row r="6" spans="1:7">
      <c r="C6">
        <f>_xlfn.XLOOKUP(A6,[2]工作表1!$A:$A,[2]工作表1!$B:$B,"0")</f>
        <v>0</v>
      </c>
      <c r="E6">
        <v>23040</v>
      </c>
      <c r="F6">
        <v>23040</v>
      </c>
      <c r="G6">
        <f t="shared" si="0"/>
        <v>0</v>
      </c>
    </row>
    <row r="7" spans="1:7">
      <c r="C7">
        <f>_xlfn.XLOOKUP(A7,[2]工作表1!$A:$A,[2]工作表1!$B:$B,"0")</f>
        <v>0</v>
      </c>
      <c r="E7">
        <v>3840</v>
      </c>
      <c r="F7">
        <v>3840</v>
      </c>
      <c r="G7">
        <f t="shared" si="0"/>
        <v>0</v>
      </c>
    </row>
    <row r="8" spans="1:7">
      <c r="C8">
        <f>_xlfn.XLOOKUP(A8,[2]工作表1!$A:$A,[2]工作表1!$B:$B,"0")</f>
        <v>0</v>
      </c>
      <c r="E8">
        <v>21280</v>
      </c>
      <c r="F8">
        <v>21280</v>
      </c>
      <c r="G8">
        <f t="shared" si="0"/>
        <v>0</v>
      </c>
    </row>
    <row r="9" spans="1:7">
      <c r="C9">
        <f>_xlfn.XLOOKUP(A9,[2]工作表1!$A:$A,[2]工作表1!$B:$B,"0")</f>
        <v>0</v>
      </c>
      <c r="E9">
        <v>8960</v>
      </c>
      <c r="F9">
        <v>8960</v>
      </c>
      <c r="G9">
        <f t="shared" si="0"/>
        <v>0</v>
      </c>
    </row>
    <row r="10" spans="1:7">
      <c r="C10">
        <f>_xlfn.XLOOKUP(A10,[2]工作表1!$A:$A,[2]工作表1!$B:$B,"0")</f>
        <v>0</v>
      </c>
      <c r="E10">
        <v>7680</v>
      </c>
      <c r="F10">
        <v>7680</v>
      </c>
      <c r="G10">
        <f t="shared" si="0"/>
        <v>0</v>
      </c>
    </row>
    <row r="11" spans="1:7">
      <c r="C11">
        <f>_xlfn.XLOOKUP(A11,[2]工作表1!$A:$A,[2]工作表1!$B:$B,"0")</f>
        <v>0</v>
      </c>
      <c r="E11">
        <v>0</v>
      </c>
      <c r="F11">
        <v>0</v>
      </c>
      <c r="G11">
        <f t="shared" si="0"/>
        <v>0</v>
      </c>
    </row>
    <row r="12" spans="1:7">
      <c r="C12">
        <f>_xlfn.XLOOKUP(A12,[2]工作表1!$A:$A,[2]工作表1!$B:$B,"0")</f>
        <v>0</v>
      </c>
      <c r="E12">
        <v>0</v>
      </c>
      <c r="F12">
        <v>0</v>
      </c>
      <c r="G12">
        <f t="shared" si="0"/>
        <v>0</v>
      </c>
    </row>
    <row r="13" spans="1:7">
      <c r="C13">
        <f>_xlfn.XLOOKUP(A13,[2]工作表1!$A:$A,[2]工作表1!$B:$B,"0")</f>
        <v>0</v>
      </c>
      <c r="E13">
        <v>0</v>
      </c>
      <c r="F13">
        <v>0</v>
      </c>
      <c r="G13">
        <f t="shared" si="0"/>
        <v>0</v>
      </c>
    </row>
    <row r="14" spans="1:7">
      <c r="C14">
        <f>_xlfn.XLOOKUP(A14,[2]工作表1!$A:$A,[2]工作表1!$B:$B,"0")</f>
        <v>0</v>
      </c>
      <c r="E14">
        <v>0</v>
      </c>
      <c r="F14">
        <v>0</v>
      </c>
      <c r="G14">
        <f t="shared" si="0"/>
        <v>0</v>
      </c>
    </row>
    <row r="15" spans="1:7">
      <c r="C15">
        <f>_xlfn.XLOOKUP(A15,[2]工作表1!$A:$A,[2]工作表1!$B:$B,"0")</f>
        <v>0</v>
      </c>
      <c r="E15">
        <v>0</v>
      </c>
      <c r="F15">
        <v>0</v>
      </c>
      <c r="G15">
        <f t="shared" si="0"/>
        <v>0</v>
      </c>
    </row>
    <row r="16" spans="1:7">
      <c r="C16">
        <f>_xlfn.XLOOKUP(A16,[2]工作表1!$A:$A,[2]工作表1!$B:$B,"0")</f>
        <v>0</v>
      </c>
      <c r="E16">
        <v>0</v>
      </c>
      <c r="F16">
        <v>0</v>
      </c>
      <c r="G16">
        <f t="shared" si="0"/>
        <v>0</v>
      </c>
    </row>
    <row r="17" spans="3:7">
      <c r="C17">
        <f>_xlfn.XLOOKUP(A17,[2]工作表1!$A:$A,[2]工作表1!$B:$B,"0")</f>
        <v>0</v>
      </c>
      <c r="E17">
        <v>0</v>
      </c>
      <c r="F17">
        <v>0</v>
      </c>
      <c r="G17">
        <f t="shared" si="0"/>
        <v>0</v>
      </c>
    </row>
    <row r="18" spans="3:7">
      <c r="C18">
        <f>_xlfn.XLOOKUP(A18,[2]工作表1!$A:$A,[2]工作表1!$B:$B,"0")</f>
        <v>0</v>
      </c>
      <c r="E18">
        <v>0</v>
      </c>
      <c r="F18">
        <v>0</v>
      </c>
      <c r="G18">
        <f t="shared" si="0"/>
        <v>0</v>
      </c>
    </row>
    <row r="19" spans="3:7">
      <c r="C19">
        <f>_xlfn.XLOOKUP(A19,[2]工作表1!$A:$A,[2]工作表1!$B:$B,"0")</f>
        <v>0</v>
      </c>
      <c r="E19">
        <v>0</v>
      </c>
      <c r="F19">
        <v>0</v>
      </c>
      <c r="G19">
        <f t="shared" si="0"/>
        <v>0</v>
      </c>
    </row>
    <row r="20" spans="3:7">
      <c r="C20">
        <f>_xlfn.XLOOKUP(A20,[2]工作表1!$A:$A,[2]工作表1!$B:$B,"0")</f>
        <v>0</v>
      </c>
      <c r="E20">
        <v>0</v>
      </c>
      <c r="F20">
        <v>0</v>
      </c>
      <c r="G20">
        <f t="shared" si="0"/>
        <v>0</v>
      </c>
    </row>
    <row r="21" spans="3:7">
      <c r="C21">
        <f>_xlfn.XLOOKUP(A21,[2]工作表1!$A:$A,[2]工作表1!$B:$B,"0")</f>
        <v>0</v>
      </c>
      <c r="E21">
        <v>0</v>
      </c>
      <c r="F21">
        <v>0</v>
      </c>
      <c r="G21">
        <f t="shared" si="0"/>
        <v>0</v>
      </c>
    </row>
    <row r="22" spans="3:7">
      <c r="C22">
        <f>_xlfn.XLOOKUP(A22,[2]工作表1!$A:$A,[2]工作表1!$B:$B,"0")</f>
        <v>0</v>
      </c>
      <c r="E22">
        <v>0</v>
      </c>
      <c r="F22">
        <v>0</v>
      </c>
      <c r="G22">
        <f t="shared" si="0"/>
        <v>0</v>
      </c>
    </row>
    <row r="23" spans="3:7">
      <c r="C23">
        <f>_xlfn.XLOOKUP(A23,[2]工作表1!$A:$A,[2]工作表1!$B:$B,"0")</f>
        <v>0</v>
      </c>
      <c r="E23">
        <v>0</v>
      </c>
      <c r="F23">
        <v>0</v>
      </c>
      <c r="G23">
        <f t="shared" si="0"/>
        <v>0</v>
      </c>
    </row>
    <row r="24" spans="3:7">
      <c r="C24">
        <f>_xlfn.XLOOKUP(A24,[2]工作表1!$A:$A,[2]工作表1!$B:$B,"0")</f>
        <v>0</v>
      </c>
      <c r="E24">
        <v>0</v>
      </c>
      <c r="F24">
        <v>0</v>
      </c>
      <c r="G24">
        <f t="shared" si="0"/>
        <v>0</v>
      </c>
    </row>
    <row r="25" spans="3:7">
      <c r="C25">
        <f>_xlfn.XLOOKUP(A25,[2]工作表1!$A:$A,[2]工作表1!$B:$B,"0")</f>
        <v>0</v>
      </c>
      <c r="E25">
        <v>0</v>
      </c>
      <c r="F25">
        <v>0</v>
      </c>
      <c r="G25">
        <f t="shared" si="0"/>
        <v>0</v>
      </c>
    </row>
    <row r="26" spans="3:7">
      <c r="C26">
        <f>_xlfn.XLOOKUP(A26,[2]工作表1!$A:$A,[2]工作表1!$B:$B,"0")</f>
        <v>0</v>
      </c>
      <c r="E26">
        <v>0</v>
      </c>
      <c r="F26">
        <v>0</v>
      </c>
      <c r="G26">
        <f t="shared" si="0"/>
        <v>0</v>
      </c>
    </row>
    <row r="27" spans="3:7">
      <c r="C27">
        <f>_xlfn.XLOOKUP(A27,[2]工作表1!$A:$A,[2]工作表1!$B:$B,"0")</f>
        <v>0</v>
      </c>
      <c r="E27">
        <v>0</v>
      </c>
      <c r="F27">
        <v>0</v>
      </c>
      <c r="G27">
        <f t="shared" si="0"/>
        <v>0</v>
      </c>
    </row>
    <row r="28" spans="3:7">
      <c r="C28">
        <f>_xlfn.XLOOKUP(A28,[2]工作表1!$A:$A,[2]工作表1!$B:$B,"0")</f>
        <v>0</v>
      </c>
      <c r="E28">
        <v>6400</v>
      </c>
      <c r="F28">
        <v>6400</v>
      </c>
      <c r="G28">
        <f t="shared" si="0"/>
        <v>0</v>
      </c>
    </row>
    <row r="29" spans="3:7">
      <c r="C29">
        <f>_xlfn.XLOOKUP(A29,[2]工作表1!$A:$A,[2]工作表1!$B:$B,"0")</f>
        <v>0</v>
      </c>
      <c r="E29">
        <v>0</v>
      </c>
      <c r="F29">
        <v>0</v>
      </c>
      <c r="G29">
        <f t="shared" si="0"/>
        <v>0</v>
      </c>
    </row>
    <row r="30" spans="3:7">
      <c r="C30">
        <f>_xlfn.XLOOKUP(A30,[2]工作表1!$A:$A,[2]工作表1!$B:$B,"0")</f>
        <v>0</v>
      </c>
      <c r="E30">
        <v>5120</v>
      </c>
      <c r="F30">
        <v>5120</v>
      </c>
      <c r="G30">
        <f t="shared" si="0"/>
        <v>0</v>
      </c>
    </row>
    <row r="31" spans="3:7">
      <c r="C31">
        <f>_xlfn.XLOOKUP(A31,[2]工作表1!$A:$A,[2]工作表1!$B:$B,"0")</f>
        <v>0</v>
      </c>
      <c r="E31">
        <v>25800</v>
      </c>
      <c r="F31">
        <v>25800</v>
      </c>
      <c r="G31">
        <f t="shared" si="0"/>
        <v>0</v>
      </c>
    </row>
    <row r="32" spans="3:7">
      <c r="C32">
        <f>_xlfn.XLOOKUP(A32,[2]工作表1!$A:$A,[2]工作表1!$B:$B,"0")</f>
        <v>0</v>
      </c>
      <c r="E32">
        <v>0</v>
      </c>
      <c r="F32">
        <v>0</v>
      </c>
      <c r="G32">
        <f t="shared" si="0"/>
        <v>0</v>
      </c>
    </row>
    <row r="33" spans="3:7">
      <c r="C33">
        <f>_xlfn.XLOOKUP(A33,[2]工作表1!$A:$A,[2]工作表1!$B:$B,"0")</f>
        <v>0</v>
      </c>
      <c r="E33">
        <v>5120</v>
      </c>
      <c r="F33">
        <v>5120</v>
      </c>
      <c r="G33">
        <f t="shared" si="0"/>
        <v>0</v>
      </c>
    </row>
    <row r="34" spans="3:7">
      <c r="C34">
        <f>_xlfn.XLOOKUP(A34,[2]工作表1!$A:$A,[2]工作表1!$B:$B,"0")</f>
        <v>0</v>
      </c>
      <c r="E34">
        <v>6720</v>
      </c>
      <c r="F34">
        <v>6720</v>
      </c>
      <c r="G34">
        <f t="shared" si="0"/>
        <v>0</v>
      </c>
    </row>
    <row r="35" spans="3:7">
      <c r="C35">
        <f>_xlfn.XLOOKUP(A35,[2]工作表1!$A:$A,[2]工作表1!$B:$B,"0")</f>
        <v>0</v>
      </c>
      <c r="E35">
        <v>20160</v>
      </c>
      <c r="F35">
        <v>20160</v>
      </c>
      <c r="G35">
        <f t="shared" si="0"/>
        <v>0</v>
      </c>
    </row>
    <row r="36" spans="3:7">
      <c r="C36">
        <f>_xlfn.XLOOKUP(A36,[2]工作表1!$A:$A,[2]工作表1!$B:$B,"0")</f>
        <v>0</v>
      </c>
      <c r="E36">
        <v>6720</v>
      </c>
      <c r="F36">
        <v>6720</v>
      </c>
      <c r="G36">
        <f t="shared" si="0"/>
        <v>0</v>
      </c>
    </row>
    <row r="37" spans="3:7">
      <c r="C37">
        <f>_xlfn.XLOOKUP(A37,[2]工作表1!$A:$A,[2]工作表1!$B:$B,"0")</f>
        <v>0</v>
      </c>
      <c r="E37">
        <v>0</v>
      </c>
      <c r="F37">
        <v>0</v>
      </c>
      <c r="G37">
        <f t="shared" si="0"/>
        <v>0</v>
      </c>
    </row>
    <row r="38" spans="3:7">
      <c r="C38">
        <f>_xlfn.XLOOKUP(A38,[2]工作表1!$A:$A,[2]工作表1!$B:$B,"0")</f>
        <v>0</v>
      </c>
      <c r="E38">
        <v>4800</v>
      </c>
      <c r="F38">
        <v>4800</v>
      </c>
      <c r="G38">
        <f t="shared" si="0"/>
        <v>0</v>
      </c>
    </row>
    <row r="39" spans="3:7">
      <c r="C39">
        <f>_xlfn.XLOOKUP(A39,[2]工作表1!$A:$A,[2]工作表1!$B:$B,"0")</f>
        <v>0</v>
      </c>
      <c r="E39">
        <v>0</v>
      </c>
      <c r="F39" t="s">
        <v>573</v>
      </c>
      <c r="G39">
        <f t="shared" si="0"/>
        <v>0</v>
      </c>
    </row>
    <row r="40" spans="3:7">
      <c r="C40">
        <f>_xlfn.XLOOKUP(A40,[2]工作表1!$A:$A,[2]工作表1!$B:$B,"0")</f>
        <v>0</v>
      </c>
      <c r="E40">
        <v>2600</v>
      </c>
      <c r="F40">
        <v>2600</v>
      </c>
      <c r="G40">
        <f t="shared" si="0"/>
        <v>0</v>
      </c>
    </row>
    <row r="41" spans="3:7">
      <c r="C41">
        <f>_xlfn.XLOOKUP(A41,[2]工作表1!$A:$A,[2]工作表1!$B:$B,"0")</f>
        <v>0</v>
      </c>
      <c r="E41">
        <v>10400</v>
      </c>
      <c r="F41" t="s">
        <v>573</v>
      </c>
      <c r="G41">
        <f t="shared" si="0"/>
        <v>10400</v>
      </c>
    </row>
    <row r="42" spans="3:7">
      <c r="C42">
        <f>_xlfn.XLOOKUP(A42,[2]工作表1!$A:$A,[2]工作表1!$B:$B,"0")</f>
        <v>0</v>
      </c>
      <c r="E42">
        <v>0</v>
      </c>
      <c r="F42" t="s">
        <v>573</v>
      </c>
      <c r="G42">
        <f t="shared" si="0"/>
        <v>0</v>
      </c>
    </row>
    <row r="43" spans="3:7">
      <c r="C43">
        <f>_xlfn.XLOOKUP(A43,[2]工作表1!$A:$A,[2]工作表1!$B:$B,"0")</f>
        <v>0</v>
      </c>
      <c r="E43">
        <v>5200</v>
      </c>
      <c r="F43">
        <v>5200</v>
      </c>
      <c r="G43">
        <f t="shared" si="0"/>
        <v>0</v>
      </c>
    </row>
    <row r="44" spans="3:7">
      <c r="C44">
        <f>_xlfn.XLOOKUP(A44,[2]工作表1!$A:$A,[2]工作表1!$B:$B,"0")</f>
        <v>0</v>
      </c>
      <c r="E44">
        <v>0</v>
      </c>
      <c r="F44">
        <v>0</v>
      </c>
      <c r="G44">
        <f t="shared" si="0"/>
        <v>0</v>
      </c>
    </row>
    <row r="45" spans="3:7">
      <c r="C45">
        <f>_xlfn.XLOOKUP(A45,[2]工作表1!$A:$A,[2]工作表1!$B:$B,"0")</f>
        <v>0</v>
      </c>
      <c r="E45">
        <v>2880</v>
      </c>
      <c r="F45">
        <v>2880</v>
      </c>
      <c r="G45">
        <f t="shared" si="0"/>
        <v>0</v>
      </c>
    </row>
    <row r="46" spans="3:7">
      <c r="C46">
        <f>_xlfn.XLOOKUP(A46,[2]工作表1!$A:$A,[2]工作表1!$B:$B,"0")</f>
        <v>0</v>
      </c>
      <c r="E46">
        <v>0</v>
      </c>
      <c r="F46">
        <v>0</v>
      </c>
      <c r="G46">
        <f t="shared" si="0"/>
        <v>0</v>
      </c>
    </row>
    <row r="47" spans="3:7">
      <c r="C47">
        <f>_xlfn.XLOOKUP(A47,[2]工作表1!$A:$A,[2]工作表1!$B:$B,"0")</f>
        <v>0</v>
      </c>
      <c r="E47">
        <v>0</v>
      </c>
      <c r="F47">
        <v>0</v>
      </c>
      <c r="G47">
        <f t="shared" si="0"/>
        <v>0</v>
      </c>
    </row>
    <row r="48" spans="3:7">
      <c r="C48">
        <f>_xlfn.XLOOKUP(A48,[2]工作表1!$A:$A,[2]工作表1!$B:$B,"0")</f>
        <v>0</v>
      </c>
      <c r="E48">
        <v>2880</v>
      </c>
      <c r="F48">
        <v>2880</v>
      </c>
      <c r="G48">
        <f t="shared" si="0"/>
        <v>0</v>
      </c>
    </row>
    <row r="49" spans="3:7">
      <c r="C49">
        <f>_xlfn.XLOOKUP(A49,[2]工作表1!$A:$A,[2]工作表1!$B:$B,"0")</f>
        <v>0</v>
      </c>
      <c r="E49">
        <v>0</v>
      </c>
      <c r="F49">
        <v>0</v>
      </c>
      <c r="G49">
        <f t="shared" si="0"/>
        <v>0</v>
      </c>
    </row>
    <row r="50" spans="3:7">
      <c r="C50">
        <f>_xlfn.XLOOKUP(A50,[2]工作表1!$A:$A,[2]工作表1!$B:$B,"0")</f>
        <v>0</v>
      </c>
      <c r="E50">
        <v>11520</v>
      </c>
      <c r="F50">
        <v>11520</v>
      </c>
      <c r="G50">
        <f t="shared" si="0"/>
        <v>0</v>
      </c>
    </row>
    <row r="51" spans="3:7">
      <c r="C51">
        <f>_xlfn.XLOOKUP(A51,[2]工作表1!$A:$A,[2]工作表1!$B:$B,"0")</f>
        <v>0</v>
      </c>
      <c r="E51">
        <v>0</v>
      </c>
      <c r="F51">
        <v>0</v>
      </c>
      <c r="G51">
        <f t="shared" si="0"/>
        <v>0</v>
      </c>
    </row>
    <row r="52" spans="3:7">
      <c r="C52">
        <f>_xlfn.XLOOKUP(A52,[2]工作表1!$A:$A,[2]工作表1!$B:$B,"0")</f>
        <v>0</v>
      </c>
      <c r="E52">
        <v>5760</v>
      </c>
      <c r="F52">
        <v>5760</v>
      </c>
      <c r="G52">
        <f t="shared" si="0"/>
        <v>0</v>
      </c>
    </row>
    <row r="53" spans="3:7">
      <c r="C53">
        <f>_xlfn.XLOOKUP(A53,[2]工作表1!$A:$A,[2]工作表1!$B:$B,"0")</f>
        <v>0</v>
      </c>
      <c r="E53">
        <v>0</v>
      </c>
      <c r="F53">
        <v>0</v>
      </c>
      <c r="G53">
        <f t="shared" si="0"/>
        <v>0</v>
      </c>
    </row>
    <row r="54" spans="3:7">
      <c r="C54">
        <f>_xlfn.XLOOKUP(A54,[2]工作表1!$A:$A,[2]工作表1!$B:$B,"0")</f>
        <v>0</v>
      </c>
      <c r="E54">
        <v>25920</v>
      </c>
      <c r="F54">
        <v>25920</v>
      </c>
      <c r="G54">
        <f t="shared" si="0"/>
        <v>0</v>
      </c>
    </row>
    <row r="55" spans="3:7">
      <c r="C55">
        <f>_xlfn.XLOOKUP(A55,[2]工作表1!$A:$A,[2]工作表1!$B:$B,"0")</f>
        <v>0</v>
      </c>
      <c r="E55">
        <v>0</v>
      </c>
      <c r="F55">
        <v>0</v>
      </c>
      <c r="G55">
        <f t="shared" si="0"/>
        <v>0</v>
      </c>
    </row>
    <row r="56" spans="3:7">
      <c r="C56">
        <f>_xlfn.XLOOKUP(A56,[2]工作表1!$A:$A,[2]工作表1!$B:$B,"0")</f>
        <v>0</v>
      </c>
      <c r="E56">
        <v>0</v>
      </c>
      <c r="F56">
        <v>0</v>
      </c>
      <c r="G56">
        <f t="shared" si="0"/>
        <v>0</v>
      </c>
    </row>
    <row r="57" spans="3:7">
      <c r="C57">
        <f>_xlfn.XLOOKUP(A57,[2]工作表1!$A:$A,[2]工作表1!$B:$B,"0")</f>
        <v>0</v>
      </c>
      <c r="E57">
        <v>0</v>
      </c>
      <c r="F57">
        <v>0</v>
      </c>
      <c r="G57">
        <f t="shared" si="0"/>
        <v>0</v>
      </c>
    </row>
    <row r="58" spans="3:7">
      <c r="C58">
        <f>_xlfn.XLOOKUP(A58,[2]工作表1!$A:$A,[2]工作表1!$B:$B,"0")</f>
        <v>0</v>
      </c>
      <c r="E58">
        <v>0</v>
      </c>
      <c r="F58">
        <v>0</v>
      </c>
      <c r="G58">
        <f t="shared" si="0"/>
        <v>0</v>
      </c>
    </row>
    <row r="59" spans="3:7">
      <c r="C59">
        <f>_xlfn.XLOOKUP(A59,[2]工作表1!$A:$A,[2]工作表1!$B:$B,"0")</f>
        <v>0</v>
      </c>
      <c r="E59">
        <v>1890</v>
      </c>
      <c r="F59" t="s">
        <v>573</v>
      </c>
      <c r="G59">
        <f t="shared" si="0"/>
        <v>1890</v>
      </c>
    </row>
    <row r="60" spans="3:7">
      <c r="C60">
        <f>_xlfn.XLOOKUP(A60,[2]工作表1!$A:$A,[2]工作表1!$B:$B,"0")</f>
        <v>0</v>
      </c>
      <c r="E60">
        <v>0</v>
      </c>
      <c r="F60">
        <v>0</v>
      </c>
      <c r="G60">
        <f t="shared" si="0"/>
        <v>0</v>
      </c>
    </row>
    <row r="61" spans="3:7">
      <c r="C61">
        <f>_xlfn.XLOOKUP(A61,[2]工作表1!$A:$A,[2]工作表1!$B:$B,"0")</f>
        <v>0</v>
      </c>
      <c r="E61">
        <v>5280</v>
      </c>
      <c r="F61">
        <v>0</v>
      </c>
      <c r="G61">
        <f t="shared" si="0"/>
        <v>5280</v>
      </c>
    </row>
    <row r="62" spans="3:7">
      <c r="C62">
        <f>_xlfn.XLOOKUP(A62,[2]工作表1!$A:$A,[2]工作表1!$B:$B,"0")</f>
        <v>0</v>
      </c>
      <c r="E62">
        <v>11500</v>
      </c>
      <c r="F62">
        <v>11500</v>
      </c>
      <c r="G62">
        <f t="shared" si="0"/>
        <v>0</v>
      </c>
    </row>
    <row r="63" spans="3:7">
      <c r="C63">
        <f>_xlfn.XLOOKUP(A63,[2]工作表1!$A:$A,[2]工作表1!$B:$B,"0")</f>
        <v>0</v>
      </c>
      <c r="E63">
        <v>5280</v>
      </c>
      <c r="F63" t="s">
        <v>573</v>
      </c>
      <c r="G63">
        <f t="shared" si="0"/>
        <v>5280</v>
      </c>
    </row>
    <row r="64" spans="3:7">
      <c r="C64">
        <f>_xlfn.XLOOKUP(A64,[2]工作表1!$A:$A,[2]工作表1!$B:$B,"0")</f>
        <v>0</v>
      </c>
      <c r="E64">
        <v>2640</v>
      </c>
      <c r="F64">
        <v>0</v>
      </c>
      <c r="G64">
        <f t="shared" si="0"/>
        <v>2640</v>
      </c>
    </row>
    <row r="65" spans="3:7">
      <c r="C65">
        <f>_xlfn.XLOOKUP(A65,[2]工作表1!$A:$A,[2]工作表1!$B:$B,"0")</f>
        <v>0</v>
      </c>
      <c r="E65">
        <v>5280</v>
      </c>
      <c r="F65">
        <v>0</v>
      </c>
      <c r="G65">
        <f t="shared" si="0"/>
        <v>5280</v>
      </c>
    </row>
    <row r="66" spans="3:7">
      <c r="C66">
        <f>_xlfn.XLOOKUP(A66,[2]工作表1!$A:$A,[2]工作表1!$B:$B,"0")</f>
        <v>0</v>
      </c>
      <c r="E66">
        <v>8640</v>
      </c>
      <c r="F66">
        <v>8640</v>
      </c>
      <c r="G66">
        <f t="shared" si="0"/>
        <v>0</v>
      </c>
    </row>
    <row r="67" spans="3:7">
      <c r="C67">
        <f>_xlfn.XLOOKUP(A67,[2]工作表1!$A:$A,[2]工作表1!$B:$B,"0")</f>
        <v>0</v>
      </c>
      <c r="E67">
        <v>0</v>
      </c>
      <c r="F67">
        <v>0</v>
      </c>
      <c r="G67">
        <f t="shared" si="0"/>
        <v>0</v>
      </c>
    </row>
    <row r="68" spans="3:7">
      <c r="C68">
        <f>_xlfn.XLOOKUP(A68,[2]工作表1!$A:$A,[2]工作表1!$B:$B,"0")</f>
        <v>0</v>
      </c>
      <c r="E68">
        <v>7200</v>
      </c>
      <c r="F68">
        <v>7200</v>
      </c>
      <c r="G68">
        <f t="shared" si="0"/>
        <v>0</v>
      </c>
    </row>
    <row r="69" spans="3:7">
      <c r="C69">
        <f>_xlfn.XLOOKUP(A69,[2]工作表1!$A:$A,[2]工作表1!$B:$B,"0")</f>
        <v>0</v>
      </c>
      <c r="E69">
        <v>0</v>
      </c>
      <c r="F69">
        <v>0</v>
      </c>
      <c r="G69">
        <f t="shared" ref="G69:G132" si="1">E69-F69</f>
        <v>0</v>
      </c>
    </row>
    <row r="70" spans="3:7">
      <c r="C70">
        <f>_xlfn.XLOOKUP(A70,[2]工作表1!$A:$A,[2]工作表1!$B:$B,"0")</f>
        <v>0</v>
      </c>
      <c r="E70">
        <v>0</v>
      </c>
      <c r="F70">
        <v>0</v>
      </c>
      <c r="G70">
        <f t="shared" si="1"/>
        <v>0</v>
      </c>
    </row>
    <row r="71" spans="3:7">
      <c r="C71">
        <f>_xlfn.XLOOKUP(A71,[2]工作表1!$A:$A,[2]工作表1!$B:$B,"0")</f>
        <v>0</v>
      </c>
      <c r="E71">
        <v>1280</v>
      </c>
      <c r="F71">
        <v>1280</v>
      </c>
      <c r="G71">
        <f t="shared" si="1"/>
        <v>0</v>
      </c>
    </row>
    <row r="72" spans="3:7">
      <c r="C72">
        <f>_xlfn.XLOOKUP(A72,[2]工作表1!$A:$A,[2]工作表1!$B:$B,"0")</f>
        <v>0</v>
      </c>
      <c r="E72">
        <v>0</v>
      </c>
      <c r="F72">
        <v>0</v>
      </c>
      <c r="G72">
        <f t="shared" si="1"/>
        <v>0</v>
      </c>
    </row>
    <row r="73" spans="3:7">
      <c r="C73">
        <f>_xlfn.XLOOKUP(A73,[2]工作表1!$A:$A,[2]工作表1!$B:$B,"0")</f>
        <v>0</v>
      </c>
      <c r="E73">
        <v>0</v>
      </c>
      <c r="F73">
        <v>0</v>
      </c>
      <c r="G73">
        <f t="shared" si="1"/>
        <v>0</v>
      </c>
    </row>
    <row r="74" spans="3:7">
      <c r="C74">
        <f>_xlfn.XLOOKUP(A74,[2]工作表1!$A:$A,[2]工作表1!$B:$B,"0")</f>
        <v>0</v>
      </c>
      <c r="E74">
        <v>0</v>
      </c>
      <c r="F74">
        <v>0</v>
      </c>
      <c r="G74">
        <f t="shared" si="1"/>
        <v>0</v>
      </c>
    </row>
    <row r="75" spans="3:7">
      <c r="C75">
        <f>_xlfn.XLOOKUP(A75,[2]工作表1!$A:$A,[2]工作表1!$B:$B,"0")</f>
        <v>0</v>
      </c>
      <c r="E75">
        <v>5760</v>
      </c>
      <c r="F75">
        <v>5760</v>
      </c>
      <c r="G75">
        <f t="shared" si="1"/>
        <v>0</v>
      </c>
    </row>
    <row r="76" spans="3:7">
      <c r="C76">
        <f>_xlfn.XLOOKUP(A76,[2]工作表1!$A:$A,[2]工作表1!$B:$B,"0")</f>
        <v>0</v>
      </c>
      <c r="E76">
        <v>0</v>
      </c>
      <c r="F76">
        <v>0</v>
      </c>
      <c r="G76">
        <f t="shared" si="1"/>
        <v>0</v>
      </c>
    </row>
    <row r="77" spans="3:7">
      <c r="C77">
        <f>_xlfn.XLOOKUP(A77,[2]工作表1!$A:$A,[2]工作表1!$B:$B,"0")</f>
        <v>0</v>
      </c>
      <c r="E77">
        <v>0</v>
      </c>
      <c r="F77">
        <v>0</v>
      </c>
      <c r="G77">
        <f t="shared" si="1"/>
        <v>0</v>
      </c>
    </row>
    <row r="78" spans="3:7">
      <c r="C78">
        <f>_xlfn.XLOOKUP(A78,[2]工作表1!$A:$A,[2]工作表1!$B:$B,"0")</f>
        <v>0</v>
      </c>
      <c r="E78">
        <v>0</v>
      </c>
      <c r="F78">
        <v>0</v>
      </c>
      <c r="G78">
        <f t="shared" si="1"/>
        <v>0</v>
      </c>
    </row>
    <row r="79" spans="3:7">
      <c r="C79">
        <f>_xlfn.XLOOKUP(A79,[2]工作表1!$A:$A,[2]工作表1!$B:$B,"0")</f>
        <v>0</v>
      </c>
      <c r="E79">
        <v>0</v>
      </c>
      <c r="F79">
        <v>0</v>
      </c>
      <c r="G79">
        <f t="shared" si="1"/>
        <v>0</v>
      </c>
    </row>
    <row r="80" spans="3:7">
      <c r="C80">
        <f>_xlfn.XLOOKUP(A80,[2]工作表1!$A:$A,[2]工作表1!$B:$B,"0")</f>
        <v>0</v>
      </c>
      <c r="E80">
        <v>1280</v>
      </c>
      <c r="F80">
        <v>1280</v>
      </c>
      <c r="G80">
        <f t="shared" si="1"/>
        <v>0</v>
      </c>
    </row>
    <row r="81" spans="3:7">
      <c r="C81">
        <f>_xlfn.XLOOKUP(A81,[2]工作表1!$A:$A,[2]工作表1!$B:$B,"0")</f>
        <v>0</v>
      </c>
      <c r="E81">
        <v>0</v>
      </c>
      <c r="F81">
        <v>0</v>
      </c>
      <c r="G81">
        <f t="shared" si="1"/>
        <v>0</v>
      </c>
    </row>
    <row r="82" spans="3:7">
      <c r="C82">
        <f>_xlfn.XLOOKUP(A82,[2]工作表1!$A:$A,[2]工作表1!$B:$B,"0")</f>
        <v>0</v>
      </c>
      <c r="E82">
        <v>7760</v>
      </c>
      <c r="F82">
        <v>7760</v>
      </c>
      <c r="G82">
        <f t="shared" si="1"/>
        <v>0</v>
      </c>
    </row>
    <row r="83" spans="3:7">
      <c r="C83">
        <f>_xlfn.XLOOKUP(A83,[2]工作表1!$A:$A,[2]工作表1!$B:$B,"0")</f>
        <v>0</v>
      </c>
      <c r="E83">
        <v>11520</v>
      </c>
      <c r="F83">
        <v>11520</v>
      </c>
      <c r="G83">
        <f t="shared" si="1"/>
        <v>0</v>
      </c>
    </row>
    <row r="84" spans="3:7">
      <c r="C84">
        <f>_xlfn.XLOOKUP(A84,[2]工作表1!$A:$A,[2]工作表1!$B:$B,"0")</f>
        <v>0</v>
      </c>
      <c r="E84">
        <v>14400</v>
      </c>
      <c r="F84">
        <v>14400</v>
      </c>
      <c r="G84">
        <f t="shared" si="1"/>
        <v>0</v>
      </c>
    </row>
    <row r="85" spans="3:7">
      <c r="C85">
        <f>_xlfn.XLOOKUP(A85,[2]工作表1!$A:$A,[2]工作表1!$B:$B,"0")</f>
        <v>0</v>
      </c>
      <c r="E85">
        <v>0</v>
      </c>
      <c r="F85">
        <v>0</v>
      </c>
      <c r="G85">
        <f t="shared" si="1"/>
        <v>0</v>
      </c>
    </row>
    <row r="86" spans="3:7">
      <c r="C86">
        <f>_xlfn.XLOOKUP(A86,[2]工作表1!$A:$A,[2]工作表1!$B:$B,"0")</f>
        <v>0</v>
      </c>
      <c r="E86">
        <v>2880</v>
      </c>
      <c r="F86">
        <v>2880</v>
      </c>
      <c r="G86">
        <f t="shared" si="1"/>
        <v>0</v>
      </c>
    </row>
    <row r="87" spans="3:7">
      <c r="C87">
        <f>_xlfn.XLOOKUP(A87,[2]工作表1!$A:$A,[2]工作表1!$B:$B,"0")</f>
        <v>0</v>
      </c>
      <c r="E87">
        <v>2880</v>
      </c>
      <c r="F87">
        <v>2880</v>
      </c>
      <c r="G87">
        <f t="shared" si="1"/>
        <v>0</v>
      </c>
    </row>
    <row r="88" spans="3:7">
      <c r="C88">
        <f>_xlfn.XLOOKUP(A88,[2]工作表1!$A:$A,[2]工作表1!$B:$B,"0")</f>
        <v>0</v>
      </c>
      <c r="E88">
        <v>2880</v>
      </c>
      <c r="F88">
        <v>2880</v>
      </c>
      <c r="G88">
        <f t="shared" si="1"/>
        <v>0</v>
      </c>
    </row>
    <row r="89" spans="3:7">
      <c r="C89">
        <f>_xlfn.XLOOKUP(A89,[2]工作表1!$A:$A,[2]工作表1!$B:$B,"0")</f>
        <v>0</v>
      </c>
      <c r="E89">
        <v>0</v>
      </c>
      <c r="F89">
        <v>0</v>
      </c>
      <c r="G89">
        <f t="shared" si="1"/>
        <v>0</v>
      </c>
    </row>
    <row r="90" spans="3:7">
      <c r="C90">
        <f>_xlfn.XLOOKUP(A90,[2]工作表1!$A:$A,[2]工作表1!$B:$B,"0")</f>
        <v>0</v>
      </c>
      <c r="E90">
        <v>0</v>
      </c>
      <c r="F90">
        <v>0</v>
      </c>
      <c r="G90">
        <f t="shared" si="1"/>
        <v>0</v>
      </c>
    </row>
    <row r="91" spans="3:7">
      <c r="C91">
        <f>_xlfn.XLOOKUP(A91,[2]工作表1!$A:$A,[2]工作表1!$B:$B,"0")</f>
        <v>0</v>
      </c>
      <c r="E91">
        <v>2880</v>
      </c>
      <c r="F91">
        <v>2880</v>
      </c>
      <c r="G91">
        <f t="shared" si="1"/>
        <v>0</v>
      </c>
    </row>
    <row r="92" spans="3:7">
      <c r="C92">
        <f>_xlfn.XLOOKUP(A92,[2]工作表1!$A:$A,[2]工作表1!$B:$B,"0")</f>
        <v>0</v>
      </c>
      <c r="E92">
        <v>0</v>
      </c>
      <c r="F92">
        <v>0</v>
      </c>
      <c r="G92">
        <f t="shared" si="1"/>
        <v>0</v>
      </c>
    </row>
    <row r="93" spans="3:7">
      <c r="C93">
        <f>_xlfn.XLOOKUP(A93,[2]工作表1!$A:$A,[2]工作表1!$B:$B,"0")</f>
        <v>0</v>
      </c>
      <c r="E93">
        <v>0</v>
      </c>
      <c r="F93">
        <v>0</v>
      </c>
      <c r="G93">
        <f t="shared" si="1"/>
        <v>0</v>
      </c>
    </row>
    <row r="94" spans="3:7">
      <c r="C94">
        <f>_xlfn.XLOOKUP(A94,[2]工作表1!$A:$A,[2]工作表1!$B:$B,"0")</f>
        <v>0</v>
      </c>
      <c r="E94">
        <v>0</v>
      </c>
      <c r="F94">
        <v>0</v>
      </c>
      <c r="G94">
        <f t="shared" si="1"/>
        <v>0</v>
      </c>
    </row>
    <row r="95" spans="3:7">
      <c r="C95">
        <f>_xlfn.XLOOKUP(A95,[2]工作表1!$A:$A,[2]工作表1!$B:$B,"0")</f>
        <v>0</v>
      </c>
      <c r="E95">
        <v>0</v>
      </c>
      <c r="F95">
        <v>0</v>
      </c>
      <c r="G95">
        <f t="shared" si="1"/>
        <v>0</v>
      </c>
    </row>
    <row r="96" spans="3:7">
      <c r="C96">
        <f>_xlfn.XLOOKUP(A96,[2]工作表1!$A:$A,[2]工作表1!$B:$B,"0")</f>
        <v>0</v>
      </c>
      <c r="E96">
        <v>0</v>
      </c>
      <c r="F96">
        <v>0</v>
      </c>
      <c r="G96">
        <f t="shared" si="1"/>
        <v>0</v>
      </c>
    </row>
    <row r="97" spans="3:7">
      <c r="C97">
        <f>_xlfn.XLOOKUP(A97,[2]工作表1!$A:$A,[2]工作表1!$B:$B,"0")</f>
        <v>0</v>
      </c>
      <c r="E97">
        <v>0</v>
      </c>
      <c r="F97">
        <v>0</v>
      </c>
      <c r="G97">
        <f t="shared" si="1"/>
        <v>0</v>
      </c>
    </row>
    <row r="98" spans="3:7">
      <c r="C98">
        <f>_xlfn.XLOOKUP(A98,[2]工作表1!$A:$A,[2]工作表1!$B:$B,"0")</f>
        <v>0</v>
      </c>
      <c r="E98">
        <v>2880</v>
      </c>
      <c r="F98">
        <v>0</v>
      </c>
      <c r="G98">
        <f t="shared" si="1"/>
        <v>2880</v>
      </c>
    </row>
    <row r="99" spans="3:7">
      <c r="C99">
        <f>_xlfn.XLOOKUP(A99,[2]工作表1!$A:$A,[2]工作表1!$B:$B,"0")</f>
        <v>0</v>
      </c>
      <c r="E99">
        <v>2880</v>
      </c>
      <c r="F99">
        <v>2880</v>
      </c>
      <c r="G99">
        <f t="shared" si="1"/>
        <v>0</v>
      </c>
    </row>
    <row r="100" spans="3:7">
      <c r="C100">
        <f>_xlfn.XLOOKUP(A100,[2]工作表1!$A:$A,[2]工作表1!$B:$B,"0")</f>
        <v>0</v>
      </c>
      <c r="E100">
        <v>2880</v>
      </c>
      <c r="F100">
        <v>2880</v>
      </c>
      <c r="G100">
        <f t="shared" si="1"/>
        <v>0</v>
      </c>
    </row>
    <row r="101" spans="3:7">
      <c r="C101">
        <f>_xlfn.XLOOKUP(A101,[2]工作表1!$A:$A,[2]工作表1!$B:$B,"0")</f>
        <v>0</v>
      </c>
      <c r="E101">
        <v>2880</v>
      </c>
      <c r="F101">
        <v>2880</v>
      </c>
      <c r="G101">
        <f t="shared" si="1"/>
        <v>0</v>
      </c>
    </row>
    <row r="102" spans="3:7">
      <c r="C102">
        <f>_xlfn.XLOOKUP(A102,[2]工作表1!$A:$A,[2]工作表1!$B:$B,"0")</f>
        <v>0</v>
      </c>
      <c r="E102">
        <v>20160</v>
      </c>
      <c r="F102">
        <v>20160</v>
      </c>
      <c r="G102">
        <f t="shared" si="1"/>
        <v>0</v>
      </c>
    </row>
    <row r="103" spans="3:7">
      <c r="C103">
        <f>_xlfn.XLOOKUP(A103,[2]工作表1!$A:$A,[2]工作表1!$B:$B,"0")</f>
        <v>0</v>
      </c>
      <c r="E103">
        <v>0</v>
      </c>
      <c r="F103">
        <v>0</v>
      </c>
      <c r="G103">
        <f t="shared" si="1"/>
        <v>0</v>
      </c>
    </row>
    <row r="104" spans="3:7">
      <c r="C104">
        <f>_xlfn.XLOOKUP(A104,[2]工作表1!$A:$A,[2]工作表1!$B:$B,"0")</f>
        <v>0</v>
      </c>
      <c r="E104">
        <v>0</v>
      </c>
      <c r="F104">
        <v>0</v>
      </c>
      <c r="G104">
        <f t="shared" si="1"/>
        <v>0</v>
      </c>
    </row>
    <row r="105" spans="3:7">
      <c r="C105">
        <f>_xlfn.XLOOKUP(A105,[2]工作表1!$A:$A,[2]工作表1!$B:$B,"0")</f>
        <v>0</v>
      </c>
      <c r="E105">
        <v>0</v>
      </c>
      <c r="F105">
        <v>0</v>
      </c>
      <c r="G105">
        <f t="shared" si="1"/>
        <v>0</v>
      </c>
    </row>
    <row r="106" spans="3:7">
      <c r="C106">
        <f>_xlfn.XLOOKUP(A106,[2]工作表1!$A:$A,[2]工作表1!$B:$B,"0")</f>
        <v>0</v>
      </c>
      <c r="E106">
        <v>0</v>
      </c>
      <c r="F106">
        <v>0</v>
      </c>
      <c r="G106">
        <f t="shared" si="1"/>
        <v>0</v>
      </c>
    </row>
    <row r="107" spans="3:7">
      <c r="C107">
        <f>_xlfn.XLOOKUP(A107,[2]工作表1!$A:$A,[2]工作表1!$B:$B,"0")</f>
        <v>0</v>
      </c>
      <c r="E107">
        <v>0</v>
      </c>
      <c r="F107" t="s">
        <v>573</v>
      </c>
      <c r="G107">
        <f t="shared" si="1"/>
        <v>0</v>
      </c>
    </row>
    <row r="108" spans="3:7">
      <c r="C108">
        <f>_xlfn.XLOOKUP(A108,[2]工作表1!$A:$A,[2]工作表1!$B:$B,"0")</f>
        <v>0</v>
      </c>
      <c r="E108">
        <v>5600</v>
      </c>
      <c r="F108">
        <v>5600</v>
      </c>
      <c r="G108">
        <f t="shared" si="1"/>
        <v>0</v>
      </c>
    </row>
    <row r="109" spans="3:7">
      <c r="C109">
        <f>_xlfn.XLOOKUP(A109,[2]工作表1!$A:$A,[2]工作表1!$B:$B,"0")</f>
        <v>0</v>
      </c>
      <c r="E109">
        <v>0</v>
      </c>
      <c r="F109">
        <v>0</v>
      </c>
      <c r="G109">
        <f t="shared" si="1"/>
        <v>0</v>
      </c>
    </row>
    <row r="110" spans="3:7">
      <c r="C110">
        <f>_xlfn.XLOOKUP(A110,[2]工作表1!$A:$A,[2]工作表1!$B:$B,"0")</f>
        <v>0</v>
      </c>
      <c r="E110">
        <v>5600</v>
      </c>
      <c r="F110">
        <v>5600</v>
      </c>
      <c r="G110">
        <f t="shared" si="1"/>
        <v>0</v>
      </c>
    </row>
    <row r="111" spans="3:7">
      <c r="C111">
        <f>_xlfn.XLOOKUP(A111,[2]工作表1!$A:$A,[2]工作表1!$B:$B,"0")</f>
        <v>0</v>
      </c>
      <c r="E111">
        <v>0</v>
      </c>
      <c r="F111">
        <v>0</v>
      </c>
      <c r="G111">
        <f t="shared" si="1"/>
        <v>0</v>
      </c>
    </row>
    <row r="112" spans="3:7">
      <c r="C112">
        <f>_xlfn.XLOOKUP(A112,[2]工作表1!$A:$A,[2]工作表1!$B:$B,"0")</f>
        <v>0</v>
      </c>
      <c r="E112">
        <v>0</v>
      </c>
      <c r="F112">
        <v>0</v>
      </c>
      <c r="G112">
        <f t="shared" si="1"/>
        <v>0</v>
      </c>
    </row>
    <row r="113" spans="3:7">
      <c r="C113">
        <f>_xlfn.XLOOKUP(A113,[2]工作表1!$A:$A,[2]工作表1!$B:$B,"0")</f>
        <v>0</v>
      </c>
      <c r="E113">
        <v>0</v>
      </c>
      <c r="F113">
        <v>0</v>
      </c>
      <c r="G113">
        <f t="shared" si="1"/>
        <v>0</v>
      </c>
    </row>
    <row r="114" spans="3:7">
      <c r="C114">
        <f>_xlfn.XLOOKUP(A114,[2]工作表1!$A:$A,[2]工作表1!$B:$B,"0")</f>
        <v>0</v>
      </c>
      <c r="E114">
        <v>0</v>
      </c>
      <c r="F114">
        <v>0</v>
      </c>
      <c r="G114">
        <f t="shared" si="1"/>
        <v>0</v>
      </c>
    </row>
    <row r="115" spans="3:7">
      <c r="C115">
        <f>_xlfn.XLOOKUP(A115,[2]工作表1!$A:$A,[2]工作表1!$B:$B,"0")</f>
        <v>0</v>
      </c>
      <c r="E115">
        <v>0</v>
      </c>
      <c r="F115">
        <v>0</v>
      </c>
      <c r="G115">
        <f t="shared" si="1"/>
        <v>0</v>
      </c>
    </row>
    <row r="116" spans="3:7">
      <c r="C116">
        <f>_xlfn.XLOOKUP(A116,[2]工作表1!$A:$A,[2]工作表1!$B:$B,"0")</f>
        <v>0</v>
      </c>
      <c r="E116">
        <v>0</v>
      </c>
      <c r="F116">
        <v>0</v>
      </c>
      <c r="G116">
        <f t="shared" si="1"/>
        <v>0</v>
      </c>
    </row>
    <row r="117" spans="3:7">
      <c r="C117">
        <f>_xlfn.XLOOKUP(A117,[2]工作表1!$A:$A,[2]工作表1!$B:$B,"0")</f>
        <v>0</v>
      </c>
      <c r="E117">
        <v>0</v>
      </c>
      <c r="F117">
        <v>0</v>
      </c>
      <c r="G117">
        <f t="shared" si="1"/>
        <v>0</v>
      </c>
    </row>
    <row r="118" spans="3:7">
      <c r="C118">
        <f>_xlfn.XLOOKUP(A118,[2]工作表1!$A:$A,[2]工作表1!$B:$B,"0")</f>
        <v>0</v>
      </c>
      <c r="E118">
        <v>0</v>
      </c>
      <c r="F118">
        <v>0</v>
      </c>
      <c r="G118">
        <f t="shared" si="1"/>
        <v>0</v>
      </c>
    </row>
    <row r="119" spans="3:7">
      <c r="C119">
        <f>_xlfn.XLOOKUP(A119,[2]工作表1!$A:$A,[2]工作表1!$B:$B,"0")</f>
        <v>0</v>
      </c>
      <c r="E119">
        <v>0</v>
      </c>
      <c r="F119">
        <v>0</v>
      </c>
      <c r="G119">
        <f t="shared" si="1"/>
        <v>0</v>
      </c>
    </row>
    <row r="120" spans="3:7">
      <c r="C120">
        <f>_xlfn.XLOOKUP(A120,[2]工作表1!$A:$A,[2]工作表1!$B:$B,"0")</f>
        <v>0</v>
      </c>
      <c r="E120">
        <v>0</v>
      </c>
      <c r="F120">
        <v>0</v>
      </c>
      <c r="G120">
        <f t="shared" si="1"/>
        <v>0</v>
      </c>
    </row>
    <row r="121" spans="3:7">
      <c r="C121">
        <f>_xlfn.XLOOKUP(A121,[2]工作表1!$A:$A,[2]工作表1!$B:$B,"0")</f>
        <v>0</v>
      </c>
      <c r="E121">
        <v>0</v>
      </c>
      <c r="F121">
        <v>0</v>
      </c>
      <c r="G121">
        <f t="shared" si="1"/>
        <v>0</v>
      </c>
    </row>
    <row r="122" spans="3:7">
      <c r="C122">
        <f>_xlfn.XLOOKUP(A122,[2]工作表1!$A:$A,[2]工作表1!$B:$B,"0")</f>
        <v>0</v>
      </c>
      <c r="E122">
        <v>0</v>
      </c>
      <c r="F122">
        <v>5000</v>
      </c>
      <c r="G122">
        <f t="shared" si="1"/>
        <v>-5000</v>
      </c>
    </row>
    <row r="123" spans="3:7">
      <c r="C123">
        <f>_xlfn.XLOOKUP(A123,[2]工作表1!$A:$A,[2]工作表1!$B:$B,"0")</f>
        <v>0</v>
      </c>
      <c r="E123">
        <v>0</v>
      </c>
      <c r="F123">
        <v>0</v>
      </c>
      <c r="G123">
        <f t="shared" si="1"/>
        <v>0</v>
      </c>
    </row>
    <row r="124" spans="3:7">
      <c r="C124">
        <f>_xlfn.XLOOKUP(A124,[2]工作表1!$A:$A,[2]工作表1!$B:$B,"0")</f>
        <v>0</v>
      </c>
      <c r="E124">
        <v>0</v>
      </c>
      <c r="F124">
        <v>0</v>
      </c>
      <c r="G124">
        <f t="shared" si="1"/>
        <v>0</v>
      </c>
    </row>
    <row r="125" spans="3:7">
      <c r="C125">
        <f>_xlfn.XLOOKUP(A125,[2]工作表1!$A:$A,[2]工作表1!$B:$B,"0")</f>
        <v>0</v>
      </c>
      <c r="E125">
        <v>1200</v>
      </c>
      <c r="F125">
        <v>1200</v>
      </c>
      <c r="G125">
        <f t="shared" si="1"/>
        <v>0</v>
      </c>
    </row>
    <row r="126" spans="3:7">
      <c r="C126">
        <f>_xlfn.XLOOKUP(A126,[2]工作表1!$A:$A,[2]工作表1!$B:$B,"0")</f>
        <v>0</v>
      </c>
      <c r="E126">
        <v>0</v>
      </c>
      <c r="F126">
        <v>0</v>
      </c>
      <c r="G126">
        <f t="shared" si="1"/>
        <v>0</v>
      </c>
    </row>
    <row r="127" spans="3:7">
      <c r="C127">
        <f>_xlfn.XLOOKUP(A127,[2]工作表1!$A:$A,[2]工作表1!$B:$B,"0")</f>
        <v>0</v>
      </c>
      <c r="E127">
        <v>0</v>
      </c>
      <c r="F127">
        <v>0</v>
      </c>
      <c r="G127">
        <f t="shared" si="1"/>
        <v>0</v>
      </c>
    </row>
    <row r="128" spans="3:7">
      <c r="C128">
        <f>_xlfn.XLOOKUP(A128,[2]工作表1!$A:$A,[2]工作表1!$B:$B,"0")</f>
        <v>0</v>
      </c>
      <c r="E128">
        <v>0</v>
      </c>
      <c r="F128">
        <v>0</v>
      </c>
      <c r="G128">
        <f t="shared" si="1"/>
        <v>0</v>
      </c>
    </row>
    <row r="129" spans="3:7">
      <c r="C129">
        <f>_xlfn.XLOOKUP(A129,[2]工作表1!$A:$A,[2]工作表1!$B:$B,"0")</f>
        <v>0</v>
      </c>
      <c r="E129">
        <v>0</v>
      </c>
      <c r="F129">
        <v>0</v>
      </c>
      <c r="G129">
        <f t="shared" si="1"/>
        <v>0</v>
      </c>
    </row>
    <row r="130" spans="3:7">
      <c r="C130">
        <f>_xlfn.XLOOKUP(A130,[2]工作表1!$A:$A,[2]工作表1!$B:$B,"0")</f>
        <v>0</v>
      </c>
      <c r="E130">
        <v>0</v>
      </c>
      <c r="F130">
        <v>0</v>
      </c>
      <c r="G130">
        <f t="shared" si="1"/>
        <v>0</v>
      </c>
    </row>
    <row r="131" spans="3:7">
      <c r="C131">
        <f>_xlfn.XLOOKUP(A131,[2]工作表1!$A:$A,[2]工作表1!$B:$B,"0")</f>
        <v>0</v>
      </c>
      <c r="E131">
        <v>0</v>
      </c>
      <c r="F131">
        <v>0</v>
      </c>
      <c r="G131">
        <f t="shared" si="1"/>
        <v>0</v>
      </c>
    </row>
    <row r="132" spans="3:7">
      <c r="C132">
        <f>_xlfn.XLOOKUP(A132,[2]工作表1!$A:$A,[2]工作表1!$B:$B,"0")</f>
        <v>0</v>
      </c>
      <c r="E132">
        <v>7280</v>
      </c>
      <c r="F132">
        <v>7280</v>
      </c>
      <c r="G132">
        <f t="shared" si="1"/>
        <v>0</v>
      </c>
    </row>
    <row r="133" spans="3:7">
      <c r="C133">
        <f>_xlfn.XLOOKUP(A133,[2]工作表1!$A:$A,[2]工作表1!$B:$B,"0")</f>
        <v>0</v>
      </c>
      <c r="E133">
        <v>0</v>
      </c>
      <c r="F133">
        <v>0</v>
      </c>
      <c r="G133">
        <f t="shared" ref="G133:G196" si="2">E133-F133</f>
        <v>0</v>
      </c>
    </row>
    <row r="134" spans="3:7">
      <c r="C134">
        <f>_xlfn.XLOOKUP(A134,[2]工作表1!$A:$A,[2]工作表1!$B:$B,"0")</f>
        <v>0</v>
      </c>
      <c r="E134">
        <v>0</v>
      </c>
      <c r="F134">
        <v>0</v>
      </c>
      <c r="G134">
        <f t="shared" si="2"/>
        <v>0</v>
      </c>
    </row>
    <row r="135" spans="3:7">
      <c r="C135">
        <f>_xlfn.XLOOKUP(A135,[2]工作表1!$A:$A,[2]工作表1!$B:$B,"0")</f>
        <v>0</v>
      </c>
      <c r="E135">
        <v>0</v>
      </c>
      <c r="F135">
        <v>0</v>
      </c>
      <c r="G135">
        <f t="shared" si="2"/>
        <v>0</v>
      </c>
    </row>
    <row r="136" spans="3:7">
      <c r="C136">
        <f>_xlfn.XLOOKUP(A136,[2]工作表1!$A:$A,[2]工作表1!$B:$B,"0")</f>
        <v>0</v>
      </c>
      <c r="E136">
        <v>0</v>
      </c>
      <c r="F136">
        <v>0</v>
      </c>
      <c r="G136">
        <f t="shared" si="2"/>
        <v>0</v>
      </c>
    </row>
    <row r="137" spans="3:7">
      <c r="C137">
        <f>_xlfn.XLOOKUP(A137,[2]工作表1!$A:$A,[2]工作表1!$B:$B,"0")</f>
        <v>0</v>
      </c>
      <c r="E137">
        <v>0</v>
      </c>
      <c r="F137">
        <v>0</v>
      </c>
      <c r="G137">
        <f t="shared" si="2"/>
        <v>0</v>
      </c>
    </row>
    <row r="138" spans="3:7">
      <c r="C138">
        <f>_xlfn.XLOOKUP(A138,[2]工作表1!$A:$A,[2]工作表1!$B:$B,"0")</f>
        <v>0</v>
      </c>
      <c r="E138">
        <v>0</v>
      </c>
      <c r="F138">
        <v>0</v>
      </c>
      <c r="G138">
        <f t="shared" si="2"/>
        <v>0</v>
      </c>
    </row>
    <row r="139" spans="3:7">
      <c r="C139">
        <f>_xlfn.XLOOKUP(A139,[2]工作表1!$A:$A,[2]工作表1!$B:$B,"0")</f>
        <v>0</v>
      </c>
      <c r="E139">
        <v>20160</v>
      </c>
      <c r="F139">
        <v>20160</v>
      </c>
      <c r="G139">
        <f t="shared" si="2"/>
        <v>0</v>
      </c>
    </row>
    <row r="140" spans="3:7">
      <c r="C140">
        <f>_xlfn.XLOOKUP(A140,[2]工作表1!$A:$A,[2]工作表1!$B:$B,"0")</f>
        <v>0</v>
      </c>
      <c r="E140">
        <v>13440</v>
      </c>
      <c r="F140">
        <v>13440</v>
      </c>
      <c r="G140">
        <f t="shared" si="2"/>
        <v>0</v>
      </c>
    </row>
    <row r="141" spans="3:7">
      <c r="C141">
        <f>_xlfn.XLOOKUP(A141,[2]工作表1!$A:$A,[2]工作表1!$B:$B,"0")</f>
        <v>0</v>
      </c>
      <c r="E141">
        <v>0</v>
      </c>
      <c r="F141">
        <v>0</v>
      </c>
      <c r="G141">
        <f t="shared" si="2"/>
        <v>0</v>
      </c>
    </row>
    <row r="142" spans="3:7">
      <c r="C142">
        <f>_xlfn.XLOOKUP(A142,[2]工作表1!$A:$A,[2]工作表1!$B:$B,"0")</f>
        <v>0</v>
      </c>
      <c r="E142">
        <v>2880</v>
      </c>
      <c r="F142">
        <v>2880</v>
      </c>
      <c r="G142">
        <f t="shared" si="2"/>
        <v>0</v>
      </c>
    </row>
    <row r="143" spans="3:7">
      <c r="C143">
        <f>_xlfn.XLOOKUP(A143,[2]工作表1!$A:$A,[2]工作表1!$B:$B,"0")</f>
        <v>0</v>
      </c>
      <c r="E143">
        <v>4080</v>
      </c>
      <c r="F143">
        <v>4080</v>
      </c>
      <c r="G143">
        <f t="shared" si="2"/>
        <v>0</v>
      </c>
    </row>
    <row r="144" spans="3:7">
      <c r="C144">
        <f>_xlfn.XLOOKUP(A144,[2]工作表1!$A:$A,[2]工作表1!$B:$B,"0")</f>
        <v>0</v>
      </c>
      <c r="E144">
        <v>2100</v>
      </c>
      <c r="F144">
        <v>2100</v>
      </c>
      <c r="G144">
        <f t="shared" si="2"/>
        <v>0</v>
      </c>
    </row>
    <row r="145" spans="3:7">
      <c r="C145">
        <f>_xlfn.XLOOKUP(A145,[2]工作表1!$A:$A,[2]工作表1!$B:$B,"0")</f>
        <v>0</v>
      </c>
      <c r="E145">
        <v>2040</v>
      </c>
      <c r="F145">
        <v>2040</v>
      </c>
      <c r="G145">
        <f t="shared" si="2"/>
        <v>0</v>
      </c>
    </row>
    <row r="146" spans="3:7">
      <c r="C146">
        <f>_xlfn.XLOOKUP(A146,[2]工作表1!$A:$A,[2]工作表1!$B:$B,"0")</f>
        <v>0</v>
      </c>
      <c r="E146">
        <v>0</v>
      </c>
      <c r="F146">
        <v>0</v>
      </c>
      <c r="G146">
        <f t="shared" si="2"/>
        <v>0</v>
      </c>
    </row>
    <row r="147" spans="3:7">
      <c r="C147">
        <f>_xlfn.XLOOKUP(A147,[2]工作表1!$A:$A,[2]工作表1!$B:$B,"0")</f>
        <v>0</v>
      </c>
      <c r="E147">
        <v>0</v>
      </c>
      <c r="F147">
        <v>0</v>
      </c>
      <c r="G147">
        <f t="shared" si="2"/>
        <v>0</v>
      </c>
    </row>
    <row r="148" spans="3:7">
      <c r="C148">
        <f>_xlfn.XLOOKUP(A148,[2]工作表1!$A:$A,[2]工作表1!$B:$B,"0")</f>
        <v>0</v>
      </c>
      <c r="E148">
        <v>2040</v>
      </c>
      <c r="F148">
        <v>2040</v>
      </c>
      <c r="G148">
        <f t="shared" si="2"/>
        <v>0</v>
      </c>
    </row>
    <row r="149" spans="3:7">
      <c r="C149">
        <f>_xlfn.XLOOKUP(A149,[2]工作表1!$A:$A,[2]工作表1!$B:$B,"0")</f>
        <v>0</v>
      </c>
      <c r="E149">
        <v>2880</v>
      </c>
      <c r="F149">
        <v>2880</v>
      </c>
      <c r="G149">
        <f t="shared" si="2"/>
        <v>0</v>
      </c>
    </row>
    <row r="150" spans="3:7">
      <c r="C150">
        <f>_xlfn.XLOOKUP(A150,[2]工作表1!$A:$A,[2]工作表1!$B:$B,"0")</f>
        <v>0</v>
      </c>
      <c r="E150">
        <v>0</v>
      </c>
      <c r="F150">
        <v>0</v>
      </c>
      <c r="G150">
        <f t="shared" si="2"/>
        <v>0</v>
      </c>
    </row>
    <row r="151" spans="3:7">
      <c r="C151">
        <f>_xlfn.XLOOKUP(A151,[2]工作表1!$A:$A,[2]工作表1!$B:$B,"0")</f>
        <v>0</v>
      </c>
      <c r="E151">
        <v>0</v>
      </c>
      <c r="F151">
        <v>0</v>
      </c>
      <c r="G151">
        <f t="shared" si="2"/>
        <v>0</v>
      </c>
    </row>
    <row r="152" spans="3:7">
      <c r="C152">
        <f>_xlfn.XLOOKUP(A152,[2]工作表1!$A:$A,[2]工作表1!$B:$B,"0")</f>
        <v>0</v>
      </c>
      <c r="E152">
        <v>0</v>
      </c>
      <c r="F152">
        <v>0</v>
      </c>
      <c r="G152">
        <f t="shared" si="2"/>
        <v>0</v>
      </c>
    </row>
    <row r="153" spans="3:7">
      <c r="C153">
        <f>_xlfn.XLOOKUP(A153,[2]工作表1!$A:$A,[2]工作表1!$B:$B,"0")</f>
        <v>0</v>
      </c>
      <c r="E153">
        <v>0</v>
      </c>
      <c r="F153">
        <v>0</v>
      </c>
      <c r="G153">
        <f t="shared" si="2"/>
        <v>0</v>
      </c>
    </row>
    <row r="154" spans="3:7">
      <c r="C154">
        <f>_xlfn.XLOOKUP(A154,[2]工作表1!$A:$A,[2]工作表1!$B:$B,"0")</f>
        <v>0</v>
      </c>
      <c r="E154">
        <v>1380</v>
      </c>
      <c r="F154">
        <v>1380</v>
      </c>
      <c r="G154">
        <f t="shared" si="2"/>
        <v>0</v>
      </c>
    </row>
    <row r="155" spans="3:7">
      <c r="C155">
        <f>_xlfn.XLOOKUP(A155,[2]工作表1!$A:$A,[2]工作表1!$B:$B,"0")</f>
        <v>0</v>
      </c>
      <c r="E155">
        <v>0</v>
      </c>
      <c r="F155">
        <v>0</v>
      </c>
      <c r="G155">
        <f t="shared" si="2"/>
        <v>0</v>
      </c>
    </row>
    <row r="156" spans="3:7">
      <c r="C156">
        <f>_xlfn.XLOOKUP(A156,[2]工作表1!$A:$A,[2]工作表1!$B:$B,"0")</f>
        <v>0</v>
      </c>
      <c r="E156">
        <v>0</v>
      </c>
      <c r="F156">
        <v>0</v>
      </c>
      <c r="G156">
        <f t="shared" si="2"/>
        <v>0</v>
      </c>
    </row>
    <row r="157" spans="3:7">
      <c r="C157">
        <f>_xlfn.XLOOKUP(A157,[2]工作表1!$A:$A,[2]工作表1!$B:$B,"0")</f>
        <v>0</v>
      </c>
      <c r="E157">
        <v>0</v>
      </c>
      <c r="F157">
        <v>0</v>
      </c>
      <c r="G157">
        <f t="shared" si="2"/>
        <v>0</v>
      </c>
    </row>
    <row r="158" spans="3:7">
      <c r="C158">
        <f>_xlfn.XLOOKUP(A158,[2]工作表1!$A:$A,[2]工作表1!$B:$B,"0")</f>
        <v>0</v>
      </c>
      <c r="E158">
        <v>0</v>
      </c>
      <c r="F158">
        <v>0</v>
      </c>
      <c r="G158">
        <f t="shared" si="2"/>
        <v>0</v>
      </c>
    </row>
    <row r="159" spans="3:7">
      <c r="C159">
        <f>_xlfn.XLOOKUP(A159,[2]工作表1!$A:$A,[2]工作表1!$B:$B,"0")</f>
        <v>0</v>
      </c>
      <c r="E159">
        <v>0</v>
      </c>
      <c r="F159">
        <v>0</v>
      </c>
      <c r="G159">
        <f t="shared" si="2"/>
        <v>0</v>
      </c>
    </row>
    <row r="160" spans="3:7">
      <c r="C160">
        <f>_xlfn.XLOOKUP(A160,[2]工作表1!$A:$A,[2]工作表1!$B:$B,"0")</f>
        <v>0</v>
      </c>
      <c r="E160">
        <v>2700</v>
      </c>
      <c r="F160">
        <v>2700</v>
      </c>
      <c r="G160">
        <f t="shared" si="2"/>
        <v>0</v>
      </c>
    </row>
    <row r="161" spans="3:7">
      <c r="C161">
        <f>_xlfn.XLOOKUP(A161,[2]工作表1!$A:$A,[2]工作表1!$B:$B,"0")</f>
        <v>0</v>
      </c>
      <c r="E161">
        <v>0</v>
      </c>
      <c r="F161">
        <v>0</v>
      </c>
      <c r="G161">
        <f t="shared" si="2"/>
        <v>0</v>
      </c>
    </row>
    <row r="162" spans="3:7">
      <c r="C162">
        <f>_xlfn.XLOOKUP(A162,[2]工作表1!$A:$A,[2]工作表1!$B:$B,"0")</f>
        <v>0</v>
      </c>
      <c r="E162">
        <v>0</v>
      </c>
      <c r="F162">
        <v>0</v>
      </c>
      <c r="G162">
        <f t="shared" si="2"/>
        <v>0</v>
      </c>
    </row>
    <row r="163" spans="3:7">
      <c r="C163">
        <f>_xlfn.XLOOKUP(A163,[2]工作表1!$A:$A,[2]工作表1!$B:$B,"0")</f>
        <v>0</v>
      </c>
      <c r="E163">
        <v>0</v>
      </c>
      <c r="F163">
        <v>0</v>
      </c>
      <c r="G163">
        <f t="shared" si="2"/>
        <v>0</v>
      </c>
    </row>
    <row r="164" spans="3:7">
      <c r="C164">
        <f>_xlfn.XLOOKUP(A164,[2]工作表1!$A:$A,[2]工作表1!$B:$B,"0")</f>
        <v>0</v>
      </c>
      <c r="E164">
        <v>0</v>
      </c>
      <c r="F164">
        <v>0</v>
      </c>
      <c r="G164">
        <f t="shared" si="2"/>
        <v>0</v>
      </c>
    </row>
    <row r="165" spans="3:7">
      <c r="C165">
        <f>_xlfn.XLOOKUP(A165,[2]工作表1!$A:$A,[2]工作表1!$B:$B,"0")</f>
        <v>0</v>
      </c>
      <c r="E165">
        <v>0</v>
      </c>
      <c r="F165">
        <v>0</v>
      </c>
      <c r="G165">
        <f t="shared" si="2"/>
        <v>0</v>
      </c>
    </row>
    <row r="166" spans="3:7">
      <c r="C166">
        <f>_xlfn.XLOOKUP(A166,[2]工作表1!$A:$A,[2]工作表1!$B:$B,"0")</f>
        <v>0</v>
      </c>
      <c r="E166">
        <v>0</v>
      </c>
      <c r="F166">
        <v>0</v>
      </c>
      <c r="G166">
        <f t="shared" si="2"/>
        <v>0</v>
      </c>
    </row>
    <row r="167" spans="3:7">
      <c r="C167">
        <f>_xlfn.XLOOKUP(A167,[2]工作表1!$A:$A,[2]工作表1!$B:$B,"0")</f>
        <v>0</v>
      </c>
      <c r="E167">
        <v>2880</v>
      </c>
      <c r="F167" t="s">
        <v>573</v>
      </c>
      <c r="G167">
        <f t="shared" si="2"/>
        <v>2880</v>
      </c>
    </row>
    <row r="168" spans="3:7">
      <c r="C168">
        <f>_xlfn.XLOOKUP(A168,[2]工作表1!$A:$A,[2]工作表1!$B:$B,"0")</f>
        <v>0</v>
      </c>
      <c r="E168">
        <v>2880</v>
      </c>
      <c r="F168">
        <v>2880</v>
      </c>
      <c r="G168">
        <f t="shared" si="2"/>
        <v>0</v>
      </c>
    </row>
    <row r="169" spans="3:7">
      <c r="C169">
        <f>_xlfn.XLOOKUP(A169,[2]工作表1!$A:$A,[2]工作表1!$B:$B,"0")</f>
        <v>0</v>
      </c>
      <c r="E169">
        <v>0</v>
      </c>
      <c r="F169" t="s">
        <v>573</v>
      </c>
      <c r="G169">
        <f t="shared" si="2"/>
        <v>0</v>
      </c>
    </row>
    <row r="170" spans="3:7">
      <c r="C170">
        <f>_xlfn.XLOOKUP(A170,[2]工作表1!$A:$A,[2]工作表1!$B:$B,"0")</f>
        <v>0</v>
      </c>
      <c r="E170">
        <v>0</v>
      </c>
      <c r="F170">
        <v>0</v>
      </c>
      <c r="G170">
        <f t="shared" si="2"/>
        <v>0</v>
      </c>
    </row>
    <row r="171" spans="3:7">
      <c r="C171">
        <f>_xlfn.XLOOKUP(A171,[2]工作表1!$A:$A,[2]工作表1!$B:$B,"0")</f>
        <v>0</v>
      </c>
      <c r="E171">
        <v>0</v>
      </c>
      <c r="F171">
        <v>0</v>
      </c>
      <c r="G171">
        <f t="shared" si="2"/>
        <v>0</v>
      </c>
    </row>
    <row r="172" spans="3:7">
      <c r="C172">
        <f>_xlfn.XLOOKUP(A172,[2]工作表1!$A:$A,[2]工作表1!$B:$B,"0")</f>
        <v>0</v>
      </c>
      <c r="E172">
        <v>0</v>
      </c>
      <c r="F172">
        <v>0</v>
      </c>
      <c r="G172">
        <f t="shared" si="2"/>
        <v>0</v>
      </c>
    </row>
    <row r="173" spans="3:7">
      <c r="C173">
        <f>_xlfn.XLOOKUP(A173,[2]工作表1!$A:$A,[2]工作表1!$B:$B,"0")</f>
        <v>0</v>
      </c>
      <c r="E173">
        <v>0</v>
      </c>
      <c r="F173">
        <v>0</v>
      </c>
      <c r="G173">
        <f t="shared" si="2"/>
        <v>0</v>
      </c>
    </row>
    <row r="174" spans="3:7">
      <c r="C174">
        <f>_xlfn.XLOOKUP(A174,[2]工作表1!$A:$A,[2]工作表1!$B:$B,"0")</f>
        <v>0</v>
      </c>
      <c r="E174">
        <v>3200</v>
      </c>
      <c r="F174" t="s">
        <v>573</v>
      </c>
      <c r="G174">
        <f t="shared" si="2"/>
        <v>3200</v>
      </c>
    </row>
    <row r="175" spans="3:7">
      <c r="C175">
        <f>_xlfn.XLOOKUP(A175,[2]工作表1!$A:$A,[2]工作表1!$B:$B,"0")</f>
        <v>0</v>
      </c>
      <c r="E175">
        <v>0</v>
      </c>
      <c r="F175" t="s">
        <v>573</v>
      </c>
      <c r="G175">
        <f t="shared" si="2"/>
        <v>0</v>
      </c>
    </row>
    <row r="176" spans="3:7">
      <c r="C176">
        <f>_xlfn.XLOOKUP(A176,[2]工作表1!$A:$A,[2]工作表1!$B:$B,"0")</f>
        <v>0</v>
      </c>
      <c r="E176">
        <v>1440</v>
      </c>
      <c r="F176">
        <v>1440</v>
      </c>
      <c r="G176">
        <f t="shared" si="2"/>
        <v>0</v>
      </c>
    </row>
    <row r="177" spans="3:7">
      <c r="C177">
        <f>_xlfn.XLOOKUP(A177,[2]工作表1!$A:$A,[2]工作表1!$B:$B,"0")</f>
        <v>0</v>
      </c>
      <c r="E177">
        <v>0</v>
      </c>
      <c r="F177">
        <v>0</v>
      </c>
      <c r="G177">
        <f t="shared" si="2"/>
        <v>0</v>
      </c>
    </row>
    <row r="178" spans="3:7">
      <c r="C178">
        <f>_xlfn.XLOOKUP(A178,[2]工作表1!$A:$A,[2]工作表1!$B:$B,"0")</f>
        <v>0</v>
      </c>
      <c r="E178">
        <v>1440</v>
      </c>
      <c r="F178">
        <v>1440</v>
      </c>
      <c r="G178">
        <f t="shared" si="2"/>
        <v>0</v>
      </c>
    </row>
    <row r="179" spans="3:7">
      <c r="C179">
        <f>_xlfn.XLOOKUP(A179,[2]工作表1!$A:$A,[2]工作表1!$B:$B,"0")</f>
        <v>0</v>
      </c>
      <c r="E179">
        <v>1440</v>
      </c>
      <c r="F179">
        <v>1440</v>
      </c>
      <c r="G179">
        <f t="shared" si="2"/>
        <v>0</v>
      </c>
    </row>
    <row r="180" spans="3:7">
      <c r="C180">
        <f>_xlfn.XLOOKUP(A180,[2]工作表1!$A:$A,[2]工作表1!$B:$B,"0")</f>
        <v>0</v>
      </c>
      <c r="E180">
        <v>14400</v>
      </c>
      <c r="F180">
        <v>14400</v>
      </c>
      <c r="G180">
        <f t="shared" si="2"/>
        <v>0</v>
      </c>
    </row>
    <row r="181" spans="3:7">
      <c r="C181">
        <f>_xlfn.XLOOKUP(A181,[2]工作表1!$A:$A,[2]工作表1!$B:$B,"0")</f>
        <v>0</v>
      </c>
      <c r="E181">
        <v>1440</v>
      </c>
      <c r="F181">
        <v>1440</v>
      </c>
      <c r="G181">
        <f t="shared" si="2"/>
        <v>0</v>
      </c>
    </row>
    <row r="182" spans="3:7">
      <c r="C182">
        <f>_xlfn.XLOOKUP(A182,[2]工作表1!$A:$A,[2]工作表1!$B:$B,"0")</f>
        <v>0</v>
      </c>
      <c r="E182">
        <v>0</v>
      </c>
      <c r="F182">
        <v>0</v>
      </c>
      <c r="G182">
        <f t="shared" si="2"/>
        <v>0</v>
      </c>
    </row>
    <row r="183" spans="3:7">
      <c r="C183">
        <f>_xlfn.XLOOKUP(A183,[2]工作表1!$A:$A,[2]工作表1!$B:$B,"0")</f>
        <v>0</v>
      </c>
      <c r="E183">
        <v>0</v>
      </c>
      <c r="F183">
        <v>0</v>
      </c>
      <c r="G183">
        <f t="shared" si="2"/>
        <v>0</v>
      </c>
    </row>
    <row r="184" spans="3:7">
      <c r="C184">
        <f>_xlfn.XLOOKUP(A184,[2]工作表1!$A:$A,[2]工作表1!$B:$B,"0")</f>
        <v>0</v>
      </c>
      <c r="E184">
        <v>0</v>
      </c>
      <c r="F184">
        <v>0</v>
      </c>
      <c r="G184">
        <f t="shared" si="2"/>
        <v>0</v>
      </c>
    </row>
    <row r="185" spans="3:7">
      <c r="C185">
        <f>_xlfn.XLOOKUP(A185,[2]工作表1!$A:$A,[2]工作表1!$B:$B,"0")</f>
        <v>0</v>
      </c>
      <c r="E185">
        <v>0</v>
      </c>
      <c r="F185">
        <v>0</v>
      </c>
      <c r="G185">
        <f t="shared" si="2"/>
        <v>0</v>
      </c>
    </row>
    <row r="186" spans="3:7">
      <c r="C186">
        <f>_xlfn.XLOOKUP(A186,[2]工作表1!$A:$A,[2]工作表1!$B:$B,"0")</f>
        <v>0</v>
      </c>
      <c r="E186">
        <v>0</v>
      </c>
      <c r="F186">
        <v>0</v>
      </c>
      <c r="G186">
        <f t="shared" si="2"/>
        <v>0</v>
      </c>
    </row>
    <row r="187" spans="3:7">
      <c r="C187">
        <f>_xlfn.XLOOKUP(A187,[2]工作表1!$A:$A,[2]工作表1!$B:$B,"0")</f>
        <v>0</v>
      </c>
      <c r="E187">
        <v>0</v>
      </c>
      <c r="F187">
        <v>0</v>
      </c>
      <c r="G187">
        <f t="shared" si="2"/>
        <v>0</v>
      </c>
    </row>
    <row r="188" spans="3:7">
      <c r="C188">
        <f>_xlfn.XLOOKUP(A188,[2]工作表1!$A:$A,[2]工作表1!$B:$B,"0")</f>
        <v>0</v>
      </c>
      <c r="E188">
        <v>0</v>
      </c>
      <c r="F188">
        <v>0</v>
      </c>
      <c r="G188">
        <f t="shared" si="2"/>
        <v>0</v>
      </c>
    </row>
    <row r="189" spans="3:7">
      <c r="C189">
        <f>_xlfn.XLOOKUP(A189,[2]工作表1!$A:$A,[2]工作表1!$B:$B,"0")</f>
        <v>0</v>
      </c>
      <c r="E189">
        <v>0</v>
      </c>
      <c r="F189">
        <v>0</v>
      </c>
      <c r="G189">
        <f t="shared" si="2"/>
        <v>0</v>
      </c>
    </row>
    <row r="190" spans="3:7">
      <c r="C190">
        <f>_xlfn.XLOOKUP(A190,[2]工作表1!$A:$A,[2]工作表1!$B:$B,"0")</f>
        <v>0</v>
      </c>
      <c r="E190">
        <v>0</v>
      </c>
      <c r="F190">
        <v>0</v>
      </c>
      <c r="G190">
        <f t="shared" si="2"/>
        <v>0</v>
      </c>
    </row>
    <row r="191" spans="3:7">
      <c r="C191">
        <f>_xlfn.XLOOKUP(A191,[2]工作表1!$A:$A,[2]工作表1!$B:$B,"0")</f>
        <v>0</v>
      </c>
      <c r="E191">
        <v>0</v>
      </c>
      <c r="F191">
        <v>0</v>
      </c>
      <c r="G191">
        <f t="shared" si="2"/>
        <v>0</v>
      </c>
    </row>
    <row r="192" spans="3:7">
      <c r="C192">
        <f>_xlfn.XLOOKUP(A192,[2]工作表1!$A:$A,[2]工作表1!$B:$B,"0")</f>
        <v>0</v>
      </c>
      <c r="E192">
        <v>0</v>
      </c>
      <c r="F192">
        <v>0</v>
      </c>
      <c r="G192">
        <f t="shared" si="2"/>
        <v>0</v>
      </c>
    </row>
    <row r="193" spans="3:7">
      <c r="C193">
        <f>_xlfn.XLOOKUP(A193,[2]工作表1!$A:$A,[2]工作表1!$B:$B,"0")</f>
        <v>0</v>
      </c>
      <c r="E193">
        <v>0</v>
      </c>
      <c r="F193">
        <v>0</v>
      </c>
      <c r="G193">
        <f t="shared" si="2"/>
        <v>0</v>
      </c>
    </row>
    <row r="194" spans="3:7">
      <c r="C194">
        <f>_xlfn.XLOOKUP(A194,[2]工作表1!$A:$A,[2]工作表1!$B:$B,"0")</f>
        <v>0</v>
      </c>
      <c r="E194">
        <v>0</v>
      </c>
      <c r="F194">
        <v>0</v>
      </c>
      <c r="G194">
        <f t="shared" si="2"/>
        <v>0</v>
      </c>
    </row>
    <row r="195" spans="3:7">
      <c r="C195">
        <f>_xlfn.XLOOKUP(A195,[2]工作表1!$A:$A,[2]工作表1!$B:$B,"0")</f>
        <v>0</v>
      </c>
      <c r="E195">
        <v>0</v>
      </c>
      <c r="F195">
        <v>0</v>
      </c>
      <c r="G195">
        <f t="shared" si="2"/>
        <v>0</v>
      </c>
    </row>
    <row r="196" spans="3:7">
      <c r="C196">
        <f>_xlfn.XLOOKUP(A196,[2]工作表1!$A:$A,[2]工作表1!$B:$B,"0")</f>
        <v>0</v>
      </c>
      <c r="E196">
        <v>0</v>
      </c>
      <c r="F196">
        <v>0</v>
      </c>
      <c r="G196">
        <f t="shared" si="2"/>
        <v>0</v>
      </c>
    </row>
    <row r="197" spans="3:7">
      <c r="C197">
        <f>_xlfn.XLOOKUP(A197,[2]工作表1!$A:$A,[2]工作表1!$B:$B,"0")</f>
        <v>0</v>
      </c>
      <c r="E197">
        <v>0</v>
      </c>
      <c r="F197">
        <v>0</v>
      </c>
      <c r="G197">
        <f t="shared" ref="G197:G249" si="3">E197-F197</f>
        <v>0</v>
      </c>
    </row>
    <row r="198" spans="3:7">
      <c r="C198">
        <f>_xlfn.XLOOKUP(A198,[2]工作表1!$A:$A,[2]工作表1!$B:$B,"0")</f>
        <v>0</v>
      </c>
      <c r="E198">
        <v>0</v>
      </c>
      <c r="F198">
        <v>0</v>
      </c>
      <c r="G198">
        <f t="shared" si="3"/>
        <v>0</v>
      </c>
    </row>
    <row r="199" spans="3:7">
      <c r="C199">
        <f>_xlfn.XLOOKUP(A199,[2]工作表1!$A:$A,[2]工作表1!$B:$B,"0")</f>
        <v>0</v>
      </c>
      <c r="E199">
        <v>0</v>
      </c>
      <c r="F199">
        <v>0</v>
      </c>
      <c r="G199">
        <f t="shared" si="3"/>
        <v>0</v>
      </c>
    </row>
    <row r="200" spans="3:7">
      <c r="C200">
        <f>_xlfn.XLOOKUP(A200,[2]工作表1!$A:$A,[2]工作表1!$B:$B,"0")</f>
        <v>0</v>
      </c>
      <c r="E200">
        <v>0</v>
      </c>
      <c r="F200">
        <v>0</v>
      </c>
      <c r="G200">
        <f t="shared" si="3"/>
        <v>0</v>
      </c>
    </row>
    <row r="201" spans="3:7">
      <c r="C201">
        <f>_xlfn.XLOOKUP(A201,[2]工作表1!$A:$A,[2]工作表1!$B:$B,"0")</f>
        <v>0</v>
      </c>
      <c r="E201">
        <v>0</v>
      </c>
      <c r="F201">
        <v>0</v>
      </c>
      <c r="G201">
        <f t="shared" si="3"/>
        <v>0</v>
      </c>
    </row>
    <row r="202" spans="3:7">
      <c r="C202">
        <f>_xlfn.XLOOKUP(A202,[2]工作表1!$A:$A,[2]工作表1!$B:$B,"0")</f>
        <v>0</v>
      </c>
      <c r="E202">
        <v>0</v>
      </c>
      <c r="F202">
        <v>0</v>
      </c>
      <c r="G202">
        <f t="shared" si="3"/>
        <v>0</v>
      </c>
    </row>
    <row r="203" spans="3:7">
      <c r="C203">
        <f>_xlfn.XLOOKUP(A203,[2]工作表1!$A:$A,[2]工作表1!$B:$B,"0")</f>
        <v>0</v>
      </c>
      <c r="E203">
        <v>0</v>
      </c>
      <c r="F203">
        <v>0</v>
      </c>
      <c r="G203">
        <f t="shared" si="3"/>
        <v>0</v>
      </c>
    </row>
    <row r="204" spans="3:7">
      <c r="C204">
        <f>_xlfn.XLOOKUP(A204,[2]工作表1!$A:$A,[2]工作表1!$B:$B,"0")</f>
        <v>0</v>
      </c>
      <c r="E204">
        <v>0</v>
      </c>
      <c r="F204" t="s">
        <v>573</v>
      </c>
      <c r="G204">
        <f t="shared" si="3"/>
        <v>0</v>
      </c>
    </row>
    <row r="205" spans="3:7">
      <c r="C205">
        <f>_xlfn.XLOOKUP(A205,[2]工作表1!$A:$A,[2]工作表1!$B:$B,"0")</f>
        <v>0</v>
      </c>
      <c r="E205">
        <v>0</v>
      </c>
      <c r="F205" t="s">
        <v>573</v>
      </c>
      <c r="G205">
        <f t="shared" si="3"/>
        <v>0</v>
      </c>
    </row>
    <row r="206" spans="3:7">
      <c r="C206">
        <f>_xlfn.XLOOKUP(A206,[2]工作表1!$A:$A,[2]工作表1!$B:$B,"0")</f>
        <v>0</v>
      </c>
      <c r="E206">
        <v>0</v>
      </c>
      <c r="F206">
        <v>0</v>
      </c>
      <c r="G206">
        <f t="shared" si="3"/>
        <v>0</v>
      </c>
    </row>
    <row r="207" spans="3:7">
      <c r="C207">
        <f>_xlfn.XLOOKUP(A207,[2]工作表1!$A:$A,[2]工作表1!$B:$B,"0")</f>
        <v>0</v>
      </c>
      <c r="E207">
        <v>0</v>
      </c>
      <c r="F207">
        <v>0</v>
      </c>
      <c r="G207">
        <f t="shared" si="3"/>
        <v>0</v>
      </c>
    </row>
    <row r="208" spans="3:7">
      <c r="C208">
        <f>_xlfn.XLOOKUP(A208,[2]工作表1!$A:$A,[2]工作表1!$B:$B,"0")</f>
        <v>0</v>
      </c>
      <c r="E208">
        <v>0</v>
      </c>
      <c r="F208">
        <v>0</v>
      </c>
      <c r="G208">
        <f t="shared" si="3"/>
        <v>0</v>
      </c>
    </row>
    <row r="209" spans="3:7">
      <c r="C209">
        <f>_xlfn.XLOOKUP(A209,[2]工作表1!$A:$A,[2]工作表1!$B:$B,"0")</f>
        <v>0</v>
      </c>
      <c r="E209">
        <v>2520</v>
      </c>
      <c r="F209">
        <v>2520</v>
      </c>
      <c r="G209">
        <f t="shared" si="3"/>
        <v>0</v>
      </c>
    </row>
    <row r="210" spans="3:7">
      <c r="C210">
        <f>_xlfn.XLOOKUP(A210,[2]工作表1!$A:$A,[2]工作表1!$B:$B,"0")</f>
        <v>0</v>
      </c>
      <c r="E210">
        <v>4320</v>
      </c>
      <c r="F210">
        <v>4320</v>
      </c>
      <c r="G210">
        <f t="shared" si="3"/>
        <v>0</v>
      </c>
    </row>
    <row r="211" spans="3:7">
      <c r="C211">
        <f>_xlfn.XLOOKUP(A211,[2]工作表1!$A:$A,[2]工作表1!$B:$B,"0")</f>
        <v>0</v>
      </c>
      <c r="E211">
        <v>7200</v>
      </c>
      <c r="F211">
        <v>7200</v>
      </c>
      <c r="G211">
        <f t="shared" si="3"/>
        <v>0</v>
      </c>
    </row>
    <row r="212" spans="3:7">
      <c r="C212">
        <f>_xlfn.XLOOKUP(A212,[2]工作表1!$A:$A,[2]工作表1!$B:$B,"0")</f>
        <v>0</v>
      </c>
      <c r="E212">
        <v>0</v>
      </c>
      <c r="F212">
        <v>0</v>
      </c>
      <c r="G212">
        <f t="shared" si="3"/>
        <v>0</v>
      </c>
    </row>
    <row r="213" spans="3:7">
      <c r="C213">
        <f>_xlfn.XLOOKUP(A213,[2]工作表1!$A:$A,[2]工作表1!$B:$B,"0")</f>
        <v>0</v>
      </c>
      <c r="E213">
        <v>0</v>
      </c>
      <c r="F213">
        <v>0</v>
      </c>
      <c r="G213">
        <f t="shared" si="3"/>
        <v>0</v>
      </c>
    </row>
    <row r="214" spans="3:7">
      <c r="C214">
        <f>_xlfn.XLOOKUP(A214,[2]工作表1!$A:$A,[2]工作表1!$B:$B,"0")</f>
        <v>0</v>
      </c>
      <c r="E214">
        <v>0</v>
      </c>
      <c r="F214">
        <v>0</v>
      </c>
      <c r="G214">
        <f t="shared" si="3"/>
        <v>0</v>
      </c>
    </row>
    <row r="215" spans="3:7">
      <c r="C215">
        <f>_xlfn.XLOOKUP(A215,[2]工作表1!$A:$A,[2]工作表1!$B:$B,"0")</f>
        <v>0</v>
      </c>
      <c r="E215">
        <v>0</v>
      </c>
      <c r="F215">
        <v>0</v>
      </c>
      <c r="G215">
        <f t="shared" si="3"/>
        <v>0</v>
      </c>
    </row>
    <row r="216" spans="3:7">
      <c r="C216">
        <f>_xlfn.XLOOKUP(A216,[2]工作表1!$A:$A,[2]工作表1!$B:$B,"0")</f>
        <v>0</v>
      </c>
      <c r="E216">
        <v>20400</v>
      </c>
      <c r="F216">
        <v>20400</v>
      </c>
      <c r="G216">
        <f t="shared" si="3"/>
        <v>0</v>
      </c>
    </row>
    <row r="217" spans="3:7">
      <c r="C217">
        <f>_xlfn.XLOOKUP(A217,[2]工作表1!$A:$A,[2]工作表1!$B:$B,"0")</f>
        <v>0</v>
      </c>
      <c r="E217">
        <v>0</v>
      </c>
      <c r="F217">
        <v>0</v>
      </c>
      <c r="G217">
        <f t="shared" si="3"/>
        <v>0</v>
      </c>
    </row>
    <row r="218" spans="3:7">
      <c r="C218">
        <f>_xlfn.XLOOKUP(A218,[2]工作表1!$A:$A,[2]工作表1!$B:$B,"0")</f>
        <v>0</v>
      </c>
      <c r="E218">
        <v>3000</v>
      </c>
      <c r="F218">
        <v>3000</v>
      </c>
      <c r="G218">
        <f t="shared" si="3"/>
        <v>0</v>
      </c>
    </row>
    <row r="219" spans="3:7">
      <c r="C219">
        <f>_xlfn.XLOOKUP(A219,[2]工作表1!$A:$A,[2]工作表1!$B:$B,"0")</f>
        <v>0</v>
      </c>
      <c r="E219">
        <v>0</v>
      </c>
      <c r="F219">
        <v>0</v>
      </c>
      <c r="G219">
        <f t="shared" si="3"/>
        <v>0</v>
      </c>
    </row>
    <row r="220" spans="3:7">
      <c r="C220">
        <f>_xlfn.XLOOKUP(A220,[2]工作表1!$A:$A,[2]工作表1!$B:$B,"0")</f>
        <v>0</v>
      </c>
      <c r="E220">
        <v>0</v>
      </c>
      <c r="F220">
        <v>0</v>
      </c>
      <c r="G220">
        <f t="shared" si="3"/>
        <v>0</v>
      </c>
    </row>
    <row r="221" spans="3:7">
      <c r="C221">
        <f>_xlfn.XLOOKUP(A221,[2]工作表1!$A:$A,[2]工作表1!$B:$B,"0")</f>
        <v>0</v>
      </c>
      <c r="E221">
        <v>0</v>
      </c>
      <c r="F221">
        <v>0</v>
      </c>
      <c r="G221">
        <f t="shared" si="3"/>
        <v>0</v>
      </c>
    </row>
    <row r="222" spans="3:7">
      <c r="C222">
        <f>_xlfn.XLOOKUP(A222,[2]工作表1!$A:$A,[2]工作表1!$B:$B,"0")</f>
        <v>0</v>
      </c>
      <c r="E222">
        <v>0</v>
      </c>
      <c r="F222">
        <v>0</v>
      </c>
      <c r="G222">
        <f t="shared" si="3"/>
        <v>0</v>
      </c>
    </row>
    <row r="223" spans="3:7">
      <c r="C223">
        <f>_xlfn.XLOOKUP(A223,[2]工作表1!$A:$A,[2]工作表1!$B:$B,"0")</f>
        <v>0</v>
      </c>
      <c r="E223">
        <v>0</v>
      </c>
      <c r="F223">
        <v>0</v>
      </c>
      <c r="G223">
        <f t="shared" si="3"/>
        <v>0</v>
      </c>
    </row>
    <row r="224" spans="3:7">
      <c r="C224">
        <f>_xlfn.XLOOKUP(A224,[2]工作表1!$A:$A,[2]工作表1!$B:$B,"0")</f>
        <v>0</v>
      </c>
      <c r="E224">
        <v>0</v>
      </c>
      <c r="F224">
        <v>0</v>
      </c>
      <c r="G224">
        <f t="shared" si="3"/>
        <v>0</v>
      </c>
    </row>
    <row r="225" spans="3:7">
      <c r="C225">
        <f>_xlfn.XLOOKUP(A225,[2]工作表1!$A:$A,[2]工作表1!$B:$B,"0")</f>
        <v>0</v>
      </c>
      <c r="E225">
        <v>2880</v>
      </c>
      <c r="F225">
        <v>2880</v>
      </c>
      <c r="G225">
        <f t="shared" si="3"/>
        <v>0</v>
      </c>
    </row>
    <row r="226" spans="3:7">
      <c r="C226">
        <f>_xlfn.XLOOKUP(A226,[2]工作表1!$A:$A,[2]工作表1!$B:$B,"0")</f>
        <v>0</v>
      </c>
      <c r="E226">
        <v>1440</v>
      </c>
      <c r="F226">
        <v>1440</v>
      </c>
      <c r="G226">
        <f t="shared" si="3"/>
        <v>0</v>
      </c>
    </row>
    <row r="227" spans="3:7">
      <c r="C227">
        <f>_xlfn.XLOOKUP(A227,[2]工作表1!$A:$A,[2]工作表1!$B:$B,"0")</f>
        <v>0</v>
      </c>
      <c r="E227">
        <v>0</v>
      </c>
      <c r="F227">
        <v>0</v>
      </c>
      <c r="G227">
        <f t="shared" si="3"/>
        <v>0</v>
      </c>
    </row>
    <row r="228" spans="3:7">
      <c r="C228">
        <f>_xlfn.XLOOKUP(A228,[2]工作表1!$A:$A,[2]工作表1!$B:$B,"0")</f>
        <v>0</v>
      </c>
      <c r="E228">
        <v>0</v>
      </c>
      <c r="F228">
        <v>0</v>
      </c>
      <c r="G228">
        <f t="shared" si="3"/>
        <v>0</v>
      </c>
    </row>
    <row r="229" spans="3:7">
      <c r="C229">
        <f>_xlfn.XLOOKUP(A229,[2]工作表1!$A:$A,[2]工作表1!$B:$B,"0")</f>
        <v>0</v>
      </c>
      <c r="E229">
        <v>0</v>
      </c>
      <c r="F229">
        <v>0</v>
      </c>
      <c r="G229">
        <f t="shared" si="3"/>
        <v>0</v>
      </c>
    </row>
    <row r="230" spans="3:7">
      <c r="C230">
        <f>_xlfn.XLOOKUP(A230,[2]工作表1!$A:$A,[2]工作表1!$B:$B,"0")</f>
        <v>0</v>
      </c>
      <c r="E230">
        <v>1020</v>
      </c>
      <c r="F230">
        <v>1020</v>
      </c>
      <c r="G230">
        <f t="shared" si="3"/>
        <v>0</v>
      </c>
    </row>
    <row r="231" spans="3:7">
      <c r="C231">
        <f>_xlfn.XLOOKUP(A231,[2]工作表1!$A:$A,[2]工作表1!$B:$B,"0")</f>
        <v>0</v>
      </c>
      <c r="E231">
        <v>0</v>
      </c>
      <c r="F231">
        <v>0</v>
      </c>
      <c r="G231">
        <f t="shared" si="3"/>
        <v>0</v>
      </c>
    </row>
    <row r="232" spans="3:7">
      <c r="C232">
        <f>_xlfn.XLOOKUP(A232,[2]工作表1!$A:$A,[2]工作表1!$B:$B,"0")</f>
        <v>0</v>
      </c>
      <c r="E232">
        <v>0</v>
      </c>
      <c r="F232">
        <v>0</v>
      </c>
      <c r="G232">
        <f t="shared" si="3"/>
        <v>0</v>
      </c>
    </row>
    <row r="233" spans="3:7">
      <c r="C233">
        <f>_xlfn.XLOOKUP(A233,[2]工作表1!$A:$A,[2]工作表1!$B:$B,"0")</f>
        <v>0</v>
      </c>
      <c r="E233">
        <v>0</v>
      </c>
      <c r="F233" t="s">
        <v>573</v>
      </c>
      <c r="G233">
        <f t="shared" si="3"/>
        <v>0</v>
      </c>
    </row>
    <row r="234" spans="3:7">
      <c r="C234">
        <f>_xlfn.XLOOKUP(A234,[2]工作表1!$A:$A,[2]工作表1!$B:$B,"0")</f>
        <v>0</v>
      </c>
      <c r="E234">
        <v>0</v>
      </c>
      <c r="F234">
        <v>0</v>
      </c>
      <c r="G234">
        <f t="shared" si="3"/>
        <v>0</v>
      </c>
    </row>
    <row r="235" spans="3:7">
      <c r="C235">
        <f>_xlfn.XLOOKUP(A235,[2]工作表1!$A:$A,[2]工作表1!$B:$B,"0")</f>
        <v>0</v>
      </c>
      <c r="E235">
        <v>3000</v>
      </c>
      <c r="F235">
        <v>3000</v>
      </c>
      <c r="G235">
        <f t="shared" si="3"/>
        <v>0</v>
      </c>
    </row>
    <row r="236" spans="3:7">
      <c r="C236">
        <f>_xlfn.XLOOKUP(A236,[2]工作表1!$A:$A,[2]工作表1!$B:$B,"0")</f>
        <v>0</v>
      </c>
      <c r="E236">
        <v>9000</v>
      </c>
      <c r="F236">
        <v>9000</v>
      </c>
      <c r="G236">
        <f t="shared" si="3"/>
        <v>0</v>
      </c>
    </row>
    <row r="237" spans="3:7">
      <c r="C237">
        <f>_xlfn.XLOOKUP(A237,[2]工作表1!$A:$A,[2]工作表1!$B:$B,"0")</f>
        <v>0</v>
      </c>
      <c r="E237">
        <v>0</v>
      </c>
      <c r="F237">
        <v>0</v>
      </c>
      <c r="G237">
        <f t="shared" si="3"/>
        <v>0</v>
      </c>
    </row>
    <row r="238" spans="3:7">
      <c r="C238">
        <f>_xlfn.XLOOKUP(A238,[2]工作表1!$A:$A,[2]工作表1!$B:$B,"0")</f>
        <v>0</v>
      </c>
      <c r="E238">
        <v>1560</v>
      </c>
      <c r="F238">
        <v>1560</v>
      </c>
      <c r="G238">
        <f t="shared" si="3"/>
        <v>0</v>
      </c>
    </row>
    <row r="239" spans="3:7">
      <c r="C239">
        <f>_xlfn.XLOOKUP(A239,[2]工作表1!$A:$A,[2]工作表1!$B:$B,"0")</f>
        <v>0</v>
      </c>
      <c r="E239">
        <v>4320</v>
      </c>
      <c r="F239">
        <v>4320</v>
      </c>
      <c r="G239">
        <f t="shared" si="3"/>
        <v>0</v>
      </c>
    </row>
    <row r="240" spans="3:7">
      <c r="C240">
        <f>_xlfn.XLOOKUP(A240,[2]工作表1!$A:$A,[2]工作表1!$B:$B,"0")</f>
        <v>0</v>
      </c>
      <c r="E240">
        <v>0</v>
      </c>
      <c r="F240">
        <v>0</v>
      </c>
      <c r="G240">
        <f t="shared" si="3"/>
        <v>0</v>
      </c>
    </row>
    <row r="241" spans="3:7">
      <c r="C241">
        <f>_xlfn.XLOOKUP(A241,[2]工作表1!$A:$A,[2]工作表1!$B:$B,"0")</f>
        <v>0</v>
      </c>
      <c r="E241">
        <v>0</v>
      </c>
      <c r="F241">
        <v>0</v>
      </c>
      <c r="G241">
        <f t="shared" si="3"/>
        <v>0</v>
      </c>
    </row>
    <row r="242" spans="3:7">
      <c r="C242">
        <f>_xlfn.XLOOKUP(A242,[2]工作表1!$A:$A,[2]工作表1!$B:$B,"0")</f>
        <v>0</v>
      </c>
      <c r="E242">
        <v>0</v>
      </c>
      <c r="F242">
        <v>0</v>
      </c>
      <c r="G242">
        <f t="shared" si="3"/>
        <v>0</v>
      </c>
    </row>
    <row r="243" spans="3:7">
      <c r="C243">
        <f>_xlfn.XLOOKUP(A243,[2]工作表1!$A:$A,[2]工作表1!$B:$B,"0")</f>
        <v>0</v>
      </c>
      <c r="E243">
        <v>4320</v>
      </c>
      <c r="F243">
        <v>4320</v>
      </c>
      <c r="G243">
        <f t="shared" si="3"/>
        <v>0</v>
      </c>
    </row>
    <row r="244" spans="3:7">
      <c r="C244">
        <f>_xlfn.XLOOKUP(A244,[2]工作表1!$A:$A,[2]工作表1!$B:$B,"0")</f>
        <v>0</v>
      </c>
      <c r="E244">
        <v>4320</v>
      </c>
      <c r="F244">
        <v>4320</v>
      </c>
      <c r="G244">
        <f t="shared" si="3"/>
        <v>0</v>
      </c>
    </row>
    <row r="245" spans="3:7">
      <c r="C245">
        <f>_xlfn.XLOOKUP(A245,[2]工作表1!$A:$A,[2]工作表1!$B:$B,"0")</f>
        <v>0</v>
      </c>
      <c r="E245">
        <v>2880</v>
      </c>
      <c r="F245">
        <v>2880</v>
      </c>
      <c r="G245">
        <f t="shared" si="3"/>
        <v>0</v>
      </c>
    </row>
    <row r="246" spans="3:7">
      <c r="C246">
        <f>_xlfn.XLOOKUP(A246,[2]工作表1!$A:$A,[2]工作表1!$B:$B,"0")</f>
        <v>0</v>
      </c>
      <c r="E246">
        <v>4320</v>
      </c>
      <c r="F246">
        <v>4320</v>
      </c>
      <c r="G246">
        <f t="shared" si="3"/>
        <v>0</v>
      </c>
    </row>
    <row r="247" spans="3:7">
      <c r="C247">
        <f>_xlfn.XLOOKUP(A247,[2]工作表1!$A:$A,[2]工作表1!$B:$B,"0")</f>
        <v>0</v>
      </c>
      <c r="E247">
        <v>1560</v>
      </c>
      <c r="F247">
        <v>1560</v>
      </c>
      <c r="G247">
        <f t="shared" si="3"/>
        <v>0</v>
      </c>
    </row>
    <row r="248" spans="3:7">
      <c r="C248">
        <f>_xlfn.XLOOKUP(A248,[2]工作表1!$A:$A,[2]工作表1!$B:$B,"0")</f>
        <v>0</v>
      </c>
      <c r="E248">
        <v>4320</v>
      </c>
      <c r="F248">
        <v>4320</v>
      </c>
      <c r="G248">
        <f t="shared" si="3"/>
        <v>0</v>
      </c>
    </row>
    <row r="249" spans="3:7">
      <c r="C249">
        <f>_xlfn.XLOOKUP(A249,[2]工作表1!$A:$A,[2]工作表1!$B:$B,"0")</f>
        <v>0</v>
      </c>
      <c r="E249">
        <v>1560</v>
      </c>
      <c r="F249">
        <v>1560</v>
      </c>
      <c r="G249">
        <f t="shared" si="3"/>
        <v>0</v>
      </c>
    </row>
    <row r="251" spans="3:7">
      <c r="E251">
        <f>SUM(E4:E250)</f>
        <v>532150</v>
      </c>
      <c r="F251">
        <f>SUM(F4:F250)</f>
        <v>497420</v>
      </c>
      <c r="G251">
        <f>SUM(G4:G250)</f>
        <v>34730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F83A-DA48-4C55-AC0B-9F21E116C30E}">
  <dimension ref="A3:C38"/>
  <sheetViews>
    <sheetView topLeftCell="A13" workbookViewId="0">
      <selection activeCell="H28" sqref="H28"/>
    </sheetView>
  </sheetViews>
  <sheetFormatPr defaultRowHeight="16.2"/>
  <cols>
    <col min="1" max="1" width="24.6640625" bestFit="1" customWidth="1"/>
    <col min="2" max="2" width="28.44140625" bestFit="1" customWidth="1"/>
    <col min="3" max="3" width="10.33203125" bestFit="1" customWidth="1"/>
  </cols>
  <sheetData>
    <row r="3" spans="1:3">
      <c r="A3" s="152" t="s">
        <v>499</v>
      </c>
      <c r="B3" t="s">
        <v>711</v>
      </c>
    </row>
    <row r="4" spans="1:3">
      <c r="A4" s="153" t="s">
        <v>712</v>
      </c>
      <c r="B4">
        <v>0</v>
      </c>
      <c r="C4" t="e">
        <f>_xlfn.XLOOKUP(A4,#REF!,#REF!)</f>
        <v>#REF!</v>
      </c>
    </row>
    <row r="5" spans="1:3">
      <c r="A5" s="153" t="s">
        <v>5</v>
      </c>
      <c r="B5">
        <v>30621.599999999999</v>
      </c>
      <c r="C5" t="e">
        <f>_xlfn.XLOOKUP(A5,#REF!,#REF!)</f>
        <v>#REF!</v>
      </c>
    </row>
    <row r="6" spans="1:3">
      <c r="A6" s="153" t="s">
        <v>713</v>
      </c>
      <c r="B6">
        <v>70.56</v>
      </c>
      <c r="C6" t="e">
        <f>_xlfn.XLOOKUP(A6,#REF!,#REF!)</f>
        <v>#REF!</v>
      </c>
    </row>
    <row r="7" spans="1:3">
      <c r="A7" s="153" t="s">
        <v>714</v>
      </c>
      <c r="B7">
        <v>0</v>
      </c>
      <c r="C7" t="e">
        <f>_xlfn.XLOOKUP(A7,#REF!,#REF!)</f>
        <v>#REF!</v>
      </c>
    </row>
    <row r="8" spans="1:3">
      <c r="A8" s="153" t="s">
        <v>715</v>
      </c>
      <c r="B8">
        <v>1296</v>
      </c>
      <c r="C8" t="e">
        <f>_xlfn.XLOOKUP(A8,#REF!,#REF!)</f>
        <v>#REF!</v>
      </c>
    </row>
    <row r="9" spans="1:3">
      <c r="A9" s="153" t="s">
        <v>716</v>
      </c>
      <c r="B9">
        <v>0</v>
      </c>
      <c r="C9" t="e">
        <f>_xlfn.XLOOKUP(A9,#REF!,#REF!)</f>
        <v>#REF!</v>
      </c>
    </row>
    <row r="10" spans="1:3">
      <c r="A10" s="153" t="s">
        <v>717</v>
      </c>
      <c r="B10">
        <v>0</v>
      </c>
      <c r="C10" t="e">
        <f>_xlfn.XLOOKUP(A10,#REF!,#REF!)</f>
        <v>#REF!</v>
      </c>
    </row>
    <row r="11" spans="1:3">
      <c r="A11" s="153" t="s">
        <v>718</v>
      </c>
      <c r="B11">
        <v>4335.6000000000004</v>
      </c>
      <c r="C11" t="e">
        <f>_xlfn.XLOOKUP(A11,#REF!,#REF!)</f>
        <v>#REF!</v>
      </c>
    </row>
    <row r="12" spans="1:3">
      <c r="A12" s="153" t="s">
        <v>719</v>
      </c>
      <c r="B12">
        <v>2466</v>
      </c>
      <c r="C12" t="e">
        <f>_xlfn.XLOOKUP(A12,#REF!,#REF!)</f>
        <v>#REF!</v>
      </c>
    </row>
    <row r="13" spans="1:3">
      <c r="A13" s="153" t="s">
        <v>720</v>
      </c>
      <c r="B13">
        <v>0</v>
      </c>
      <c r="C13" t="e">
        <f>_xlfn.XLOOKUP(A13,#REF!,#REF!)</f>
        <v>#REF!</v>
      </c>
    </row>
    <row r="14" spans="1:3">
      <c r="A14" s="153" t="s">
        <v>721</v>
      </c>
      <c r="B14">
        <v>1267.2</v>
      </c>
      <c r="C14" t="e">
        <f>_xlfn.XLOOKUP(A14,#REF!,#REF!)</f>
        <v>#REF!</v>
      </c>
    </row>
    <row r="15" spans="1:3">
      <c r="A15" s="153" t="s">
        <v>722</v>
      </c>
      <c r="B15">
        <v>324</v>
      </c>
      <c r="C15" t="e">
        <f>_xlfn.XLOOKUP(A15,#REF!,#REF!)</f>
        <v>#REF!</v>
      </c>
    </row>
    <row r="16" spans="1:3">
      <c r="A16" s="153" t="s">
        <v>723</v>
      </c>
      <c r="B16">
        <v>0</v>
      </c>
      <c r="C16" t="e">
        <f>_xlfn.XLOOKUP(A16,#REF!,#REF!)</f>
        <v>#REF!</v>
      </c>
    </row>
    <row r="17" spans="1:3">
      <c r="A17" s="153" t="s">
        <v>724</v>
      </c>
      <c r="B17">
        <v>0</v>
      </c>
      <c r="C17" t="e">
        <f>_xlfn.XLOOKUP(A17,#REF!,#REF!)</f>
        <v>#REF!</v>
      </c>
    </row>
    <row r="18" spans="1:3">
      <c r="A18" s="153" t="s">
        <v>725</v>
      </c>
      <c r="B18">
        <v>2828.8</v>
      </c>
      <c r="C18" t="e">
        <f>_xlfn.XLOOKUP(A18,#REF!,#REF!)</f>
        <v>#REF!</v>
      </c>
    </row>
    <row r="19" spans="1:3">
      <c r="A19" s="153" t="s">
        <v>726</v>
      </c>
      <c r="B19">
        <v>2256</v>
      </c>
      <c r="C19" t="e">
        <f>_xlfn.XLOOKUP(A19,#REF!,#REF!)</f>
        <v>#REF!</v>
      </c>
    </row>
    <row r="20" spans="1:3">
      <c r="A20" s="153" t="s">
        <v>727</v>
      </c>
      <c r="B20">
        <v>0</v>
      </c>
      <c r="C20" t="e">
        <f>_xlfn.XLOOKUP(A20,#REF!,#REF!)</f>
        <v>#REF!</v>
      </c>
    </row>
    <row r="21" spans="1:3">
      <c r="A21" s="153" t="s">
        <v>728</v>
      </c>
      <c r="B21">
        <v>0</v>
      </c>
      <c r="C21" t="e">
        <f>_xlfn.XLOOKUP(A21,#REF!,#REF!)</f>
        <v>#REF!</v>
      </c>
    </row>
    <row r="22" spans="1:3">
      <c r="A22" s="153" t="s">
        <v>729</v>
      </c>
      <c r="B22">
        <v>0</v>
      </c>
      <c r="C22" t="e">
        <f>_xlfn.XLOOKUP(A22,#REF!,#REF!)</f>
        <v>#REF!</v>
      </c>
    </row>
    <row r="23" spans="1:3">
      <c r="A23" s="153" t="s">
        <v>730</v>
      </c>
      <c r="B23">
        <v>0</v>
      </c>
      <c r="C23" t="e">
        <f>_xlfn.XLOOKUP(A23,#REF!,#REF!)</f>
        <v>#REF!</v>
      </c>
    </row>
    <row r="24" spans="1:3">
      <c r="A24" s="153" t="s">
        <v>731</v>
      </c>
      <c r="B24">
        <v>996</v>
      </c>
      <c r="C24" t="e">
        <f>_xlfn.XLOOKUP(A24,#REF!,#REF!)</f>
        <v>#REF!</v>
      </c>
    </row>
    <row r="25" spans="1:3">
      <c r="A25" s="153" t="s">
        <v>732</v>
      </c>
      <c r="B25">
        <v>0</v>
      </c>
      <c r="C25" t="e">
        <f>_xlfn.XLOOKUP(A25,#REF!,#REF!)</f>
        <v>#REF!</v>
      </c>
    </row>
    <row r="26" spans="1:3">
      <c r="A26" s="153" t="s">
        <v>733</v>
      </c>
      <c r="B26">
        <v>3283.2</v>
      </c>
      <c r="C26" t="e">
        <f>_xlfn.XLOOKUP(A26,#REF!,#REF!)</f>
        <v>#REF!</v>
      </c>
    </row>
    <row r="27" spans="1:3">
      <c r="A27" s="153" t="s">
        <v>734</v>
      </c>
      <c r="B27">
        <v>0</v>
      </c>
      <c r="C27" t="e">
        <f>_xlfn.XLOOKUP(A27,#REF!,#REF!)</f>
        <v>#REF!</v>
      </c>
    </row>
    <row r="28" spans="1:3">
      <c r="A28" s="153" t="s">
        <v>735</v>
      </c>
      <c r="B28">
        <v>0</v>
      </c>
      <c r="C28" t="e">
        <f>_xlfn.XLOOKUP(A28,#REF!,#REF!)</f>
        <v>#REF!</v>
      </c>
    </row>
    <row r="29" spans="1:3">
      <c r="A29" s="153" t="s">
        <v>736</v>
      </c>
      <c r="B29">
        <v>3998.3999999999996</v>
      </c>
      <c r="C29" t="e">
        <f>_xlfn.XLOOKUP(A29,#REF!,#REF!)</f>
        <v>#REF!</v>
      </c>
    </row>
    <row r="30" spans="1:3">
      <c r="A30" s="153" t="s">
        <v>737</v>
      </c>
      <c r="B30">
        <v>4740</v>
      </c>
      <c r="C30" t="e">
        <f>_xlfn.XLOOKUP(A30,#REF!,#REF!)</f>
        <v>#REF!</v>
      </c>
    </row>
    <row r="31" spans="1:3">
      <c r="A31" s="153" t="s">
        <v>738</v>
      </c>
      <c r="B31">
        <v>0</v>
      </c>
      <c r="C31" t="e">
        <f>_xlfn.XLOOKUP(A31,#REF!,#REF!)</f>
        <v>#REF!</v>
      </c>
    </row>
    <row r="32" spans="1:3">
      <c r="A32" s="153" t="s">
        <v>739</v>
      </c>
      <c r="B32">
        <v>3528</v>
      </c>
      <c r="C32" t="e">
        <f>_xlfn.XLOOKUP(A32,#REF!,#REF!)</f>
        <v>#REF!</v>
      </c>
    </row>
    <row r="33" spans="1:3">
      <c r="A33" s="153" t="s">
        <v>740</v>
      </c>
      <c r="B33">
        <v>0</v>
      </c>
      <c r="C33" t="e">
        <f>_xlfn.XLOOKUP(A33,#REF!,#REF!)</f>
        <v>#REF!</v>
      </c>
    </row>
    <row r="34" spans="1:3">
      <c r="A34" s="153" t="s">
        <v>741</v>
      </c>
      <c r="B34">
        <v>3670.8</v>
      </c>
      <c r="C34" t="e">
        <f>_xlfn.XLOOKUP(A34,#REF!,#REF!)</f>
        <v>#REF!</v>
      </c>
    </row>
    <row r="35" spans="1:3">
      <c r="A35" s="153" t="s">
        <v>742</v>
      </c>
      <c r="B35">
        <v>4686</v>
      </c>
      <c r="C35" t="e">
        <f>_xlfn.XLOOKUP(A35,#REF!,#REF!)</f>
        <v>#REF!</v>
      </c>
    </row>
    <row r="36" spans="1:3">
      <c r="A36" s="153" t="s">
        <v>743</v>
      </c>
      <c r="B36">
        <v>0</v>
      </c>
      <c r="C36" t="e">
        <f>_xlfn.XLOOKUP(A36,#REF!,#REF!)</f>
        <v>#REF!</v>
      </c>
    </row>
    <row r="37" spans="1:3">
      <c r="A37" s="153" t="s">
        <v>744</v>
      </c>
      <c r="B37">
        <v>0</v>
      </c>
      <c r="C37" t="e">
        <f>_xlfn.XLOOKUP(A37,#REF!,#REF!)</f>
        <v>#REF!</v>
      </c>
    </row>
    <row r="38" spans="1:3">
      <c r="A38" s="153" t="s">
        <v>36</v>
      </c>
      <c r="B38">
        <v>70368.160000000003</v>
      </c>
      <c r="C38" t="e">
        <f>_xlfn.XLOOKUP(A38,#REF!,#REF!)</f>
        <v>#REF!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7C45-7D6B-42E2-8813-25E760BF7F18}">
  <dimension ref="A1:B25"/>
  <sheetViews>
    <sheetView workbookViewId="0">
      <selection activeCell="J16" sqref="J16"/>
    </sheetView>
  </sheetViews>
  <sheetFormatPr defaultRowHeight="16.2"/>
  <cols>
    <col min="1" max="1" width="17.33203125" bestFit="1" customWidth="1"/>
    <col min="2" max="2" width="28.44140625" bestFit="1" customWidth="1"/>
  </cols>
  <sheetData>
    <row r="1" spans="1:2">
      <c r="A1" s="152" t="s">
        <v>0</v>
      </c>
      <c r="B1" t="s">
        <v>5</v>
      </c>
    </row>
    <row r="3" spans="1:2">
      <c r="A3" s="152" t="s">
        <v>499</v>
      </c>
      <c r="B3" t="s">
        <v>711</v>
      </c>
    </row>
    <row r="4" spans="1:2">
      <c r="A4" s="153" t="s">
        <v>18</v>
      </c>
      <c r="B4">
        <v>0</v>
      </c>
    </row>
    <row r="5" spans="1:2">
      <c r="A5" s="153" t="s">
        <v>19</v>
      </c>
      <c r="B5">
        <v>6220.8</v>
      </c>
    </row>
    <row r="6" spans="1:2">
      <c r="A6" s="153" t="s">
        <v>20</v>
      </c>
      <c r="B6">
        <v>460.79999999999995</v>
      </c>
    </row>
    <row r="7" spans="1:2">
      <c r="A7" s="153" t="s">
        <v>7</v>
      </c>
      <c r="B7">
        <v>8460</v>
      </c>
    </row>
    <row r="8" spans="1:2">
      <c r="A8" s="153" t="s">
        <v>21</v>
      </c>
      <c r="B8">
        <v>0</v>
      </c>
    </row>
    <row r="9" spans="1:2">
      <c r="A9" s="153" t="s">
        <v>22</v>
      </c>
      <c r="B9">
        <v>2304</v>
      </c>
    </row>
    <row r="10" spans="1:2">
      <c r="A10" s="153" t="s">
        <v>23</v>
      </c>
      <c r="B10">
        <v>0</v>
      </c>
    </row>
    <row r="11" spans="1:2">
      <c r="A11" s="153" t="s">
        <v>12</v>
      </c>
      <c r="B11">
        <v>0</v>
      </c>
    </row>
    <row r="12" spans="1:2">
      <c r="A12" s="153" t="s">
        <v>13</v>
      </c>
      <c r="B12">
        <v>0</v>
      </c>
    </row>
    <row r="13" spans="1:2">
      <c r="A13" s="153" t="s">
        <v>24</v>
      </c>
      <c r="B13">
        <v>0</v>
      </c>
    </row>
    <row r="14" spans="1:2">
      <c r="A14" s="153" t="s">
        <v>8</v>
      </c>
      <c r="B14">
        <v>0</v>
      </c>
    </row>
    <row r="15" spans="1:2">
      <c r="A15" s="153" t="s">
        <v>25</v>
      </c>
      <c r="B15">
        <v>0</v>
      </c>
    </row>
    <row r="16" spans="1:2">
      <c r="A16" s="153" t="s">
        <v>26</v>
      </c>
      <c r="B16">
        <v>0</v>
      </c>
    </row>
    <row r="17" spans="1:2">
      <c r="A17" s="153" t="s">
        <v>27</v>
      </c>
      <c r="B17">
        <v>0</v>
      </c>
    </row>
    <row r="18" spans="1:2">
      <c r="A18" s="153" t="s">
        <v>14</v>
      </c>
      <c r="B18">
        <v>2419.1999999999998</v>
      </c>
    </row>
    <row r="19" spans="1:2">
      <c r="A19" s="153" t="s">
        <v>15</v>
      </c>
      <c r="B19">
        <v>0</v>
      </c>
    </row>
    <row r="20" spans="1:2">
      <c r="A20" s="153" t="s">
        <v>28</v>
      </c>
      <c r="B20">
        <v>1612.8</v>
      </c>
    </row>
    <row r="21" spans="1:2">
      <c r="A21" s="153" t="s">
        <v>9</v>
      </c>
      <c r="B21">
        <v>7020</v>
      </c>
    </row>
    <row r="22" spans="1:2">
      <c r="A22" s="153" t="s">
        <v>29</v>
      </c>
      <c r="B22">
        <v>230.39999999999998</v>
      </c>
    </row>
    <row r="23" spans="1:2">
      <c r="A23" s="153" t="s">
        <v>30</v>
      </c>
      <c r="B23">
        <v>921.59999999999991</v>
      </c>
    </row>
    <row r="24" spans="1:2">
      <c r="A24" s="153" t="s">
        <v>33</v>
      </c>
      <c r="B24">
        <v>972</v>
      </c>
    </row>
    <row r="25" spans="1:2">
      <c r="A25" s="153" t="s">
        <v>36</v>
      </c>
      <c r="B25">
        <v>30621.599999999999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ECF2-68B6-495B-99F1-8EB269E3A7BE}">
  <dimension ref="A3:A4"/>
  <sheetViews>
    <sheetView workbookViewId="0">
      <selection activeCell="H28" sqref="H28"/>
    </sheetView>
  </sheetViews>
  <sheetFormatPr defaultRowHeight="16.2"/>
  <cols>
    <col min="1" max="1" width="17.44140625" bestFit="1" customWidth="1"/>
  </cols>
  <sheetData>
    <row r="3" spans="1:1">
      <c r="A3" t="s">
        <v>745</v>
      </c>
    </row>
    <row r="4" spans="1:1">
      <c r="A4">
        <v>3033552.5600000005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0D54-AA41-4566-9E2F-FBEB49E5134C}">
  <dimension ref="A3:D38"/>
  <sheetViews>
    <sheetView workbookViewId="0">
      <selection activeCell="H28" sqref="H28"/>
    </sheetView>
  </sheetViews>
  <sheetFormatPr defaultRowHeight="16.2"/>
  <cols>
    <col min="1" max="1" width="24.6640625" bestFit="1" customWidth="1"/>
    <col min="2" max="2" width="21.33203125" bestFit="1" customWidth="1"/>
    <col min="3" max="4" width="13.33203125" bestFit="1" customWidth="1"/>
  </cols>
  <sheetData>
    <row r="3" spans="1:4">
      <c r="A3" s="152" t="s">
        <v>499</v>
      </c>
    </row>
    <row r="4" spans="1:4">
      <c r="A4" s="153" t="s">
        <v>712</v>
      </c>
      <c r="C4" t="e">
        <f>_xlfn.XLOOKUP(A4,'[3]工作表1 (2)'!$A:$A,'[3]工作表1 (2)'!$B:$B)</f>
        <v>#N/A</v>
      </c>
      <c r="D4" t="e">
        <f>B4-C4</f>
        <v>#N/A</v>
      </c>
    </row>
    <row r="5" spans="1:4">
      <c r="A5" s="153" t="s">
        <v>5</v>
      </c>
      <c r="C5" t="str">
        <f>_xlfn.XLOOKUP(A5,'[3]工作表1 (2)'!$A:$A,'[3]工作表1 (2)'!$B:$B)</f>
        <v>Flextronics CZ</v>
      </c>
      <c r="D5" t="e">
        <f t="shared" ref="D5:D38" si="0">B5-C5</f>
        <v>#VALUE!</v>
      </c>
    </row>
    <row r="6" spans="1:4">
      <c r="A6" s="153" t="s">
        <v>713</v>
      </c>
      <c r="C6" t="e">
        <f>_xlfn.XLOOKUP(A6,'[3]工作表1 (2)'!$A:$A,'[3]工作表1 (2)'!$B:$B)</f>
        <v>#N/A</v>
      </c>
      <c r="D6" t="e">
        <f t="shared" si="0"/>
        <v>#N/A</v>
      </c>
    </row>
    <row r="7" spans="1:4">
      <c r="A7" s="153" t="s">
        <v>714</v>
      </c>
      <c r="C7" t="e">
        <f>_xlfn.XLOOKUP(A7,'[3]工作表1 (2)'!$A:$A,'[3]工作表1 (2)'!$B:$B)</f>
        <v>#N/A</v>
      </c>
      <c r="D7" t="e">
        <f t="shared" si="0"/>
        <v>#N/A</v>
      </c>
    </row>
    <row r="8" spans="1:4">
      <c r="A8" s="153" t="s">
        <v>715</v>
      </c>
      <c r="C8" t="e">
        <f>_xlfn.XLOOKUP(A8,'[3]工作表1 (2)'!$A:$A,'[3]工作表1 (2)'!$B:$B)</f>
        <v>#N/A</v>
      </c>
      <c r="D8" t="e">
        <f t="shared" si="0"/>
        <v>#N/A</v>
      </c>
    </row>
    <row r="9" spans="1:4">
      <c r="A9" s="153" t="s">
        <v>716</v>
      </c>
      <c r="C9" t="e">
        <f>_xlfn.XLOOKUP(A9,'[3]工作表1 (2)'!$A:$A,'[3]工作表1 (2)'!$B:$B)</f>
        <v>#N/A</v>
      </c>
      <c r="D9" t="e">
        <f t="shared" si="0"/>
        <v>#N/A</v>
      </c>
    </row>
    <row r="10" spans="1:4">
      <c r="A10" s="153" t="s">
        <v>717</v>
      </c>
      <c r="C10" t="e">
        <f>_xlfn.XLOOKUP(A10,'[3]工作表1 (2)'!$A:$A,'[3]工作表1 (2)'!$B:$B)</f>
        <v>#N/A</v>
      </c>
      <c r="D10" t="e">
        <f t="shared" si="0"/>
        <v>#N/A</v>
      </c>
    </row>
    <row r="11" spans="1:4">
      <c r="A11" s="153" t="s">
        <v>718</v>
      </c>
      <c r="C11" t="e">
        <f>_xlfn.XLOOKUP(A11,'[3]工作表1 (2)'!$A:$A,'[3]工作表1 (2)'!$B:$B)</f>
        <v>#N/A</v>
      </c>
      <c r="D11" t="e">
        <f t="shared" si="0"/>
        <v>#N/A</v>
      </c>
    </row>
    <row r="12" spans="1:4">
      <c r="A12" s="153" t="s">
        <v>719</v>
      </c>
      <c r="C12" t="e">
        <f>_xlfn.XLOOKUP(A12,'[3]工作表1 (2)'!$A:$A,'[3]工作表1 (2)'!$B:$B)</f>
        <v>#N/A</v>
      </c>
      <c r="D12" t="e">
        <f t="shared" si="0"/>
        <v>#N/A</v>
      </c>
    </row>
    <row r="13" spans="1:4">
      <c r="A13" s="153" t="s">
        <v>720</v>
      </c>
      <c r="C13" t="e">
        <f>_xlfn.XLOOKUP(A13,'[3]工作表1 (2)'!$A:$A,'[3]工作表1 (2)'!$B:$B)</f>
        <v>#N/A</v>
      </c>
      <c r="D13" t="e">
        <f t="shared" si="0"/>
        <v>#N/A</v>
      </c>
    </row>
    <row r="14" spans="1:4">
      <c r="A14" s="153" t="s">
        <v>721</v>
      </c>
      <c r="C14" t="e">
        <f>_xlfn.XLOOKUP(A14,'[3]工作表1 (2)'!$A:$A,'[3]工作表1 (2)'!$B:$B)</f>
        <v>#N/A</v>
      </c>
      <c r="D14" t="e">
        <f t="shared" si="0"/>
        <v>#N/A</v>
      </c>
    </row>
    <row r="15" spans="1:4">
      <c r="A15" s="153" t="s">
        <v>722</v>
      </c>
      <c r="C15" t="e">
        <f>_xlfn.XLOOKUP(A15,'[3]工作表1 (2)'!$A:$A,'[3]工作表1 (2)'!$B:$B)</f>
        <v>#N/A</v>
      </c>
      <c r="D15" t="e">
        <f t="shared" si="0"/>
        <v>#N/A</v>
      </c>
    </row>
    <row r="16" spans="1:4">
      <c r="A16" s="153" t="s">
        <v>723</v>
      </c>
      <c r="C16" t="e">
        <f>_xlfn.XLOOKUP(A16,'[3]工作表1 (2)'!$A:$A,'[3]工作表1 (2)'!$B:$B)</f>
        <v>#N/A</v>
      </c>
      <c r="D16" t="e">
        <f t="shared" si="0"/>
        <v>#N/A</v>
      </c>
    </row>
    <row r="17" spans="1:4">
      <c r="A17" s="153" t="s">
        <v>724</v>
      </c>
      <c r="C17" t="e">
        <f>_xlfn.XLOOKUP(A17,'[3]工作表1 (2)'!$A:$A,'[3]工作表1 (2)'!$B:$B)</f>
        <v>#N/A</v>
      </c>
      <c r="D17" t="e">
        <f t="shared" si="0"/>
        <v>#N/A</v>
      </c>
    </row>
    <row r="18" spans="1:4">
      <c r="A18" s="153" t="s">
        <v>725</v>
      </c>
      <c r="C18" t="e">
        <f>_xlfn.XLOOKUP(A18,'[3]工作表1 (2)'!$A:$A,'[3]工作表1 (2)'!$B:$B)</f>
        <v>#N/A</v>
      </c>
      <c r="D18" t="e">
        <f t="shared" si="0"/>
        <v>#N/A</v>
      </c>
    </row>
    <row r="19" spans="1:4">
      <c r="A19" s="153" t="s">
        <v>727</v>
      </c>
      <c r="C19" t="e">
        <f>_xlfn.XLOOKUP(A19,'[3]工作表1 (2)'!$A:$A,'[3]工作表1 (2)'!$B:$B)</f>
        <v>#N/A</v>
      </c>
      <c r="D19" t="e">
        <f t="shared" si="0"/>
        <v>#N/A</v>
      </c>
    </row>
    <row r="20" spans="1:4">
      <c r="A20" s="153" t="s">
        <v>728</v>
      </c>
      <c r="C20" t="e">
        <f>_xlfn.XLOOKUP(A20,'[3]工作表1 (2)'!$A:$A,'[3]工作表1 (2)'!$B:$B)</f>
        <v>#N/A</v>
      </c>
      <c r="D20" t="e">
        <f t="shared" si="0"/>
        <v>#N/A</v>
      </c>
    </row>
    <row r="21" spans="1:4">
      <c r="A21" s="153" t="s">
        <v>729</v>
      </c>
      <c r="C21" t="e">
        <f>_xlfn.XLOOKUP(A21,'[3]工作表1 (2)'!$A:$A,'[3]工作表1 (2)'!$B:$B)</f>
        <v>#N/A</v>
      </c>
      <c r="D21" t="e">
        <f t="shared" si="0"/>
        <v>#N/A</v>
      </c>
    </row>
    <row r="22" spans="1:4">
      <c r="A22" s="153" t="s">
        <v>730</v>
      </c>
      <c r="C22" t="e">
        <f>_xlfn.XLOOKUP(A22,'[3]工作表1 (2)'!$A:$A,'[3]工作表1 (2)'!$B:$B)</f>
        <v>#N/A</v>
      </c>
      <c r="D22" t="e">
        <f t="shared" si="0"/>
        <v>#N/A</v>
      </c>
    </row>
    <row r="23" spans="1:4">
      <c r="A23" s="153" t="s">
        <v>731</v>
      </c>
      <c r="C23" t="e">
        <f>_xlfn.XLOOKUP(A23,'[3]工作表1 (2)'!$A:$A,'[3]工作表1 (2)'!$B:$B)</f>
        <v>#N/A</v>
      </c>
      <c r="D23" t="e">
        <f t="shared" si="0"/>
        <v>#N/A</v>
      </c>
    </row>
    <row r="24" spans="1:4">
      <c r="A24" s="153" t="s">
        <v>732</v>
      </c>
      <c r="C24" t="e">
        <f>_xlfn.XLOOKUP(A24,'[3]工作表1 (2)'!$A:$A,'[3]工作表1 (2)'!$B:$B)</f>
        <v>#N/A</v>
      </c>
      <c r="D24" t="e">
        <f t="shared" si="0"/>
        <v>#N/A</v>
      </c>
    </row>
    <row r="25" spans="1:4">
      <c r="A25" s="153" t="s">
        <v>733</v>
      </c>
      <c r="C25" t="e">
        <f>_xlfn.XLOOKUP(A25,'[3]工作表1 (2)'!$A:$A,'[3]工作表1 (2)'!$B:$B)</f>
        <v>#N/A</v>
      </c>
      <c r="D25" t="e">
        <f t="shared" si="0"/>
        <v>#N/A</v>
      </c>
    </row>
    <row r="26" spans="1:4">
      <c r="A26" s="153" t="s">
        <v>734</v>
      </c>
      <c r="C26" t="e">
        <f>_xlfn.XLOOKUP(A26,'[3]工作表1 (2)'!$A:$A,'[3]工作表1 (2)'!$B:$B)</f>
        <v>#N/A</v>
      </c>
      <c r="D26" t="e">
        <f t="shared" si="0"/>
        <v>#N/A</v>
      </c>
    </row>
    <row r="27" spans="1:4">
      <c r="A27" s="153" t="s">
        <v>735</v>
      </c>
      <c r="C27" t="e">
        <f>_xlfn.XLOOKUP(A27,'[3]工作表1 (2)'!$A:$A,'[3]工作表1 (2)'!$B:$B)</f>
        <v>#N/A</v>
      </c>
      <c r="D27" t="e">
        <f t="shared" si="0"/>
        <v>#N/A</v>
      </c>
    </row>
    <row r="28" spans="1:4">
      <c r="A28" s="153" t="s">
        <v>736</v>
      </c>
      <c r="C28" t="e">
        <f>_xlfn.XLOOKUP(A28,'[3]工作表1 (2)'!$A:$A,'[3]工作表1 (2)'!$B:$B)</f>
        <v>#N/A</v>
      </c>
      <c r="D28" t="e">
        <f t="shared" si="0"/>
        <v>#N/A</v>
      </c>
    </row>
    <row r="29" spans="1:4">
      <c r="A29" s="153" t="s">
        <v>737</v>
      </c>
      <c r="C29" t="e">
        <f>_xlfn.XLOOKUP(A29,'[3]工作表1 (2)'!$A:$A,'[3]工作表1 (2)'!$B:$B)</f>
        <v>#N/A</v>
      </c>
      <c r="D29" t="e">
        <f t="shared" si="0"/>
        <v>#N/A</v>
      </c>
    </row>
    <row r="30" spans="1:4">
      <c r="A30" s="153" t="s">
        <v>738</v>
      </c>
      <c r="C30" t="e">
        <f>_xlfn.XLOOKUP(A30,'[3]工作表1 (2)'!$A:$A,'[3]工作表1 (2)'!$B:$B)</f>
        <v>#N/A</v>
      </c>
      <c r="D30" t="e">
        <f t="shared" si="0"/>
        <v>#N/A</v>
      </c>
    </row>
    <row r="31" spans="1:4">
      <c r="A31" s="153" t="s">
        <v>739</v>
      </c>
      <c r="C31" t="e">
        <f>_xlfn.XLOOKUP(A31,'[3]工作表1 (2)'!$A:$A,'[3]工作表1 (2)'!$B:$B)</f>
        <v>#N/A</v>
      </c>
      <c r="D31" t="e">
        <f t="shared" si="0"/>
        <v>#N/A</v>
      </c>
    </row>
    <row r="32" spans="1:4">
      <c r="A32" s="153" t="s">
        <v>740</v>
      </c>
      <c r="C32" t="e">
        <f>_xlfn.XLOOKUP(A32,'[3]工作表1 (2)'!$A:$A,'[3]工作表1 (2)'!$B:$B)</f>
        <v>#N/A</v>
      </c>
      <c r="D32" t="e">
        <f t="shared" si="0"/>
        <v>#N/A</v>
      </c>
    </row>
    <row r="33" spans="1:4">
      <c r="A33" s="153" t="s">
        <v>741</v>
      </c>
      <c r="C33" t="e">
        <f>_xlfn.XLOOKUP(A33,'[3]工作表1 (2)'!$A:$A,'[3]工作表1 (2)'!$B:$B)</f>
        <v>#N/A</v>
      </c>
      <c r="D33" t="e">
        <f t="shared" si="0"/>
        <v>#N/A</v>
      </c>
    </row>
    <row r="34" spans="1:4">
      <c r="A34" s="153" t="s">
        <v>742</v>
      </c>
      <c r="C34" t="e">
        <f>_xlfn.XLOOKUP(A34,'[3]工作表1 (2)'!$A:$A,'[3]工作表1 (2)'!$B:$B)</f>
        <v>#N/A</v>
      </c>
      <c r="D34" t="e">
        <f t="shared" si="0"/>
        <v>#N/A</v>
      </c>
    </row>
    <row r="35" spans="1:4">
      <c r="A35" s="153" t="s">
        <v>743</v>
      </c>
      <c r="C35" t="e">
        <f>_xlfn.XLOOKUP(A35,'[3]工作表1 (2)'!$A:$A,'[3]工作表1 (2)'!$B:$B)</f>
        <v>#N/A</v>
      </c>
      <c r="D35" t="e">
        <f t="shared" si="0"/>
        <v>#N/A</v>
      </c>
    </row>
    <row r="36" spans="1:4">
      <c r="A36" s="153" t="s">
        <v>744</v>
      </c>
      <c r="C36" t="e">
        <f>_xlfn.XLOOKUP(A36,'[3]工作表1 (2)'!$A:$A,'[3]工作表1 (2)'!$B:$B)</f>
        <v>#N/A</v>
      </c>
      <c r="D36" t="e">
        <f t="shared" si="0"/>
        <v>#N/A</v>
      </c>
    </row>
    <row r="37" spans="1:4">
      <c r="A37" s="153" t="s">
        <v>726</v>
      </c>
      <c r="C37" t="e">
        <f>_xlfn.XLOOKUP(A37,'[3]工作表1 (2)'!$A:$A,'[3]工作表1 (2)'!$B:$B)</f>
        <v>#N/A</v>
      </c>
      <c r="D37" t="e">
        <f t="shared" si="0"/>
        <v>#N/A</v>
      </c>
    </row>
    <row r="38" spans="1:4">
      <c r="A38" s="153" t="s">
        <v>36</v>
      </c>
      <c r="C38">
        <f>_xlfn.XLOOKUP(A38,'[3]工作表1 (2)'!$A:$A,'[3]工作表1 (2)'!$B:$B)</f>
        <v>0</v>
      </c>
      <c r="D38">
        <f t="shared" si="0"/>
        <v>0</v>
      </c>
    </row>
  </sheetData>
  <phoneticPr fontId="4" type="noConversion"/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5F9C-CD7C-4CF9-99DF-54CB6A82CAF4}">
  <dimension ref="B2:H28"/>
  <sheetViews>
    <sheetView zoomScale="80" zoomScaleNormal="80" workbookViewId="0">
      <selection activeCell="E26" sqref="E26"/>
    </sheetView>
  </sheetViews>
  <sheetFormatPr defaultRowHeight="16.2"/>
  <cols>
    <col min="2" max="2" width="16.33203125" customWidth="1"/>
    <col min="3" max="3" width="17.21875" customWidth="1"/>
    <col min="4" max="4" width="14.33203125" customWidth="1"/>
    <col min="5" max="5" width="12.33203125" customWidth="1"/>
    <col min="6" max="6" width="18.33203125" customWidth="1"/>
  </cols>
  <sheetData>
    <row r="2" spans="2:8" ht="16.8" thickBot="1"/>
    <row r="3" spans="2:8" ht="16.8" thickBot="1">
      <c r="B3" s="56" t="s">
        <v>870</v>
      </c>
      <c r="C3" s="51" t="s">
        <v>874</v>
      </c>
      <c r="D3" s="51" t="s">
        <v>875</v>
      </c>
      <c r="E3" s="52" t="s">
        <v>876</v>
      </c>
      <c r="F3" s="51" t="s">
        <v>41</v>
      </c>
      <c r="H3" s="57"/>
    </row>
    <row r="4" spans="2:8" ht="16.8" thickBot="1">
      <c r="B4" s="50" t="s">
        <v>42</v>
      </c>
      <c r="C4" s="51">
        <f>'FY25'!AM1</f>
        <v>74615.319999999992</v>
      </c>
      <c r="D4" s="51">
        <f>'FY25'!AO1</f>
        <v>63833.840000000004</v>
      </c>
      <c r="E4" s="52">
        <f>'FY25'!AQ1</f>
        <v>64307.239999999991</v>
      </c>
      <c r="F4" s="51">
        <f>SUM(C4:E4)</f>
        <v>202756.4</v>
      </c>
    </row>
    <row r="5" spans="2:8" ht="16.8" thickBot="1">
      <c r="B5" s="50" t="s">
        <v>43</v>
      </c>
      <c r="C5" s="51"/>
      <c r="D5" s="51"/>
      <c r="E5" s="52"/>
      <c r="F5" s="51">
        <f>SUM(C5:E5)</f>
        <v>0</v>
      </c>
    </row>
    <row r="6" spans="2:8" ht="16.8" thickBot="1">
      <c r="B6" s="53" t="s">
        <v>44</v>
      </c>
      <c r="C6" s="54"/>
      <c r="D6" s="54"/>
      <c r="E6" s="55"/>
      <c r="F6" s="51">
        <f>SUM(C6:E6)</f>
        <v>0</v>
      </c>
      <c r="H6" t="s">
        <v>45</v>
      </c>
    </row>
    <row r="7" spans="2:8" ht="16.8" thickBot="1">
      <c r="B7" s="50" t="s">
        <v>46</v>
      </c>
      <c r="C7" s="51">
        <f>SUM(C4:C6)</f>
        <v>74615.319999999992</v>
      </c>
      <c r="D7" s="51">
        <f>SUM(D4:D6)</f>
        <v>63833.840000000004</v>
      </c>
      <c r="E7" s="51">
        <f>SUM(E4:E6)</f>
        <v>64307.239999999991</v>
      </c>
      <c r="F7" s="51">
        <f>SUM(F4:F6)</f>
        <v>202756.4</v>
      </c>
    </row>
    <row r="8" spans="2:8">
      <c r="H8" t="s">
        <v>47</v>
      </c>
    </row>
    <row r="9" spans="2:8" ht="16.8" thickBot="1"/>
    <row r="10" spans="2:8" ht="16.8" thickBot="1">
      <c r="B10" s="56" t="s">
        <v>870</v>
      </c>
      <c r="C10" s="51" t="s">
        <v>877</v>
      </c>
      <c r="D10" s="51" t="s">
        <v>878</v>
      </c>
      <c r="E10" s="52" t="s">
        <v>879</v>
      </c>
      <c r="F10" s="51" t="s">
        <v>51</v>
      </c>
      <c r="H10" t="s">
        <v>52</v>
      </c>
    </row>
    <row r="11" spans="2:8" ht="16.8" thickBot="1">
      <c r="B11" s="50" t="s">
        <v>42</v>
      </c>
      <c r="C11" s="51">
        <f>'FY25'!AS1</f>
        <v>39786</v>
      </c>
      <c r="D11" s="51">
        <f>'FY25'!AU1</f>
        <v>56274.5</v>
      </c>
      <c r="E11" s="52">
        <f>'FY25'!AW1</f>
        <v>71609.2</v>
      </c>
      <c r="F11" s="51">
        <f>SUM(C11:E11)</f>
        <v>167669.70000000001</v>
      </c>
    </row>
    <row r="12" spans="2:8" ht="16.8" thickBot="1">
      <c r="B12" s="50" t="s">
        <v>43</v>
      </c>
      <c r="C12" s="51"/>
      <c r="D12" s="51"/>
      <c r="E12" s="52"/>
      <c r="F12" s="51">
        <f>SUM(C12:E12)</f>
        <v>0</v>
      </c>
      <c r="H12" t="s">
        <v>53</v>
      </c>
    </row>
    <row r="13" spans="2:8" ht="16.8" thickBot="1">
      <c r="B13" s="53" t="s">
        <v>44</v>
      </c>
      <c r="C13" s="54"/>
      <c r="D13" s="54"/>
      <c r="E13" s="55"/>
      <c r="F13" s="51">
        <f>SUM(C13:E13)</f>
        <v>0</v>
      </c>
    </row>
    <row r="14" spans="2:8" ht="16.8" thickBot="1">
      <c r="B14" s="50" t="s">
        <v>46</v>
      </c>
      <c r="C14" s="51">
        <f>SUM(C11:C13)</f>
        <v>39786</v>
      </c>
      <c r="D14" s="51">
        <f>SUM(D11:D13)</f>
        <v>56274.5</v>
      </c>
      <c r="E14" s="51">
        <f>SUM(E11:E13)</f>
        <v>71609.2</v>
      </c>
      <c r="F14" s="51">
        <f>SUM(F11:F13)</f>
        <v>167669.70000000001</v>
      </c>
      <c r="H14" t="s">
        <v>54</v>
      </c>
    </row>
    <row r="15" spans="2:8">
      <c r="H15" t="s">
        <v>55</v>
      </c>
    </row>
    <row r="16" spans="2:8" ht="16.8" thickBot="1"/>
    <row r="17" spans="2:8" ht="16.8" thickBot="1">
      <c r="B17" s="56" t="s">
        <v>870</v>
      </c>
      <c r="C17" s="51" t="s">
        <v>880</v>
      </c>
      <c r="D17" s="51" t="s">
        <v>881</v>
      </c>
      <c r="E17" s="52" t="s">
        <v>882</v>
      </c>
      <c r="F17" s="51" t="s">
        <v>59</v>
      </c>
      <c r="H17" t="s">
        <v>60</v>
      </c>
    </row>
    <row r="18" spans="2:8" ht="16.8" thickBot="1">
      <c r="B18" s="50" t="s">
        <v>42</v>
      </c>
      <c r="C18" s="51">
        <f>'FY25'!AY1</f>
        <v>37898.039999999994</v>
      </c>
      <c r="D18" s="51">
        <f>'FY25'!BA1</f>
        <v>81459.400000000009</v>
      </c>
      <c r="E18" s="52">
        <f>'FY25'!BC1</f>
        <v>90405.6</v>
      </c>
      <c r="F18" s="51">
        <f>SUM(C18:E18)</f>
        <v>209763.04</v>
      </c>
    </row>
    <row r="19" spans="2:8" ht="16.8" thickBot="1">
      <c r="B19" s="50" t="s">
        <v>43</v>
      </c>
      <c r="C19" s="51"/>
      <c r="D19" s="51"/>
      <c r="E19" s="52"/>
      <c r="F19" s="51">
        <f>SUM(C19:E19)</f>
        <v>0</v>
      </c>
    </row>
    <row r="20" spans="2:8" ht="16.8" thickBot="1">
      <c r="B20" s="53" t="s">
        <v>44</v>
      </c>
      <c r="C20" s="54"/>
      <c r="D20" s="54"/>
      <c r="E20" s="55"/>
      <c r="F20" s="51">
        <f>SUM(C20:E20)</f>
        <v>0</v>
      </c>
    </row>
    <row r="21" spans="2:8" ht="16.8" thickBot="1">
      <c r="B21" s="50" t="s">
        <v>46</v>
      </c>
      <c r="C21" s="51">
        <f>SUM(C18:C20)</f>
        <v>37898.039999999994</v>
      </c>
      <c r="D21" s="51">
        <f>SUM(D18:D20)</f>
        <v>81459.400000000009</v>
      </c>
      <c r="E21" s="51">
        <f>SUM(E18:E20)</f>
        <v>90405.6</v>
      </c>
      <c r="F21" s="51">
        <f>SUM(F18:F20)</f>
        <v>209763.04</v>
      </c>
    </row>
    <row r="23" spans="2:8" ht="16.8" thickBot="1"/>
    <row r="24" spans="2:8" ht="16.8" thickBot="1">
      <c r="B24" s="56" t="s">
        <v>870</v>
      </c>
      <c r="C24" s="51" t="s">
        <v>883</v>
      </c>
      <c r="D24" s="51" t="s">
        <v>884</v>
      </c>
      <c r="E24" s="52" t="s">
        <v>885</v>
      </c>
      <c r="F24" s="51" t="s">
        <v>64</v>
      </c>
    </row>
    <row r="25" spans="2:8" ht="16.8" thickBot="1">
      <c r="B25" s="50" t="s">
        <v>42</v>
      </c>
      <c r="C25" s="51">
        <f>'FY25'!BE1</f>
        <v>75666.899999999994</v>
      </c>
      <c r="D25" s="51">
        <f>'FY25'!BG1</f>
        <v>105555.91999999998</v>
      </c>
      <c r="E25" s="52">
        <f>'FY25'!BI1</f>
        <v>60563.079999999987</v>
      </c>
      <c r="F25" s="51">
        <f>SUM(C25:E25)</f>
        <v>241785.89999999997</v>
      </c>
    </row>
    <row r="26" spans="2:8" ht="16.8" thickBot="1">
      <c r="B26" s="50" t="s">
        <v>43</v>
      </c>
      <c r="C26" s="51"/>
      <c r="D26" s="51"/>
      <c r="E26" s="52"/>
      <c r="F26" s="51"/>
    </row>
    <row r="27" spans="2:8" ht="16.8" thickBot="1">
      <c r="B27" s="53" t="s">
        <v>44</v>
      </c>
      <c r="C27" s="54"/>
      <c r="D27" s="54"/>
      <c r="E27" s="55"/>
      <c r="F27" s="54"/>
    </row>
    <row r="28" spans="2:8" ht="16.8" thickBot="1">
      <c r="B28" s="50" t="s">
        <v>46</v>
      </c>
      <c r="C28" s="51">
        <f>SUM(C25:C27)</f>
        <v>75666.899999999994</v>
      </c>
      <c r="D28" s="51">
        <f>SUM(D25:D27)</f>
        <v>105555.91999999998</v>
      </c>
      <c r="E28" s="51">
        <f>SUM(E25:E27)</f>
        <v>60563.079999999987</v>
      </c>
      <c r="F28" s="51">
        <f>SUM(F25:F27)</f>
        <v>241785.89999999997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B339-EE79-4FF1-AC1A-4E82D07F01F6}">
  <dimension ref="B3:G143"/>
  <sheetViews>
    <sheetView topLeftCell="A122" zoomScale="85" zoomScaleNormal="85" workbookViewId="0">
      <selection activeCell="E26" sqref="E26"/>
    </sheetView>
  </sheetViews>
  <sheetFormatPr defaultRowHeight="16.2"/>
  <cols>
    <col min="1" max="1" width="2.33203125" customWidth="1"/>
    <col min="2" max="2" width="26.33203125" customWidth="1"/>
    <col min="3" max="3" width="22.33203125" customWidth="1"/>
    <col min="4" max="4" width="20.33203125" customWidth="1"/>
    <col min="5" max="5" width="14.33203125" customWidth="1"/>
    <col min="6" max="7" width="18.33203125" customWidth="1"/>
  </cols>
  <sheetData>
    <row r="3" spans="2:7" ht="16.8" thickBot="1">
      <c r="B3" s="24" t="s">
        <v>77</v>
      </c>
      <c r="C3" s="25"/>
      <c r="D3" s="25"/>
      <c r="E3" s="25"/>
      <c r="F3" s="25"/>
      <c r="G3" s="25"/>
    </row>
    <row r="4" spans="2:7" ht="29.4" thickBot="1">
      <c r="B4" s="26"/>
      <c r="C4" s="27" t="s">
        <v>78</v>
      </c>
      <c r="D4" s="36">
        <v>45597</v>
      </c>
      <c r="E4" s="36">
        <v>45627</v>
      </c>
      <c r="F4" s="36">
        <v>45658</v>
      </c>
      <c r="G4" s="28" t="s">
        <v>889</v>
      </c>
    </row>
    <row r="5" spans="2:7" ht="16.8" thickBot="1">
      <c r="B5" s="287" t="s">
        <v>80</v>
      </c>
      <c r="C5" s="30" t="s">
        <v>81</v>
      </c>
      <c r="D5" s="30"/>
      <c r="E5" s="30"/>
      <c r="F5" s="30"/>
      <c r="G5" s="30"/>
    </row>
    <row r="6" spans="2:7" ht="16.8" thickBot="1">
      <c r="B6" s="288"/>
      <c r="C6" s="30" t="s">
        <v>82</v>
      </c>
      <c r="D6" s="30"/>
      <c r="E6" s="30"/>
      <c r="F6" s="30"/>
      <c r="G6" s="30"/>
    </row>
    <row r="7" spans="2:7" ht="16.8" thickBot="1">
      <c r="B7" s="288"/>
      <c r="C7" s="30" t="s">
        <v>83</v>
      </c>
      <c r="D7" s="30"/>
      <c r="E7" s="30"/>
      <c r="F7" s="30"/>
      <c r="G7" s="30"/>
    </row>
    <row r="8" spans="2:7" ht="16.8" thickBot="1">
      <c r="B8" s="288"/>
      <c r="C8" s="30" t="s">
        <v>84</v>
      </c>
      <c r="D8" s="30"/>
      <c r="E8" s="30"/>
      <c r="F8" s="30"/>
      <c r="G8" s="30"/>
    </row>
    <row r="9" spans="2:7" ht="16.8" thickBot="1">
      <c r="B9" s="288"/>
      <c r="C9" s="30" t="s">
        <v>85</v>
      </c>
      <c r="D9" s="30"/>
      <c r="E9" s="30"/>
      <c r="F9" s="30"/>
      <c r="G9" s="30"/>
    </row>
    <row r="10" spans="2:7" ht="16.8" thickBot="1">
      <c r="B10" s="288"/>
      <c r="C10" s="30" t="s">
        <v>86</v>
      </c>
      <c r="D10" s="30"/>
      <c r="E10" s="30"/>
      <c r="F10" s="30"/>
      <c r="G10" s="30"/>
    </row>
    <row r="11" spans="2:7" ht="16.8" thickBot="1">
      <c r="B11" s="288"/>
      <c r="C11" s="30" t="s">
        <v>87</v>
      </c>
      <c r="D11" s="30"/>
      <c r="E11" s="30"/>
      <c r="F11" s="30"/>
      <c r="G11" s="30"/>
    </row>
    <row r="12" spans="2:7" ht="16.8" thickBot="1">
      <c r="B12" s="288"/>
      <c r="C12" s="30" t="s">
        <v>88</v>
      </c>
      <c r="D12" s="30"/>
      <c r="E12" s="30"/>
      <c r="F12" s="30"/>
      <c r="G12" s="30"/>
    </row>
    <row r="13" spans="2:7" ht="16.8" thickBot="1">
      <c r="B13" s="288"/>
      <c r="C13" s="30" t="s">
        <v>89</v>
      </c>
      <c r="D13" s="30"/>
      <c r="E13" s="30"/>
      <c r="F13" s="30"/>
      <c r="G13" s="30"/>
    </row>
    <row r="14" spans="2:7" ht="16.8" thickBot="1">
      <c r="B14" s="288"/>
      <c r="C14" s="30" t="s">
        <v>90</v>
      </c>
      <c r="D14" s="31"/>
      <c r="E14" s="30"/>
      <c r="F14" s="30"/>
      <c r="G14" s="30"/>
    </row>
    <row r="15" spans="2:7" ht="16.8" thickBot="1">
      <c r="B15" s="288"/>
      <c r="C15" s="29" t="s">
        <v>91</v>
      </c>
      <c r="D15" s="32"/>
      <c r="E15" s="30"/>
      <c r="F15" s="30"/>
      <c r="G15" s="30"/>
    </row>
    <row r="16" spans="2:7" ht="16.8" thickBot="1">
      <c r="B16" s="289"/>
      <c r="C16" s="33" t="s">
        <v>92</v>
      </c>
      <c r="D16" s="30"/>
      <c r="E16" s="30"/>
      <c r="F16" s="30"/>
      <c r="G16" s="30"/>
    </row>
    <row r="17" spans="2:7" ht="16.8" thickBot="1">
      <c r="B17" s="290" t="s">
        <v>93</v>
      </c>
      <c r="C17" s="30" t="s">
        <v>94</v>
      </c>
      <c r="D17" s="30"/>
      <c r="E17" s="30"/>
      <c r="F17" s="30"/>
      <c r="G17" s="30"/>
    </row>
    <row r="18" spans="2:7" ht="16.8" thickBot="1">
      <c r="B18" s="291"/>
      <c r="C18" s="30" t="s">
        <v>88</v>
      </c>
      <c r="D18" s="30"/>
      <c r="E18" s="30"/>
      <c r="F18" s="30"/>
      <c r="G18" s="30"/>
    </row>
    <row r="19" spans="2:7" ht="16.8" thickBot="1">
      <c r="B19" s="291"/>
      <c r="C19" s="30" t="s">
        <v>95</v>
      </c>
      <c r="D19" s="30"/>
      <c r="E19" s="30"/>
      <c r="F19" s="30"/>
      <c r="G19" s="30"/>
    </row>
    <row r="20" spans="2:7" ht="16.8" thickBot="1">
      <c r="B20" s="291"/>
      <c r="C20" s="30" t="s">
        <v>96</v>
      </c>
      <c r="D20" s="30"/>
      <c r="E20" s="30"/>
      <c r="F20" s="30"/>
      <c r="G20" s="30"/>
    </row>
    <row r="21" spans="2:7" ht="16.8" thickBot="1">
      <c r="B21" s="291"/>
      <c r="C21" s="30" t="s">
        <v>97</v>
      </c>
      <c r="D21" s="31"/>
      <c r="E21" s="31"/>
      <c r="F21" s="31"/>
      <c r="G21" s="30"/>
    </row>
    <row r="22" spans="2:7" ht="16.8" thickBot="1">
      <c r="B22" s="291"/>
      <c r="C22" s="30" t="s">
        <v>98</v>
      </c>
      <c r="D22" s="31"/>
      <c r="E22" s="31"/>
      <c r="F22" s="30"/>
      <c r="G22" s="30"/>
    </row>
    <row r="23" spans="2:7" ht="16.8" thickBot="1">
      <c r="B23" s="291"/>
      <c r="C23" s="30" t="s">
        <v>99</v>
      </c>
      <c r="D23" s="30"/>
      <c r="E23" s="31"/>
      <c r="F23" s="30"/>
      <c r="G23" s="30"/>
    </row>
    <row r="24" spans="2:7" ht="16.8" thickBot="1">
      <c r="B24" s="291"/>
      <c r="C24" s="30" t="s">
        <v>91</v>
      </c>
      <c r="D24" s="30"/>
      <c r="E24" s="31"/>
      <c r="F24" s="30"/>
      <c r="G24" s="30"/>
    </row>
    <row r="25" spans="2:7" ht="16.8" thickBot="1">
      <c r="B25" s="292"/>
      <c r="C25" s="30" t="s">
        <v>92</v>
      </c>
      <c r="D25" s="30"/>
      <c r="E25" s="31"/>
      <c r="F25" s="31"/>
      <c r="G25" s="30"/>
    </row>
    <row r="26" spans="2:7" ht="16.8" thickBot="1">
      <c r="B26" s="25"/>
      <c r="C26" s="25"/>
      <c r="D26" s="25"/>
      <c r="E26" s="25"/>
      <c r="F26" s="25"/>
      <c r="G26" s="34"/>
    </row>
    <row r="27" spans="2:7">
      <c r="B27" s="25"/>
      <c r="C27" s="25"/>
      <c r="D27" s="25"/>
      <c r="E27" s="25"/>
      <c r="F27" s="25"/>
      <c r="G27" s="25"/>
    </row>
    <row r="28" spans="2:7" ht="16.8" thickBot="1">
      <c r="B28" s="24" t="s">
        <v>77</v>
      </c>
      <c r="C28" s="25"/>
      <c r="D28" s="25"/>
      <c r="E28" s="25"/>
      <c r="F28" s="25"/>
      <c r="G28" s="25"/>
    </row>
    <row r="29" spans="2:7" ht="29.4" thickBot="1">
      <c r="B29" s="43"/>
      <c r="C29" s="27" t="s">
        <v>100</v>
      </c>
      <c r="D29" s="36">
        <v>45597</v>
      </c>
      <c r="E29" s="36">
        <v>45627</v>
      </c>
      <c r="F29" s="36">
        <v>45658</v>
      </c>
      <c r="G29" s="28" t="s">
        <v>889</v>
      </c>
    </row>
    <row r="30" spans="2:7" ht="16.8" thickBot="1">
      <c r="B30" s="293" t="s">
        <v>101</v>
      </c>
      <c r="C30" s="30" t="s">
        <v>102</v>
      </c>
      <c r="D30" s="30">
        <f>'FY25 Summary_1'!C4</f>
        <v>74615.319999999992</v>
      </c>
      <c r="E30" s="30">
        <f>'FY25 Summary_1'!D4</f>
        <v>63833.840000000004</v>
      </c>
      <c r="F30" s="30">
        <f>'FY25 Summary_1'!E4</f>
        <v>64307.239999999991</v>
      </c>
      <c r="G30" s="30">
        <f>SUM(D30:F30)</f>
        <v>202756.4</v>
      </c>
    </row>
    <row r="31" spans="2:7" ht="16.8" thickBot="1">
      <c r="B31" s="293"/>
      <c r="C31" s="30" t="s">
        <v>103</v>
      </c>
      <c r="D31" s="30"/>
      <c r="E31" s="30"/>
      <c r="F31" s="30"/>
      <c r="G31" s="30"/>
    </row>
    <row r="32" spans="2:7" ht="16.8" thickBot="1">
      <c r="B32" s="293"/>
      <c r="C32" s="30" t="s">
        <v>104</v>
      </c>
      <c r="D32" s="30"/>
      <c r="E32" s="30"/>
      <c r="F32" s="30"/>
      <c r="G32" s="30"/>
    </row>
    <row r="33" spans="2:7" ht="16.8" thickBot="1">
      <c r="B33" s="293"/>
      <c r="C33" s="30" t="s">
        <v>105</v>
      </c>
      <c r="D33" s="30"/>
      <c r="E33" s="30"/>
      <c r="F33" s="30"/>
      <c r="G33" s="30"/>
    </row>
    <row r="34" spans="2:7" ht="16.8" thickBot="1">
      <c r="B34" s="293"/>
      <c r="C34" s="30" t="s">
        <v>106</v>
      </c>
      <c r="D34" s="30"/>
      <c r="E34" s="30"/>
      <c r="F34" s="30"/>
      <c r="G34" s="30"/>
    </row>
    <row r="35" spans="2:7" ht="16.8" thickBot="1">
      <c r="B35" s="293"/>
      <c r="C35" s="30" t="s">
        <v>107</v>
      </c>
      <c r="D35" s="30"/>
      <c r="E35" s="30"/>
      <c r="F35" s="30"/>
      <c r="G35" s="30"/>
    </row>
    <row r="36" spans="2:7" ht="16.8" thickBot="1">
      <c r="B36" s="25"/>
      <c r="C36" s="25"/>
      <c r="D36" s="25"/>
      <c r="E36" s="25"/>
      <c r="F36" s="34" t="s">
        <v>108</v>
      </c>
      <c r="G36" s="35"/>
    </row>
    <row r="39" spans="2:7" ht="16.8" thickBot="1">
      <c r="B39" s="24" t="s">
        <v>109</v>
      </c>
      <c r="C39" s="25"/>
      <c r="D39" s="25"/>
      <c r="E39" s="25"/>
      <c r="F39" s="25"/>
      <c r="G39" s="25"/>
    </row>
    <row r="40" spans="2:7" ht="29.4" thickBot="1">
      <c r="B40" s="26"/>
      <c r="C40" s="27" t="s">
        <v>78</v>
      </c>
      <c r="D40" s="36">
        <v>45689</v>
      </c>
      <c r="E40" s="36">
        <v>45717</v>
      </c>
      <c r="F40" s="36">
        <v>45748</v>
      </c>
      <c r="G40" s="28" t="s">
        <v>888</v>
      </c>
    </row>
    <row r="41" spans="2:7" ht="16.8" thickBot="1">
      <c r="B41" s="287" t="s">
        <v>80</v>
      </c>
      <c r="C41" s="30" t="s">
        <v>81</v>
      </c>
      <c r="D41" s="30"/>
      <c r="E41" s="30"/>
      <c r="F41" s="30"/>
      <c r="G41" s="30"/>
    </row>
    <row r="42" spans="2:7" ht="16.8" thickBot="1">
      <c r="B42" s="288"/>
      <c r="C42" s="30" t="s">
        <v>82</v>
      </c>
      <c r="D42" s="30"/>
      <c r="E42" s="30"/>
      <c r="F42" s="30"/>
      <c r="G42" s="30"/>
    </row>
    <row r="43" spans="2:7" ht="16.8" thickBot="1">
      <c r="B43" s="288"/>
      <c r="C43" s="30" t="s">
        <v>83</v>
      </c>
      <c r="D43" s="30"/>
      <c r="E43" s="30"/>
      <c r="F43" s="30"/>
      <c r="G43" s="30"/>
    </row>
    <row r="44" spans="2:7" ht="16.8" thickBot="1">
      <c r="B44" s="288"/>
      <c r="C44" s="30" t="s">
        <v>84</v>
      </c>
      <c r="D44" s="30"/>
      <c r="E44" s="30"/>
      <c r="F44" s="30"/>
      <c r="G44" s="30"/>
    </row>
    <row r="45" spans="2:7" ht="16.8" thickBot="1">
      <c r="B45" s="288"/>
      <c r="C45" s="30" t="s">
        <v>85</v>
      </c>
      <c r="D45" s="30"/>
      <c r="E45" s="30"/>
      <c r="F45" s="30"/>
      <c r="G45" s="30"/>
    </row>
    <row r="46" spans="2:7" ht="16.8" thickBot="1">
      <c r="B46" s="288"/>
      <c r="C46" s="30" t="s">
        <v>86</v>
      </c>
      <c r="D46" s="30"/>
      <c r="E46" s="30"/>
      <c r="F46" s="30"/>
      <c r="G46" s="30"/>
    </row>
    <row r="47" spans="2:7" ht="16.8" thickBot="1">
      <c r="B47" s="288"/>
      <c r="C47" s="30" t="s">
        <v>87</v>
      </c>
      <c r="D47" s="30"/>
      <c r="E47" s="30"/>
      <c r="F47" s="30"/>
      <c r="G47" s="30"/>
    </row>
    <row r="48" spans="2:7" ht="16.8" thickBot="1">
      <c r="B48" s="288"/>
      <c r="C48" s="30" t="s">
        <v>88</v>
      </c>
      <c r="D48" s="30"/>
      <c r="E48" s="30"/>
      <c r="F48" s="30"/>
      <c r="G48" s="30"/>
    </row>
    <row r="49" spans="2:7" ht="16.8" thickBot="1">
      <c r="B49" s="288"/>
      <c r="C49" s="30" t="s">
        <v>89</v>
      </c>
      <c r="D49" s="30"/>
      <c r="E49" s="30"/>
      <c r="F49" s="30"/>
      <c r="G49" s="30"/>
    </row>
    <row r="50" spans="2:7" ht="16.8" thickBot="1">
      <c r="B50" s="288"/>
      <c r="C50" s="30" t="s">
        <v>90</v>
      </c>
      <c r="D50" s="31"/>
      <c r="E50" s="30"/>
      <c r="F50" s="30"/>
      <c r="G50" s="30"/>
    </row>
    <row r="51" spans="2:7" ht="16.8" thickBot="1">
      <c r="B51" s="288"/>
      <c r="C51" s="29" t="s">
        <v>91</v>
      </c>
      <c r="D51" s="32"/>
      <c r="E51" s="30"/>
      <c r="F51" s="30"/>
      <c r="G51" s="30"/>
    </row>
    <row r="52" spans="2:7" ht="16.8" thickBot="1">
      <c r="B52" s="289"/>
      <c r="C52" s="33" t="s">
        <v>92</v>
      </c>
      <c r="D52" s="30"/>
      <c r="E52" s="30"/>
      <c r="F52" s="30"/>
      <c r="G52" s="30"/>
    </row>
    <row r="53" spans="2:7" ht="16.8" thickBot="1">
      <c r="B53" s="290" t="s">
        <v>93</v>
      </c>
      <c r="C53" s="30" t="s">
        <v>94</v>
      </c>
      <c r="D53" s="30"/>
      <c r="E53" s="30"/>
      <c r="F53" s="30"/>
      <c r="G53" s="30"/>
    </row>
    <row r="54" spans="2:7" ht="16.8" thickBot="1">
      <c r="B54" s="291"/>
      <c r="C54" s="30" t="s">
        <v>88</v>
      </c>
      <c r="D54" s="30"/>
      <c r="E54" s="30"/>
      <c r="F54" s="30"/>
      <c r="G54" s="30"/>
    </row>
    <row r="55" spans="2:7" ht="16.8" thickBot="1">
      <c r="B55" s="291"/>
      <c r="C55" s="30" t="s">
        <v>95</v>
      </c>
      <c r="D55" s="30"/>
      <c r="E55" s="30"/>
      <c r="F55" s="30"/>
      <c r="G55" s="30"/>
    </row>
    <row r="56" spans="2:7" ht="16.8" thickBot="1">
      <c r="B56" s="291"/>
      <c r="C56" s="30" t="s">
        <v>96</v>
      </c>
      <c r="D56" s="30"/>
      <c r="E56" s="30"/>
      <c r="F56" s="30"/>
      <c r="G56" s="30"/>
    </row>
    <row r="57" spans="2:7" ht="16.8" thickBot="1">
      <c r="B57" s="291"/>
      <c r="C57" s="30" t="s">
        <v>97</v>
      </c>
      <c r="D57" s="31"/>
      <c r="E57" s="31"/>
      <c r="F57" s="31"/>
      <c r="G57" s="30"/>
    </row>
    <row r="58" spans="2:7" ht="16.8" thickBot="1">
      <c r="B58" s="291"/>
      <c r="C58" s="30" t="s">
        <v>98</v>
      </c>
      <c r="D58" s="31"/>
      <c r="E58" s="31"/>
      <c r="F58" s="30"/>
      <c r="G58" s="30"/>
    </row>
    <row r="59" spans="2:7" ht="16.8" thickBot="1">
      <c r="B59" s="291"/>
      <c r="C59" s="30" t="s">
        <v>99</v>
      </c>
      <c r="D59" s="30"/>
      <c r="E59" s="31"/>
      <c r="F59" s="30"/>
      <c r="G59" s="30"/>
    </row>
    <row r="60" spans="2:7" ht="16.8" thickBot="1">
      <c r="B60" s="291"/>
      <c r="C60" s="30" t="s">
        <v>91</v>
      </c>
      <c r="D60" s="30"/>
      <c r="E60" s="31"/>
      <c r="F60" s="30"/>
      <c r="G60" s="30"/>
    </row>
    <row r="61" spans="2:7" ht="16.8" thickBot="1">
      <c r="B61" s="292"/>
      <c r="C61" s="30" t="s">
        <v>92</v>
      </c>
      <c r="D61" s="30"/>
      <c r="E61" s="31"/>
      <c r="F61" s="31"/>
      <c r="G61" s="30"/>
    </row>
    <row r="62" spans="2:7" ht="16.8" thickBot="1">
      <c r="B62" s="25"/>
      <c r="C62" s="25"/>
      <c r="D62" s="25"/>
      <c r="E62" s="25"/>
      <c r="F62" s="25"/>
      <c r="G62" s="34"/>
    </row>
    <row r="63" spans="2:7">
      <c r="B63" s="25"/>
      <c r="C63" s="25"/>
      <c r="D63" s="25"/>
      <c r="E63" s="25"/>
      <c r="F63" s="25"/>
      <c r="G63" s="25"/>
    </row>
    <row r="64" spans="2:7" ht="16.8" thickBot="1">
      <c r="B64" s="24" t="s">
        <v>109</v>
      </c>
      <c r="C64" s="25"/>
      <c r="D64" s="25"/>
      <c r="E64" s="25"/>
      <c r="F64" s="25"/>
      <c r="G64" s="25"/>
    </row>
    <row r="65" spans="2:7" ht="29.4" thickBot="1">
      <c r="B65" s="26"/>
      <c r="C65" s="27" t="s">
        <v>100</v>
      </c>
      <c r="D65" s="36">
        <v>45689</v>
      </c>
      <c r="E65" s="36">
        <v>45717</v>
      </c>
      <c r="F65" s="36">
        <v>45748</v>
      </c>
      <c r="G65" s="28" t="s">
        <v>888</v>
      </c>
    </row>
    <row r="66" spans="2:7" ht="16.8" thickBot="1">
      <c r="B66" s="293" t="s">
        <v>101</v>
      </c>
      <c r="C66" s="30" t="s">
        <v>102</v>
      </c>
      <c r="D66" s="30">
        <f>'FY25 Summary_1'!C11</f>
        <v>39786</v>
      </c>
      <c r="E66" s="30">
        <f>'FY25 Summary_1'!D11</f>
        <v>56274.5</v>
      </c>
      <c r="F66" s="30">
        <f>'FY25 Summary_1'!E11</f>
        <v>71609.2</v>
      </c>
      <c r="G66" s="30">
        <f>SUM(D66:F66)</f>
        <v>167669.70000000001</v>
      </c>
    </row>
    <row r="67" spans="2:7" ht="16.8" thickBot="1">
      <c r="B67" s="293" t="s">
        <v>101</v>
      </c>
      <c r="C67" s="30" t="s">
        <v>103</v>
      </c>
      <c r="D67" s="30"/>
      <c r="E67" s="30"/>
      <c r="F67" s="30"/>
      <c r="G67" s="30"/>
    </row>
    <row r="68" spans="2:7" ht="16.8" thickBot="1">
      <c r="B68" s="293"/>
      <c r="C68" s="30" t="s">
        <v>104</v>
      </c>
      <c r="D68" s="30"/>
      <c r="E68" s="30"/>
      <c r="F68" s="30"/>
      <c r="G68" s="30"/>
    </row>
    <row r="69" spans="2:7" ht="16.8" thickBot="1">
      <c r="B69" s="293"/>
      <c r="C69" s="30" t="s">
        <v>105</v>
      </c>
      <c r="D69" s="30"/>
      <c r="E69" s="30"/>
      <c r="F69" s="30"/>
      <c r="G69" s="30"/>
    </row>
    <row r="70" spans="2:7" ht="16.8" thickBot="1">
      <c r="B70" s="293"/>
      <c r="C70" s="30" t="s">
        <v>106</v>
      </c>
      <c r="D70" s="30"/>
      <c r="E70" s="30"/>
      <c r="F70" s="30"/>
      <c r="G70" s="30"/>
    </row>
    <row r="71" spans="2:7" ht="16.8" thickBot="1">
      <c r="B71" s="293"/>
      <c r="C71" s="30" t="s">
        <v>107</v>
      </c>
      <c r="D71" s="30"/>
      <c r="E71" s="30"/>
      <c r="F71" s="30"/>
      <c r="G71" s="30"/>
    </row>
    <row r="72" spans="2:7" ht="16.8" thickBot="1">
      <c r="B72" s="25"/>
      <c r="C72" s="25"/>
      <c r="D72" s="25"/>
      <c r="E72" s="25"/>
      <c r="F72" s="34" t="s">
        <v>108</v>
      </c>
      <c r="G72" s="35"/>
    </row>
    <row r="75" spans="2:7" ht="16.8" thickBot="1">
      <c r="B75" s="24" t="s">
        <v>111</v>
      </c>
      <c r="C75" s="25"/>
      <c r="D75" s="25"/>
      <c r="E75" s="25"/>
      <c r="F75" s="25"/>
      <c r="G75" s="25"/>
    </row>
    <row r="76" spans="2:7" ht="29.4" thickBot="1">
      <c r="B76" s="26"/>
      <c r="C76" s="27" t="s">
        <v>78</v>
      </c>
      <c r="D76" s="36">
        <v>45778</v>
      </c>
      <c r="E76" s="36">
        <v>45809</v>
      </c>
      <c r="F76" s="36">
        <v>45839</v>
      </c>
      <c r="G76" s="28" t="s">
        <v>887</v>
      </c>
    </row>
    <row r="77" spans="2:7" ht="16.8" thickBot="1">
      <c r="B77" s="287" t="s">
        <v>80</v>
      </c>
      <c r="C77" s="30" t="s">
        <v>81</v>
      </c>
      <c r="D77" s="30"/>
      <c r="E77" s="30"/>
      <c r="F77" s="30"/>
      <c r="G77" s="30"/>
    </row>
    <row r="78" spans="2:7" ht="16.8" thickBot="1">
      <c r="B78" s="288"/>
      <c r="C78" s="30" t="s">
        <v>82</v>
      </c>
      <c r="D78" s="30"/>
      <c r="E78" s="30"/>
      <c r="F78" s="30"/>
      <c r="G78" s="30"/>
    </row>
    <row r="79" spans="2:7" ht="16.8" thickBot="1">
      <c r="B79" s="288"/>
      <c r="C79" s="30" t="s">
        <v>83</v>
      </c>
      <c r="D79" s="30"/>
      <c r="E79" s="30"/>
      <c r="F79" s="30"/>
      <c r="G79" s="30"/>
    </row>
    <row r="80" spans="2:7" ht="16.8" thickBot="1">
      <c r="B80" s="288"/>
      <c r="C80" s="30" t="s">
        <v>84</v>
      </c>
      <c r="D80" s="30"/>
      <c r="E80" s="30"/>
      <c r="F80" s="30"/>
      <c r="G80" s="30"/>
    </row>
    <row r="81" spans="2:7" ht="16.8" thickBot="1">
      <c r="B81" s="288"/>
      <c r="C81" s="30" t="s">
        <v>85</v>
      </c>
      <c r="D81" s="30"/>
      <c r="E81" s="30"/>
      <c r="F81" s="30"/>
      <c r="G81" s="30"/>
    </row>
    <row r="82" spans="2:7" ht="16.8" thickBot="1">
      <c r="B82" s="288"/>
      <c r="C82" s="30" t="s">
        <v>86</v>
      </c>
      <c r="D82" s="30"/>
      <c r="E82" s="30"/>
      <c r="F82" s="30"/>
      <c r="G82" s="30"/>
    </row>
    <row r="83" spans="2:7" ht="16.8" thickBot="1">
      <c r="B83" s="288"/>
      <c r="C83" s="30" t="s">
        <v>87</v>
      </c>
      <c r="D83" s="30"/>
      <c r="E83" s="30"/>
      <c r="F83" s="30"/>
      <c r="G83" s="30"/>
    </row>
    <row r="84" spans="2:7" ht="16.8" thickBot="1">
      <c r="B84" s="288"/>
      <c r="C84" s="30" t="s">
        <v>88</v>
      </c>
      <c r="D84" s="30"/>
      <c r="E84" s="30"/>
      <c r="F84" s="30"/>
      <c r="G84" s="30"/>
    </row>
    <row r="85" spans="2:7" ht="16.8" thickBot="1">
      <c r="B85" s="288"/>
      <c r="C85" s="30" t="s">
        <v>89</v>
      </c>
      <c r="D85" s="30"/>
      <c r="E85" s="30"/>
      <c r="F85" s="30"/>
      <c r="G85" s="30"/>
    </row>
    <row r="86" spans="2:7" ht="16.8" thickBot="1">
      <c r="B86" s="288"/>
      <c r="C86" s="30" t="s">
        <v>90</v>
      </c>
      <c r="D86" s="31"/>
      <c r="E86" s="30"/>
      <c r="F86" s="30"/>
      <c r="G86" s="30"/>
    </row>
    <row r="87" spans="2:7" ht="16.8" thickBot="1">
      <c r="B87" s="288"/>
      <c r="C87" s="29" t="s">
        <v>91</v>
      </c>
      <c r="D87" s="32"/>
      <c r="E87" s="30"/>
      <c r="F87" s="30"/>
      <c r="G87" s="30"/>
    </row>
    <row r="88" spans="2:7" ht="16.8" thickBot="1">
      <c r="B88" s="289"/>
      <c r="C88" s="33" t="s">
        <v>92</v>
      </c>
      <c r="D88" s="30"/>
      <c r="E88" s="30"/>
      <c r="F88" s="30"/>
      <c r="G88" s="30"/>
    </row>
    <row r="89" spans="2:7" ht="16.8" thickBot="1">
      <c r="B89" s="290" t="s">
        <v>93</v>
      </c>
      <c r="C89" s="30" t="s">
        <v>94</v>
      </c>
      <c r="D89" s="30"/>
      <c r="E89" s="30"/>
      <c r="F89" s="30"/>
      <c r="G89" s="30"/>
    </row>
    <row r="90" spans="2:7" ht="16.8" thickBot="1">
      <c r="B90" s="291"/>
      <c r="C90" s="30" t="s">
        <v>88</v>
      </c>
      <c r="D90" s="30"/>
      <c r="E90" s="30"/>
      <c r="F90" s="30"/>
      <c r="G90" s="30"/>
    </row>
    <row r="91" spans="2:7" ht="16.8" thickBot="1">
      <c r="B91" s="291"/>
      <c r="C91" s="30" t="s">
        <v>95</v>
      </c>
      <c r="D91" s="30"/>
      <c r="E91" s="30"/>
      <c r="F91" s="30"/>
      <c r="G91" s="30"/>
    </row>
    <row r="92" spans="2:7" ht="16.8" thickBot="1">
      <c r="B92" s="291"/>
      <c r="C92" s="30" t="s">
        <v>96</v>
      </c>
      <c r="D92" s="30"/>
      <c r="E92" s="30"/>
      <c r="F92" s="30"/>
      <c r="G92" s="30"/>
    </row>
    <row r="93" spans="2:7" ht="16.8" thickBot="1">
      <c r="B93" s="291"/>
      <c r="C93" s="30" t="s">
        <v>97</v>
      </c>
      <c r="D93" s="31"/>
      <c r="E93" s="31"/>
      <c r="F93" s="31"/>
      <c r="G93" s="30"/>
    </row>
    <row r="94" spans="2:7" ht="16.8" thickBot="1">
      <c r="B94" s="291"/>
      <c r="C94" s="30" t="s">
        <v>98</v>
      </c>
      <c r="D94" s="31"/>
      <c r="E94" s="31"/>
      <c r="F94" s="30"/>
      <c r="G94" s="30"/>
    </row>
    <row r="95" spans="2:7" ht="16.8" thickBot="1">
      <c r="B95" s="291"/>
      <c r="C95" s="30" t="s">
        <v>99</v>
      </c>
      <c r="D95" s="30"/>
      <c r="E95" s="31"/>
      <c r="F95" s="30"/>
      <c r="G95" s="30"/>
    </row>
    <row r="96" spans="2:7" ht="16.8" thickBot="1">
      <c r="B96" s="291"/>
      <c r="C96" s="30" t="s">
        <v>91</v>
      </c>
      <c r="D96" s="30"/>
      <c r="E96" s="31"/>
      <c r="F96" s="30"/>
      <c r="G96" s="30"/>
    </row>
    <row r="97" spans="2:7" ht="16.8" thickBot="1">
      <c r="B97" s="292"/>
      <c r="C97" s="30" t="s">
        <v>92</v>
      </c>
      <c r="D97" s="30"/>
      <c r="E97" s="31"/>
      <c r="F97" s="31"/>
      <c r="G97" s="30"/>
    </row>
    <row r="98" spans="2:7" ht="16.8" thickBot="1">
      <c r="B98" s="25"/>
      <c r="C98" s="25"/>
      <c r="D98" s="25"/>
      <c r="E98" s="25"/>
      <c r="F98" s="25"/>
      <c r="G98" s="34"/>
    </row>
    <row r="99" spans="2:7">
      <c r="B99" s="25"/>
      <c r="C99" s="25"/>
      <c r="D99" s="25"/>
      <c r="E99" s="25"/>
      <c r="F99" s="25"/>
      <c r="G99" s="25"/>
    </row>
    <row r="100" spans="2:7" ht="16.8" thickBot="1">
      <c r="B100" s="24" t="s">
        <v>111</v>
      </c>
      <c r="C100" s="25"/>
      <c r="D100" s="25"/>
      <c r="E100" s="25"/>
      <c r="F100" s="25"/>
      <c r="G100" s="25"/>
    </row>
    <row r="101" spans="2:7" ht="29.4" thickBot="1">
      <c r="B101" s="43"/>
      <c r="C101" s="27" t="s">
        <v>100</v>
      </c>
      <c r="D101" s="36">
        <v>45778</v>
      </c>
      <c r="E101" s="36">
        <v>45809</v>
      </c>
      <c r="F101" s="36">
        <v>45839</v>
      </c>
      <c r="G101" s="28" t="s">
        <v>887</v>
      </c>
    </row>
    <row r="102" spans="2:7" ht="16.8" thickBot="1">
      <c r="B102" s="293" t="s">
        <v>101</v>
      </c>
      <c r="C102" s="30" t="s">
        <v>102</v>
      </c>
      <c r="D102" s="30">
        <f>'FY25 Summary_1'!C18</f>
        <v>37898.039999999994</v>
      </c>
      <c r="E102" s="30">
        <f>'FY25'!BA1</f>
        <v>81459.400000000009</v>
      </c>
      <c r="F102" s="30">
        <f>'FY25'!BC1</f>
        <v>90405.6</v>
      </c>
      <c r="G102" s="30">
        <f>SUM(D102:F102)</f>
        <v>209763.04</v>
      </c>
    </row>
    <row r="103" spans="2:7" ht="16.8" thickBot="1">
      <c r="B103" s="293"/>
      <c r="C103" s="30" t="s">
        <v>103</v>
      </c>
      <c r="D103" s="30"/>
      <c r="E103" s="30"/>
      <c r="F103" s="30"/>
      <c r="G103" s="30"/>
    </row>
    <row r="104" spans="2:7" ht="16.8" thickBot="1">
      <c r="B104" s="293"/>
      <c r="C104" s="30" t="s">
        <v>104</v>
      </c>
      <c r="D104" s="30"/>
      <c r="E104" s="30"/>
      <c r="F104" s="30"/>
      <c r="G104" s="30"/>
    </row>
    <row r="105" spans="2:7" ht="16.8" thickBot="1">
      <c r="B105" s="293"/>
      <c r="C105" s="30" t="s">
        <v>105</v>
      </c>
      <c r="D105" s="30"/>
      <c r="E105" s="30"/>
      <c r="F105" s="30"/>
      <c r="G105" s="30"/>
    </row>
    <row r="106" spans="2:7" ht="16.8" thickBot="1">
      <c r="B106" s="293"/>
      <c r="C106" s="30" t="s">
        <v>106</v>
      </c>
      <c r="D106" s="30"/>
      <c r="E106" s="30"/>
      <c r="F106" s="30"/>
      <c r="G106" s="30"/>
    </row>
    <row r="107" spans="2:7" ht="16.8" thickBot="1">
      <c r="B107" s="293"/>
      <c r="C107" s="30" t="s">
        <v>107</v>
      </c>
      <c r="D107" s="30"/>
      <c r="E107" s="30"/>
      <c r="F107" s="30"/>
      <c r="G107" s="30"/>
    </row>
    <row r="108" spans="2:7" ht="16.8" thickBot="1">
      <c r="B108" s="25"/>
      <c r="C108" s="25"/>
      <c r="D108" s="25"/>
      <c r="E108" s="25"/>
      <c r="F108" s="34" t="s">
        <v>108</v>
      </c>
      <c r="G108" s="35"/>
    </row>
    <row r="110" spans="2:7" ht="16.8" thickBot="1">
      <c r="B110" s="24" t="s">
        <v>113</v>
      </c>
      <c r="C110" s="25"/>
      <c r="D110" s="25"/>
      <c r="E110" s="25"/>
      <c r="F110" s="25"/>
      <c r="G110" s="25"/>
    </row>
    <row r="111" spans="2:7" ht="29.4" thickBot="1">
      <c r="B111" s="26"/>
      <c r="C111" s="27" t="s">
        <v>78</v>
      </c>
      <c r="D111" s="36">
        <v>45870</v>
      </c>
      <c r="E111" s="36">
        <v>45901</v>
      </c>
      <c r="F111" s="36">
        <v>45931</v>
      </c>
      <c r="G111" s="28" t="s">
        <v>886</v>
      </c>
    </row>
    <row r="112" spans="2:7" ht="16.8" thickBot="1">
      <c r="B112" s="287" t="s">
        <v>80</v>
      </c>
      <c r="C112" s="30" t="s">
        <v>81</v>
      </c>
      <c r="D112" s="30"/>
      <c r="E112" s="30"/>
      <c r="F112" s="30"/>
      <c r="G112" s="30"/>
    </row>
    <row r="113" spans="2:7" ht="16.8" thickBot="1">
      <c r="B113" s="288"/>
      <c r="C113" s="30" t="s">
        <v>82</v>
      </c>
      <c r="D113" s="30"/>
      <c r="E113" s="30"/>
      <c r="F113" s="30"/>
      <c r="G113" s="30"/>
    </row>
    <row r="114" spans="2:7" ht="16.8" thickBot="1">
      <c r="B114" s="288"/>
      <c r="C114" s="30" t="s">
        <v>83</v>
      </c>
      <c r="D114" s="30"/>
      <c r="E114" s="30"/>
      <c r="F114" s="30"/>
      <c r="G114" s="30"/>
    </row>
    <row r="115" spans="2:7" ht="16.8" thickBot="1">
      <c r="B115" s="288"/>
      <c r="C115" s="30" t="s">
        <v>84</v>
      </c>
      <c r="D115" s="30"/>
      <c r="E115" s="30"/>
      <c r="F115" s="30"/>
      <c r="G115" s="30"/>
    </row>
    <row r="116" spans="2:7" ht="16.8" thickBot="1">
      <c r="B116" s="288"/>
      <c r="C116" s="30" t="s">
        <v>85</v>
      </c>
      <c r="D116" s="30"/>
      <c r="E116" s="30"/>
      <c r="F116" s="30"/>
      <c r="G116" s="30"/>
    </row>
    <row r="117" spans="2:7" ht="16.8" thickBot="1">
      <c r="B117" s="288"/>
      <c r="C117" s="30" t="s">
        <v>86</v>
      </c>
      <c r="D117" s="30"/>
      <c r="E117" s="30"/>
      <c r="F117" s="30"/>
      <c r="G117" s="30"/>
    </row>
    <row r="118" spans="2:7" ht="16.8" thickBot="1">
      <c r="B118" s="288"/>
      <c r="C118" s="30" t="s">
        <v>87</v>
      </c>
      <c r="D118" s="30"/>
      <c r="E118" s="30"/>
      <c r="F118" s="30"/>
      <c r="G118" s="30"/>
    </row>
    <row r="119" spans="2:7" ht="16.8" thickBot="1">
      <c r="B119" s="288"/>
      <c r="C119" s="30" t="s">
        <v>88</v>
      </c>
      <c r="D119" s="30"/>
      <c r="E119" s="30"/>
      <c r="F119" s="30"/>
      <c r="G119" s="30"/>
    </row>
    <row r="120" spans="2:7" ht="16.8" thickBot="1">
      <c r="B120" s="288"/>
      <c r="C120" s="30" t="s">
        <v>89</v>
      </c>
      <c r="D120" s="30"/>
      <c r="E120" s="30"/>
      <c r="F120" s="30"/>
      <c r="G120" s="30"/>
    </row>
    <row r="121" spans="2:7" ht="16.8" thickBot="1">
      <c r="B121" s="288"/>
      <c r="C121" s="30" t="s">
        <v>90</v>
      </c>
      <c r="D121" s="31"/>
      <c r="E121" s="30"/>
      <c r="F121" s="30"/>
      <c r="G121" s="30"/>
    </row>
    <row r="122" spans="2:7" ht="16.8" thickBot="1">
      <c r="B122" s="288"/>
      <c r="C122" s="29" t="s">
        <v>91</v>
      </c>
      <c r="D122" s="32"/>
      <c r="E122" s="30"/>
      <c r="F122" s="30"/>
      <c r="G122" s="30"/>
    </row>
    <row r="123" spans="2:7" ht="16.8" thickBot="1">
      <c r="B123" s="289"/>
      <c r="C123" s="33" t="s">
        <v>92</v>
      </c>
      <c r="D123" s="30"/>
      <c r="E123" s="30"/>
      <c r="F123" s="30"/>
      <c r="G123" s="30"/>
    </row>
    <row r="124" spans="2:7" ht="16.8" thickBot="1">
      <c r="B124" s="290" t="s">
        <v>93</v>
      </c>
      <c r="C124" s="30" t="s">
        <v>94</v>
      </c>
      <c r="D124" s="30"/>
      <c r="E124" s="30"/>
      <c r="F124" s="30"/>
      <c r="G124" s="30"/>
    </row>
    <row r="125" spans="2:7" ht="16.8" thickBot="1">
      <c r="B125" s="291"/>
      <c r="C125" s="30" t="s">
        <v>88</v>
      </c>
      <c r="D125" s="30"/>
      <c r="E125" s="30"/>
      <c r="F125" s="30"/>
      <c r="G125" s="30"/>
    </row>
    <row r="126" spans="2:7" ht="16.8" thickBot="1">
      <c r="B126" s="291"/>
      <c r="C126" s="30" t="s">
        <v>95</v>
      </c>
      <c r="D126" s="30"/>
      <c r="E126" s="30"/>
      <c r="F126" s="30"/>
      <c r="G126" s="30"/>
    </row>
    <row r="127" spans="2:7" ht="16.8" thickBot="1">
      <c r="B127" s="291"/>
      <c r="C127" s="30" t="s">
        <v>96</v>
      </c>
      <c r="D127" s="30"/>
      <c r="E127" s="30"/>
      <c r="F127" s="30"/>
      <c r="G127" s="30"/>
    </row>
    <row r="128" spans="2:7" ht="16.8" thickBot="1">
      <c r="B128" s="291"/>
      <c r="C128" s="30" t="s">
        <v>97</v>
      </c>
      <c r="D128" s="31"/>
      <c r="E128" s="31"/>
      <c r="F128" s="31"/>
      <c r="G128" s="30"/>
    </row>
    <row r="129" spans="2:7" ht="16.8" thickBot="1">
      <c r="B129" s="291"/>
      <c r="C129" s="30" t="s">
        <v>98</v>
      </c>
      <c r="D129" s="31"/>
      <c r="E129" s="31"/>
      <c r="F129" s="30"/>
      <c r="G129" s="30"/>
    </row>
    <row r="130" spans="2:7" ht="16.8" thickBot="1">
      <c r="B130" s="291"/>
      <c r="C130" s="30" t="s">
        <v>99</v>
      </c>
      <c r="D130" s="30"/>
      <c r="E130" s="31"/>
      <c r="F130" s="30"/>
      <c r="G130" s="30"/>
    </row>
    <row r="131" spans="2:7" ht="16.8" thickBot="1">
      <c r="B131" s="291"/>
      <c r="C131" s="30" t="s">
        <v>91</v>
      </c>
      <c r="D131" s="30"/>
      <c r="E131" s="31"/>
      <c r="F131" s="30"/>
      <c r="G131" s="30"/>
    </row>
    <row r="132" spans="2:7" ht="16.8" thickBot="1">
      <c r="B132" s="292"/>
      <c r="C132" s="30" t="s">
        <v>92</v>
      </c>
      <c r="D132" s="30"/>
      <c r="E132" s="31"/>
      <c r="F132" s="31"/>
      <c r="G132" s="30"/>
    </row>
    <row r="133" spans="2:7" ht="16.8" thickBot="1">
      <c r="B133" s="25"/>
      <c r="C133" s="25"/>
      <c r="D133" s="25"/>
      <c r="E133" s="25"/>
      <c r="F133" s="25"/>
      <c r="G133" s="34"/>
    </row>
    <row r="134" spans="2:7">
      <c r="B134" s="25"/>
      <c r="C134" s="25"/>
      <c r="D134" s="25"/>
      <c r="E134" s="25"/>
      <c r="F134" s="25"/>
      <c r="G134" s="25"/>
    </row>
    <row r="135" spans="2:7" ht="16.8" thickBot="1">
      <c r="B135" s="24" t="s">
        <v>113</v>
      </c>
      <c r="C135" s="25"/>
      <c r="D135" s="25"/>
      <c r="E135" s="25"/>
      <c r="F135" s="25"/>
      <c r="G135" s="25"/>
    </row>
    <row r="136" spans="2:7" ht="29.4" thickBot="1">
      <c r="B136" s="43"/>
      <c r="C136" s="27" t="s">
        <v>100</v>
      </c>
      <c r="D136" s="36">
        <v>45529</v>
      </c>
      <c r="E136" s="36">
        <v>45901</v>
      </c>
      <c r="F136" s="36">
        <v>45931</v>
      </c>
      <c r="G136" s="28" t="s">
        <v>886</v>
      </c>
    </row>
    <row r="137" spans="2:7" ht="16.8" thickBot="1">
      <c r="B137" s="293" t="s">
        <v>101</v>
      </c>
      <c r="C137" s="30" t="s">
        <v>102</v>
      </c>
      <c r="D137" s="30">
        <f>'FY25'!BE1</f>
        <v>75666.899999999994</v>
      </c>
      <c r="E137" s="30">
        <f>'FY25'!BG1</f>
        <v>105555.91999999998</v>
      </c>
      <c r="F137" s="30">
        <f>'FY25'!BI1</f>
        <v>60563.079999999987</v>
      </c>
      <c r="G137" s="30">
        <f>SUM(D137:F137)</f>
        <v>241785.89999999997</v>
      </c>
    </row>
    <row r="138" spans="2:7" ht="16.8" thickBot="1">
      <c r="B138" s="293"/>
      <c r="C138" s="30" t="s">
        <v>103</v>
      </c>
      <c r="D138" s="30"/>
      <c r="E138" s="30"/>
      <c r="F138" s="30"/>
      <c r="G138" s="30"/>
    </row>
    <row r="139" spans="2:7" ht="16.8" thickBot="1">
      <c r="B139" s="293"/>
      <c r="C139" s="30" t="s">
        <v>104</v>
      </c>
      <c r="D139" s="30"/>
      <c r="E139" s="30"/>
      <c r="F139" s="30"/>
      <c r="G139" s="30"/>
    </row>
    <row r="140" spans="2:7" ht="16.8" thickBot="1">
      <c r="B140" s="293"/>
      <c r="C140" s="30" t="s">
        <v>105</v>
      </c>
      <c r="D140" s="30"/>
      <c r="E140" s="30"/>
      <c r="F140" s="30"/>
      <c r="G140" s="30"/>
    </row>
    <row r="141" spans="2:7" ht="16.8" thickBot="1">
      <c r="B141" s="293"/>
      <c r="C141" s="30" t="s">
        <v>106</v>
      </c>
      <c r="D141" s="30"/>
      <c r="E141" s="30"/>
      <c r="F141" s="30"/>
      <c r="G141" s="30"/>
    </row>
    <row r="142" spans="2:7" ht="16.8" thickBot="1">
      <c r="B142" s="293"/>
      <c r="C142" s="30" t="s">
        <v>107</v>
      </c>
      <c r="D142" s="30"/>
      <c r="E142" s="30"/>
      <c r="F142" s="30"/>
      <c r="G142" s="30"/>
    </row>
    <row r="143" spans="2:7" ht="16.8" thickBot="1">
      <c r="B143" s="25"/>
      <c r="C143" s="25"/>
      <c r="D143" s="25"/>
      <c r="E143" s="25"/>
      <c r="F143" s="34" t="s">
        <v>108</v>
      </c>
      <c r="G143" s="35"/>
    </row>
  </sheetData>
  <mergeCells count="12">
    <mergeCell ref="B137:B142"/>
    <mergeCell ref="B5:B16"/>
    <mergeCell ref="B17:B25"/>
    <mergeCell ref="B30:B35"/>
    <mergeCell ref="B41:B52"/>
    <mergeCell ref="B53:B61"/>
    <mergeCell ref="B66:B71"/>
    <mergeCell ref="B77:B88"/>
    <mergeCell ref="B89:B97"/>
    <mergeCell ref="B102:B107"/>
    <mergeCell ref="B112:B123"/>
    <mergeCell ref="B124:B132"/>
  </mergeCells>
  <phoneticPr fontId="4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10A7-5D30-4C84-8513-CD509921BB17}">
  <dimension ref="B2:H28"/>
  <sheetViews>
    <sheetView zoomScale="80" zoomScaleNormal="80" workbookViewId="0">
      <selection activeCell="D5" sqref="D5"/>
    </sheetView>
  </sheetViews>
  <sheetFormatPr defaultRowHeight="16.2"/>
  <cols>
    <col min="2" max="2" width="16.33203125" customWidth="1"/>
    <col min="3" max="3" width="17.21875" customWidth="1"/>
    <col min="4" max="4" width="14.33203125" customWidth="1"/>
    <col min="5" max="5" width="12.33203125" customWidth="1"/>
    <col min="6" max="6" width="18.33203125" customWidth="1"/>
  </cols>
  <sheetData>
    <row r="2" spans="2:8" ht="16.8" thickBot="1"/>
    <row r="3" spans="2:8" ht="16.8" thickBot="1">
      <c r="B3" s="56" t="s">
        <v>870</v>
      </c>
      <c r="C3" s="51" t="s">
        <v>1456</v>
      </c>
      <c r="D3" s="51" t="s">
        <v>1457</v>
      </c>
      <c r="E3" s="52" t="s">
        <v>1458</v>
      </c>
      <c r="F3" s="51" t="s">
        <v>41</v>
      </c>
      <c r="H3" s="57"/>
    </row>
    <row r="4" spans="2:8" ht="16.8" thickBot="1">
      <c r="B4" s="50" t="s">
        <v>42</v>
      </c>
      <c r="C4" s="51">
        <f>'FY26'!AM1</f>
        <v>69515.300000000017</v>
      </c>
      <c r="D4" s="51">
        <f>'FY26'!AO1</f>
        <v>66742.3</v>
      </c>
      <c r="E4" s="52"/>
      <c r="F4" s="51">
        <f>SUM(C4:E4)</f>
        <v>136257.60000000003</v>
      </c>
    </row>
    <row r="5" spans="2:8" ht="16.8" thickBot="1">
      <c r="B5" s="50" t="s">
        <v>43</v>
      </c>
      <c r="C5" s="51"/>
      <c r="D5" s="51"/>
      <c r="E5" s="52"/>
      <c r="F5" s="51">
        <f>SUM(C5:E5)</f>
        <v>0</v>
      </c>
    </row>
    <row r="6" spans="2:8" ht="16.8" thickBot="1">
      <c r="B6" s="53" t="s">
        <v>44</v>
      </c>
      <c r="C6" s="54"/>
      <c r="D6" s="54"/>
      <c r="E6" s="55"/>
      <c r="F6" s="51">
        <f>SUM(C6:E6)</f>
        <v>0</v>
      </c>
      <c r="H6" t="s">
        <v>45</v>
      </c>
    </row>
    <row r="7" spans="2:8" ht="16.8" thickBot="1">
      <c r="B7" s="50" t="s">
        <v>46</v>
      </c>
      <c r="C7" s="51">
        <f>SUM(C4:C6)</f>
        <v>69515.300000000017</v>
      </c>
      <c r="D7" s="51">
        <f>SUM(D4:D6)</f>
        <v>66742.3</v>
      </c>
      <c r="E7" s="51">
        <f>SUM(E4:E6)</f>
        <v>0</v>
      </c>
      <c r="F7" s="51">
        <f>SUM(F4:F6)</f>
        <v>136257.60000000003</v>
      </c>
    </row>
    <row r="8" spans="2:8">
      <c r="H8" t="s">
        <v>47</v>
      </c>
    </row>
    <row r="9" spans="2:8" ht="16.8" thickBot="1"/>
    <row r="10" spans="2:8" ht="16.8" thickBot="1">
      <c r="B10" s="56" t="s">
        <v>870</v>
      </c>
      <c r="C10" s="51" t="s">
        <v>1459</v>
      </c>
      <c r="D10" s="51" t="s">
        <v>1460</v>
      </c>
      <c r="E10" s="52" t="s">
        <v>1461</v>
      </c>
      <c r="F10" s="51" t="s">
        <v>51</v>
      </c>
      <c r="H10" t="s">
        <v>52</v>
      </c>
    </row>
    <row r="11" spans="2:8" ht="16.8" thickBot="1">
      <c r="B11" s="50" t="s">
        <v>42</v>
      </c>
      <c r="C11" s="51"/>
      <c r="D11" s="51"/>
      <c r="E11" s="52"/>
      <c r="F11" s="51">
        <f>SUM(C11:E11)</f>
        <v>0</v>
      </c>
    </row>
    <row r="12" spans="2:8" ht="16.8" thickBot="1">
      <c r="B12" s="50" t="s">
        <v>43</v>
      </c>
      <c r="C12" s="51"/>
      <c r="D12" s="51"/>
      <c r="E12" s="52"/>
      <c r="F12" s="51">
        <f>SUM(C12:E12)</f>
        <v>0</v>
      </c>
      <c r="H12" t="s">
        <v>53</v>
      </c>
    </row>
    <row r="13" spans="2:8" ht="16.8" thickBot="1">
      <c r="B13" s="53" t="s">
        <v>44</v>
      </c>
      <c r="C13" s="54"/>
      <c r="D13" s="54"/>
      <c r="E13" s="55"/>
      <c r="F13" s="51">
        <f>SUM(C13:E13)</f>
        <v>0</v>
      </c>
    </row>
    <row r="14" spans="2:8" ht="16.8" thickBot="1">
      <c r="B14" s="50" t="s">
        <v>46</v>
      </c>
      <c r="C14" s="51">
        <f>SUM(C11:C13)</f>
        <v>0</v>
      </c>
      <c r="D14" s="51">
        <f>SUM(D11:D13)</f>
        <v>0</v>
      </c>
      <c r="E14" s="51">
        <f>SUM(E11:E13)</f>
        <v>0</v>
      </c>
      <c r="F14" s="51">
        <f>SUM(F11:F13)</f>
        <v>0</v>
      </c>
      <c r="H14" t="s">
        <v>54</v>
      </c>
    </row>
    <row r="15" spans="2:8">
      <c r="H15" t="s">
        <v>55</v>
      </c>
    </row>
    <row r="16" spans="2:8" ht="16.8" thickBot="1"/>
    <row r="17" spans="2:8" ht="16.8" thickBot="1">
      <c r="B17" s="56" t="s">
        <v>870</v>
      </c>
      <c r="C17" s="51" t="s">
        <v>1462</v>
      </c>
      <c r="D17" s="51" t="s">
        <v>1463</v>
      </c>
      <c r="E17" s="52" t="s">
        <v>1464</v>
      </c>
      <c r="F17" s="51" t="s">
        <v>59</v>
      </c>
      <c r="H17" t="s">
        <v>60</v>
      </c>
    </row>
    <row r="18" spans="2:8" ht="16.8" thickBot="1">
      <c r="B18" s="50" t="s">
        <v>42</v>
      </c>
      <c r="C18" s="51"/>
      <c r="D18" s="51"/>
      <c r="E18" s="52"/>
      <c r="F18" s="51">
        <f>SUM(C18:E18)</f>
        <v>0</v>
      </c>
    </row>
    <row r="19" spans="2:8" ht="16.8" thickBot="1">
      <c r="B19" s="50" t="s">
        <v>43</v>
      </c>
      <c r="C19" s="51"/>
      <c r="D19" s="51"/>
      <c r="E19" s="52"/>
      <c r="F19" s="51">
        <f>SUM(C19:E19)</f>
        <v>0</v>
      </c>
    </row>
    <row r="20" spans="2:8" ht="16.8" thickBot="1">
      <c r="B20" s="53" t="s">
        <v>44</v>
      </c>
      <c r="C20" s="54"/>
      <c r="D20" s="54"/>
      <c r="E20" s="55"/>
      <c r="F20" s="51">
        <f>SUM(C20:E20)</f>
        <v>0</v>
      </c>
    </row>
    <row r="21" spans="2:8" ht="16.8" thickBot="1">
      <c r="B21" s="50" t="s">
        <v>46</v>
      </c>
      <c r="C21" s="51">
        <f>SUM(C18:C20)</f>
        <v>0</v>
      </c>
      <c r="D21" s="51">
        <f>SUM(D18:D20)</f>
        <v>0</v>
      </c>
      <c r="E21" s="51">
        <f>SUM(E18:E20)</f>
        <v>0</v>
      </c>
      <c r="F21" s="51">
        <f>SUM(F18:F20)</f>
        <v>0</v>
      </c>
    </row>
    <row r="23" spans="2:8" ht="16.8" thickBot="1"/>
    <row r="24" spans="2:8" ht="16.8" thickBot="1">
      <c r="B24" s="56" t="s">
        <v>870</v>
      </c>
      <c r="C24" s="51" t="s">
        <v>1465</v>
      </c>
      <c r="D24" s="51" t="s">
        <v>1466</v>
      </c>
      <c r="E24" s="52" t="s">
        <v>1467</v>
      </c>
      <c r="F24" s="51" t="s">
        <v>64</v>
      </c>
    </row>
    <row r="25" spans="2:8" ht="16.8" thickBot="1">
      <c r="B25" s="50" t="s">
        <v>42</v>
      </c>
      <c r="C25" s="51"/>
      <c r="D25" s="51"/>
      <c r="E25" s="52"/>
      <c r="F25" s="51">
        <f>SUM(C25:E25)</f>
        <v>0</v>
      </c>
    </row>
    <row r="26" spans="2:8" ht="16.8" thickBot="1">
      <c r="B26" s="50" t="s">
        <v>43</v>
      </c>
      <c r="C26" s="51"/>
      <c r="D26" s="51"/>
      <c r="E26" s="52"/>
      <c r="F26" s="51"/>
    </row>
    <row r="27" spans="2:8" ht="16.8" thickBot="1">
      <c r="B27" s="53" t="s">
        <v>44</v>
      </c>
      <c r="C27" s="54"/>
      <c r="D27" s="54"/>
      <c r="E27" s="55"/>
      <c r="F27" s="54"/>
    </row>
    <row r="28" spans="2:8" ht="16.8" thickBot="1">
      <c r="B28" s="50" t="s">
        <v>46</v>
      </c>
      <c r="C28" s="51">
        <f>SUM(C25:C27)</f>
        <v>0</v>
      </c>
      <c r="D28" s="51">
        <f>SUM(D25:D27)</f>
        <v>0</v>
      </c>
      <c r="E28" s="51">
        <f>SUM(E25:E27)</f>
        <v>0</v>
      </c>
      <c r="F28" s="51">
        <f>SUM(F25:F27)</f>
        <v>0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7930-6499-47AA-A65B-22B81CD9BA15}">
  <dimension ref="B3:G143"/>
  <sheetViews>
    <sheetView zoomScale="85" zoomScaleNormal="85" workbookViewId="0">
      <selection activeCell="E31" sqref="E31"/>
    </sheetView>
  </sheetViews>
  <sheetFormatPr defaultRowHeight="16.2"/>
  <cols>
    <col min="1" max="1" width="2.33203125" customWidth="1"/>
    <col min="2" max="2" width="26.33203125" customWidth="1"/>
    <col min="3" max="3" width="22.33203125" customWidth="1"/>
    <col min="4" max="4" width="20.33203125" customWidth="1"/>
    <col min="5" max="5" width="14.33203125" customWidth="1"/>
    <col min="6" max="7" width="18.33203125" customWidth="1"/>
  </cols>
  <sheetData>
    <row r="3" spans="2:7" ht="16.8" thickBot="1">
      <c r="B3" s="24" t="s">
        <v>77</v>
      </c>
      <c r="C3" s="25"/>
      <c r="D3" s="25"/>
      <c r="E3" s="25"/>
      <c r="F3" s="25"/>
      <c r="G3" s="25"/>
    </row>
    <row r="4" spans="2:7" ht="29.4" thickBot="1">
      <c r="B4" s="26"/>
      <c r="C4" s="27" t="s">
        <v>78</v>
      </c>
      <c r="D4" s="36" t="s">
        <v>1456</v>
      </c>
      <c r="E4" s="36" t="s">
        <v>1457</v>
      </c>
      <c r="F4" s="36" t="s">
        <v>1458</v>
      </c>
      <c r="G4" s="28" t="s">
        <v>1468</v>
      </c>
    </row>
    <row r="5" spans="2:7" ht="16.8" thickBot="1">
      <c r="B5" s="287" t="s">
        <v>80</v>
      </c>
      <c r="C5" s="30" t="s">
        <v>81</v>
      </c>
      <c r="D5" s="30"/>
      <c r="E5" s="30"/>
      <c r="F5" s="30"/>
      <c r="G5" s="30"/>
    </row>
    <row r="6" spans="2:7" ht="16.8" thickBot="1">
      <c r="B6" s="288"/>
      <c r="C6" s="30" t="s">
        <v>82</v>
      </c>
      <c r="D6" s="30"/>
      <c r="E6" s="30"/>
      <c r="F6" s="30"/>
      <c r="G6" s="30"/>
    </row>
    <row r="7" spans="2:7" ht="16.8" thickBot="1">
      <c r="B7" s="288"/>
      <c r="C7" s="30" t="s">
        <v>83</v>
      </c>
      <c r="D7" s="30"/>
      <c r="E7" s="30"/>
      <c r="F7" s="30"/>
      <c r="G7" s="30"/>
    </row>
    <row r="8" spans="2:7" ht="16.8" thickBot="1">
      <c r="B8" s="288"/>
      <c r="C8" s="30" t="s">
        <v>84</v>
      </c>
      <c r="D8" s="30"/>
      <c r="E8" s="30"/>
      <c r="F8" s="30"/>
      <c r="G8" s="30"/>
    </row>
    <row r="9" spans="2:7" ht="16.8" thickBot="1">
      <c r="B9" s="288"/>
      <c r="C9" s="30" t="s">
        <v>85</v>
      </c>
      <c r="D9" s="30"/>
      <c r="E9" s="30"/>
      <c r="F9" s="30"/>
      <c r="G9" s="30"/>
    </row>
    <row r="10" spans="2:7" ht="16.8" thickBot="1">
      <c r="B10" s="288"/>
      <c r="C10" s="30" t="s">
        <v>86</v>
      </c>
      <c r="D10" s="30"/>
      <c r="E10" s="30"/>
      <c r="F10" s="30"/>
      <c r="G10" s="30"/>
    </row>
    <row r="11" spans="2:7" ht="16.8" thickBot="1">
      <c r="B11" s="288"/>
      <c r="C11" s="30" t="s">
        <v>87</v>
      </c>
      <c r="D11" s="30"/>
      <c r="E11" s="30"/>
      <c r="F11" s="30"/>
      <c r="G11" s="30"/>
    </row>
    <row r="12" spans="2:7" ht="16.8" thickBot="1">
      <c r="B12" s="288"/>
      <c r="C12" s="30" t="s">
        <v>88</v>
      </c>
      <c r="D12" s="30"/>
      <c r="E12" s="30"/>
      <c r="F12" s="30"/>
      <c r="G12" s="30"/>
    </row>
    <row r="13" spans="2:7" ht="16.8" thickBot="1">
      <c r="B13" s="288"/>
      <c r="C13" s="30" t="s">
        <v>89</v>
      </c>
      <c r="D13" s="30"/>
      <c r="E13" s="30"/>
      <c r="F13" s="30"/>
      <c r="G13" s="30"/>
    </row>
    <row r="14" spans="2:7" ht="16.8" thickBot="1">
      <c r="B14" s="288"/>
      <c r="C14" s="30" t="s">
        <v>90</v>
      </c>
      <c r="D14" s="31"/>
      <c r="E14" s="30"/>
      <c r="F14" s="30"/>
      <c r="G14" s="30"/>
    </row>
    <row r="15" spans="2:7" ht="16.8" thickBot="1">
      <c r="B15" s="288"/>
      <c r="C15" s="29" t="s">
        <v>91</v>
      </c>
      <c r="D15" s="32"/>
      <c r="E15" s="30"/>
      <c r="F15" s="30"/>
      <c r="G15" s="30"/>
    </row>
    <row r="16" spans="2:7" ht="16.8" thickBot="1">
      <c r="B16" s="289"/>
      <c r="C16" s="33" t="s">
        <v>92</v>
      </c>
      <c r="D16" s="30"/>
      <c r="E16" s="30"/>
      <c r="F16" s="30"/>
      <c r="G16" s="30"/>
    </row>
    <row r="17" spans="2:7" ht="16.8" thickBot="1">
      <c r="B17" s="290" t="s">
        <v>93</v>
      </c>
      <c r="C17" s="30" t="s">
        <v>94</v>
      </c>
      <c r="D17" s="30"/>
      <c r="E17" s="30"/>
      <c r="F17" s="30"/>
      <c r="G17" s="30"/>
    </row>
    <row r="18" spans="2:7" ht="16.8" thickBot="1">
      <c r="B18" s="291"/>
      <c r="C18" s="30" t="s">
        <v>88</v>
      </c>
      <c r="D18" s="30"/>
      <c r="E18" s="30"/>
      <c r="F18" s="30"/>
      <c r="G18" s="30"/>
    </row>
    <row r="19" spans="2:7" ht="16.8" thickBot="1">
      <c r="B19" s="291"/>
      <c r="C19" s="30" t="s">
        <v>95</v>
      </c>
      <c r="D19" s="30"/>
      <c r="E19" s="30"/>
      <c r="F19" s="30"/>
      <c r="G19" s="30"/>
    </row>
    <row r="20" spans="2:7" ht="16.8" thickBot="1">
      <c r="B20" s="291"/>
      <c r="C20" s="30" t="s">
        <v>96</v>
      </c>
      <c r="D20" s="30"/>
      <c r="E20" s="30"/>
      <c r="F20" s="30"/>
      <c r="G20" s="30"/>
    </row>
    <row r="21" spans="2:7" ht="16.8" thickBot="1">
      <c r="B21" s="291"/>
      <c r="C21" s="30" t="s">
        <v>97</v>
      </c>
      <c r="D21" s="31"/>
      <c r="E21" s="31"/>
      <c r="F21" s="31"/>
      <c r="G21" s="30"/>
    </row>
    <row r="22" spans="2:7" ht="16.8" thickBot="1">
      <c r="B22" s="291"/>
      <c r="C22" s="30" t="s">
        <v>98</v>
      </c>
      <c r="D22" s="31"/>
      <c r="E22" s="31"/>
      <c r="F22" s="30"/>
      <c r="G22" s="30"/>
    </row>
    <row r="23" spans="2:7" ht="16.8" thickBot="1">
      <c r="B23" s="291"/>
      <c r="C23" s="30" t="s">
        <v>99</v>
      </c>
      <c r="D23" s="30"/>
      <c r="E23" s="31"/>
      <c r="F23" s="30"/>
      <c r="G23" s="30"/>
    </row>
    <row r="24" spans="2:7" ht="16.8" thickBot="1">
      <c r="B24" s="291"/>
      <c r="C24" s="30" t="s">
        <v>91</v>
      </c>
      <c r="D24" s="30"/>
      <c r="E24" s="31"/>
      <c r="F24" s="30"/>
      <c r="G24" s="30"/>
    </row>
    <row r="25" spans="2:7" ht="16.8" thickBot="1">
      <c r="B25" s="292"/>
      <c r="C25" s="30" t="s">
        <v>92</v>
      </c>
      <c r="D25" s="30"/>
      <c r="E25" s="31"/>
      <c r="F25" s="31"/>
      <c r="G25" s="30"/>
    </row>
    <row r="26" spans="2:7" ht="16.8" thickBot="1">
      <c r="B26" s="25"/>
      <c r="C26" s="25"/>
      <c r="D26" s="25"/>
      <c r="E26" s="25"/>
      <c r="F26" s="25"/>
      <c r="G26" s="34"/>
    </row>
    <row r="27" spans="2:7">
      <c r="B27" s="25"/>
      <c r="C27" s="25"/>
      <c r="D27" s="25"/>
      <c r="E27" s="25"/>
      <c r="F27" s="25"/>
      <c r="G27" s="25"/>
    </row>
    <row r="28" spans="2:7" ht="16.8" thickBot="1">
      <c r="B28" s="24" t="s">
        <v>77</v>
      </c>
      <c r="C28" s="25"/>
      <c r="D28" s="25"/>
      <c r="E28" s="25"/>
      <c r="F28" s="25"/>
      <c r="G28" s="25"/>
    </row>
    <row r="29" spans="2:7" ht="29.4" thickBot="1">
      <c r="B29" s="43"/>
      <c r="C29" s="27" t="s">
        <v>100</v>
      </c>
      <c r="D29" s="36" t="s">
        <v>1456</v>
      </c>
      <c r="E29" s="36" t="s">
        <v>1457</v>
      </c>
      <c r="F29" s="36" t="s">
        <v>1458</v>
      </c>
      <c r="G29" s="28" t="s">
        <v>1468</v>
      </c>
    </row>
    <row r="30" spans="2:7" ht="16.8" thickBot="1">
      <c r="B30" s="293" t="s">
        <v>101</v>
      </c>
      <c r="C30" s="30" t="s">
        <v>102</v>
      </c>
      <c r="D30" s="30">
        <f>'FY26 Summary_1'!C4</f>
        <v>69515.300000000017</v>
      </c>
      <c r="E30" s="30">
        <f>'FY26 Summary_1'!D4</f>
        <v>66742.3</v>
      </c>
      <c r="F30" s="30"/>
      <c r="G30" s="30">
        <f>SUM(D30:F30)</f>
        <v>136257.60000000003</v>
      </c>
    </row>
    <row r="31" spans="2:7" ht="16.8" thickBot="1">
      <c r="B31" s="293"/>
      <c r="C31" s="30" t="s">
        <v>103</v>
      </c>
      <c r="D31" s="30"/>
      <c r="E31" s="30"/>
      <c r="F31" s="30"/>
      <c r="G31" s="30"/>
    </row>
    <row r="32" spans="2:7" ht="16.8" thickBot="1">
      <c r="B32" s="293"/>
      <c r="C32" s="30" t="s">
        <v>104</v>
      </c>
      <c r="D32" s="30"/>
      <c r="E32" s="30"/>
      <c r="F32" s="30"/>
      <c r="G32" s="30"/>
    </row>
    <row r="33" spans="2:7" ht="16.8" thickBot="1">
      <c r="B33" s="293"/>
      <c r="C33" s="30" t="s">
        <v>105</v>
      </c>
      <c r="D33" s="30"/>
      <c r="E33" s="30"/>
      <c r="F33" s="30"/>
      <c r="G33" s="30"/>
    </row>
    <row r="34" spans="2:7" ht="16.8" thickBot="1">
      <c r="B34" s="293"/>
      <c r="C34" s="30" t="s">
        <v>106</v>
      </c>
      <c r="D34" s="30"/>
      <c r="E34" s="30"/>
      <c r="F34" s="30"/>
      <c r="G34" s="30"/>
    </row>
    <row r="35" spans="2:7" ht="16.8" thickBot="1">
      <c r="B35" s="293"/>
      <c r="C35" s="30" t="s">
        <v>107</v>
      </c>
      <c r="D35" s="30"/>
      <c r="E35" s="30"/>
      <c r="F35" s="30"/>
      <c r="G35" s="30"/>
    </row>
    <row r="36" spans="2:7" ht="16.8" thickBot="1">
      <c r="B36" s="25"/>
      <c r="C36" s="25"/>
      <c r="D36" s="25"/>
      <c r="E36" s="25"/>
      <c r="F36" s="34" t="s">
        <v>108</v>
      </c>
      <c r="G36" s="35"/>
    </row>
    <row r="39" spans="2:7" ht="16.8" thickBot="1">
      <c r="B39" s="24" t="s">
        <v>109</v>
      </c>
      <c r="C39" s="25"/>
      <c r="D39" s="25"/>
      <c r="E39" s="25"/>
      <c r="F39" s="25"/>
      <c r="G39" s="25"/>
    </row>
    <row r="40" spans="2:7" ht="29.4" thickBot="1">
      <c r="B40" s="26"/>
      <c r="C40" s="27" t="s">
        <v>78</v>
      </c>
      <c r="D40" s="36" t="s">
        <v>1469</v>
      </c>
      <c r="E40" s="36" t="s">
        <v>1460</v>
      </c>
      <c r="F40" s="36" t="s">
        <v>1461</v>
      </c>
      <c r="G40" s="28" t="s">
        <v>1470</v>
      </c>
    </row>
    <row r="41" spans="2:7" ht="16.8" thickBot="1">
      <c r="B41" s="287" t="s">
        <v>80</v>
      </c>
      <c r="C41" s="30" t="s">
        <v>81</v>
      </c>
      <c r="D41" s="30"/>
      <c r="E41" s="30"/>
      <c r="F41" s="30"/>
      <c r="G41" s="30"/>
    </row>
    <row r="42" spans="2:7" ht="16.8" thickBot="1">
      <c r="B42" s="288"/>
      <c r="C42" s="30" t="s">
        <v>82</v>
      </c>
      <c r="D42" s="30"/>
      <c r="E42" s="30"/>
      <c r="F42" s="30"/>
      <c r="G42" s="30"/>
    </row>
    <row r="43" spans="2:7" ht="16.8" thickBot="1">
      <c r="B43" s="288"/>
      <c r="C43" s="30" t="s">
        <v>83</v>
      </c>
      <c r="D43" s="30"/>
      <c r="E43" s="30"/>
      <c r="F43" s="30"/>
      <c r="G43" s="30"/>
    </row>
    <row r="44" spans="2:7" ht="16.8" thickBot="1">
      <c r="B44" s="288"/>
      <c r="C44" s="30" t="s">
        <v>84</v>
      </c>
      <c r="D44" s="30"/>
      <c r="E44" s="30"/>
      <c r="F44" s="30"/>
      <c r="G44" s="30"/>
    </row>
    <row r="45" spans="2:7" ht="16.8" thickBot="1">
      <c r="B45" s="288"/>
      <c r="C45" s="30" t="s">
        <v>85</v>
      </c>
      <c r="D45" s="30"/>
      <c r="E45" s="30"/>
      <c r="F45" s="30"/>
      <c r="G45" s="30"/>
    </row>
    <row r="46" spans="2:7" ht="16.8" thickBot="1">
      <c r="B46" s="288"/>
      <c r="C46" s="30" t="s">
        <v>86</v>
      </c>
      <c r="D46" s="30"/>
      <c r="E46" s="30"/>
      <c r="F46" s="30"/>
      <c r="G46" s="30"/>
    </row>
    <row r="47" spans="2:7" ht="16.8" thickBot="1">
      <c r="B47" s="288"/>
      <c r="C47" s="30" t="s">
        <v>87</v>
      </c>
      <c r="D47" s="30"/>
      <c r="E47" s="30"/>
      <c r="F47" s="30"/>
      <c r="G47" s="30"/>
    </row>
    <row r="48" spans="2:7" ht="16.8" thickBot="1">
      <c r="B48" s="288"/>
      <c r="C48" s="30" t="s">
        <v>88</v>
      </c>
      <c r="D48" s="30"/>
      <c r="E48" s="30"/>
      <c r="F48" s="30"/>
      <c r="G48" s="30"/>
    </row>
    <row r="49" spans="2:7" ht="16.8" thickBot="1">
      <c r="B49" s="288"/>
      <c r="C49" s="30" t="s">
        <v>89</v>
      </c>
      <c r="D49" s="30"/>
      <c r="E49" s="30"/>
      <c r="F49" s="30"/>
      <c r="G49" s="30"/>
    </row>
    <row r="50" spans="2:7" ht="16.8" thickBot="1">
      <c r="B50" s="288"/>
      <c r="C50" s="30" t="s">
        <v>90</v>
      </c>
      <c r="D50" s="31"/>
      <c r="E50" s="30"/>
      <c r="F50" s="30"/>
      <c r="G50" s="30"/>
    </row>
    <row r="51" spans="2:7" ht="16.8" thickBot="1">
      <c r="B51" s="288"/>
      <c r="C51" s="29" t="s">
        <v>91</v>
      </c>
      <c r="D51" s="32"/>
      <c r="E51" s="30"/>
      <c r="F51" s="30"/>
      <c r="G51" s="30"/>
    </row>
    <row r="52" spans="2:7" ht="16.8" thickBot="1">
      <c r="B52" s="289"/>
      <c r="C52" s="33" t="s">
        <v>92</v>
      </c>
      <c r="D52" s="30"/>
      <c r="E52" s="30"/>
      <c r="F52" s="30"/>
      <c r="G52" s="30"/>
    </row>
    <row r="53" spans="2:7" ht="16.8" thickBot="1">
      <c r="B53" s="290" t="s">
        <v>93</v>
      </c>
      <c r="C53" s="30" t="s">
        <v>94</v>
      </c>
      <c r="D53" s="30"/>
      <c r="E53" s="30"/>
      <c r="F53" s="30"/>
      <c r="G53" s="30"/>
    </row>
    <row r="54" spans="2:7" ht="16.8" thickBot="1">
      <c r="B54" s="291"/>
      <c r="C54" s="30" t="s">
        <v>88</v>
      </c>
      <c r="D54" s="30"/>
      <c r="E54" s="30"/>
      <c r="F54" s="30"/>
      <c r="G54" s="30"/>
    </row>
    <row r="55" spans="2:7" ht="16.8" thickBot="1">
      <c r="B55" s="291"/>
      <c r="C55" s="30" t="s">
        <v>95</v>
      </c>
      <c r="D55" s="30"/>
      <c r="E55" s="30"/>
      <c r="F55" s="30"/>
      <c r="G55" s="30"/>
    </row>
    <row r="56" spans="2:7" ht="16.8" thickBot="1">
      <c r="B56" s="291"/>
      <c r="C56" s="30" t="s">
        <v>96</v>
      </c>
      <c r="D56" s="30"/>
      <c r="E56" s="30"/>
      <c r="F56" s="30"/>
      <c r="G56" s="30"/>
    </row>
    <row r="57" spans="2:7" ht="16.8" thickBot="1">
      <c r="B57" s="291"/>
      <c r="C57" s="30" t="s">
        <v>97</v>
      </c>
      <c r="D57" s="31"/>
      <c r="E57" s="31"/>
      <c r="F57" s="31"/>
      <c r="G57" s="30"/>
    </row>
    <row r="58" spans="2:7" ht="16.8" thickBot="1">
      <c r="B58" s="291"/>
      <c r="C58" s="30" t="s">
        <v>98</v>
      </c>
      <c r="D58" s="31"/>
      <c r="E58" s="31"/>
      <c r="F58" s="30"/>
      <c r="G58" s="30"/>
    </row>
    <row r="59" spans="2:7" ht="16.8" thickBot="1">
      <c r="B59" s="291"/>
      <c r="C59" s="30" t="s">
        <v>99</v>
      </c>
      <c r="D59" s="30"/>
      <c r="E59" s="31"/>
      <c r="F59" s="30"/>
      <c r="G59" s="30"/>
    </row>
    <row r="60" spans="2:7" ht="16.8" thickBot="1">
      <c r="B60" s="291"/>
      <c r="C60" s="30" t="s">
        <v>91</v>
      </c>
      <c r="D60" s="30"/>
      <c r="E60" s="31"/>
      <c r="F60" s="30"/>
      <c r="G60" s="30"/>
    </row>
    <row r="61" spans="2:7" ht="16.8" thickBot="1">
      <c r="B61" s="292"/>
      <c r="C61" s="30" t="s">
        <v>92</v>
      </c>
      <c r="D61" s="30"/>
      <c r="E61" s="31"/>
      <c r="F61" s="31"/>
      <c r="G61" s="30"/>
    </row>
    <row r="62" spans="2:7" ht="16.8" thickBot="1">
      <c r="B62" s="25"/>
      <c r="C62" s="25"/>
      <c r="D62" s="25"/>
      <c r="E62" s="25"/>
      <c r="F62" s="25"/>
      <c r="G62" s="34"/>
    </row>
    <row r="63" spans="2:7">
      <c r="B63" s="25"/>
      <c r="C63" s="25"/>
      <c r="D63" s="25"/>
      <c r="E63" s="25"/>
      <c r="F63" s="25"/>
      <c r="G63" s="25"/>
    </row>
    <row r="64" spans="2:7" ht="16.8" thickBot="1">
      <c r="B64" s="24" t="s">
        <v>109</v>
      </c>
      <c r="C64" s="25"/>
      <c r="D64" s="25"/>
      <c r="E64" s="25"/>
      <c r="F64" s="25"/>
      <c r="G64" s="25"/>
    </row>
    <row r="65" spans="2:7" ht="29.4" thickBot="1">
      <c r="B65" s="26"/>
      <c r="C65" s="27" t="s">
        <v>100</v>
      </c>
      <c r="D65" s="36" t="s">
        <v>1469</v>
      </c>
      <c r="E65" s="36" t="s">
        <v>1460</v>
      </c>
      <c r="F65" s="36" t="s">
        <v>1461</v>
      </c>
      <c r="G65" s="28" t="s">
        <v>1470</v>
      </c>
    </row>
    <row r="66" spans="2:7" ht="16.8" thickBot="1">
      <c r="B66" s="293" t="s">
        <v>101</v>
      </c>
      <c r="C66" s="30" t="s">
        <v>102</v>
      </c>
      <c r="D66" s="30">
        <f>'FY26 Summary_1'!C11</f>
        <v>0</v>
      </c>
      <c r="E66" s="30">
        <f>'FY26 Summary_1'!D11</f>
        <v>0</v>
      </c>
      <c r="F66" s="30">
        <f>'FY26 Summary_1'!E11</f>
        <v>0</v>
      </c>
      <c r="G66" s="30">
        <f>SUM(D66:F66)</f>
        <v>0</v>
      </c>
    </row>
    <row r="67" spans="2:7" ht="16.8" thickBot="1">
      <c r="B67" s="293" t="s">
        <v>101</v>
      </c>
      <c r="C67" s="30" t="s">
        <v>103</v>
      </c>
      <c r="D67" s="30"/>
      <c r="E67" s="30"/>
      <c r="F67" s="30"/>
      <c r="G67" s="30"/>
    </row>
    <row r="68" spans="2:7" ht="16.8" thickBot="1">
      <c r="B68" s="293"/>
      <c r="C68" s="30" t="s">
        <v>104</v>
      </c>
      <c r="D68" s="30"/>
      <c r="E68" s="30"/>
      <c r="F68" s="30"/>
      <c r="G68" s="30"/>
    </row>
    <row r="69" spans="2:7" ht="16.8" thickBot="1">
      <c r="B69" s="293"/>
      <c r="C69" s="30" t="s">
        <v>105</v>
      </c>
      <c r="D69" s="30"/>
      <c r="E69" s="30"/>
      <c r="F69" s="30"/>
      <c r="G69" s="30"/>
    </row>
    <row r="70" spans="2:7" ht="16.8" thickBot="1">
      <c r="B70" s="293"/>
      <c r="C70" s="30" t="s">
        <v>106</v>
      </c>
      <c r="D70" s="30"/>
      <c r="E70" s="30"/>
      <c r="F70" s="30"/>
      <c r="G70" s="30"/>
    </row>
    <row r="71" spans="2:7" ht="16.8" thickBot="1">
      <c r="B71" s="293"/>
      <c r="C71" s="30" t="s">
        <v>107</v>
      </c>
      <c r="D71" s="30"/>
      <c r="E71" s="30"/>
      <c r="F71" s="30"/>
      <c r="G71" s="30"/>
    </row>
    <row r="72" spans="2:7" ht="16.8" thickBot="1">
      <c r="B72" s="25"/>
      <c r="C72" s="25"/>
      <c r="D72" s="25"/>
      <c r="E72" s="25"/>
      <c r="F72" s="34" t="s">
        <v>108</v>
      </c>
      <c r="G72" s="35"/>
    </row>
    <row r="75" spans="2:7" ht="16.8" thickBot="1">
      <c r="B75" s="24" t="s">
        <v>111</v>
      </c>
      <c r="C75" s="25"/>
      <c r="D75" s="25"/>
      <c r="E75" s="25"/>
      <c r="F75" s="25"/>
      <c r="G75" s="25"/>
    </row>
    <row r="76" spans="2:7" ht="29.4" thickBot="1">
      <c r="B76" s="26"/>
      <c r="C76" s="27" t="s">
        <v>78</v>
      </c>
      <c r="D76" s="36" t="s">
        <v>1462</v>
      </c>
      <c r="E76" s="36" t="s">
        <v>1463</v>
      </c>
      <c r="F76" s="36" t="s">
        <v>1464</v>
      </c>
      <c r="G76" s="28" t="s">
        <v>1471</v>
      </c>
    </row>
    <row r="77" spans="2:7" ht="16.8" thickBot="1">
      <c r="B77" s="287" t="s">
        <v>80</v>
      </c>
      <c r="C77" s="30" t="s">
        <v>81</v>
      </c>
      <c r="D77" s="30"/>
      <c r="E77" s="30"/>
      <c r="F77" s="30"/>
      <c r="G77" s="30"/>
    </row>
    <row r="78" spans="2:7" ht="16.8" thickBot="1">
      <c r="B78" s="288"/>
      <c r="C78" s="30" t="s">
        <v>82</v>
      </c>
      <c r="D78" s="30"/>
      <c r="E78" s="30"/>
      <c r="F78" s="30"/>
      <c r="G78" s="30"/>
    </row>
    <row r="79" spans="2:7" ht="16.8" thickBot="1">
      <c r="B79" s="288"/>
      <c r="C79" s="30" t="s">
        <v>83</v>
      </c>
      <c r="D79" s="30"/>
      <c r="E79" s="30"/>
      <c r="F79" s="30"/>
      <c r="G79" s="30"/>
    </row>
    <row r="80" spans="2:7" ht="16.8" thickBot="1">
      <c r="B80" s="288"/>
      <c r="C80" s="30" t="s">
        <v>84</v>
      </c>
      <c r="D80" s="30"/>
      <c r="E80" s="30"/>
      <c r="F80" s="30"/>
      <c r="G80" s="30"/>
    </row>
    <row r="81" spans="2:7" ht="16.8" thickBot="1">
      <c r="B81" s="288"/>
      <c r="C81" s="30" t="s">
        <v>85</v>
      </c>
      <c r="D81" s="30"/>
      <c r="E81" s="30"/>
      <c r="F81" s="30"/>
      <c r="G81" s="30"/>
    </row>
    <row r="82" spans="2:7" ht="16.8" thickBot="1">
      <c r="B82" s="288"/>
      <c r="C82" s="30" t="s">
        <v>86</v>
      </c>
      <c r="D82" s="30"/>
      <c r="E82" s="30"/>
      <c r="F82" s="30"/>
      <c r="G82" s="30"/>
    </row>
    <row r="83" spans="2:7" ht="16.8" thickBot="1">
      <c r="B83" s="288"/>
      <c r="C83" s="30" t="s">
        <v>87</v>
      </c>
      <c r="D83" s="30"/>
      <c r="E83" s="30"/>
      <c r="F83" s="30"/>
      <c r="G83" s="30"/>
    </row>
    <row r="84" spans="2:7" ht="16.8" thickBot="1">
      <c r="B84" s="288"/>
      <c r="C84" s="30" t="s">
        <v>88</v>
      </c>
      <c r="D84" s="30"/>
      <c r="E84" s="30"/>
      <c r="F84" s="30"/>
      <c r="G84" s="30"/>
    </row>
    <row r="85" spans="2:7" ht="16.8" thickBot="1">
      <c r="B85" s="288"/>
      <c r="C85" s="30" t="s">
        <v>89</v>
      </c>
      <c r="D85" s="30"/>
      <c r="E85" s="30"/>
      <c r="F85" s="30"/>
      <c r="G85" s="30"/>
    </row>
    <row r="86" spans="2:7" ht="16.8" thickBot="1">
      <c r="B86" s="288"/>
      <c r="C86" s="30" t="s">
        <v>90</v>
      </c>
      <c r="D86" s="31"/>
      <c r="E86" s="30"/>
      <c r="F86" s="30"/>
      <c r="G86" s="30"/>
    </row>
    <row r="87" spans="2:7" ht="16.8" thickBot="1">
      <c r="B87" s="288"/>
      <c r="C87" s="29" t="s">
        <v>91</v>
      </c>
      <c r="D87" s="32"/>
      <c r="E87" s="30"/>
      <c r="F87" s="30"/>
      <c r="G87" s="30"/>
    </row>
    <row r="88" spans="2:7" ht="16.8" thickBot="1">
      <c r="B88" s="289"/>
      <c r="C88" s="33" t="s">
        <v>92</v>
      </c>
      <c r="D88" s="30"/>
      <c r="E88" s="30"/>
      <c r="F88" s="30"/>
      <c r="G88" s="30"/>
    </row>
    <row r="89" spans="2:7" ht="16.8" thickBot="1">
      <c r="B89" s="290" t="s">
        <v>93</v>
      </c>
      <c r="C89" s="30" t="s">
        <v>94</v>
      </c>
      <c r="D89" s="30"/>
      <c r="E89" s="30"/>
      <c r="F89" s="30"/>
      <c r="G89" s="30"/>
    </row>
    <row r="90" spans="2:7" ht="16.8" thickBot="1">
      <c r="B90" s="291"/>
      <c r="C90" s="30" t="s">
        <v>88</v>
      </c>
      <c r="D90" s="30"/>
      <c r="E90" s="30"/>
      <c r="F90" s="30"/>
      <c r="G90" s="30"/>
    </row>
    <row r="91" spans="2:7" ht="16.8" thickBot="1">
      <c r="B91" s="291"/>
      <c r="C91" s="30" t="s">
        <v>95</v>
      </c>
      <c r="D91" s="30"/>
      <c r="E91" s="30"/>
      <c r="F91" s="30"/>
      <c r="G91" s="30"/>
    </row>
    <row r="92" spans="2:7" ht="16.8" thickBot="1">
      <c r="B92" s="291"/>
      <c r="C92" s="30" t="s">
        <v>96</v>
      </c>
      <c r="D92" s="30"/>
      <c r="E92" s="30"/>
      <c r="F92" s="30"/>
      <c r="G92" s="30"/>
    </row>
    <row r="93" spans="2:7" ht="16.8" thickBot="1">
      <c r="B93" s="291"/>
      <c r="C93" s="30" t="s">
        <v>97</v>
      </c>
      <c r="D93" s="31"/>
      <c r="E93" s="31"/>
      <c r="F93" s="31"/>
      <c r="G93" s="30"/>
    </row>
    <row r="94" spans="2:7" ht="16.8" thickBot="1">
      <c r="B94" s="291"/>
      <c r="C94" s="30" t="s">
        <v>98</v>
      </c>
      <c r="D94" s="31"/>
      <c r="E94" s="31"/>
      <c r="F94" s="30"/>
      <c r="G94" s="30"/>
    </row>
    <row r="95" spans="2:7" ht="16.8" thickBot="1">
      <c r="B95" s="291"/>
      <c r="C95" s="30" t="s">
        <v>99</v>
      </c>
      <c r="D95" s="30"/>
      <c r="E95" s="31"/>
      <c r="F95" s="30"/>
      <c r="G95" s="30"/>
    </row>
    <row r="96" spans="2:7" ht="16.8" thickBot="1">
      <c r="B96" s="291"/>
      <c r="C96" s="30" t="s">
        <v>91</v>
      </c>
      <c r="D96" s="30"/>
      <c r="E96" s="31"/>
      <c r="F96" s="30"/>
      <c r="G96" s="30"/>
    </row>
    <row r="97" spans="2:7" ht="16.8" thickBot="1">
      <c r="B97" s="292"/>
      <c r="C97" s="30" t="s">
        <v>92</v>
      </c>
      <c r="D97" s="30"/>
      <c r="E97" s="31"/>
      <c r="F97" s="31"/>
      <c r="G97" s="30"/>
    </row>
    <row r="98" spans="2:7" ht="16.8" thickBot="1">
      <c r="B98" s="25"/>
      <c r="C98" s="25"/>
      <c r="D98" s="25"/>
      <c r="E98" s="25"/>
      <c r="F98" s="25"/>
      <c r="G98" s="34"/>
    </row>
    <row r="99" spans="2:7">
      <c r="B99" s="25"/>
      <c r="C99" s="25"/>
      <c r="D99" s="25"/>
      <c r="E99" s="25"/>
      <c r="F99" s="25"/>
      <c r="G99" s="25"/>
    </row>
    <row r="100" spans="2:7" ht="16.8" thickBot="1">
      <c r="B100" s="24" t="s">
        <v>111</v>
      </c>
      <c r="C100" s="25"/>
      <c r="D100" s="25"/>
      <c r="E100" s="25"/>
      <c r="F100" s="25"/>
      <c r="G100" s="25"/>
    </row>
    <row r="101" spans="2:7" ht="29.4" thickBot="1">
      <c r="B101" s="43"/>
      <c r="C101" s="27" t="s">
        <v>100</v>
      </c>
      <c r="D101" s="36" t="s">
        <v>1462</v>
      </c>
      <c r="E101" s="36" t="s">
        <v>1463</v>
      </c>
      <c r="F101" s="36" t="s">
        <v>1464</v>
      </c>
      <c r="G101" s="28" t="s">
        <v>1471</v>
      </c>
    </row>
    <row r="102" spans="2:7" ht="16.8" thickBot="1">
      <c r="B102" s="293" t="s">
        <v>101</v>
      </c>
      <c r="C102" s="30" t="s">
        <v>102</v>
      </c>
      <c r="D102" s="30"/>
      <c r="E102" s="30"/>
      <c r="F102" s="30"/>
      <c r="G102" s="30">
        <f>SUM(D102:F102)</f>
        <v>0</v>
      </c>
    </row>
    <row r="103" spans="2:7" ht="16.8" thickBot="1">
      <c r="B103" s="293"/>
      <c r="C103" s="30" t="s">
        <v>103</v>
      </c>
      <c r="D103" s="30"/>
      <c r="E103" s="30"/>
      <c r="F103" s="30"/>
      <c r="G103" s="30"/>
    </row>
    <row r="104" spans="2:7" ht="16.8" thickBot="1">
      <c r="B104" s="293"/>
      <c r="C104" s="30" t="s">
        <v>104</v>
      </c>
      <c r="D104" s="30"/>
      <c r="E104" s="30"/>
      <c r="F104" s="30"/>
      <c r="G104" s="30"/>
    </row>
    <row r="105" spans="2:7" ht="16.8" thickBot="1">
      <c r="B105" s="293"/>
      <c r="C105" s="30" t="s">
        <v>105</v>
      </c>
      <c r="D105" s="30"/>
      <c r="E105" s="30"/>
      <c r="F105" s="30"/>
      <c r="G105" s="30"/>
    </row>
    <row r="106" spans="2:7" ht="16.8" thickBot="1">
      <c r="B106" s="293"/>
      <c r="C106" s="30" t="s">
        <v>106</v>
      </c>
      <c r="D106" s="30"/>
      <c r="E106" s="30"/>
      <c r="F106" s="30"/>
      <c r="G106" s="30"/>
    </row>
    <row r="107" spans="2:7" ht="16.8" thickBot="1">
      <c r="B107" s="293"/>
      <c r="C107" s="30" t="s">
        <v>107</v>
      </c>
      <c r="D107" s="30"/>
      <c r="E107" s="30"/>
      <c r="F107" s="30"/>
      <c r="G107" s="30"/>
    </row>
    <row r="108" spans="2:7" ht="16.8" thickBot="1">
      <c r="B108" s="25"/>
      <c r="C108" s="25"/>
      <c r="D108" s="25"/>
      <c r="E108" s="25"/>
      <c r="F108" s="34" t="s">
        <v>108</v>
      </c>
      <c r="G108" s="35"/>
    </row>
    <row r="110" spans="2:7" ht="16.8" thickBot="1">
      <c r="B110" s="24" t="s">
        <v>113</v>
      </c>
      <c r="C110" s="25"/>
      <c r="D110" s="25"/>
      <c r="E110" s="25"/>
      <c r="F110" s="25"/>
      <c r="G110" s="25"/>
    </row>
    <row r="111" spans="2:7" ht="29.4" thickBot="1">
      <c r="B111" s="26"/>
      <c r="C111" s="27" t="s">
        <v>78</v>
      </c>
      <c r="D111" s="36" t="s">
        <v>1465</v>
      </c>
      <c r="E111" s="36" t="s">
        <v>1466</v>
      </c>
      <c r="F111" s="36" t="s">
        <v>1467</v>
      </c>
      <c r="G111" s="28" t="s">
        <v>1472</v>
      </c>
    </row>
    <row r="112" spans="2:7" ht="16.8" thickBot="1">
      <c r="B112" s="287" t="s">
        <v>80</v>
      </c>
      <c r="C112" s="30" t="s">
        <v>81</v>
      </c>
      <c r="D112" s="30"/>
      <c r="E112" s="30"/>
      <c r="F112" s="30"/>
      <c r="G112" s="30"/>
    </row>
    <row r="113" spans="2:7" ht="16.8" thickBot="1">
      <c r="B113" s="288"/>
      <c r="C113" s="30" t="s">
        <v>82</v>
      </c>
      <c r="D113" s="30"/>
      <c r="E113" s="30"/>
      <c r="F113" s="30"/>
      <c r="G113" s="30"/>
    </row>
    <row r="114" spans="2:7" ht="16.8" thickBot="1">
      <c r="B114" s="288"/>
      <c r="C114" s="30" t="s">
        <v>83</v>
      </c>
      <c r="D114" s="30"/>
      <c r="E114" s="30"/>
      <c r="F114" s="30"/>
      <c r="G114" s="30"/>
    </row>
    <row r="115" spans="2:7" ht="16.8" thickBot="1">
      <c r="B115" s="288"/>
      <c r="C115" s="30" t="s">
        <v>84</v>
      </c>
      <c r="D115" s="30"/>
      <c r="E115" s="30"/>
      <c r="F115" s="30"/>
      <c r="G115" s="30"/>
    </row>
    <row r="116" spans="2:7" ht="16.8" thickBot="1">
      <c r="B116" s="288"/>
      <c r="C116" s="30" t="s">
        <v>85</v>
      </c>
      <c r="D116" s="30"/>
      <c r="E116" s="30"/>
      <c r="F116" s="30"/>
      <c r="G116" s="30"/>
    </row>
    <row r="117" spans="2:7" ht="16.8" thickBot="1">
      <c r="B117" s="288"/>
      <c r="C117" s="30" t="s">
        <v>86</v>
      </c>
      <c r="D117" s="30"/>
      <c r="E117" s="30"/>
      <c r="F117" s="30"/>
      <c r="G117" s="30"/>
    </row>
    <row r="118" spans="2:7" ht="16.8" thickBot="1">
      <c r="B118" s="288"/>
      <c r="C118" s="30" t="s">
        <v>87</v>
      </c>
      <c r="D118" s="30"/>
      <c r="E118" s="30"/>
      <c r="F118" s="30"/>
      <c r="G118" s="30"/>
    </row>
    <row r="119" spans="2:7" ht="16.8" thickBot="1">
      <c r="B119" s="288"/>
      <c r="C119" s="30" t="s">
        <v>88</v>
      </c>
      <c r="D119" s="30"/>
      <c r="E119" s="30"/>
      <c r="F119" s="30"/>
      <c r="G119" s="30"/>
    </row>
    <row r="120" spans="2:7" ht="16.8" thickBot="1">
      <c r="B120" s="288"/>
      <c r="C120" s="30" t="s">
        <v>89</v>
      </c>
      <c r="D120" s="30"/>
      <c r="E120" s="30"/>
      <c r="F120" s="30"/>
      <c r="G120" s="30"/>
    </row>
    <row r="121" spans="2:7" ht="16.8" thickBot="1">
      <c r="B121" s="288"/>
      <c r="C121" s="30" t="s">
        <v>90</v>
      </c>
      <c r="D121" s="31"/>
      <c r="E121" s="30"/>
      <c r="F121" s="30"/>
      <c r="G121" s="30"/>
    </row>
    <row r="122" spans="2:7" ht="16.8" thickBot="1">
      <c r="B122" s="288"/>
      <c r="C122" s="29" t="s">
        <v>91</v>
      </c>
      <c r="D122" s="32"/>
      <c r="E122" s="30"/>
      <c r="F122" s="30"/>
      <c r="G122" s="30"/>
    </row>
    <row r="123" spans="2:7" ht="16.8" thickBot="1">
      <c r="B123" s="289"/>
      <c r="C123" s="33" t="s">
        <v>92</v>
      </c>
      <c r="D123" s="30"/>
      <c r="E123" s="30"/>
      <c r="F123" s="30"/>
      <c r="G123" s="30"/>
    </row>
    <row r="124" spans="2:7" ht="16.8" thickBot="1">
      <c r="B124" s="290" t="s">
        <v>93</v>
      </c>
      <c r="C124" s="30" t="s">
        <v>94</v>
      </c>
      <c r="D124" s="30"/>
      <c r="E124" s="30"/>
      <c r="F124" s="30"/>
      <c r="G124" s="30"/>
    </row>
    <row r="125" spans="2:7" ht="16.8" thickBot="1">
      <c r="B125" s="291"/>
      <c r="C125" s="30" t="s">
        <v>88</v>
      </c>
      <c r="D125" s="30"/>
      <c r="E125" s="30"/>
      <c r="F125" s="30"/>
      <c r="G125" s="30"/>
    </row>
    <row r="126" spans="2:7" ht="16.8" thickBot="1">
      <c r="B126" s="291"/>
      <c r="C126" s="30" t="s">
        <v>95</v>
      </c>
      <c r="D126" s="30"/>
      <c r="E126" s="30"/>
      <c r="F126" s="30"/>
      <c r="G126" s="30"/>
    </row>
    <row r="127" spans="2:7" ht="16.8" thickBot="1">
      <c r="B127" s="291"/>
      <c r="C127" s="30" t="s">
        <v>96</v>
      </c>
      <c r="D127" s="30"/>
      <c r="E127" s="30"/>
      <c r="F127" s="30"/>
      <c r="G127" s="30"/>
    </row>
    <row r="128" spans="2:7" ht="16.8" thickBot="1">
      <c r="B128" s="291"/>
      <c r="C128" s="30" t="s">
        <v>97</v>
      </c>
      <c r="D128" s="31"/>
      <c r="E128" s="31"/>
      <c r="F128" s="31"/>
      <c r="G128" s="30"/>
    </row>
    <row r="129" spans="2:7" ht="16.8" thickBot="1">
      <c r="B129" s="291"/>
      <c r="C129" s="30" t="s">
        <v>98</v>
      </c>
      <c r="D129" s="31"/>
      <c r="E129" s="31"/>
      <c r="F129" s="30"/>
      <c r="G129" s="30"/>
    </row>
    <row r="130" spans="2:7" ht="16.8" thickBot="1">
      <c r="B130" s="291"/>
      <c r="C130" s="30" t="s">
        <v>99</v>
      </c>
      <c r="D130" s="30"/>
      <c r="E130" s="31"/>
      <c r="F130" s="30"/>
      <c r="G130" s="30"/>
    </row>
    <row r="131" spans="2:7" ht="16.8" thickBot="1">
      <c r="B131" s="291"/>
      <c r="C131" s="30" t="s">
        <v>91</v>
      </c>
      <c r="D131" s="30"/>
      <c r="E131" s="31"/>
      <c r="F131" s="30"/>
      <c r="G131" s="30"/>
    </row>
    <row r="132" spans="2:7" ht="16.8" thickBot="1">
      <c r="B132" s="292"/>
      <c r="C132" s="30" t="s">
        <v>92</v>
      </c>
      <c r="D132" s="30"/>
      <c r="E132" s="31"/>
      <c r="F132" s="31"/>
      <c r="G132" s="30"/>
    </row>
    <row r="133" spans="2:7" ht="16.8" thickBot="1">
      <c r="B133" s="25"/>
      <c r="C133" s="25"/>
      <c r="D133" s="25"/>
      <c r="E133" s="25"/>
      <c r="F133" s="25"/>
      <c r="G133" s="34"/>
    </row>
    <row r="134" spans="2:7">
      <c r="B134" s="25"/>
      <c r="C134" s="25"/>
      <c r="D134" s="25"/>
      <c r="E134" s="25"/>
      <c r="F134" s="25"/>
      <c r="G134" s="25"/>
    </row>
    <row r="135" spans="2:7" ht="16.8" thickBot="1">
      <c r="B135" s="24" t="s">
        <v>113</v>
      </c>
      <c r="C135" s="25"/>
      <c r="D135" s="25"/>
      <c r="E135" s="25"/>
      <c r="F135" s="25"/>
      <c r="G135" s="25"/>
    </row>
    <row r="136" spans="2:7" ht="29.4" thickBot="1">
      <c r="B136" s="43"/>
      <c r="C136" s="27" t="s">
        <v>100</v>
      </c>
      <c r="D136" s="36" t="s">
        <v>1465</v>
      </c>
      <c r="E136" s="36" t="s">
        <v>1466</v>
      </c>
      <c r="F136" s="36" t="s">
        <v>1467</v>
      </c>
      <c r="G136" s="28" t="s">
        <v>1472</v>
      </c>
    </row>
    <row r="137" spans="2:7" ht="16.8" thickBot="1">
      <c r="B137" s="293" t="s">
        <v>101</v>
      </c>
      <c r="C137" s="30" t="s">
        <v>102</v>
      </c>
      <c r="D137" s="30"/>
      <c r="E137" s="30"/>
      <c r="F137" s="30"/>
      <c r="G137" s="30">
        <f>SUM(D137:F137)</f>
        <v>0</v>
      </c>
    </row>
    <row r="138" spans="2:7" ht="16.8" thickBot="1">
      <c r="B138" s="293"/>
      <c r="C138" s="30" t="s">
        <v>103</v>
      </c>
      <c r="D138" s="30"/>
      <c r="E138" s="30"/>
      <c r="F138" s="30"/>
      <c r="G138" s="30"/>
    </row>
    <row r="139" spans="2:7" ht="16.8" thickBot="1">
      <c r="B139" s="293"/>
      <c r="C139" s="30" t="s">
        <v>104</v>
      </c>
      <c r="D139" s="30"/>
      <c r="E139" s="30"/>
      <c r="F139" s="30"/>
      <c r="G139" s="30"/>
    </row>
    <row r="140" spans="2:7" ht="16.8" thickBot="1">
      <c r="B140" s="293"/>
      <c r="C140" s="30" t="s">
        <v>105</v>
      </c>
      <c r="D140" s="30"/>
      <c r="E140" s="30"/>
      <c r="F140" s="30"/>
      <c r="G140" s="30"/>
    </row>
    <row r="141" spans="2:7" ht="16.8" thickBot="1">
      <c r="B141" s="293"/>
      <c r="C141" s="30" t="s">
        <v>106</v>
      </c>
      <c r="D141" s="30"/>
      <c r="E141" s="30"/>
      <c r="F141" s="30"/>
      <c r="G141" s="30"/>
    </row>
    <row r="142" spans="2:7" ht="16.8" thickBot="1">
      <c r="B142" s="293"/>
      <c r="C142" s="30" t="s">
        <v>107</v>
      </c>
      <c r="D142" s="30"/>
      <c r="E142" s="30"/>
      <c r="F142" s="30"/>
      <c r="G142" s="30"/>
    </row>
    <row r="143" spans="2:7" ht="16.8" thickBot="1">
      <c r="B143" s="25"/>
      <c r="C143" s="25"/>
      <c r="D143" s="25"/>
      <c r="E143" s="25"/>
      <c r="F143" s="34" t="s">
        <v>108</v>
      </c>
      <c r="G143" s="35"/>
    </row>
  </sheetData>
  <mergeCells count="12">
    <mergeCell ref="B137:B142"/>
    <mergeCell ref="B5:B16"/>
    <mergeCell ref="B17:B25"/>
    <mergeCell ref="B30:B35"/>
    <mergeCell ref="B41:B52"/>
    <mergeCell ref="B53:B61"/>
    <mergeCell ref="B66:B71"/>
    <mergeCell ref="B77:B88"/>
    <mergeCell ref="B89:B97"/>
    <mergeCell ref="B102:B107"/>
    <mergeCell ref="B112:B123"/>
    <mergeCell ref="B124:B132"/>
  </mergeCells>
  <phoneticPr fontId="4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2D9E-23BB-47DC-897A-CA74CF1B94A9}">
  <sheetPr>
    <pageSetUpPr fitToPage="1"/>
  </sheetPr>
  <dimension ref="A1:BP318"/>
  <sheetViews>
    <sheetView zoomScale="85" zoomScaleNormal="85" workbookViewId="0">
      <pane xSplit="8" ySplit="2" topLeftCell="AX3" activePane="bottomRight" state="frozen"/>
      <selection activeCell="BD57" sqref="BD57"/>
      <selection pane="topRight" activeCell="BD57" sqref="BD57"/>
      <selection pane="bottomLeft" activeCell="BD57" sqref="BD57"/>
      <selection pane="bottomRight" activeCell="AP1" sqref="AP1:BF1"/>
    </sheetView>
  </sheetViews>
  <sheetFormatPr defaultColWidth="9" defaultRowHeight="14.4"/>
  <cols>
    <col min="1" max="1" width="11.77734375" style="1" bestFit="1" customWidth="1"/>
    <col min="2" max="2" width="11.44140625" style="1" customWidth="1"/>
    <col min="3" max="3" width="7.33203125" style="1" customWidth="1"/>
    <col min="4" max="4" width="12.109375" style="1" customWidth="1"/>
    <col min="5" max="6" width="11.77734375" style="1" customWidth="1"/>
    <col min="7" max="7" width="15.21875" style="1" customWidth="1"/>
    <col min="8" max="8" width="18.33203125" style="1" customWidth="1"/>
    <col min="9" max="9" width="16.21875" style="1" customWidth="1"/>
    <col min="10" max="10" width="8.33203125" style="21" customWidth="1"/>
    <col min="11" max="11" width="14.33203125" style="1" customWidth="1"/>
    <col min="12" max="12" width="17.77734375" style="1" customWidth="1"/>
    <col min="13" max="13" width="10.77734375" style="16" customWidth="1"/>
    <col min="14" max="14" width="10.77734375" style="16" hidden="1" customWidth="1"/>
    <col min="15" max="15" width="11.33203125" style="16" hidden="1" customWidth="1"/>
    <col min="16" max="27" width="11.33203125" style="16" customWidth="1"/>
    <col min="28" max="28" width="9.21875" style="16" customWidth="1"/>
    <col min="29" max="29" width="8.33203125" style="16" customWidth="1"/>
    <col min="30" max="30" width="9.33203125" style="16" customWidth="1"/>
    <col min="31" max="31" width="11.21875" style="16" customWidth="1"/>
    <col min="32" max="34" width="9.33203125" style="16" customWidth="1"/>
    <col min="35" max="35" width="8.77734375" style="16" customWidth="1"/>
    <col min="36" max="36" width="9.33203125" style="16" customWidth="1"/>
    <col min="37" max="37" width="11" style="16" customWidth="1"/>
    <col min="38" max="38" width="10.109375" style="16" customWidth="1"/>
    <col min="39" max="39" width="12.33203125" style="16" customWidth="1"/>
    <col min="40" max="40" width="8.33203125" style="16" customWidth="1"/>
    <col min="41" max="41" width="16.21875" style="5" bestFit="1" customWidth="1"/>
    <col min="42" max="42" width="11.21875" style="6" customWidth="1"/>
    <col min="43" max="43" width="14.109375" style="5" customWidth="1"/>
    <col min="44" max="44" width="11.21875" style="6" customWidth="1"/>
    <col min="45" max="45" width="13.77734375" style="5" customWidth="1"/>
    <col min="46" max="46" width="16" style="6" customWidth="1"/>
    <col min="47" max="47" width="14" style="1" customWidth="1"/>
    <col min="48" max="48" width="11.21875" style="1" customWidth="1"/>
    <col min="49" max="49" width="14.33203125" style="1" customWidth="1"/>
    <col min="50" max="50" width="11.21875" style="1" customWidth="1"/>
    <col min="51" max="51" width="13.77734375" style="1" customWidth="1"/>
    <col min="52" max="52" width="11.21875" style="1" customWidth="1"/>
    <col min="53" max="53" width="14.44140625" style="1" customWidth="1"/>
    <col min="54" max="54" width="11.21875" style="1" customWidth="1"/>
    <col min="55" max="55" width="13.77734375" style="1" customWidth="1"/>
    <col min="56" max="56" width="16" style="1" customWidth="1"/>
    <col min="57" max="57" width="13.33203125" style="1" customWidth="1"/>
    <col min="58" max="58" width="15.21875" style="1" customWidth="1"/>
    <col min="59" max="59" width="14.109375" style="1" customWidth="1"/>
    <col min="60" max="60" width="16.33203125" style="1" customWidth="1"/>
    <col min="61" max="61" width="14" style="1" customWidth="1"/>
    <col min="62" max="62" width="16.21875" style="1" customWidth="1"/>
    <col min="63" max="63" width="13.77734375" style="1" customWidth="1"/>
    <col min="64" max="64" width="16.109375" style="1" customWidth="1"/>
    <col min="65" max="65" width="18.33203125" style="1" bestFit="1" customWidth="1"/>
    <col min="66" max="66" width="15.33203125" style="1" bestFit="1" customWidth="1"/>
    <col min="67" max="67" width="12.33203125" style="1" bestFit="1" customWidth="1"/>
    <col min="68" max="68" width="11.21875" style="1" hidden="1" customWidth="1"/>
    <col min="69" max="16384" width="9" style="1"/>
  </cols>
  <sheetData>
    <row r="1" spans="1:68" s="2" customFormat="1" ht="32.85" customHeight="1" thickBot="1">
      <c r="A1" s="58"/>
      <c r="B1" s="37"/>
      <c r="C1" s="37"/>
      <c r="D1" s="37" t="s">
        <v>115</v>
      </c>
      <c r="E1" s="23" t="s">
        <v>116</v>
      </c>
      <c r="F1" s="8"/>
      <c r="G1" s="18" t="s">
        <v>872</v>
      </c>
      <c r="H1" s="18" t="s">
        <v>118</v>
      </c>
      <c r="I1" s="22" t="s">
        <v>119</v>
      </c>
      <c r="J1" s="22" t="s">
        <v>120</v>
      </c>
      <c r="K1" s="133" t="s">
        <v>120</v>
      </c>
      <c r="L1" s="39" t="s">
        <v>121</v>
      </c>
      <c r="M1" s="22" t="s">
        <v>122</v>
      </c>
      <c r="N1" s="22"/>
      <c r="O1" s="91"/>
      <c r="P1" s="153"/>
      <c r="AO1" s="4"/>
      <c r="AP1" s="4">
        <f>SUM(AP3:AP1072)</f>
        <v>36153.599999999999</v>
      </c>
      <c r="AQ1" s="4"/>
      <c r="AR1" s="4">
        <f>SUM(AR3:AR1072)</f>
        <v>24589.200000000001</v>
      </c>
      <c r="AS1" s="4"/>
      <c r="AT1" s="4">
        <f>SUM(AT3:AT1072)</f>
        <v>45935.6</v>
      </c>
      <c r="AV1" s="2">
        <f>SUM(AV3:AV1072)</f>
        <v>12514.2</v>
      </c>
      <c r="AX1" s="2">
        <f>SUM(AX3:AX1072)</f>
        <v>37755</v>
      </c>
      <c r="AZ1" s="2">
        <f>SUM(AZ3:AZ1072)</f>
        <v>54170.000000000015</v>
      </c>
      <c r="BB1" s="2">
        <f>SUM(BB3:BB1072)</f>
        <v>58734.600000000006</v>
      </c>
      <c r="BD1" s="2">
        <f>SUM(BD3:BD1072)</f>
        <v>46686</v>
      </c>
      <c r="BF1" s="2">
        <f>SUM(BF3:BF1072)</f>
        <v>40968.199999999997</v>
      </c>
      <c r="BH1" s="2">
        <f>SUM(BH3:BH1072)</f>
        <v>43588.599999999991</v>
      </c>
      <c r="BJ1" s="2">
        <f>SUM(BJ3:BJ1072)</f>
        <v>70368.159999999989</v>
      </c>
      <c r="BL1" s="2">
        <f>SUM(BL3:BL1072)</f>
        <v>59608.44</v>
      </c>
    </row>
    <row r="2" spans="1:68" s="7" customFormat="1" ht="52.5" customHeight="1" thickBot="1">
      <c r="A2" s="59" t="s">
        <v>746</v>
      </c>
      <c r="B2" s="120" t="s">
        <v>124</v>
      </c>
      <c r="C2" s="117" t="s">
        <v>125</v>
      </c>
      <c r="D2" s="38" t="s">
        <v>126</v>
      </c>
      <c r="E2" s="9" t="s">
        <v>78</v>
      </c>
      <c r="F2" s="9" t="s">
        <v>127</v>
      </c>
      <c r="G2" s="19" t="s">
        <v>128</v>
      </c>
      <c r="H2" s="12" t="s">
        <v>0</v>
      </c>
      <c r="I2" s="66" t="s">
        <v>129</v>
      </c>
      <c r="J2" s="67" t="s">
        <v>130</v>
      </c>
      <c r="K2" s="66" t="s">
        <v>131</v>
      </c>
      <c r="L2" s="66" t="s">
        <v>132</v>
      </c>
      <c r="M2" s="68" t="s">
        <v>133</v>
      </c>
      <c r="N2" s="61" t="s">
        <v>747</v>
      </c>
      <c r="O2" s="61" t="s">
        <v>134</v>
      </c>
      <c r="P2" s="118" t="s">
        <v>135</v>
      </c>
      <c r="Q2" s="118" t="s">
        <v>136</v>
      </c>
      <c r="R2" s="118" t="s">
        <v>137</v>
      </c>
      <c r="S2" s="118" t="s">
        <v>138</v>
      </c>
      <c r="T2" s="118" t="s">
        <v>139</v>
      </c>
      <c r="U2" s="118" t="s">
        <v>140</v>
      </c>
      <c r="V2" s="118" t="s">
        <v>141</v>
      </c>
      <c r="W2" s="118" t="s">
        <v>142</v>
      </c>
      <c r="X2" s="118" t="s">
        <v>143</v>
      </c>
      <c r="Y2" s="118" t="s">
        <v>3</v>
      </c>
      <c r="Z2" s="118" t="s">
        <v>144</v>
      </c>
      <c r="AA2" s="118" t="s">
        <v>145</v>
      </c>
      <c r="AB2" s="161" t="s">
        <v>146</v>
      </c>
      <c r="AC2" s="162" t="s">
        <v>147</v>
      </c>
      <c r="AD2" s="162" t="s">
        <v>148</v>
      </c>
      <c r="AE2" s="162" t="s">
        <v>149</v>
      </c>
      <c r="AF2" s="162" t="s">
        <v>150</v>
      </c>
      <c r="AG2" s="162" t="s">
        <v>151</v>
      </c>
      <c r="AH2" s="162" t="s">
        <v>152</v>
      </c>
      <c r="AI2" s="162" t="s">
        <v>153</v>
      </c>
      <c r="AJ2" s="162" t="s">
        <v>154</v>
      </c>
      <c r="AK2" s="162" t="s">
        <v>155</v>
      </c>
      <c r="AL2" s="162" t="s">
        <v>156</v>
      </c>
      <c r="AM2" s="162" t="s">
        <v>157</v>
      </c>
      <c r="AN2" s="162" t="s">
        <v>158</v>
      </c>
      <c r="AO2" s="63" t="s">
        <v>159</v>
      </c>
      <c r="AP2" s="44" t="s">
        <v>160</v>
      </c>
      <c r="AQ2" s="63" t="s">
        <v>161</v>
      </c>
      <c r="AR2" s="44" t="s">
        <v>162</v>
      </c>
      <c r="AS2" s="157" t="s">
        <v>163</v>
      </c>
      <c r="AT2" s="157" t="s">
        <v>164</v>
      </c>
      <c r="AU2" s="62" t="s">
        <v>165</v>
      </c>
      <c r="AV2" s="47" t="s">
        <v>166</v>
      </c>
      <c r="AW2" s="62" t="s">
        <v>167</v>
      </c>
      <c r="AX2" s="47" t="s">
        <v>168</v>
      </c>
      <c r="AY2" s="163" t="s">
        <v>169</v>
      </c>
      <c r="AZ2" s="47" t="s">
        <v>170</v>
      </c>
      <c r="BA2" s="64" t="s">
        <v>171</v>
      </c>
      <c r="BB2" s="48" t="s">
        <v>172</v>
      </c>
      <c r="BC2" s="64" t="s">
        <v>173</v>
      </c>
      <c r="BD2" s="48" t="s">
        <v>174</v>
      </c>
      <c r="BE2" s="64" t="s">
        <v>748</v>
      </c>
      <c r="BF2" s="145" t="s">
        <v>176</v>
      </c>
      <c r="BG2" s="65" t="s">
        <v>177</v>
      </c>
      <c r="BH2" s="45" t="s">
        <v>178</v>
      </c>
      <c r="BI2" s="65" t="s">
        <v>179</v>
      </c>
      <c r="BJ2" s="45" t="s">
        <v>180</v>
      </c>
      <c r="BK2" s="170" t="s">
        <v>181</v>
      </c>
      <c r="BL2" s="45" t="s">
        <v>182</v>
      </c>
      <c r="BM2" s="119" t="s">
        <v>2</v>
      </c>
      <c r="BN2" s="119" t="s">
        <v>1403</v>
      </c>
      <c r="BO2" s="143" t="s">
        <v>749</v>
      </c>
      <c r="BP2" s="7" t="s">
        <v>750</v>
      </c>
    </row>
    <row r="3" spans="1:68" ht="15" thickBot="1">
      <c r="A3" s="109" t="s">
        <v>751</v>
      </c>
      <c r="B3" s="121" t="s">
        <v>184</v>
      </c>
      <c r="C3" s="300" t="s">
        <v>752</v>
      </c>
      <c r="D3" s="303" t="s">
        <v>186</v>
      </c>
      <c r="E3" s="303" t="s">
        <v>186</v>
      </c>
      <c r="F3" s="296" t="s">
        <v>187</v>
      </c>
      <c r="G3" s="89">
        <v>2018</v>
      </c>
      <c r="H3" s="105" t="s">
        <v>712</v>
      </c>
      <c r="I3" s="105" t="s">
        <v>196</v>
      </c>
      <c r="J3" s="100" t="s">
        <v>197</v>
      </c>
      <c r="K3" s="134" t="s">
        <v>753</v>
      </c>
      <c r="L3" s="101" t="s">
        <v>192</v>
      </c>
      <c r="M3" s="14" t="s">
        <v>193</v>
      </c>
      <c r="N3" s="14">
        <v>1.8</v>
      </c>
      <c r="O3" s="14">
        <v>2</v>
      </c>
      <c r="P3" s="14">
        <v>2</v>
      </c>
      <c r="Q3" s="14">
        <v>2</v>
      </c>
      <c r="R3" s="14">
        <v>2</v>
      </c>
      <c r="S3" s="14">
        <v>2</v>
      </c>
      <c r="T3" s="14">
        <v>2</v>
      </c>
      <c r="U3" s="14">
        <v>2</v>
      </c>
      <c r="V3" s="14">
        <v>2</v>
      </c>
      <c r="W3" s="14">
        <v>2</v>
      </c>
      <c r="X3" s="14">
        <v>2</v>
      </c>
      <c r="Y3" s="14">
        <v>2</v>
      </c>
      <c r="Z3" s="14">
        <v>2</v>
      </c>
      <c r="AA3" s="13">
        <v>2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116">
        <v>0</v>
      </c>
      <c r="AP3" s="111">
        <f t="shared" ref="AP3:AP250" si="0">AC3*AO3</f>
        <v>0</v>
      </c>
      <c r="AQ3" s="110">
        <v>0</v>
      </c>
      <c r="AR3" s="111">
        <f t="shared" ref="AR3:AR250" si="1">AD3*AQ3</f>
        <v>0</v>
      </c>
      <c r="AS3" s="115" t="s">
        <v>573</v>
      </c>
      <c r="AT3" s="6">
        <f t="shared" ref="AT3:AT66" si="2">AE3*AS3</f>
        <v>0</v>
      </c>
      <c r="AU3" s="113">
        <v>0</v>
      </c>
      <c r="AV3" s="112">
        <f>AF3*AU3</f>
        <v>0</v>
      </c>
      <c r="AW3" s="113">
        <v>0</v>
      </c>
      <c r="AX3" s="112">
        <f>AG3*AW3</f>
        <v>0</v>
      </c>
      <c r="AY3" s="5" t="s">
        <v>573</v>
      </c>
      <c r="AZ3" s="112">
        <f>AH3*AY3</f>
        <v>0</v>
      </c>
      <c r="BA3" s="5">
        <v>2880</v>
      </c>
      <c r="BB3" s="112">
        <f>AI3*BA3</f>
        <v>0</v>
      </c>
      <c r="BC3" s="5" t="s">
        <v>573</v>
      </c>
      <c r="BD3" s="112">
        <f t="shared" ref="BD3:BD251" si="3">AJ3*BC3</f>
        <v>0</v>
      </c>
      <c r="BE3" s="150" t="s">
        <v>573</v>
      </c>
      <c r="BF3" s="1">
        <f t="shared" ref="BF3:BF66" si="4">AK3*BE3</f>
        <v>0</v>
      </c>
      <c r="BG3" s="150" t="s">
        <v>573</v>
      </c>
      <c r="BH3" s="1">
        <f>BG3*AL3</f>
        <v>0</v>
      </c>
      <c r="BI3" s="150" t="s">
        <v>573</v>
      </c>
      <c r="BJ3" s="1">
        <f t="shared" ref="BJ3:BJ66" si="5">AM3*BI3</f>
        <v>0</v>
      </c>
      <c r="BK3" s="156" t="s">
        <v>573</v>
      </c>
      <c r="BL3" s="1">
        <f t="shared" ref="BL3:BL66" si="6">BK3*AN3</f>
        <v>0</v>
      </c>
      <c r="BM3" s="141" t="s">
        <v>579</v>
      </c>
      <c r="BN3" s="136" t="s">
        <v>17</v>
      </c>
      <c r="BO3" s="139" t="s">
        <v>754</v>
      </c>
      <c r="BP3" s="139" t="e" cm="1">
        <f t="array" ref="BP3">_xlfn.XLOOKUP(BN3&amp;BO3,'[4]2023-2025~'!$H:$H&amp;'[4]2023-2025~'!$M:$M,'[4]2023-2025~'!$D:$D)</f>
        <v>#N/A</v>
      </c>
    </row>
    <row r="4" spans="1:68" ht="15.75" customHeight="1" thickBot="1">
      <c r="A4" s="109" t="s">
        <v>751</v>
      </c>
      <c r="B4" s="122" t="s">
        <v>184</v>
      </c>
      <c r="C4" s="301"/>
      <c r="D4" s="304"/>
      <c r="E4" s="304"/>
      <c r="F4" s="297"/>
      <c r="G4" s="89">
        <v>2018</v>
      </c>
      <c r="H4" s="105" t="s">
        <v>712</v>
      </c>
      <c r="I4" s="105" t="s">
        <v>196</v>
      </c>
      <c r="J4" s="100" t="s">
        <v>197</v>
      </c>
      <c r="K4" s="81" t="s">
        <v>191</v>
      </c>
      <c r="L4" s="101" t="s">
        <v>192</v>
      </c>
      <c r="M4" s="14" t="s">
        <v>193</v>
      </c>
      <c r="N4" s="13">
        <v>1.8</v>
      </c>
      <c r="O4" s="13">
        <v>1.79</v>
      </c>
      <c r="P4" s="13">
        <v>1.79</v>
      </c>
      <c r="Q4" s="13">
        <v>1.79</v>
      </c>
      <c r="R4" s="13">
        <v>1.79</v>
      </c>
      <c r="S4" s="13">
        <v>1.79</v>
      </c>
      <c r="T4" s="13">
        <v>1.79</v>
      </c>
      <c r="U4" s="13">
        <v>1.79</v>
      </c>
      <c r="V4" s="13">
        <v>1.79</v>
      </c>
      <c r="W4" s="13">
        <v>1.79</v>
      </c>
      <c r="X4" s="13">
        <v>1.79</v>
      </c>
      <c r="Y4" s="13">
        <v>1.79</v>
      </c>
      <c r="Z4" s="13">
        <v>1.79</v>
      </c>
      <c r="AA4" s="13">
        <v>1.79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40">
        <v>0</v>
      </c>
      <c r="AJ4" s="40">
        <v>0</v>
      </c>
      <c r="AK4" s="40">
        <v>0</v>
      </c>
      <c r="AL4" s="40">
        <v>0</v>
      </c>
      <c r="AM4" s="40">
        <v>0</v>
      </c>
      <c r="AN4" s="40">
        <v>0</v>
      </c>
      <c r="AO4" s="116">
        <v>6720</v>
      </c>
      <c r="AP4" s="6">
        <f t="shared" si="0"/>
        <v>0</v>
      </c>
      <c r="AQ4" s="115">
        <v>94080</v>
      </c>
      <c r="AR4" s="6">
        <f t="shared" si="1"/>
        <v>0</v>
      </c>
      <c r="AS4" s="115">
        <v>6720</v>
      </c>
      <c r="AT4" s="6">
        <f t="shared" si="2"/>
        <v>0</v>
      </c>
      <c r="AU4" s="115">
        <v>0</v>
      </c>
      <c r="AV4" s="1">
        <f t="shared" ref="AV4:AV250" si="7">AF4*AU4</f>
        <v>0</v>
      </c>
      <c r="AW4" s="115">
        <v>26880</v>
      </c>
      <c r="AX4" s="1">
        <f t="shared" ref="AX4:AX67" si="8">AG4*AW4</f>
        <v>0</v>
      </c>
      <c r="AY4" s="5">
        <v>32640</v>
      </c>
      <c r="AZ4" s="1">
        <f t="shared" ref="AZ4:AZ250" si="9">AH4*AY4</f>
        <v>0</v>
      </c>
      <c r="BA4" s="5" t="s">
        <v>573</v>
      </c>
      <c r="BB4" s="1">
        <f t="shared" ref="BB4:BB243" si="10">AI4*BA4</f>
        <v>0</v>
      </c>
      <c r="BC4" s="5">
        <v>6720</v>
      </c>
      <c r="BD4" s="1">
        <f t="shared" si="3"/>
        <v>0</v>
      </c>
      <c r="BE4" s="150">
        <v>6720</v>
      </c>
      <c r="BF4" s="1">
        <f t="shared" si="4"/>
        <v>0</v>
      </c>
      <c r="BG4" s="150">
        <v>20160</v>
      </c>
      <c r="BH4" s="1">
        <f t="shared" ref="BH4:BH67" si="11">BG4*AL4</f>
        <v>0</v>
      </c>
      <c r="BI4" s="150">
        <v>6720</v>
      </c>
      <c r="BJ4" s="1">
        <f t="shared" si="5"/>
        <v>0</v>
      </c>
      <c r="BK4" s="156">
        <v>26880</v>
      </c>
      <c r="BL4" s="1">
        <f t="shared" si="6"/>
        <v>0</v>
      </c>
      <c r="BM4" s="141" t="s">
        <v>577</v>
      </c>
      <c r="BN4" s="136" t="s">
        <v>494</v>
      </c>
      <c r="BO4" s="139" t="s">
        <v>763</v>
      </c>
      <c r="BP4" s="139" t="e" cm="1">
        <f t="array" ref="BP4">_xlfn.XLOOKUP(BN4&amp;BO4,'[4]2023-2025~'!$H:$H&amp;'[4]2023-2025~'!$M:$M,'[4]2023-2025~'!$D:$D)</f>
        <v>#N/A</v>
      </c>
    </row>
    <row r="5" spans="1:68" ht="15.75" customHeight="1">
      <c r="A5" s="109" t="s">
        <v>751</v>
      </c>
      <c r="B5" s="122" t="s">
        <v>184</v>
      </c>
      <c r="C5" s="301"/>
      <c r="D5" s="304"/>
      <c r="E5" s="304"/>
      <c r="F5" s="297"/>
      <c r="G5" s="89">
        <v>2018</v>
      </c>
      <c r="H5" s="105" t="s">
        <v>712</v>
      </c>
      <c r="I5" s="105" t="s">
        <v>196</v>
      </c>
      <c r="J5" s="100" t="s">
        <v>197</v>
      </c>
      <c r="K5" s="81" t="s">
        <v>191</v>
      </c>
      <c r="L5" s="101" t="s">
        <v>192</v>
      </c>
      <c r="M5" s="14" t="s">
        <v>193</v>
      </c>
      <c r="N5" s="13">
        <v>1.8</v>
      </c>
      <c r="O5" s="13">
        <v>2.04</v>
      </c>
      <c r="P5" s="13">
        <v>2.04</v>
      </c>
      <c r="Q5" s="13">
        <v>2.04</v>
      </c>
      <c r="R5" s="13">
        <v>2.04</v>
      </c>
      <c r="S5" s="13">
        <v>2.04</v>
      </c>
      <c r="T5" s="13">
        <v>2.04</v>
      </c>
      <c r="U5" s="13">
        <v>2.04</v>
      </c>
      <c r="V5" s="13">
        <v>2.04</v>
      </c>
      <c r="W5" s="13">
        <v>2.04</v>
      </c>
      <c r="X5" s="13">
        <v>2.04</v>
      </c>
      <c r="Y5" s="13">
        <v>2.04</v>
      </c>
      <c r="Z5" s="13">
        <v>2.04</v>
      </c>
      <c r="AA5" s="13">
        <v>2.04</v>
      </c>
      <c r="AB5" s="40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0">
        <v>0</v>
      </c>
      <c r="AJ5" s="40">
        <v>0</v>
      </c>
      <c r="AK5" s="40">
        <v>0</v>
      </c>
      <c r="AL5" s="40">
        <v>0</v>
      </c>
      <c r="AM5" s="40">
        <v>0</v>
      </c>
      <c r="AN5" s="40">
        <v>0</v>
      </c>
      <c r="AO5" s="116">
        <v>0</v>
      </c>
      <c r="AP5" s="6">
        <f t="shared" si="0"/>
        <v>0</v>
      </c>
      <c r="AQ5" s="115">
        <v>0</v>
      </c>
      <c r="AR5" s="6">
        <f t="shared" si="1"/>
        <v>0</v>
      </c>
      <c r="AS5" s="115">
        <v>2880</v>
      </c>
      <c r="AT5" s="6">
        <f t="shared" si="2"/>
        <v>0</v>
      </c>
      <c r="AU5" s="115">
        <v>2880</v>
      </c>
      <c r="AV5" s="1">
        <f t="shared" si="7"/>
        <v>0</v>
      </c>
      <c r="AW5" s="115">
        <v>0</v>
      </c>
      <c r="AX5" s="1">
        <f t="shared" si="8"/>
        <v>0</v>
      </c>
      <c r="AY5" s="5">
        <v>0</v>
      </c>
      <c r="AZ5" s="1">
        <f t="shared" si="9"/>
        <v>0</v>
      </c>
      <c r="BA5" s="5" t="s">
        <v>573</v>
      </c>
      <c r="BB5" s="1">
        <f t="shared" si="10"/>
        <v>0</v>
      </c>
      <c r="BC5" s="5" t="s">
        <v>573</v>
      </c>
      <c r="BD5" s="1">
        <f t="shared" si="3"/>
        <v>0</v>
      </c>
      <c r="BE5" s="150">
        <v>2880</v>
      </c>
      <c r="BF5" s="1">
        <f t="shared" si="4"/>
        <v>0</v>
      </c>
      <c r="BG5" s="150" t="s">
        <v>573</v>
      </c>
      <c r="BH5" s="1">
        <f t="shared" si="11"/>
        <v>0</v>
      </c>
      <c r="BI5" s="150">
        <v>2880</v>
      </c>
      <c r="BJ5" s="1">
        <f t="shared" si="5"/>
        <v>0</v>
      </c>
      <c r="BK5" s="156" t="s">
        <v>573</v>
      </c>
      <c r="BL5" s="1">
        <f t="shared" si="6"/>
        <v>0</v>
      </c>
      <c r="BM5" s="141" t="s">
        <v>578</v>
      </c>
      <c r="BN5" s="136" t="s">
        <v>17</v>
      </c>
      <c r="BO5" s="139" t="s">
        <v>1314</v>
      </c>
      <c r="BP5" s="137">
        <v>45596</v>
      </c>
    </row>
    <row r="6" spans="1:68" ht="15" customHeight="1">
      <c r="A6" s="109" t="s">
        <v>751</v>
      </c>
      <c r="B6" s="122" t="s">
        <v>199</v>
      </c>
      <c r="C6" s="301"/>
      <c r="D6" s="304"/>
      <c r="E6" s="304"/>
      <c r="F6" s="297"/>
      <c r="G6" s="78">
        <v>2020</v>
      </c>
      <c r="H6" s="105" t="s">
        <v>5</v>
      </c>
      <c r="I6" s="103" t="s">
        <v>201</v>
      </c>
      <c r="J6" s="104" t="s">
        <v>197</v>
      </c>
      <c r="K6" s="105" t="s">
        <v>753</v>
      </c>
      <c r="L6" s="105" t="s">
        <v>192</v>
      </c>
      <c r="M6" s="13" t="s">
        <v>193</v>
      </c>
      <c r="N6" s="13">
        <v>9.1999999999999993</v>
      </c>
      <c r="O6" s="13">
        <v>9.16</v>
      </c>
      <c r="P6" s="13">
        <v>9.16</v>
      </c>
      <c r="Q6" s="13">
        <v>9.16</v>
      </c>
      <c r="R6" s="13">
        <v>9.16</v>
      </c>
      <c r="S6" s="13">
        <v>9.16</v>
      </c>
      <c r="T6" s="13">
        <v>9.16</v>
      </c>
      <c r="U6" s="13">
        <v>9.16</v>
      </c>
      <c r="V6" s="13">
        <v>9.16</v>
      </c>
      <c r="W6" s="13">
        <v>9.16</v>
      </c>
      <c r="X6" s="13">
        <v>9.16</v>
      </c>
      <c r="Y6" s="13">
        <v>9.16</v>
      </c>
      <c r="Z6" s="13">
        <v>9.16</v>
      </c>
      <c r="AA6" s="13">
        <v>9.16</v>
      </c>
      <c r="AB6" s="40">
        <v>0.18</v>
      </c>
      <c r="AC6" s="40">
        <v>0.18</v>
      </c>
      <c r="AD6" s="40">
        <v>0.18</v>
      </c>
      <c r="AE6" s="40">
        <v>0.18</v>
      </c>
      <c r="AF6" s="40">
        <v>0.18</v>
      </c>
      <c r="AG6" s="40">
        <v>0.18</v>
      </c>
      <c r="AH6" s="40">
        <v>0.18</v>
      </c>
      <c r="AI6" s="40">
        <v>0.18</v>
      </c>
      <c r="AJ6" s="40">
        <v>0.18</v>
      </c>
      <c r="AK6" s="40">
        <v>0.18</v>
      </c>
      <c r="AL6" s="40">
        <v>0.18</v>
      </c>
      <c r="AM6" s="40">
        <v>0.18</v>
      </c>
      <c r="AN6" s="40">
        <v>0.18</v>
      </c>
      <c r="AO6" s="116">
        <v>48000</v>
      </c>
      <c r="AP6" s="6">
        <f t="shared" si="0"/>
        <v>8640</v>
      </c>
      <c r="AQ6" s="115">
        <v>17000</v>
      </c>
      <c r="AR6" s="6">
        <f t="shared" si="1"/>
        <v>3060</v>
      </c>
      <c r="AS6" s="115">
        <v>19600</v>
      </c>
      <c r="AT6" s="6">
        <f t="shared" si="2"/>
        <v>3528</v>
      </c>
      <c r="AU6" s="115">
        <v>17400</v>
      </c>
      <c r="AV6" s="1">
        <f>AF6*AU6</f>
        <v>3132</v>
      </c>
      <c r="AW6" s="115">
        <v>28500</v>
      </c>
      <c r="AX6" s="1">
        <f>AG6*AW6</f>
        <v>5130</v>
      </c>
      <c r="AY6" s="5">
        <v>37000</v>
      </c>
      <c r="AZ6" s="1">
        <f>AH6*AY6</f>
        <v>6660</v>
      </c>
      <c r="BA6" s="5">
        <v>24120</v>
      </c>
      <c r="BB6" s="1">
        <f>AI6*BA6</f>
        <v>4341.5999999999995</v>
      </c>
      <c r="BC6" s="5">
        <v>21880</v>
      </c>
      <c r="BD6" s="1">
        <f>AJ6*BC6</f>
        <v>3938.3999999999996</v>
      </c>
      <c r="BE6" s="150" t="s">
        <v>573</v>
      </c>
      <c r="BF6" s="1">
        <f t="shared" si="4"/>
        <v>0</v>
      </c>
      <c r="BG6" s="150" t="s">
        <v>573</v>
      </c>
      <c r="BH6" s="1">
        <f t="shared" si="11"/>
        <v>0</v>
      </c>
      <c r="BI6" s="150" t="s">
        <v>573</v>
      </c>
      <c r="BJ6" s="1">
        <f t="shared" si="5"/>
        <v>0</v>
      </c>
      <c r="BK6" s="156" t="s">
        <v>573</v>
      </c>
      <c r="BL6" s="1">
        <f t="shared" si="6"/>
        <v>0</v>
      </c>
      <c r="BM6" s="141" t="s">
        <v>8</v>
      </c>
      <c r="BN6" s="136" t="s">
        <v>6</v>
      </c>
      <c r="BO6" s="139" t="s">
        <v>763</v>
      </c>
      <c r="BP6" s="137">
        <v>45961</v>
      </c>
    </row>
    <row r="7" spans="1:68" ht="15" customHeight="1">
      <c r="A7" s="109" t="s">
        <v>751</v>
      </c>
      <c r="B7" s="122" t="s">
        <v>199</v>
      </c>
      <c r="C7" s="301"/>
      <c r="D7" s="304"/>
      <c r="E7" s="304"/>
      <c r="F7" s="297"/>
      <c r="G7" s="78">
        <v>2020</v>
      </c>
      <c r="H7" s="105" t="s">
        <v>5</v>
      </c>
      <c r="I7" s="103" t="s">
        <v>201</v>
      </c>
      <c r="J7" s="104" t="s">
        <v>197</v>
      </c>
      <c r="K7" s="105" t="s">
        <v>753</v>
      </c>
      <c r="L7" s="105" t="s">
        <v>192</v>
      </c>
      <c r="M7" s="13" t="s">
        <v>193</v>
      </c>
      <c r="N7" s="13"/>
      <c r="O7" s="13"/>
      <c r="P7" s="13">
        <v>9</v>
      </c>
      <c r="Q7" s="13">
        <v>9</v>
      </c>
      <c r="R7" s="13">
        <v>9</v>
      </c>
      <c r="S7" s="13">
        <v>9</v>
      </c>
      <c r="T7" s="13">
        <v>9</v>
      </c>
      <c r="U7" s="13">
        <v>9</v>
      </c>
      <c r="V7" s="13">
        <v>9</v>
      </c>
      <c r="W7" s="13">
        <v>9</v>
      </c>
      <c r="X7" s="13">
        <v>9</v>
      </c>
      <c r="Y7" s="13">
        <v>9</v>
      </c>
      <c r="Z7" s="13">
        <v>9</v>
      </c>
      <c r="AA7" s="13">
        <v>9</v>
      </c>
      <c r="AB7" s="40">
        <v>0.18</v>
      </c>
      <c r="AC7" s="40">
        <v>0.18</v>
      </c>
      <c r="AD7" s="40">
        <v>0.18</v>
      </c>
      <c r="AE7" s="40">
        <v>0.18</v>
      </c>
      <c r="AF7" s="40">
        <v>0.18</v>
      </c>
      <c r="AG7" s="40">
        <v>0.18</v>
      </c>
      <c r="AH7" s="40">
        <v>0.18</v>
      </c>
      <c r="AI7" s="40">
        <v>0.18</v>
      </c>
      <c r="AJ7" s="40">
        <v>0.18</v>
      </c>
      <c r="AK7" s="40">
        <v>0.18</v>
      </c>
      <c r="AL7" s="40">
        <v>0.18</v>
      </c>
      <c r="AM7" s="40">
        <v>0.18</v>
      </c>
      <c r="AN7" s="40">
        <v>0.18</v>
      </c>
      <c r="AO7" s="116">
        <v>0</v>
      </c>
      <c r="AP7" s="6">
        <f t="shared" si="0"/>
        <v>0</v>
      </c>
      <c r="AQ7" s="115">
        <v>0</v>
      </c>
      <c r="AR7" s="6">
        <f t="shared" si="1"/>
        <v>0</v>
      </c>
      <c r="AS7" s="115" t="s">
        <v>573</v>
      </c>
      <c r="AT7" s="6">
        <f t="shared" si="2"/>
        <v>0</v>
      </c>
      <c r="AU7" s="115">
        <v>0</v>
      </c>
      <c r="AV7" s="1">
        <f>AF7*AU7</f>
        <v>0</v>
      </c>
      <c r="AW7" s="115">
        <v>0</v>
      </c>
      <c r="AX7" s="1">
        <f>AG7*AW7</f>
        <v>0</v>
      </c>
      <c r="AY7" s="5" t="s">
        <v>573</v>
      </c>
      <c r="AZ7" s="1">
        <f>AH7*AY7</f>
        <v>0</v>
      </c>
      <c r="BA7" s="5" t="s">
        <v>573</v>
      </c>
      <c r="BB7" s="1">
        <f>AI7*BA7</f>
        <v>0</v>
      </c>
      <c r="BC7" s="5" t="s">
        <v>573</v>
      </c>
      <c r="BD7" s="1">
        <f t="shared" ref="BD7:BD14" si="12">AJ7*BC7</f>
        <v>0</v>
      </c>
      <c r="BE7" s="150">
        <v>1280</v>
      </c>
      <c r="BF7" s="1">
        <f t="shared" si="4"/>
        <v>230.39999999999998</v>
      </c>
      <c r="BG7" s="150" t="s">
        <v>573</v>
      </c>
      <c r="BH7" s="1">
        <f t="shared" si="11"/>
        <v>0</v>
      </c>
      <c r="BI7" s="150" t="s">
        <v>573</v>
      </c>
      <c r="BJ7" s="1">
        <f t="shared" si="5"/>
        <v>0</v>
      </c>
      <c r="BK7" s="156" t="s">
        <v>573</v>
      </c>
      <c r="BL7" s="1">
        <f t="shared" si="6"/>
        <v>0</v>
      </c>
      <c r="BM7" s="141" t="s">
        <v>27</v>
      </c>
      <c r="BN7" s="136" t="s">
        <v>17</v>
      </c>
      <c r="BO7" s="139" t="s">
        <v>754</v>
      </c>
      <c r="BP7" s="137"/>
    </row>
    <row r="8" spans="1:68" ht="15.75" customHeight="1">
      <c r="A8" s="109" t="s">
        <v>751</v>
      </c>
      <c r="B8" s="122" t="s">
        <v>199</v>
      </c>
      <c r="C8" s="301"/>
      <c r="D8" s="304"/>
      <c r="E8" s="304"/>
      <c r="F8" s="297"/>
      <c r="G8" s="78">
        <v>2020</v>
      </c>
      <c r="H8" s="105" t="s">
        <v>5</v>
      </c>
      <c r="I8" s="103" t="s">
        <v>201</v>
      </c>
      <c r="J8" s="102" t="s">
        <v>197</v>
      </c>
      <c r="K8" s="105" t="s">
        <v>753</v>
      </c>
      <c r="L8" s="105" t="s">
        <v>192</v>
      </c>
      <c r="M8" s="13" t="s">
        <v>193</v>
      </c>
      <c r="N8" s="13">
        <v>9.0299999999999994</v>
      </c>
      <c r="O8" s="13">
        <v>9.01</v>
      </c>
      <c r="P8" s="13">
        <v>9.01</v>
      </c>
      <c r="Q8" s="13">
        <v>9.01</v>
      </c>
      <c r="R8" s="13">
        <v>9.01</v>
      </c>
      <c r="S8" s="13">
        <v>9.01</v>
      </c>
      <c r="T8" s="13">
        <v>9.01</v>
      </c>
      <c r="U8" s="13">
        <v>9.01</v>
      </c>
      <c r="V8" s="13">
        <v>9.01</v>
      </c>
      <c r="W8" s="13">
        <v>9.01</v>
      </c>
      <c r="X8" s="13">
        <v>9.01</v>
      </c>
      <c r="Y8" s="13">
        <v>9.01</v>
      </c>
      <c r="Z8" s="13">
        <v>9.01</v>
      </c>
      <c r="AA8" s="13">
        <v>9.01</v>
      </c>
      <c r="AB8" s="40">
        <v>0.18</v>
      </c>
      <c r="AC8" s="40">
        <v>0.18</v>
      </c>
      <c r="AD8" s="40">
        <v>0.18</v>
      </c>
      <c r="AE8" s="40">
        <v>0.18</v>
      </c>
      <c r="AF8" s="40">
        <v>0.18</v>
      </c>
      <c r="AG8" s="40">
        <v>0.18</v>
      </c>
      <c r="AH8" s="40">
        <v>0.18</v>
      </c>
      <c r="AI8" s="40">
        <v>0.18</v>
      </c>
      <c r="AJ8" s="40">
        <v>0.18</v>
      </c>
      <c r="AK8" s="40">
        <v>0.18</v>
      </c>
      <c r="AL8" s="40">
        <v>0.18</v>
      </c>
      <c r="AM8" s="40">
        <v>0.18</v>
      </c>
      <c r="AN8" s="40">
        <v>0.18</v>
      </c>
      <c r="AO8" s="116">
        <v>28780</v>
      </c>
      <c r="AP8" s="6">
        <f t="shared" si="0"/>
        <v>5180.3999999999996</v>
      </c>
      <c r="AQ8" s="115">
        <v>14000</v>
      </c>
      <c r="AR8" s="6">
        <f t="shared" si="1"/>
        <v>2520</v>
      </c>
      <c r="AS8" s="115">
        <v>43400</v>
      </c>
      <c r="AT8" s="6">
        <f t="shared" si="2"/>
        <v>7812</v>
      </c>
      <c r="AU8" s="115">
        <v>23600</v>
      </c>
      <c r="AV8" s="1">
        <f t="shared" si="7"/>
        <v>4248</v>
      </c>
      <c r="AW8" s="115">
        <v>18000</v>
      </c>
      <c r="AX8" s="1">
        <f t="shared" si="8"/>
        <v>3240</v>
      </c>
      <c r="AY8" s="5">
        <v>29000</v>
      </c>
      <c r="AZ8" s="1">
        <f t="shared" si="9"/>
        <v>5220</v>
      </c>
      <c r="BA8" s="5">
        <v>15600</v>
      </c>
      <c r="BB8" s="1">
        <f>AI8*BA8</f>
        <v>2808</v>
      </c>
      <c r="BC8" s="5">
        <v>33400</v>
      </c>
      <c r="BD8" s="1">
        <f t="shared" si="12"/>
        <v>6012</v>
      </c>
      <c r="BE8" s="150">
        <v>25280</v>
      </c>
      <c r="BF8" s="1">
        <f t="shared" si="4"/>
        <v>4550.3999999999996</v>
      </c>
      <c r="BG8" s="150">
        <v>21280</v>
      </c>
      <c r="BH8" s="1">
        <f t="shared" si="11"/>
        <v>3830.3999999999996</v>
      </c>
      <c r="BI8" s="150">
        <v>47000</v>
      </c>
      <c r="BJ8" s="1">
        <f t="shared" si="5"/>
        <v>8460</v>
      </c>
      <c r="BK8" s="156">
        <v>23000</v>
      </c>
      <c r="BL8" s="1">
        <f t="shared" si="6"/>
        <v>4140</v>
      </c>
      <c r="BM8" s="141" t="s">
        <v>7</v>
      </c>
      <c r="BN8" s="136" t="s">
        <v>6</v>
      </c>
      <c r="BO8" s="139" t="s">
        <v>763</v>
      </c>
      <c r="BP8" s="137">
        <v>45961</v>
      </c>
    </row>
    <row r="9" spans="1:68" ht="14.85" customHeight="1">
      <c r="A9" s="109" t="s">
        <v>751</v>
      </c>
      <c r="B9" s="122" t="s">
        <v>199</v>
      </c>
      <c r="C9" s="301"/>
      <c r="D9" s="304"/>
      <c r="E9" s="304"/>
      <c r="F9" s="297"/>
      <c r="G9" s="78">
        <v>2020</v>
      </c>
      <c r="H9" s="105" t="s">
        <v>736</v>
      </c>
      <c r="I9" s="103" t="s">
        <v>201</v>
      </c>
      <c r="J9" s="102" t="s">
        <v>197</v>
      </c>
      <c r="K9" s="105" t="s">
        <v>755</v>
      </c>
      <c r="L9" s="105" t="s">
        <v>192</v>
      </c>
      <c r="M9" s="13" t="s">
        <v>193</v>
      </c>
      <c r="N9" s="13">
        <v>10.99</v>
      </c>
      <c r="O9" s="13">
        <v>10.92</v>
      </c>
      <c r="P9" s="13">
        <v>10.92</v>
      </c>
      <c r="Q9" s="13">
        <v>10.92</v>
      </c>
      <c r="R9" s="13">
        <v>10.92</v>
      </c>
      <c r="S9" s="13">
        <v>10.92</v>
      </c>
      <c r="T9" s="13">
        <v>10.92</v>
      </c>
      <c r="U9" s="13">
        <v>10.92</v>
      </c>
      <c r="V9" s="13">
        <v>10.92</v>
      </c>
      <c r="W9" s="13">
        <v>10.92</v>
      </c>
      <c r="X9" s="13">
        <v>10.92</v>
      </c>
      <c r="Y9" s="13">
        <v>10.92</v>
      </c>
      <c r="Z9" s="13">
        <v>10.92</v>
      </c>
      <c r="AA9" s="13">
        <v>10.92</v>
      </c>
      <c r="AB9" s="40">
        <v>0.21</v>
      </c>
      <c r="AC9" s="40">
        <v>0.21</v>
      </c>
      <c r="AD9" s="40">
        <v>0.21</v>
      </c>
      <c r="AE9" s="40">
        <v>0.21</v>
      </c>
      <c r="AF9" s="40">
        <v>0.21</v>
      </c>
      <c r="AG9" s="40">
        <v>0.21</v>
      </c>
      <c r="AH9" s="40">
        <v>0.21</v>
      </c>
      <c r="AI9" s="40">
        <v>0.21</v>
      </c>
      <c r="AJ9" s="40">
        <v>0.21</v>
      </c>
      <c r="AK9" s="40">
        <v>0.21</v>
      </c>
      <c r="AL9" s="40">
        <v>0.21</v>
      </c>
      <c r="AM9" s="40">
        <v>0.21</v>
      </c>
      <c r="AN9" s="40">
        <v>0.21</v>
      </c>
      <c r="AO9" s="116">
        <v>10880</v>
      </c>
      <c r="AP9" s="6">
        <f t="shared" si="0"/>
        <v>2284.7999999999997</v>
      </c>
      <c r="AQ9" s="115">
        <v>0</v>
      </c>
      <c r="AR9" s="6">
        <f t="shared" si="1"/>
        <v>0</v>
      </c>
      <c r="AS9" s="115">
        <v>5760</v>
      </c>
      <c r="AT9" s="6">
        <f t="shared" si="2"/>
        <v>1209.5999999999999</v>
      </c>
      <c r="AU9" s="115">
        <v>2880</v>
      </c>
      <c r="AV9" s="1">
        <f t="shared" si="7"/>
        <v>604.79999999999995</v>
      </c>
      <c r="AW9" s="115">
        <v>3880</v>
      </c>
      <c r="AX9" s="1">
        <f t="shared" si="8"/>
        <v>814.8</v>
      </c>
      <c r="AY9" s="5">
        <v>16880</v>
      </c>
      <c r="AZ9" s="1">
        <f t="shared" si="9"/>
        <v>3544.7999999999997</v>
      </c>
      <c r="BA9" s="5">
        <v>10180</v>
      </c>
      <c r="BB9" s="1">
        <f>AI9*BA9</f>
        <v>2137.7999999999997</v>
      </c>
      <c r="BC9" s="5">
        <v>5760</v>
      </c>
      <c r="BD9" s="1">
        <f t="shared" si="12"/>
        <v>1209.5999999999999</v>
      </c>
      <c r="BE9" s="150" t="s">
        <v>573</v>
      </c>
      <c r="BF9" s="1">
        <f t="shared" si="4"/>
        <v>0</v>
      </c>
      <c r="BG9" s="150">
        <v>5760</v>
      </c>
      <c r="BH9" s="1">
        <f t="shared" si="11"/>
        <v>1209.5999999999999</v>
      </c>
      <c r="BI9" s="150">
        <v>10760</v>
      </c>
      <c r="BJ9" s="1">
        <f t="shared" si="5"/>
        <v>2259.6</v>
      </c>
      <c r="BK9" s="156">
        <v>5880</v>
      </c>
      <c r="BL9" s="1">
        <f t="shared" si="6"/>
        <v>1234.8</v>
      </c>
      <c r="BM9" s="141" t="s">
        <v>551</v>
      </c>
      <c r="BN9" s="136" t="s">
        <v>6</v>
      </c>
      <c r="BO9" s="139" t="s">
        <v>763</v>
      </c>
      <c r="BP9" s="137">
        <v>45961</v>
      </c>
    </row>
    <row r="10" spans="1:68" ht="15.75" customHeight="1">
      <c r="A10" s="109" t="s">
        <v>751</v>
      </c>
      <c r="B10" s="122" t="s">
        <v>199</v>
      </c>
      <c r="C10" s="301"/>
      <c r="D10" s="304"/>
      <c r="E10" s="304"/>
      <c r="F10" s="297"/>
      <c r="G10" s="78">
        <v>2021</v>
      </c>
      <c r="H10" s="105" t="s">
        <v>737</v>
      </c>
      <c r="I10" s="103" t="s">
        <v>212</v>
      </c>
      <c r="J10" s="102" t="s">
        <v>197</v>
      </c>
      <c r="K10" s="105" t="s">
        <v>753</v>
      </c>
      <c r="L10" s="103" t="s">
        <v>192</v>
      </c>
      <c r="M10" s="13" t="s">
        <v>193</v>
      </c>
      <c r="N10" s="13">
        <v>7.73</v>
      </c>
      <c r="O10" s="13">
        <v>7.58</v>
      </c>
      <c r="P10" s="13">
        <v>7.58</v>
      </c>
      <c r="Q10" s="13">
        <v>7.58</v>
      </c>
      <c r="R10" s="13">
        <v>7.58</v>
      </c>
      <c r="S10" s="13">
        <v>7.58</v>
      </c>
      <c r="T10" s="13">
        <v>7.58</v>
      </c>
      <c r="U10" s="13">
        <v>7.58</v>
      </c>
      <c r="V10" s="13">
        <v>7.58</v>
      </c>
      <c r="W10" s="13">
        <v>7.58</v>
      </c>
      <c r="X10" s="13">
        <v>7.58</v>
      </c>
      <c r="Y10" s="13">
        <v>7.58</v>
      </c>
      <c r="Z10" s="13">
        <v>7.58</v>
      </c>
      <c r="AA10" s="13">
        <v>7.58</v>
      </c>
      <c r="AB10" s="40">
        <v>0.15</v>
      </c>
      <c r="AC10" s="40">
        <v>0.15</v>
      </c>
      <c r="AD10" s="40">
        <v>0.15</v>
      </c>
      <c r="AE10" s="40">
        <v>0.15</v>
      </c>
      <c r="AF10" s="40">
        <v>0.15</v>
      </c>
      <c r="AG10" s="40">
        <v>0.15</v>
      </c>
      <c r="AH10" s="40">
        <v>0.15</v>
      </c>
      <c r="AI10" s="40">
        <v>0.15</v>
      </c>
      <c r="AJ10" s="40">
        <v>0.15</v>
      </c>
      <c r="AK10" s="40">
        <v>0.15</v>
      </c>
      <c r="AL10" s="40">
        <v>0.15</v>
      </c>
      <c r="AM10" s="40">
        <v>0.15</v>
      </c>
      <c r="AN10" s="40">
        <v>0.15</v>
      </c>
      <c r="AO10" s="116">
        <v>12480</v>
      </c>
      <c r="AP10" s="6">
        <f t="shared" si="0"/>
        <v>1872</v>
      </c>
      <c r="AQ10" s="115">
        <v>0</v>
      </c>
      <c r="AR10" s="6">
        <f t="shared" si="1"/>
        <v>0</v>
      </c>
      <c r="AS10" s="115">
        <v>6080</v>
      </c>
      <c r="AT10" s="6">
        <f t="shared" si="2"/>
        <v>912</v>
      </c>
      <c r="AU10" s="115">
        <v>5500</v>
      </c>
      <c r="AV10" s="1">
        <f t="shared" si="7"/>
        <v>825</v>
      </c>
      <c r="AW10" s="115">
        <v>6840</v>
      </c>
      <c r="AX10" s="1">
        <f t="shared" si="8"/>
        <v>1026</v>
      </c>
      <c r="AY10" s="5">
        <v>14280</v>
      </c>
      <c r="AZ10" s="1">
        <f t="shared" si="9"/>
        <v>2142</v>
      </c>
      <c r="BA10" s="5" t="s">
        <v>573</v>
      </c>
      <c r="BB10" s="1">
        <f t="shared" si="10"/>
        <v>0</v>
      </c>
      <c r="BC10" s="5" t="s">
        <v>573</v>
      </c>
      <c r="BD10" s="1">
        <f t="shared" si="12"/>
        <v>0</v>
      </c>
      <c r="BE10" s="150" t="s">
        <v>573</v>
      </c>
      <c r="BF10" s="1">
        <f t="shared" si="4"/>
        <v>0</v>
      </c>
      <c r="BG10" s="150">
        <v>1280</v>
      </c>
      <c r="BH10" s="1">
        <f t="shared" si="11"/>
        <v>192</v>
      </c>
      <c r="BI10" s="150">
        <v>4000</v>
      </c>
      <c r="BJ10" s="1">
        <f t="shared" si="5"/>
        <v>600</v>
      </c>
      <c r="BK10" s="156">
        <v>3840</v>
      </c>
      <c r="BL10" s="1">
        <f t="shared" si="6"/>
        <v>576</v>
      </c>
      <c r="BM10" s="141" t="s">
        <v>547</v>
      </c>
      <c r="BN10" s="136" t="s">
        <v>6</v>
      </c>
      <c r="BO10" s="139" t="s">
        <v>763</v>
      </c>
      <c r="BP10" s="137">
        <v>45961</v>
      </c>
    </row>
    <row r="11" spans="1:68" ht="15.75" customHeight="1">
      <c r="A11" s="109" t="s">
        <v>751</v>
      </c>
      <c r="B11" s="122" t="s">
        <v>184</v>
      </c>
      <c r="C11" s="301"/>
      <c r="D11" s="304"/>
      <c r="E11" s="304"/>
      <c r="F11" s="297"/>
      <c r="G11" s="78">
        <v>2020</v>
      </c>
      <c r="H11" s="105" t="s">
        <v>713</v>
      </c>
      <c r="I11" s="103" t="s">
        <v>196</v>
      </c>
      <c r="J11" s="102" t="s">
        <v>197</v>
      </c>
      <c r="K11" s="105" t="s">
        <v>218</v>
      </c>
      <c r="L11" s="105" t="s">
        <v>192</v>
      </c>
      <c r="M11" s="13" t="s">
        <v>193</v>
      </c>
      <c r="N11" s="13">
        <v>30.5</v>
      </c>
      <c r="O11" s="13">
        <v>30.52</v>
      </c>
      <c r="P11" s="13">
        <v>30.52</v>
      </c>
      <c r="Q11" s="13">
        <v>30.52</v>
      </c>
      <c r="R11" s="13">
        <v>30.52</v>
      </c>
      <c r="S11" s="13">
        <v>30.52</v>
      </c>
      <c r="T11" s="13">
        <v>30.52</v>
      </c>
      <c r="U11" s="13">
        <v>30.52</v>
      </c>
      <c r="V11" s="13">
        <v>30.52</v>
      </c>
      <c r="W11" s="13">
        <v>30.52</v>
      </c>
      <c r="X11" s="13">
        <v>30.52</v>
      </c>
      <c r="Y11" s="13">
        <v>30.52</v>
      </c>
      <c r="Z11" s="13">
        <v>30.45</v>
      </c>
      <c r="AA11" s="13">
        <v>30.45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7.0000000000000007E-2</v>
      </c>
      <c r="AN11" s="40">
        <v>7.0000000000000007E-2</v>
      </c>
      <c r="AO11" s="116">
        <v>1008</v>
      </c>
      <c r="AP11" s="6">
        <f t="shared" si="0"/>
        <v>0</v>
      </c>
      <c r="AQ11" s="115">
        <v>0</v>
      </c>
      <c r="AR11" s="6">
        <f t="shared" si="1"/>
        <v>0</v>
      </c>
      <c r="AS11" s="115" t="s">
        <v>573</v>
      </c>
      <c r="AT11" s="6">
        <f t="shared" si="2"/>
        <v>0</v>
      </c>
      <c r="AU11" s="115">
        <v>1008</v>
      </c>
      <c r="AV11" s="1">
        <f t="shared" si="7"/>
        <v>0</v>
      </c>
      <c r="AW11" s="115">
        <v>0</v>
      </c>
      <c r="AX11" s="1">
        <f t="shared" si="8"/>
        <v>0</v>
      </c>
      <c r="AY11" s="5">
        <v>1008</v>
      </c>
      <c r="AZ11" s="1">
        <f t="shared" si="9"/>
        <v>0</v>
      </c>
      <c r="BA11" s="5" t="s">
        <v>573</v>
      </c>
      <c r="BB11" s="1">
        <f t="shared" si="10"/>
        <v>0</v>
      </c>
      <c r="BC11" s="5">
        <v>1008</v>
      </c>
      <c r="BD11" s="1">
        <f t="shared" si="12"/>
        <v>0</v>
      </c>
      <c r="BE11" s="150" t="s">
        <v>573</v>
      </c>
      <c r="BF11" s="1">
        <f t="shared" si="4"/>
        <v>0</v>
      </c>
      <c r="BG11" s="150" t="s">
        <v>573</v>
      </c>
      <c r="BH11" s="1">
        <f t="shared" si="11"/>
        <v>0</v>
      </c>
      <c r="BI11" s="150">
        <v>1008</v>
      </c>
      <c r="BJ11" s="1">
        <f t="shared" si="5"/>
        <v>70.56</v>
      </c>
      <c r="BK11" s="156" t="s">
        <v>573</v>
      </c>
      <c r="BL11" s="1">
        <f t="shared" si="6"/>
        <v>0</v>
      </c>
      <c r="BM11" s="141" t="s">
        <v>508</v>
      </c>
      <c r="BN11" s="136" t="s">
        <v>494</v>
      </c>
      <c r="BO11" s="139" t="s">
        <v>763</v>
      </c>
      <c r="BP11" s="137">
        <v>45838</v>
      </c>
    </row>
    <row r="12" spans="1:68" ht="15.75" customHeight="1">
      <c r="A12" s="109" t="s">
        <v>751</v>
      </c>
      <c r="B12" s="122" t="s">
        <v>184</v>
      </c>
      <c r="C12" s="301"/>
      <c r="D12" s="304"/>
      <c r="E12" s="304"/>
      <c r="F12" s="297"/>
      <c r="G12" s="78">
        <v>2020</v>
      </c>
      <c r="H12" s="105" t="s">
        <v>713</v>
      </c>
      <c r="I12" s="103" t="s">
        <v>196</v>
      </c>
      <c r="J12" s="102" t="s">
        <v>197</v>
      </c>
      <c r="K12" s="105" t="s">
        <v>216</v>
      </c>
      <c r="L12" s="105" t="s">
        <v>192</v>
      </c>
      <c r="M12" s="13" t="s">
        <v>193</v>
      </c>
      <c r="N12" s="13">
        <v>30.4</v>
      </c>
      <c r="O12" s="13">
        <v>30.42</v>
      </c>
      <c r="P12" s="13">
        <v>30.42</v>
      </c>
      <c r="Q12" s="13">
        <v>30.42</v>
      </c>
      <c r="R12" s="13">
        <v>30.42</v>
      </c>
      <c r="S12" s="13">
        <v>30.42</v>
      </c>
      <c r="T12" s="13">
        <v>30.42</v>
      </c>
      <c r="U12" s="13">
        <v>30.42</v>
      </c>
      <c r="V12" s="13">
        <v>30.42</v>
      </c>
      <c r="W12" s="13">
        <v>30.42</v>
      </c>
      <c r="X12" s="13">
        <v>30.42</v>
      </c>
      <c r="Y12" s="13">
        <v>30.42</v>
      </c>
      <c r="Z12" s="13">
        <v>30.35</v>
      </c>
      <c r="AA12" s="13">
        <v>30.35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7.0000000000000007E-2</v>
      </c>
      <c r="AN12" s="40">
        <v>7.0000000000000007E-2</v>
      </c>
      <c r="AO12" s="116">
        <v>0</v>
      </c>
      <c r="AP12" s="6">
        <f t="shared" si="0"/>
        <v>0</v>
      </c>
      <c r="AQ12" s="115">
        <v>2016</v>
      </c>
      <c r="AR12" s="6">
        <f t="shared" si="1"/>
        <v>0</v>
      </c>
      <c r="AS12" s="115">
        <v>1008</v>
      </c>
      <c r="AT12" s="6">
        <f t="shared" si="2"/>
        <v>0</v>
      </c>
      <c r="AU12" s="115">
        <v>0</v>
      </c>
      <c r="AV12" s="1">
        <f t="shared" si="7"/>
        <v>0</v>
      </c>
      <c r="AW12" s="115">
        <v>1008</v>
      </c>
      <c r="AX12" s="1">
        <f t="shared" si="8"/>
        <v>0</v>
      </c>
      <c r="AY12" s="5" t="s">
        <v>573</v>
      </c>
      <c r="AZ12" s="1">
        <f t="shared" si="9"/>
        <v>0</v>
      </c>
      <c r="BA12" s="5">
        <v>1008</v>
      </c>
      <c r="BB12" s="1">
        <f t="shared" si="10"/>
        <v>0</v>
      </c>
      <c r="BC12" s="5" t="s">
        <v>573</v>
      </c>
      <c r="BD12" s="1">
        <f t="shared" si="12"/>
        <v>0</v>
      </c>
      <c r="BE12" s="150">
        <v>1008</v>
      </c>
      <c r="BF12" s="1">
        <f t="shared" si="4"/>
        <v>0</v>
      </c>
      <c r="BG12" s="150" t="s">
        <v>573</v>
      </c>
      <c r="BH12" s="1">
        <f t="shared" si="11"/>
        <v>0</v>
      </c>
      <c r="BI12" s="150" t="s">
        <v>573</v>
      </c>
      <c r="BJ12" s="1">
        <f t="shared" si="5"/>
        <v>0</v>
      </c>
      <c r="BK12" s="156">
        <v>1008</v>
      </c>
      <c r="BL12" s="1">
        <f t="shared" si="6"/>
        <v>70.56</v>
      </c>
      <c r="BM12" s="141" t="s">
        <v>506</v>
      </c>
      <c r="BN12" s="136" t="s">
        <v>494</v>
      </c>
      <c r="BO12" s="139" t="s">
        <v>763</v>
      </c>
      <c r="BP12" s="137">
        <v>45838</v>
      </c>
    </row>
    <row r="13" spans="1:68" ht="15.75" customHeight="1">
      <c r="A13" s="109" t="s">
        <v>751</v>
      </c>
      <c r="B13" s="122" t="s">
        <v>184</v>
      </c>
      <c r="C13" s="301"/>
      <c r="D13" s="304"/>
      <c r="E13" s="304"/>
      <c r="F13" s="297"/>
      <c r="G13" s="78">
        <v>2020</v>
      </c>
      <c r="H13" s="105" t="s">
        <v>713</v>
      </c>
      <c r="I13" s="103" t="s">
        <v>196</v>
      </c>
      <c r="J13" s="102" t="s">
        <v>197</v>
      </c>
      <c r="K13" s="105" t="s">
        <v>218</v>
      </c>
      <c r="L13" s="105" t="s">
        <v>192</v>
      </c>
      <c r="M13" s="13" t="s">
        <v>193</v>
      </c>
      <c r="N13" s="13">
        <v>30.5</v>
      </c>
      <c r="O13" s="13">
        <v>30.52</v>
      </c>
      <c r="P13" s="13">
        <v>30.52</v>
      </c>
      <c r="Q13" s="13">
        <v>30.52</v>
      </c>
      <c r="R13" s="13">
        <v>30.52</v>
      </c>
      <c r="S13" s="13">
        <v>30.52</v>
      </c>
      <c r="T13" s="13">
        <v>30.52</v>
      </c>
      <c r="U13" s="13">
        <v>30.52</v>
      </c>
      <c r="V13" s="13">
        <v>30.52</v>
      </c>
      <c r="W13" s="13">
        <v>30.52</v>
      </c>
      <c r="X13" s="13">
        <v>30.52</v>
      </c>
      <c r="Y13" s="13">
        <v>30.52</v>
      </c>
      <c r="Z13" s="13">
        <v>30.45</v>
      </c>
      <c r="AA13" s="13">
        <v>30.45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7.0000000000000007E-2</v>
      </c>
      <c r="AN13" s="40">
        <v>7.0000000000000007E-2</v>
      </c>
      <c r="AO13" s="116">
        <v>0</v>
      </c>
      <c r="AP13" s="6">
        <f t="shared" si="0"/>
        <v>0</v>
      </c>
      <c r="AQ13" s="115">
        <v>0</v>
      </c>
      <c r="AR13" s="6">
        <f t="shared" si="1"/>
        <v>0</v>
      </c>
      <c r="AS13" s="115" t="s">
        <v>573</v>
      </c>
      <c r="AT13" s="6">
        <f t="shared" si="2"/>
        <v>0</v>
      </c>
      <c r="AU13" s="115">
        <v>0</v>
      </c>
      <c r="AV13" s="1">
        <f t="shared" si="7"/>
        <v>0</v>
      </c>
      <c r="AW13" s="115">
        <v>0</v>
      </c>
      <c r="AX13" s="1">
        <f t="shared" si="8"/>
        <v>0</v>
      </c>
      <c r="AY13" s="5" t="s">
        <v>573</v>
      </c>
      <c r="AZ13" s="1">
        <f t="shared" si="9"/>
        <v>0</v>
      </c>
      <c r="BA13" s="5" t="s">
        <v>573</v>
      </c>
      <c r="BB13" s="1">
        <f t="shared" si="10"/>
        <v>0</v>
      </c>
      <c r="BC13" s="5" t="s">
        <v>573</v>
      </c>
      <c r="BD13" s="1">
        <f t="shared" si="12"/>
        <v>0</v>
      </c>
      <c r="BE13" s="150" t="s">
        <v>573</v>
      </c>
      <c r="BF13" s="1">
        <f t="shared" si="4"/>
        <v>0</v>
      </c>
      <c r="BG13" s="150" t="s">
        <v>573</v>
      </c>
      <c r="BH13" s="1">
        <f t="shared" si="11"/>
        <v>0</v>
      </c>
      <c r="BI13" s="150" t="s">
        <v>573</v>
      </c>
      <c r="BJ13" s="1">
        <f t="shared" si="5"/>
        <v>0</v>
      </c>
      <c r="BK13" s="156" t="s">
        <v>573</v>
      </c>
      <c r="BL13" s="1">
        <f t="shared" si="6"/>
        <v>0</v>
      </c>
      <c r="BM13" s="141" t="s">
        <v>1311</v>
      </c>
      <c r="BN13" s="136" t="s">
        <v>497</v>
      </c>
      <c r="BO13" s="139" t="s">
        <v>1326</v>
      </c>
      <c r="BP13" s="137">
        <v>45838</v>
      </c>
    </row>
    <row r="14" spans="1:68" ht="15.75" customHeight="1">
      <c r="A14" s="109" t="s">
        <v>751</v>
      </c>
      <c r="B14" s="122" t="s">
        <v>199</v>
      </c>
      <c r="C14" s="301"/>
      <c r="D14" s="304"/>
      <c r="E14" s="304"/>
      <c r="F14" s="297"/>
      <c r="G14" s="78">
        <v>2020</v>
      </c>
      <c r="H14" s="105" t="s">
        <v>717</v>
      </c>
      <c r="I14" s="103" t="s">
        <v>201</v>
      </c>
      <c r="J14" s="102" t="s">
        <v>197</v>
      </c>
      <c r="K14" s="105" t="s">
        <v>221</v>
      </c>
      <c r="L14" s="105" t="s">
        <v>192</v>
      </c>
      <c r="M14" s="13" t="s">
        <v>193</v>
      </c>
      <c r="N14" s="13">
        <v>5.14</v>
      </c>
      <c r="O14" s="13">
        <v>5.14</v>
      </c>
      <c r="P14" s="13">
        <v>5.14</v>
      </c>
      <c r="Q14" s="13">
        <v>5.14</v>
      </c>
      <c r="R14" s="13">
        <v>5.14</v>
      </c>
      <c r="S14" s="13">
        <v>5.14</v>
      </c>
      <c r="T14" s="13">
        <v>5.14</v>
      </c>
      <c r="U14" s="13">
        <v>5.14</v>
      </c>
      <c r="V14" s="13">
        <v>5.14</v>
      </c>
      <c r="W14" s="13">
        <v>5.14</v>
      </c>
      <c r="X14" s="13">
        <v>5.14</v>
      </c>
      <c r="Y14" s="13">
        <v>5.14</v>
      </c>
      <c r="Z14" s="13">
        <v>5.14</v>
      </c>
      <c r="AA14" s="13">
        <v>5.14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116">
        <v>5600</v>
      </c>
      <c r="AP14" s="6">
        <f t="shared" si="0"/>
        <v>0</v>
      </c>
      <c r="AQ14" s="115">
        <v>7700</v>
      </c>
      <c r="AR14" s="6">
        <f t="shared" si="1"/>
        <v>0</v>
      </c>
      <c r="AS14" s="115">
        <v>2700</v>
      </c>
      <c r="AT14" s="6">
        <f t="shared" si="2"/>
        <v>0</v>
      </c>
      <c r="AU14" s="115">
        <v>5200</v>
      </c>
      <c r="AV14" s="1">
        <f t="shared" si="7"/>
        <v>0</v>
      </c>
      <c r="AW14" s="115">
        <v>13800</v>
      </c>
      <c r="AX14" s="1">
        <f t="shared" si="8"/>
        <v>0</v>
      </c>
      <c r="AY14" s="5">
        <v>15000</v>
      </c>
      <c r="AZ14" s="1">
        <f t="shared" si="9"/>
        <v>0</v>
      </c>
      <c r="BA14" s="5">
        <v>5200</v>
      </c>
      <c r="BB14" s="1">
        <f t="shared" si="10"/>
        <v>0</v>
      </c>
      <c r="BC14" s="5">
        <v>17000</v>
      </c>
      <c r="BD14" s="1">
        <f t="shared" si="12"/>
        <v>0</v>
      </c>
      <c r="BE14" s="150" t="s">
        <v>573</v>
      </c>
      <c r="BF14" s="1">
        <f t="shared" si="4"/>
        <v>0</v>
      </c>
      <c r="BG14" s="150">
        <v>2600</v>
      </c>
      <c r="BH14" s="1">
        <f t="shared" si="11"/>
        <v>0</v>
      </c>
      <c r="BI14" s="150">
        <v>7800</v>
      </c>
      <c r="BJ14" s="1">
        <f t="shared" si="5"/>
        <v>0</v>
      </c>
      <c r="BK14" s="156">
        <v>2600</v>
      </c>
      <c r="BL14" s="1">
        <f t="shared" si="6"/>
        <v>0</v>
      </c>
      <c r="BM14" s="141" t="s">
        <v>516</v>
      </c>
      <c r="BN14" s="136" t="s">
        <v>6</v>
      </c>
      <c r="BO14" s="139" t="s">
        <v>763</v>
      </c>
      <c r="BP14" s="137">
        <v>45961</v>
      </c>
    </row>
    <row r="15" spans="1:68" ht="20.85" customHeight="1">
      <c r="A15" s="109" t="s">
        <v>751</v>
      </c>
      <c r="B15" s="122" t="s">
        <v>199</v>
      </c>
      <c r="C15" s="301"/>
      <c r="D15" s="304"/>
      <c r="E15" s="304"/>
      <c r="F15" s="297"/>
      <c r="G15" s="78">
        <v>2020</v>
      </c>
      <c r="H15" s="105" t="s">
        <v>738</v>
      </c>
      <c r="I15" s="103" t="s">
        <v>201</v>
      </c>
      <c r="J15" s="102" t="s">
        <v>197</v>
      </c>
      <c r="K15" s="105" t="s">
        <v>221</v>
      </c>
      <c r="L15" s="105" t="s">
        <v>192</v>
      </c>
      <c r="M15" s="13" t="s">
        <v>193</v>
      </c>
      <c r="N15" s="13">
        <v>4.93</v>
      </c>
      <c r="O15" s="13">
        <v>4.93</v>
      </c>
      <c r="P15" s="13">
        <v>4.93</v>
      </c>
      <c r="Q15" s="13">
        <v>4.93</v>
      </c>
      <c r="R15" s="13">
        <v>4.93</v>
      </c>
      <c r="S15" s="13">
        <v>4.93</v>
      </c>
      <c r="T15" s="13">
        <v>4.93</v>
      </c>
      <c r="U15" s="13">
        <v>4.93</v>
      </c>
      <c r="V15" s="13">
        <v>4.93</v>
      </c>
      <c r="W15" s="13">
        <v>4.93</v>
      </c>
      <c r="X15" s="13">
        <v>4.93</v>
      </c>
      <c r="Y15" s="13">
        <v>4.93</v>
      </c>
      <c r="Z15" s="13">
        <v>4.93</v>
      </c>
      <c r="AA15" s="13">
        <v>4.93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116">
        <v>0</v>
      </c>
      <c r="AP15" s="6">
        <f t="shared" si="0"/>
        <v>0</v>
      </c>
      <c r="AQ15" s="115">
        <v>0</v>
      </c>
      <c r="AR15" s="6">
        <f t="shared" si="1"/>
        <v>0</v>
      </c>
      <c r="AS15" s="115" t="s">
        <v>573</v>
      </c>
      <c r="AT15" s="6">
        <f t="shared" si="2"/>
        <v>0</v>
      </c>
      <c r="AU15" s="115">
        <v>0</v>
      </c>
      <c r="AV15" s="1">
        <f t="shared" si="7"/>
        <v>0</v>
      </c>
      <c r="AW15" s="115">
        <v>0</v>
      </c>
      <c r="AX15" s="1">
        <f t="shared" si="8"/>
        <v>0</v>
      </c>
      <c r="AY15" s="5" t="s">
        <v>573</v>
      </c>
      <c r="AZ15" s="1">
        <f t="shared" si="9"/>
        <v>0</v>
      </c>
      <c r="BA15" s="5" t="s">
        <v>573</v>
      </c>
      <c r="BB15" s="1">
        <f t="shared" si="10"/>
        <v>0</v>
      </c>
      <c r="BC15" s="5" t="s">
        <v>573</v>
      </c>
      <c r="BD15" s="1">
        <f t="shared" si="3"/>
        <v>0</v>
      </c>
      <c r="BE15" s="150" t="s">
        <v>573</v>
      </c>
      <c r="BF15" s="1">
        <f t="shared" si="4"/>
        <v>0</v>
      </c>
      <c r="BG15" s="150" t="s">
        <v>573</v>
      </c>
      <c r="BH15" s="1">
        <f t="shared" si="11"/>
        <v>0</v>
      </c>
      <c r="BI15" s="150" t="s">
        <v>573</v>
      </c>
      <c r="BJ15" s="1">
        <f t="shared" si="5"/>
        <v>0</v>
      </c>
      <c r="BK15" s="156" t="s">
        <v>573</v>
      </c>
      <c r="BL15" s="1">
        <f t="shared" si="6"/>
        <v>0</v>
      </c>
      <c r="BM15" s="141" t="s">
        <v>1312</v>
      </c>
      <c r="BN15" s="136" t="s">
        <v>495</v>
      </c>
      <c r="BO15" s="139" t="s">
        <v>1322</v>
      </c>
      <c r="BP15" s="137">
        <v>45443</v>
      </c>
    </row>
    <row r="16" spans="1:68" s="11" customFormat="1" ht="15.75" customHeight="1">
      <c r="A16" s="109" t="s">
        <v>751</v>
      </c>
      <c r="B16" s="122" t="s">
        <v>199</v>
      </c>
      <c r="C16" s="301"/>
      <c r="D16" s="304"/>
      <c r="E16" s="304"/>
      <c r="F16" s="297"/>
      <c r="G16" s="78">
        <v>2022</v>
      </c>
      <c r="H16" s="105" t="s">
        <v>739</v>
      </c>
      <c r="I16" s="103" t="s">
        <v>212</v>
      </c>
      <c r="J16" s="102" t="s">
        <v>197</v>
      </c>
      <c r="K16" s="105" t="s">
        <v>221</v>
      </c>
      <c r="L16" s="105" t="s">
        <v>192</v>
      </c>
      <c r="M16" s="13" t="s">
        <v>193</v>
      </c>
      <c r="N16" s="13">
        <v>3.9</v>
      </c>
      <c r="O16" s="13">
        <v>3.9</v>
      </c>
      <c r="P16" s="13">
        <v>3.9</v>
      </c>
      <c r="Q16" s="13">
        <v>3.9</v>
      </c>
      <c r="R16" s="13">
        <v>3.9</v>
      </c>
      <c r="S16" s="13">
        <v>3.9</v>
      </c>
      <c r="T16" s="13">
        <v>3.9</v>
      </c>
      <c r="U16" s="13">
        <v>3.9</v>
      </c>
      <c r="V16" s="13">
        <v>3.9</v>
      </c>
      <c r="W16" s="13">
        <v>3.9</v>
      </c>
      <c r="X16" s="13">
        <v>3.9</v>
      </c>
      <c r="Y16" s="13">
        <v>3.9</v>
      </c>
      <c r="Z16" s="13">
        <v>3.9</v>
      </c>
      <c r="AA16" s="13">
        <v>3.9</v>
      </c>
      <c r="AB16" s="40">
        <v>0.21</v>
      </c>
      <c r="AC16" s="40">
        <v>0.21</v>
      </c>
      <c r="AD16" s="40">
        <v>0.21</v>
      </c>
      <c r="AE16" s="40">
        <v>0.21</v>
      </c>
      <c r="AF16" s="40">
        <v>0.21</v>
      </c>
      <c r="AG16" s="40">
        <v>0.21</v>
      </c>
      <c r="AH16" s="40">
        <v>0.21</v>
      </c>
      <c r="AI16" s="40">
        <v>0.21</v>
      </c>
      <c r="AJ16" s="40">
        <v>0.21</v>
      </c>
      <c r="AK16" s="40">
        <v>0.21</v>
      </c>
      <c r="AL16" s="40">
        <v>0.21</v>
      </c>
      <c r="AM16" s="40">
        <v>0.21</v>
      </c>
      <c r="AN16" s="40">
        <v>0.21</v>
      </c>
      <c r="AO16" s="116">
        <v>0</v>
      </c>
      <c r="AP16" s="6">
        <f t="shared" si="0"/>
        <v>0</v>
      </c>
      <c r="AQ16" s="115">
        <v>0</v>
      </c>
      <c r="AR16" s="6">
        <f t="shared" si="1"/>
        <v>0</v>
      </c>
      <c r="AS16" s="115" t="s">
        <v>573</v>
      </c>
      <c r="AT16" s="6">
        <f t="shared" si="2"/>
        <v>0</v>
      </c>
      <c r="AU16" s="115">
        <v>0</v>
      </c>
      <c r="AV16" s="1">
        <f t="shared" si="7"/>
        <v>0</v>
      </c>
      <c r="AW16" s="115">
        <v>0</v>
      </c>
      <c r="AX16" s="1">
        <f t="shared" si="8"/>
        <v>0</v>
      </c>
      <c r="AY16" s="5">
        <v>5600</v>
      </c>
      <c r="AZ16" s="1">
        <f t="shared" si="9"/>
        <v>1176</v>
      </c>
      <c r="BA16" s="5">
        <v>5600</v>
      </c>
      <c r="BB16" s="1">
        <f t="shared" si="10"/>
        <v>1176</v>
      </c>
      <c r="BC16" s="5">
        <v>2800</v>
      </c>
      <c r="BD16" s="1">
        <f t="shared" si="3"/>
        <v>588</v>
      </c>
      <c r="BE16" s="150">
        <v>2800</v>
      </c>
      <c r="BF16" s="1">
        <f t="shared" si="4"/>
        <v>588</v>
      </c>
      <c r="BG16" s="150">
        <v>5600</v>
      </c>
      <c r="BH16" s="1">
        <f t="shared" si="11"/>
        <v>1176</v>
      </c>
      <c r="BI16" s="150">
        <v>5600</v>
      </c>
      <c r="BJ16" s="1">
        <f t="shared" si="5"/>
        <v>1176</v>
      </c>
      <c r="BK16" s="156">
        <v>8400</v>
      </c>
      <c r="BL16" s="1">
        <f t="shared" si="6"/>
        <v>1764</v>
      </c>
      <c r="BM16" s="141" t="s">
        <v>584</v>
      </c>
      <c r="BN16" s="136" t="s">
        <v>6</v>
      </c>
      <c r="BO16" s="139" t="s">
        <v>763</v>
      </c>
      <c r="BP16" s="138">
        <v>45961</v>
      </c>
    </row>
    <row r="17" spans="1:68" ht="15.75" customHeight="1">
      <c r="A17" s="109" t="s">
        <v>751</v>
      </c>
      <c r="B17" s="122" t="s">
        <v>184</v>
      </c>
      <c r="C17" s="301"/>
      <c r="D17" s="304"/>
      <c r="E17" s="304"/>
      <c r="F17" s="297"/>
      <c r="G17" s="78">
        <v>2016</v>
      </c>
      <c r="H17" s="105" t="s">
        <v>718</v>
      </c>
      <c r="I17" s="103" t="s">
        <v>196</v>
      </c>
      <c r="J17" s="102" t="s">
        <v>197</v>
      </c>
      <c r="K17" s="105" t="s">
        <v>221</v>
      </c>
      <c r="L17" s="105" t="s">
        <v>192</v>
      </c>
      <c r="M17" s="13" t="s">
        <v>193</v>
      </c>
      <c r="N17" s="13">
        <v>5.3</v>
      </c>
      <c r="O17" s="13">
        <v>4.79</v>
      </c>
      <c r="P17" s="13">
        <v>4.79</v>
      </c>
      <c r="Q17" s="13">
        <v>4.79</v>
      </c>
      <c r="R17" s="13">
        <v>4.79</v>
      </c>
      <c r="S17" s="13">
        <v>4.79</v>
      </c>
      <c r="T17" s="13">
        <v>4.79</v>
      </c>
      <c r="U17" s="13">
        <v>4.79</v>
      </c>
      <c r="V17" s="13">
        <v>4.79</v>
      </c>
      <c r="W17" s="13">
        <v>4.79</v>
      </c>
      <c r="X17" s="13">
        <v>4.79</v>
      </c>
      <c r="Y17" s="13">
        <v>4.79</v>
      </c>
      <c r="Z17" s="13">
        <v>4.79</v>
      </c>
      <c r="AA17" s="13">
        <v>4.79</v>
      </c>
      <c r="AB17" s="40">
        <v>0.05</v>
      </c>
      <c r="AC17" s="40">
        <v>0.05</v>
      </c>
      <c r="AD17" s="40">
        <v>0.05</v>
      </c>
      <c r="AE17" s="40">
        <v>0.05</v>
      </c>
      <c r="AF17" s="40">
        <v>0.05</v>
      </c>
      <c r="AG17" s="40">
        <v>0.05</v>
      </c>
      <c r="AH17" s="40">
        <v>0.05</v>
      </c>
      <c r="AI17" s="40">
        <v>0.05</v>
      </c>
      <c r="AJ17" s="40">
        <v>0.05</v>
      </c>
      <c r="AK17" s="40">
        <v>0.05</v>
      </c>
      <c r="AL17" s="40">
        <v>0.05</v>
      </c>
      <c r="AM17" s="40">
        <v>0.05</v>
      </c>
      <c r="AN17" s="40">
        <v>0.05</v>
      </c>
      <c r="AO17" s="116">
        <v>0</v>
      </c>
      <c r="AP17" s="6">
        <f t="shared" si="0"/>
        <v>0</v>
      </c>
      <c r="AQ17" s="115">
        <v>12960</v>
      </c>
      <c r="AR17" s="6">
        <f t="shared" si="1"/>
        <v>648</v>
      </c>
      <c r="AS17" s="115">
        <v>4320</v>
      </c>
      <c r="AT17" s="6">
        <f t="shared" si="2"/>
        <v>216</v>
      </c>
      <c r="AU17" s="115">
        <v>0</v>
      </c>
      <c r="AV17" s="1">
        <f t="shared" si="7"/>
        <v>0</v>
      </c>
      <c r="AW17" s="115">
        <v>8640</v>
      </c>
      <c r="AX17" s="1">
        <f t="shared" si="8"/>
        <v>432</v>
      </c>
      <c r="AY17" s="5">
        <v>8640</v>
      </c>
      <c r="AZ17" s="1">
        <f t="shared" si="9"/>
        <v>432</v>
      </c>
      <c r="BA17" s="5">
        <v>8640</v>
      </c>
      <c r="BB17" s="1">
        <f t="shared" si="10"/>
        <v>432</v>
      </c>
      <c r="BC17" s="5">
        <v>8640</v>
      </c>
      <c r="BD17" s="1">
        <f t="shared" si="3"/>
        <v>432</v>
      </c>
      <c r="BE17" s="150">
        <v>4320</v>
      </c>
      <c r="BF17" s="1">
        <f t="shared" si="4"/>
        <v>216</v>
      </c>
      <c r="BG17" s="150" t="s">
        <v>573</v>
      </c>
      <c r="BH17" s="1">
        <f t="shared" si="11"/>
        <v>0</v>
      </c>
      <c r="BI17" s="150">
        <v>4320</v>
      </c>
      <c r="BJ17" s="1">
        <f t="shared" si="5"/>
        <v>216</v>
      </c>
      <c r="BK17" s="156">
        <v>4320</v>
      </c>
      <c r="BL17" s="1">
        <f t="shared" si="6"/>
        <v>216</v>
      </c>
      <c r="BM17" s="141" t="s">
        <v>698</v>
      </c>
      <c r="BN17" s="136" t="s">
        <v>494</v>
      </c>
      <c r="BO17" s="139" t="s">
        <v>763</v>
      </c>
      <c r="BP17" s="137">
        <v>45291</v>
      </c>
    </row>
    <row r="18" spans="1:68" ht="15.75" customHeight="1">
      <c r="A18" s="109" t="s">
        <v>751</v>
      </c>
      <c r="B18" s="122" t="s">
        <v>184</v>
      </c>
      <c r="C18" s="301"/>
      <c r="D18" s="304"/>
      <c r="E18" s="304"/>
      <c r="F18" s="297"/>
      <c r="G18" s="78">
        <v>2019</v>
      </c>
      <c r="H18" s="105" t="s">
        <v>720</v>
      </c>
      <c r="I18" s="103" t="s">
        <v>196</v>
      </c>
      <c r="J18" s="102" t="s">
        <v>197</v>
      </c>
      <c r="K18" s="105" t="s">
        <v>753</v>
      </c>
      <c r="L18" s="105" t="s">
        <v>192</v>
      </c>
      <c r="M18" s="13" t="s">
        <v>193</v>
      </c>
      <c r="N18" s="13">
        <v>1.8</v>
      </c>
      <c r="O18" s="13">
        <v>1.8</v>
      </c>
      <c r="P18" s="13">
        <v>1.8</v>
      </c>
      <c r="Q18" s="13">
        <v>1.8</v>
      </c>
      <c r="R18" s="13">
        <v>1.8</v>
      </c>
      <c r="S18" s="13">
        <v>1.8</v>
      </c>
      <c r="T18" s="13">
        <v>1.8</v>
      </c>
      <c r="U18" s="13">
        <v>1.8</v>
      </c>
      <c r="V18" s="13">
        <v>1.8</v>
      </c>
      <c r="W18" s="13">
        <v>1.8</v>
      </c>
      <c r="X18" s="13">
        <v>1.8</v>
      </c>
      <c r="Y18" s="13">
        <v>1.8</v>
      </c>
      <c r="Z18" s="13">
        <v>1.8</v>
      </c>
      <c r="AA18" s="13">
        <v>1.8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116">
        <v>17280</v>
      </c>
      <c r="AP18" s="6">
        <f t="shared" si="0"/>
        <v>0</v>
      </c>
      <c r="AQ18" s="115">
        <v>33040</v>
      </c>
      <c r="AR18" s="6">
        <f t="shared" si="1"/>
        <v>0</v>
      </c>
      <c r="AS18" s="115">
        <v>15920</v>
      </c>
      <c r="AT18" s="6">
        <f t="shared" si="2"/>
        <v>0</v>
      </c>
      <c r="AU18" s="115">
        <v>0</v>
      </c>
      <c r="AV18" s="1">
        <f t="shared" si="7"/>
        <v>0</v>
      </c>
      <c r="AW18" s="115">
        <v>37440</v>
      </c>
      <c r="AX18" s="1">
        <f t="shared" si="8"/>
        <v>0</v>
      </c>
      <c r="AY18" s="5">
        <v>40320</v>
      </c>
      <c r="AZ18" s="1">
        <f t="shared" si="9"/>
        <v>0</v>
      </c>
      <c r="BA18" s="5">
        <v>20200</v>
      </c>
      <c r="BB18" s="1">
        <f t="shared" si="10"/>
        <v>0</v>
      </c>
      <c r="BC18" s="5">
        <v>2880</v>
      </c>
      <c r="BD18" s="1">
        <f t="shared" si="3"/>
        <v>0</v>
      </c>
      <c r="BE18" s="150">
        <v>5760</v>
      </c>
      <c r="BF18" s="1">
        <f t="shared" si="4"/>
        <v>0</v>
      </c>
      <c r="BG18" s="150">
        <v>20160</v>
      </c>
      <c r="BH18" s="1">
        <f t="shared" si="11"/>
        <v>0</v>
      </c>
      <c r="BI18" s="150" t="s">
        <v>573</v>
      </c>
      <c r="BJ18" s="1">
        <f t="shared" si="5"/>
        <v>0</v>
      </c>
      <c r="BK18" s="156">
        <v>17280</v>
      </c>
      <c r="BL18" s="1">
        <f t="shared" si="6"/>
        <v>0</v>
      </c>
      <c r="BM18" s="141" t="s">
        <v>608</v>
      </c>
      <c r="BN18" s="136" t="s">
        <v>494</v>
      </c>
      <c r="BO18" s="139" t="s">
        <v>763</v>
      </c>
      <c r="BP18" s="137">
        <v>45596</v>
      </c>
    </row>
    <row r="19" spans="1:68" ht="15.75" customHeight="1">
      <c r="A19" s="109" t="s">
        <v>751</v>
      </c>
      <c r="B19" s="122" t="s">
        <v>199</v>
      </c>
      <c r="C19" s="301"/>
      <c r="D19" s="304"/>
      <c r="E19" s="304"/>
      <c r="F19" s="297"/>
      <c r="G19" s="78">
        <v>2020</v>
      </c>
      <c r="H19" s="105" t="s">
        <v>721</v>
      </c>
      <c r="I19" s="103" t="s">
        <v>201</v>
      </c>
      <c r="J19" s="102" t="s">
        <v>197</v>
      </c>
      <c r="K19" s="105" t="s">
        <v>221</v>
      </c>
      <c r="L19" s="105" t="s">
        <v>192</v>
      </c>
      <c r="M19" s="13" t="s">
        <v>193</v>
      </c>
      <c r="N19" s="13">
        <v>8.0500000000000007</v>
      </c>
      <c r="O19" s="13">
        <v>8.0500000000000007</v>
      </c>
      <c r="P19" s="13">
        <v>8.0500000000000007</v>
      </c>
      <c r="Q19" s="13">
        <v>8.0500000000000007</v>
      </c>
      <c r="R19" s="13">
        <v>8.0500000000000007</v>
      </c>
      <c r="S19" s="13">
        <v>8.0500000000000007</v>
      </c>
      <c r="T19" s="13">
        <v>8.0500000000000007</v>
      </c>
      <c r="U19" s="13">
        <v>8.0500000000000007</v>
      </c>
      <c r="V19" s="13">
        <v>8.0500000000000007</v>
      </c>
      <c r="W19" s="13">
        <v>8.0500000000000007</v>
      </c>
      <c r="X19" s="13">
        <v>8.0500000000000007</v>
      </c>
      <c r="Y19" s="13">
        <v>8.0500000000000007</v>
      </c>
      <c r="Z19" s="13">
        <v>8.0500000000000007</v>
      </c>
      <c r="AA19" s="13">
        <v>8.0500000000000007</v>
      </c>
      <c r="AB19" s="40">
        <v>0.08</v>
      </c>
      <c r="AC19" s="40">
        <v>0.08</v>
      </c>
      <c r="AD19" s="40">
        <v>0.08</v>
      </c>
      <c r="AE19" s="40">
        <v>0.08</v>
      </c>
      <c r="AF19" s="40">
        <v>0.08</v>
      </c>
      <c r="AG19" s="40">
        <v>0.08</v>
      </c>
      <c r="AH19" s="40">
        <v>0.08</v>
      </c>
      <c r="AI19" s="40">
        <v>0.08</v>
      </c>
      <c r="AJ19" s="40">
        <v>0.08</v>
      </c>
      <c r="AK19" s="40">
        <v>0.08</v>
      </c>
      <c r="AL19" s="40">
        <v>0.08</v>
      </c>
      <c r="AM19" s="40">
        <v>0.08</v>
      </c>
      <c r="AN19" s="40">
        <v>0.08</v>
      </c>
      <c r="AO19" s="116">
        <v>7780</v>
      </c>
      <c r="AP19" s="6">
        <f t="shared" si="0"/>
        <v>622.4</v>
      </c>
      <c r="AQ19" s="115">
        <v>0</v>
      </c>
      <c r="AR19" s="6">
        <f t="shared" si="1"/>
        <v>0</v>
      </c>
      <c r="AS19" s="115">
        <v>2500</v>
      </c>
      <c r="AT19" s="6">
        <f t="shared" si="2"/>
        <v>200</v>
      </c>
      <c r="AU19" s="115">
        <v>0</v>
      </c>
      <c r="AV19" s="1">
        <f t="shared" si="7"/>
        <v>0</v>
      </c>
      <c r="AW19" s="115">
        <v>0</v>
      </c>
      <c r="AX19" s="1">
        <f t="shared" si="8"/>
        <v>0</v>
      </c>
      <c r="AY19" s="5">
        <v>7000</v>
      </c>
      <c r="AZ19" s="1">
        <f t="shared" si="9"/>
        <v>560</v>
      </c>
      <c r="BA19" s="5">
        <v>1000</v>
      </c>
      <c r="BB19" s="1">
        <f t="shared" si="10"/>
        <v>80</v>
      </c>
      <c r="BC19" s="5">
        <v>16000</v>
      </c>
      <c r="BD19" s="1">
        <f t="shared" si="3"/>
        <v>1280</v>
      </c>
      <c r="BE19" s="150">
        <v>25000</v>
      </c>
      <c r="BF19" s="1">
        <f t="shared" si="4"/>
        <v>2000</v>
      </c>
      <c r="BG19" s="150">
        <v>11500</v>
      </c>
      <c r="BH19" s="1">
        <f t="shared" si="11"/>
        <v>920</v>
      </c>
      <c r="BI19" s="150">
        <v>10560</v>
      </c>
      <c r="BJ19" s="1">
        <f t="shared" si="5"/>
        <v>844.80000000000007</v>
      </c>
      <c r="BK19" s="156">
        <v>5280</v>
      </c>
      <c r="BL19" s="1">
        <f t="shared" si="6"/>
        <v>422.40000000000003</v>
      </c>
      <c r="BM19" s="141" t="s">
        <v>538</v>
      </c>
      <c r="BN19" s="136" t="s">
        <v>6</v>
      </c>
      <c r="BO19" s="139" t="s">
        <v>763</v>
      </c>
      <c r="BP19" s="137">
        <v>45443</v>
      </c>
    </row>
    <row r="20" spans="1:68" ht="15.75" customHeight="1">
      <c r="A20" s="109" t="s">
        <v>751</v>
      </c>
      <c r="B20" s="122" t="s">
        <v>184</v>
      </c>
      <c r="C20" s="301"/>
      <c r="D20" s="304"/>
      <c r="E20" s="304"/>
      <c r="F20" s="297"/>
      <c r="G20" s="78">
        <v>2020</v>
      </c>
      <c r="H20" s="105" t="s">
        <v>727</v>
      </c>
      <c r="I20" s="103" t="s">
        <v>196</v>
      </c>
      <c r="J20" s="102" t="s">
        <v>197</v>
      </c>
      <c r="K20" s="105" t="s">
        <v>216</v>
      </c>
      <c r="L20" s="105" t="s">
        <v>192</v>
      </c>
      <c r="M20" s="13" t="s">
        <v>193</v>
      </c>
      <c r="N20" s="13">
        <v>22.76</v>
      </c>
      <c r="O20" s="13">
        <v>22.78</v>
      </c>
      <c r="P20" s="13">
        <v>22.78</v>
      </c>
      <c r="Q20" s="13">
        <v>22.78</v>
      </c>
      <c r="R20" s="13">
        <v>22.78</v>
      </c>
      <c r="S20" s="13">
        <v>22.78</v>
      </c>
      <c r="T20" s="13">
        <v>22.78</v>
      </c>
      <c r="U20" s="13">
        <v>22.78</v>
      </c>
      <c r="V20" s="13">
        <v>22.78</v>
      </c>
      <c r="W20" s="13">
        <v>22.78</v>
      </c>
      <c r="X20" s="13">
        <v>22.78</v>
      </c>
      <c r="Y20" s="13">
        <v>22.78</v>
      </c>
      <c r="Z20" s="13">
        <v>22.72</v>
      </c>
      <c r="AA20" s="13">
        <v>22.72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0.06</v>
      </c>
      <c r="AN20" s="40">
        <v>0.06</v>
      </c>
      <c r="AO20" s="116">
        <v>0</v>
      </c>
      <c r="AP20" s="6">
        <f t="shared" si="0"/>
        <v>0</v>
      </c>
      <c r="AQ20" s="115">
        <v>1008</v>
      </c>
      <c r="AR20" s="6">
        <f t="shared" si="1"/>
        <v>0</v>
      </c>
      <c r="AS20" s="115">
        <v>2016</v>
      </c>
      <c r="AT20" s="6">
        <f t="shared" si="2"/>
        <v>0</v>
      </c>
      <c r="AU20" s="115">
        <v>0</v>
      </c>
      <c r="AV20" s="1">
        <f t="shared" si="7"/>
        <v>0</v>
      </c>
      <c r="AW20" s="115">
        <v>1008</v>
      </c>
      <c r="AX20" s="1">
        <f t="shared" si="8"/>
        <v>0</v>
      </c>
      <c r="AY20" s="5">
        <v>1008</v>
      </c>
      <c r="AZ20" s="1">
        <f t="shared" si="9"/>
        <v>0</v>
      </c>
      <c r="BA20" s="5">
        <v>1008</v>
      </c>
      <c r="BB20" s="1">
        <f t="shared" si="10"/>
        <v>0</v>
      </c>
      <c r="BC20" s="5">
        <v>1008</v>
      </c>
      <c r="BD20" s="1">
        <f t="shared" si="3"/>
        <v>0</v>
      </c>
      <c r="BE20" s="150">
        <v>1008</v>
      </c>
      <c r="BF20" s="1">
        <f t="shared" si="4"/>
        <v>0</v>
      </c>
      <c r="BG20" s="150" t="s">
        <v>573</v>
      </c>
      <c r="BH20" s="1">
        <f t="shared" si="11"/>
        <v>0</v>
      </c>
      <c r="BI20" s="150">
        <v>0</v>
      </c>
      <c r="BJ20" s="1">
        <f t="shared" si="5"/>
        <v>0</v>
      </c>
      <c r="BK20" s="156">
        <v>1008</v>
      </c>
      <c r="BL20" s="1">
        <f t="shared" si="6"/>
        <v>60.48</v>
      </c>
      <c r="BM20" s="141" t="s">
        <v>503</v>
      </c>
      <c r="BN20" s="136" t="s">
        <v>494</v>
      </c>
      <c r="BO20" s="139" t="s">
        <v>763</v>
      </c>
      <c r="BP20" s="137">
        <v>45838</v>
      </c>
    </row>
    <row r="21" spans="1:68" ht="15.6" customHeight="1">
      <c r="A21" s="109" t="s">
        <v>751</v>
      </c>
      <c r="B21" s="122" t="s">
        <v>184</v>
      </c>
      <c r="C21" s="301"/>
      <c r="D21" s="304"/>
      <c r="E21" s="304"/>
      <c r="F21" s="297"/>
      <c r="G21" s="78">
        <v>2021</v>
      </c>
      <c r="H21" s="105" t="s">
        <v>740</v>
      </c>
      <c r="I21" s="76" t="s">
        <v>196</v>
      </c>
      <c r="J21" s="103" t="s">
        <v>197</v>
      </c>
      <c r="K21" s="105" t="s">
        <v>221</v>
      </c>
      <c r="L21" s="105" t="s">
        <v>192</v>
      </c>
      <c r="M21" s="13" t="s">
        <v>193</v>
      </c>
      <c r="N21" s="13">
        <v>4.3099999999999996</v>
      </c>
      <c r="O21" s="13">
        <v>4.43</v>
      </c>
      <c r="P21" s="13">
        <v>4.43</v>
      </c>
      <c r="Q21" s="13">
        <v>4.43</v>
      </c>
      <c r="R21" s="13">
        <v>4.43</v>
      </c>
      <c r="S21" s="13">
        <v>4.43</v>
      </c>
      <c r="T21" s="13">
        <v>4.43</v>
      </c>
      <c r="U21" s="13">
        <v>4.43</v>
      </c>
      <c r="V21" s="13">
        <v>4.43</v>
      </c>
      <c r="W21" s="13">
        <v>4.43</v>
      </c>
      <c r="X21" s="13">
        <v>4.43</v>
      </c>
      <c r="Y21" s="13">
        <v>4.43</v>
      </c>
      <c r="Z21" s="13">
        <v>22.72</v>
      </c>
      <c r="AA21" s="13">
        <v>4.43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116">
        <v>11520</v>
      </c>
      <c r="AP21" s="6">
        <f t="shared" si="0"/>
        <v>0</v>
      </c>
      <c r="AQ21" s="115">
        <v>8640</v>
      </c>
      <c r="AR21" s="6">
        <f t="shared" si="1"/>
        <v>0</v>
      </c>
      <c r="AS21" s="115">
        <v>8640</v>
      </c>
      <c r="AT21" s="6">
        <f t="shared" si="2"/>
        <v>0</v>
      </c>
      <c r="AU21" s="115">
        <v>2880</v>
      </c>
      <c r="AV21" s="1">
        <f t="shared" si="7"/>
        <v>0</v>
      </c>
      <c r="AW21" s="115">
        <v>6080</v>
      </c>
      <c r="AX21" s="1">
        <f t="shared" si="8"/>
        <v>0</v>
      </c>
      <c r="AY21" s="5">
        <v>14720</v>
      </c>
      <c r="AZ21" s="1">
        <f t="shared" si="9"/>
        <v>0</v>
      </c>
      <c r="BA21" s="5">
        <v>11520</v>
      </c>
      <c r="BB21" s="1">
        <f t="shared" si="10"/>
        <v>0</v>
      </c>
      <c r="BC21" s="5" t="s">
        <v>573</v>
      </c>
      <c r="BD21" s="1">
        <f t="shared" si="3"/>
        <v>0</v>
      </c>
      <c r="BE21" s="150" t="s">
        <v>573</v>
      </c>
      <c r="BF21" s="1">
        <f t="shared" si="4"/>
        <v>0</v>
      </c>
      <c r="BG21" s="150" t="s">
        <v>573</v>
      </c>
      <c r="BH21" s="1">
        <f t="shared" si="11"/>
        <v>0</v>
      </c>
      <c r="BI21" s="150" t="s">
        <v>573</v>
      </c>
      <c r="BJ21" s="1">
        <f t="shared" si="5"/>
        <v>0</v>
      </c>
      <c r="BK21" s="156" t="s">
        <v>573</v>
      </c>
      <c r="BL21" s="1">
        <f t="shared" si="6"/>
        <v>0</v>
      </c>
      <c r="BM21" s="141" t="s">
        <v>569</v>
      </c>
      <c r="BN21" s="136" t="s">
        <v>494</v>
      </c>
      <c r="BO21" s="139" t="s">
        <v>763</v>
      </c>
      <c r="BP21" s="137">
        <v>45838</v>
      </c>
    </row>
    <row r="22" spans="1:68" s="11" customFormat="1" ht="14.85" customHeight="1">
      <c r="A22" s="109" t="s">
        <v>751</v>
      </c>
      <c r="B22" s="122" t="s">
        <v>199</v>
      </c>
      <c r="C22" s="301"/>
      <c r="D22" s="304"/>
      <c r="E22" s="304"/>
      <c r="F22" s="297"/>
      <c r="G22" s="78">
        <v>2019</v>
      </c>
      <c r="H22" s="105" t="s">
        <v>729</v>
      </c>
      <c r="I22" s="103" t="s">
        <v>201</v>
      </c>
      <c r="J22" s="102" t="s">
        <v>197</v>
      </c>
      <c r="K22" s="105" t="s">
        <v>753</v>
      </c>
      <c r="L22" s="105" t="s">
        <v>192</v>
      </c>
      <c r="M22" s="13" t="s">
        <v>193</v>
      </c>
      <c r="N22" s="13">
        <v>10.14</v>
      </c>
      <c r="O22" s="13">
        <v>10.31</v>
      </c>
      <c r="P22" s="13">
        <v>10.31</v>
      </c>
      <c r="Q22" s="13">
        <v>10.31</v>
      </c>
      <c r="R22" s="13">
        <v>10.31</v>
      </c>
      <c r="S22" s="13">
        <v>10.31</v>
      </c>
      <c r="T22" s="13">
        <v>10.31</v>
      </c>
      <c r="U22" s="13">
        <v>10.31</v>
      </c>
      <c r="V22" s="13">
        <v>10.31</v>
      </c>
      <c r="W22" s="13">
        <v>10.31</v>
      </c>
      <c r="X22" s="13">
        <v>10.31</v>
      </c>
      <c r="Y22" s="13">
        <v>10.31</v>
      </c>
      <c r="Z22" s="13">
        <v>22.78</v>
      </c>
      <c r="AA22" s="13">
        <v>10.31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0.06</v>
      </c>
      <c r="AO22" s="116">
        <v>0</v>
      </c>
      <c r="AP22" s="6">
        <f t="shared" si="0"/>
        <v>0</v>
      </c>
      <c r="AQ22" s="115">
        <v>0</v>
      </c>
      <c r="AR22" s="6">
        <f t="shared" si="1"/>
        <v>0</v>
      </c>
      <c r="AS22" s="115" t="s">
        <v>573</v>
      </c>
      <c r="AT22" s="6">
        <f t="shared" si="2"/>
        <v>0</v>
      </c>
      <c r="AU22" s="115">
        <v>0</v>
      </c>
      <c r="AV22" s="1">
        <f t="shared" si="7"/>
        <v>0</v>
      </c>
      <c r="AW22" s="115">
        <v>0</v>
      </c>
      <c r="AX22" s="1">
        <f t="shared" si="8"/>
        <v>0</v>
      </c>
      <c r="AY22" s="5" t="s">
        <v>573</v>
      </c>
      <c r="AZ22" s="1">
        <f t="shared" si="9"/>
        <v>0</v>
      </c>
      <c r="BA22" s="5">
        <v>1000</v>
      </c>
      <c r="BB22" s="1">
        <f t="shared" si="10"/>
        <v>0</v>
      </c>
      <c r="BC22" s="5" t="s">
        <v>573</v>
      </c>
      <c r="BD22" s="1">
        <f t="shared" si="3"/>
        <v>0</v>
      </c>
      <c r="BE22" s="150" t="s">
        <v>573</v>
      </c>
      <c r="BF22" s="1">
        <f t="shared" si="4"/>
        <v>0</v>
      </c>
      <c r="BG22" s="150" t="s">
        <v>573</v>
      </c>
      <c r="BH22" s="1">
        <f t="shared" si="11"/>
        <v>0</v>
      </c>
      <c r="BI22" s="150" t="s">
        <v>573</v>
      </c>
      <c r="BJ22" s="1">
        <f t="shared" si="5"/>
        <v>0</v>
      </c>
      <c r="BK22" s="156" t="s">
        <v>573</v>
      </c>
      <c r="BL22" s="1">
        <f t="shared" si="6"/>
        <v>0</v>
      </c>
      <c r="BM22" s="141" t="s">
        <v>555</v>
      </c>
      <c r="BN22" s="136" t="s">
        <v>6</v>
      </c>
      <c r="BO22" s="139" t="s">
        <v>763</v>
      </c>
      <c r="BP22" s="138">
        <v>45961</v>
      </c>
    </row>
    <row r="23" spans="1:68" ht="15.75" customHeight="1">
      <c r="A23" s="109" t="s">
        <v>751</v>
      </c>
      <c r="B23" s="122" t="s">
        <v>184</v>
      </c>
      <c r="C23" s="301"/>
      <c r="D23" s="304"/>
      <c r="E23" s="304"/>
      <c r="F23" s="297"/>
      <c r="G23" s="78">
        <v>2020</v>
      </c>
      <c r="H23" s="105" t="s">
        <v>730</v>
      </c>
      <c r="I23" s="81" t="s">
        <v>196</v>
      </c>
      <c r="J23" s="102" t="s">
        <v>197</v>
      </c>
      <c r="K23" s="105" t="s">
        <v>221</v>
      </c>
      <c r="L23" s="105" t="s">
        <v>192</v>
      </c>
      <c r="M23" s="13" t="s">
        <v>193</v>
      </c>
      <c r="N23" s="13">
        <v>3.28</v>
      </c>
      <c r="O23" s="13">
        <v>3.28</v>
      </c>
      <c r="P23" s="13">
        <v>3.28</v>
      </c>
      <c r="Q23" s="13">
        <v>3.28</v>
      </c>
      <c r="R23" s="13">
        <v>3.28</v>
      </c>
      <c r="S23" s="13">
        <v>3.28</v>
      </c>
      <c r="T23" s="13">
        <v>3.28</v>
      </c>
      <c r="U23" s="13">
        <v>3.28</v>
      </c>
      <c r="V23" s="13">
        <v>3.28</v>
      </c>
      <c r="W23" s="13">
        <v>3.28</v>
      </c>
      <c r="X23" s="13">
        <v>3.28</v>
      </c>
      <c r="Y23" s="13">
        <v>3.28</v>
      </c>
      <c r="Z23" s="13">
        <v>3.28</v>
      </c>
      <c r="AA23" s="13">
        <v>3.28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116">
        <v>6720</v>
      </c>
      <c r="AP23" s="6">
        <f t="shared" si="0"/>
        <v>0</v>
      </c>
      <c r="AQ23" s="115">
        <v>60480</v>
      </c>
      <c r="AR23" s="6">
        <f t="shared" si="1"/>
        <v>0</v>
      </c>
      <c r="AS23" s="115" t="s">
        <v>573</v>
      </c>
      <c r="AT23" s="6">
        <f t="shared" si="2"/>
        <v>0</v>
      </c>
      <c r="AU23" s="115">
        <v>33600</v>
      </c>
      <c r="AV23" s="1">
        <f t="shared" si="7"/>
        <v>0</v>
      </c>
      <c r="AW23" s="115">
        <v>40320</v>
      </c>
      <c r="AX23" s="1">
        <f t="shared" si="8"/>
        <v>0</v>
      </c>
      <c r="AY23" s="5">
        <v>65280</v>
      </c>
      <c r="AZ23" s="1">
        <f t="shared" si="9"/>
        <v>0</v>
      </c>
      <c r="BA23" s="5">
        <v>22080</v>
      </c>
      <c r="BB23" s="1">
        <f t="shared" si="10"/>
        <v>0</v>
      </c>
      <c r="BC23" s="5">
        <v>6720</v>
      </c>
      <c r="BD23" s="1">
        <f t="shared" si="3"/>
        <v>0</v>
      </c>
      <c r="BE23" s="150" t="s">
        <v>573</v>
      </c>
      <c r="BF23" s="1">
        <f t="shared" si="4"/>
        <v>0</v>
      </c>
      <c r="BG23" s="150">
        <v>25920</v>
      </c>
      <c r="BH23" s="1">
        <f t="shared" si="11"/>
        <v>0</v>
      </c>
      <c r="BI23" s="150">
        <v>20160</v>
      </c>
      <c r="BJ23" s="1">
        <f t="shared" si="5"/>
        <v>0</v>
      </c>
      <c r="BK23" s="156">
        <v>13440</v>
      </c>
      <c r="BL23" s="1">
        <f t="shared" si="6"/>
        <v>0</v>
      </c>
      <c r="BM23" s="141" t="s">
        <v>530</v>
      </c>
      <c r="BN23" s="136" t="s">
        <v>494</v>
      </c>
      <c r="BO23" s="139" t="s">
        <v>763</v>
      </c>
      <c r="BP23" s="137">
        <v>45961</v>
      </c>
    </row>
    <row r="24" spans="1:68" ht="15.75" customHeight="1">
      <c r="A24" s="109" t="s">
        <v>751</v>
      </c>
      <c r="B24" s="122" t="s">
        <v>184</v>
      </c>
      <c r="C24" s="301"/>
      <c r="D24" s="304"/>
      <c r="E24" s="304"/>
      <c r="F24" s="297"/>
      <c r="G24" s="78">
        <v>2023</v>
      </c>
      <c r="H24" s="105" t="s">
        <v>731</v>
      </c>
      <c r="I24" s="103" t="s">
        <v>196</v>
      </c>
      <c r="J24" s="102" t="s">
        <v>197</v>
      </c>
      <c r="K24" s="105" t="s">
        <v>221</v>
      </c>
      <c r="L24" s="105" t="s">
        <v>192</v>
      </c>
      <c r="M24" s="13" t="s">
        <v>193</v>
      </c>
      <c r="N24" s="13">
        <v>24.16</v>
      </c>
      <c r="O24" s="13">
        <v>24.31</v>
      </c>
      <c r="P24" s="13">
        <v>24.31</v>
      </c>
      <c r="Q24" s="13">
        <v>24.31</v>
      </c>
      <c r="R24" s="13">
        <v>24.31</v>
      </c>
      <c r="S24" s="13">
        <v>24.31</v>
      </c>
      <c r="T24" s="13">
        <v>24.31</v>
      </c>
      <c r="U24" s="13">
        <v>24.31</v>
      </c>
      <c r="V24" s="13">
        <v>24.31</v>
      </c>
      <c r="W24" s="13">
        <v>24.31</v>
      </c>
      <c r="X24" s="13">
        <v>24.31</v>
      </c>
      <c r="Y24" s="13">
        <v>24.31</v>
      </c>
      <c r="Z24" s="13">
        <v>24.21</v>
      </c>
      <c r="AA24" s="13">
        <v>24.21</v>
      </c>
      <c r="AB24" s="40">
        <v>0.48</v>
      </c>
      <c r="AC24" s="40">
        <v>0.48</v>
      </c>
      <c r="AD24" s="40">
        <v>0.48</v>
      </c>
      <c r="AE24" s="40">
        <v>0.48</v>
      </c>
      <c r="AF24" s="40">
        <v>0.48</v>
      </c>
      <c r="AG24" s="40">
        <v>0.48</v>
      </c>
      <c r="AH24" s="40">
        <v>0.48</v>
      </c>
      <c r="AI24" s="40">
        <v>0.48</v>
      </c>
      <c r="AJ24" s="40">
        <v>0.48</v>
      </c>
      <c r="AK24" s="40">
        <v>0.48</v>
      </c>
      <c r="AL24" s="40">
        <v>0.48</v>
      </c>
      <c r="AM24" s="40">
        <v>0.83</v>
      </c>
      <c r="AN24" s="40">
        <v>0.83</v>
      </c>
      <c r="AO24" s="116">
        <v>0</v>
      </c>
      <c r="AP24" s="6">
        <f t="shared" si="0"/>
        <v>0</v>
      </c>
      <c r="AQ24" s="115">
        <v>0</v>
      </c>
      <c r="AR24" s="6">
        <f t="shared" si="1"/>
        <v>0</v>
      </c>
      <c r="AS24" s="115">
        <v>1200</v>
      </c>
      <c r="AT24" s="6">
        <f t="shared" si="2"/>
        <v>576</v>
      </c>
      <c r="AU24" s="115">
        <v>0</v>
      </c>
      <c r="AV24" s="1">
        <f t="shared" si="7"/>
        <v>0</v>
      </c>
      <c r="AW24" s="115">
        <v>1200</v>
      </c>
      <c r="AX24" s="1">
        <f t="shared" si="8"/>
        <v>576</v>
      </c>
      <c r="AY24" s="5">
        <v>3600</v>
      </c>
      <c r="AZ24" s="1">
        <f t="shared" si="9"/>
        <v>1728</v>
      </c>
      <c r="BA24" s="5">
        <v>2400</v>
      </c>
      <c r="BB24" s="1">
        <f t="shared" si="10"/>
        <v>1152</v>
      </c>
      <c r="BC24" s="5" t="s">
        <v>573</v>
      </c>
      <c r="BD24" s="1">
        <f t="shared" si="3"/>
        <v>0</v>
      </c>
      <c r="BE24" s="150" t="s">
        <v>573</v>
      </c>
      <c r="BF24" s="1">
        <f t="shared" si="4"/>
        <v>0</v>
      </c>
      <c r="BG24" s="150" t="s">
        <v>573</v>
      </c>
      <c r="BH24" s="1">
        <f t="shared" si="11"/>
        <v>0</v>
      </c>
      <c r="BI24" s="150" t="s">
        <v>573</v>
      </c>
      <c r="BJ24" s="1">
        <f t="shared" si="5"/>
        <v>0</v>
      </c>
      <c r="BK24" s="156">
        <v>1200</v>
      </c>
      <c r="BL24" s="1">
        <f t="shared" si="6"/>
        <v>996</v>
      </c>
      <c r="BM24" s="141" t="s">
        <v>593</v>
      </c>
      <c r="BN24" s="136" t="s">
        <v>494</v>
      </c>
      <c r="BO24" s="139" t="s">
        <v>763</v>
      </c>
      <c r="BP24" s="137">
        <v>46022</v>
      </c>
    </row>
    <row r="25" spans="1:68" ht="15.75" customHeight="1">
      <c r="A25" s="109" t="s">
        <v>751</v>
      </c>
      <c r="B25" s="122" t="s">
        <v>184</v>
      </c>
      <c r="C25" s="301"/>
      <c r="D25" s="304"/>
      <c r="E25" s="304"/>
      <c r="F25" s="297"/>
      <c r="G25" s="78">
        <v>2021</v>
      </c>
      <c r="H25" s="105" t="s">
        <v>741</v>
      </c>
      <c r="I25" s="103" t="s">
        <v>196</v>
      </c>
      <c r="J25" s="102" t="s">
        <v>197</v>
      </c>
      <c r="K25" s="105" t="s">
        <v>281</v>
      </c>
      <c r="L25" s="105" t="s">
        <v>192</v>
      </c>
      <c r="M25" s="13" t="s">
        <v>193</v>
      </c>
      <c r="N25" s="13">
        <v>4.57</v>
      </c>
      <c r="O25" s="13">
        <v>4.6100000000000003</v>
      </c>
      <c r="P25" s="13">
        <v>4.6100000000000003</v>
      </c>
      <c r="Q25" s="13">
        <v>4.6100000000000003</v>
      </c>
      <c r="R25" s="13">
        <v>4.6100000000000003</v>
      </c>
      <c r="S25" s="13">
        <v>4.6100000000000003</v>
      </c>
      <c r="T25" s="13">
        <v>4.6100000000000003</v>
      </c>
      <c r="U25" s="13">
        <v>4.6100000000000003</v>
      </c>
      <c r="V25" s="13">
        <v>4.6100000000000003</v>
      </c>
      <c r="W25" s="13">
        <v>4.6100000000000003</v>
      </c>
      <c r="X25" s="13">
        <v>4.6100000000000003</v>
      </c>
      <c r="Y25" s="13">
        <v>4.6100000000000003</v>
      </c>
      <c r="Z25" s="13">
        <v>4.6100000000000003</v>
      </c>
      <c r="AA25" s="13">
        <v>4.6100000000000003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40">
        <v>0</v>
      </c>
      <c r="AJ25" s="40">
        <v>7.0000000000000007E-2</v>
      </c>
      <c r="AK25" s="40">
        <v>7.0000000000000007E-2</v>
      </c>
      <c r="AL25" s="40">
        <v>7.0000000000000007E-2</v>
      </c>
      <c r="AM25" s="40">
        <v>7.0000000000000007E-2</v>
      </c>
      <c r="AN25" s="40">
        <v>7.0000000000000007E-2</v>
      </c>
      <c r="AO25" s="116">
        <v>2880</v>
      </c>
      <c r="AP25" s="6">
        <f t="shared" si="0"/>
        <v>0</v>
      </c>
      <c r="AQ25" s="115">
        <v>20160</v>
      </c>
      <c r="AR25" s="6">
        <f t="shared" si="1"/>
        <v>0</v>
      </c>
      <c r="AS25" s="115">
        <v>14400</v>
      </c>
      <c r="AT25" s="6">
        <f t="shared" si="2"/>
        <v>0</v>
      </c>
      <c r="AU25" s="115">
        <v>0</v>
      </c>
      <c r="AV25" s="1">
        <f t="shared" si="7"/>
        <v>0</v>
      </c>
      <c r="AW25" s="115">
        <v>11520</v>
      </c>
      <c r="AX25" s="1">
        <f t="shared" si="8"/>
        <v>0</v>
      </c>
      <c r="AY25" s="5" t="s">
        <v>573</v>
      </c>
      <c r="AZ25" s="1">
        <f t="shared" si="9"/>
        <v>0</v>
      </c>
      <c r="BA25" s="5">
        <v>2880</v>
      </c>
      <c r="BB25" s="1">
        <f t="shared" si="10"/>
        <v>0</v>
      </c>
      <c r="BC25" s="5">
        <v>2880</v>
      </c>
      <c r="BD25" s="1">
        <f t="shared" si="3"/>
        <v>201.60000000000002</v>
      </c>
      <c r="BE25" s="150">
        <v>2880</v>
      </c>
      <c r="BF25" s="1">
        <f t="shared" si="4"/>
        <v>201.60000000000002</v>
      </c>
      <c r="BG25" s="150">
        <v>2880</v>
      </c>
      <c r="BH25" s="1">
        <f t="shared" si="11"/>
        <v>201.60000000000002</v>
      </c>
      <c r="BI25" s="150">
        <v>2880</v>
      </c>
      <c r="BJ25" s="1">
        <f t="shared" si="5"/>
        <v>201.60000000000002</v>
      </c>
      <c r="BK25" s="156">
        <v>11520</v>
      </c>
      <c r="BL25" s="1">
        <f t="shared" si="6"/>
        <v>806.40000000000009</v>
      </c>
      <c r="BM25" s="141" t="s">
        <v>561</v>
      </c>
      <c r="BN25" s="136" t="s">
        <v>494</v>
      </c>
      <c r="BO25" s="139" t="s">
        <v>763</v>
      </c>
      <c r="BP25" s="137">
        <v>45596</v>
      </c>
    </row>
    <row r="26" spans="1:68" ht="15.75" customHeight="1">
      <c r="A26" s="109" t="s">
        <v>751</v>
      </c>
      <c r="B26" s="122" t="s">
        <v>184</v>
      </c>
      <c r="C26" s="301"/>
      <c r="D26" s="304"/>
      <c r="E26" s="304"/>
      <c r="F26" s="297"/>
      <c r="G26" s="78">
        <v>2018</v>
      </c>
      <c r="H26" s="105" t="s">
        <v>742</v>
      </c>
      <c r="I26" s="103" t="s">
        <v>196</v>
      </c>
      <c r="J26" s="102" t="s">
        <v>197</v>
      </c>
      <c r="K26" s="105" t="s">
        <v>221</v>
      </c>
      <c r="L26" s="105" t="s">
        <v>192</v>
      </c>
      <c r="M26" s="13" t="s">
        <v>193</v>
      </c>
      <c r="N26" s="13">
        <v>4.82</v>
      </c>
      <c r="O26" s="13">
        <v>4.82</v>
      </c>
      <c r="P26" s="13">
        <v>4.82</v>
      </c>
      <c r="Q26" s="13">
        <v>4.82</v>
      </c>
      <c r="R26" s="13">
        <v>4.82</v>
      </c>
      <c r="S26" s="13">
        <v>4.82</v>
      </c>
      <c r="T26" s="13">
        <v>4.82</v>
      </c>
      <c r="U26" s="13">
        <v>4.82</v>
      </c>
      <c r="V26" s="13">
        <v>4.82</v>
      </c>
      <c r="W26" s="13">
        <v>4.82</v>
      </c>
      <c r="X26" s="13">
        <v>4.82</v>
      </c>
      <c r="Y26" s="13">
        <v>4.82</v>
      </c>
      <c r="Z26" s="13">
        <v>4.82</v>
      </c>
      <c r="AA26" s="13">
        <v>4.82</v>
      </c>
      <c r="AB26" s="40">
        <v>0.05</v>
      </c>
      <c r="AC26" s="40">
        <v>0.05</v>
      </c>
      <c r="AD26" s="40">
        <v>0.05</v>
      </c>
      <c r="AE26" s="40">
        <v>0.05</v>
      </c>
      <c r="AF26" s="40">
        <v>0.05</v>
      </c>
      <c r="AG26" s="40">
        <v>0.05</v>
      </c>
      <c r="AH26" s="40">
        <v>0.05</v>
      </c>
      <c r="AI26" s="40">
        <v>0.05</v>
      </c>
      <c r="AJ26" s="40">
        <v>0.05</v>
      </c>
      <c r="AK26" s="40">
        <v>0.05</v>
      </c>
      <c r="AL26" s="40">
        <v>0.05</v>
      </c>
      <c r="AM26" s="40">
        <v>0.05</v>
      </c>
      <c r="AN26" s="40">
        <v>0.05</v>
      </c>
      <c r="AO26" s="116">
        <v>0</v>
      </c>
      <c r="AP26" s="6">
        <f t="shared" si="0"/>
        <v>0</v>
      </c>
      <c r="AQ26" s="115">
        <v>0</v>
      </c>
      <c r="AR26" s="6">
        <f t="shared" si="1"/>
        <v>0</v>
      </c>
      <c r="AS26" s="115">
        <v>8640</v>
      </c>
      <c r="AT26" s="6">
        <f t="shared" si="2"/>
        <v>432</v>
      </c>
      <c r="AU26" s="115">
        <v>0</v>
      </c>
      <c r="AV26" s="1">
        <f t="shared" si="7"/>
        <v>0</v>
      </c>
      <c r="AW26" s="115">
        <v>0</v>
      </c>
      <c r="AX26" s="1">
        <f t="shared" si="8"/>
        <v>0</v>
      </c>
      <c r="AY26" s="5" t="s">
        <v>573</v>
      </c>
      <c r="AZ26" s="1">
        <f t="shared" si="9"/>
        <v>0</v>
      </c>
      <c r="BA26" s="5" t="s">
        <v>573</v>
      </c>
      <c r="BB26" s="1">
        <f t="shared" si="10"/>
        <v>0</v>
      </c>
      <c r="BC26" s="5">
        <v>38880</v>
      </c>
      <c r="BD26" s="1">
        <f t="shared" si="3"/>
        <v>1944</v>
      </c>
      <c r="BE26" s="150">
        <v>38880</v>
      </c>
      <c r="BF26" s="1">
        <f t="shared" si="4"/>
        <v>1944</v>
      </c>
      <c r="BG26" s="150" t="s">
        <v>573</v>
      </c>
      <c r="BH26" s="1">
        <f t="shared" si="11"/>
        <v>0</v>
      </c>
      <c r="BI26" s="150">
        <v>82080</v>
      </c>
      <c r="BJ26" s="1">
        <f t="shared" si="5"/>
        <v>4104</v>
      </c>
      <c r="BK26" s="156" t="s">
        <v>573</v>
      </c>
      <c r="BL26" s="1">
        <f t="shared" si="6"/>
        <v>0</v>
      </c>
      <c r="BM26" s="141" t="s">
        <v>588</v>
      </c>
      <c r="BN26" s="136" t="s">
        <v>497</v>
      </c>
      <c r="BO26" s="139" t="s">
        <v>197</v>
      </c>
      <c r="BP26" s="137">
        <v>46022</v>
      </c>
    </row>
    <row r="27" spans="1:68" ht="15.75" customHeight="1">
      <c r="A27" s="109" t="s">
        <v>751</v>
      </c>
      <c r="B27" s="122" t="s">
        <v>184</v>
      </c>
      <c r="C27" s="301"/>
      <c r="D27" s="304"/>
      <c r="E27" s="304"/>
      <c r="F27" s="297"/>
      <c r="G27" s="78">
        <v>2018</v>
      </c>
      <c r="H27" s="105" t="s">
        <v>742</v>
      </c>
      <c r="I27" s="103" t="s">
        <v>196</v>
      </c>
      <c r="J27" s="102" t="s">
        <v>197</v>
      </c>
      <c r="K27" s="105" t="s">
        <v>245</v>
      </c>
      <c r="L27" s="105" t="s">
        <v>192</v>
      </c>
      <c r="M27" s="13" t="s">
        <v>193</v>
      </c>
      <c r="N27" s="13">
        <v>5.05</v>
      </c>
      <c r="O27" s="13">
        <v>5.05</v>
      </c>
      <c r="P27" s="13">
        <v>5.05</v>
      </c>
      <c r="Q27" s="13">
        <v>5.05</v>
      </c>
      <c r="R27" s="13">
        <v>5.05</v>
      </c>
      <c r="S27" s="13">
        <v>5.05</v>
      </c>
      <c r="T27" s="13">
        <v>5.05</v>
      </c>
      <c r="U27" s="13">
        <v>5.05</v>
      </c>
      <c r="V27" s="13">
        <v>5.05</v>
      </c>
      <c r="W27" s="13">
        <v>5.05</v>
      </c>
      <c r="X27" s="13">
        <v>5.05</v>
      </c>
      <c r="Y27" s="13">
        <v>5.05</v>
      </c>
      <c r="Z27" s="13">
        <v>5.05</v>
      </c>
      <c r="AA27" s="13">
        <v>5.05</v>
      </c>
      <c r="AB27" s="40">
        <v>0.05</v>
      </c>
      <c r="AC27" s="40">
        <v>0.05</v>
      </c>
      <c r="AD27" s="40">
        <v>0.05</v>
      </c>
      <c r="AE27" s="40">
        <v>0.05</v>
      </c>
      <c r="AF27" s="40">
        <v>0.05</v>
      </c>
      <c r="AG27" s="40">
        <v>0.05</v>
      </c>
      <c r="AH27" s="40">
        <v>0.05</v>
      </c>
      <c r="AI27" s="40">
        <v>0.05</v>
      </c>
      <c r="AJ27" s="40">
        <v>0.05</v>
      </c>
      <c r="AK27" s="40">
        <v>0.05</v>
      </c>
      <c r="AL27" s="40">
        <v>0.05</v>
      </c>
      <c r="AM27" s="40">
        <v>0.05</v>
      </c>
      <c r="AN27" s="40">
        <v>0.05</v>
      </c>
      <c r="AO27" s="116">
        <v>0</v>
      </c>
      <c r="AP27" s="6">
        <f>AC27*AO27</f>
        <v>0</v>
      </c>
      <c r="AQ27" s="115">
        <v>2040</v>
      </c>
      <c r="AR27" s="6">
        <f>AD27*AQ27</f>
        <v>102</v>
      </c>
      <c r="AS27" s="115">
        <v>6600</v>
      </c>
      <c r="AT27" s="6">
        <f t="shared" si="2"/>
        <v>330</v>
      </c>
      <c r="AU27" s="115">
        <v>0</v>
      </c>
      <c r="AV27" s="1">
        <f>AF27*AU27</f>
        <v>0</v>
      </c>
      <c r="AW27" s="115">
        <v>0</v>
      </c>
      <c r="AX27" s="1">
        <f t="shared" si="8"/>
        <v>0</v>
      </c>
      <c r="AY27" s="5" t="s">
        <v>573</v>
      </c>
      <c r="AZ27" s="1">
        <f>AH27*AY27</f>
        <v>0</v>
      </c>
      <c r="BA27" s="5">
        <v>4320</v>
      </c>
      <c r="BB27" s="1">
        <f>AI27*BA27</f>
        <v>216</v>
      </c>
      <c r="BC27" s="5">
        <v>4320</v>
      </c>
      <c r="BD27" s="1">
        <f t="shared" si="3"/>
        <v>216</v>
      </c>
      <c r="BE27" s="150">
        <v>4320</v>
      </c>
      <c r="BF27" s="1">
        <f t="shared" si="4"/>
        <v>216</v>
      </c>
      <c r="BG27" s="150" t="s">
        <v>573</v>
      </c>
      <c r="BH27" s="1">
        <f t="shared" si="11"/>
        <v>0</v>
      </c>
      <c r="BI27" s="150">
        <v>4320</v>
      </c>
      <c r="BJ27" s="1">
        <f t="shared" si="5"/>
        <v>216</v>
      </c>
      <c r="BK27" s="156" t="s">
        <v>573</v>
      </c>
      <c r="BL27" s="1">
        <f t="shared" si="6"/>
        <v>0</v>
      </c>
      <c r="BM27" s="141" t="s">
        <v>589</v>
      </c>
      <c r="BN27" s="136" t="s">
        <v>497</v>
      </c>
      <c r="BO27" s="139" t="s">
        <v>197</v>
      </c>
      <c r="BP27" s="137">
        <v>46022</v>
      </c>
    </row>
    <row r="28" spans="1:68" ht="15.75" customHeight="1">
      <c r="A28" s="109" t="s">
        <v>751</v>
      </c>
      <c r="B28" s="122" t="s">
        <v>184</v>
      </c>
      <c r="C28" s="301"/>
      <c r="D28" s="304"/>
      <c r="E28" s="304"/>
      <c r="F28" s="297"/>
      <c r="G28" s="78">
        <v>2018</v>
      </c>
      <c r="H28" s="105" t="s">
        <v>742</v>
      </c>
      <c r="I28" s="103" t="s">
        <v>196</v>
      </c>
      <c r="J28" s="102" t="s">
        <v>197</v>
      </c>
      <c r="K28" s="105" t="s">
        <v>281</v>
      </c>
      <c r="L28" s="105" t="s">
        <v>192</v>
      </c>
      <c r="M28" s="13" t="s">
        <v>193</v>
      </c>
      <c r="N28" s="13">
        <v>5.64</v>
      </c>
      <c r="O28" s="13">
        <v>5.64</v>
      </c>
      <c r="P28" s="13">
        <v>5.64</v>
      </c>
      <c r="Q28" s="13">
        <v>5.64</v>
      </c>
      <c r="R28" s="13">
        <v>5.64</v>
      </c>
      <c r="S28" s="13">
        <v>5.64</v>
      </c>
      <c r="T28" s="13">
        <v>5.64</v>
      </c>
      <c r="U28" s="13">
        <v>5.64</v>
      </c>
      <c r="V28" s="13">
        <v>5.64</v>
      </c>
      <c r="W28" s="13">
        <v>5.64</v>
      </c>
      <c r="X28" s="13">
        <v>5.64</v>
      </c>
      <c r="Y28" s="13">
        <v>5.64</v>
      </c>
      <c r="Z28" s="13">
        <v>5.64</v>
      </c>
      <c r="AA28" s="13">
        <v>5.64</v>
      </c>
      <c r="AB28" s="40">
        <v>0.05</v>
      </c>
      <c r="AC28" s="40">
        <v>0.05</v>
      </c>
      <c r="AD28" s="40">
        <v>0.05</v>
      </c>
      <c r="AE28" s="40">
        <v>0.05</v>
      </c>
      <c r="AF28" s="40">
        <v>0.05</v>
      </c>
      <c r="AG28" s="40">
        <v>0.05</v>
      </c>
      <c r="AH28" s="40">
        <v>0.05</v>
      </c>
      <c r="AI28" s="40">
        <v>0.05</v>
      </c>
      <c r="AJ28" s="40">
        <v>0.05</v>
      </c>
      <c r="AK28" s="40">
        <v>0.05</v>
      </c>
      <c r="AL28" s="40">
        <v>0.05</v>
      </c>
      <c r="AM28" s="40">
        <v>0.05</v>
      </c>
      <c r="AN28" s="40">
        <v>0.05</v>
      </c>
      <c r="AO28" s="116">
        <v>0</v>
      </c>
      <c r="AP28" s="6">
        <f>AC28*AO28</f>
        <v>0</v>
      </c>
      <c r="AQ28" s="115">
        <v>0</v>
      </c>
      <c r="AR28" s="6">
        <f>AD28*AQ28</f>
        <v>0</v>
      </c>
      <c r="AS28" s="115" t="s">
        <v>573</v>
      </c>
      <c r="AT28" s="6">
        <f t="shared" si="2"/>
        <v>0</v>
      </c>
      <c r="AU28" s="115">
        <v>0</v>
      </c>
      <c r="AV28" s="1">
        <f>AF28*AU28</f>
        <v>0</v>
      </c>
      <c r="AW28" s="115">
        <v>0</v>
      </c>
      <c r="AX28" s="1">
        <f t="shared" si="8"/>
        <v>0</v>
      </c>
      <c r="AY28" s="5" t="s">
        <v>573</v>
      </c>
      <c r="AZ28" s="1">
        <f>AH28*AY28</f>
        <v>0</v>
      </c>
      <c r="BA28" s="5" t="s">
        <v>573</v>
      </c>
      <c r="BB28" s="1">
        <f>AI28*BA28</f>
        <v>0</v>
      </c>
      <c r="BC28" s="5" t="s">
        <v>573</v>
      </c>
      <c r="BD28" s="1">
        <f t="shared" si="3"/>
        <v>0</v>
      </c>
      <c r="BE28" s="150" t="s">
        <v>573</v>
      </c>
      <c r="BF28" s="1">
        <f t="shared" si="4"/>
        <v>0</v>
      </c>
      <c r="BG28" s="150" t="s">
        <v>573</v>
      </c>
      <c r="BH28" s="1">
        <f t="shared" si="11"/>
        <v>0</v>
      </c>
      <c r="BI28" s="150" t="s">
        <v>573</v>
      </c>
      <c r="BJ28" s="1">
        <f t="shared" si="5"/>
        <v>0</v>
      </c>
      <c r="BK28" s="156" t="s">
        <v>573</v>
      </c>
      <c r="BL28" s="1">
        <f t="shared" si="6"/>
        <v>0</v>
      </c>
      <c r="BM28" s="141" t="s">
        <v>590</v>
      </c>
      <c r="BN28" s="136" t="s">
        <v>497</v>
      </c>
      <c r="BO28" s="139" t="s">
        <v>197</v>
      </c>
      <c r="BP28" s="137">
        <v>46022</v>
      </c>
    </row>
    <row r="29" spans="1:68" ht="15.75" customHeight="1">
      <c r="A29" s="109" t="s">
        <v>751</v>
      </c>
      <c r="B29" s="122" t="s">
        <v>184</v>
      </c>
      <c r="C29" s="301"/>
      <c r="D29" s="304"/>
      <c r="E29" s="304"/>
      <c r="F29" s="297"/>
      <c r="G29" s="78">
        <v>2016</v>
      </c>
      <c r="H29" s="105" t="s">
        <v>733</v>
      </c>
      <c r="I29" s="103" t="s">
        <v>196</v>
      </c>
      <c r="J29" s="102" t="s">
        <v>197</v>
      </c>
      <c r="K29" s="105" t="s">
        <v>306</v>
      </c>
      <c r="L29" s="105" t="s">
        <v>192</v>
      </c>
      <c r="M29" s="13" t="s">
        <v>193</v>
      </c>
      <c r="N29" s="13">
        <v>4.04</v>
      </c>
      <c r="O29" s="13">
        <v>4.04</v>
      </c>
      <c r="P29" s="13">
        <v>4.04</v>
      </c>
      <c r="Q29" s="13">
        <v>4.04</v>
      </c>
      <c r="R29" s="13">
        <v>4.04</v>
      </c>
      <c r="S29" s="13">
        <v>4.04</v>
      </c>
      <c r="T29" s="13">
        <v>4.04</v>
      </c>
      <c r="U29" s="13">
        <v>4.04</v>
      </c>
      <c r="V29" s="13">
        <v>4.04</v>
      </c>
      <c r="W29" s="13">
        <v>4.04</v>
      </c>
      <c r="X29" s="13">
        <v>4.04</v>
      </c>
      <c r="Y29" s="13">
        <v>4.04</v>
      </c>
      <c r="Z29" s="13">
        <v>4.04</v>
      </c>
      <c r="AA29" s="13">
        <v>4.04</v>
      </c>
      <c r="AB29" s="40">
        <v>0.04</v>
      </c>
      <c r="AC29" s="40">
        <v>0.04</v>
      </c>
      <c r="AD29" s="40">
        <v>0.04</v>
      </c>
      <c r="AE29" s="40">
        <v>0.04</v>
      </c>
      <c r="AF29" s="40">
        <v>0.04</v>
      </c>
      <c r="AG29" s="40">
        <v>0.04</v>
      </c>
      <c r="AH29" s="40">
        <v>0.04</v>
      </c>
      <c r="AI29" s="40">
        <v>0.04</v>
      </c>
      <c r="AJ29" s="40">
        <v>0.04</v>
      </c>
      <c r="AK29" s="40">
        <v>0.04</v>
      </c>
      <c r="AL29" s="40">
        <v>0.04</v>
      </c>
      <c r="AM29" s="40">
        <v>0.04</v>
      </c>
      <c r="AN29" s="40">
        <v>0.04</v>
      </c>
      <c r="AO29" s="116">
        <v>0</v>
      </c>
      <c r="AP29" s="6">
        <f t="shared" si="0"/>
        <v>0</v>
      </c>
      <c r="AQ29" s="115">
        <v>4320</v>
      </c>
      <c r="AR29" s="6">
        <f t="shared" si="1"/>
        <v>172.8</v>
      </c>
      <c r="AS29" s="115" t="s">
        <v>573</v>
      </c>
      <c r="AT29" s="6">
        <f t="shared" si="2"/>
        <v>0</v>
      </c>
      <c r="AU29" s="115">
        <v>0</v>
      </c>
      <c r="AV29" s="1">
        <f t="shared" si="7"/>
        <v>0</v>
      </c>
      <c r="AW29" s="115">
        <v>4320</v>
      </c>
      <c r="AX29" s="1">
        <f t="shared" si="8"/>
        <v>172.8</v>
      </c>
      <c r="AY29" s="5">
        <v>4320</v>
      </c>
      <c r="AZ29" s="1">
        <f t="shared" si="9"/>
        <v>172.8</v>
      </c>
      <c r="BA29" s="5" t="s">
        <v>573</v>
      </c>
      <c r="BB29" s="1">
        <f t="shared" si="10"/>
        <v>0</v>
      </c>
      <c r="BC29" s="5" t="s">
        <v>573</v>
      </c>
      <c r="BD29" s="1">
        <f t="shared" si="3"/>
        <v>0</v>
      </c>
      <c r="BE29" s="150" t="s">
        <v>573</v>
      </c>
      <c r="BF29" s="1">
        <f t="shared" si="4"/>
        <v>0</v>
      </c>
      <c r="BG29" s="150" t="s">
        <v>573</v>
      </c>
      <c r="BH29" s="1">
        <f t="shared" si="11"/>
        <v>0</v>
      </c>
      <c r="BI29" s="150" t="s">
        <v>573</v>
      </c>
      <c r="BJ29" s="1">
        <f t="shared" si="5"/>
        <v>0</v>
      </c>
      <c r="BK29" s="156" t="s">
        <v>573</v>
      </c>
      <c r="BL29" s="1">
        <f t="shared" si="6"/>
        <v>0</v>
      </c>
      <c r="BM29" s="141" t="s">
        <v>520</v>
      </c>
      <c r="BN29" s="136" t="s">
        <v>494</v>
      </c>
      <c r="BO29" s="139" t="s">
        <v>763</v>
      </c>
      <c r="BP29" s="137">
        <v>46022</v>
      </c>
    </row>
    <row r="30" spans="1:68" ht="15.75" customHeight="1">
      <c r="A30" s="109" t="s">
        <v>751</v>
      </c>
      <c r="B30" s="122" t="s">
        <v>184</v>
      </c>
      <c r="C30" s="301"/>
      <c r="D30" s="304"/>
      <c r="E30" s="304"/>
      <c r="F30" s="297"/>
      <c r="G30" s="78">
        <v>2019</v>
      </c>
      <c r="H30" s="105" t="s">
        <v>714</v>
      </c>
      <c r="I30" s="103" t="s">
        <v>196</v>
      </c>
      <c r="J30" s="103" t="s">
        <v>197</v>
      </c>
      <c r="K30" s="105" t="s">
        <v>753</v>
      </c>
      <c r="L30" s="105" t="s">
        <v>192</v>
      </c>
      <c r="M30" s="13" t="s">
        <v>193</v>
      </c>
      <c r="N30" s="13">
        <v>2.04</v>
      </c>
      <c r="O30" s="13">
        <v>1.99</v>
      </c>
      <c r="P30" s="13">
        <v>1.99</v>
      </c>
      <c r="Q30" s="13">
        <v>1.99</v>
      </c>
      <c r="R30" s="13">
        <v>1.99</v>
      </c>
      <c r="S30" s="13">
        <v>1.99</v>
      </c>
      <c r="T30" s="13">
        <v>1.99</v>
      </c>
      <c r="U30" s="13">
        <v>1.99</v>
      </c>
      <c r="V30" s="13">
        <v>1.99</v>
      </c>
      <c r="W30" s="13">
        <v>1.99</v>
      </c>
      <c r="X30" s="13">
        <v>1.99</v>
      </c>
      <c r="Y30" s="13">
        <v>1.99</v>
      </c>
      <c r="Z30" s="13">
        <v>1.99</v>
      </c>
      <c r="AA30" s="13">
        <v>1.99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116">
        <v>0</v>
      </c>
      <c r="AP30" s="6">
        <f t="shared" si="0"/>
        <v>0</v>
      </c>
      <c r="AQ30" s="115">
        <v>0</v>
      </c>
      <c r="AR30" s="6">
        <f t="shared" si="1"/>
        <v>0</v>
      </c>
      <c r="AS30" s="115" t="s">
        <v>573</v>
      </c>
      <c r="AT30" s="6">
        <f t="shared" si="2"/>
        <v>0</v>
      </c>
      <c r="AU30" s="115">
        <v>0</v>
      </c>
      <c r="AV30" s="1">
        <f t="shared" si="7"/>
        <v>0</v>
      </c>
      <c r="AW30" s="115">
        <v>0</v>
      </c>
      <c r="AX30" s="1">
        <f t="shared" si="8"/>
        <v>0</v>
      </c>
      <c r="AY30" s="5" t="s">
        <v>573</v>
      </c>
      <c r="AZ30" s="1">
        <f t="shared" si="9"/>
        <v>0</v>
      </c>
      <c r="BA30" s="5" t="s">
        <v>573</v>
      </c>
      <c r="BB30" s="1">
        <f t="shared" si="10"/>
        <v>0</v>
      </c>
      <c r="BC30" s="5" t="s">
        <v>573</v>
      </c>
      <c r="BD30" s="1">
        <f t="shared" si="3"/>
        <v>0</v>
      </c>
      <c r="BE30" s="150" t="s">
        <v>573</v>
      </c>
      <c r="BF30" s="1">
        <f t="shared" si="4"/>
        <v>0</v>
      </c>
      <c r="BG30" s="150" t="s">
        <v>573</v>
      </c>
      <c r="BH30" s="1">
        <f t="shared" si="11"/>
        <v>0</v>
      </c>
      <c r="BI30" s="150" t="s">
        <v>573</v>
      </c>
      <c r="BJ30" s="1">
        <f t="shared" si="5"/>
        <v>0</v>
      </c>
      <c r="BK30" s="156" t="s">
        <v>573</v>
      </c>
      <c r="BL30" s="1">
        <f t="shared" si="6"/>
        <v>0</v>
      </c>
      <c r="BM30" s="141" t="s">
        <v>669</v>
      </c>
      <c r="BN30" s="136" t="s">
        <v>495</v>
      </c>
      <c r="BO30" s="139" t="s">
        <v>754</v>
      </c>
      <c r="BP30" s="137">
        <v>45291</v>
      </c>
    </row>
    <row r="31" spans="1:68" ht="15.75" customHeight="1">
      <c r="A31" s="109" t="s">
        <v>751</v>
      </c>
      <c r="B31" s="122" t="s">
        <v>184</v>
      </c>
      <c r="C31" s="301"/>
      <c r="D31" s="304"/>
      <c r="E31" s="304"/>
      <c r="F31" s="297"/>
      <c r="G31" s="78">
        <v>2018</v>
      </c>
      <c r="H31" s="105" t="s">
        <v>742</v>
      </c>
      <c r="I31" s="103" t="s">
        <v>196</v>
      </c>
      <c r="J31" s="102" t="s">
        <v>197</v>
      </c>
      <c r="K31" s="105" t="s">
        <v>221</v>
      </c>
      <c r="L31" s="105" t="s">
        <v>192</v>
      </c>
      <c r="M31" s="13" t="s">
        <v>193</v>
      </c>
      <c r="N31" s="13">
        <v>4.54</v>
      </c>
      <c r="O31" s="13">
        <v>4.54</v>
      </c>
      <c r="P31" s="13">
        <v>4.54</v>
      </c>
      <c r="Q31" s="13">
        <v>4.54</v>
      </c>
      <c r="R31" s="13">
        <v>4.54</v>
      </c>
      <c r="S31" s="13">
        <v>4.54</v>
      </c>
      <c r="T31" s="13">
        <v>4.54</v>
      </c>
      <c r="U31" s="13">
        <v>4.54</v>
      </c>
      <c r="V31" s="13">
        <v>4.54</v>
      </c>
      <c r="W31" s="13">
        <v>4.54</v>
      </c>
      <c r="X31" s="13">
        <v>4.54</v>
      </c>
      <c r="Y31" s="13">
        <v>4.54</v>
      </c>
      <c r="Z31" s="13">
        <v>4.54</v>
      </c>
      <c r="AA31" s="13">
        <v>4.54</v>
      </c>
      <c r="AB31" s="40">
        <v>0.05</v>
      </c>
      <c r="AC31" s="40">
        <v>0.05</v>
      </c>
      <c r="AD31" s="40">
        <v>0.05</v>
      </c>
      <c r="AE31" s="40">
        <v>0.05</v>
      </c>
      <c r="AF31" s="40">
        <v>0.05</v>
      </c>
      <c r="AG31" s="40">
        <v>0.05</v>
      </c>
      <c r="AH31" s="40">
        <v>0.05</v>
      </c>
      <c r="AI31" s="40">
        <v>0.05</v>
      </c>
      <c r="AJ31" s="40">
        <v>0.05</v>
      </c>
      <c r="AK31" s="40">
        <v>0.05</v>
      </c>
      <c r="AL31" s="40">
        <v>0.05</v>
      </c>
      <c r="AM31" s="40">
        <v>0.05</v>
      </c>
      <c r="AN31" s="40">
        <v>0.05</v>
      </c>
      <c r="AO31" s="116">
        <v>8640</v>
      </c>
      <c r="AP31" s="6">
        <f t="shared" si="0"/>
        <v>432</v>
      </c>
      <c r="AQ31" s="115">
        <v>12960</v>
      </c>
      <c r="AR31" s="6">
        <f t="shared" si="1"/>
        <v>648</v>
      </c>
      <c r="AS31" s="115">
        <v>4320</v>
      </c>
      <c r="AT31" s="6">
        <f t="shared" si="2"/>
        <v>216</v>
      </c>
      <c r="AU31" s="115">
        <v>0</v>
      </c>
      <c r="AV31" s="1">
        <f t="shared" si="7"/>
        <v>0</v>
      </c>
      <c r="AW31" s="115">
        <v>21600</v>
      </c>
      <c r="AX31" s="1">
        <f t="shared" si="8"/>
        <v>1080</v>
      </c>
      <c r="AY31" s="5">
        <v>11520</v>
      </c>
      <c r="AZ31" s="1">
        <f t="shared" si="9"/>
        <v>576</v>
      </c>
      <c r="BA31" s="5">
        <v>8640</v>
      </c>
      <c r="BB31" s="1">
        <f t="shared" si="10"/>
        <v>432</v>
      </c>
      <c r="BC31" s="5" t="s">
        <v>573</v>
      </c>
      <c r="BD31" s="1">
        <f t="shared" si="3"/>
        <v>0</v>
      </c>
      <c r="BE31" s="150" t="s">
        <v>573</v>
      </c>
      <c r="BF31" s="1">
        <f t="shared" si="4"/>
        <v>0</v>
      </c>
      <c r="BG31" s="150">
        <v>8640</v>
      </c>
      <c r="BH31" s="1">
        <f t="shared" si="11"/>
        <v>432</v>
      </c>
      <c r="BI31" s="150">
        <v>4320</v>
      </c>
      <c r="BJ31" s="1">
        <f t="shared" si="5"/>
        <v>216</v>
      </c>
      <c r="BK31" s="156">
        <v>8640</v>
      </c>
      <c r="BL31" s="1">
        <f t="shared" si="6"/>
        <v>432</v>
      </c>
      <c r="BM31" s="141" t="s">
        <v>542</v>
      </c>
      <c r="BN31" s="136" t="s">
        <v>494</v>
      </c>
      <c r="BO31" s="139" t="s">
        <v>763</v>
      </c>
      <c r="BP31" s="137">
        <v>46022</v>
      </c>
    </row>
    <row r="32" spans="1:68" ht="14.85" customHeight="1">
      <c r="A32" s="109" t="s">
        <v>751</v>
      </c>
      <c r="B32" s="122" t="s">
        <v>184</v>
      </c>
      <c r="C32" s="301"/>
      <c r="D32" s="304"/>
      <c r="E32" s="304"/>
      <c r="F32" s="297"/>
      <c r="G32" s="78">
        <v>2018</v>
      </c>
      <c r="H32" s="105" t="s">
        <v>742</v>
      </c>
      <c r="I32" s="103" t="s">
        <v>196</v>
      </c>
      <c r="J32" s="102" t="s">
        <v>197</v>
      </c>
      <c r="K32" s="105" t="s">
        <v>221</v>
      </c>
      <c r="L32" s="105" t="s">
        <v>192</v>
      </c>
      <c r="M32" s="13" t="s">
        <v>193</v>
      </c>
      <c r="N32" s="13">
        <v>4.96</v>
      </c>
      <c r="O32" s="13">
        <v>5.14</v>
      </c>
      <c r="P32" s="13">
        <v>5.14</v>
      </c>
      <c r="Q32" s="13">
        <v>5.14</v>
      </c>
      <c r="R32" s="13">
        <v>5.14</v>
      </c>
      <c r="S32" s="13">
        <v>5.14</v>
      </c>
      <c r="T32" s="13">
        <v>5.14</v>
      </c>
      <c r="U32" s="13">
        <v>5.14</v>
      </c>
      <c r="V32" s="13">
        <v>5.14</v>
      </c>
      <c r="W32" s="13">
        <v>5.14</v>
      </c>
      <c r="X32" s="13">
        <v>5.14</v>
      </c>
      <c r="Y32" s="13">
        <v>5.14</v>
      </c>
      <c r="Z32" s="13">
        <v>5.14</v>
      </c>
      <c r="AA32" s="13">
        <v>5.14</v>
      </c>
      <c r="AB32" s="40">
        <v>0.14000000000000001</v>
      </c>
      <c r="AC32" s="40">
        <v>0.14000000000000001</v>
      </c>
      <c r="AD32" s="40">
        <v>0.14000000000000001</v>
      </c>
      <c r="AE32" s="40">
        <v>0.14000000000000001</v>
      </c>
      <c r="AF32" s="40">
        <v>0.14000000000000001</v>
      </c>
      <c r="AG32" s="40">
        <v>0.14000000000000001</v>
      </c>
      <c r="AH32" s="40">
        <v>0.14000000000000001</v>
      </c>
      <c r="AI32" s="40">
        <v>0.14000000000000001</v>
      </c>
      <c r="AJ32" s="40">
        <v>0.14000000000000001</v>
      </c>
      <c r="AK32" s="40">
        <v>0.14000000000000001</v>
      </c>
      <c r="AL32" s="40">
        <v>0.14000000000000001</v>
      </c>
      <c r="AM32" s="40">
        <v>0.14000000000000001</v>
      </c>
      <c r="AN32" s="40">
        <v>0.14000000000000001</v>
      </c>
      <c r="AO32" s="116">
        <v>0</v>
      </c>
      <c r="AP32" s="6">
        <f t="shared" si="0"/>
        <v>0</v>
      </c>
      <c r="AQ32" s="115">
        <v>0</v>
      </c>
      <c r="AR32" s="6">
        <f t="shared" si="1"/>
        <v>0</v>
      </c>
      <c r="AS32" s="115" t="s">
        <v>573</v>
      </c>
      <c r="AT32" s="6">
        <f t="shared" si="2"/>
        <v>0</v>
      </c>
      <c r="AU32" s="115">
        <v>0</v>
      </c>
      <c r="AV32" s="1">
        <f t="shared" si="7"/>
        <v>0</v>
      </c>
      <c r="AW32" s="115">
        <v>0</v>
      </c>
      <c r="AX32" s="1">
        <f t="shared" si="8"/>
        <v>0</v>
      </c>
      <c r="AY32" s="5" t="s">
        <v>573</v>
      </c>
      <c r="AZ32" s="1">
        <f t="shared" si="9"/>
        <v>0</v>
      </c>
      <c r="BA32" s="5" t="s">
        <v>573</v>
      </c>
      <c r="BB32" s="1">
        <f t="shared" si="10"/>
        <v>0</v>
      </c>
      <c r="BC32" s="5" t="s">
        <v>573</v>
      </c>
      <c r="BD32" s="1">
        <f t="shared" si="3"/>
        <v>0</v>
      </c>
      <c r="BE32" s="150" t="s">
        <v>573</v>
      </c>
      <c r="BF32" s="1">
        <f t="shared" si="4"/>
        <v>0</v>
      </c>
      <c r="BG32" s="150" t="s">
        <v>573</v>
      </c>
      <c r="BH32" s="1">
        <f t="shared" si="11"/>
        <v>0</v>
      </c>
      <c r="BI32" s="150" t="s">
        <v>573</v>
      </c>
      <c r="BJ32" s="1">
        <f t="shared" si="5"/>
        <v>0</v>
      </c>
      <c r="BK32" s="156" t="s">
        <v>573</v>
      </c>
      <c r="BL32" s="1">
        <f t="shared" si="6"/>
        <v>0</v>
      </c>
      <c r="BM32" s="141" t="s">
        <v>543</v>
      </c>
      <c r="BN32" s="136" t="s">
        <v>17</v>
      </c>
      <c r="BO32" s="139" t="s">
        <v>754</v>
      </c>
      <c r="BP32" s="137">
        <v>46022</v>
      </c>
    </row>
    <row r="33" spans="1:68" ht="15.75" customHeight="1">
      <c r="A33" s="109" t="s">
        <v>751</v>
      </c>
      <c r="B33" s="122" t="s">
        <v>184</v>
      </c>
      <c r="C33" s="301"/>
      <c r="D33" s="304"/>
      <c r="E33" s="304"/>
      <c r="F33" s="297"/>
      <c r="G33" s="78">
        <v>2018</v>
      </c>
      <c r="H33" s="105" t="s">
        <v>742</v>
      </c>
      <c r="I33" s="103" t="s">
        <v>196</v>
      </c>
      <c r="J33" s="102" t="s">
        <v>197</v>
      </c>
      <c r="K33" s="105" t="s">
        <v>291</v>
      </c>
      <c r="L33" s="105" t="s">
        <v>192</v>
      </c>
      <c r="M33" s="13" t="s">
        <v>193</v>
      </c>
      <c r="N33" s="13">
        <v>4.78</v>
      </c>
      <c r="O33" s="13">
        <v>4.78</v>
      </c>
      <c r="P33" s="13">
        <v>4.78</v>
      </c>
      <c r="Q33" s="13">
        <v>5.14</v>
      </c>
      <c r="R33" s="13">
        <v>5.14</v>
      </c>
      <c r="S33" s="13">
        <v>5.14</v>
      </c>
      <c r="T33" s="13">
        <v>5.14</v>
      </c>
      <c r="U33" s="13">
        <v>5.14</v>
      </c>
      <c r="V33" s="13">
        <v>5.14</v>
      </c>
      <c r="W33" s="13">
        <v>5.14</v>
      </c>
      <c r="X33" s="13">
        <v>5.14</v>
      </c>
      <c r="Y33" s="13">
        <v>5.14</v>
      </c>
      <c r="Z33" s="13">
        <v>5.14</v>
      </c>
      <c r="AA33" s="13">
        <v>5.14</v>
      </c>
      <c r="AB33" s="40">
        <v>0.05</v>
      </c>
      <c r="AC33" s="40">
        <v>0.05</v>
      </c>
      <c r="AD33" s="40">
        <v>0.05</v>
      </c>
      <c r="AE33" s="40">
        <v>0.05</v>
      </c>
      <c r="AF33" s="40">
        <v>0.05</v>
      </c>
      <c r="AG33" s="40">
        <v>0.05</v>
      </c>
      <c r="AH33" s="40">
        <v>0.05</v>
      </c>
      <c r="AI33" s="40">
        <v>0.05</v>
      </c>
      <c r="AJ33" s="40">
        <v>0.05</v>
      </c>
      <c r="AK33" s="40">
        <v>0.05</v>
      </c>
      <c r="AL33" s="40">
        <v>0.05</v>
      </c>
      <c r="AM33" s="40">
        <v>0.05</v>
      </c>
      <c r="AN33" s="40">
        <v>0.05</v>
      </c>
      <c r="AO33" s="116">
        <v>0</v>
      </c>
      <c r="AP33" s="6">
        <f t="shared" si="0"/>
        <v>0</v>
      </c>
      <c r="AQ33" s="115">
        <v>0</v>
      </c>
      <c r="AR33" s="6">
        <f t="shared" si="1"/>
        <v>0</v>
      </c>
      <c r="AS33" s="115">
        <v>4320</v>
      </c>
      <c r="AT33" s="6">
        <f t="shared" si="2"/>
        <v>216</v>
      </c>
      <c r="AU33" s="115">
        <v>0</v>
      </c>
      <c r="AV33" s="1">
        <f t="shared" si="7"/>
        <v>0</v>
      </c>
      <c r="AW33" s="115">
        <v>0</v>
      </c>
      <c r="AX33" s="1">
        <f t="shared" si="8"/>
        <v>0</v>
      </c>
      <c r="AY33" s="5">
        <v>1380</v>
      </c>
      <c r="AZ33" s="1">
        <f t="shared" si="9"/>
        <v>69</v>
      </c>
      <c r="BA33" s="5">
        <v>2760</v>
      </c>
      <c r="BB33" s="1">
        <f t="shared" si="10"/>
        <v>138</v>
      </c>
      <c r="BC33" s="5">
        <v>1380</v>
      </c>
      <c r="BD33" s="1">
        <f t="shared" si="3"/>
        <v>69</v>
      </c>
      <c r="BE33" s="150" t="s">
        <v>573</v>
      </c>
      <c r="BF33" s="1">
        <f t="shared" si="4"/>
        <v>0</v>
      </c>
      <c r="BG33" s="150" t="s">
        <v>573</v>
      </c>
      <c r="BH33" s="1">
        <f t="shared" si="11"/>
        <v>0</v>
      </c>
      <c r="BI33" s="150" t="s">
        <v>573</v>
      </c>
      <c r="BJ33" s="1">
        <f t="shared" si="5"/>
        <v>0</v>
      </c>
      <c r="BK33" s="156">
        <v>1380</v>
      </c>
      <c r="BL33" s="1">
        <f t="shared" si="6"/>
        <v>69</v>
      </c>
      <c r="BM33" s="141" t="s">
        <v>621</v>
      </c>
      <c r="BN33" s="136" t="s">
        <v>494</v>
      </c>
      <c r="BO33" s="139" t="s">
        <v>763</v>
      </c>
      <c r="BP33" s="137">
        <v>46022</v>
      </c>
    </row>
    <row r="34" spans="1:68" ht="15.75" customHeight="1">
      <c r="A34" s="109" t="s">
        <v>751</v>
      </c>
      <c r="B34" s="122" t="s">
        <v>184</v>
      </c>
      <c r="C34" s="301"/>
      <c r="D34" s="304"/>
      <c r="E34" s="304"/>
      <c r="F34" s="297"/>
      <c r="G34" s="78">
        <v>2018</v>
      </c>
      <c r="H34" s="105" t="s">
        <v>742</v>
      </c>
      <c r="I34" s="103" t="s">
        <v>196</v>
      </c>
      <c r="J34" s="102" t="s">
        <v>197</v>
      </c>
      <c r="K34" s="105" t="s">
        <v>245</v>
      </c>
      <c r="L34" s="105" t="s">
        <v>192</v>
      </c>
      <c r="M34" s="13" t="s">
        <v>193</v>
      </c>
      <c r="N34" s="13">
        <v>4.78</v>
      </c>
      <c r="O34" s="13">
        <v>4.78</v>
      </c>
      <c r="P34" s="13">
        <v>4.78</v>
      </c>
      <c r="Q34" s="13">
        <v>5.14</v>
      </c>
      <c r="R34" s="13">
        <v>5.14</v>
      </c>
      <c r="S34" s="13">
        <v>5.14</v>
      </c>
      <c r="T34" s="13">
        <v>5.14</v>
      </c>
      <c r="U34" s="13">
        <v>5.14</v>
      </c>
      <c r="V34" s="13">
        <v>5.14</v>
      </c>
      <c r="W34" s="13">
        <v>5.14</v>
      </c>
      <c r="X34" s="13">
        <v>5.14</v>
      </c>
      <c r="Y34" s="13">
        <v>5.14</v>
      </c>
      <c r="Z34" s="13">
        <v>5.14</v>
      </c>
      <c r="AA34" s="13">
        <v>5.14</v>
      </c>
      <c r="AB34" s="40">
        <v>0.05</v>
      </c>
      <c r="AC34" s="40">
        <v>0.05</v>
      </c>
      <c r="AD34" s="40">
        <v>0.05</v>
      </c>
      <c r="AE34" s="40">
        <v>0.05</v>
      </c>
      <c r="AF34" s="40">
        <v>0.05</v>
      </c>
      <c r="AG34" s="40">
        <v>0.05</v>
      </c>
      <c r="AH34" s="40">
        <v>0.05</v>
      </c>
      <c r="AI34" s="40">
        <v>0.05</v>
      </c>
      <c r="AJ34" s="40">
        <v>0.05</v>
      </c>
      <c r="AK34" s="40">
        <v>0.05</v>
      </c>
      <c r="AL34" s="40">
        <v>0.05</v>
      </c>
      <c r="AM34" s="40">
        <v>0.05</v>
      </c>
      <c r="AN34" s="40">
        <v>0.05</v>
      </c>
      <c r="AO34" s="116">
        <v>0</v>
      </c>
      <c r="AP34" s="6">
        <f t="shared" si="0"/>
        <v>0</v>
      </c>
      <c r="AQ34" s="115">
        <v>4320</v>
      </c>
      <c r="AR34" s="6">
        <f t="shared" si="1"/>
        <v>216</v>
      </c>
      <c r="AS34" s="115" t="s">
        <v>573</v>
      </c>
      <c r="AT34" s="6">
        <f t="shared" si="2"/>
        <v>0</v>
      </c>
      <c r="AU34" s="115">
        <v>0</v>
      </c>
      <c r="AV34" s="1">
        <f t="shared" si="7"/>
        <v>0</v>
      </c>
      <c r="AW34" s="115">
        <v>1380</v>
      </c>
      <c r="AX34" s="1">
        <f t="shared" si="8"/>
        <v>69</v>
      </c>
      <c r="AY34" s="5">
        <v>4140</v>
      </c>
      <c r="AZ34" s="1">
        <f t="shared" si="9"/>
        <v>207</v>
      </c>
      <c r="BA34" s="5">
        <v>6900</v>
      </c>
      <c r="BB34" s="1">
        <f t="shared" si="10"/>
        <v>345</v>
      </c>
      <c r="BC34" s="5" t="s">
        <v>573</v>
      </c>
      <c r="BD34" s="1">
        <f t="shared" si="3"/>
        <v>0</v>
      </c>
      <c r="BE34" s="150" t="s">
        <v>573</v>
      </c>
      <c r="BF34" s="1">
        <f t="shared" si="4"/>
        <v>0</v>
      </c>
      <c r="BG34" s="150" t="s">
        <v>573</v>
      </c>
      <c r="BH34" s="1">
        <f t="shared" si="11"/>
        <v>0</v>
      </c>
      <c r="BI34" s="150" t="s">
        <v>573</v>
      </c>
      <c r="BJ34" s="1">
        <f t="shared" si="5"/>
        <v>0</v>
      </c>
      <c r="BK34" s="156">
        <v>1380</v>
      </c>
      <c r="BL34" s="1">
        <f t="shared" si="6"/>
        <v>69</v>
      </c>
      <c r="BM34" s="141" t="s">
        <v>622</v>
      </c>
      <c r="BN34" s="136" t="s">
        <v>494</v>
      </c>
      <c r="BO34" s="139" t="s">
        <v>763</v>
      </c>
      <c r="BP34" s="137">
        <v>46022</v>
      </c>
    </row>
    <row r="35" spans="1:68" ht="15.75" customHeight="1">
      <c r="A35" s="109" t="s">
        <v>751</v>
      </c>
      <c r="B35" s="122" t="s">
        <v>184</v>
      </c>
      <c r="C35" s="301"/>
      <c r="D35" s="304"/>
      <c r="E35" s="304"/>
      <c r="F35" s="297"/>
      <c r="G35" s="78">
        <v>2018</v>
      </c>
      <c r="H35" s="105" t="s">
        <v>742</v>
      </c>
      <c r="I35" s="103" t="s">
        <v>196</v>
      </c>
      <c r="J35" s="102" t="s">
        <v>197</v>
      </c>
      <c r="K35" s="105" t="s">
        <v>294</v>
      </c>
      <c r="L35" s="105" t="s">
        <v>192</v>
      </c>
      <c r="M35" s="13" t="s">
        <v>193</v>
      </c>
      <c r="N35" s="13">
        <v>4.78</v>
      </c>
      <c r="O35" s="13">
        <v>4.78</v>
      </c>
      <c r="P35" s="13">
        <v>4.78</v>
      </c>
      <c r="Q35" s="13">
        <v>4.78</v>
      </c>
      <c r="R35" s="13">
        <v>4.78</v>
      </c>
      <c r="S35" s="13">
        <v>5.14</v>
      </c>
      <c r="T35" s="13">
        <v>5.14</v>
      </c>
      <c r="U35" s="13">
        <v>5.14</v>
      </c>
      <c r="V35" s="13">
        <v>5.14</v>
      </c>
      <c r="W35" s="13">
        <v>5.14</v>
      </c>
      <c r="X35" s="13">
        <v>5.14</v>
      </c>
      <c r="Y35" s="13">
        <v>5.14</v>
      </c>
      <c r="Z35" s="13">
        <v>5.14</v>
      </c>
      <c r="AA35" s="13">
        <v>5.14</v>
      </c>
      <c r="AB35" s="40">
        <v>0.05</v>
      </c>
      <c r="AC35" s="40">
        <v>0.05</v>
      </c>
      <c r="AD35" s="40">
        <v>0.05</v>
      </c>
      <c r="AE35" s="40">
        <v>0.05</v>
      </c>
      <c r="AF35" s="40">
        <v>0.05</v>
      </c>
      <c r="AG35" s="40">
        <v>0.05</v>
      </c>
      <c r="AH35" s="40">
        <v>0.05</v>
      </c>
      <c r="AI35" s="40">
        <v>0.05</v>
      </c>
      <c r="AJ35" s="40">
        <v>0.05</v>
      </c>
      <c r="AK35" s="40">
        <v>0.05</v>
      </c>
      <c r="AL35" s="40">
        <v>0.05</v>
      </c>
      <c r="AM35" s="40">
        <v>0.05</v>
      </c>
      <c r="AN35" s="40">
        <v>0.05</v>
      </c>
      <c r="AO35" s="116">
        <v>4320</v>
      </c>
      <c r="AP35" s="6">
        <f t="shared" si="0"/>
        <v>216</v>
      </c>
      <c r="AQ35" s="115">
        <v>4320</v>
      </c>
      <c r="AR35" s="6">
        <f t="shared" si="1"/>
        <v>216</v>
      </c>
      <c r="AS35" s="115">
        <v>4320</v>
      </c>
      <c r="AT35" s="6">
        <f t="shared" si="2"/>
        <v>216</v>
      </c>
      <c r="AU35" s="115">
        <v>0</v>
      </c>
      <c r="AV35" s="1">
        <f t="shared" si="7"/>
        <v>0</v>
      </c>
      <c r="AW35" s="115">
        <v>5520</v>
      </c>
      <c r="AX35" s="1">
        <f t="shared" si="8"/>
        <v>276</v>
      </c>
      <c r="AY35" s="5">
        <v>2760</v>
      </c>
      <c r="AZ35" s="1">
        <f t="shared" si="9"/>
        <v>138</v>
      </c>
      <c r="BA35" s="5">
        <v>1380</v>
      </c>
      <c r="BB35" s="1">
        <f t="shared" si="10"/>
        <v>69</v>
      </c>
      <c r="BC35" s="5" t="s">
        <v>573</v>
      </c>
      <c r="BD35" s="1">
        <f t="shared" si="3"/>
        <v>0</v>
      </c>
      <c r="BE35" s="150">
        <v>2760</v>
      </c>
      <c r="BF35" s="1">
        <f t="shared" si="4"/>
        <v>138</v>
      </c>
      <c r="BG35" s="150">
        <v>1380</v>
      </c>
      <c r="BH35" s="1">
        <f t="shared" si="11"/>
        <v>69</v>
      </c>
      <c r="BI35" s="150" t="s">
        <v>573</v>
      </c>
      <c r="BJ35" s="1">
        <f t="shared" si="5"/>
        <v>0</v>
      </c>
      <c r="BK35" s="156">
        <v>4140</v>
      </c>
      <c r="BL35" s="1">
        <f t="shared" si="6"/>
        <v>207</v>
      </c>
      <c r="BM35" s="141" t="s">
        <v>623</v>
      </c>
      <c r="BN35" s="136" t="s">
        <v>494</v>
      </c>
      <c r="BO35" s="139" t="s">
        <v>763</v>
      </c>
      <c r="BP35" s="137">
        <v>46022</v>
      </c>
    </row>
    <row r="36" spans="1:68" ht="15.75" customHeight="1">
      <c r="A36" s="109" t="s">
        <v>751</v>
      </c>
      <c r="B36" s="122" t="s">
        <v>184</v>
      </c>
      <c r="C36" s="301"/>
      <c r="D36" s="304"/>
      <c r="E36" s="304"/>
      <c r="F36" s="297"/>
      <c r="G36" s="78">
        <v>2023</v>
      </c>
      <c r="H36" s="105" t="s">
        <v>719</v>
      </c>
      <c r="I36" s="103" t="s">
        <v>196</v>
      </c>
      <c r="J36" s="102" t="s">
        <v>197</v>
      </c>
      <c r="K36" s="105" t="s">
        <v>221</v>
      </c>
      <c r="L36" s="105" t="s">
        <v>192</v>
      </c>
      <c r="M36" s="13" t="s">
        <v>193</v>
      </c>
      <c r="N36" s="13">
        <v>6.27</v>
      </c>
      <c r="O36" s="13">
        <v>6.27</v>
      </c>
      <c r="P36" s="13">
        <v>6.27</v>
      </c>
      <c r="Q36" s="13">
        <v>6.27</v>
      </c>
      <c r="R36" s="13">
        <v>6.27</v>
      </c>
      <c r="S36" s="13">
        <v>6.27</v>
      </c>
      <c r="T36" s="13">
        <v>6.27</v>
      </c>
      <c r="U36" s="13">
        <v>6.27</v>
      </c>
      <c r="V36" s="13">
        <v>6.27</v>
      </c>
      <c r="W36" s="13">
        <v>6.27</v>
      </c>
      <c r="X36" s="13">
        <v>6.27</v>
      </c>
      <c r="Y36" s="13">
        <v>6.27</v>
      </c>
      <c r="Z36" s="13">
        <v>6.27</v>
      </c>
      <c r="AA36" s="13">
        <v>6.27</v>
      </c>
      <c r="AB36" s="40">
        <v>0.3</v>
      </c>
      <c r="AC36" s="40">
        <v>0.3</v>
      </c>
      <c r="AD36" s="40">
        <v>0.3</v>
      </c>
      <c r="AE36" s="40">
        <v>0.3</v>
      </c>
      <c r="AF36" s="40">
        <v>0.3</v>
      </c>
      <c r="AG36" s="40">
        <v>0.3</v>
      </c>
      <c r="AH36" s="40">
        <v>0.3</v>
      </c>
      <c r="AI36" s="40">
        <v>0.3</v>
      </c>
      <c r="AJ36" s="40">
        <v>0.3</v>
      </c>
      <c r="AK36" s="40">
        <v>0.3</v>
      </c>
      <c r="AL36" s="40">
        <v>0.3</v>
      </c>
      <c r="AM36" s="40">
        <v>0.3</v>
      </c>
      <c r="AN36" s="40">
        <v>0.3</v>
      </c>
      <c r="AO36" s="116">
        <v>0</v>
      </c>
      <c r="AP36" s="6">
        <f t="shared" si="0"/>
        <v>0</v>
      </c>
      <c r="AQ36" s="115">
        <v>0</v>
      </c>
      <c r="AR36" s="6">
        <f t="shared" si="1"/>
        <v>0</v>
      </c>
      <c r="AS36" s="115" t="s">
        <v>573</v>
      </c>
      <c r="AT36" s="6">
        <f t="shared" si="2"/>
        <v>0</v>
      </c>
      <c r="AU36" s="115">
        <v>0</v>
      </c>
      <c r="AV36" s="1">
        <f t="shared" si="7"/>
        <v>0</v>
      </c>
      <c r="AW36" s="115">
        <v>0</v>
      </c>
      <c r="AX36" s="1">
        <f t="shared" si="8"/>
        <v>0</v>
      </c>
      <c r="AY36" s="5" t="s">
        <v>573</v>
      </c>
      <c r="AZ36" s="1">
        <f t="shared" si="9"/>
        <v>0</v>
      </c>
      <c r="BA36" s="5">
        <v>4080</v>
      </c>
      <c r="BB36" s="1">
        <f t="shared" si="10"/>
        <v>1224</v>
      </c>
      <c r="BC36" s="5">
        <v>2040</v>
      </c>
      <c r="BD36" s="1">
        <f t="shared" si="3"/>
        <v>612</v>
      </c>
      <c r="BE36" s="150">
        <v>2040</v>
      </c>
      <c r="BF36" s="1">
        <f t="shared" si="4"/>
        <v>612</v>
      </c>
      <c r="BG36" s="150">
        <v>4080</v>
      </c>
      <c r="BH36" s="1">
        <f t="shared" si="11"/>
        <v>1224</v>
      </c>
      <c r="BI36" s="150" t="s">
        <v>573</v>
      </c>
      <c r="BJ36" s="1">
        <f t="shared" si="5"/>
        <v>0</v>
      </c>
      <c r="BK36" s="156">
        <v>2040</v>
      </c>
      <c r="BL36" s="1">
        <f t="shared" si="6"/>
        <v>612</v>
      </c>
      <c r="BM36" s="141" t="s">
        <v>612</v>
      </c>
      <c r="BN36" s="136" t="s">
        <v>17</v>
      </c>
      <c r="BO36" s="139" t="s">
        <v>1314</v>
      </c>
      <c r="BP36" s="137"/>
    </row>
    <row r="37" spans="1:68" ht="15.75" customHeight="1">
      <c r="A37" s="109" t="s">
        <v>751</v>
      </c>
      <c r="B37" s="122" t="s">
        <v>184</v>
      </c>
      <c r="C37" s="301"/>
      <c r="D37" s="304"/>
      <c r="E37" s="304"/>
      <c r="F37" s="297"/>
      <c r="G37" s="78">
        <v>2023</v>
      </c>
      <c r="H37" s="105" t="s">
        <v>719</v>
      </c>
      <c r="I37" s="103" t="s">
        <v>196</v>
      </c>
      <c r="J37" s="103" t="s">
        <v>197</v>
      </c>
      <c r="K37" s="105" t="s">
        <v>221</v>
      </c>
      <c r="L37" s="105" t="s">
        <v>192</v>
      </c>
      <c r="M37" s="13" t="s">
        <v>193</v>
      </c>
      <c r="N37" s="13">
        <v>6.31</v>
      </c>
      <c r="O37" s="13">
        <v>6.31</v>
      </c>
      <c r="P37" s="13">
        <v>6.31</v>
      </c>
      <c r="Q37" s="13">
        <v>6.31</v>
      </c>
      <c r="R37" s="13">
        <v>6.31</v>
      </c>
      <c r="S37" s="13">
        <v>6.31</v>
      </c>
      <c r="T37" s="13">
        <v>6.31</v>
      </c>
      <c r="U37" s="13">
        <v>6.31</v>
      </c>
      <c r="V37" s="13">
        <v>6.31</v>
      </c>
      <c r="W37" s="13">
        <v>6.31</v>
      </c>
      <c r="X37" s="13">
        <v>6.31</v>
      </c>
      <c r="Y37" s="13">
        <v>6.31</v>
      </c>
      <c r="Z37" s="13">
        <v>6.31</v>
      </c>
      <c r="AA37" s="13">
        <v>6.31</v>
      </c>
      <c r="AB37" s="40">
        <v>0.3</v>
      </c>
      <c r="AC37" s="40">
        <v>0.3</v>
      </c>
      <c r="AD37" s="40">
        <v>0.3</v>
      </c>
      <c r="AE37" s="40">
        <v>0.3</v>
      </c>
      <c r="AF37" s="40">
        <v>0.3</v>
      </c>
      <c r="AG37" s="40">
        <v>0.3</v>
      </c>
      <c r="AH37" s="40">
        <v>0.3</v>
      </c>
      <c r="AI37" s="40">
        <v>0.3</v>
      </c>
      <c r="AJ37" s="40">
        <v>0.3</v>
      </c>
      <c r="AK37" s="40">
        <v>0.3</v>
      </c>
      <c r="AL37" s="40">
        <v>0.3</v>
      </c>
      <c r="AM37" s="40">
        <v>0.3</v>
      </c>
      <c r="AN37" s="40">
        <v>0.3</v>
      </c>
      <c r="AO37" s="116">
        <v>0</v>
      </c>
      <c r="AP37" s="6">
        <f t="shared" si="0"/>
        <v>0</v>
      </c>
      <c r="AQ37" s="115">
        <v>0</v>
      </c>
      <c r="AR37" s="6">
        <f t="shared" si="1"/>
        <v>0</v>
      </c>
      <c r="AS37" s="115" t="s">
        <v>573</v>
      </c>
      <c r="AT37" s="6">
        <f t="shared" si="2"/>
        <v>0</v>
      </c>
      <c r="AU37" s="115">
        <v>0</v>
      </c>
      <c r="AV37" s="1">
        <f t="shared" si="7"/>
        <v>0</v>
      </c>
      <c r="AW37" s="115">
        <v>0</v>
      </c>
      <c r="AX37" s="1">
        <f t="shared" si="8"/>
        <v>0</v>
      </c>
      <c r="AY37" s="5">
        <v>3060</v>
      </c>
      <c r="AZ37" s="1">
        <f t="shared" si="9"/>
        <v>918</v>
      </c>
      <c r="BA37" s="5">
        <v>6120</v>
      </c>
      <c r="BB37" s="1">
        <f t="shared" si="10"/>
        <v>1836</v>
      </c>
      <c r="BC37" s="5">
        <v>2760</v>
      </c>
      <c r="BD37" s="1">
        <f t="shared" si="3"/>
        <v>828</v>
      </c>
      <c r="BE37" s="150">
        <v>1020</v>
      </c>
      <c r="BF37" s="1">
        <f t="shared" si="4"/>
        <v>306</v>
      </c>
      <c r="BG37" s="150">
        <v>2100</v>
      </c>
      <c r="BH37" s="1">
        <f t="shared" si="11"/>
        <v>630</v>
      </c>
      <c r="BI37" s="150">
        <v>1080</v>
      </c>
      <c r="BJ37" s="1">
        <f t="shared" si="5"/>
        <v>324</v>
      </c>
      <c r="BK37" s="156">
        <v>1020</v>
      </c>
      <c r="BL37" s="1">
        <f t="shared" si="6"/>
        <v>306</v>
      </c>
      <c r="BM37" s="141" t="s">
        <v>613</v>
      </c>
      <c r="BN37" s="136" t="s">
        <v>494</v>
      </c>
      <c r="BO37" s="139" t="s">
        <v>763</v>
      </c>
      <c r="BP37" s="137">
        <v>46053</v>
      </c>
    </row>
    <row r="38" spans="1:68" ht="15.75" customHeight="1">
      <c r="A38" s="109" t="s">
        <v>751</v>
      </c>
      <c r="B38" s="122" t="s">
        <v>184</v>
      </c>
      <c r="C38" s="301"/>
      <c r="D38" s="304"/>
      <c r="E38" s="304"/>
      <c r="F38" s="297"/>
      <c r="G38" s="78">
        <v>2023</v>
      </c>
      <c r="H38" s="105" t="s">
        <v>719</v>
      </c>
      <c r="I38" s="103" t="s">
        <v>196</v>
      </c>
      <c r="J38" s="102" t="s">
        <v>197</v>
      </c>
      <c r="K38" s="105" t="s">
        <v>221</v>
      </c>
      <c r="L38" s="105" t="s">
        <v>192</v>
      </c>
      <c r="M38" s="13" t="s">
        <v>193</v>
      </c>
      <c r="N38" s="13">
        <v>6.27</v>
      </c>
      <c r="O38" s="13">
        <v>6.27</v>
      </c>
      <c r="P38" s="13">
        <v>6.27</v>
      </c>
      <c r="Q38" s="13">
        <v>6.27</v>
      </c>
      <c r="R38" s="13">
        <v>6.27</v>
      </c>
      <c r="S38" s="13">
        <v>6.27</v>
      </c>
      <c r="T38" s="13">
        <v>6.27</v>
      </c>
      <c r="U38" s="13">
        <v>6.27</v>
      </c>
      <c r="V38" s="13">
        <v>6.27</v>
      </c>
      <c r="W38" s="13">
        <v>6.27</v>
      </c>
      <c r="X38" s="13">
        <v>6.27</v>
      </c>
      <c r="Y38" s="13">
        <v>6.27</v>
      </c>
      <c r="Z38" s="13">
        <v>6.27</v>
      </c>
      <c r="AA38" s="13">
        <v>6.27</v>
      </c>
      <c r="AB38" s="40">
        <v>0.3</v>
      </c>
      <c r="AC38" s="40">
        <v>0.3</v>
      </c>
      <c r="AD38" s="40">
        <v>0.3</v>
      </c>
      <c r="AE38" s="40">
        <v>0.3</v>
      </c>
      <c r="AF38" s="40">
        <v>0.3</v>
      </c>
      <c r="AG38" s="40">
        <v>0.3</v>
      </c>
      <c r="AH38" s="40">
        <v>0.3</v>
      </c>
      <c r="AI38" s="40">
        <v>0.3</v>
      </c>
      <c r="AJ38" s="40">
        <v>0.3</v>
      </c>
      <c r="AK38" s="40">
        <v>0.3</v>
      </c>
      <c r="AL38" s="40">
        <v>0.3</v>
      </c>
      <c r="AM38" s="40">
        <v>0.3</v>
      </c>
      <c r="AN38" s="40">
        <v>0.3</v>
      </c>
      <c r="AO38" s="116">
        <v>0</v>
      </c>
      <c r="AP38" s="6">
        <f t="shared" si="0"/>
        <v>0</v>
      </c>
      <c r="AQ38" s="115">
        <v>0</v>
      </c>
      <c r="AR38" s="6">
        <f t="shared" si="1"/>
        <v>0</v>
      </c>
      <c r="AS38" s="115" t="s">
        <v>573</v>
      </c>
      <c r="AT38" s="6">
        <f t="shared" si="2"/>
        <v>0</v>
      </c>
      <c r="AU38" s="115">
        <v>0</v>
      </c>
      <c r="AV38" s="1">
        <f t="shared" si="7"/>
        <v>0</v>
      </c>
      <c r="AW38" s="115">
        <v>2040</v>
      </c>
      <c r="AX38" s="1">
        <f t="shared" si="8"/>
        <v>612</v>
      </c>
      <c r="AY38" s="5">
        <v>3060</v>
      </c>
      <c r="AZ38" s="1">
        <f t="shared" si="9"/>
        <v>918</v>
      </c>
      <c r="BA38" s="5">
        <v>2040</v>
      </c>
      <c r="BB38" s="1">
        <f t="shared" si="10"/>
        <v>612</v>
      </c>
      <c r="BC38" s="5">
        <v>3060</v>
      </c>
      <c r="BD38" s="1">
        <f t="shared" si="3"/>
        <v>918</v>
      </c>
      <c r="BE38" s="150">
        <v>6120</v>
      </c>
      <c r="BF38" s="1">
        <f t="shared" si="4"/>
        <v>1836</v>
      </c>
      <c r="BG38" s="150">
        <v>2040</v>
      </c>
      <c r="BH38" s="1">
        <f t="shared" si="11"/>
        <v>612</v>
      </c>
      <c r="BI38" s="150">
        <v>4080</v>
      </c>
      <c r="BJ38" s="1">
        <f t="shared" si="5"/>
        <v>1224</v>
      </c>
      <c r="BK38" s="156">
        <v>2040</v>
      </c>
      <c r="BL38" s="1">
        <f t="shared" si="6"/>
        <v>612</v>
      </c>
      <c r="BM38" s="141" t="s">
        <v>614</v>
      </c>
      <c r="BN38" s="136" t="s">
        <v>17</v>
      </c>
      <c r="BO38" s="139" t="s">
        <v>754</v>
      </c>
      <c r="BP38" s="137">
        <v>46053</v>
      </c>
    </row>
    <row r="39" spans="1:68" ht="15.75" customHeight="1">
      <c r="A39" s="109" t="s">
        <v>751</v>
      </c>
      <c r="B39" s="122" t="s">
        <v>184</v>
      </c>
      <c r="C39" s="301"/>
      <c r="D39" s="304"/>
      <c r="E39" s="304"/>
      <c r="F39" s="297"/>
      <c r="G39" s="78">
        <v>2023</v>
      </c>
      <c r="H39" s="105" t="s">
        <v>719</v>
      </c>
      <c r="I39" s="103" t="s">
        <v>196</v>
      </c>
      <c r="J39" s="102" t="s">
        <v>197</v>
      </c>
      <c r="K39" s="105" t="s">
        <v>330</v>
      </c>
      <c r="L39" s="105" t="s">
        <v>192</v>
      </c>
      <c r="M39" s="13" t="s">
        <v>193</v>
      </c>
      <c r="N39" s="13">
        <v>6.27</v>
      </c>
      <c r="O39" s="13">
        <v>6.27</v>
      </c>
      <c r="P39" s="13">
        <v>6.27</v>
      </c>
      <c r="Q39" s="13">
        <v>6.27</v>
      </c>
      <c r="R39" s="13">
        <v>6.27</v>
      </c>
      <c r="S39" s="13">
        <v>6.27</v>
      </c>
      <c r="T39" s="13">
        <v>6.27</v>
      </c>
      <c r="U39" s="13">
        <v>6.27</v>
      </c>
      <c r="V39" s="13">
        <v>6.27</v>
      </c>
      <c r="W39" s="13">
        <v>6.27</v>
      </c>
      <c r="X39" s="13">
        <v>6.27</v>
      </c>
      <c r="Y39" s="13">
        <v>6.27</v>
      </c>
      <c r="Z39" s="13">
        <v>6.27</v>
      </c>
      <c r="AA39" s="13">
        <v>6.27</v>
      </c>
      <c r="AB39" s="40">
        <v>0.3</v>
      </c>
      <c r="AC39" s="40">
        <v>0.3</v>
      </c>
      <c r="AD39" s="40">
        <v>0.3</v>
      </c>
      <c r="AE39" s="40">
        <v>0.3</v>
      </c>
      <c r="AF39" s="40">
        <v>0.3</v>
      </c>
      <c r="AG39" s="40">
        <v>0.3</v>
      </c>
      <c r="AH39" s="40">
        <v>0.3</v>
      </c>
      <c r="AI39" s="40">
        <v>0.3</v>
      </c>
      <c r="AJ39" s="40">
        <v>0.3</v>
      </c>
      <c r="AK39" s="40">
        <v>0.3</v>
      </c>
      <c r="AL39" s="40">
        <v>0.3</v>
      </c>
      <c r="AM39" s="40">
        <v>0.3</v>
      </c>
      <c r="AN39" s="40">
        <v>0.3</v>
      </c>
      <c r="AO39" s="116">
        <v>0</v>
      </c>
      <c r="AP39" s="6">
        <f t="shared" si="0"/>
        <v>0</v>
      </c>
      <c r="AQ39" s="115">
        <v>0</v>
      </c>
      <c r="AR39" s="6">
        <f t="shared" si="1"/>
        <v>0</v>
      </c>
      <c r="AS39" s="115" t="s">
        <v>573</v>
      </c>
      <c r="AT39" s="6">
        <f t="shared" si="2"/>
        <v>0</v>
      </c>
      <c r="AU39" s="115">
        <v>0</v>
      </c>
      <c r="AV39" s="1">
        <f t="shared" si="7"/>
        <v>0</v>
      </c>
      <c r="AW39" s="115">
        <v>0</v>
      </c>
      <c r="AX39" s="1">
        <f t="shared" si="8"/>
        <v>0</v>
      </c>
      <c r="AY39" s="5">
        <v>2040</v>
      </c>
      <c r="AZ39" s="1">
        <f t="shared" si="9"/>
        <v>612</v>
      </c>
      <c r="BA39" s="5">
        <v>6120</v>
      </c>
      <c r="BB39" s="1">
        <f t="shared" si="10"/>
        <v>1836</v>
      </c>
      <c r="BC39" s="5">
        <v>2040</v>
      </c>
      <c r="BD39" s="1">
        <f t="shared" si="3"/>
        <v>612</v>
      </c>
      <c r="BE39" s="150">
        <v>3060</v>
      </c>
      <c r="BF39" s="1">
        <f t="shared" si="4"/>
        <v>918</v>
      </c>
      <c r="BG39" s="150" t="s">
        <v>573</v>
      </c>
      <c r="BH39" s="1">
        <f t="shared" si="11"/>
        <v>0</v>
      </c>
      <c r="BI39" s="150" t="s">
        <v>573</v>
      </c>
      <c r="BJ39" s="1">
        <f t="shared" si="5"/>
        <v>0</v>
      </c>
      <c r="BK39" s="156" t="s">
        <v>573</v>
      </c>
      <c r="BL39" s="1">
        <f t="shared" si="6"/>
        <v>0</v>
      </c>
      <c r="BM39" s="142" t="s">
        <v>615</v>
      </c>
      <c r="BN39" s="136" t="s">
        <v>17</v>
      </c>
      <c r="BO39" s="139" t="s">
        <v>1314</v>
      </c>
      <c r="BP39" s="137">
        <v>46053</v>
      </c>
    </row>
    <row r="40" spans="1:68" ht="15.75" customHeight="1">
      <c r="A40" s="109" t="s">
        <v>751</v>
      </c>
      <c r="B40" s="122" t="s">
        <v>184</v>
      </c>
      <c r="C40" s="301"/>
      <c r="D40" s="304"/>
      <c r="E40" s="304"/>
      <c r="F40" s="297"/>
      <c r="G40" s="78">
        <v>2023</v>
      </c>
      <c r="H40" s="105" t="s">
        <v>719</v>
      </c>
      <c r="I40" s="103" t="s">
        <v>196</v>
      </c>
      <c r="J40" s="102" t="s">
        <v>197</v>
      </c>
      <c r="K40" s="105" t="s">
        <v>330</v>
      </c>
      <c r="L40" s="105" t="s">
        <v>192</v>
      </c>
      <c r="M40" s="13" t="s">
        <v>193</v>
      </c>
      <c r="N40" s="13">
        <v>6.31</v>
      </c>
      <c r="O40" s="13">
        <v>6.31</v>
      </c>
      <c r="P40" s="13">
        <v>6.31</v>
      </c>
      <c r="Q40" s="13">
        <v>6.31</v>
      </c>
      <c r="R40" s="13">
        <v>6.31</v>
      </c>
      <c r="S40" s="13">
        <v>6.31</v>
      </c>
      <c r="T40" s="13">
        <v>6.31</v>
      </c>
      <c r="U40" s="13">
        <v>6.31</v>
      </c>
      <c r="V40" s="13">
        <v>6.31</v>
      </c>
      <c r="W40" s="13">
        <v>6.31</v>
      </c>
      <c r="X40" s="13">
        <v>6.31</v>
      </c>
      <c r="Y40" s="13">
        <v>6.31</v>
      </c>
      <c r="Z40" s="13">
        <v>6.31</v>
      </c>
      <c r="AA40" s="13">
        <v>6.31</v>
      </c>
      <c r="AB40" s="40">
        <v>0.3</v>
      </c>
      <c r="AC40" s="40">
        <v>0.3</v>
      </c>
      <c r="AD40" s="40">
        <v>0.3</v>
      </c>
      <c r="AE40" s="40">
        <v>0.3</v>
      </c>
      <c r="AF40" s="40">
        <v>0.3</v>
      </c>
      <c r="AG40" s="40">
        <v>0.3</v>
      </c>
      <c r="AH40" s="40">
        <v>0.3</v>
      </c>
      <c r="AI40" s="40">
        <v>0.3</v>
      </c>
      <c r="AJ40" s="40">
        <v>0.3</v>
      </c>
      <c r="AK40" s="40">
        <v>0.3</v>
      </c>
      <c r="AL40" s="40">
        <v>0.3</v>
      </c>
      <c r="AM40" s="40">
        <v>0.3</v>
      </c>
      <c r="AN40" s="40">
        <v>0.3</v>
      </c>
      <c r="AO40" s="116">
        <v>0</v>
      </c>
      <c r="AP40" s="6">
        <f t="shared" si="0"/>
        <v>0</v>
      </c>
      <c r="AQ40" s="115">
        <v>0</v>
      </c>
      <c r="AR40" s="6">
        <f t="shared" si="1"/>
        <v>0</v>
      </c>
      <c r="AS40" s="115" t="s">
        <v>573</v>
      </c>
      <c r="AT40" s="6">
        <f t="shared" si="2"/>
        <v>0</v>
      </c>
      <c r="AU40" s="115">
        <v>0</v>
      </c>
      <c r="AV40" s="1">
        <f t="shared" si="7"/>
        <v>0</v>
      </c>
      <c r="AW40" s="115">
        <v>2040</v>
      </c>
      <c r="AX40" s="1">
        <f t="shared" si="8"/>
        <v>612</v>
      </c>
      <c r="AY40" s="5">
        <v>1200</v>
      </c>
      <c r="AZ40" s="1">
        <f t="shared" si="9"/>
        <v>360</v>
      </c>
      <c r="BA40" s="5">
        <v>3060</v>
      </c>
      <c r="BB40" s="1">
        <f t="shared" si="10"/>
        <v>918</v>
      </c>
      <c r="BC40" s="5">
        <v>2040</v>
      </c>
      <c r="BD40" s="1">
        <f t="shared" si="3"/>
        <v>612</v>
      </c>
      <c r="BE40" s="150" t="s">
        <v>573</v>
      </c>
      <c r="BF40" s="1">
        <f t="shared" si="4"/>
        <v>0</v>
      </c>
      <c r="BG40" s="150" t="s">
        <v>573</v>
      </c>
      <c r="BH40" s="1">
        <f t="shared" si="11"/>
        <v>0</v>
      </c>
      <c r="BI40" s="150">
        <v>1020</v>
      </c>
      <c r="BJ40" s="1">
        <f t="shared" si="5"/>
        <v>306</v>
      </c>
      <c r="BK40" s="156">
        <v>2040</v>
      </c>
      <c r="BL40" s="1">
        <f t="shared" si="6"/>
        <v>612</v>
      </c>
      <c r="BM40" s="142" t="s">
        <v>616</v>
      </c>
      <c r="BN40" s="136" t="s">
        <v>494</v>
      </c>
      <c r="BO40" s="139" t="s">
        <v>763</v>
      </c>
      <c r="BP40" s="137">
        <v>46053</v>
      </c>
    </row>
    <row r="41" spans="1:68" ht="15.75" customHeight="1">
      <c r="A41" s="109" t="s">
        <v>751</v>
      </c>
      <c r="B41" s="122" t="s">
        <v>184</v>
      </c>
      <c r="C41" s="301"/>
      <c r="D41" s="304"/>
      <c r="E41" s="304"/>
      <c r="F41" s="297"/>
      <c r="G41" s="78">
        <v>2023</v>
      </c>
      <c r="H41" s="105" t="s">
        <v>719</v>
      </c>
      <c r="I41" s="103" t="s">
        <v>196</v>
      </c>
      <c r="J41" s="102" t="s">
        <v>197</v>
      </c>
      <c r="K41" s="105" t="s">
        <v>330</v>
      </c>
      <c r="L41" s="105" t="s">
        <v>192</v>
      </c>
      <c r="M41" s="13" t="s">
        <v>193</v>
      </c>
      <c r="N41" s="13">
        <v>6.27</v>
      </c>
      <c r="O41" s="13">
        <v>6.27</v>
      </c>
      <c r="P41" s="13">
        <v>6.27</v>
      </c>
      <c r="Q41" s="13">
        <v>6.27</v>
      </c>
      <c r="R41" s="13">
        <v>6.27</v>
      </c>
      <c r="S41" s="13">
        <v>6.27</v>
      </c>
      <c r="T41" s="13">
        <v>6.27</v>
      </c>
      <c r="U41" s="13">
        <v>6.27</v>
      </c>
      <c r="V41" s="13">
        <v>6.27</v>
      </c>
      <c r="W41" s="13">
        <v>6.27</v>
      </c>
      <c r="X41" s="13">
        <v>6.27</v>
      </c>
      <c r="Y41" s="13">
        <v>6.27</v>
      </c>
      <c r="Z41" s="13">
        <v>6.27</v>
      </c>
      <c r="AA41" s="13">
        <v>6.27</v>
      </c>
      <c r="AB41" s="40">
        <v>0.3</v>
      </c>
      <c r="AC41" s="40">
        <v>0.3</v>
      </c>
      <c r="AD41" s="40">
        <v>0.3</v>
      </c>
      <c r="AE41" s="40">
        <v>0.3</v>
      </c>
      <c r="AF41" s="40">
        <v>0.3</v>
      </c>
      <c r="AG41" s="40">
        <v>0.3</v>
      </c>
      <c r="AH41" s="40">
        <v>0.3</v>
      </c>
      <c r="AI41" s="40">
        <v>0.3</v>
      </c>
      <c r="AJ41" s="40">
        <v>0.3</v>
      </c>
      <c r="AK41" s="40">
        <v>0.3</v>
      </c>
      <c r="AL41" s="40">
        <v>0.3</v>
      </c>
      <c r="AM41" s="40">
        <v>0.3</v>
      </c>
      <c r="AN41" s="40">
        <v>0.3</v>
      </c>
      <c r="AO41" s="116">
        <v>2040</v>
      </c>
      <c r="AP41" s="6">
        <f t="shared" si="0"/>
        <v>612</v>
      </c>
      <c r="AQ41" s="115">
        <v>0</v>
      </c>
      <c r="AR41" s="6">
        <f t="shared" si="1"/>
        <v>0</v>
      </c>
      <c r="AS41" s="115" t="s">
        <v>573</v>
      </c>
      <c r="AT41" s="6">
        <f t="shared" si="2"/>
        <v>0</v>
      </c>
      <c r="AU41" s="115">
        <v>0</v>
      </c>
      <c r="AV41" s="1">
        <f t="shared" si="7"/>
        <v>0</v>
      </c>
      <c r="AW41" s="115">
        <v>0</v>
      </c>
      <c r="AX41" s="1">
        <f t="shared" si="8"/>
        <v>0</v>
      </c>
      <c r="AY41" s="5" t="s">
        <v>573</v>
      </c>
      <c r="AZ41" s="1">
        <f t="shared" si="9"/>
        <v>0</v>
      </c>
      <c r="BA41" s="5" t="s">
        <v>573</v>
      </c>
      <c r="BB41" s="1">
        <f t="shared" si="10"/>
        <v>0</v>
      </c>
      <c r="BC41" s="5" t="s">
        <v>573</v>
      </c>
      <c r="BD41" s="1">
        <f t="shared" si="3"/>
        <v>0</v>
      </c>
      <c r="BE41" s="150">
        <v>4080</v>
      </c>
      <c r="BF41" s="1">
        <f t="shared" si="4"/>
        <v>1224</v>
      </c>
      <c r="BG41" s="150">
        <v>2040</v>
      </c>
      <c r="BH41" s="1">
        <f t="shared" si="11"/>
        <v>612</v>
      </c>
      <c r="BI41" s="150">
        <v>2040</v>
      </c>
      <c r="BJ41" s="1">
        <f t="shared" si="5"/>
        <v>612</v>
      </c>
      <c r="BK41" s="156">
        <v>2040</v>
      </c>
      <c r="BL41" s="1">
        <f t="shared" si="6"/>
        <v>612</v>
      </c>
      <c r="BM41" s="142" t="s">
        <v>617</v>
      </c>
      <c r="BN41" s="136" t="s">
        <v>17</v>
      </c>
      <c r="BO41" s="139" t="s">
        <v>754</v>
      </c>
      <c r="BP41" s="137">
        <v>46053</v>
      </c>
    </row>
    <row r="42" spans="1:68" ht="15.75" customHeight="1">
      <c r="A42" s="109" t="s">
        <v>751</v>
      </c>
      <c r="B42" s="122" t="s">
        <v>184</v>
      </c>
      <c r="C42" s="301"/>
      <c r="D42" s="304"/>
      <c r="E42" s="304"/>
      <c r="F42" s="297"/>
      <c r="G42" s="78">
        <v>2023</v>
      </c>
      <c r="H42" s="105" t="s">
        <v>757</v>
      </c>
      <c r="I42" s="103" t="s">
        <v>196</v>
      </c>
      <c r="J42" s="102" t="s">
        <v>197</v>
      </c>
      <c r="K42" s="105" t="s">
        <v>758</v>
      </c>
      <c r="L42" s="105" t="s">
        <v>192</v>
      </c>
      <c r="M42" s="13" t="s">
        <v>193</v>
      </c>
      <c r="N42" s="13">
        <v>6.75</v>
      </c>
      <c r="O42" s="13">
        <v>6.75</v>
      </c>
      <c r="P42" s="13">
        <v>6.75</v>
      </c>
      <c r="Q42" s="13">
        <v>6.75</v>
      </c>
      <c r="R42" s="13">
        <v>6.75</v>
      </c>
      <c r="S42" s="13">
        <v>6.75</v>
      </c>
      <c r="T42" s="13">
        <v>6.75</v>
      </c>
      <c r="U42" s="13">
        <v>6.75</v>
      </c>
      <c r="V42" s="13">
        <v>6.75</v>
      </c>
      <c r="W42" s="13">
        <v>6.75</v>
      </c>
      <c r="X42" s="13">
        <v>6.75</v>
      </c>
      <c r="Y42" s="13">
        <v>6.75</v>
      </c>
      <c r="Z42" s="13">
        <v>6.75</v>
      </c>
      <c r="AA42" s="13">
        <v>6.75</v>
      </c>
      <c r="AB42" s="40">
        <v>0.3</v>
      </c>
      <c r="AC42" s="40">
        <v>0.3</v>
      </c>
      <c r="AD42" s="40">
        <v>0.3</v>
      </c>
      <c r="AE42" s="40">
        <v>0.3</v>
      </c>
      <c r="AF42" s="40">
        <v>0.3</v>
      </c>
      <c r="AG42" s="40">
        <v>0.3</v>
      </c>
      <c r="AH42" s="40">
        <v>0.3</v>
      </c>
      <c r="AI42" s="40">
        <v>0.3</v>
      </c>
      <c r="AJ42" s="40">
        <v>0.3</v>
      </c>
      <c r="AK42" s="40">
        <v>0.3</v>
      </c>
      <c r="AL42" s="40">
        <v>0.3</v>
      </c>
      <c r="AM42" s="40">
        <v>0.3</v>
      </c>
      <c r="AN42" s="40">
        <v>0.3</v>
      </c>
      <c r="AO42" s="116">
        <v>0</v>
      </c>
      <c r="AP42" s="6">
        <f t="shared" si="0"/>
        <v>0</v>
      </c>
      <c r="AQ42" s="116">
        <v>0</v>
      </c>
      <c r="AR42" s="6">
        <f t="shared" si="1"/>
        <v>0</v>
      </c>
      <c r="AS42" s="115" t="s">
        <v>573</v>
      </c>
      <c r="AT42" s="6">
        <f t="shared" si="2"/>
        <v>0</v>
      </c>
      <c r="AU42" s="115">
        <v>0</v>
      </c>
      <c r="AV42" s="1">
        <f t="shared" si="7"/>
        <v>0</v>
      </c>
      <c r="AW42" s="115">
        <v>0</v>
      </c>
      <c r="AX42" s="1">
        <f t="shared" si="8"/>
        <v>0</v>
      </c>
      <c r="AY42" s="5" t="s">
        <v>573</v>
      </c>
      <c r="AZ42" s="1">
        <f t="shared" si="9"/>
        <v>0</v>
      </c>
      <c r="BA42" s="5" t="s">
        <v>573</v>
      </c>
      <c r="BB42" s="1">
        <f t="shared" si="10"/>
        <v>0</v>
      </c>
      <c r="BC42" s="5" t="s">
        <v>573</v>
      </c>
      <c r="BD42" s="1">
        <f t="shared" si="3"/>
        <v>0</v>
      </c>
      <c r="BE42" s="150" t="s">
        <v>573</v>
      </c>
      <c r="BF42" s="1">
        <f t="shared" si="4"/>
        <v>0</v>
      </c>
      <c r="BG42" s="150" t="s">
        <v>573</v>
      </c>
      <c r="BH42" s="1">
        <f t="shared" si="11"/>
        <v>0</v>
      </c>
      <c r="BI42" s="150" t="s">
        <v>573</v>
      </c>
      <c r="BJ42" s="1">
        <f t="shared" si="5"/>
        <v>0</v>
      </c>
      <c r="BK42" s="156" t="s">
        <v>573</v>
      </c>
      <c r="BL42" s="1">
        <f t="shared" si="6"/>
        <v>0</v>
      </c>
      <c r="BM42" s="142" t="s">
        <v>695</v>
      </c>
      <c r="BN42" s="136" t="s">
        <v>32</v>
      </c>
      <c r="BO42" s="139" t="s">
        <v>1316</v>
      </c>
      <c r="BP42" s="137">
        <v>45838</v>
      </c>
    </row>
    <row r="43" spans="1:68" ht="15.75" customHeight="1">
      <c r="A43" s="109" t="s">
        <v>751</v>
      </c>
      <c r="B43" s="122" t="s">
        <v>184</v>
      </c>
      <c r="C43" s="301"/>
      <c r="D43" s="304"/>
      <c r="E43" s="304"/>
      <c r="F43" s="297"/>
      <c r="G43" s="78">
        <v>2023</v>
      </c>
      <c r="H43" s="105" t="s">
        <v>757</v>
      </c>
      <c r="I43" s="103" t="s">
        <v>196</v>
      </c>
      <c r="J43" s="102" t="s">
        <v>197</v>
      </c>
      <c r="K43" s="105" t="s">
        <v>758</v>
      </c>
      <c r="L43" s="105" t="s">
        <v>192</v>
      </c>
      <c r="M43" s="13" t="s">
        <v>193</v>
      </c>
      <c r="N43" s="13">
        <v>6.75</v>
      </c>
      <c r="O43" s="13">
        <v>6.75</v>
      </c>
      <c r="P43" s="13">
        <v>6.75</v>
      </c>
      <c r="Q43" s="13">
        <v>6.75</v>
      </c>
      <c r="R43" s="13">
        <v>6.75</v>
      </c>
      <c r="S43" s="13">
        <v>6.75</v>
      </c>
      <c r="T43" s="13">
        <v>6.75</v>
      </c>
      <c r="U43" s="13">
        <v>6.75</v>
      </c>
      <c r="V43" s="13">
        <v>6.75</v>
      </c>
      <c r="W43" s="13">
        <v>6.75</v>
      </c>
      <c r="X43" s="13">
        <v>6.75</v>
      </c>
      <c r="Y43" s="13">
        <v>6.75</v>
      </c>
      <c r="Z43" s="13">
        <v>6.75</v>
      </c>
      <c r="AA43" s="13">
        <v>6.75</v>
      </c>
      <c r="AB43" s="40">
        <v>0.3</v>
      </c>
      <c r="AC43" s="40">
        <v>0.3</v>
      </c>
      <c r="AD43" s="40">
        <v>0.3</v>
      </c>
      <c r="AE43" s="40">
        <v>0.3</v>
      </c>
      <c r="AF43" s="40">
        <v>0.3</v>
      </c>
      <c r="AG43" s="40">
        <v>0.3</v>
      </c>
      <c r="AH43" s="40">
        <v>0.3</v>
      </c>
      <c r="AI43" s="40">
        <v>0.3</v>
      </c>
      <c r="AJ43" s="40">
        <v>0.3</v>
      </c>
      <c r="AK43" s="40">
        <v>0.3</v>
      </c>
      <c r="AL43" s="40">
        <v>0.3</v>
      </c>
      <c r="AM43" s="40">
        <v>0.3</v>
      </c>
      <c r="AN43" s="40">
        <v>0.3</v>
      </c>
      <c r="AO43" s="116">
        <v>0</v>
      </c>
      <c r="AP43" s="6">
        <f t="shared" si="0"/>
        <v>0</v>
      </c>
      <c r="AQ43" s="116">
        <v>0</v>
      </c>
      <c r="AR43" s="6">
        <f t="shared" si="1"/>
        <v>0</v>
      </c>
      <c r="AS43" s="115" t="s">
        <v>573</v>
      </c>
      <c r="AT43" s="6">
        <f t="shared" si="2"/>
        <v>0</v>
      </c>
      <c r="AU43" s="115">
        <v>0</v>
      </c>
      <c r="AV43" s="1">
        <f t="shared" si="7"/>
        <v>0</v>
      </c>
      <c r="AW43" s="115">
        <v>0</v>
      </c>
      <c r="AX43" s="1">
        <f t="shared" si="8"/>
        <v>0</v>
      </c>
      <c r="AY43" s="5" t="s">
        <v>573</v>
      </c>
      <c r="AZ43" s="1">
        <f t="shared" si="9"/>
        <v>0</v>
      </c>
      <c r="BA43" s="5" t="s">
        <v>573</v>
      </c>
      <c r="BB43" s="1">
        <f t="shared" si="10"/>
        <v>0</v>
      </c>
      <c r="BC43" s="5" t="s">
        <v>573</v>
      </c>
      <c r="BD43" s="1">
        <f t="shared" si="3"/>
        <v>0</v>
      </c>
      <c r="BE43" s="150" t="s">
        <v>573</v>
      </c>
      <c r="BF43" s="1">
        <f t="shared" si="4"/>
        <v>0</v>
      </c>
      <c r="BG43" s="150" t="s">
        <v>573</v>
      </c>
      <c r="BH43" s="1">
        <f t="shared" si="11"/>
        <v>0</v>
      </c>
      <c r="BI43" s="150" t="s">
        <v>573</v>
      </c>
      <c r="BJ43" s="1">
        <f t="shared" si="5"/>
        <v>0</v>
      </c>
      <c r="BK43" s="156" t="s">
        <v>573</v>
      </c>
      <c r="BL43" s="1">
        <f t="shared" si="6"/>
        <v>0</v>
      </c>
      <c r="BM43" s="142" t="s">
        <v>695</v>
      </c>
      <c r="BN43" s="136" t="s">
        <v>496</v>
      </c>
      <c r="BO43" s="139" t="s">
        <v>1316</v>
      </c>
      <c r="BP43" s="137">
        <v>45838</v>
      </c>
    </row>
    <row r="44" spans="1:68" ht="15.75" customHeight="1">
      <c r="A44" s="109" t="s">
        <v>751</v>
      </c>
      <c r="B44" s="122" t="s">
        <v>184</v>
      </c>
      <c r="C44" s="301"/>
      <c r="D44" s="304"/>
      <c r="E44" s="304"/>
      <c r="F44" s="297"/>
      <c r="G44" s="78">
        <v>2023</v>
      </c>
      <c r="H44" s="105" t="s">
        <v>757</v>
      </c>
      <c r="I44" s="103" t="s">
        <v>196</v>
      </c>
      <c r="J44" s="102" t="s">
        <v>197</v>
      </c>
      <c r="K44" s="105" t="s">
        <v>758</v>
      </c>
      <c r="L44" s="105" t="s">
        <v>192</v>
      </c>
      <c r="M44" s="13" t="s">
        <v>193</v>
      </c>
      <c r="N44" s="13">
        <v>6.75</v>
      </c>
      <c r="O44" s="13">
        <v>6.75</v>
      </c>
      <c r="P44" s="13">
        <v>6.75</v>
      </c>
      <c r="Q44" s="13">
        <v>6.75</v>
      </c>
      <c r="R44" s="13">
        <v>6.75</v>
      </c>
      <c r="S44" s="13">
        <v>6.75</v>
      </c>
      <c r="T44" s="13">
        <v>6.75</v>
      </c>
      <c r="U44" s="13">
        <v>6.75</v>
      </c>
      <c r="V44" s="13">
        <v>6.75</v>
      </c>
      <c r="W44" s="13">
        <v>6.75</v>
      </c>
      <c r="X44" s="13">
        <v>6.75</v>
      </c>
      <c r="Y44" s="13">
        <v>6.75</v>
      </c>
      <c r="Z44" s="13">
        <v>6.75</v>
      </c>
      <c r="AA44" s="13">
        <v>6.75</v>
      </c>
      <c r="AB44" s="40">
        <v>0.3</v>
      </c>
      <c r="AC44" s="40">
        <v>0.3</v>
      </c>
      <c r="AD44" s="40">
        <v>0.3</v>
      </c>
      <c r="AE44" s="40">
        <v>0.3</v>
      </c>
      <c r="AF44" s="40">
        <v>0.3</v>
      </c>
      <c r="AG44" s="40">
        <v>0.3</v>
      </c>
      <c r="AH44" s="40">
        <v>0.3</v>
      </c>
      <c r="AI44" s="40">
        <v>0.3</v>
      </c>
      <c r="AJ44" s="40">
        <v>0.3</v>
      </c>
      <c r="AK44" s="40">
        <v>0.3</v>
      </c>
      <c r="AL44" s="40">
        <v>0.3</v>
      </c>
      <c r="AM44" s="40">
        <v>0.3</v>
      </c>
      <c r="AN44" s="40">
        <v>0.3</v>
      </c>
      <c r="AO44" s="116">
        <v>0</v>
      </c>
      <c r="AP44" s="6">
        <f>AC44*AO44</f>
        <v>0</v>
      </c>
      <c r="AQ44" s="116">
        <v>0</v>
      </c>
      <c r="AR44" s="6">
        <f>AD44*AQ44</f>
        <v>0</v>
      </c>
      <c r="AS44" s="115" t="s">
        <v>573</v>
      </c>
      <c r="AT44" s="6">
        <f t="shared" si="2"/>
        <v>0</v>
      </c>
      <c r="AU44" s="115">
        <v>0</v>
      </c>
      <c r="AV44" s="1">
        <f>AF44*AU44</f>
        <v>0</v>
      </c>
      <c r="AW44" s="115">
        <v>0</v>
      </c>
      <c r="AX44" s="1">
        <f t="shared" si="8"/>
        <v>0</v>
      </c>
      <c r="AY44" s="5" t="s">
        <v>573</v>
      </c>
      <c r="AZ44" s="1">
        <f>AH44*AY44</f>
        <v>0</v>
      </c>
      <c r="BA44" s="5" t="s">
        <v>573</v>
      </c>
      <c r="BB44" s="1">
        <f>AI44*BA44</f>
        <v>0</v>
      </c>
      <c r="BC44" s="5" t="s">
        <v>573</v>
      </c>
      <c r="BD44" s="1">
        <f>AJ44*BC44</f>
        <v>0</v>
      </c>
      <c r="BE44" s="150" t="s">
        <v>573</v>
      </c>
      <c r="BF44" s="1">
        <f t="shared" si="4"/>
        <v>0</v>
      </c>
      <c r="BG44" s="150" t="s">
        <v>573</v>
      </c>
      <c r="BH44" s="1">
        <f t="shared" si="11"/>
        <v>0</v>
      </c>
      <c r="BI44" s="150" t="s">
        <v>573</v>
      </c>
      <c r="BJ44" s="1">
        <f t="shared" si="5"/>
        <v>0</v>
      </c>
      <c r="BK44" s="156" t="s">
        <v>573</v>
      </c>
      <c r="BL44" s="1">
        <f t="shared" si="6"/>
        <v>0</v>
      </c>
      <c r="BM44" s="142" t="s">
        <v>695</v>
      </c>
      <c r="BN44" s="136" t="s">
        <v>492</v>
      </c>
      <c r="BO44" s="139" t="s">
        <v>1316</v>
      </c>
      <c r="BP44" s="137"/>
    </row>
    <row r="45" spans="1:68" ht="15.75" customHeight="1">
      <c r="A45" s="109" t="s">
        <v>751</v>
      </c>
      <c r="B45" s="122" t="s">
        <v>184</v>
      </c>
      <c r="C45" s="301"/>
      <c r="D45" s="304"/>
      <c r="E45" s="304"/>
      <c r="F45" s="297"/>
      <c r="G45" s="78">
        <v>2023</v>
      </c>
      <c r="H45" s="105" t="s">
        <v>757</v>
      </c>
      <c r="I45" s="103" t="s">
        <v>196</v>
      </c>
      <c r="J45" s="102" t="s">
        <v>197</v>
      </c>
      <c r="K45" s="105" t="s">
        <v>758</v>
      </c>
      <c r="L45" s="105" t="s">
        <v>192</v>
      </c>
      <c r="M45" s="13" t="s">
        <v>193</v>
      </c>
      <c r="N45" s="13">
        <v>6.75</v>
      </c>
      <c r="O45" s="13">
        <v>6.75</v>
      </c>
      <c r="P45" s="13">
        <v>6.75</v>
      </c>
      <c r="Q45" s="13">
        <v>6.75</v>
      </c>
      <c r="R45" s="13">
        <v>6.75</v>
      </c>
      <c r="S45" s="13">
        <v>6.75</v>
      </c>
      <c r="T45" s="13">
        <v>6.75</v>
      </c>
      <c r="U45" s="13">
        <v>6.75</v>
      </c>
      <c r="V45" s="13">
        <v>6.75</v>
      </c>
      <c r="W45" s="13">
        <v>6.75</v>
      </c>
      <c r="X45" s="13">
        <v>6.75</v>
      </c>
      <c r="Y45" s="13">
        <v>6.75</v>
      </c>
      <c r="Z45" s="13">
        <v>6.75</v>
      </c>
      <c r="AA45" s="13">
        <v>6.75</v>
      </c>
      <c r="AB45" s="40">
        <v>0.3</v>
      </c>
      <c r="AC45" s="40">
        <v>0.3</v>
      </c>
      <c r="AD45" s="40">
        <v>0.3</v>
      </c>
      <c r="AE45" s="40">
        <v>0.3</v>
      </c>
      <c r="AF45" s="40">
        <v>0.3</v>
      </c>
      <c r="AG45" s="40">
        <v>0.3</v>
      </c>
      <c r="AH45" s="40">
        <v>0.3</v>
      </c>
      <c r="AI45" s="40">
        <v>0.3</v>
      </c>
      <c r="AJ45" s="40">
        <v>0.3</v>
      </c>
      <c r="AK45" s="40">
        <v>0.3</v>
      </c>
      <c r="AL45" s="40">
        <v>0.3</v>
      </c>
      <c r="AM45" s="40">
        <v>0.3</v>
      </c>
      <c r="AN45" s="40">
        <v>0.3</v>
      </c>
      <c r="AO45" s="116">
        <v>0</v>
      </c>
      <c r="AP45" s="6">
        <f>AC45*AO45</f>
        <v>0</v>
      </c>
      <c r="AQ45" s="116">
        <v>0</v>
      </c>
      <c r="AR45" s="6">
        <f>AD45*AQ45</f>
        <v>0</v>
      </c>
      <c r="AS45" s="115" t="s">
        <v>573</v>
      </c>
      <c r="AT45" s="6">
        <f t="shared" si="2"/>
        <v>0</v>
      </c>
      <c r="AU45" s="115">
        <v>0</v>
      </c>
      <c r="AV45" s="1">
        <f>AF45*AU45</f>
        <v>0</v>
      </c>
      <c r="AW45" s="115">
        <v>0</v>
      </c>
      <c r="AX45" s="1">
        <f t="shared" si="8"/>
        <v>0</v>
      </c>
      <c r="AY45" s="5" t="s">
        <v>573</v>
      </c>
      <c r="AZ45" s="1">
        <f>AH45*AY45</f>
        <v>0</v>
      </c>
      <c r="BA45" s="5" t="s">
        <v>573</v>
      </c>
      <c r="BB45" s="1">
        <f>AI45*BA45</f>
        <v>0</v>
      </c>
      <c r="BC45" s="5" t="s">
        <v>573</v>
      </c>
      <c r="BD45" s="1">
        <f>AJ45*BC45</f>
        <v>0</v>
      </c>
      <c r="BE45" s="150" t="s">
        <v>573</v>
      </c>
      <c r="BF45" s="1">
        <f t="shared" si="4"/>
        <v>0</v>
      </c>
      <c r="BG45" s="150" t="s">
        <v>573</v>
      </c>
      <c r="BH45" s="1">
        <f t="shared" si="11"/>
        <v>0</v>
      </c>
      <c r="BI45" s="150" t="s">
        <v>573</v>
      </c>
      <c r="BJ45" s="1">
        <f t="shared" si="5"/>
        <v>0</v>
      </c>
      <c r="BK45" s="156" t="s">
        <v>573</v>
      </c>
      <c r="BL45" s="1">
        <f t="shared" si="6"/>
        <v>0</v>
      </c>
      <c r="BM45" s="142" t="s">
        <v>695</v>
      </c>
      <c r="BN45" s="136" t="s">
        <v>759</v>
      </c>
      <c r="BO45" s="139" t="s">
        <v>1316</v>
      </c>
      <c r="BP45" s="137"/>
    </row>
    <row r="46" spans="1:68" ht="15.75" customHeight="1">
      <c r="A46" s="109" t="s">
        <v>751</v>
      </c>
      <c r="B46" s="122" t="s">
        <v>184</v>
      </c>
      <c r="C46" s="301"/>
      <c r="D46" s="304"/>
      <c r="E46" s="304"/>
      <c r="F46" s="297"/>
      <c r="G46" s="78">
        <v>2023</v>
      </c>
      <c r="H46" s="105" t="s">
        <v>757</v>
      </c>
      <c r="I46" s="103" t="s">
        <v>196</v>
      </c>
      <c r="J46" s="102" t="s">
        <v>197</v>
      </c>
      <c r="K46" s="105" t="s">
        <v>758</v>
      </c>
      <c r="L46" s="105" t="s">
        <v>192</v>
      </c>
      <c r="M46" s="13" t="s">
        <v>193</v>
      </c>
      <c r="N46" s="13">
        <v>6.75</v>
      </c>
      <c r="O46" s="13">
        <v>6.75</v>
      </c>
      <c r="P46" s="13">
        <v>6.75</v>
      </c>
      <c r="Q46" s="13">
        <v>6.75</v>
      </c>
      <c r="R46" s="13">
        <v>6.75</v>
      </c>
      <c r="S46" s="13">
        <v>6.75</v>
      </c>
      <c r="T46" s="13">
        <v>6.75</v>
      </c>
      <c r="U46" s="13">
        <v>6.75</v>
      </c>
      <c r="V46" s="13">
        <v>6.75</v>
      </c>
      <c r="W46" s="13">
        <v>6.75</v>
      </c>
      <c r="X46" s="13">
        <v>6.75</v>
      </c>
      <c r="Y46" s="13">
        <v>6.75</v>
      </c>
      <c r="Z46" s="13">
        <v>6.75</v>
      </c>
      <c r="AA46" s="13">
        <v>6.75</v>
      </c>
      <c r="AB46" s="40">
        <v>0.3</v>
      </c>
      <c r="AC46" s="40">
        <v>0.3</v>
      </c>
      <c r="AD46" s="40">
        <v>0.3</v>
      </c>
      <c r="AE46" s="40">
        <v>0.3</v>
      </c>
      <c r="AF46" s="40">
        <v>0.3</v>
      </c>
      <c r="AG46" s="40">
        <v>0.3</v>
      </c>
      <c r="AH46" s="40">
        <v>0.3</v>
      </c>
      <c r="AI46" s="40">
        <v>0.3</v>
      </c>
      <c r="AJ46" s="40">
        <v>0.3</v>
      </c>
      <c r="AK46" s="40">
        <v>0.3</v>
      </c>
      <c r="AL46" s="40">
        <v>0.3</v>
      </c>
      <c r="AM46" s="40">
        <v>0.3</v>
      </c>
      <c r="AN46" s="40">
        <v>0.3</v>
      </c>
      <c r="AO46" s="116">
        <v>0</v>
      </c>
      <c r="AP46" s="6">
        <f t="shared" si="0"/>
        <v>0</v>
      </c>
      <c r="AQ46" s="116">
        <v>0</v>
      </c>
      <c r="AR46" s="6">
        <f t="shared" si="1"/>
        <v>0</v>
      </c>
      <c r="AS46" s="115" t="s">
        <v>573</v>
      </c>
      <c r="AT46" s="6">
        <f t="shared" si="2"/>
        <v>0</v>
      </c>
      <c r="AU46" s="115">
        <v>0</v>
      </c>
      <c r="AV46" s="1">
        <f t="shared" si="7"/>
        <v>0</v>
      </c>
      <c r="AW46" s="115">
        <v>0</v>
      </c>
      <c r="AX46" s="1">
        <f t="shared" si="8"/>
        <v>0</v>
      </c>
      <c r="AY46" s="5" t="s">
        <v>573</v>
      </c>
      <c r="AZ46" s="1">
        <f t="shared" si="9"/>
        <v>0</v>
      </c>
      <c r="BA46" s="5" t="s">
        <v>573</v>
      </c>
      <c r="BB46" s="1">
        <f t="shared" si="10"/>
        <v>0</v>
      </c>
      <c r="BC46" s="5" t="s">
        <v>573</v>
      </c>
      <c r="BD46" s="1">
        <f t="shared" si="3"/>
        <v>0</v>
      </c>
      <c r="BE46" s="150" t="s">
        <v>573</v>
      </c>
      <c r="BF46" s="1">
        <f t="shared" si="4"/>
        <v>0</v>
      </c>
      <c r="BG46" s="150" t="s">
        <v>573</v>
      </c>
      <c r="BH46" s="1">
        <f t="shared" si="11"/>
        <v>0</v>
      </c>
      <c r="BI46" s="150" t="s">
        <v>573</v>
      </c>
      <c r="BJ46" s="1">
        <f t="shared" si="5"/>
        <v>0</v>
      </c>
      <c r="BK46" s="156" t="s">
        <v>573</v>
      </c>
      <c r="BL46" s="1">
        <f t="shared" si="6"/>
        <v>0</v>
      </c>
      <c r="BM46" s="142" t="s">
        <v>694</v>
      </c>
      <c r="BN46" s="136" t="s">
        <v>32</v>
      </c>
      <c r="BO46" s="139" t="s">
        <v>1316</v>
      </c>
      <c r="BP46" s="137">
        <v>45838</v>
      </c>
    </row>
    <row r="47" spans="1:68" ht="15.75" customHeight="1">
      <c r="A47" s="109" t="s">
        <v>751</v>
      </c>
      <c r="B47" s="122" t="s">
        <v>184</v>
      </c>
      <c r="C47" s="301"/>
      <c r="D47" s="304"/>
      <c r="E47" s="304"/>
      <c r="F47" s="297"/>
      <c r="G47" s="78">
        <v>2023</v>
      </c>
      <c r="H47" s="105" t="s">
        <v>757</v>
      </c>
      <c r="I47" s="103" t="s">
        <v>196</v>
      </c>
      <c r="J47" s="102" t="s">
        <v>197</v>
      </c>
      <c r="K47" s="105" t="s">
        <v>758</v>
      </c>
      <c r="L47" s="105" t="s">
        <v>192</v>
      </c>
      <c r="M47" s="13" t="s">
        <v>193</v>
      </c>
      <c r="N47" s="13">
        <v>6.75</v>
      </c>
      <c r="O47" s="13">
        <v>6.75</v>
      </c>
      <c r="P47" s="13">
        <v>6.75</v>
      </c>
      <c r="Q47" s="13">
        <v>6.75</v>
      </c>
      <c r="R47" s="13">
        <v>6.75</v>
      </c>
      <c r="S47" s="13">
        <v>6.75</v>
      </c>
      <c r="T47" s="13">
        <v>6.75</v>
      </c>
      <c r="U47" s="13">
        <v>6.75</v>
      </c>
      <c r="V47" s="13">
        <v>6.75</v>
      </c>
      <c r="W47" s="13">
        <v>6.75</v>
      </c>
      <c r="X47" s="13">
        <v>6.75</v>
      </c>
      <c r="Y47" s="13">
        <v>6.75</v>
      </c>
      <c r="Z47" s="13">
        <v>6.75</v>
      </c>
      <c r="AA47" s="13">
        <v>6.75</v>
      </c>
      <c r="AB47" s="40">
        <v>0.3</v>
      </c>
      <c r="AC47" s="40">
        <v>0.3</v>
      </c>
      <c r="AD47" s="40">
        <v>0.3</v>
      </c>
      <c r="AE47" s="40">
        <v>0.3</v>
      </c>
      <c r="AF47" s="40">
        <v>0.3</v>
      </c>
      <c r="AG47" s="40">
        <v>0.3</v>
      </c>
      <c r="AH47" s="40">
        <v>0.3</v>
      </c>
      <c r="AI47" s="40">
        <v>0.3</v>
      </c>
      <c r="AJ47" s="40">
        <v>0.3</v>
      </c>
      <c r="AK47" s="40">
        <v>0.3</v>
      </c>
      <c r="AL47" s="40">
        <v>0.3</v>
      </c>
      <c r="AM47" s="40">
        <v>0.3</v>
      </c>
      <c r="AN47" s="40">
        <v>0.3</v>
      </c>
      <c r="AO47" s="116">
        <v>0</v>
      </c>
      <c r="AP47" s="6">
        <f t="shared" si="0"/>
        <v>0</v>
      </c>
      <c r="AQ47" s="116">
        <v>0</v>
      </c>
      <c r="AR47" s="6">
        <f t="shared" si="1"/>
        <v>0</v>
      </c>
      <c r="AS47" s="115" t="s">
        <v>573</v>
      </c>
      <c r="AT47" s="6">
        <f t="shared" si="2"/>
        <v>0</v>
      </c>
      <c r="AU47" s="115">
        <v>0</v>
      </c>
      <c r="AV47" s="1">
        <f t="shared" si="7"/>
        <v>0</v>
      </c>
      <c r="AW47" s="115">
        <v>0</v>
      </c>
      <c r="AX47" s="1">
        <f t="shared" si="8"/>
        <v>0</v>
      </c>
      <c r="AY47" s="5" t="s">
        <v>573</v>
      </c>
      <c r="AZ47" s="1">
        <f t="shared" si="9"/>
        <v>0</v>
      </c>
      <c r="BA47" s="5" t="s">
        <v>573</v>
      </c>
      <c r="BB47" s="1">
        <f t="shared" si="10"/>
        <v>0</v>
      </c>
      <c r="BC47" s="5" t="s">
        <v>573</v>
      </c>
      <c r="BD47" s="1">
        <f t="shared" si="3"/>
        <v>0</v>
      </c>
      <c r="BE47" s="150" t="s">
        <v>573</v>
      </c>
      <c r="BF47" s="1">
        <f t="shared" si="4"/>
        <v>0</v>
      </c>
      <c r="BG47" s="150" t="s">
        <v>573</v>
      </c>
      <c r="BH47" s="1">
        <f t="shared" si="11"/>
        <v>0</v>
      </c>
      <c r="BI47" s="150" t="s">
        <v>573</v>
      </c>
      <c r="BJ47" s="1">
        <f t="shared" si="5"/>
        <v>0</v>
      </c>
      <c r="BK47" s="156" t="s">
        <v>573</v>
      </c>
      <c r="BL47" s="1">
        <f t="shared" si="6"/>
        <v>0</v>
      </c>
      <c r="BM47" s="142" t="s">
        <v>694</v>
      </c>
      <c r="BN47" s="136" t="s">
        <v>496</v>
      </c>
      <c r="BO47" s="139" t="s">
        <v>1316</v>
      </c>
      <c r="BP47" s="137">
        <v>45838</v>
      </c>
    </row>
    <row r="48" spans="1:68" ht="15.75" customHeight="1">
      <c r="A48" s="109" t="s">
        <v>751</v>
      </c>
      <c r="B48" s="122" t="s">
        <v>184</v>
      </c>
      <c r="C48" s="301"/>
      <c r="D48" s="304"/>
      <c r="E48" s="304"/>
      <c r="F48" s="297"/>
      <c r="G48" s="78">
        <v>2023</v>
      </c>
      <c r="H48" s="105" t="s">
        <v>757</v>
      </c>
      <c r="I48" s="103" t="s">
        <v>196</v>
      </c>
      <c r="J48" s="102" t="s">
        <v>197</v>
      </c>
      <c r="K48" s="105" t="s">
        <v>758</v>
      </c>
      <c r="L48" s="105" t="s">
        <v>192</v>
      </c>
      <c r="M48" s="13" t="s">
        <v>193</v>
      </c>
      <c r="N48" s="13">
        <v>6.75</v>
      </c>
      <c r="O48" s="13">
        <v>6.75</v>
      </c>
      <c r="P48" s="13">
        <v>6.75</v>
      </c>
      <c r="Q48" s="13">
        <v>6.75</v>
      </c>
      <c r="R48" s="13">
        <v>6.75</v>
      </c>
      <c r="S48" s="13">
        <v>6.75</v>
      </c>
      <c r="T48" s="13">
        <v>6.75</v>
      </c>
      <c r="U48" s="13">
        <v>6.75</v>
      </c>
      <c r="V48" s="13">
        <v>6.75</v>
      </c>
      <c r="W48" s="13">
        <v>6.75</v>
      </c>
      <c r="X48" s="13">
        <v>6.75</v>
      </c>
      <c r="Y48" s="13">
        <v>6.75</v>
      </c>
      <c r="Z48" s="13">
        <v>6.75</v>
      </c>
      <c r="AA48" s="13">
        <v>6.75</v>
      </c>
      <c r="AB48" s="40">
        <v>0.3</v>
      </c>
      <c r="AC48" s="40">
        <v>0.3</v>
      </c>
      <c r="AD48" s="40">
        <v>0.3</v>
      </c>
      <c r="AE48" s="40">
        <v>0.3</v>
      </c>
      <c r="AF48" s="40">
        <v>0.3</v>
      </c>
      <c r="AG48" s="40">
        <v>0.3</v>
      </c>
      <c r="AH48" s="40">
        <v>0.3</v>
      </c>
      <c r="AI48" s="40">
        <v>0.3</v>
      </c>
      <c r="AJ48" s="40">
        <v>0.3</v>
      </c>
      <c r="AK48" s="40">
        <v>0.3</v>
      </c>
      <c r="AL48" s="40">
        <v>0.3</v>
      </c>
      <c r="AM48" s="40">
        <v>0.3</v>
      </c>
      <c r="AN48" s="40">
        <v>0.3</v>
      </c>
      <c r="AO48" s="116">
        <v>0</v>
      </c>
      <c r="AP48" s="6">
        <f t="shared" si="0"/>
        <v>0</v>
      </c>
      <c r="AQ48" s="116">
        <v>0</v>
      </c>
      <c r="AR48" s="6">
        <f t="shared" si="1"/>
        <v>0</v>
      </c>
      <c r="AS48" s="115" t="s">
        <v>573</v>
      </c>
      <c r="AT48" s="6">
        <f t="shared" si="2"/>
        <v>0</v>
      </c>
      <c r="AU48" s="116">
        <v>0</v>
      </c>
      <c r="AV48" s="1">
        <f t="shared" si="7"/>
        <v>0</v>
      </c>
      <c r="AW48" s="115">
        <v>0</v>
      </c>
      <c r="AX48" s="1">
        <f t="shared" si="8"/>
        <v>0</v>
      </c>
      <c r="AY48" s="5" t="s">
        <v>573</v>
      </c>
      <c r="AZ48" s="1">
        <f t="shared" si="9"/>
        <v>0</v>
      </c>
      <c r="BA48" s="5" t="s">
        <v>573</v>
      </c>
      <c r="BB48" s="1">
        <f t="shared" si="10"/>
        <v>0</v>
      </c>
      <c r="BC48" s="5" t="s">
        <v>573</v>
      </c>
      <c r="BD48" s="1">
        <f t="shared" si="3"/>
        <v>0</v>
      </c>
      <c r="BE48" s="150" t="s">
        <v>573</v>
      </c>
      <c r="BF48" s="1">
        <f t="shared" si="4"/>
        <v>0</v>
      </c>
      <c r="BG48" s="150" t="s">
        <v>573</v>
      </c>
      <c r="BH48" s="1">
        <f t="shared" si="11"/>
        <v>0</v>
      </c>
      <c r="BI48" s="150" t="s">
        <v>573</v>
      </c>
      <c r="BJ48" s="1">
        <f t="shared" si="5"/>
        <v>0</v>
      </c>
      <c r="BK48" s="156" t="s">
        <v>573</v>
      </c>
      <c r="BL48" s="1">
        <f t="shared" si="6"/>
        <v>0</v>
      </c>
      <c r="BM48" s="142" t="s">
        <v>694</v>
      </c>
      <c r="BN48" s="136" t="s">
        <v>492</v>
      </c>
      <c r="BO48" s="139" t="s">
        <v>1316</v>
      </c>
      <c r="BP48" s="137"/>
    </row>
    <row r="49" spans="1:68" ht="15.75" customHeight="1">
      <c r="A49" s="109" t="s">
        <v>751</v>
      </c>
      <c r="B49" s="122" t="s">
        <v>184</v>
      </c>
      <c r="C49" s="301"/>
      <c r="D49" s="304"/>
      <c r="E49" s="304"/>
      <c r="F49" s="297"/>
      <c r="G49" s="78">
        <v>2023</v>
      </c>
      <c r="H49" s="105" t="s">
        <v>757</v>
      </c>
      <c r="I49" s="103" t="s">
        <v>196</v>
      </c>
      <c r="J49" s="102" t="s">
        <v>197</v>
      </c>
      <c r="K49" s="105" t="s">
        <v>758</v>
      </c>
      <c r="L49" s="105" t="s">
        <v>192</v>
      </c>
      <c r="M49" s="13" t="s">
        <v>193</v>
      </c>
      <c r="N49" s="13">
        <v>6.75</v>
      </c>
      <c r="O49" s="13">
        <v>6.75</v>
      </c>
      <c r="P49" s="13">
        <v>6.75</v>
      </c>
      <c r="Q49" s="13">
        <v>6.75</v>
      </c>
      <c r="R49" s="13">
        <v>6.75</v>
      </c>
      <c r="S49" s="13">
        <v>6.75</v>
      </c>
      <c r="T49" s="13">
        <v>6.75</v>
      </c>
      <c r="U49" s="13">
        <v>6.75</v>
      </c>
      <c r="V49" s="13">
        <v>6.75</v>
      </c>
      <c r="W49" s="13">
        <v>6.75</v>
      </c>
      <c r="X49" s="13">
        <v>6.75</v>
      </c>
      <c r="Y49" s="13">
        <v>6.75</v>
      </c>
      <c r="Z49" s="13">
        <v>6.75</v>
      </c>
      <c r="AA49" s="13">
        <v>6.75</v>
      </c>
      <c r="AB49" s="40">
        <v>0.3</v>
      </c>
      <c r="AC49" s="40">
        <v>0.3</v>
      </c>
      <c r="AD49" s="40">
        <v>0.3</v>
      </c>
      <c r="AE49" s="40">
        <v>0.3</v>
      </c>
      <c r="AF49" s="40">
        <v>0.3</v>
      </c>
      <c r="AG49" s="40">
        <v>0.3</v>
      </c>
      <c r="AH49" s="40">
        <v>0.3</v>
      </c>
      <c r="AI49" s="40">
        <v>0.3</v>
      </c>
      <c r="AJ49" s="40">
        <v>0.3</v>
      </c>
      <c r="AK49" s="40">
        <v>0.3</v>
      </c>
      <c r="AL49" s="40">
        <v>0.3</v>
      </c>
      <c r="AM49" s="40">
        <v>0.3</v>
      </c>
      <c r="AN49" s="40">
        <v>0.3</v>
      </c>
      <c r="AO49" s="116">
        <v>0</v>
      </c>
      <c r="AP49" s="6">
        <f t="shared" si="0"/>
        <v>0</v>
      </c>
      <c r="AQ49" s="116">
        <v>0</v>
      </c>
      <c r="AR49" s="6">
        <f t="shared" si="1"/>
        <v>0</v>
      </c>
      <c r="AS49" s="115" t="s">
        <v>573</v>
      </c>
      <c r="AT49" s="6">
        <f t="shared" si="2"/>
        <v>0</v>
      </c>
      <c r="AU49" s="116">
        <v>0</v>
      </c>
      <c r="AV49" s="1">
        <f t="shared" si="7"/>
        <v>0</v>
      </c>
      <c r="AW49" s="115">
        <v>0</v>
      </c>
      <c r="AX49" s="1">
        <f t="shared" si="8"/>
        <v>0</v>
      </c>
      <c r="AY49" s="5" t="s">
        <v>573</v>
      </c>
      <c r="AZ49" s="1">
        <f t="shared" si="9"/>
        <v>0</v>
      </c>
      <c r="BA49" s="5" t="s">
        <v>573</v>
      </c>
      <c r="BB49" s="1">
        <f t="shared" si="10"/>
        <v>0</v>
      </c>
      <c r="BC49" s="5" t="s">
        <v>573</v>
      </c>
      <c r="BD49" s="1">
        <f t="shared" si="3"/>
        <v>0</v>
      </c>
      <c r="BE49" s="150" t="s">
        <v>573</v>
      </c>
      <c r="BF49" s="1">
        <f t="shared" si="4"/>
        <v>0</v>
      </c>
      <c r="BG49" s="150" t="s">
        <v>573</v>
      </c>
      <c r="BH49" s="1">
        <f t="shared" si="11"/>
        <v>0</v>
      </c>
      <c r="BI49" s="150" t="s">
        <v>573</v>
      </c>
      <c r="BJ49" s="1">
        <f t="shared" si="5"/>
        <v>0</v>
      </c>
      <c r="BK49" s="156" t="s">
        <v>573</v>
      </c>
      <c r="BL49" s="1">
        <f t="shared" si="6"/>
        <v>0</v>
      </c>
      <c r="BM49" s="142" t="s">
        <v>694</v>
      </c>
      <c r="BN49" s="136" t="s">
        <v>759</v>
      </c>
      <c r="BO49" s="139" t="s">
        <v>1316</v>
      </c>
      <c r="BP49" s="137"/>
    </row>
    <row r="50" spans="1:68" ht="15.75" customHeight="1">
      <c r="A50" s="109" t="s">
        <v>751</v>
      </c>
      <c r="B50" s="122" t="s">
        <v>184</v>
      </c>
      <c r="C50" s="301"/>
      <c r="D50" s="304"/>
      <c r="E50" s="304"/>
      <c r="F50" s="297"/>
      <c r="G50" s="78">
        <v>2023</v>
      </c>
      <c r="H50" s="105" t="s">
        <v>757</v>
      </c>
      <c r="I50" s="103" t="s">
        <v>196</v>
      </c>
      <c r="J50" s="102" t="s">
        <v>197</v>
      </c>
      <c r="K50" s="105" t="s">
        <v>758</v>
      </c>
      <c r="L50" s="105" t="s">
        <v>192</v>
      </c>
      <c r="M50" s="13" t="s">
        <v>193</v>
      </c>
      <c r="N50" s="13">
        <v>6.75</v>
      </c>
      <c r="O50" s="13">
        <v>6.75</v>
      </c>
      <c r="P50" s="13">
        <v>6.75</v>
      </c>
      <c r="Q50" s="13">
        <v>6.75</v>
      </c>
      <c r="R50" s="13">
        <v>6.75</v>
      </c>
      <c r="S50" s="13">
        <v>6.75</v>
      </c>
      <c r="T50" s="13">
        <v>6.75</v>
      </c>
      <c r="U50" s="13">
        <v>6.75</v>
      </c>
      <c r="V50" s="13">
        <v>6.75</v>
      </c>
      <c r="W50" s="13">
        <v>6.75</v>
      </c>
      <c r="X50" s="13">
        <v>6.75</v>
      </c>
      <c r="Y50" s="13">
        <v>6.75</v>
      </c>
      <c r="Z50" s="13">
        <v>6.75</v>
      </c>
      <c r="AA50" s="13">
        <v>6.75</v>
      </c>
      <c r="AB50" s="40">
        <v>0.3</v>
      </c>
      <c r="AC50" s="40">
        <v>0.3</v>
      </c>
      <c r="AD50" s="40">
        <v>0.3</v>
      </c>
      <c r="AE50" s="40">
        <v>0.3</v>
      </c>
      <c r="AF50" s="40">
        <v>0.3</v>
      </c>
      <c r="AG50" s="40">
        <v>0.3</v>
      </c>
      <c r="AH50" s="40">
        <v>0.3</v>
      </c>
      <c r="AI50" s="40">
        <v>0.3</v>
      </c>
      <c r="AJ50" s="40">
        <v>0.3</v>
      </c>
      <c r="AK50" s="40">
        <v>0.3</v>
      </c>
      <c r="AL50" s="40">
        <v>0.3</v>
      </c>
      <c r="AM50" s="40">
        <v>0.3</v>
      </c>
      <c r="AN50" s="40">
        <v>0.3</v>
      </c>
      <c r="AO50" s="116">
        <v>0</v>
      </c>
      <c r="AP50" s="6">
        <f t="shared" si="0"/>
        <v>0</v>
      </c>
      <c r="AQ50" s="115">
        <v>0</v>
      </c>
      <c r="AR50" s="6">
        <f t="shared" si="1"/>
        <v>0</v>
      </c>
      <c r="AS50" s="115" t="s">
        <v>573</v>
      </c>
      <c r="AT50" s="6">
        <f t="shared" si="2"/>
        <v>0</v>
      </c>
      <c r="AU50" s="115">
        <v>0</v>
      </c>
      <c r="AV50" s="1">
        <f t="shared" si="7"/>
        <v>0</v>
      </c>
      <c r="AW50" s="115">
        <v>0</v>
      </c>
      <c r="AX50" s="1">
        <f t="shared" si="8"/>
        <v>0</v>
      </c>
      <c r="AY50" s="5">
        <v>1020</v>
      </c>
      <c r="AZ50" s="1">
        <f t="shared" si="9"/>
        <v>306</v>
      </c>
      <c r="BA50" s="5" t="s">
        <v>573</v>
      </c>
      <c r="BB50" s="1">
        <f t="shared" si="10"/>
        <v>0</v>
      </c>
      <c r="BC50" s="5" t="s">
        <v>573</v>
      </c>
      <c r="BD50" s="1">
        <f t="shared" si="3"/>
        <v>0</v>
      </c>
      <c r="BE50" s="150" t="s">
        <v>573</v>
      </c>
      <c r="BF50" s="1">
        <f t="shared" si="4"/>
        <v>0</v>
      </c>
      <c r="BG50" s="150" t="s">
        <v>573</v>
      </c>
      <c r="BH50" s="1">
        <f t="shared" si="11"/>
        <v>0</v>
      </c>
      <c r="BI50" s="150" t="s">
        <v>573</v>
      </c>
      <c r="BJ50" s="1">
        <f t="shared" si="5"/>
        <v>0</v>
      </c>
      <c r="BK50" s="156" t="s">
        <v>573</v>
      </c>
      <c r="BL50" s="1">
        <f t="shared" si="6"/>
        <v>0</v>
      </c>
      <c r="BM50" s="142" t="s">
        <v>693</v>
      </c>
      <c r="BN50" s="136" t="s">
        <v>32</v>
      </c>
      <c r="BO50" s="139" t="s">
        <v>760</v>
      </c>
      <c r="BP50" s="137">
        <v>45838</v>
      </c>
    </row>
    <row r="51" spans="1:68" ht="15.75" customHeight="1">
      <c r="A51" s="109" t="s">
        <v>751</v>
      </c>
      <c r="B51" s="122" t="s">
        <v>184</v>
      </c>
      <c r="C51" s="301"/>
      <c r="D51" s="304"/>
      <c r="E51" s="304"/>
      <c r="F51" s="297"/>
      <c r="G51" s="78">
        <v>2023</v>
      </c>
      <c r="H51" s="105" t="s">
        <v>757</v>
      </c>
      <c r="I51" s="103" t="s">
        <v>196</v>
      </c>
      <c r="J51" s="102" t="s">
        <v>197</v>
      </c>
      <c r="K51" s="105" t="s">
        <v>330</v>
      </c>
      <c r="L51" s="105" t="s">
        <v>192</v>
      </c>
      <c r="M51" s="13" t="s">
        <v>193</v>
      </c>
      <c r="N51" s="13">
        <v>6.75</v>
      </c>
      <c r="O51" s="13">
        <v>6.75</v>
      </c>
      <c r="P51" s="13">
        <v>6.75</v>
      </c>
      <c r="Q51" s="13">
        <v>6.75</v>
      </c>
      <c r="R51" s="13">
        <v>6.75</v>
      </c>
      <c r="S51" s="13">
        <v>6.75</v>
      </c>
      <c r="T51" s="13">
        <v>6.75</v>
      </c>
      <c r="U51" s="13">
        <v>6.75</v>
      </c>
      <c r="V51" s="13">
        <v>6.75</v>
      </c>
      <c r="W51" s="13">
        <v>6.75</v>
      </c>
      <c r="X51" s="13">
        <v>6.75</v>
      </c>
      <c r="Y51" s="13">
        <v>6.75</v>
      </c>
      <c r="Z51" s="13">
        <v>6.75</v>
      </c>
      <c r="AA51" s="13">
        <v>6.75</v>
      </c>
      <c r="AB51" s="40">
        <v>0.3</v>
      </c>
      <c r="AC51" s="40">
        <v>0.3</v>
      </c>
      <c r="AD51" s="40">
        <v>0.3</v>
      </c>
      <c r="AE51" s="40">
        <v>0.3</v>
      </c>
      <c r="AF51" s="40">
        <v>0.3</v>
      </c>
      <c r="AG51" s="40">
        <v>0.3</v>
      </c>
      <c r="AH51" s="40">
        <v>0.3</v>
      </c>
      <c r="AI51" s="40">
        <v>0.3</v>
      </c>
      <c r="AJ51" s="40">
        <v>0.3</v>
      </c>
      <c r="AK51" s="40">
        <v>0.3</v>
      </c>
      <c r="AL51" s="40">
        <v>0.3</v>
      </c>
      <c r="AM51" s="40">
        <v>0.3</v>
      </c>
      <c r="AN51" s="40">
        <v>0.3</v>
      </c>
      <c r="AO51" s="116">
        <v>0</v>
      </c>
      <c r="AP51" s="6">
        <f t="shared" si="0"/>
        <v>0</v>
      </c>
      <c r="AQ51" s="115">
        <v>0</v>
      </c>
      <c r="AR51" s="6">
        <f>AD51*AQ51</f>
        <v>0</v>
      </c>
      <c r="AS51" s="115">
        <v>1020</v>
      </c>
      <c r="AT51" s="6">
        <f t="shared" si="2"/>
        <v>306</v>
      </c>
      <c r="AU51" s="115">
        <v>0</v>
      </c>
      <c r="AV51" s="1">
        <f t="shared" si="7"/>
        <v>0</v>
      </c>
      <c r="AW51" s="115">
        <v>0</v>
      </c>
      <c r="AX51" s="1">
        <f t="shared" si="8"/>
        <v>0</v>
      </c>
      <c r="AY51" s="5" t="s">
        <v>573</v>
      </c>
      <c r="AZ51" s="1">
        <f>AH51*AY51</f>
        <v>0</v>
      </c>
      <c r="BA51" s="5" t="s">
        <v>573</v>
      </c>
      <c r="BB51" s="1">
        <f t="shared" si="10"/>
        <v>0</v>
      </c>
      <c r="BC51" s="5" t="s">
        <v>573</v>
      </c>
      <c r="BD51" s="1">
        <f>AJ51*BC51</f>
        <v>0</v>
      </c>
      <c r="BE51" s="150" t="s">
        <v>573</v>
      </c>
      <c r="BF51" s="1">
        <f t="shared" si="4"/>
        <v>0</v>
      </c>
      <c r="BG51" s="150" t="s">
        <v>573</v>
      </c>
      <c r="BH51" s="1">
        <f t="shared" si="11"/>
        <v>0</v>
      </c>
      <c r="BI51" s="150" t="s">
        <v>573</v>
      </c>
      <c r="BJ51" s="1">
        <f t="shared" si="5"/>
        <v>0</v>
      </c>
      <c r="BK51" s="156" t="s">
        <v>573</v>
      </c>
      <c r="BL51" s="1">
        <f t="shared" si="6"/>
        <v>0</v>
      </c>
      <c r="BM51" s="142" t="s">
        <v>693</v>
      </c>
      <c r="BN51" s="136" t="s">
        <v>496</v>
      </c>
      <c r="BO51" s="139" t="s">
        <v>760</v>
      </c>
      <c r="BP51" s="137">
        <v>45838</v>
      </c>
    </row>
    <row r="52" spans="1:68" ht="15.75" customHeight="1">
      <c r="A52" s="109" t="s">
        <v>751</v>
      </c>
      <c r="B52" s="122" t="s">
        <v>184</v>
      </c>
      <c r="C52" s="301"/>
      <c r="D52" s="304"/>
      <c r="E52" s="304"/>
      <c r="F52" s="297"/>
      <c r="G52" s="78">
        <v>2023</v>
      </c>
      <c r="H52" s="105" t="s">
        <v>757</v>
      </c>
      <c r="I52" s="103" t="s">
        <v>196</v>
      </c>
      <c r="J52" s="102" t="s">
        <v>197</v>
      </c>
      <c r="K52" s="105" t="s">
        <v>330</v>
      </c>
      <c r="L52" s="105" t="s">
        <v>192</v>
      </c>
      <c r="M52" s="13" t="s">
        <v>193</v>
      </c>
      <c r="N52" s="13">
        <v>6.75</v>
      </c>
      <c r="O52" s="13">
        <v>6.75</v>
      </c>
      <c r="P52" s="13">
        <v>6.75</v>
      </c>
      <c r="Q52" s="13">
        <v>6.75</v>
      </c>
      <c r="R52" s="13">
        <v>6.75</v>
      </c>
      <c r="S52" s="13">
        <v>6.75</v>
      </c>
      <c r="T52" s="13">
        <v>6.75</v>
      </c>
      <c r="U52" s="13">
        <v>6.75</v>
      </c>
      <c r="V52" s="13">
        <v>6.75</v>
      </c>
      <c r="W52" s="13">
        <v>6.75</v>
      </c>
      <c r="X52" s="13">
        <v>6.75</v>
      </c>
      <c r="Y52" s="13">
        <v>6.75</v>
      </c>
      <c r="Z52" s="13">
        <v>6.75</v>
      </c>
      <c r="AA52" s="13">
        <v>6.75</v>
      </c>
      <c r="AB52" s="40">
        <v>0.3</v>
      </c>
      <c r="AC52" s="40">
        <v>0.3</v>
      </c>
      <c r="AD52" s="40">
        <v>0.3</v>
      </c>
      <c r="AE52" s="40">
        <v>0.3</v>
      </c>
      <c r="AF52" s="40">
        <v>0.3</v>
      </c>
      <c r="AG52" s="40">
        <v>0.3</v>
      </c>
      <c r="AH52" s="40">
        <v>0.3</v>
      </c>
      <c r="AI52" s="40">
        <v>0.3</v>
      </c>
      <c r="AJ52" s="40">
        <v>0.3</v>
      </c>
      <c r="AK52" s="40">
        <v>0.3</v>
      </c>
      <c r="AL52" s="40">
        <v>0.3</v>
      </c>
      <c r="AM52" s="40">
        <v>0.3</v>
      </c>
      <c r="AN52" s="40">
        <v>0.3</v>
      </c>
      <c r="AO52" s="116">
        <v>0</v>
      </c>
      <c r="AP52" s="6">
        <f t="shared" si="0"/>
        <v>0</v>
      </c>
      <c r="AQ52" s="115">
        <v>0</v>
      </c>
      <c r="AR52" s="6">
        <f>AD52*AQ52</f>
        <v>0</v>
      </c>
      <c r="AS52" s="115">
        <v>1020</v>
      </c>
      <c r="AT52" s="6">
        <f t="shared" si="2"/>
        <v>306</v>
      </c>
      <c r="AU52" s="115">
        <v>0</v>
      </c>
      <c r="AV52" s="1">
        <f t="shared" si="7"/>
        <v>0</v>
      </c>
      <c r="AW52" s="115">
        <v>0</v>
      </c>
      <c r="AX52" s="1">
        <f t="shared" si="8"/>
        <v>0</v>
      </c>
      <c r="AY52" s="5" t="s">
        <v>573</v>
      </c>
      <c r="AZ52" s="1">
        <f>AH52*AY52</f>
        <v>0</v>
      </c>
      <c r="BA52" s="5" t="s">
        <v>573</v>
      </c>
      <c r="BB52" s="1">
        <f>AI52*BA52</f>
        <v>0</v>
      </c>
      <c r="BC52" s="5" t="s">
        <v>573</v>
      </c>
      <c r="BD52" s="1">
        <f>AJ52*BC52</f>
        <v>0</v>
      </c>
      <c r="BE52" s="150" t="s">
        <v>573</v>
      </c>
      <c r="BF52" s="1">
        <f t="shared" si="4"/>
        <v>0</v>
      </c>
      <c r="BG52" s="150">
        <v>1020</v>
      </c>
      <c r="BH52" s="1">
        <f t="shared" si="11"/>
        <v>306</v>
      </c>
      <c r="BI52" s="150" t="s">
        <v>573</v>
      </c>
      <c r="BJ52" s="1">
        <f t="shared" si="5"/>
        <v>0</v>
      </c>
      <c r="BK52" s="156">
        <v>1020</v>
      </c>
      <c r="BL52" s="1">
        <f t="shared" si="6"/>
        <v>306</v>
      </c>
      <c r="BM52" s="142" t="s">
        <v>693</v>
      </c>
      <c r="BN52" s="136" t="s">
        <v>492</v>
      </c>
      <c r="BO52" s="139" t="s">
        <v>760</v>
      </c>
      <c r="BP52" s="137">
        <v>45747</v>
      </c>
    </row>
    <row r="53" spans="1:68" ht="15.75" customHeight="1">
      <c r="A53" s="109" t="s">
        <v>751</v>
      </c>
      <c r="B53" s="122" t="s">
        <v>184</v>
      </c>
      <c r="C53" s="301"/>
      <c r="D53" s="304"/>
      <c r="E53" s="304"/>
      <c r="F53" s="297"/>
      <c r="G53" s="78">
        <v>2023</v>
      </c>
      <c r="H53" s="105" t="s">
        <v>757</v>
      </c>
      <c r="I53" s="103" t="s">
        <v>196</v>
      </c>
      <c r="J53" s="102" t="s">
        <v>197</v>
      </c>
      <c r="K53" s="105" t="s">
        <v>330</v>
      </c>
      <c r="L53" s="105" t="s">
        <v>192</v>
      </c>
      <c r="M53" s="13" t="s">
        <v>193</v>
      </c>
      <c r="N53" s="13">
        <v>6.75</v>
      </c>
      <c r="O53" s="13">
        <v>6.75</v>
      </c>
      <c r="P53" s="13">
        <v>6.75</v>
      </c>
      <c r="Q53" s="13">
        <v>6.75</v>
      </c>
      <c r="R53" s="13">
        <v>6.75</v>
      </c>
      <c r="S53" s="13">
        <v>6.75</v>
      </c>
      <c r="T53" s="13">
        <v>6.75</v>
      </c>
      <c r="U53" s="13">
        <v>6.75</v>
      </c>
      <c r="V53" s="13">
        <v>6.75</v>
      </c>
      <c r="W53" s="13">
        <v>6.75</v>
      </c>
      <c r="X53" s="13">
        <v>6.75</v>
      </c>
      <c r="Y53" s="13">
        <v>6.75</v>
      </c>
      <c r="Z53" s="13">
        <v>6.75</v>
      </c>
      <c r="AA53" s="13">
        <v>6.75</v>
      </c>
      <c r="AB53" s="40">
        <v>0.3</v>
      </c>
      <c r="AC53" s="40">
        <v>0.3</v>
      </c>
      <c r="AD53" s="40">
        <v>0.3</v>
      </c>
      <c r="AE53" s="40">
        <v>0.3</v>
      </c>
      <c r="AF53" s="40">
        <v>0.3</v>
      </c>
      <c r="AG53" s="40">
        <v>0.3</v>
      </c>
      <c r="AH53" s="40">
        <v>0.3</v>
      </c>
      <c r="AI53" s="40">
        <v>0.3</v>
      </c>
      <c r="AJ53" s="40">
        <v>0.3</v>
      </c>
      <c r="AK53" s="40">
        <v>0.3</v>
      </c>
      <c r="AL53" s="40">
        <v>0.3</v>
      </c>
      <c r="AM53" s="40">
        <v>0.3</v>
      </c>
      <c r="AN53" s="40">
        <v>0.3</v>
      </c>
      <c r="AO53" s="116">
        <v>0</v>
      </c>
      <c r="AP53" s="6">
        <f t="shared" si="0"/>
        <v>0</v>
      </c>
      <c r="AQ53" s="115">
        <v>0</v>
      </c>
      <c r="AR53" s="6">
        <f>AD53*AQ53</f>
        <v>0</v>
      </c>
      <c r="AS53" s="115" t="s">
        <v>573</v>
      </c>
      <c r="AT53" s="6">
        <f t="shared" si="2"/>
        <v>0</v>
      </c>
      <c r="AU53" s="115">
        <v>0</v>
      </c>
      <c r="AV53" s="1">
        <f t="shared" si="7"/>
        <v>0</v>
      </c>
      <c r="AW53" s="115">
        <v>1020</v>
      </c>
      <c r="AX53" s="1">
        <f t="shared" si="8"/>
        <v>306</v>
      </c>
      <c r="AY53" s="5" t="s">
        <v>573</v>
      </c>
      <c r="AZ53" s="1">
        <f>AH53*AY53</f>
        <v>0</v>
      </c>
      <c r="BA53" s="5" t="s">
        <v>573</v>
      </c>
      <c r="BB53" s="1">
        <f>AI53*BA53</f>
        <v>0</v>
      </c>
      <c r="BC53" s="5" t="s">
        <v>573</v>
      </c>
      <c r="BD53" s="1">
        <f>AJ53*BC53</f>
        <v>0</v>
      </c>
      <c r="BE53" s="150" t="s">
        <v>573</v>
      </c>
      <c r="BF53" s="1">
        <f t="shared" si="4"/>
        <v>0</v>
      </c>
      <c r="BG53" s="150" t="s">
        <v>573</v>
      </c>
      <c r="BH53" s="1">
        <f t="shared" si="11"/>
        <v>0</v>
      </c>
      <c r="BI53" s="150" t="s">
        <v>573</v>
      </c>
      <c r="BJ53" s="1">
        <f t="shared" si="5"/>
        <v>0</v>
      </c>
      <c r="BK53" s="156" t="s">
        <v>573</v>
      </c>
      <c r="BL53" s="1">
        <f t="shared" si="6"/>
        <v>0</v>
      </c>
      <c r="BM53" s="142" t="s">
        <v>693</v>
      </c>
      <c r="BN53" s="136" t="s">
        <v>759</v>
      </c>
      <c r="BO53" s="139" t="s">
        <v>760</v>
      </c>
      <c r="BP53" s="137"/>
    </row>
    <row r="54" spans="1:68" ht="15.75" customHeight="1">
      <c r="A54" s="109" t="s">
        <v>751</v>
      </c>
      <c r="B54" s="122" t="s">
        <v>184</v>
      </c>
      <c r="C54" s="301"/>
      <c r="D54" s="304"/>
      <c r="E54" s="304"/>
      <c r="F54" s="297"/>
      <c r="G54" s="78">
        <v>2023</v>
      </c>
      <c r="H54" s="105" t="s">
        <v>735</v>
      </c>
      <c r="I54" s="103" t="s">
        <v>196</v>
      </c>
      <c r="J54" s="102" t="s">
        <v>197</v>
      </c>
      <c r="K54" s="105" t="s">
        <v>753</v>
      </c>
      <c r="L54" s="105" t="s">
        <v>192</v>
      </c>
      <c r="M54" s="13" t="s">
        <v>193</v>
      </c>
      <c r="N54" s="13">
        <v>5.51</v>
      </c>
      <c r="O54" s="13">
        <v>5.51</v>
      </c>
      <c r="P54" s="13">
        <v>5.51</v>
      </c>
      <c r="Q54" s="13">
        <v>5.51</v>
      </c>
      <c r="R54" s="13">
        <v>5.51</v>
      </c>
      <c r="S54" s="13">
        <v>5.51</v>
      </c>
      <c r="T54" s="13">
        <v>5.51</v>
      </c>
      <c r="U54" s="13">
        <v>5.51</v>
      </c>
      <c r="V54" s="13">
        <v>5.51</v>
      </c>
      <c r="W54" s="13">
        <v>5.51</v>
      </c>
      <c r="X54" s="13">
        <v>5.51</v>
      </c>
      <c r="Y54" s="13">
        <v>5.51</v>
      </c>
      <c r="Z54" s="13">
        <v>5.51</v>
      </c>
      <c r="AA54" s="13">
        <v>5.51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>
        <v>0</v>
      </c>
      <c r="AN54" s="40">
        <v>0</v>
      </c>
      <c r="AO54" s="116">
        <v>0</v>
      </c>
      <c r="AP54" s="6">
        <f t="shared" si="0"/>
        <v>0</v>
      </c>
      <c r="AQ54" s="115">
        <v>0</v>
      </c>
      <c r="AR54" s="6">
        <f t="shared" si="1"/>
        <v>0</v>
      </c>
      <c r="AS54" s="115" t="s">
        <v>573</v>
      </c>
      <c r="AT54" s="6">
        <f t="shared" si="2"/>
        <v>0</v>
      </c>
      <c r="AU54" s="115">
        <v>0</v>
      </c>
      <c r="AV54" s="1">
        <f t="shared" si="7"/>
        <v>0</v>
      </c>
      <c r="AW54" s="115">
        <v>3640</v>
      </c>
      <c r="AX54" s="1">
        <f t="shared" si="8"/>
        <v>0</v>
      </c>
      <c r="AY54" s="5">
        <v>3640</v>
      </c>
      <c r="AZ54" s="1">
        <f t="shared" si="9"/>
        <v>0</v>
      </c>
      <c r="BA54" s="5" t="s">
        <v>573</v>
      </c>
      <c r="BB54" s="1">
        <f>AI54*BA54</f>
        <v>0</v>
      </c>
      <c r="BC54" s="5" t="s">
        <v>573</v>
      </c>
      <c r="BD54" s="1">
        <f t="shared" si="3"/>
        <v>0</v>
      </c>
      <c r="BE54" s="150" t="s">
        <v>573</v>
      </c>
      <c r="BF54" s="1">
        <f t="shared" si="4"/>
        <v>0</v>
      </c>
      <c r="BG54" s="150" t="s">
        <v>573</v>
      </c>
      <c r="BH54" s="1">
        <f t="shared" si="11"/>
        <v>0</v>
      </c>
      <c r="BI54" s="150" t="s">
        <v>573</v>
      </c>
      <c r="BJ54" s="1">
        <f t="shared" si="5"/>
        <v>0</v>
      </c>
      <c r="BK54" s="156" t="s">
        <v>573</v>
      </c>
      <c r="BL54" s="1">
        <f t="shared" si="6"/>
        <v>0</v>
      </c>
      <c r="BM54" s="142" t="s">
        <v>602</v>
      </c>
      <c r="BN54" s="136" t="s">
        <v>17</v>
      </c>
      <c r="BO54" s="139" t="s">
        <v>1314</v>
      </c>
      <c r="BP54" s="137">
        <v>46053</v>
      </c>
    </row>
    <row r="55" spans="1:68" ht="15.75" customHeight="1">
      <c r="A55" s="109" t="s">
        <v>751</v>
      </c>
      <c r="B55" s="122" t="s">
        <v>184</v>
      </c>
      <c r="C55" s="301"/>
      <c r="D55" s="304"/>
      <c r="E55" s="304"/>
      <c r="F55" s="297"/>
      <c r="G55" s="78">
        <v>2023</v>
      </c>
      <c r="H55" s="105" t="s">
        <v>735</v>
      </c>
      <c r="I55" s="103" t="s">
        <v>196</v>
      </c>
      <c r="J55" s="102" t="s">
        <v>197</v>
      </c>
      <c r="K55" s="105" t="s">
        <v>753</v>
      </c>
      <c r="L55" s="105" t="s">
        <v>192</v>
      </c>
      <c r="M55" s="13" t="s">
        <v>193</v>
      </c>
      <c r="N55" s="13">
        <v>5.18</v>
      </c>
      <c r="O55" s="13">
        <v>5.18</v>
      </c>
      <c r="P55" s="13">
        <v>5.18</v>
      </c>
      <c r="Q55" s="13">
        <v>5.18</v>
      </c>
      <c r="R55" s="13">
        <v>5.18</v>
      </c>
      <c r="S55" s="13">
        <v>5.18</v>
      </c>
      <c r="T55" s="13">
        <v>5.18</v>
      </c>
      <c r="U55" s="13">
        <v>5.18</v>
      </c>
      <c r="V55" s="13">
        <v>5.18</v>
      </c>
      <c r="W55" s="13">
        <v>5.18</v>
      </c>
      <c r="X55" s="13">
        <v>5.18</v>
      </c>
      <c r="Y55" s="13">
        <v>5.18</v>
      </c>
      <c r="Z55" s="13">
        <v>5.18</v>
      </c>
      <c r="AA55" s="13">
        <v>5.18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0</v>
      </c>
      <c r="AO55" s="116">
        <v>0</v>
      </c>
      <c r="AP55" s="6">
        <f t="shared" si="0"/>
        <v>0</v>
      </c>
      <c r="AQ55" s="115">
        <v>0</v>
      </c>
      <c r="AR55" s="6">
        <f t="shared" si="1"/>
        <v>0</v>
      </c>
      <c r="AS55" s="115" t="s">
        <v>573</v>
      </c>
      <c r="AT55" s="6">
        <f t="shared" si="2"/>
        <v>0</v>
      </c>
      <c r="AU55" s="115">
        <v>0</v>
      </c>
      <c r="AV55" s="1">
        <f t="shared" si="7"/>
        <v>0</v>
      </c>
      <c r="AW55" s="115">
        <v>0</v>
      </c>
      <c r="AX55" s="1">
        <f t="shared" si="8"/>
        <v>0</v>
      </c>
      <c r="AY55" s="5">
        <v>10920</v>
      </c>
      <c r="AZ55" s="1">
        <f t="shared" si="9"/>
        <v>0</v>
      </c>
      <c r="BA55" s="5" t="s">
        <v>573</v>
      </c>
      <c r="BB55" s="1">
        <f>AI55*BA55</f>
        <v>0</v>
      </c>
      <c r="BC55" s="5">
        <v>9040</v>
      </c>
      <c r="BD55" s="1">
        <f t="shared" si="3"/>
        <v>0</v>
      </c>
      <c r="BE55" s="150" t="s">
        <v>573</v>
      </c>
      <c r="BF55" s="1">
        <f t="shared" si="4"/>
        <v>0</v>
      </c>
      <c r="BG55" s="150">
        <v>7280</v>
      </c>
      <c r="BH55" s="1">
        <f t="shared" si="11"/>
        <v>0</v>
      </c>
      <c r="BI55" s="150" t="s">
        <v>573</v>
      </c>
      <c r="BJ55" s="1">
        <f t="shared" si="5"/>
        <v>0</v>
      </c>
      <c r="BK55" s="156">
        <v>7280</v>
      </c>
      <c r="BL55" s="1">
        <f t="shared" si="6"/>
        <v>0</v>
      </c>
      <c r="BM55" s="142" t="s">
        <v>601</v>
      </c>
      <c r="BN55" s="136" t="s">
        <v>494</v>
      </c>
      <c r="BO55" s="139" t="s">
        <v>763</v>
      </c>
      <c r="BP55" s="137">
        <v>46053</v>
      </c>
    </row>
    <row r="56" spans="1:68" ht="15.75" customHeight="1">
      <c r="A56" s="109" t="s">
        <v>751</v>
      </c>
      <c r="B56" s="122" t="s">
        <v>184</v>
      </c>
      <c r="C56" s="301"/>
      <c r="D56" s="304"/>
      <c r="E56" s="304"/>
      <c r="F56" s="297"/>
      <c r="G56" s="78">
        <v>2023</v>
      </c>
      <c r="H56" s="105" t="s">
        <v>735</v>
      </c>
      <c r="I56" s="103" t="s">
        <v>196</v>
      </c>
      <c r="J56" s="103" t="s">
        <v>197</v>
      </c>
      <c r="K56" s="105" t="s">
        <v>753</v>
      </c>
      <c r="L56" s="105" t="s">
        <v>192</v>
      </c>
      <c r="M56" s="13" t="s">
        <v>193</v>
      </c>
      <c r="N56" s="13">
        <v>5.45</v>
      </c>
      <c r="O56" s="13">
        <v>5.45</v>
      </c>
      <c r="P56" s="13">
        <v>5.45</v>
      </c>
      <c r="Q56" s="13">
        <v>5.45</v>
      </c>
      <c r="R56" s="13">
        <v>5.45</v>
      </c>
      <c r="S56" s="13">
        <v>5.45</v>
      </c>
      <c r="T56" s="13">
        <v>5.45</v>
      </c>
      <c r="U56" s="13">
        <v>5.45</v>
      </c>
      <c r="V56" s="13">
        <v>5.45</v>
      </c>
      <c r="W56" s="13">
        <v>5.45</v>
      </c>
      <c r="X56" s="13">
        <v>5.45</v>
      </c>
      <c r="Y56" s="13">
        <v>5.45</v>
      </c>
      <c r="Z56" s="13">
        <v>5.45</v>
      </c>
      <c r="AA56" s="13">
        <v>5.45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116">
        <v>0</v>
      </c>
      <c r="AP56" s="6">
        <f t="shared" si="0"/>
        <v>0</v>
      </c>
      <c r="AQ56" s="115">
        <v>0</v>
      </c>
      <c r="AR56" s="6">
        <f t="shared" si="1"/>
        <v>0</v>
      </c>
      <c r="AS56" s="115" t="s">
        <v>573</v>
      </c>
      <c r="AT56" s="6">
        <f t="shared" si="2"/>
        <v>0</v>
      </c>
      <c r="AU56" s="115">
        <v>0</v>
      </c>
      <c r="AV56" s="1">
        <f t="shared" si="7"/>
        <v>0</v>
      </c>
      <c r="AW56" s="115">
        <v>0</v>
      </c>
      <c r="AX56" s="1">
        <f t="shared" si="8"/>
        <v>0</v>
      </c>
      <c r="AY56" s="5" t="s">
        <v>573</v>
      </c>
      <c r="AZ56" s="1">
        <f t="shared" si="9"/>
        <v>0</v>
      </c>
      <c r="BA56" s="5" t="s">
        <v>573</v>
      </c>
      <c r="BB56" s="1">
        <f t="shared" si="10"/>
        <v>0</v>
      </c>
      <c r="BC56" s="5" t="s">
        <v>573</v>
      </c>
      <c r="BD56" s="1">
        <f t="shared" si="3"/>
        <v>0</v>
      </c>
      <c r="BE56" s="150">
        <v>3640</v>
      </c>
      <c r="BF56" s="1">
        <f t="shared" si="4"/>
        <v>0</v>
      </c>
      <c r="BG56" s="150" t="s">
        <v>573</v>
      </c>
      <c r="BH56" s="1">
        <f t="shared" si="11"/>
        <v>0</v>
      </c>
      <c r="BI56" s="150">
        <v>3640</v>
      </c>
      <c r="BJ56" s="1">
        <f t="shared" si="5"/>
        <v>0</v>
      </c>
      <c r="BK56" s="156">
        <v>3640</v>
      </c>
      <c r="BL56" s="1">
        <f t="shared" si="6"/>
        <v>0</v>
      </c>
      <c r="BM56" s="141" t="s">
        <v>604</v>
      </c>
      <c r="BN56" s="136" t="s">
        <v>17</v>
      </c>
      <c r="BO56" s="139" t="s">
        <v>754</v>
      </c>
      <c r="BP56" s="137">
        <v>46053</v>
      </c>
    </row>
    <row r="57" spans="1:68" ht="15.75" customHeight="1">
      <c r="A57" s="109" t="s">
        <v>751</v>
      </c>
      <c r="B57" s="122" t="s">
        <v>184</v>
      </c>
      <c r="C57" s="301"/>
      <c r="D57" s="304"/>
      <c r="E57" s="304"/>
      <c r="F57" s="297"/>
      <c r="G57" s="78">
        <v>2023</v>
      </c>
      <c r="H57" s="105" t="str">
        <f>_xlfn.XLOOKUP(BM57,'[5]Package breakdown0503'!$F:$F,'[5]Package breakdown0503'!$B:$B)</f>
        <v>Sochi</v>
      </c>
      <c r="I57" s="103" t="s">
        <v>196</v>
      </c>
      <c r="J57" s="102" t="s">
        <v>197</v>
      </c>
      <c r="K57" s="105" t="s">
        <v>753</v>
      </c>
      <c r="L57" s="105" t="s">
        <v>192</v>
      </c>
      <c r="M57" s="13" t="s">
        <v>193</v>
      </c>
      <c r="N57" s="13">
        <v>5</v>
      </c>
      <c r="O57" s="13">
        <v>5</v>
      </c>
      <c r="P57" s="13">
        <v>5</v>
      </c>
      <c r="Q57" s="13">
        <v>5</v>
      </c>
      <c r="R57" s="13">
        <v>5</v>
      </c>
      <c r="S57" s="13">
        <v>5</v>
      </c>
      <c r="T57" s="13">
        <v>5</v>
      </c>
      <c r="U57" s="13">
        <v>5</v>
      </c>
      <c r="V57" s="13">
        <v>5</v>
      </c>
      <c r="W57" s="13">
        <v>5</v>
      </c>
      <c r="X57" s="13">
        <v>5</v>
      </c>
      <c r="Y57" s="13">
        <v>5</v>
      </c>
      <c r="Z57" s="13">
        <v>5</v>
      </c>
      <c r="AA57" s="13">
        <v>5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116">
        <v>0</v>
      </c>
      <c r="AP57" s="6">
        <f t="shared" si="0"/>
        <v>0</v>
      </c>
      <c r="AQ57" s="115">
        <v>0</v>
      </c>
      <c r="AR57" s="6">
        <f t="shared" si="1"/>
        <v>0</v>
      </c>
      <c r="AS57" s="115" t="s">
        <v>573</v>
      </c>
      <c r="AT57" s="6">
        <f t="shared" si="2"/>
        <v>0</v>
      </c>
      <c r="AU57" s="115">
        <v>0</v>
      </c>
      <c r="AV57" s="1">
        <f t="shared" si="7"/>
        <v>0</v>
      </c>
      <c r="AW57" s="115">
        <v>0</v>
      </c>
      <c r="AX57" s="1">
        <f t="shared" si="8"/>
        <v>0</v>
      </c>
      <c r="AY57" s="5" t="s">
        <v>573</v>
      </c>
      <c r="AZ57" s="1">
        <f t="shared" si="9"/>
        <v>0</v>
      </c>
      <c r="BA57" s="5" t="s">
        <v>573</v>
      </c>
      <c r="BB57" s="1">
        <f t="shared" si="10"/>
        <v>0</v>
      </c>
      <c r="BC57" s="5" t="s">
        <v>573</v>
      </c>
      <c r="BD57" s="1">
        <f t="shared" si="3"/>
        <v>0</v>
      </c>
      <c r="BE57" s="150" t="s">
        <v>573</v>
      </c>
      <c r="BF57" s="1">
        <f t="shared" si="4"/>
        <v>0</v>
      </c>
      <c r="BG57" s="150" t="s">
        <v>573</v>
      </c>
      <c r="BH57" s="1">
        <f t="shared" si="11"/>
        <v>0</v>
      </c>
      <c r="BI57" s="150" t="s">
        <v>573</v>
      </c>
      <c r="BJ57" s="1">
        <f t="shared" si="5"/>
        <v>0</v>
      </c>
      <c r="BK57" s="156" t="s">
        <v>573</v>
      </c>
      <c r="BL57" s="1">
        <f t="shared" si="6"/>
        <v>0</v>
      </c>
      <c r="BM57" s="141" t="s">
        <v>1323</v>
      </c>
      <c r="BN57" s="136" t="s">
        <v>495</v>
      </c>
      <c r="BO57" s="139" t="s">
        <v>1322</v>
      </c>
      <c r="BP57" s="137">
        <v>46053</v>
      </c>
    </row>
    <row r="58" spans="1:68" ht="15.75" customHeight="1">
      <c r="A58" s="109" t="s">
        <v>751</v>
      </c>
      <c r="B58" s="122" t="s">
        <v>184</v>
      </c>
      <c r="C58" s="301"/>
      <c r="D58" s="304"/>
      <c r="E58" s="304"/>
      <c r="F58" s="297"/>
      <c r="G58" s="78">
        <v>2022</v>
      </c>
      <c r="H58" s="105" t="s">
        <v>731</v>
      </c>
      <c r="I58" s="103" t="s">
        <v>196</v>
      </c>
      <c r="J58" s="102" t="s">
        <v>197</v>
      </c>
      <c r="K58" s="105" t="s">
        <v>221</v>
      </c>
      <c r="L58" s="105" t="s">
        <v>192</v>
      </c>
      <c r="M58" s="13" t="s">
        <v>193</v>
      </c>
      <c r="N58" s="13">
        <v>24.16</v>
      </c>
      <c r="O58" s="13">
        <v>24.31</v>
      </c>
      <c r="P58" s="13">
        <v>24.31</v>
      </c>
      <c r="Q58" s="13">
        <v>24.31</v>
      </c>
      <c r="R58" s="13">
        <v>24.31</v>
      </c>
      <c r="S58" s="13">
        <v>24.31</v>
      </c>
      <c r="T58" s="13">
        <v>24.31</v>
      </c>
      <c r="U58" s="13">
        <v>24.31</v>
      </c>
      <c r="V58" s="13">
        <v>24.31</v>
      </c>
      <c r="W58" s="13">
        <v>24.31</v>
      </c>
      <c r="X58" s="13">
        <v>24.31</v>
      </c>
      <c r="Y58" s="13">
        <v>24.31</v>
      </c>
      <c r="Z58" s="13">
        <v>24.21</v>
      </c>
      <c r="AA58" s="13">
        <v>24.21</v>
      </c>
      <c r="AB58" s="40">
        <v>0.48</v>
      </c>
      <c r="AC58" s="40">
        <v>0.48</v>
      </c>
      <c r="AD58" s="40">
        <v>0.48</v>
      </c>
      <c r="AE58" s="40">
        <v>0.48</v>
      </c>
      <c r="AF58" s="40">
        <v>0.48</v>
      </c>
      <c r="AG58" s="40">
        <v>0.48</v>
      </c>
      <c r="AH58" s="40">
        <v>0.48</v>
      </c>
      <c r="AI58" s="40">
        <v>0.48</v>
      </c>
      <c r="AJ58" s="40">
        <v>0.48</v>
      </c>
      <c r="AK58" s="40">
        <v>0.48</v>
      </c>
      <c r="AL58" s="40">
        <v>0.48</v>
      </c>
      <c r="AM58" s="40">
        <v>0.83</v>
      </c>
      <c r="AN58" s="40">
        <v>0.83</v>
      </c>
      <c r="AO58" s="116">
        <v>0</v>
      </c>
      <c r="AP58" s="6">
        <f t="shared" si="0"/>
        <v>0</v>
      </c>
      <c r="AQ58" s="115">
        <v>0</v>
      </c>
      <c r="AR58" s="6">
        <f t="shared" si="1"/>
        <v>0</v>
      </c>
      <c r="AS58" s="115" t="s">
        <v>573</v>
      </c>
      <c r="AT58" s="6">
        <f t="shared" si="2"/>
        <v>0</v>
      </c>
      <c r="AU58" s="115">
        <v>0</v>
      </c>
      <c r="AV58" s="1">
        <f t="shared" si="7"/>
        <v>0</v>
      </c>
      <c r="AW58" s="115">
        <v>0</v>
      </c>
      <c r="AX58" s="1">
        <f t="shared" si="8"/>
        <v>0</v>
      </c>
      <c r="AY58" s="5" t="s">
        <v>573</v>
      </c>
      <c r="AZ58" s="1">
        <f t="shared" si="9"/>
        <v>0</v>
      </c>
      <c r="BA58" s="5" t="s">
        <v>573</v>
      </c>
      <c r="BB58" s="1">
        <f t="shared" si="10"/>
        <v>0</v>
      </c>
      <c r="BC58" s="5" t="s">
        <v>573</v>
      </c>
      <c r="BD58" s="1">
        <f t="shared" si="3"/>
        <v>0</v>
      </c>
      <c r="BE58" s="150" t="s">
        <v>573</v>
      </c>
      <c r="BF58" s="1">
        <f t="shared" si="4"/>
        <v>0</v>
      </c>
      <c r="BG58" s="150">
        <v>1200</v>
      </c>
      <c r="BH58" s="1">
        <f t="shared" si="11"/>
        <v>576</v>
      </c>
      <c r="BI58" s="150" t="s">
        <v>573</v>
      </c>
      <c r="BJ58" s="1">
        <f t="shared" si="5"/>
        <v>0</v>
      </c>
      <c r="BK58" s="156" t="s">
        <v>573</v>
      </c>
      <c r="BL58" s="1">
        <f t="shared" si="6"/>
        <v>0</v>
      </c>
      <c r="BM58" s="141" t="s">
        <v>594</v>
      </c>
      <c r="BN58" s="136" t="s">
        <v>17</v>
      </c>
      <c r="BO58" s="139" t="s">
        <v>1314</v>
      </c>
      <c r="BP58" s="137">
        <v>46022</v>
      </c>
    </row>
    <row r="59" spans="1:68" ht="15.75" customHeight="1">
      <c r="A59" s="109" t="s">
        <v>751</v>
      </c>
      <c r="B59" s="122" t="s">
        <v>184</v>
      </c>
      <c r="C59" s="301"/>
      <c r="D59" s="304"/>
      <c r="E59" s="304"/>
      <c r="F59" s="297"/>
      <c r="G59" s="78">
        <v>2023</v>
      </c>
      <c r="H59" s="105" t="s">
        <v>731</v>
      </c>
      <c r="I59" s="103" t="s">
        <v>196</v>
      </c>
      <c r="J59" s="102" t="s">
        <v>197</v>
      </c>
      <c r="K59" s="105" t="s">
        <v>221</v>
      </c>
      <c r="L59" s="105" t="s">
        <v>192</v>
      </c>
      <c r="M59" s="13" t="s">
        <v>193</v>
      </c>
      <c r="N59" s="13">
        <v>24.16</v>
      </c>
      <c r="O59" s="13">
        <v>24.31</v>
      </c>
      <c r="P59" s="13">
        <v>24.31</v>
      </c>
      <c r="Q59" s="13">
        <v>24.31</v>
      </c>
      <c r="R59" s="13">
        <v>24.31</v>
      </c>
      <c r="S59" s="13">
        <v>24.31</v>
      </c>
      <c r="T59" s="13">
        <v>24.31</v>
      </c>
      <c r="U59" s="13">
        <v>24.31</v>
      </c>
      <c r="V59" s="13">
        <v>24.31</v>
      </c>
      <c r="W59" s="13">
        <v>24.31</v>
      </c>
      <c r="X59" s="13">
        <v>24.31</v>
      </c>
      <c r="Y59" s="13">
        <v>24.31</v>
      </c>
      <c r="Z59" s="13">
        <v>24.21</v>
      </c>
      <c r="AA59" s="13">
        <v>24.21</v>
      </c>
      <c r="AB59" s="40">
        <v>0.48</v>
      </c>
      <c r="AC59" s="40">
        <v>0.48</v>
      </c>
      <c r="AD59" s="40">
        <v>0.48</v>
      </c>
      <c r="AE59" s="40">
        <v>0.48</v>
      </c>
      <c r="AF59" s="40">
        <v>0.48</v>
      </c>
      <c r="AG59" s="40">
        <v>0.48</v>
      </c>
      <c r="AH59" s="40">
        <v>0.48</v>
      </c>
      <c r="AI59" s="40">
        <v>0.48</v>
      </c>
      <c r="AJ59" s="40">
        <v>0.48</v>
      </c>
      <c r="AK59" s="40">
        <v>0.48</v>
      </c>
      <c r="AL59" s="40">
        <v>0.48</v>
      </c>
      <c r="AM59" s="40">
        <v>0.83</v>
      </c>
      <c r="AN59" s="40">
        <v>0.83</v>
      </c>
      <c r="AO59" s="116">
        <v>1200</v>
      </c>
      <c r="AP59" s="6">
        <f t="shared" si="0"/>
        <v>576</v>
      </c>
      <c r="AQ59" s="115">
        <v>0</v>
      </c>
      <c r="AR59" s="6">
        <f t="shared" si="1"/>
        <v>0</v>
      </c>
      <c r="AS59" s="115">
        <v>1200</v>
      </c>
      <c r="AT59" s="6">
        <f t="shared" si="2"/>
        <v>576</v>
      </c>
      <c r="AU59" s="115">
        <v>0</v>
      </c>
      <c r="AV59" s="1">
        <f t="shared" si="7"/>
        <v>0</v>
      </c>
      <c r="AW59" s="115">
        <v>0</v>
      </c>
      <c r="AX59" s="1">
        <f t="shared" si="8"/>
        <v>0</v>
      </c>
      <c r="AY59" s="5" t="s">
        <v>573</v>
      </c>
      <c r="AZ59" s="1">
        <f t="shared" si="9"/>
        <v>0</v>
      </c>
      <c r="BA59" s="5">
        <v>1200</v>
      </c>
      <c r="BB59" s="1">
        <f t="shared" si="10"/>
        <v>576</v>
      </c>
      <c r="BC59" s="5" t="s">
        <v>573</v>
      </c>
      <c r="BD59" s="1">
        <f t="shared" si="3"/>
        <v>0</v>
      </c>
      <c r="BE59" s="150" t="s">
        <v>573</v>
      </c>
      <c r="BF59" s="1">
        <f t="shared" si="4"/>
        <v>0</v>
      </c>
      <c r="BG59" s="150" t="s">
        <v>573</v>
      </c>
      <c r="BH59" s="1">
        <f t="shared" si="11"/>
        <v>0</v>
      </c>
      <c r="BI59" s="150">
        <v>1200</v>
      </c>
      <c r="BJ59" s="1">
        <f t="shared" si="5"/>
        <v>996</v>
      </c>
      <c r="BK59" s="156" t="s">
        <v>573</v>
      </c>
      <c r="BL59" s="1">
        <f t="shared" si="6"/>
        <v>0</v>
      </c>
      <c r="BM59" s="141" t="s">
        <v>595</v>
      </c>
      <c r="BN59" s="136" t="s">
        <v>17</v>
      </c>
      <c r="BO59" s="139" t="s">
        <v>754</v>
      </c>
      <c r="BP59" s="137">
        <v>46022</v>
      </c>
    </row>
    <row r="60" spans="1:68" ht="15.75" customHeight="1">
      <c r="A60" s="109" t="s">
        <v>751</v>
      </c>
      <c r="B60" s="122" t="s">
        <v>184</v>
      </c>
      <c r="C60" s="301"/>
      <c r="D60" s="304"/>
      <c r="E60" s="304"/>
      <c r="F60" s="297"/>
      <c r="G60" s="78">
        <v>2023</v>
      </c>
      <c r="H60" s="105" t="str">
        <f>_xlfn.XLOOKUP(BM60,'[5]Package breakdown0503'!$F:$F,'[5]Package breakdown0503'!$B:$B)</f>
        <v>Mickey</v>
      </c>
      <c r="I60" s="103" t="s">
        <v>196</v>
      </c>
      <c r="J60" s="102" t="s">
        <v>197</v>
      </c>
      <c r="K60" s="105" t="s">
        <v>330</v>
      </c>
      <c r="L60" s="105" t="s">
        <v>192</v>
      </c>
      <c r="M60" s="13" t="s">
        <v>193</v>
      </c>
      <c r="N60" s="13">
        <v>25.11</v>
      </c>
      <c r="O60" s="13">
        <v>25.26</v>
      </c>
      <c r="P60" s="13">
        <v>25.26</v>
      </c>
      <c r="Q60" s="13">
        <v>25.26</v>
      </c>
      <c r="R60" s="13">
        <v>25.26</v>
      </c>
      <c r="S60" s="13">
        <v>25.26</v>
      </c>
      <c r="T60" s="13">
        <v>25.26</v>
      </c>
      <c r="U60" s="13">
        <v>25.26</v>
      </c>
      <c r="V60" s="13">
        <v>25.26</v>
      </c>
      <c r="W60" s="13">
        <v>25.26</v>
      </c>
      <c r="X60" s="13">
        <v>25.26</v>
      </c>
      <c r="Y60" s="13">
        <v>25.26</v>
      </c>
      <c r="Z60" s="13">
        <v>25.16</v>
      </c>
      <c r="AA60" s="13">
        <v>25.16</v>
      </c>
      <c r="AB60" s="40">
        <v>0.48</v>
      </c>
      <c r="AC60" s="40">
        <v>0.48</v>
      </c>
      <c r="AD60" s="40">
        <v>0.48</v>
      </c>
      <c r="AE60" s="40">
        <v>0.48</v>
      </c>
      <c r="AF60" s="40">
        <v>0.48</v>
      </c>
      <c r="AG60" s="40">
        <v>0.48</v>
      </c>
      <c r="AH60" s="40">
        <v>0.48</v>
      </c>
      <c r="AI60" s="40">
        <v>0.48</v>
      </c>
      <c r="AJ60" s="40">
        <v>0.48</v>
      </c>
      <c r="AK60" s="40">
        <v>0.48</v>
      </c>
      <c r="AL60" s="40">
        <v>0.48</v>
      </c>
      <c r="AM60" s="40">
        <v>0.83</v>
      </c>
      <c r="AN60" s="40">
        <v>0.83</v>
      </c>
      <c r="AO60" s="116">
        <v>0</v>
      </c>
      <c r="AP60" s="6">
        <f t="shared" si="0"/>
        <v>0</v>
      </c>
      <c r="AQ60" s="115">
        <v>0</v>
      </c>
      <c r="AR60" s="6">
        <f t="shared" si="1"/>
        <v>0</v>
      </c>
      <c r="AS60" s="115" t="s">
        <v>573</v>
      </c>
      <c r="AT60" s="6">
        <f t="shared" si="2"/>
        <v>0</v>
      </c>
      <c r="AU60" s="115">
        <v>0</v>
      </c>
      <c r="AV60" s="1">
        <f t="shared" si="7"/>
        <v>0</v>
      </c>
      <c r="AW60" s="115">
        <v>0</v>
      </c>
      <c r="AX60" s="1">
        <f t="shared" si="8"/>
        <v>0</v>
      </c>
      <c r="AY60" s="5" t="s">
        <v>573</v>
      </c>
      <c r="AZ60" s="1">
        <f t="shared" si="9"/>
        <v>0</v>
      </c>
      <c r="BA60" s="5" t="s">
        <v>573</v>
      </c>
      <c r="BB60" s="1">
        <f t="shared" si="10"/>
        <v>0</v>
      </c>
      <c r="BC60" s="5" t="s">
        <v>573</v>
      </c>
      <c r="BD60" s="1">
        <f t="shared" si="3"/>
        <v>0</v>
      </c>
      <c r="BE60" s="150" t="s">
        <v>573</v>
      </c>
      <c r="BF60" s="1">
        <f t="shared" si="4"/>
        <v>0</v>
      </c>
      <c r="BG60" s="150" t="s">
        <v>573</v>
      </c>
      <c r="BH60" s="1">
        <f t="shared" si="11"/>
        <v>0</v>
      </c>
      <c r="BI60" s="150" t="s">
        <v>573</v>
      </c>
      <c r="BJ60" s="1">
        <f t="shared" si="5"/>
        <v>0</v>
      </c>
      <c r="BK60" s="156" t="s">
        <v>573</v>
      </c>
      <c r="BL60" s="1">
        <f t="shared" si="6"/>
        <v>0</v>
      </c>
      <c r="BM60" s="141" t="s">
        <v>596</v>
      </c>
      <c r="BN60" s="136" t="s">
        <v>17</v>
      </c>
      <c r="BO60" s="139" t="s">
        <v>1314</v>
      </c>
      <c r="BP60" s="137">
        <v>46022</v>
      </c>
    </row>
    <row r="61" spans="1:68" ht="15.75" customHeight="1">
      <c r="A61" s="109" t="s">
        <v>751</v>
      </c>
      <c r="B61" s="122" t="s">
        <v>184</v>
      </c>
      <c r="C61" s="301"/>
      <c r="D61" s="304"/>
      <c r="E61" s="304"/>
      <c r="F61" s="297"/>
      <c r="G61" s="78">
        <v>2023</v>
      </c>
      <c r="H61" s="105" t="s">
        <v>731</v>
      </c>
      <c r="I61" s="103" t="s">
        <v>196</v>
      </c>
      <c r="J61" s="102" t="s">
        <v>197</v>
      </c>
      <c r="K61" s="105" t="s">
        <v>330</v>
      </c>
      <c r="L61" s="105" t="s">
        <v>192</v>
      </c>
      <c r="M61" s="13" t="s">
        <v>193</v>
      </c>
      <c r="N61" s="13">
        <v>25.11</v>
      </c>
      <c r="O61" s="13">
        <v>25.26</v>
      </c>
      <c r="P61" s="13">
        <v>25.26</v>
      </c>
      <c r="Q61" s="13">
        <v>25.26</v>
      </c>
      <c r="R61" s="13">
        <v>25.26</v>
      </c>
      <c r="S61" s="13">
        <v>25.26</v>
      </c>
      <c r="T61" s="13">
        <v>25.26</v>
      </c>
      <c r="U61" s="13">
        <v>25.26</v>
      </c>
      <c r="V61" s="13">
        <v>25.26</v>
      </c>
      <c r="W61" s="13">
        <v>25.26</v>
      </c>
      <c r="X61" s="13">
        <v>25.26</v>
      </c>
      <c r="Y61" s="13">
        <v>25.26</v>
      </c>
      <c r="Z61" s="13">
        <v>25.16</v>
      </c>
      <c r="AA61" s="13">
        <v>25.16</v>
      </c>
      <c r="AB61" s="40">
        <v>0.48</v>
      </c>
      <c r="AC61" s="40">
        <v>0.48</v>
      </c>
      <c r="AD61" s="40">
        <v>0.48</v>
      </c>
      <c r="AE61" s="40">
        <v>0.48</v>
      </c>
      <c r="AF61" s="40">
        <v>0.48</v>
      </c>
      <c r="AG61" s="40">
        <v>0.48</v>
      </c>
      <c r="AH61" s="40">
        <v>0.48</v>
      </c>
      <c r="AI61" s="40">
        <v>0.48</v>
      </c>
      <c r="AJ61" s="40">
        <v>0.48</v>
      </c>
      <c r="AK61" s="40">
        <v>0.48</v>
      </c>
      <c r="AL61" s="40">
        <v>0.48</v>
      </c>
      <c r="AM61" s="40">
        <v>0.83</v>
      </c>
      <c r="AN61" s="40">
        <v>0.83</v>
      </c>
      <c r="AO61" s="116">
        <v>1200</v>
      </c>
      <c r="AP61" s="6">
        <f t="shared" si="0"/>
        <v>576</v>
      </c>
      <c r="AQ61" s="115">
        <v>0</v>
      </c>
      <c r="AR61" s="6">
        <f t="shared" si="1"/>
        <v>0</v>
      </c>
      <c r="AS61" s="115">
        <v>1200</v>
      </c>
      <c r="AT61" s="6">
        <f t="shared" si="2"/>
        <v>576</v>
      </c>
      <c r="AU61" s="115">
        <v>0</v>
      </c>
      <c r="AV61" s="1">
        <f t="shared" si="7"/>
        <v>0</v>
      </c>
      <c r="AW61" s="115">
        <v>0</v>
      </c>
      <c r="AX61" s="1">
        <f t="shared" si="8"/>
        <v>0</v>
      </c>
      <c r="AY61" s="5" t="s">
        <v>573</v>
      </c>
      <c r="AZ61" s="1">
        <f t="shared" si="9"/>
        <v>0</v>
      </c>
      <c r="BA61" s="5" t="s">
        <v>573</v>
      </c>
      <c r="BB61" s="1">
        <f t="shared" si="10"/>
        <v>0</v>
      </c>
      <c r="BC61" s="5" t="s">
        <v>573</v>
      </c>
      <c r="BD61" s="1">
        <f t="shared" si="3"/>
        <v>0</v>
      </c>
      <c r="BE61" s="150" t="s">
        <v>573</v>
      </c>
      <c r="BF61" s="1">
        <f t="shared" si="4"/>
        <v>0</v>
      </c>
      <c r="BG61" s="150" t="s">
        <v>573</v>
      </c>
      <c r="BH61" s="1">
        <f t="shared" si="11"/>
        <v>0</v>
      </c>
      <c r="BI61" s="150" t="s">
        <v>573</v>
      </c>
      <c r="BJ61" s="1">
        <f t="shared" si="5"/>
        <v>0</v>
      </c>
      <c r="BK61" s="156" t="s">
        <v>573</v>
      </c>
      <c r="BL61" s="1">
        <f t="shared" si="6"/>
        <v>0</v>
      </c>
      <c r="BM61" s="142" t="s">
        <v>597</v>
      </c>
      <c r="BN61" s="136" t="s">
        <v>17</v>
      </c>
      <c r="BO61" s="139" t="s">
        <v>754</v>
      </c>
      <c r="BP61" s="137">
        <v>46022</v>
      </c>
    </row>
    <row r="62" spans="1:68" ht="15.75" customHeight="1">
      <c r="A62" s="109" t="s">
        <v>751</v>
      </c>
      <c r="B62" s="122" t="s">
        <v>184</v>
      </c>
      <c r="C62" s="301"/>
      <c r="D62" s="304"/>
      <c r="E62" s="304"/>
      <c r="F62" s="297"/>
      <c r="G62" s="78">
        <v>2022</v>
      </c>
      <c r="H62" s="105" t="s">
        <v>731</v>
      </c>
      <c r="I62" s="103" t="s">
        <v>196</v>
      </c>
      <c r="J62" s="103" t="s">
        <v>197</v>
      </c>
      <c r="K62" s="105" t="s">
        <v>221</v>
      </c>
      <c r="L62" s="105" t="s">
        <v>192</v>
      </c>
      <c r="M62" s="13" t="s">
        <v>193</v>
      </c>
      <c r="N62" s="13">
        <v>24.16</v>
      </c>
      <c r="O62" s="13">
        <v>24.31</v>
      </c>
      <c r="P62" s="13">
        <v>24.31</v>
      </c>
      <c r="Q62" s="13">
        <v>24.31</v>
      </c>
      <c r="R62" s="13">
        <v>24.31</v>
      </c>
      <c r="S62" s="13">
        <v>24.31</v>
      </c>
      <c r="T62" s="13">
        <v>24.31</v>
      </c>
      <c r="U62" s="13">
        <v>24.31</v>
      </c>
      <c r="V62" s="13">
        <v>24.31</v>
      </c>
      <c r="W62" s="13">
        <v>24.31</v>
      </c>
      <c r="X62" s="13">
        <v>24.31</v>
      </c>
      <c r="Y62" s="13">
        <v>24.31</v>
      </c>
      <c r="Z62" s="13">
        <v>24.21</v>
      </c>
      <c r="AA62" s="13">
        <v>24.21</v>
      </c>
      <c r="AB62" s="40">
        <v>0.48</v>
      </c>
      <c r="AC62" s="40">
        <v>0.48</v>
      </c>
      <c r="AD62" s="40">
        <v>0.48</v>
      </c>
      <c r="AE62" s="40">
        <v>0.48</v>
      </c>
      <c r="AF62" s="40">
        <v>0.48</v>
      </c>
      <c r="AG62" s="40">
        <v>0.48</v>
      </c>
      <c r="AH62" s="40">
        <v>0.48</v>
      </c>
      <c r="AI62" s="40">
        <v>0.48</v>
      </c>
      <c r="AJ62" s="40">
        <v>0.48</v>
      </c>
      <c r="AK62" s="40">
        <v>0.48</v>
      </c>
      <c r="AL62" s="40">
        <v>0.48</v>
      </c>
      <c r="AM62" s="40">
        <v>0.83</v>
      </c>
      <c r="AN62" s="40">
        <v>0.83</v>
      </c>
      <c r="AO62" s="116">
        <v>0</v>
      </c>
      <c r="AP62" s="6">
        <f t="shared" si="0"/>
        <v>0</v>
      </c>
      <c r="AQ62" s="115">
        <v>0</v>
      </c>
      <c r="AR62" s="6">
        <f t="shared" si="1"/>
        <v>0</v>
      </c>
      <c r="AS62" s="115" t="s">
        <v>573</v>
      </c>
      <c r="AT62" s="6">
        <f t="shared" si="2"/>
        <v>0</v>
      </c>
      <c r="AU62" s="115">
        <v>0</v>
      </c>
      <c r="AV62" s="1">
        <f t="shared" si="7"/>
        <v>0</v>
      </c>
      <c r="AW62" s="115">
        <v>0</v>
      </c>
      <c r="AX62" s="1">
        <f t="shared" si="8"/>
        <v>0</v>
      </c>
      <c r="AY62" s="5" t="s">
        <v>573</v>
      </c>
      <c r="AZ62" s="1">
        <f t="shared" si="9"/>
        <v>0</v>
      </c>
      <c r="BA62" s="5" t="s">
        <v>573</v>
      </c>
      <c r="BB62" s="1">
        <f t="shared" si="10"/>
        <v>0</v>
      </c>
      <c r="BC62" s="5" t="s">
        <v>573</v>
      </c>
      <c r="BD62" s="1">
        <f t="shared" si="3"/>
        <v>0</v>
      </c>
      <c r="BE62" s="150" t="s">
        <v>573</v>
      </c>
      <c r="BF62" s="1">
        <f t="shared" si="4"/>
        <v>0</v>
      </c>
      <c r="BG62" s="150" t="s">
        <v>573</v>
      </c>
      <c r="BH62" s="1">
        <f t="shared" si="11"/>
        <v>0</v>
      </c>
      <c r="BI62" s="150" t="s">
        <v>573</v>
      </c>
      <c r="BJ62" s="1">
        <f t="shared" si="5"/>
        <v>0</v>
      </c>
      <c r="BK62" s="156" t="s">
        <v>573</v>
      </c>
      <c r="BL62" s="1">
        <f t="shared" si="6"/>
        <v>0</v>
      </c>
      <c r="BM62" s="142" t="s">
        <v>599</v>
      </c>
      <c r="BN62" s="136" t="s">
        <v>17</v>
      </c>
      <c r="BO62" s="139" t="s">
        <v>1314</v>
      </c>
      <c r="BP62" s="137">
        <v>46022</v>
      </c>
    </row>
    <row r="63" spans="1:68" ht="15.75" customHeight="1">
      <c r="A63" s="109" t="s">
        <v>751</v>
      </c>
      <c r="B63" s="122" t="s">
        <v>184</v>
      </c>
      <c r="C63" s="301"/>
      <c r="D63" s="304"/>
      <c r="E63" s="304"/>
      <c r="F63" s="297"/>
      <c r="G63" s="78">
        <v>2023</v>
      </c>
      <c r="H63" s="105" t="s">
        <v>731</v>
      </c>
      <c r="I63" s="103" t="s">
        <v>196</v>
      </c>
      <c r="J63" s="102" t="s">
        <v>197</v>
      </c>
      <c r="K63" s="105" t="s">
        <v>221</v>
      </c>
      <c r="L63" s="105" t="s">
        <v>192</v>
      </c>
      <c r="M63" s="13" t="s">
        <v>193</v>
      </c>
      <c r="N63" s="13">
        <v>24.16</v>
      </c>
      <c r="O63" s="13">
        <v>24.31</v>
      </c>
      <c r="P63" s="13">
        <v>24.31</v>
      </c>
      <c r="Q63" s="13">
        <v>24.31</v>
      </c>
      <c r="R63" s="13">
        <v>24.31</v>
      </c>
      <c r="S63" s="13">
        <v>24.31</v>
      </c>
      <c r="T63" s="13">
        <v>24.31</v>
      </c>
      <c r="U63" s="13">
        <v>24.31</v>
      </c>
      <c r="V63" s="13">
        <v>24.31</v>
      </c>
      <c r="W63" s="13">
        <v>24.31</v>
      </c>
      <c r="X63" s="13">
        <v>24.31</v>
      </c>
      <c r="Y63" s="13">
        <v>24.31</v>
      </c>
      <c r="Z63" s="13">
        <v>24.21</v>
      </c>
      <c r="AA63" s="13">
        <v>24.21</v>
      </c>
      <c r="AB63" s="40">
        <v>0.48</v>
      </c>
      <c r="AC63" s="40">
        <v>0.48</v>
      </c>
      <c r="AD63" s="40">
        <v>0.48</v>
      </c>
      <c r="AE63" s="40">
        <v>0.48</v>
      </c>
      <c r="AF63" s="40">
        <v>0.48</v>
      </c>
      <c r="AG63" s="40">
        <v>0.48</v>
      </c>
      <c r="AH63" s="40">
        <v>0.48</v>
      </c>
      <c r="AI63" s="40">
        <v>0.48</v>
      </c>
      <c r="AJ63" s="40">
        <v>0.48</v>
      </c>
      <c r="AK63" s="40">
        <v>0.48</v>
      </c>
      <c r="AL63" s="40">
        <v>0.48</v>
      </c>
      <c r="AM63" s="40">
        <v>0.83</v>
      </c>
      <c r="AN63" s="40">
        <v>0.83</v>
      </c>
      <c r="AO63" s="116">
        <v>0</v>
      </c>
      <c r="AP63" s="6">
        <f t="shared" si="0"/>
        <v>0</v>
      </c>
      <c r="AQ63" s="115">
        <v>2400</v>
      </c>
      <c r="AR63" s="6">
        <f t="shared" si="1"/>
        <v>1152</v>
      </c>
      <c r="AS63" s="115">
        <v>2400</v>
      </c>
      <c r="AT63" s="6">
        <f t="shared" si="2"/>
        <v>1152</v>
      </c>
      <c r="AU63" s="115">
        <v>0</v>
      </c>
      <c r="AV63" s="1">
        <f t="shared" si="7"/>
        <v>0</v>
      </c>
      <c r="AW63" s="115">
        <v>0</v>
      </c>
      <c r="AX63" s="1">
        <f t="shared" si="8"/>
        <v>0</v>
      </c>
      <c r="AY63" s="5">
        <v>2400</v>
      </c>
      <c r="AZ63" s="1">
        <f t="shared" si="9"/>
        <v>1152</v>
      </c>
      <c r="BA63" s="5">
        <v>1200</v>
      </c>
      <c r="BB63" s="1">
        <f t="shared" si="10"/>
        <v>576</v>
      </c>
      <c r="BC63" s="5">
        <v>1200</v>
      </c>
      <c r="BD63" s="1">
        <f t="shared" si="3"/>
        <v>576</v>
      </c>
      <c r="BE63" s="150" t="s">
        <v>573</v>
      </c>
      <c r="BF63" s="1">
        <f t="shared" si="4"/>
        <v>0</v>
      </c>
      <c r="BG63" s="150" t="s">
        <v>573</v>
      </c>
      <c r="BH63" s="1">
        <f t="shared" si="11"/>
        <v>0</v>
      </c>
      <c r="BI63" s="150" t="s">
        <v>573</v>
      </c>
      <c r="BJ63" s="1">
        <f t="shared" si="5"/>
        <v>0</v>
      </c>
      <c r="BK63" s="156">
        <v>1200</v>
      </c>
      <c r="BL63" s="1">
        <f t="shared" si="6"/>
        <v>996</v>
      </c>
      <c r="BM63" s="142" t="s">
        <v>598</v>
      </c>
      <c r="BN63" s="136" t="s">
        <v>494</v>
      </c>
      <c r="BO63" s="139" t="s">
        <v>763</v>
      </c>
      <c r="BP63" s="137">
        <v>46022</v>
      </c>
    </row>
    <row r="64" spans="1:68" ht="15.75" customHeight="1">
      <c r="A64" s="109" t="s">
        <v>751</v>
      </c>
      <c r="B64" s="122" t="s">
        <v>184</v>
      </c>
      <c r="C64" s="301"/>
      <c r="D64" s="304"/>
      <c r="E64" s="304"/>
      <c r="F64" s="297"/>
      <c r="G64" s="78">
        <v>2023</v>
      </c>
      <c r="H64" s="105" t="s">
        <v>731</v>
      </c>
      <c r="I64" s="103" t="s">
        <v>196</v>
      </c>
      <c r="J64" s="102" t="s">
        <v>197</v>
      </c>
      <c r="K64" s="105" t="s">
        <v>221</v>
      </c>
      <c r="L64" s="105" t="s">
        <v>192</v>
      </c>
      <c r="M64" s="13" t="s">
        <v>193</v>
      </c>
      <c r="N64" s="13">
        <v>24.16</v>
      </c>
      <c r="O64" s="13">
        <v>24.31</v>
      </c>
      <c r="P64" s="13">
        <v>24.31</v>
      </c>
      <c r="Q64" s="13">
        <v>24.31</v>
      </c>
      <c r="R64" s="13">
        <v>24.31</v>
      </c>
      <c r="S64" s="13">
        <v>24.31</v>
      </c>
      <c r="T64" s="13">
        <v>24.31</v>
      </c>
      <c r="U64" s="13">
        <v>24.31</v>
      </c>
      <c r="V64" s="13">
        <v>24.31</v>
      </c>
      <c r="W64" s="13">
        <v>24.31</v>
      </c>
      <c r="X64" s="13">
        <v>24.31</v>
      </c>
      <c r="Y64" s="13">
        <v>24.31</v>
      </c>
      <c r="Z64" s="13">
        <v>24.21</v>
      </c>
      <c r="AA64" s="13">
        <v>24.21</v>
      </c>
      <c r="AB64" s="40">
        <v>0.48</v>
      </c>
      <c r="AC64" s="40">
        <v>0.48</v>
      </c>
      <c r="AD64" s="40">
        <v>0.48</v>
      </c>
      <c r="AE64" s="40">
        <v>0.48</v>
      </c>
      <c r="AF64" s="40">
        <v>0.48</v>
      </c>
      <c r="AG64" s="40">
        <v>0.48</v>
      </c>
      <c r="AH64" s="40">
        <v>0.48</v>
      </c>
      <c r="AI64" s="40">
        <v>0.48</v>
      </c>
      <c r="AJ64" s="40">
        <v>0.48</v>
      </c>
      <c r="AK64" s="40">
        <v>0.48</v>
      </c>
      <c r="AL64" s="40">
        <v>0.48</v>
      </c>
      <c r="AM64" s="40">
        <v>0.83</v>
      </c>
      <c r="AN64" s="40">
        <v>0.83</v>
      </c>
      <c r="AO64" s="116">
        <v>2400</v>
      </c>
      <c r="AP64" s="6">
        <f t="shared" si="0"/>
        <v>1152</v>
      </c>
      <c r="AQ64" s="115">
        <v>1200</v>
      </c>
      <c r="AR64" s="6">
        <f t="shared" si="1"/>
        <v>576</v>
      </c>
      <c r="AS64" s="115" t="s">
        <v>573</v>
      </c>
      <c r="AT64" s="6">
        <f t="shared" si="2"/>
        <v>0</v>
      </c>
      <c r="AU64" s="115">
        <v>0</v>
      </c>
      <c r="AV64" s="1">
        <f t="shared" si="7"/>
        <v>0</v>
      </c>
      <c r="AW64" s="115">
        <v>2400</v>
      </c>
      <c r="AX64" s="1">
        <f t="shared" si="8"/>
        <v>1152</v>
      </c>
      <c r="AY64" s="5" t="s">
        <v>573</v>
      </c>
      <c r="AZ64" s="1">
        <f t="shared" si="9"/>
        <v>0</v>
      </c>
      <c r="BA64" s="5">
        <v>1200</v>
      </c>
      <c r="BB64" s="1">
        <f t="shared" si="10"/>
        <v>576</v>
      </c>
      <c r="BC64" s="5" t="s">
        <v>573</v>
      </c>
      <c r="BD64" s="1">
        <f t="shared" si="3"/>
        <v>0</v>
      </c>
      <c r="BE64" s="150">
        <v>1200</v>
      </c>
      <c r="BF64" s="1">
        <f t="shared" si="4"/>
        <v>576</v>
      </c>
      <c r="BG64" s="150" t="s">
        <v>573</v>
      </c>
      <c r="BH64" s="1">
        <f t="shared" si="11"/>
        <v>0</v>
      </c>
      <c r="BI64" s="150" t="s">
        <v>573</v>
      </c>
      <c r="BJ64" s="1">
        <f t="shared" si="5"/>
        <v>0</v>
      </c>
      <c r="BK64" s="156" t="s">
        <v>573</v>
      </c>
      <c r="BL64" s="1">
        <f t="shared" si="6"/>
        <v>0</v>
      </c>
      <c r="BM64" s="142" t="s">
        <v>600</v>
      </c>
      <c r="BN64" s="136" t="s">
        <v>17</v>
      </c>
      <c r="BO64" s="139" t="s">
        <v>754</v>
      </c>
      <c r="BP64" s="137">
        <v>46022</v>
      </c>
    </row>
    <row r="65" spans="1:68" ht="15.75" customHeight="1">
      <c r="A65" s="109" t="s">
        <v>751</v>
      </c>
      <c r="B65" s="122" t="s">
        <v>184</v>
      </c>
      <c r="C65" s="301"/>
      <c r="D65" s="304"/>
      <c r="E65" s="304"/>
      <c r="F65" s="297"/>
      <c r="G65" s="78">
        <v>2023</v>
      </c>
      <c r="H65" s="105" t="str">
        <f>_xlfn.XLOOKUP(BM65,'[5]Package breakdown0503'!$F:$F,'[5]Package breakdown0503'!$B:$B)</f>
        <v>Mickey</v>
      </c>
      <c r="I65" s="103" t="s">
        <v>196</v>
      </c>
      <c r="J65" s="102" t="s">
        <v>197</v>
      </c>
      <c r="K65" s="105" t="s">
        <v>221</v>
      </c>
      <c r="L65" s="105" t="s">
        <v>192</v>
      </c>
      <c r="M65" s="13" t="s">
        <v>193</v>
      </c>
      <c r="N65" s="13">
        <v>24.07</v>
      </c>
      <c r="O65" s="13">
        <v>24.07</v>
      </c>
      <c r="P65" s="13">
        <v>24.07</v>
      </c>
      <c r="Q65" s="13">
        <v>24.07</v>
      </c>
      <c r="R65" s="13">
        <v>24.07</v>
      </c>
      <c r="S65" s="13">
        <v>24.07</v>
      </c>
      <c r="T65" s="13">
        <v>24.07</v>
      </c>
      <c r="U65" s="13">
        <v>24.07</v>
      </c>
      <c r="V65" s="13">
        <v>24.07</v>
      </c>
      <c r="W65" s="13">
        <v>24.07</v>
      </c>
      <c r="X65" s="13">
        <v>24.07</v>
      </c>
      <c r="Y65" s="13">
        <v>24.07</v>
      </c>
      <c r="Z65" s="13">
        <v>23.97</v>
      </c>
      <c r="AA65" s="13">
        <v>23.97</v>
      </c>
      <c r="AB65" s="40">
        <v>0.48</v>
      </c>
      <c r="AC65" s="40">
        <v>0.48</v>
      </c>
      <c r="AD65" s="40">
        <v>0.48</v>
      </c>
      <c r="AE65" s="40">
        <v>0.48</v>
      </c>
      <c r="AF65" s="40">
        <v>0.48</v>
      </c>
      <c r="AG65" s="40">
        <v>0.48</v>
      </c>
      <c r="AH65" s="40">
        <v>0.48</v>
      </c>
      <c r="AI65" s="40">
        <v>0.48</v>
      </c>
      <c r="AJ65" s="40">
        <v>0.48</v>
      </c>
      <c r="AK65" s="40">
        <v>0.48</v>
      </c>
      <c r="AL65" s="40">
        <v>0.48</v>
      </c>
      <c r="AM65" s="40">
        <v>0.83</v>
      </c>
      <c r="AN65" s="40">
        <v>0.83</v>
      </c>
      <c r="AO65" s="116">
        <v>0</v>
      </c>
      <c r="AP65" s="6">
        <f t="shared" si="0"/>
        <v>0</v>
      </c>
      <c r="AQ65" s="115">
        <v>1200</v>
      </c>
      <c r="AR65" s="6">
        <f t="shared" si="1"/>
        <v>576</v>
      </c>
      <c r="AS65" s="115" t="s">
        <v>573</v>
      </c>
      <c r="AT65" s="6">
        <f t="shared" si="2"/>
        <v>0</v>
      </c>
      <c r="AU65" s="115">
        <v>0</v>
      </c>
      <c r="AV65" s="1">
        <f t="shared" si="7"/>
        <v>0</v>
      </c>
      <c r="AW65" s="115">
        <v>0</v>
      </c>
      <c r="AX65" s="1">
        <f t="shared" si="8"/>
        <v>0</v>
      </c>
      <c r="AY65" s="5" t="s">
        <v>573</v>
      </c>
      <c r="AZ65" s="1">
        <f t="shared" si="9"/>
        <v>0</v>
      </c>
      <c r="BA65" s="5" t="s">
        <v>573</v>
      </c>
      <c r="BB65" s="1">
        <f t="shared" si="10"/>
        <v>0</v>
      </c>
      <c r="BC65" s="5" t="s">
        <v>573</v>
      </c>
      <c r="BD65" s="1">
        <f t="shared" si="3"/>
        <v>0</v>
      </c>
      <c r="BE65" s="150" t="s">
        <v>573</v>
      </c>
      <c r="BF65" s="1">
        <f t="shared" si="4"/>
        <v>0</v>
      </c>
      <c r="BG65" s="150" t="s">
        <v>573</v>
      </c>
      <c r="BH65" s="1">
        <f t="shared" si="11"/>
        <v>0</v>
      </c>
      <c r="BI65" s="150" t="s">
        <v>573</v>
      </c>
      <c r="BJ65" s="1">
        <f t="shared" si="5"/>
        <v>0</v>
      </c>
      <c r="BK65" s="156" t="s">
        <v>573</v>
      </c>
      <c r="BL65" s="1">
        <f t="shared" si="6"/>
        <v>0</v>
      </c>
      <c r="BM65" s="142" t="s">
        <v>685</v>
      </c>
      <c r="BN65" s="136" t="s">
        <v>496</v>
      </c>
      <c r="BO65" s="139" t="s">
        <v>760</v>
      </c>
      <c r="BP65" s="137">
        <v>45565</v>
      </c>
    </row>
    <row r="66" spans="1:68" ht="15.75" customHeight="1">
      <c r="A66" s="109" t="s">
        <v>751</v>
      </c>
      <c r="B66" s="122" t="s">
        <v>184</v>
      </c>
      <c r="C66" s="301"/>
      <c r="D66" s="304"/>
      <c r="E66" s="304"/>
      <c r="F66" s="297"/>
      <c r="G66" s="78">
        <v>2023</v>
      </c>
      <c r="H66" s="105" t="str">
        <f>_xlfn.XLOOKUP(BM66,'[5]Package breakdown0503'!$F:$F,'[5]Package breakdown0503'!$B:$B)</f>
        <v>Mickey</v>
      </c>
      <c r="I66" s="103" t="s">
        <v>196</v>
      </c>
      <c r="J66" s="102" t="s">
        <v>197</v>
      </c>
      <c r="K66" s="105" t="s">
        <v>221</v>
      </c>
      <c r="L66" s="105" t="s">
        <v>192</v>
      </c>
      <c r="M66" s="13" t="s">
        <v>193</v>
      </c>
      <c r="N66" s="13">
        <v>24.07</v>
      </c>
      <c r="O66" s="13">
        <v>24.07</v>
      </c>
      <c r="P66" s="13">
        <v>24.07</v>
      </c>
      <c r="Q66" s="13">
        <v>24.07</v>
      </c>
      <c r="R66" s="13">
        <v>24.07</v>
      </c>
      <c r="S66" s="13">
        <v>24.07</v>
      </c>
      <c r="T66" s="13">
        <v>24.07</v>
      </c>
      <c r="U66" s="13">
        <v>24.07</v>
      </c>
      <c r="V66" s="13">
        <v>24.07</v>
      </c>
      <c r="W66" s="13">
        <v>24.07</v>
      </c>
      <c r="X66" s="13">
        <v>24.07</v>
      </c>
      <c r="Y66" s="13">
        <v>24.07</v>
      </c>
      <c r="Z66" s="13">
        <v>23.97</v>
      </c>
      <c r="AA66" s="13">
        <v>23.97</v>
      </c>
      <c r="AB66" s="40">
        <v>0.48</v>
      </c>
      <c r="AC66" s="40">
        <v>0.48</v>
      </c>
      <c r="AD66" s="40">
        <v>0.48</v>
      </c>
      <c r="AE66" s="40">
        <v>0.48</v>
      </c>
      <c r="AF66" s="40">
        <v>0.48</v>
      </c>
      <c r="AG66" s="40">
        <v>0.48</v>
      </c>
      <c r="AH66" s="40">
        <v>0.48</v>
      </c>
      <c r="AI66" s="40">
        <v>0.48</v>
      </c>
      <c r="AJ66" s="40">
        <v>0.48</v>
      </c>
      <c r="AK66" s="40">
        <v>0.48</v>
      </c>
      <c r="AL66" s="40">
        <v>0.48</v>
      </c>
      <c r="AM66" s="40">
        <v>0.83</v>
      </c>
      <c r="AN66" s="40">
        <v>0.83</v>
      </c>
      <c r="AO66" s="116">
        <v>1200</v>
      </c>
      <c r="AP66" s="6">
        <f t="shared" si="0"/>
        <v>576</v>
      </c>
      <c r="AQ66" s="115">
        <v>0</v>
      </c>
      <c r="AR66" s="6">
        <f t="shared" si="1"/>
        <v>0</v>
      </c>
      <c r="AS66" s="115" t="s">
        <v>573</v>
      </c>
      <c r="AT66" s="6">
        <f t="shared" si="2"/>
        <v>0</v>
      </c>
      <c r="AU66" s="115">
        <v>0</v>
      </c>
      <c r="AV66" s="1">
        <f t="shared" si="7"/>
        <v>0</v>
      </c>
      <c r="AW66" s="115">
        <v>0</v>
      </c>
      <c r="AX66" s="1">
        <f t="shared" si="8"/>
        <v>0</v>
      </c>
      <c r="AY66" s="5" t="s">
        <v>573</v>
      </c>
      <c r="AZ66" s="1">
        <f t="shared" si="9"/>
        <v>0</v>
      </c>
      <c r="BA66" s="5" t="s">
        <v>573</v>
      </c>
      <c r="BB66" s="1">
        <f t="shared" si="10"/>
        <v>0</v>
      </c>
      <c r="BC66" s="5" t="s">
        <v>573</v>
      </c>
      <c r="BD66" s="1">
        <f t="shared" si="3"/>
        <v>0</v>
      </c>
      <c r="BE66" s="150" t="s">
        <v>573</v>
      </c>
      <c r="BF66" s="1">
        <f t="shared" si="4"/>
        <v>0</v>
      </c>
      <c r="BG66" s="150" t="s">
        <v>573</v>
      </c>
      <c r="BH66" s="1">
        <f t="shared" si="11"/>
        <v>0</v>
      </c>
      <c r="BI66" s="150" t="s">
        <v>573</v>
      </c>
      <c r="BJ66" s="1">
        <f t="shared" si="5"/>
        <v>0</v>
      </c>
      <c r="BK66" s="156" t="s">
        <v>573</v>
      </c>
      <c r="BL66" s="1">
        <f t="shared" si="6"/>
        <v>0</v>
      </c>
      <c r="BM66" s="142" t="s">
        <v>686</v>
      </c>
      <c r="BN66" s="136" t="s">
        <v>496</v>
      </c>
      <c r="BO66" s="139" t="s">
        <v>760</v>
      </c>
      <c r="BP66" s="137">
        <v>45565</v>
      </c>
    </row>
    <row r="67" spans="1:68" ht="15.75" customHeight="1">
      <c r="A67" s="109" t="s">
        <v>751</v>
      </c>
      <c r="B67" s="122" t="s">
        <v>184</v>
      </c>
      <c r="C67" s="301"/>
      <c r="D67" s="304"/>
      <c r="E67" s="304"/>
      <c r="F67" s="297"/>
      <c r="G67" s="78">
        <v>2023</v>
      </c>
      <c r="H67" s="105" t="str">
        <f>_xlfn.XLOOKUP(BM67,'[5]Package breakdown0503'!$F:$F,'[5]Package breakdown0503'!$B:$B)</f>
        <v>Mickey</v>
      </c>
      <c r="I67" s="103" t="s">
        <v>196</v>
      </c>
      <c r="J67" s="102" t="s">
        <v>197</v>
      </c>
      <c r="K67" s="105" t="s">
        <v>221</v>
      </c>
      <c r="L67" s="105" t="s">
        <v>192</v>
      </c>
      <c r="M67" s="13" t="s">
        <v>193</v>
      </c>
      <c r="N67" s="13">
        <v>24.07</v>
      </c>
      <c r="O67" s="13">
        <v>24.07</v>
      </c>
      <c r="P67" s="13">
        <v>24.07</v>
      </c>
      <c r="Q67" s="13">
        <v>24.07</v>
      </c>
      <c r="R67" s="13">
        <v>24.07</v>
      </c>
      <c r="S67" s="13">
        <v>24.07</v>
      </c>
      <c r="T67" s="13">
        <v>24.07</v>
      </c>
      <c r="U67" s="13">
        <v>24.07</v>
      </c>
      <c r="V67" s="13">
        <v>24.07</v>
      </c>
      <c r="W67" s="13">
        <v>24.07</v>
      </c>
      <c r="X67" s="13">
        <v>24.07</v>
      </c>
      <c r="Y67" s="13">
        <v>24.07</v>
      </c>
      <c r="Z67" s="13">
        <v>23.97</v>
      </c>
      <c r="AA67" s="13">
        <v>23.97</v>
      </c>
      <c r="AB67" s="40">
        <v>0.48</v>
      </c>
      <c r="AC67" s="40">
        <v>0.48</v>
      </c>
      <c r="AD67" s="40">
        <v>0.48</v>
      </c>
      <c r="AE67" s="40">
        <v>0.48</v>
      </c>
      <c r="AF67" s="40">
        <v>0.48</v>
      </c>
      <c r="AG67" s="40">
        <v>0.48</v>
      </c>
      <c r="AH67" s="40">
        <v>0.48</v>
      </c>
      <c r="AI67" s="40">
        <v>0.48</v>
      </c>
      <c r="AJ67" s="40">
        <v>0.48</v>
      </c>
      <c r="AK67" s="40">
        <v>0.48</v>
      </c>
      <c r="AL67" s="40">
        <v>0.48</v>
      </c>
      <c r="AM67" s="40">
        <v>0.83</v>
      </c>
      <c r="AN67" s="40">
        <v>0.83</v>
      </c>
      <c r="AO67" s="116">
        <v>1200</v>
      </c>
      <c r="AP67" s="6">
        <f t="shared" si="0"/>
        <v>576</v>
      </c>
      <c r="AQ67" s="115">
        <v>0</v>
      </c>
      <c r="AR67" s="6">
        <f t="shared" si="1"/>
        <v>0</v>
      </c>
      <c r="AS67" s="115" t="s">
        <v>573</v>
      </c>
      <c r="AT67" s="6">
        <f t="shared" ref="AT67:AT130" si="13">AE67*AS67</f>
        <v>0</v>
      </c>
      <c r="AU67" s="115">
        <v>0</v>
      </c>
      <c r="AV67" s="1">
        <f t="shared" si="7"/>
        <v>0</v>
      </c>
      <c r="AW67" s="115">
        <v>0</v>
      </c>
      <c r="AX67" s="1">
        <f t="shared" si="8"/>
        <v>0</v>
      </c>
      <c r="AY67" s="5" t="s">
        <v>573</v>
      </c>
      <c r="AZ67" s="1">
        <f t="shared" si="9"/>
        <v>0</v>
      </c>
      <c r="BA67" s="5" t="s">
        <v>573</v>
      </c>
      <c r="BB67" s="1">
        <f t="shared" si="10"/>
        <v>0</v>
      </c>
      <c r="BC67" s="5" t="s">
        <v>573</v>
      </c>
      <c r="BD67" s="1">
        <f t="shared" si="3"/>
        <v>0</v>
      </c>
      <c r="BE67" s="150" t="s">
        <v>573</v>
      </c>
      <c r="BF67" s="1">
        <f t="shared" ref="BF67:BF130" si="14">AK67*BE67</f>
        <v>0</v>
      </c>
      <c r="BG67" s="150" t="s">
        <v>573</v>
      </c>
      <c r="BH67" s="1">
        <f t="shared" si="11"/>
        <v>0</v>
      </c>
      <c r="BI67" s="150" t="s">
        <v>573</v>
      </c>
      <c r="BJ67" s="1">
        <f t="shared" ref="BJ67:BJ130" si="15">AM67*BI67</f>
        <v>0</v>
      </c>
      <c r="BK67" s="156" t="s">
        <v>573</v>
      </c>
      <c r="BL67" s="1">
        <f t="shared" ref="BL67:BL130" si="16">BK67*AN67</f>
        <v>0</v>
      </c>
      <c r="BM67" s="142" t="s">
        <v>687</v>
      </c>
      <c r="BN67" s="136" t="s">
        <v>496</v>
      </c>
      <c r="BO67" s="139" t="s">
        <v>760</v>
      </c>
      <c r="BP67" s="137">
        <v>45565</v>
      </c>
    </row>
    <row r="68" spans="1:68" ht="15.75" customHeight="1">
      <c r="A68" s="109" t="s">
        <v>751</v>
      </c>
      <c r="B68" s="122" t="s">
        <v>184</v>
      </c>
      <c r="C68" s="301"/>
      <c r="D68" s="304"/>
      <c r="E68" s="304"/>
      <c r="F68" s="297"/>
      <c r="G68" s="78">
        <v>2016</v>
      </c>
      <c r="H68" s="105" t="s">
        <v>718</v>
      </c>
      <c r="I68" s="76" t="s">
        <v>196</v>
      </c>
      <c r="J68" s="102" t="s">
        <v>197</v>
      </c>
      <c r="K68" s="105" t="s">
        <v>221</v>
      </c>
      <c r="L68" s="105" t="s">
        <v>192</v>
      </c>
      <c r="M68" s="13" t="s">
        <v>193</v>
      </c>
      <c r="N68" s="13">
        <v>5.3</v>
      </c>
      <c r="O68" s="13">
        <v>5.42</v>
      </c>
      <c r="P68" s="13">
        <v>5.42</v>
      </c>
      <c r="Q68" s="13">
        <v>5.42</v>
      </c>
      <c r="R68" s="13">
        <v>5.42</v>
      </c>
      <c r="S68" s="13">
        <v>5.42</v>
      </c>
      <c r="T68" s="13">
        <v>5.42</v>
      </c>
      <c r="U68" s="13">
        <v>5.42</v>
      </c>
      <c r="V68" s="13">
        <v>5.42</v>
      </c>
      <c r="W68" s="13">
        <v>5.42</v>
      </c>
      <c r="X68" s="13">
        <v>5.42</v>
      </c>
      <c r="Y68" s="13">
        <v>5.42</v>
      </c>
      <c r="Z68" s="13">
        <v>5.24</v>
      </c>
      <c r="AA68" s="13">
        <v>5.24</v>
      </c>
      <c r="AB68" s="40">
        <v>0.05</v>
      </c>
      <c r="AC68" s="40">
        <v>0.05</v>
      </c>
      <c r="AD68" s="40">
        <v>0.05</v>
      </c>
      <c r="AE68" s="40">
        <v>0.05</v>
      </c>
      <c r="AF68" s="40">
        <v>0.05</v>
      </c>
      <c r="AG68" s="40">
        <v>0.05</v>
      </c>
      <c r="AH68" s="40">
        <v>0.05</v>
      </c>
      <c r="AI68" s="40">
        <v>0.05</v>
      </c>
      <c r="AJ68" s="40">
        <v>0.14000000000000001</v>
      </c>
      <c r="AK68" s="40">
        <v>0.14000000000000001</v>
      </c>
      <c r="AL68" s="40">
        <v>0.14000000000000001</v>
      </c>
      <c r="AM68" s="40">
        <v>0.14000000000000001</v>
      </c>
      <c r="AN68" s="40">
        <v>0.14000000000000001</v>
      </c>
      <c r="AO68" s="116">
        <v>0</v>
      </c>
      <c r="AP68" s="6">
        <f t="shared" si="0"/>
        <v>0</v>
      </c>
      <c r="AQ68" s="115">
        <v>0</v>
      </c>
      <c r="AR68" s="6">
        <f t="shared" si="1"/>
        <v>0</v>
      </c>
      <c r="AS68" s="115" t="s">
        <v>573</v>
      </c>
      <c r="AT68" s="6">
        <f t="shared" si="13"/>
        <v>0</v>
      </c>
      <c r="AU68" s="115">
        <v>0</v>
      </c>
      <c r="AV68" s="1">
        <f t="shared" si="7"/>
        <v>0</v>
      </c>
      <c r="AW68" s="115">
        <v>1560</v>
      </c>
      <c r="AX68" s="1">
        <f t="shared" ref="AX68:AX134" si="17">AG68*AW68</f>
        <v>78</v>
      </c>
      <c r="AY68" s="5">
        <v>1560</v>
      </c>
      <c r="AZ68" s="1">
        <f t="shared" si="9"/>
        <v>78</v>
      </c>
      <c r="BA68" s="5">
        <v>1560</v>
      </c>
      <c r="BB68" s="1">
        <f t="shared" si="10"/>
        <v>78</v>
      </c>
      <c r="BC68" s="5">
        <v>3120</v>
      </c>
      <c r="BD68" s="1">
        <f t="shared" si="3"/>
        <v>436.80000000000007</v>
      </c>
      <c r="BE68" s="150">
        <v>3120</v>
      </c>
      <c r="BF68" s="1">
        <f t="shared" si="14"/>
        <v>436.80000000000007</v>
      </c>
      <c r="BG68" s="150">
        <v>1560</v>
      </c>
      <c r="BH68" s="1">
        <f t="shared" ref="BH68:BH131" si="18">BG68*AL68</f>
        <v>218.40000000000003</v>
      </c>
      <c r="BI68" s="150">
        <v>1560</v>
      </c>
      <c r="BJ68" s="1">
        <f t="shared" si="15"/>
        <v>218.40000000000003</v>
      </c>
      <c r="BK68" s="156" t="s">
        <v>573</v>
      </c>
      <c r="BL68" s="1">
        <f t="shared" si="16"/>
        <v>0</v>
      </c>
      <c r="BM68" s="142" t="s">
        <v>699</v>
      </c>
      <c r="BN68" s="136" t="s">
        <v>17</v>
      </c>
      <c r="BO68" s="139" t="s">
        <v>754</v>
      </c>
      <c r="BP68" s="137">
        <v>45291</v>
      </c>
    </row>
    <row r="69" spans="1:68" ht="15.75" customHeight="1">
      <c r="A69" s="109" t="s">
        <v>751</v>
      </c>
      <c r="B69" s="122" t="s">
        <v>184</v>
      </c>
      <c r="C69" s="301"/>
      <c r="D69" s="304"/>
      <c r="E69" s="304"/>
      <c r="F69" s="297"/>
      <c r="G69" s="78">
        <v>2016</v>
      </c>
      <c r="H69" s="105" t="s">
        <v>718</v>
      </c>
      <c r="I69" s="76" t="s">
        <v>196</v>
      </c>
      <c r="J69" s="102" t="s">
        <v>197</v>
      </c>
      <c r="K69" s="105" t="s">
        <v>235</v>
      </c>
      <c r="L69" s="105" t="s">
        <v>192</v>
      </c>
      <c r="M69" s="13" t="s">
        <v>193</v>
      </c>
      <c r="N69" s="13">
        <v>5.23</v>
      </c>
      <c r="O69" s="13">
        <v>4.87</v>
      </c>
      <c r="P69" s="13">
        <v>4.87</v>
      </c>
      <c r="Q69" s="13">
        <v>4.87</v>
      </c>
      <c r="R69" s="13">
        <v>4.87</v>
      </c>
      <c r="S69" s="13">
        <v>4.87</v>
      </c>
      <c r="T69" s="13">
        <v>4.87</v>
      </c>
      <c r="U69" s="13">
        <v>4.87</v>
      </c>
      <c r="V69" s="13">
        <v>4.87</v>
      </c>
      <c r="W69" s="13">
        <v>4.87</v>
      </c>
      <c r="X69" s="13">
        <v>4.87</v>
      </c>
      <c r="Y69" s="13">
        <v>4.87</v>
      </c>
      <c r="Z69" s="13">
        <v>4.87</v>
      </c>
      <c r="AA69" s="13">
        <v>4.87</v>
      </c>
      <c r="AB69" s="40">
        <v>0.05</v>
      </c>
      <c r="AC69" s="40">
        <v>0.05</v>
      </c>
      <c r="AD69" s="40">
        <v>0.05</v>
      </c>
      <c r="AE69" s="40">
        <v>0.05</v>
      </c>
      <c r="AF69" s="40">
        <v>0.05</v>
      </c>
      <c r="AG69" s="40">
        <v>0.05</v>
      </c>
      <c r="AH69" s="40">
        <v>0.05</v>
      </c>
      <c r="AI69" s="40">
        <v>0.05</v>
      </c>
      <c r="AJ69" s="40">
        <v>0.05</v>
      </c>
      <c r="AK69" s="40">
        <v>0.05</v>
      </c>
      <c r="AL69" s="40">
        <v>0.05</v>
      </c>
      <c r="AM69" s="40">
        <v>0.05</v>
      </c>
      <c r="AN69" s="40">
        <v>0.05</v>
      </c>
      <c r="AO69" s="116">
        <v>0</v>
      </c>
      <c r="AP69" s="6">
        <f t="shared" si="0"/>
        <v>0</v>
      </c>
      <c r="AQ69" s="115">
        <v>0</v>
      </c>
      <c r="AR69" s="6">
        <f t="shared" si="1"/>
        <v>0</v>
      </c>
      <c r="AS69" s="115">
        <v>8640</v>
      </c>
      <c r="AT69" s="6">
        <f t="shared" si="13"/>
        <v>432</v>
      </c>
      <c r="AU69" s="115">
        <v>0</v>
      </c>
      <c r="AV69" s="1">
        <f t="shared" si="7"/>
        <v>0</v>
      </c>
      <c r="AW69" s="115">
        <v>4320</v>
      </c>
      <c r="AX69" s="1">
        <f t="shared" si="17"/>
        <v>216</v>
      </c>
      <c r="AY69" s="5" t="s">
        <v>573</v>
      </c>
      <c r="AZ69" s="1">
        <f t="shared" si="9"/>
        <v>0</v>
      </c>
      <c r="BA69" s="5">
        <v>4320</v>
      </c>
      <c r="BB69" s="1">
        <f t="shared" si="10"/>
        <v>216</v>
      </c>
      <c r="BC69" s="5">
        <v>4320</v>
      </c>
      <c r="BD69" s="1">
        <f t="shared" si="3"/>
        <v>216</v>
      </c>
      <c r="BE69" s="150" t="s">
        <v>573</v>
      </c>
      <c r="BF69" s="1">
        <f t="shared" si="14"/>
        <v>0</v>
      </c>
      <c r="BG69" s="150">
        <v>4320</v>
      </c>
      <c r="BH69" s="1">
        <f t="shared" si="18"/>
        <v>216</v>
      </c>
      <c r="BI69" s="150">
        <v>4320</v>
      </c>
      <c r="BJ69" s="1">
        <f t="shared" si="15"/>
        <v>216</v>
      </c>
      <c r="BK69" s="156" t="s">
        <v>573</v>
      </c>
      <c r="BL69" s="1">
        <f t="shared" si="16"/>
        <v>0</v>
      </c>
      <c r="BM69" s="142" t="s">
        <v>700</v>
      </c>
      <c r="BN69" s="136" t="s">
        <v>494</v>
      </c>
      <c r="BO69" s="139" t="s">
        <v>763</v>
      </c>
      <c r="BP69" s="137">
        <v>45291</v>
      </c>
    </row>
    <row r="70" spans="1:68" ht="15.75" customHeight="1">
      <c r="A70" s="109" t="s">
        <v>751</v>
      </c>
      <c r="B70" s="122" t="s">
        <v>184</v>
      </c>
      <c r="C70" s="301"/>
      <c r="D70" s="304"/>
      <c r="E70" s="304"/>
      <c r="F70" s="297"/>
      <c r="G70" s="78">
        <v>2016</v>
      </c>
      <c r="H70" s="105" t="s">
        <v>718</v>
      </c>
      <c r="I70" s="76" t="s">
        <v>196</v>
      </c>
      <c r="J70" s="103" t="s">
        <v>197</v>
      </c>
      <c r="K70" s="105" t="s">
        <v>235</v>
      </c>
      <c r="L70" s="105" t="s">
        <v>192</v>
      </c>
      <c r="M70" s="13" t="s">
        <v>193</v>
      </c>
      <c r="N70" s="13">
        <v>5.23</v>
      </c>
      <c r="O70" s="13">
        <v>5.32</v>
      </c>
      <c r="P70" s="13">
        <v>5.32</v>
      </c>
      <c r="Q70" s="13">
        <v>5.32</v>
      </c>
      <c r="R70" s="13">
        <v>5.32</v>
      </c>
      <c r="S70" s="13">
        <v>5.32</v>
      </c>
      <c r="T70" s="13">
        <v>5.32</v>
      </c>
      <c r="U70" s="13">
        <v>5.32</v>
      </c>
      <c r="V70" s="13">
        <v>5.32</v>
      </c>
      <c r="W70" s="13">
        <v>5.32</v>
      </c>
      <c r="X70" s="13">
        <v>5.32</v>
      </c>
      <c r="Y70" s="13">
        <v>5.32</v>
      </c>
      <c r="Z70" s="13">
        <v>5.32</v>
      </c>
      <c r="AA70" s="13">
        <v>5.32</v>
      </c>
      <c r="AB70" s="40">
        <v>0.14000000000000001</v>
      </c>
      <c r="AC70" s="40">
        <v>0.14000000000000001</v>
      </c>
      <c r="AD70" s="40">
        <v>0.14000000000000001</v>
      </c>
      <c r="AE70" s="40">
        <v>0.14000000000000001</v>
      </c>
      <c r="AF70" s="40">
        <v>0.14000000000000001</v>
      </c>
      <c r="AG70" s="40">
        <v>0.14000000000000001</v>
      </c>
      <c r="AH70" s="40">
        <v>0.14000000000000001</v>
      </c>
      <c r="AI70" s="40">
        <v>0.14000000000000001</v>
      </c>
      <c r="AJ70" s="40">
        <v>0.14000000000000001</v>
      </c>
      <c r="AK70" s="40">
        <v>0.14000000000000001</v>
      </c>
      <c r="AL70" s="40">
        <v>0.14000000000000001</v>
      </c>
      <c r="AM70" s="40">
        <v>0.14000000000000001</v>
      </c>
      <c r="AN70" s="40">
        <v>0.14000000000000001</v>
      </c>
      <c r="AO70" s="116">
        <v>0</v>
      </c>
      <c r="AP70" s="6">
        <f t="shared" si="0"/>
        <v>0</v>
      </c>
      <c r="AQ70" s="115">
        <v>0</v>
      </c>
      <c r="AR70" s="6">
        <f t="shared" si="1"/>
        <v>0</v>
      </c>
      <c r="AS70" s="115" t="s">
        <v>573</v>
      </c>
      <c r="AT70" s="6">
        <f t="shared" si="13"/>
        <v>0</v>
      </c>
      <c r="AU70" s="115">
        <v>0</v>
      </c>
      <c r="AV70" s="1">
        <f t="shared" si="7"/>
        <v>0</v>
      </c>
      <c r="AW70" s="115">
        <v>0</v>
      </c>
      <c r="AX70" s="1">
        <f t="shared" si="17"/>
        <v>0</v>
      </c>
      <c r="AY70" s="5" t="s">
        <v>573</v>
      </c>
      <c r="AZ70" s="1">
        <f t="shared" si="9"/>
        <v>0</v>
      </c>
      <c r="BA70" s="5" t="s">
        <v>573</v>
      </c>
      <c r="BB70" s="1">
        <f t="shared" si="10"/>
        <v>0</v>
      </c>
      <c r="BC70" s="5">
        <v>1560</v>
      </c>
      <c r="BD70" s="1">
        <f t="shared" si="3"/>
        <v>218.40000000000003</v>
      </c>
      <c r="BE70" s="150" t="s">
        <v>573</v>
      </c>
      <c r="BF70" s="1">
        <f t="shared" si="14"/>
        <v>0</v>
      </c>
      <c r="BG70" s="150" t="s">
        <v>573</v>
      </c>
      <c r="BH70" s="1">
        <f t="shared" si="18"/>
        <v>0</v>
      </c>
      <c r="BI70" s="150">
        <v>1560</v>
      </c>
      <c r="BJ70" s="1">
        <f t="shared" si="15"/>
        <v>218.40000000000003</v>
      </c>
      <c r="BK70" s="156" t="s">
        <v>573</v>
      </c>
      <c r="BL70" s="1">
        <f t="shared" si="16"/>
        <v>0</v>
      </c>
      <c r="BM70" s="142" t="s">
        <v>701</v>
      </c>
      <c r="BN70" s="136" t="s">
        <v>17</v>
      </c>
      <c r="BO70" s="139" t="s">
        <v>754</v>
      </c>
      <c r="BP70" s="137">
        <v>45291</v>
      </c>
    </row>
    <row r="71" spans="1:68" ht="15.75" customHeight="1">
      <c r="A71" s="109" t="s">
        <v>751</v>
      </c>
      <c r="B71" s="122" t="s">
        <v>184</v>
      </c>
      <c r="C71" s="301"/>
      <c r="D71" s="304"/>
      <c r="E71" s="304"/>
      <c r="F71" s="297"/>
      <c r="G71" s="78">
        <v>2016</v>
      </c>
      <c r="H71" s="105" t="s">
        <v>718</v>
      </c>
      <c r="I71" s="76" t="s">
        <v>196</v>
      </c>
      <c r="J71" s="102" t="s">
        <v>197</v>
      </c>
      <c r="K71" s="105" t="s">
        <v>245</v>
      </c>
      <c r="L71" s="105" t="s">
        <v>192</v>
      </c>
      <c r="M71" s="13" t="s">
        <v>193</v>
      </c>
      <c r="N71" s="13">
        <v>5.23</v>
      </c>
      <c r="O71" s="13">
        <v>4.87</v>
      </c>
      <c r="P71" s="13">
        <v>4.87</v>
      </c>
      <c r="Q71" s="13">
        <v>4.87</v>
      </c>
      <c r="R71" s="13">
        <v>4.87</v>
      </c>
      <c r="S71" s="13">
        <v>4.87</v>
      </c>
      <c r="T71" s="13">
        <v>4.87</v>
      </c>
      <c r="U71" s="13">
        <v>4.87</v>
      </c>
      <c r="V71" s="13">
        <v>4.87</v>
      </c>
      <c r="W71" s="13">
        <v>4.87</v>
      </c>
      <c r="X71" s="13">
        <v>4.87</v>
      </c>
      <c r="Y71" s="13">
        <v>4.87</v>
      </c>
      <c r="Z71" s="13">
        <v>4.87</v>
      </c>
      <c r="AA71" s="13">
        <v>4.87</v>
      </c>
      <c r="AB71" s="40">
        <v>0.05</v>
      </c>
      <c r="AC71" s="40">
        <v>0.05</v>
      </c>
      <c r="AD71" s="40">
        <v>0.05</v>
      </c>
      <c r="AE71" s="40">
        <v>0.05</v>
      </c>
      <c r="AF71" s="40">
        <v>0.05</v>
      </c>
      <c r="AG71" s="40">
        <v>0.05</v>
      </c>
      <c r="AH71" s="40">
        <v>0.05</v>
      </c>
      <c r="AI71" s="40">
        <v>0.05</v>
      </c>
      <c r="AJ71" s="40">
        <v>0.05</v>
      </c>
      <c r="AK71" s="40">
        <v>0.05</v>
      </c>
      <c r="AL71" s="40">
        <v>0.05</v>
      </c>
      <c r="AM71" s="40">
        <v>0.05</v>
      </c>
      <c r="AN71" s="40">
        <v>0.05</v>
      </c>
      <c r="AO71" s="116">
        <v>0</v>
      </c>
      <c r="AP71" s="6">
        <f t="shared" si="0"/>
        <v>0</v>
      </c>
      <c r="AQ71" s="115">
        <v>4320</v>
      </c>
      <c r="AR71" s="6">
        <f t="shared" si="1"/>
        <v>216</v>
      </c>
      <c r="AS71" s="115" t="s">
        <v>573</v>
      </c>
      <c r="AT71" s="6">
        <f t="shared" si="13"/>
        <v>0</v>
      </c>
      <c r="AU71" s="115">
        <v>0</v>
      </c>
      <c r="AV71" s="1">
        <f t="shared" si="7"/>
        <v>0</v>
      </c>
      <c r="AW71" s="115">
        <v>0</v>
      </c>
      <c r="AX71" s="1">
        <f t="shared" si="17"/>
        <v>0</v>
      </c>
      <c r="AY71" s="5" t="s">
        <v>573</v>
      </c>
      <c r="AZ71" s="1">
        <f t="shared" si="9"/>
        <v>0</v>
      </c>
      <c r="BA71" s="5" t="s">
        <v>573</v>
      </c>
      <c r="BB71" s="1">
        <f t="shared" si="10"/>
        <v>0</v>
      </c>
      <c r="BC71" s="5">
        <v>4320</v>
      </c>
      <c r="BD71" s="1">
        <f t="shared" si="3"/>
        <v>216</v>
      </c>
      <c r="BE71" s="150" t="s">
        <v>573</v>
      </c>
      <c r="BF71" s="1">
        <f t="shared" si="14"/>
        <v>0</v>
      </c>
      <c r="BG71" s="150" t="s">
        <v>573</v>
      </c>
      <c r="BH71" s="1">
        <f t="shared" si="18"/>
        <v>0</v>
      </c>
      <c r="BI71" s="150" t="s">
        <v>573</v>
      </c>
      <c r="BJ71" s="1">
        <f t="shared" si="15"/>
        <v>0</v>
      </c>
      <c r="BK71" s="156" t="s">
        <v>573</v>
      </c>
      <c r="BL71" s="1">
        <f t="shared" si="16"/>
        <v>0</v>
      </c>
      <c r="BM71" s="141" t="s">
        <v>702</v>
      </c>
      <c r="BN71" s="136" t="s">
        <v>494</v>
      </c>
      <c r="BO71" s="139" t="s">
        <v>763</v>
      </c>
      <c r="BP71" s="137">
        <v>45291</v>
      </c>
    </row>
    <row r="72" spans="1:68" ht="15.75" customHeight="1">
      <c r="A72" s="109" t="s">
        <v>751</v>
      </c>
      <c r="B72" s="122" t="s">
        <v>184</v>
      </c>
      <c r="C72" s="301"/>
      <c r="D72" s="304"/>
      <c r="E72" s="304"/>
      <c r="F72" s="297"/>
      <c r="G72" s="78">
        <v>2016</v>
      </c>
      <c r="H72" s="105" t="s">
        <v>718</v>
      </c>
      <c r="I72" s="76" t="s">
        <v>196</v>
      </c>
      <c r="J72" s="102" t="s">
        <v>197</v>
      </c>
      <c r="K72" s="105" t="s">
        <v>384</v>
      </c>
      <c r="L72" s="105" t="s">
        <v>192</v>
      </c>
      <c r="M72" s="13" t="s">
        <v>193</v>
      </c>
      <c r="N72" s="13">
        <v>5.23</v>
      </c>
      <c r="O72" s="13">
        <v>4.87</v>
      </c>
      <c r="P72" s="13">
        <v>4.87</v>
      </c>
      <c r="Q72" s="13">
        <v>4.87</v>
      </c>
      <c r="R72" s="13">
        <v>4.87</v>
      </c>
      <c r="S72" s="13">
        <v>4.87</v>
      </c>
      <c r="T72" s="13">
        <v>4.87</v>
      </c>
      <c r="U72" s="13">
        <v>4.87</v>
      </c>
      <c r="V72" s="13">
        <v>4.87</v>
      </c>
      <c r="W72" s="13">
        <v>4.87</v>
      </c>
      <c r="X72" s="13">
        <v>4.87</v>
      </c>
      <c r="Y72" s="13">
        <v>4.87</v>
      </c>
      <c r="Z72" s="13">
        <v>4.87</v>
      </c>
      <c r="AA72" s="13">
        <v>4.87</v>
      </c>
      <c r="AB72" s="40">
        <v>0.05</v>
      </c>
      <c r="AC72" s="40">
        <v>0.05</v>
      </c>
      <c r="AD72" s="40">
        <v>0.05</v>
      </c>
      <c r="AE72" s="40">
        <v>0.05</v>
      </c>
      <c r="AF72" s="40">
        <v>0.05</v>
      </c>
      <c r="AG72" s="40">
        <v>0.05</v>
      </c>
      <c r="AH72" s="40">
        <v>0.05</v>
      </c>
      <c r="AI72" s="40">
        <v>0.05</v>
      </c>
      <c r="AJ72" s="40">
        <v>0.05</v>
      </c>
      <c r="AK72" s="40">
        <v>0.05</v>
      </c>
      <c r="AL72" s="40">
        <v>0.05</v>
      </c>
      <c r="AM72" s="40">
        <v>0.05</v>
      </c>
      <c r="AN72" s="40">
        <v>0.05</v>
      </c>
      <c r="AO72" s="116">
        <v>0</v>
      </c>
      <c r="AP72" s="6">
        <f t="shared" si="0"/>
        <v>0</v>
      </c>
      <c r="AQ72" s="115">
        <v>0</v>
      </c>
      <c r="AR72" s="6">
        <f t="shared" si="1"/>
        <v>0</v>
      </c>
      <c r="AS72" s="115" t="s">
        <v>573</v>
      </c>
      <c r="AT72" s="6">
        <f t="shared" si="13"/>
        <v>0</v>
      </c>
      <c r="AU72" s="115">
        <v>0</v>
      </c>
      <c r="AV72" s="1">
        <f t="shared" si="7"/>
        <v>0</v>
      </c>
      <c r="AW72" s="115">
        <v>4320</v>
      </c>
      <c r="AX72" s="1">
        <f t="shared" si="17"/>
        <v>216</v>
      </c>
      <c r="AY72" s="5" t="s">
        <v>573</v>
      </c>
      <c r="AZ72" s="1">
        <f t="shared" si="9"/>
        <v>0</v>
      </c>
      <c r="BA72" s="5" t="s">
        <v>573</v>
      </c>
      <c r="BB72" s="1">
        <f t="shared" si="10"/>
        <v>0</v>
      </c>
      <c r="BC72" s="5" t="s">
        <v>573</v>
      </c>
      <c r="BD72" s="1">
        <f t="shared" si="3"/>
        <v>0</v>
      </c>
      <c r="BE72" s="150" t="s">
        <v>573</v>
      </c>
      <c r="BF72" s="1">
        <f t="shared" si="14"/>
        <v>0</v>
      </c>
      <c r="BG72" s="150" t="s">
        <v>573</v>
      </c>
      <c r="BH72" s="1">
        <f t="shared" si="18"/>
        <v>0</v>
      </c>
      <c r="BI72" s="150" t="s">
        <v>573</v>
      </c>
      <c r="BJ72" s="1">
        <f t="shared" si="15"/>
        <v>0</v>
      </c>
      <c r="BK72" s="156" t="s">
        <v>573</v>
      </c>
      <c r="BL72" s="1">
        <f t="shared" si="16"/>
        <v>0</v>
      </c>
      <c r="BM72" s="141" t="s">
        <v>703</v>
      </c>
      <c r="BN72" s="136" t="s">
        <v>494</v>
      </c>
      <c r="BO72" s="139" t="s">
        <v>763</v>
      </c>
      <c r="BP72" s="137">
        <v>45291</v>
      </c>
    </row>
    <row r="73" spans="1:68" ht="15.75" customHeight="1">
      <c r="A73" s="109" t="s">
        <v>751</v>
      </c>
      <c r="B73" s="122" t="s">
        <v>184</v>
      </c>
      <c r="C73" s="301"/>
      <c r="D73" s="304"/>
      <c r="E73" s="304"/>
      <c r="F73" s="297"/>
      <c r="G73" s="78">
        <v>2016</v>
      </c>
      <c r="H73" s="105" t="s">
        <v>718</v>
      </c>
      <c r="I73" s="76" t="s">
        <v>196</v>
      </c>
      <c r="J73" s="102" t="s">
        <v>197</v>
      </c>
      <c r="K73" s="105" t="s">
        <v>247</v>
      </c>
      <c r="L73" s="105" t="s">
        <v>192</v>
      </c>
      <c r="M73" s="13" t="s">
        <v>193</v>
      </c>
      <c r="N73" s="13">
        <v>5.38</v>
      </c>
      <c r="O73" s="13">
        <v>5.17</v>
      </c>
      <c r="P73" s="13">
        <v>5.17</v>
      </c>
      <c r="Q73" s="13">
        <v>5.17</v>
      </c>
      <c r="R73" s="13">
        <v>5.17</v>
      </c>
      <c r="S73" s="13">
        <v>5.17</v>
      </c>
      <c r="T73" s="13">
        <v>5.17</v>
      </c>
      <c r="U73" s="13">
        <v>5.17</v>
      </c>
      <c r="V73" s="13">
        <v>5.17</v>
      </c>
      <c r="W73" s="13">
        <v>5.17</v>
      </c>
      <c r="X73" s="13">
        <v>5.17</v>
      </c>
      <c r="Y73" s="13">
        <v>5.17</v>
      </c>
      <c r="Z73" s="13">
        <v>5.17</v>
      </c>
      <c r="AA73" s="13">
        <v>5.17</v>
      </c>
      <c r="AB73" s="40">
        <v>0.05</v>
      </c>
      <c r="AC73" s="40">
        <v>0.05</v>
      </c>
      <c r="AD73" s="40">
        <v>0.05</v>
      </c>
      <c r="AE73" s="40">
        <v>0.05</v>
      </c>
      <c r="AF73" s="40">
        <v>0.05</v>
      </c>
      <c r="AG73" s="40">
        <v>0.05</v>
      </c>
      <c r="AH73" s="40">
        <v>0.05</v>
      </c>
      <c r="AI73" s="40">
        <v>0.05</v>
      </c>
      <c r="AJ73" s="40">
        <v>0.05</v>
      </c>
      <c r="AK73" s="40">
        <v>0.05</v>
      </c>
      <c r="AL73" s="40">
        <v>0.05</v>
      </c>
      <c r="AM73" s="40">
        <v>0.05</v>
      </c>
      <c r="AN73" s="40">
        <v>0.05</v>
      </c>
      <c r="AO73" s="116">
        <v>0</v>
      </c>
      <c r="AP73" s="6">
        <f t="shared" si="0"/>
        <v>0</v>
      </c>
      <c r="AQ73" s="115">
        <v>0</v>
      </c>
      <c r="AR73" s="6">
        <f t="shared" si="1"/>
        <v>0</v>
      </c>
      <c r="AS73" s="115">
        <v>4320</v>
      </c>
      <c r="AT73" s="6">
        <f t="shared" si="13"/>
        <v>216</v>
      </c>
      <c r="AU73" s="115">
        <v>0</v>
      </c>
      <c r="AV73" s="1">
        <f t="shared" si="7"/>
        <v>0</v>
      </c>
      <c r="AW73" s="115">
        <v>0</v>
      </c>
      <c r="AX73" s="1">
        <f t="shared" si="17"/>
        <v>0</v>
      </c>
      <c r="AY73" s="5" t="s">
        <v>573</v>
      </c>
      <c r="AZ73" s="1">
        <f t="shared" si="9"/>
        <v>0</v>
      </c>
      <c r="BA73" s="5">
        <v>4320</v>
      </c>
      <c r="BB73" s="1">
        <f t="shared" si="10"/>
        <v>216</v>
      </c>
      <c r="BC73" s="5" t="s">
        <v>573</v>
      </c>
      <c r="BD73" s="1">
        <f t="shared" si="3"/>
        <v>0</v>
      </c>
      <c r="BE73" s="150" t="s">
        <v>573</v>
      </c>
      <c r="BF73" s="1">
        <f t="shared" si="14"/>
        <v>0</v>
      </c>
      <c r="BG73" s="150">
        <v>4320</v>
      </c>
      <c r="BH73" s="1">
        <f t="shared" si="18"/>
        <v>216</v>
      </c>
      <c r="BI73" s="150" t="s">
        <v>573</v>
      </c>
      <c r="BJ73" s="1">
        <f t="shared" si="15"/>
        <v>0</v>
      </c>
      <c r="BK73" s="156" t="s">
        <v>573</v>
      </c>
      <c r="BL73" s="1">
        <f t="shared" si="16"/>
        <v>0</v>
      </c>
      <c r="BM73" s="141" t="s">
        <v>707</v>
      </c>
      <c r="BN73" s="136" t="s">
        <v>494</v>
      </c>
      <c r="BO73" s="139" t="s">
        <v>763</v>
      </c>
      <c r="BP73" s="137">
        <v>46022</v>
      </c>
    </row>
    <row r="74" spans="1:68" ht="15.75" customHeight="1">
      <c r="A74" s="109" t="s">
        <v>751</v>
      </c>
      <c r="B74" s="122" t="s">
        <v>184</v>
      </c>
      <c r="C74" s="301"/>
      <c r="D74" s="304"/>
      <c r="E74" s="304"/>
      <c r="F74" s="297"/>
      <c r="G74" s="78">
        <v>2016</v>
      </c>
      <c r="H74" s="105" t="s">
        <v>718</v>
      </c>
      <c r="I74" s="76" t="s">
        <v>196</v>
      </c>
      <c r="J74" s="102" t="s">
        <v>197</v>
      </c>
      <c r="K74" s="105" t="s">
        <v>247</v>
      </c>
      <c r="L74" s="105" t="s">
        <v>192</v>
      </c>
      <c r="M74" s="13" t="s">
        <v>193</v>
      </c>
      <c r="N74" s="13">
        <v>5.38</v>
      </c>
      <c r="O74" s="13">
        <v>5.62</v>
      </c>
      <c r="P74" s="13">
        <v>5.62</v>
      </c>
      <c r="Q74" s="13">
        <v>5.62</v>
      </c>
      <c r="R74" s="13">
        <v>5.62</v>
      </c>
      <c r="S74" s="13">
        <v>5.62</v>
      </c>
      <c r="T74" s="13">
        <v>5.62</v>
      </c>
      <c r="U74" s="13">
        <v>5.62</v>
      </c>
      <c r="V74" s="13">
        <v>5.62</v>
      </c>
      <c r="W74" s="13">
        <v>5.62</v>
      </c>
      <c r="X74" s="13">
        <v>5.62</v>
      </c>
      <c r="Y74" s="13">
        <v>5.62</v>
      </c>
      <c r="Z74" s="13">
        <v>5.62</v>
      </c>
      <c r="AA74" s="13">
        <v>5.62</v>
      </c>
      <c r="AB74" s="40">
        <v>0.14000000000000001</v>
      </c>
      <c r="AC74" s="40">
        <v>0.14000000000000001</v>
      </c>
      <c r="AD74" s="40">
        <v>0.14000000000000001</v>
      </c>
      <c r="AE74" s="40">
        <v>0.14000000000000001</v>
      </c>
      <c r="AF74" s="40">
        <v>0.14000000000000001</v>
      </c>
      <c r="AG74" s="40">
        <v>0.14000000000000001</v>
      </c>
      <c r="AH74" s="40">
        <v>0.14000000000000001</v>
      </c>
      <c r="AI74" s="40">
        <v>0.14000000000000001</v>
      </c>
      <c r="AJ74" s="40">
        <v>0.14000000000000001</v>
      </c>
      <c r="AK74" s="40">
        <v>0.14000000000000001</v>
      </c>
      <c r="AL74" s="40">
        <v>0.14000000000000001</v>
      </c>
      <c r="AM74" s="40">
        <v>0.14000000000000001</v>
      </c>
      <c r="AN74" s="40">
        <v>0.14000000000000001</v>
      </c>
      <c r="AO74" s="116">
        <v>0</v>
      </c>
      <c r="AP74" s="6">
        <f t="shared" si="0"/>
        <v>0</v>
      </c>
      <c r="AQ74" s="115">
        <v>0</v>
      </c>
      <c r="AR74" s="6">
        <f t="shared" si="1"/>
        <v>0</v>
      </c>
      <c r="AS74" s="115" t="s">
        <v>573</v>
      </c>
      <c r="AT74" s="6">
        <f t="shared" si="13"/>
        <v>0</v>
      </c>
      <c r="AU74" s="115">
        <v>0</v>
      </c>
      <c r="AV74" s="1">
        <f t="shared" si="7"/>
        <v>0</v>
      </c>
      <c r="AW74" s="115">
        <v>4680</v>
      </c>
      <c r="AX74" s="1">
        <f t="shared" si="17"/>
        <v>655.20000000000005</v>
      </c>
      <c r="AY74" s="5" t="s">
        <v>573</v>
      </c>
      <c r="AZ74" s="1">
        <f t="shared" si="9"/>
        <v>0</v>
      </c>
      <c r="BA74" s="5" t="s">
        <v>573</v>
      </c>
      <c r="BB74" s="1">
        <f t="shared" si="10"/>
        <v>0</v>
      </c>
      <c r="BC74" s="5">
        <v>3120</v>
      </c>
      <c r="BD74" s="1">
        <f t="shared" si="3"/>
        <v>436.80000000000007</v>
      </c>
      <c r="BE74" s="150" t="s">
        <v>573</v>
      </c>
      <c r="BF74" s="1">
        <f t="shared" si="14"/>
        <v>0</v>
      </c>
      <c r="BG74" s="150">
        <v>1560</v>
      </c>
      <c r="BH74" s="1">
        <f t="shared" si="18"/>
        <v>218.40000000000003</v>
      </c>
      <c r="BI74" s="150">
        <v>1560</v>
      </c>
      <c r="BJ74" s="1">
        <f t="shared" si="15"/>
        <v>218.40000000000003</v>
      </c>
      <c r="BK74" s="156" t="s">
        <v>573</v>
      </c>
      <c r="BL74" s="1">
        <f t="shared" si="16"/>
        <v>0</v>
      </c>
      <c r="BM74" s="141" t="s">
        <v>708</v>
      </c>
      <c r="BN74" s="136" t="s">
        <v>17</v>
      </c>
      <c r="BO74" s="139" t="s">
        <v>754</v>
      </c>
      <c r="BP74" s="137">
        <v>46022</v>
      </c>
    </row>
    <row r="75" spans="1:68" ht="15.75" customHeight="1">
      <c r="A75" s="109" t="s">
        <v>751</v>
      </c>
      <c r="B75" s="122" t="s">
        <v>184</v>
      </c>
      <c r="C75" s="301"/>
      <c r="D75" s="304"/>
      <c r="E75" s="304"/>
      <c r="F75" s="297"/>
      <c r="G75" s="78">
        <v>2016</v>
      </c>
      <c r="H75" s="105" t="s">
        <v>718</v>
      </c>
      <c r="I75" s="76" t="s">
        <v>196</v>
      </c>
      <c r="J75" s="102" t="s">
        <v>197</v>
      </c>
      <c r="K75" s="105" t="s">
        <v>251</v>
      </c>
      <c r="L75" s="105" t="s">
        <v>192</v>
      </c>
      <c r="M75" s="13" t="s">
        <v>193</v>
      </c>
      <c r="N75" s="13">
        <v>5.72</v>
      </c>
      <c r="O75" s="13">
        <v>5.17</v>
      </c>
      <c r="P75" s="13">
        <v>5.17</v>
      </c>
      <c r="Q75" s="13">
        <v>5.17</v>
      </c>
      <c r="R75" s="13">
        <v>5.17</v>
      </c>
      <c r="S75" s="13">
        <v>5.17</v>
      </c>
      <c r="T75" s="13">
        <v>5.17</v>
      </c>
      <c r="U75" s="13">
        <v>5.17</v>
      </c>
      <c r="V75" s="13">
        <v>5.17</v>
      </c>
      <c r="W75" s="13">
        <v>5.17</v>
      </c>
      <c r="X75" s="13">
        <v>5.17</v>
      </c>
      <c r="Y75" s="13">
        <v>5.17</v>
      </c>
      <c r="Z75" s="13">
        <v>5.17</v>
      </c>
      <c r="AA75" s="13">
        <v>5.17</v>
      </c>
      <c r="AB75" s="40">
        <v>0.05</v>
      </c>
      <c r="AC75" s="40">
        <v>0.05</v>
      </c>
      <c r="AD75" s="40">
        <v>0.05</v>
      </c>
      <c r="AE75" s="40">
        <v>0.05</v>
      </c>
      <c r="AF75" s="40">
        <v>0.05</v>
      </c>
      <c r="AG75" s="40">
        <v>0.05</v>
      </c>
      <c r="AH75" s="40">
        <v>0.05</v>
      </c>
      <c r="AI75" s="40">
        <v>0.05</v>
      </c>
      <c r="AJ75" s="40">
        <v>0.05</v>
      </c>
      <c r="AK75" s="40">
        <v>0.05</v>
      </c>
      <c r="AL75" s="40">
        <v>0.05</v>
      </c>
      <c r="AM75" s="40">
        <v>0.05</v>
      </c>
      <c r="AN75" s="40">
        <v>0.05</v>
      </c>
      <c r="AO75" s="116">
        <v>0</v>
      </c>
      <c r="AP75" s="6">
        <f t="shared" si="0"/>
        <v>0</v>
      </c>
      <c r="AQ75" s="115">
        <v>17280</v>
      </c>
      <c r="AR75" s="6">
        <f t="shared" si="1"/>
        <v>864</v>
      </c>
      <c r="AS75" s="115">
        <v>17280</v>
      </c>
      <c r="AT75" s="6">
        <f t="shared" si="13"/>
        <v>864</v>
      </c>
      <c r="AU75" s="115">
        <v>0</v>
      </c>
      <c r="AV75" s="1">
        <f t="shared" si="7"/>
        <v>0</v>
      </c>
      <c r="AW75" s="115">
        <v>8640</v>
      </c>
      <c r="AX75" s="1">
        <f t="shared" si="17"/>
        <v>432</v>
      </c>
      <c r="AY75" s="5" t="s">
        <v>573</v>
      </c>
      <c r="AZ75" s="1">
        <f t="shared" si="9"/>
        <v>0</v>
      </c>
      <c r="BA75" s="5">
        <v>4320</v>
      </c>
      <c r="BB75" s="1">
        <f t="shared" si="10"/>
        <v>216</v>
      </c>
      <c r="BC75" s="5">
        <v>4320</v>
      </c>
      <c r="BD75" s="1">
        <f t="shared" si="3"/>
        <v>216</v>
      </c>
      <c r="BE75" s="150" t="s">
        <v>573</v>
      </c>
      <c r="BF75" s="1">
        <f t="shared" si="14"/>
        <v>0</v>
      </c>
      <c r="BG75" s="150">
        <v>4320</v>
      </c>
      <c r="BH75" s="1">
        <f t="shared" si="18"/>
        <v>216</v>
      </c>
      <c r="BI75" s="150" t="s">
        <v>573</v>
      </c>
      <c r="BJ75" s="1">
        <f t="shared" si="15"/>
        <v>0</v>
      </c>
      <c r="BK75" s="156">
        <v>4320</v>
      </c>
      <c r="BL75" s="1">
        <f t="shared" si="16"/>
        <v>216</v>
      </c>
      <c r="BM75" s="141" t="s">
        <v>709</v>
      </c>
      <c r="BN75" s="136" t="s">
        <v>494</v>
      </c>
      <c r="BO75" s="139" t="s">
        <v>763</v>
      </c>
      <c r="BP75" s="137">
        <v>46022</v>
      </c>
    </row>
    <row r="76" spans="1:68" ht="15.75" customHeight="1">
      <c r="A76" s="109" t="s">
        <v>751</v>
      </c>
      <c r="B76" s="122" t="s">
        <v>184</v>
      </c>
      <c r="C76" s="301"/>
      <c r="D76" s="304"/>
      <c r="E76" s="304"/>
      <c r="F76" s="297"/>
      <c r="G76" s="78">
        <v>2016</v>
      </c>
      <c r="H76" s="105" t="s">
        <v>718</v>
      </c>
      <c r="I76" s="76" t="s">
        <v>196</v>
      </c>
      <c r="J76" s="103" t="s">
        <v>197</v>
      </c>
      <c r="K76" s="105" t="s">
        <v>251</v>
      </c>
      <c r="L76" s="105" t="s">
        <v>192</v>
      </c>
      <c r="M76" s="13" t="s">
        <v>193</v>
      </c>
      <c r="N76" s="13">
        <v>5.72</v>
      </c>
      <c r="O76" s="13">
        <v>5.62</v>
      </c>
      <c r="P76" s="13">
        <v>5.62</v>
      </c>
      <c r="Q76" s="13">
        <v>5.62</v>
      </c>
      <c r="R76" s="13">
        <v>5.62</v>
      </c>
      <c r="S76" s="13">
        <v>5.62</v>
      </c>
      <c r="T76" s="13">
        <v>5.62</v>
      </c>
      <c r="U76" s="13">
        <v>5.62</v>
      </c>
      <c r="V76" s="13">
        <v>5.62</v>
      </c>
      <c r="W76" s="13">
        <v>5.62</v>
      </c>
      <c r="X76" s="13">
        <v>5.62</v>
      </c>
      <c r="Y76" s="13">
        <v>5.62</v>
      </c>
      <c r="Z76" s="13">
        <v>5.62</v>
      </c>
      <c r="AA76" s="13">
        <v>5.62</v>
      </c>
      <c r="AB76" s="40">
        <v>0.14000000000000001</v>
      </c>
      <c r="AC76" s="40">
        <v>0.14000000000000001</v>
      </c>
      <c r="AD76" s="40">
        <v>0.14000000000000001</v>
      </c>
      <c r="AE76" s="40">
        <v>0.14000000000000001</v>
      </c>
      <c r="AF76" s="40">
        <v>0.14000000000000001</v>
      </c>
      <c r="AG76" s="40">
        <v>0.14000000000000001</v>
      </c>
      <c r="AH76" s="40">
        <v>0.14000000000000001</v>
      </c>
      <c r="AI76" s="40">
        <v>0.14000000000000001</v>
      </c>
      <c r="AJ76" s="40">
        <v>0.14000000000000001</v>
      </c>
      <c r="AK76" s="40">
        <v>0.14000000000000001</v>
      </c>
      <c r="AL76" s="40">
        <v>0.14000000000000001</v>
      </c>
      <c r="AM76" s="40">
        <v>0.14000000000000001</v>
      </c>
      <c r="AN76" s="40">
        <v>0.14000000000000001</v>
      </c>
      <c r="AO76" s="116">
        <v>0</v>
      </c>
      <c r="AP76" s="6">
        <f t="shared" si="0"/>
        <v>0</v>
      </c>
      <c r="AQ76" s="115">
        <v>0</v>
      </c>
      <c r="AR76" s="6">
        <f t="shared" si="1"/>
        <v>0</v>
      </c>
      <c r="AS76" s="115" t="s">
        <v>573</v>
      </c>
      <c r="AT76" s="6">
        <f t="shared" si="13"/>
        <v>0</v>
      </c>
      <c r="AU76" s="115">
        <v>0</v>
      </c>
      <c r="AV76" s="1">
        <f t="shared" si="7"/>
        <v>0</v>
      </c>
      <c r="AW76" s="115">
        <v>0</v>
      </c>
      <c r="AX76" s="1">
        <f t="shared" si="17"/>
        <v>0</v>
      </c>
      <c r="AY76" s="5">
        <v>1560</v>
      </c>
      <c r="AZ76" s="1">
        <f t="shared" si="9"/>
        <v>218.40000000000003</v>
      </c>
      <c r="BA76" s="5" t="s">
        <v>573</v>
      </c>
      <c r="BB76" s="1">
        <f t="shared" si="10"/>
        <v>0</v>
      </c>
      <c r="BC76" s="5">
        <v>6240</v>
      </c>
      <c r="BD76" s="1">
        <f t="shared" si="3"/>
        <v>873.60000000000014</v>
      </c>
      <c r="BE76" s="150">
        <v>1560</v>
      </c>
      <c r="BF76" s="1">
        <f t="shared" si="14"/>
        <v>218.40000000000003</v>
      </c>
      <c r="BG76" s="150">
        <v>1560</v>
      </c>
      <c r="BH76" s="1">
        <f t="shared" si="18"/>
        <v>218.40000000000003</v>
      </c>
      <c r="BI76" s="150">
        <v>1560</v>
      </c>
      <c r="BJ76" s="1">
        <f t="shared" si="15"/>
        <v>218.40000000000003</v>
      </c>
      <c r="BK76" s="156" t="s">
        <v>573</v>
      </c>
      <c r="BL76" s="1">
        <f t="shared" si="16"/>
        <v>0</v>
      </c>
      <c r="BM76" s="141" t="s">
        <v>710</v>
      </c>
      <c r="BN76" s="136" t="s">
        <v>17</v>
      </c>
      <c r="BO76" s="139" t="s">
        <v>754</v>
      </c>
      <c r="BP76" s="137">
        <v>46022</v>
      </c>
    </row>
    <row r="77" spans="1:68" ht="15.75" customHeight="1">
      <c r="A77" s="109" t="s">
        <v>751</v>
      </c>
      <c r="B77" s="122" t="s">
        <v>184</v>
      </c>
      <c r="C77" s="301"/>
      <c r="D77" s="304"/>
      <c r="E77" s="304"/>
      <c r="F77" s="297"/>
      <c r="G77" s="78">
        <v>2016</v>
      </c>
      <c r="H77" s="105" t="s">
        <v>718</v>
      </c>
      <c r="I77" s="76" t="s">
        <v>196</v>
      </c>
      <c r="J77" s="102" t="s">
        <v>197</v>
      </c>
      <c r="K77" s="105" t="s">
        <v>241</v>
      </c>
      <c r="L77" s="105" t="s">
        <v>192</v>
      </c>
      <c r="M77" s="13" t="s">
        <v>193</v>
      </c>
      <c r="N77" s="13">
        <v>5.62</v>
      </c>
      <c r="O77" s="13">
        <v>5.59</v>
      </c>
      <c r="P77" s="13">
        <v>5.59</v>
      </c>
      <c r="Q77" s="13">
        <v>5.59</v>
      </c>
      <c r="R77" s="13">
        <v>5.59</v>
      </c>
      <c r="S77" s="13">
        <v>5.59</v>
      </c>
      <c r="T77" s="13">
        <v>5.59</v>
      </c>
      <c r="U77" s="13">
        <v>5.59</v>
      </c>
      <c r="V77" s="13">
        <v>5.59</v>
      </c>
      <c r="W77" s="13">
        <v>5.59</v>
      </c>
      <c r="X77" s="13">
        <v>5.59</v>
      </c>
      <c r="Y77" s="13">
        <v>5.59</v>
      </c>
      <c r="Z77" s="13">
        <v>5.59</v>
      </c>
      <c r="AA77" s="13">
        <v>5.59</v>
      </c>
      <c r="AB77" s="40">
        <v>0.05</v>
      </c>
      <c r="AC77" s="40">
        <v>0.05</v>
      </c>
      <c r="AD77" s="40">
        <v>0.05</v>
      </c>
      <c r="AE77" s="40">
        <v>0.05</v>
      </c>
      <c r="AF77" s="40">
        <v>0.05</v>
      </c>
      <c r="AG77" s="40">
        <v>0.05</v>
      </c>
      <c r="AH77" s="40">
        <v>0.05</v>
      </c>
      <c r="AI77" s="40">
        <v>0.05</v>
      </c>
      <c r="AJ77" s="40">
        <v>0.05</v>
      </c>
      <c r="AK77" s="40">
        <v>0.05</v>
      </c>
      <c r="AL77" s="40">
        <v>0.05</v>
      </c>
      <c r="AM77" s="40">
        <v>0.05</v>
      </c>
      <c r="AN77" s="40">
        <v>0.05</v>
      </c>
      <c r="AO77" s="116">
        <v>0</v>
      </c>
      <c r="AP77" s="6">
        <f t="shared" si="0"/>
        <v>0</v>
      </c>
      <c r="AQ77" s="115">
        <v>4320</v>
      </c>
      <c r="AR77" s="6">
        <f t="shared" si="1"/>
        <v>216</v>
      </c>
      <c r="AS77" s="115" t="s">
        <v>573</v>
      </c>
      <c r="AT77" s="6">
        <f t="shared" si="13"/>
        <v>0</v>
      </c>
      <c r="AU77" s="115">
        <v>0</v>
      </c>
      <c r="AV77" s="1">
        <f t="shared" si="7"/>
        <v>0</v>
      </c>
      <c r="AW77" s="115">
        <v>0</v>
      </c>
      <c r="AX77" s="1">
        <f t="shared" si="17"/>
        <v>0</v>
      </c>
      <c r="AY77" s="5" t="s">
        <v>573</v>
      </c>
      <c r="AZ77" s="1">
        <f t="shared" si="9"/>
        <v>0</v>
      </c>
      <c r="BA77" s="5" t="s">
        <v>573</v>
      </c>
      <c r="BB77" s="1">
        <f t="shared" si="10"/>
        <v>0</v>
      </c>
      <c r="BC77" s="5" t="s">
        <v>573</v>
      </c>
      <c r="BD77" s="1">
        <f t="shared" si="3"/>
        <v>0</v>
      </c>
      <c r="BE77" s="150">
        <v>4320</v>
      </c>
      <c r="BF77" s="1">
        <f t="shared" si="14"/>
        <v>216</v>
      </c>
      <c r="BG77" s="150" t="s">
        <v>573</v>
      </c>
      <c r="BH77" s="1">
        <f t="shared" si="18"/>
        <v>0</v>
      </c>
      <c r="BI77" s="150" t="s">
        <v>573</v>
      </c>
      <c r="BJ77" s="1">
        <f t="shared" si="15"/>
        <v>0</v>
      </c>
      <c r="BK77" s="156" t="s">
        <v>573</v>
      </c>
      <c r="BL77" s="1">
        <f t="shared" si="16"/>
        <v>0</v>
      </c>
      <c r="BM77" s="141" t="s">
        <v>580</v>
      </c>
      <c r="BN77" s="136" t="s">
        <v>494</v>
      </c>
      <c r="BO77" s="139" t="s">
        <v>763</v>
      </c>
      <c r="BP77" s="137">
        <v>46022</v>
      </c>
    </row>
    <row r="78" spans="1:68" ht="15.75" customHeight="1">
      <c r="A78" s="109" t="s">
        <v>751</v>
      </c>
      <c r="B78" s="122" t="s">
        <v>184</v>
      </c>
      <c r="C78" s="301"/>
      <c r="D78" s="304"/>
      <c r="E78" s="304"/>
      <c r="F78" s="297"/>
      <c r="G78" s="78">
        <v>2016</v>
      </c>
      <c r="H78" s="105" t="str">
        <f>_xlfn.XLOOKUP(BM78,'[5]Package breakdown0503'!$F:$F,'[5]Package breakdown0503'!$B:$B)</f>
        <v>Gadget</v>
      </c>
      <c r="I78" s="76" t="s">
        <v>196</v>
      </c>
      <c r="J78" s="102" t="s">
        <v>197</v>
      </c>
      <c r="K78" s="105" t="s">
        <v>387</v>
      </c>
      <c r="L78" s="105" t="s">
        <v>192</v>
      </c>
      <c r="M78" s="13" t="s">
        <v>193</v>
      </c>
      <c r="N78" s="13">
        <v>5.1100000000000003</v>
      </c>
      <c r="O78" s="13">
        <v>4.87</v>
      </c>
      <c r="P78" s="13">
        <v>4.87</v>
      </c>
      <c r="Q78" s="13">
        <v>4.87</v>
      </c>
      <c r="R78" s="13">
        <v>4.87</v>
      </c>
      <c r="S78" s="13">
        <v>4.87</v>
      </c>
      <c r="T78" s="13">
        <v>4.87</v>
      </c>
      <c r="U78" s="13">
        <v>4.87</v>
      </c>
      <c r="V78" s="13">
        <v>4.87</v>
      </c>
      <c r="W78" s="13">
        <v>4.87</v>
      </c>
      <c r="X78" s="13">
        <v>4.87</v>
      </c>
      <c r="Y78" s="13">
        <v>4.87</v>
      </c>
      <c r="Z78" s="13">
        <v>4.87</v>
      </c>
      <c r="AA78" s="13">
        <v>4.87</v>
      </c>
      <c r="AB78" s="40">
        <v>0.05</v>
      </c>
      <c r="AC78" s="40">
        <v>0.05</v>
      </c>
      <c r="AD78" s="40">
        <v>0.05</v>
      </c>
      <c r="AE78" s="40">
        <v>0.05</v>
      </c>
      <c r="AF78" s="40">
        <v>0.05</v>
      </c>
      <c r="AG78" s="40">
        <v>0.05</v>
      </c>
      <c r="AH78" s="40">
        <v>0.05</v>
      </c>
      <c r="AI78" s="40">
        <v>0.05</v>
      </c>
      <c r="AJ78" s="40">
        <v>0.05</v>
      </c>
      <c r="AK78" s="40">
        <v>0.05</v>
      </c>
      <c r="AL78" s="40">
        <v>0.05</v>
      </c>
      <c r="AM78" s="40">
        <v>0.05</v>
      </c>
      <c r="AN78" s="40">
        <v>0.05</v>
      </c>
      <c r="AO78" s="116">
        <v>0</v>
      </c>
      <c r="AP78" s="6">
        <f t="shared" si="0"/>
        <v>0</v>
      </c>
      <c r="AQ78" s="115">
        <v>4320</v>
      </c>
      <c r="AR78" s="6">
        <f t="shared" si="1"/>
        <v>216</v>
      </c>
      <c r="AS78" s="115" t="s">
        <v>573</v>
      </c>
      <c r="AT78" s="6">
        <f t="shared" si="13"/>
        <v>0</v>
      </c>
      <c r="AU78" s="115">
        <v>0</v>
      </c>
      <c r="AV78" s="1">
        <f t="shared" si="7"/>
        <v>0</v>
      </c>
      <c r="AW78" s="115">
        <v>0</v>
      </c>
      <c r="AX78" s="1">
        <f t="shared" si="17"/>
        <v>0</v>
      </c>
      <c r="AY78" s="5" t="s">
        <v>573</v>
      </c>
      <c r="AZ78" s="1">
        <f t="shared" si="9"/>
        <v>0</v>
      </c>
      <c r="BA78" s="5" t="s">
        <v>573</v>
      </c>
      <c r="BB78" s="1">
        <f t="shared" si="10"/>
        <v>0</v>
      </c>
      <c r="BC78" s="5" t="s">
        <v>573</v>
      </c>
      <c r="BD78" s="1">
        <f t="shared" si="3"/>
        <v>0</v>
      </c>
      <c r="BE78" s="150" t="s">
        <v>573</v>
      </c>
      <c r="BF78" s="1">
        <f t="shared" si="14"/>
        <v>0</v>
      </c>
      <c r="BG78" s="150" t="s">
        <v>573</v>
      </c>
      <c r="BH78" s="1">
        <f t="shared" si="18"/>
        <v>0</v>
      </c>
      <c r="BI78" s="150" t="s">
        <v>573</v>
      </c>
      <c r="BJ78" s="1">
        <f t="shared" si="15"/>
        <v>0</v>
      </c>
      <c r="BK78" s="156" t="s">
        <v>573</v>
      </c>
      <c r="BL78" s="1">
        <f t="shared" si="16"/>
        <v>0</v>
      </c>
      <c r="BM78" s="141" t="s">
        <v>624</v>
      </c>
      <c r="BN78" s="136" t="s">
        <v>494</v>
      </c>
      <c r="BO78" s="139" t="s">
        <v>763</v>
      </c>
      <c r="BP78" s="137">
        <v>46022</v>
      </c>
    </row>
    <row r="79" spans="1:68" ht="15.75" customHeight="1">
      <c r="A79" s="109" t="s">
        <v>751</v>
      </c>
      <c r="B79" s="122" t="s">
        <v>184</v>
      </c>
      <c r="C79" s="301"/>
      <c r="D79" s="304"/>
      <c r="E79" s="304"/>
      <c r="F79" s="297"/>
      <c r="G79" s="78">
        <v>2016</v>
      </c>
      <c r="H79" s="105" t="s">
        <v>718</v>
      </c>
      <c r="I79" s="76" t="s">
        <v>196</v>
      </c>
      <c r="J79" s="102" t="s">
        <v>197</v>
      </c>
      <c r="K79" s="105" t="s">
        <v>761</v>
      </c>
      <c r="L79" s="105" t="s">
        <v>192</v>
      </c>
      <c r="M79" s="13" t="s">
        <v>193</v>
      </c>
      <c r="N79" s="13">
        <v>5.39</v>
      </c>
      <c r="O79" s="13">
        <v>5.81</v>
      </c>
      <c r="P79" s="13">
        <v>5.81</v>
      </c>
      <c r="Q79" s="13">
        <v>5.81</v>
      </c>
      <c r="R79" s="13">
        <v>5.81</v>
      </c>
      <c r="S79" s="13">
        <v>5.81</v>
      </c>
      <c r="T79" s="13">
        <v>5.81</v>
      </c>
      <c r="U79" s="13">
        <v>5.81</v>
      </c>
      <c r="V79" s="13">
        <v>5.81</v>
      </c>
      <c r="W79" s="13">
        <v>5.81</v>
      </c>
      <c r="X79" s="13">
        <v>5.81</v>
      </c>
      <c r="Y79" s="13">
        <v>5.81</v>
      </c>
      <c r="Z79" s="13">
        <v>5.81</v>
      </c>
      <c r="AA79" s="13">
        <v>5.81</v>
      </c>
      <c r="AB79" s="40">
        <v>0.05</v>
      </c>
      <c r="AC79" s="40">
        <v>0.05</v>
      </c>
      <c r="AD79" s="40">
        <v>0.05</v>
      </c>
      <c r="AE79" s="40">
        <v>0.05</v>
      </c>
      <c r="AF79" s="40">
        <v>0.05</v>
      </c>
      <c r="AG79" s="40">
        <v>0.05</v>
      </c>
      <c r="AH79" s="40">
        <v>0.05</v>
      </c>
      <c r="AI79" s="40">
        <v>0.05</v>
      </c>
      <c r="AJ79" s="40">
        <v>0.05</v>
      </c>
      <c r="AK79" s="40">
        <v>0.05</v>
      </c>
      <c r="AL79" s="40">
        <v>0.05</v>
      </c>
      <c r="AM79" s="40">
        <v>0.05</v>
      </c>
      <c r="AN79" s="40">
        <v>0.05</v>
      </c>
      <c r="AO79" s="116">
        <v>4320</v>
      </c>
      <c r="AP79" s="6">
        <f t="shared" si="0"/>
        <v>216</v>
      </c>
      <c r="AQ79" s="115">
        <v>0</v>
      </c>
      <c r="AR79" s="6">
        <f t="shared" si="1"/>
        <v>0</v>
      </c>
      <c r="AS79" s="115">
        <v>4320</v>
      </c>
      <c r="AT79" s="6">
        <f t="shared" si="13"/>
        <v>216</v>
      </c>
      <c r="AU79" s="115">
        <v>0</v>
      </c>
      <c r="AV79" s="1">
        <f t="shared" si="7"/>
        <v>0</v>
      </c>
      <c r="AW79" s="115">
        <v>4320</v>
      </c>
      <c r="AX79" s="1">
        <f t="shared" si="17"/>
        <v>216</v>
      </c>
      <c r="AY79" s="5" t="s">
        <v>573</v>
      </c>
      <c r="AZ79" s="1">
        <f t="shared" si="9"/>
        <v>0</v>
      </c>
      <c r="BA79" s="5" t="s">
        <v>573</v>
      </c>
      <c r="BB79" s="1">
        <f t="shared" si="10"/>
        <v>0</v>
      </c>
      <c r="BC79" s="5">
        <v>4320</v>
      </c>
      <c r="BD79" s="1">
        <f t="shared" si="3"/>
        <v>216</v>
      </c>
      <c r="BE79" s="150" t="s">
        <v>573</v>
      </c>
      <c r="BF79" s="1">
        <f t="shared" si="14"/>
        <v>0</v>
      </c>
      <c r="BG79" s="150" t="s">
        <v>573</v>
      </c>
      <c r="BH79" s="1">
        <f t="shared" si="18"/>
        <v>0</v>
      </c>
      <c r="BI79" s="150" t="s">
        <v>573</v>
      </c>
      <c r="BJ79" s="1">
        <f t="shared" si="15"/>
        <v>0</v>
      </c>
      <c r="BK79" s="156" t="s">
        <v>573</v>
      </c>
      <c r="BL79" s="1">
        <f t="shared" si="16"/>
        <v>0</v>
      </c>
      <c r="BM79" s="141" t="s">
        <v>501</v>
      </c>
      <c r="BN79" s="136" t="s">
        <v>494</v>
      </c>
      <c r="BO79" s="139" t="s">
        <v>763</v>
      </c>
      <c r="BP79" s="137">
        <v>46022</v>
      </c>
    </row>
    <row r="80" spans="1:68" ht="15.75" customHeight="1">
      <c r="A80" s="109" t="s">
        <v>751</v>
      </c>
      <c r="B80" s="122" t="s">
        <v>184</v>
      </c>
      <c r="C80" s="301"/>
      <c r="D80" s="304"/>
      <c r="E80" s="304"/>
      <c r="F80" s="297"/>
      <c r="G80" s="78">
        <v>2016</v>
      </c>
      <c r="H80" s="105" t="s">
        <v>733</v>
      </c>
      <c r="I80" s="76" t="s">
        <v>196</v>
      </c>
      <c r="J80" s="102" t="s">
        <v>197</v>
      </c>
      <c r="K80" s="105" t="s">
        <v>221</v>
      </c>
      <c r="L80" s="105" t="s">
        <v>192</v>
      </c>
      <c r="M80" s="13" t="s">
        <v>193</v>
      </c>
      <c r="N80" s="13">
        <v>3.75</v>
      </c>
      <c r="O80" s="13">
        <v>3.75</v>
      </c>
      <c r="P80" s="13">
        <v>3.75</v>
      </c>
      <c r="Q80" s="13">
        <v>3.75</v>
      </c>
      <c r="R80" s="13">
        <v>3.75</v>
      </c>
      <c r="S80" s="13">
        <v>3.75</v>
      </c>
      <c r="T80" s="13">
        <v>3.75</v>
      </c>
      <c r="U80" s="13">
        <v>3.75</v>
      </c>
      <c r="V80" s="13">
        <v>3.75</v>
      </c>
      <c r="W80" s="13">
        <v>3.75</v>
      </c>
      <c r="X80" s="13">
        <v>3.75</v>
      </c>
      <c r="Y80" s="13">
        <v>3.75</v>
      </c>
      <c r="Z80" s="13">
        <v>3.75</v>
      </c>
      <c r="AA80" s="13">
        <v>3.75</v>
      </c>
      <c r="AB80" s="40">
        <v>0.04</v>
      </c>
      <c r="AC80" s="40">
        <v>0.04</v>
      </c>
      <c r="AD80" s="40">
        <v>0.04</v>
      </c>
      <c r="AE80" s="40">
        <v>0.04</v>
      </c>
      <c r="AF80" s="40">
        <v>0.04</v>
      </c>
      <c r="AG80" s="40">
        <v>0.04</v>
      </c>
      <c r="AH80" s="40">
        <v>0.04</v>
      </c>
      <c r="AI80" s="40">
        <v>0.04</v>
      </c>
      <c r="AJ80" s="40">
        <v>0.04</v>
      </c>
      <c r="AK80" s="40">
        <v>0.04</v>
      </c>
      <c r="AL80" s="40">
        <v>0.04</v>
      </c>
      <c r="AM80" s="40">
        <v>0.04</v>
      </c>
      <c r="AN80" s="40">
        <v>0.04</v>
      </c>
      <c r="AO80" s="116">
        <v>4320</v>
      </c>
      <c r="AP80" s="6">
        <f t="shared" si="0"/>
        <v>172.8</v>
      </c>
      <c r="AQ80" s="115">
        <v>0</v>
      </c>
      <c r="AR80" s="6">
        <f t="shared" si="1"/>
        <v>0</v>
      </c>
      <c r="AS80" s="115" t="s">
        <v>573</v>
      </c>
      <c r="AT80" s="6">
        <f t="shared" si="13"/>
        <v>0</v>
      </c>
      <c r="AU80" s="115">
        <v>4320</v>
      </c>
      <c r="AV80" s="1">
        <f t="shared" si="7"/>
        <v>172.8</v>
      </c>
      <c r="AW80" s="115">
        <v>0</v>
      </c>
      <c r="AX80" s="1">
        <f t="shared" si="17"/>
        <v>0</v>
      </c>
      <c r="AY80" s="5" t="s">
        <v>573</v>
      </c>
      <c r="AZ80" s="1">
        <f t="shared" si="9"/>
        <v>0</v>
      </c>
      <c r="BA80" s="5">
        <v>8640</v>
      </c>
      <c r="BB80" s="1">
        <f t="shared" si="10"/>
        <v>345.6</v>
      </c>
      <c r="BC80" s="5">
        <v>8640</v>
      </c>
      <c r="BD80" s="1">
        <f t="shared" si="3"/>
        <v>345.6</v>
      </c>
      <c r="BE80" s="150">
        <v>8640</v>
      </c>
      <c r="BF80" s="1">
        <f t="shared" si="14"/>
        <v>345.6</v>
      </c>
      <c r="BG80" s="150">
        <v>4320</v>
      </c>
      <c r="BH80" s="1">
        <f t="shared" si="18"/>
        <v>172.8</v>
      </c>
      <c r="BI80" s="150">
        <v>4320</v>
      </c>
      <c r="BJ80" s="1">
        <f t="shared" si="15"/>
        <v>172.8</v>
      </c>
      <c r="BK80" s="156">
        <v>4320</v>
      </c>
      <c r="BL80" s="1">
        <f t="shared" si="16"/>
        <v>172.8</v>
      </c>
      <c r="BM80" s="141" t="s">
        <v>705</v>
      </c>
      <c r="BN80" s="136" t="s">
        <v>17</v>
      </c>
      <c r="BO80" s="139" t="s">
        <v>1314</v>
      </c>
      <c r="BP80" s="137">
        <v>46022</v>
      </c>
    </row>
    <row r="81" spans="1:68" ht="15.75" customHeight="1">
      <c r="A81" s="109" t="s">
        <v>751</v>
      </c>
      <c r="B81" s="122" t="s">
        <v>184</v>
      </c>
      <c r="C81" s="301"/>
      <c r="D81" s="304"/>
      <c r="E81" s="304"/>
      <c r="F81" s="297"/>
      <c r="G81" s="78">
        <v>2016</v>
      </c>
      <c r="H81" s="105" t="s">
        <v>733</v>
      </c>
      <c r="I81" s="76" t="s">
        <v>196</v>
      </c>
      <c r="J81" s="102" t="s">
        <v>197</v>
      </c>
      <c r="K81" s="105" t="s">
        <v>221</v>
      </c>
      <c r="L81" s="105" t="s">
        <v>192</v>
      </c>
      <c r="M81" s="13" t="s">
        <v>193</v>
      </c>
      <c r="N81" s="13">
        <v>3.88</v>
      </c>
      <c r="O81" s="13">
        <v>3.88</v>
      </c>
      <c r="P81" s="13">
        <v>3.88</v>
      </c>
      <c r="Q81" s="13">
        <v>3.88</v>
      </c>
      <c r="R81" s="13">
        <v>3.88</v>
      </c>
      <c r="S81" s="13">
        <v>3.88</v>
      </c>
      <c r="T81" s="13">
        <v>3.88</v>
      </c>
      <c r="U81" s="13">
        <v>3.88</v>
      </c>
      <c r="V81" s="13">
        <v>3.88</v>
      </c>
      <c r="W81" s="13">
        <v>3.88</v>
      </c>
      <c r="X81" s="13">
        <v>3.88</v>
      </c>
      <c r="Y81" s="13">
        <v>3.88</v>
      </c>
      <c r="Z81" s="13">
        <v>3.88</v>
      </c>
      <c r="AA81" s="13">
        <v>3.88</v>
      </c>
      <c r="AB81" s="40">
        <v>0.04</v>
      </c>
      <c r="AC81" s="40">
        <v>0.04</v>
      </c>
      <c r="AD81" s="40">
        <v>0.04</v>
      </c>
      <c r="AE81" s="40">
        <v>0.04</v>
      </c>
      <c r="AF81" s="40">
        <v>0.04</v>
      </c>
      <c r="AG81" s="40">
        <v>0.04</v>
      </c>
      <c r="AH81" s="40">
        <v>0.04</v>
      </c>
      <c r="AI81" s="40">
        <v>0.04</v>
      </c>
      <c r="AJ81" s="40">
        <v>0.04</v>
      </c>
      <c r="AK81" s="40">
        <v>0.04</v>
      </c>
      <c r="AL81" s="40">
        <v>0.04</v>
      </c>
      <c r="AM81" s="40">
        <v>0.04</v>
      </c>
      <c r="AN81" s="40">
        <v>0.04</v>
      </c>
      <c r="AO81" s="116">
        <v>12960</v>
      </c>
      <c r="AP81" s="6">
        <f t="shared" si="0"/>
        <v>518.4</v>
      </c>
      <c r="AQ81" s="115">
        <v>21600</v>
      </c>
      <c r="AR81" s="6">
        <f t="shared" si="1"/>
        <v>864</v>
      </c>
      <c r="AS81" s="115">
        <v>34560</v>
      </c>
      <c r="AT81" s="6">
        <f t="shared" si="13"/>
        <v>1382.4</v>
      </c>
      <c r="AU81" s="115">
        <v>0</v>
      </c>
      <c r="AV81" s="1">
        <f t="shared" si="7"/>
        <v>0</v>
      </c>
      <c r="AW81" s="115">
        <v>25920</v>
      </c>
      <c r="AX81" s="1">
        <f t="shared" si="17"/>
        <v>1036.8</v>
      </c>
      <c r="AY81" s="5">
        <v>17280</v>
      </c>
      <c r="AZ81" s="1">
        <f t="shared" si="9"/>
        <v>691.2</v>
      </c>
      <c r="BA81" s="5">
        <v>77760</v>
      </c>
      <c r="BB81" s="1">
        <f t="shared" si="10"/>
        <v>3110.4</v>
      </c>
      <c r="BC81" s="5" t="s">
        <v>573</v>
      </c>
      <c r="BD81" s="1">
        <f t="shared" si="3"/>
        <v>0</v>
      </c>
      <c r="BE81" s="150" t="s">
        <v>573</v>
      </c>
      <c r="BF81" s="1">
        <f t="shared" si="14"/>
        <v>0</v>
      </c>
      <c r="BG81" s="150">
        <v>4320</v>
      </c>
      <c r="BH81" s="1">
        <f t="shared" si="18"/>
        <v>172.8</v>
      </c>
      <c r="BI81" s="150" t="s">
        <v>573</v>
      </c>
      <c r="BJ81" s="1">
        <f t="shared" si="15"/>
        <v>0</v>
      </c>
      <c r="BK81" s="156">
        <v>21600</v>
      </c>
      <c r="BL81" s="1">
        <f t="shared" si="16"/>
        <v>864</v>
      </c>
      <c r="BM81" s="141" t="s">
        <v>704</v>
      </c>
      <c r="BN81" s="136" t="s">
        <v>494</v>
      </c>
      <c r="BO81" s="139" t="s">
        <v>763</v>
      </c>
      <c r="BP81" s="137">
        <v>46022</v>
      </c>
    </row>
    <row r="82" spans="1:68" ht="15.75" customHeight="1">
      <c r="A82" s="109" t="s">
        <v>751</v>
      </c>
      <c r="B82" s="122" t="s">
        <v>184</v>
      </c>
      <c r="C82" s="301"/>
      <c r="D82" s="304"/>
      <c r="E82" s="304"/>
      <c r="F82" s="297"/>
      <c r="G82" s="78">
        <v>2016</v>
      </c>
      <c r="H82" s="105" t="s">
        <v>733</v>
      </c>
      <c r="I82" s="76" t="s">
        <v>196</v>
      </c>
      <c r="J82" s="102" t="s">
        <v>197</v>
      </c>
      <c r="K82" s="105" t="s">
        <v>221</v>
      </c>
      <c r="L82" s="105" t="s">
        <v>192</v>
      </c>
      <c r="M82" s="13" t="s">
        <v>193</v>
      </c>
      <c r="N82" s="13">
        <v>3.9</v>
      </c>
      <c r="O82" s="13">
        <v>4.04</v>
      </c>
      <c r="P82" s="13">
        <v>4.04</v>
      </c>
      <c r="Q82" s="13">
        <v>4.04</v>
      </c>
      <c r="R82" s="13">
        <v>4.04</v>
      </c>
      <c r="S82" s="13">
        <v>4.04</v>
      </c>
      <c r="T82" s="13">
        <v>4.04</v>
      </c>
      <c r="U82" s="13">
        <v>4.04</v>
      </c>
      <c r="V82" s="13">
        <v>4.04</v>
      </c>
      <c r="W82" s="13">
        <v>4.04</v>
      </c>
      <c r="X82" s="13">
        <v>4.04</v>
      </c>
      <c r="Y82" s="13">
        <v>4.04</v>
      </c>
      <c r="Z82" s="13">
        <v>4.04</v>
      </c>
      <c r="AA82" s="13">
        <v>4.04</v>
      </c>
      <c r="AB82" s="40">
        <v>0.04</v>
      </c>
      <c r="AC82" s="40">
        <v>0.04</v>
      </c>
      <c r="AD82" s="40">
        <v>0.04</v>
      </c>
      <c r="AE82" s="40">
        <v>0.12</v>
      </c>
      <c r="AF82" s="40">
        <v>0.12</v>
      </c>
      <c r="AG82" s="40">
        <v>0.12</v>
      </c>
      <c r="AH82" s="40">
        <v>0.12</v>
      </c>
      <c r="AI82" s="40">
        <v>0.12</v>
      </c>
      <c r="AJ82" s="40">
        <v>0.12</v>
      </c>
      <c r="AK82" s="40">
        <v>0.12</v>
      </c>
      <c r="AL82" s="40">
        <v>0.12</v>
      </c>
      <c r="AM82" s="40">
        <v>0.12</v>
      </c>
      <c r="AN82" s="40">
        <v>0.12</v>
      </c>
      <c r="AO82" s="116">
        <v>0</v>
      </c>
      <c r="AP82" s="6">
        <f t="shared" si="0"/>
        <v>0</v>
      </c>
      <c r="AQ82" s="115">
        <v>6720</v>
      </c>
      <c r="AR82" s="6">
        <f t="shared" si="1"/>
        <v>268.8</v>
      </c>
      <c r="AS82" s="115">
        <v>11520</v>
      </c>
      <c r="AT82" s="6">
        <f t="shared" si="13"/>
        <v>1382.3999999999999</v>
      </c>
      <c r="AU82" s="115">
        <v>0</v>
      </c>
      <c r="AV82" s="1">
        <f t="shared" si="7"/>
        <v>0</v>
      </c>
      <c r="AW82" s="115">
        <v>2880</v>
      </c>
      <c r="AX82" s="1">
        <f t="shared" si="17"/>
        <v>345.59999999999997</v>
      </c>
      <c r="AY82" s="5" t="s">
        <v>573</v>
      </c>
      <c r="AZ82" s="1">
        <f t="shared" si="9"/>
        <v>0</v>
      </c>
      <c r="BA82" s="5" t="s">
        <v>573</v>
      </c>
      <c r="BB82" s="1">
        <f t="shared" si="10"/>
        <v>0</v>
      </c>
      <c r="BC82" s="5" t="s">
        <v>573</v>
      </c>
      <c r="BD82" s="1">
        <f t="shared" si="3"/>
        <v>0</v>
      </c>
      <c r="BE82" s="150">
        <v>5760</v>
      </c>
      <c r="BF82" s="1">
        <f t="shared" si="14"/>
        <v>691.19999999999993</v>
      </c>
      <c r="BG82" s="150">
        <v>2880</v>
      </c>
      <c r="BH82" s="1">
        <f t="shared" si="18"/>
        <v>345.59999999999997</v>
      </c>
      <c r="BI82" s="150">
        <v>2880</v>
      </c>
      <c r="BJ82" s="1">
        <f t="shared" si="15"/>
        <v>345.59999999999997</v>
      </c>
      <c r="BK82" s="156">
        <v>5760</v>
      </c>
      <c r="BL82" s="1">
        <f t="shared" si="16"/>
        <v>691.19999999999993</v>
      </c>
      <c r="BM82" s="141" t="s">
        <v>706</v>
      </c>
      <c r="BN82" s="136" t="s">
        <v>17</v>
      </c>
      <c r="BO82" s="139" t="s">
        <v>754</v>
      </c>
      <c r="BP82" s="137">
        <v>46022</v>
      </c>
    </row>
    <row r="83" spans="1:68" ht="15.75" customHeight="1">
      <c r="A83" s="109" t="s">
        <v>751</v>
      </c>
      <c r="B83" s="122" t="s">
        <v>184</v>
      </c>
      <c r="C83" s="301"/>
      <c r="D83" s="304"/>
      <c r="E83" s="304"/>
      <c r="F83" s="297"/>
      <c r="G83" s="78">
        <v>2016</v>
      </c>
      <c r="H83" s="105" t="s">
        <v>733</v>
      </c>
      <c r="I83" s="76" t="s">
        <v>196</v>
      </c>
      <c r="J83" s="102" t="s">
        <v>197</v>
      </c>
      <c r="K83" s="105" t="s">
        <v>306</v>
      </c>
      <c r="L83" s="105" t="s">
        <v>192</v>
      </c>
      <c r="M83" s="13" t="s">
        <v>193</v>
      </c>
      <c r="N83" s="13">
        <v>4.18</v>
      </c>
      <c r="O83" s="13">
        <v>4.18</v>
      </c>
      <c r="P83" s="13">
        <v>4.18</v>
      </c>
      <c r="Q83" s="13">
        <v>4.18</v>
      </c>
      <c r="R83" s="13">
        <v>4.18</v>
      </c>
      <c r="S83" s="13">
        <v>4.18</v>
      </c>
      <c r="T83" s="13">
        <v>4.18</v>
      </c>
      <c r="U83" s="13">
        <v>4.18</v>
      </c>
      <c r="V83" s="13">
        <v>4.18</v>
      </c>
      <c r="W83" s="13">
        <v>4.18</v>
      </c>
      <c r="X83" s="13">
        <v>4.18</v>
      </c>
      <c r="Y83" s="13">
        <v>4.18</v>
      </c>
      <c r="Z83" s="13">
        <v>4.18</v>
      </c>
      <c r="AA83" s="13">
        <v>4.18</v>
      </c>
      <c r="AB83" s="40">
        <v>0.12</v>
      </c>
      <c r="AC83" s="40">
        <v>0.12</v>
      </c>
      <c r="AD83" s="40">
        <v>0.12</v>
      </c>
      <c r="AE83" s="40">
        <v>0.12</v>
      </c>
      <c r="AF83" s="40">
        <v>0.12</v>
      </c>
      <c r="AG83" s="40">
        <v>0.12</v>
      </c>
      <c r="AH83" s="40">
        <v>0.12</v>
      </c>
      <c r="AI83" s="40">
        <v>0.12</v>
      </c>
      <c r="AJ83" s="40">
        <v>0.12</v>
      </c>
      <c r="AK83" s="40">
        <v>0.12</v>
      </c>
      <c r="AL83" s="40">
        <v>0.12</v>
      </c>
      <c r="AM83" s="40">
        <v>0.12</v>
      </c>
      <c r="AN83" s="40">
        <v>0.12</v>
      </c>
      <c r="AO83" s="116">
        <v>2880</v>
      </c>
      <c r="AP83" s="6">
        <f t="shared" si="0"/>
        <v>345.59999999999997</v>
      </c>
      <c r="AQ83" s="115">
        <v>0</v>
      </c>
      <c r="AR83" s="6">
        <f t="shared" si="1"/>
        <v>0</v>
      </c>
      <c r="AS83" s="115">
        <v>5760</v>
      </c>
      <c r="AT83" s="6">
        <f t="shared" si="13"/>
        <v>691.19999999999993</v>
      </c>
      <c r="AU83" s="115">
        <v>0</v>
      </c>
      <c r="AV83" s="1">
        <f t="shared" si="7"/>
        <v>0</v>
      </c>
      <c r="AW83" s="115">
        <v>2880</v>
      </c>
      <c r="AX83" s="1">
        <f t="shared" si="17"/>
        <v>345.59999999999997</v>
      </c>
      <c r="AY83" s="5" t="s">
        <v>573</v>
      </c>
      <c r="AZ83" s="1">
        <f t="shared" si="9"/>
        <v>0</v>
      </c>
      <c r="BA83" s="5">
        <v>8640</v>
      </c>
      <c r="BB83" s="1">
        <f t="shared" si="10"/>
        <v>1036.8</v>
      </c>
      <c r="BC83" s="5">
        <v>5760</v>
      </c>
      <c r="BD83" s="1">
        <f t="shared" si="3"/>
        <v>691.19999999999993</v>
      </c>
      <c r="BE83" s="150" t="s">
        <v>573</v>
      </c>
      <c r="BF83" s="1">
        <f t="shared" si="14"/>
        <v>0</v>
      </c>
      <c r="BG83" s="150">
        <v>2880</v>
      </c>
      <c r="BH83" s="1">
        <f t="shared" si="18"/>
        <v>345.59999999999997</v>
      </c>
      <c r="BI83" s="150">
        <v>5760</v>
      </c>
      <c r="BJ83" s="1">
        <f t="shared" si="15"/>
        <v>691.19999999999993</v>
      </c>
      <c r="BK83" s="156">
        <v>2880</v>
      </c>
      <c r="BL83" s="1">
        <f t="shared" si="16"/>
        <v>345.59999999999997</v>
      </c>
      <c r="BM83" s="141" t="s">
        <v>521</v>
      </c>
      <c r="BN83" s="136" t="s">
        <v>17</v>
      </c>
      <c r="BO83" s="139" t="s">
        <v>1314</v>
      </c>
      <c r="BP83" s="137">
        <v>46022</v>
      </c>
    </row>
    <row r="84" spans="1:68" ht="15.75" customHeight="1">
      <c r="A84" s="109" t="s">
        <v>751</v>
      </c>
      <c r="B84" s="122" t="s">
        <v>184</v>
      </c>
      <c r="C84" s="301"/>
      <c r="D84" s="304"/>
      <c r="E84" s="304"/>
      <c r="F84" s="297"/>
      <c r="G84" s="78">
        <v>2016</v>
      </c>
      <c r="H84" s="105" t="s">
        <v>733</v>
      </c>
      <c r="I84" s="76" t="s">
        <v>196</v>
      </c>
      <c r="J84" s="102" t="s">
        <v>197</v>
      </c>
      <c r="K84" s="105" t="s">
        <v>306</v>
      </c>
      <c r="L84" s="105" t="s">
        <v>192</v>
      </c>
      <c r="M84" s="13" t="s">
        <v>193</v>
      </c>
      <c r="N84" s="13">
        <v>4.1399999999999997</v>
      </c>
      <c r="O84" s="13">
        <v>4.1399999999999997</v>
      </c>
      <c r="P84" s="13">
        <v>4.1399999999999997</v>
      </c>
      <c r="Q84" s="13">
        <v>4.1399999999999997</v>
      </c>
      <c r="R84" s="13">
        <v>4.1399999999999997</v>
      </c>
      <c r="S84" s="13">
        <v>4.1399999999999997</v>
      </c>
      <c r="T84" s="13">
        <v>4.1399999999999997</v>
      </c>
      <c r="U84" s="13">
        <v>4.1399999999999997</v>
      </c>
      <c r="V84" s="13">
        <v>4.1399999999999997</v>
      </c>
      <c r="W84" s="13">
        <v>4.1399999999999997</v>
      </c>
      <c r="X84" s="13">
        <v>4.1399999999999997</v>
      </c>
      <c r="Y84" s="13">
        <v>4.1399999999999997</v>
      </c>
      <c r="Z84" s="13">
        <v>4.1399999999999997</v>
      </c>
      <c r="AA84" s="13">
        <v>4.1399999999999997</v>
      </c>
      <c r="AB84" s="40">
        <v>0.04</v>
      </c>
      <c r="AC84" s="40">
        <v>0.04</v>
      </c>
      <c r="AD84" s="40">
        <v>0.04</v>
      </c>
      <c r="AE84" s="40">
        <v>0.04</v>
      </c>
      <c r="AF84" s="40">
        <v>0.04</v>
      </c>
      <c r="AG84" s="40">
        <v>0.04</v>
      </c>
      <c r="AH84" s="40">
        <v>0.04</v>
      </c>
      <c r="AI84" s="40">
        <v>0.04</v>
      </c>
      <c r="AJ84" s="40">
        <v>0.12</v>
      </c>
      <c r="AK84" s="40">
        <v>0.12</v>
      </c>
      <c r="AL84" s="40">
        <v>0.12</v>
      </c>
      <c r="AM84" s="40">
        <v>0.12</v>
      </c>
      <c r="AN84" s="40">
        <v>0.12</v>
      </c>
      <c r="AO84" s="116">
        <v>0</v>
      </c>
      <c r="AP84" s="6">
        <f t="shared" si="0"/>
        <v>0</v>
      </c>
      <c r="AQ84" s="115">
        <v>0</v>
      </c>
      <c r="AR84" s="6">
        <f t="shared" si="1"/>
        <v>0</v>
      </c>
      <c r="AS84" s="115">
        <v>2880</v>
      </c>
      <c r="AT84" s="6">
        <f t="shared" si="13"/>
        <v>115.2</v>
      </c>
      <c r="AU84" s="115">
        <v>0</v>
      </c>
      <c r="AV84" s="1">
        <f t="shared" si="7"/>
        <v>0</v>
      </c>
      <c r="AW84" s="115">
        <v>0</v>
      </c>
      <c r="AX84" s="1">
        <f t="shared" si="17"/>
        <v>0</v>
      </c>
      <c r="AY84" s="5" t="s">
        <v>573</v>
      </c>
      <c r="AZ84" s="1">
        <f t="shared" si="9"/>
        <v>0</v>
      </c>
      <c r="BA84" s="5" t="s">
        <v>573</v>
      </c>
      <c r="BB84" s="1">
        <f t="shared" si="10"/>
        <v>0</v>
      </c>
      <c r="BC84" s="5" t="s">
        <v>573</v>
      </c>
      <c r="BD84" s="1">
        <f t="shared" si="3"/>
        <v>0</v>
      </c>
      <c r="BE84" s="150">
        <v>2880</v>
      </c>
      <c r="BF84" s="1">
        <f t="shared" si="14"/>
        <v>345.59999999999997</v>
      </c>
      <c r="BG84" s="150" t="s">
        <v>573</v>
      </c>
      <c r="BH84" s="1">
        <f t="shared" si="18"/>
        <v>0</v>
      </c>
      <c r="BI84" s="150" t="s">
        <v>573</v>
      </c>
      <c r="BJ84" s="1">
        <f t="shared" si="15"/>
        <v>0</v>
      </c>
      <c r="BK84" s="156">
        <v>2880</v>
      </c>
      <c r="BL84" s="1">
        <f t="shared" si="16"/>
        <v>345.59999999999997</v>
      </c>
      <c r="BM84" s="141" t="s">
        <v>522</v>
      </c>
      <c r="BN84" s="136" t="s">
        <v>17</v>
      </c>
      <c r="BO84" s="139" t="s">
        <v>754</v>
      </c>
      <c r="BP84" s="137">
        <v>46022</v>
      </c>
    </row>
    <row r="85" spans="1:68" ht="15.75" customHeight="1">
      <c r="A85" s="109" t="s">
        <v>751</v>
      </c>
      <c r="B85" s="122" t="s">
        <v>184</v>
      </c>
      <c r="C85" s="301"/>
      <c r="D85" s="304"/>
      <c r="E85" s="304"/>
      <c r="F85" s="297"/>
      <c r="G85" s="78">
        <v>2016</v>
      </c>
      <c r="H85" s="105" t="s">
        <v>733</v>
      </c>
      <c r="I85" s="76" t="s">
        <v>196</v>
      </c>
      <c r="J85" s="103" t="s">
        <v>197</v>
      </c>
      <c r="K85" s="105" t="s">
        <v>315</v>
      </c>
      <c r="L85" s="105" t="s">
        <v>192</v>
      </c>
      <c r="M85" s="13" t="s">
        <v>193</v>
      </c>
      <c r="N85" s="13">
        <v>4.3899999999999997</v>
      </c>
      <c r="O85" s="13">
        <v>4.53</v>
      </c>
      <c r="P85" s="13">
        <v>4.53</v>
      </c>
      <c r="Q85" s="13">
        <v>4.53</v>
      </c>
      <c r="R85" s="13">
        <v>4.53</v>
      </c>
      <c r="S85" s="13">
        <v>4.53</v>
      </c>
      <c r="T85" s="13">
        <v>4.53</v>
      </c>
      <c r="U85" s="13">
        <v>4.53</v>
      </c>
      <c r="V85" s="13">
        <v>4.53</v>
      </c>
      <c r="W85" s="13">
        <v>4.53</v>
      </c>
      <c r="X85" s="13">
        <v>4.53</v>
      </c>
      <c r="Y85" s="13">
        <v>4.53</v>
      </c>
      <c r="Z85" s="13">
        <v>4.53</v>
      </c>
      <c r="AA85" s="13">
        <v>4.53</v>
      </c>
      <c r="AB85" s="40">
        <v>0.12</v>
      </c>
      <c r="AC85" s="40">
        <v>0.12</v>
      </c>
      <c r="AD85" s="40">
        <v>0.12</v>
      </c>
      <c r="AE85" s="40">
        <v>0.12</v>
      </c>
      <c r="AF85" s="40">
        <v>0.12</v>
      </c>
      <c r="AG85" s="40">
        <v>0.12</v>
      </c>
      <c r="AH85" s="40">
        <v>0.12</v>
      </c>
      <c r="AI85" s="40">
        <v>0.12</v>
      </c>
      <c r="AJ85" s="40">
        <v>0.12</v>
      </c>
      <c r="AK85" s="40">
        <v>0.12</v>
      </c>
      <c r="AL85" s="40">
        <v>0.12</v>
      </c>
      <c r="AM85" s="40">
        <v>0.12</v>
      </c>
      <c r="AN85" s="40">
        <v>0.12</v>
      </c>
      <c r="AO85" s="116">
        <v>2880</v>
      </c>
      <c r="AP85" s="6">
        <f t="shared" si="0"/>
        <v>345.59999999999997</v>
      </c>
      <c r="AQ85" s="115">
        <v>0</v>
      </c>
      <c r="AR85" s="6">
        <f t="shared" si="1"/>
        <v>0</v>
      </c>
      <c r="AS85" s="115">
        <v>2880</v>
      </c>
      <c r="AT85" s="6">
        <f t="shared" si="13"/>
        <v>345.59999999999997</v>
      </c>
      <c r="AU85" s="115">
        <v>2880</v>
      </c>
      <c r="AV85" s="1">
        <f t="shared" si="7"/>
        <v>345.59999999999997</v>
      </c>
      <c r="AW85" s="115">
        <v>2880</v>
      </c>
      <c r="AX85" s="1">
        <f t="shared" si="17"/>
        <v>345.59999999999997</v>
      </c>
      <c r="AY85" s="5">
        <v>2880</v>
      </c>
      <c r="AZ85" s="1">
        <f t="shared" si="9"/>
        <v>345.59999999999997</v>
      </c>
      <c r="BA85" s="5">
        <v>8640</v>
      </c>
      <c r="BB85" s="1">
        <f t="shared" si="10"/>
        <v>1036.8</v>
      </c>
      <c r="BC85" s="5">
        <v>5760</v>
      </c>
      <c r="BD85" s="1">
        <f t="shared" si="3"/>
        <v>691.19999999999993</v>
      </c>
      <c r="BE85" s="150">
        <v>2880</v>
      </c>
      <c r="BF85" s="1">
        <f t="shared" si="14"/>
        <v>345.59999999999997</v>
      </c>
      <c r="BG85" s="150">
        <v>2880</v>
      </c>
      <c r="BH85" s="1">
        <f t="shared" si="18"/>
        <v>345.59999999999997</v>
      </c>
      <c r="BI85" s="150">
        <v>8640</v>
      </c>
      <c r="BJ85" s="1">
        <f t="shared" si="15"/>
        <v>1036.8</v>
      </c>
      <c r="BK85" s="156">
        <v>2880</v>
      </c>
      <c r="BL85" s="1">
        <f t="shared" si="16"/>
        <v>345.59999999999997</v>
      </c>
      <c r="BM85" s="141" t="s">
        <v>524</v>
      </c>
      <c r="BN85" s="136" t="s">
        <v>17</v>
      </c>
      <c r="BO85" s="139" t="s">
        <v>1314</v>
      </c>
      <c r="BP85" s="137">
        <v>46022</v>
      </c>
    </row>
    <row r="86" spans="1:68" ht="15.75" customHeight="1">
      <c r="A86" s="109" t="s">
        <v>751</v>
      </c>
      <c r="B86" s="122" t="s">
        <v>184</v>
      </c>
      <c r="C86" s="301"/>
      <c r="D86" s="304"/>
      <c r="E86" s="304"/>
      <c r="F86" s="297"/>
      <c r="G86" s="78">
        <v>2016</v>
      </c>
      <c r="H86" s="105" t="s">
        <v>733</v>
      </c>
      <c r="I86" s="76" t="s">
        <v>196</v>
      </c>
      <c r="J86" s="102" t="s">
        <v>197</v>
      </c>
      <c r="K86" s="105" t="s">
        <v>315</v>
      </c>
      <c r="L86" s="105" t="s">
        <v>192</v>
      </c>
      <c r="M86" s="13" t="s">
        <v>193</v>
      </c>
      <c r="N86" s="13">
        <v>4.38</v>
      </c>
      <c r="O86" s="13">
        <v>4.38</v>
      </c>
      <c r="P86" s="13">
        <v>4.38</v>
      </c>
      <c r="Q86" s="13">
        <v>4.38</v>
      </c>
      <c r="R86" s="13">
        <v>4.38</v>
      </c>
      <c r="S86" s="13">
        <v>4.38</v>
      </c>
      <c r="T86" s="13">
        <v>4.38</v>
      </c>
      <c r="U86" s="13">
        <v>4.38</v>
      </c>
      <c r="V86" s="13">
        <v>4.38</v>
      </c>
      <c r="W86" s="13">
        <v>4.38</v>
      </c>
      <c r="X86" s="13">
        <v>4.38</v>
      </c>
      <c r="Y86" s="13">
        <v>4.38</v>
      </c>
      <c r="Z86" s="13">
        <v>4.38</v>
      </c>
      <c r="AA86" s="13">
        <v>4.38</v>
      </c>
      <c r="AB86" s="40">
        <v>0.04</v>
      </c>
      <c r="AC86" s="40">
        <v>0.04</v>
      </c>
      <c r="AD86" s="40">
        <v>0.04</v>
      </c>
      <c r="AE86" s="40">
        <v>0.04</v>
      </c>
      <c r="AF86" s="40">
        <v>0.04</v>
      </c>
      <c r="AG86" s="40">
        <v>0.04</v>
      </c>
      <c r="AH86" s="40">
        <v>0.04</v>
      </c>
      <c r="AI86" s="40">
        <v>0.04</v>
      </c>
      <c r="AJ86" s="40">
        <v>0.04</v>
      </c>
      <c r="AK86" s="40">
        <v>0.04</v>
      </c>
      <c r="AL86" s="40">
        <v>0.04</v>
      </c>
      <c r="AM86" s="40">
        <v>0.04</v>
      </c>
      <c r="AN86" s="40">
        <v>0.04</v>
      </c>
      <c r="AO86" s="116">
        <v>0</v>
      </c>
      <c r="AP86" s="6">
        <f t="shared" si="0"/>
        <v>0</v>
      </c>
      <c r="AQ86" s="115">
        <v>4320</v>
      </c>
      <c r="AR86" s="6">
        <f t="shared" si="1"/>
        <v>172.8</v>
      </c>
      <c r="AS86" s="115" t="s">
        <v>573</v>
      </c>
      <c r="AT86" s="6">
        <f t="shared" si="13"/>
        <v>0</v>
      </c>
      <c r="AU86" s="115">
        <v>0</v>
      </c>
      <c r="AV86" s="1">
        <f t="shared" si="7"/>
        <v>0</v>
      </c>
      <c r="AW86" s="115">
        <v>0</v>
      </c>
      <c r="AX86" s="1">
        <f t="shared" si="17"/>
        <v>0</v>
      </c>
      <c r="AY86" s="5" t="s">
        <v>573</v>
      </c>
      <c r="AZ86" s="1">
        <f t="shared" si="9"/>
        <v>0</v>
      </c>
      <c r="BA86" s="5" t="s">
        <v>573</v>
      </c>
      <c r="BB86" s="1">
        <f t="shared" si="10"/>
        <v>0</v>
      </c>
      <c r="BC86" s="5" t="s">
        <v>573</v>
      </c>
      <c r="BD86" s="1">
        <f t="shared" si="3"/>
        <v>0</v>
      </c>
      <c r="BE86" s="150" t="s">
        <v>573</v>
      </c>
      <c r="BF86" s="1">
        <f t="shared" si="14"/>
        <v>0</v>
      </c>
      <c r="BG86" s="150" t="s">
        <v>573</v>
      </c>
      <c r="BH86" s="1">
        <f t="shared" si="18"/>
        <v>0</v>
      </c>
      <c r="BI86" s="150">
        <v>4320</v>
      </c>
      <c r="BJ86" s="1">
        <f t="shared" si="15"/>
        <v>172.8</v>
      </c>
      <c r="BK86" s="156" t="s">
        <v>573</v>
      </c>
      <c r="BL86" s="1">
        <f t="shared" si="16"/>
        <v>0</v>
      </c>
      <c r="BM86" s="141" t="s">
        <v>523</v>
      </c>
      <c r="BN86" s="136" t="s">
        <v>494</v>
      </c>
      <c r="BO86" s="139" t="s">
        <v>763</v>
      </c>
      <c r="BP86" s="137">
        <v>46022</v>
      </c>
    </row>
    <row r="87" spans="1:68" ht="15.75" customHeight="1">
      <c r="A87" s="109" t="s">
        <v>751</v>
      </c>
      <c r="B87" s="122" t="s">
        <v>184</v>
      </c>
      <c r="C87" s="301"/>
      <c r="D87" s="304"/>
      <c r="E87" s="304"/>
      <c r="F87" s="297"/>
      <c r="G87" s="78">
        <v>2016</v>
      </c>
      <c r="H87" s="105" t="s">
        <v>733</v>
      </c>
      <c r="I87" s="76" t="s">
        <v>196</v>
      </c>
      <c r="J87" s="102" t="s">
        <v>197</v>
      </c>
      <c r="K87" s="105" t="s">
        <v>310</v>
      </c>
      <c r="L87" s="105" t="s">
        <v>192</v>
      </c>
      <c r="M87" s="13" t="s">
        <v>193</v>
      </c>
      <c r="N87" s="13">
        <v>4.3899999999999997</v>
      </c>
      <c r="O87" s="13">
        <v>4.53</v>
      </c>
      <c r="P87" s="13">
        <v>4.53</v>
      </c>
      <c r="Q87" s="13">
        <v>4.53</v>
      </c>
      <c r="R87" s="13">
        <v>4.53</v>
      </c>
      <c r="S87" s="13">
        <v>4.53</v>
      </c>
      <c r="T87" s="13">
        <v>4.53</v>
      </c>
      <c r="U87" s="13">
        <v>4.53</v>
      </c>
      <c r="V87" s="13">
        <v>4.53</v>
      </c>
      <c r="W87" s="13">
        <v>4.53</v>
      </c>
      <c r="X87" s="13">
        <v>4.53</v>
      </c>
      <c r="Y87" s="13">
        <v>4.53</v>
      </c>
      <c r="Z87" s="13">
        <v>4.53</v>
      </c>
      <c r="AA87" s="13">
        <v>4.53</v>
      </c>
      <c r="AB87" s="40">
        <v>0.12</v>
      </c>
      <c r="AC87" s="40">
        <v>0.12</v>
      </c>
      <c r="AD87" s="40">
        <v>0.12</v>
      </c>
      <c r="AE87" s="40">
        <v>0.12</v>
      </c>
      <c r="AF87" s="40">
        <v>0.12</v>
      </c>
      <c r="AG87" s="40">
        <v>0.12</v>
      </c>
      <c r="AH87" s="40">
        <v>0.12</v>
      </c>
      <c r="AI87" s="40">
        <v>0.12</v>
      </c>
      <c r="AJ87" s="40">
        <v>0.12</v>
      </c>
      <c r="AK87" s="40">
        <v>0.12</v>
      </c>
      <c r="AL87" s="40">
        <v>0.12</v>
      </c>
      <c r="AM87" s="40">
        <v>0.12</v>
      </c>
      <c r="AN87" s="40">
        <v>0.12</v>
      </c>
      <c r="AO87" s="116">
        <v>0</v>
      </c>
      <c r="AP87" s="6">
        <f t="shared" si="0"/>
        <v>0</v>
      </c>
      <c r="AQ87" s="115">
        <v>0</v>
      </c>
      <c r="AR87" s="6">
        <f t="shared" si="1"/>
        <v>0</v>
      </c>
      <c r="AS87" s="115">
        <v>2880</v>
      </c>
      <c r="AT87" s="6">
        <f t="shared" si="13"/>
        <v>345.59999999999997</v>
      </c>
      <c r="AU87" s="115">
        <v>2880</v>
      </c>
      <c r="AV87" s="1">
        <f t="shared" si="7"/>
        <v>345.59999999999997</v>
      </c>
      <c r="AW87" s="115">
        <v>5760</v>
      </c>
      <c r="AX87" s="1">
        <f t="shared" si="17"/>
        <v>691.19999999999993</v>
      </c>
      <c r="AY87" s="5">
        <v>5760</v>
      </c>
      <c r="AZ87" s="1">
        <f t="shared" si="9"/>
        <v>691.19999999999993</v>
      </c>
      <c r="BA87" s="5">
        <v>8640</v>
      </c>
      <c r="BB87" s="1">
        <f t="shared" si="10"/>
        <v>1036.8</v>
      </c>
      <c r="BC87" s="5">
        <v>5760</v>
      </c>
      <c r="BD87" s="1">
        <f t="shared" si="3"/>
        <v>691.19999999999993</v>
      </c>
      <c r="BE87" s="150">
        <v>5760</v>
      </c>
      <c r="BF87" s="1">
        <f t="shared" si="14"/>
        <v>691.19999999999993</v>
      </c>
      <c r="BG87" s="150">
        <v>11520</v>
      </c>
      <c r="BH87" s="1">
        <f t="shared" si="18"/>
        <v>1382.3999999999999</v>
      </c>
      <c r="BI87" s="150" t="s">
        <v>573</v>
      </c>
      <c r="BJ87" s="1">
        <f t="shared" si="15"/>
        <v>0</v>
      </c>
      <c r="BK87" s="156">
        <v>5760</v>
      </c>
      <c r="BL87" s="1">
        <f t="shared" si="16"/>
        <v>691.19999999999993</v>
      </c>
      <c r="BM87" s="141" t="s">
        <v>526</v>
      </c>
      <c r="BN87" s="136" t="s">
        <v>17</v>
      </c>
      <c r="BO87" s="139" t="s">
        <v>1314</v>
      </c>
      <c r="BP87" s="137">
        <v>46022</v>
      </c>
    </row>
    <row r="88" spans="1:68" ht="15.75" customHeight="1">
      <c r="A88" s="109" t="s">
        <v>751</v>
      </c>
      <c r="B88" s="122" t="s">
        <v>184</v>
      </c>
      <c r="C88" s="301"/>
      <c r="D88" s="304"/>
      <c r="E88" s="304"/>
      <c r="F88" s="297"/>
      <c r="G88" s="78">
        <v>2016</v>
      </c>
      <c r="H88" s="105" t="s">
        <v>733</v>
      </c>
      <c r="I88" s="76" t="s">
        <v>196</v>
      </c>
      <c r="J88" s="102" t="s">
        <v>197</v>
      </c>
      <c r="K88" s="105" t="s">
        <v>310</v>
      </c>
      <c r="L88" s="105" t="s">
        <v>192</v>
      </c>
      <c r="M88" s="13" t="s">
        <v>193</v>
      </c>
      <c r="N88" s="13">
        <v>4.38</v>
      </c>
      <c r="O88" s="13">
        <v>4.38</v>
      </c>
      <c r="P88" s="13">
        <v>4.38</v>
      </c>
      <c r="Q88" s="13">
        <v>4.38</v>
      </c>
      <c r="R88" s="13">
        <v>4.38</v>
      </c>
      <c r="S88" s="13">
        <v>4.38</v>
      </c>
      <c r="T88" s="13">
        <v>4.38</v>
      </c>
      <c r="U88" s="13">
        <v>4.38</v>
      </c>
      <c r="V88" s="13">
        <v>4.38</v>
      </c>
      <c r="W88" s="13">
        <v>4.38</v>
      </c>
      <c r="X88" s="13">
        <v>4.38</v>
      </c>
      <c r="Y88" s="13">
        <v>4.38</v>
      </c>
      <c r="Z88" s="13">
        <v>4.38</v>
      </c>
      <c r="AA88" s="13">
        <v>4.38</v>
      </c>
      <c r="AB88" s="40">
        <v>0.04</v>
      </c>
      <c r="AC88" s="40">
        <v>0.04</v>
      </c>
      <c r="AD88" s="40">
        <v>0.04</v>
      </c>
      <c r="AE88" s="40">
        <v>0.04</v>
      </c>
      <c r="AF88" s="40">
        <v>0.04</v>
      </c>
      <c r="AG88" s="40">
        <v>0.04</v>
      </c>
      <c r="AH88" s="40">
        <v>0.04</v>
      </c>
      <c r="AI88" s="40">
        <v>0.04</v>
      </c>
      <c r="AJ88" s="40">
        <v>0.04</v>
      </c>
      <c r="AK88" s="40">
        <v>0.04</v>
      </c>
      <c r="AL88" s="40">
        <v>0.04</v>
      </c>
      <c r="AM88" s="40">
        <v>0.04</v>
      </c>
      <c r="AN88" s="40">
        <v>0.04</v>
      </c>
      <c r="AO88" s="116">
        <v>0</v>
      </c>
      <c r="AP88" s="6">
        <f t="shared" si="0"/>
        <v>0</v>
      </c>
      <c r="AQ88" s="115">
        <v>4320</v>
      </c>
      <c r="AR88" s="6">
        <f t="shared" si="1"/>
        <v>172.8</v>
      </c>
      <c r="AS88" s="115">
        <v>8640</v>
      </c>
      <c r="AT88" s="6">
        <f t="shared" si="13"/>
        <v>345.6</v>
      </c>
      <c r="AU88" s="115">
        <v>0</v>
      </c>
      <c r="AV88" s="1">
        <f t="shared" si="7"/>
        <v>0</v>
      </c>
      <c r="AW88" s="115">
        <v>4320</v>
      </c>
      <c r="AX88" s="1">
        <f t="shared" si="17"/>
        <v>172.8</v>
      </c>
      <c r="AY88" s="5">
        <v>4320</v>
      </c>
      <c r="AZ88" s="1">
        <f t="shared" si="9"/>
        <v>172.8</v>
      </c>
      <c r="BA88" s="5">
        <v>8640</v>
      </c>
      <c r="BB88" s="1">
        <f t="shared" si="10"/>
        <v>345.6</v>
      </c>
      <c r="BC88" s="5" t="s">
        <v>573</v>
      </c>
      <c r="BD88" s="1">
        <f t="shared" si="3"/>
        <v>0</v>
      </c>
      <c r="BE88" s="150">
        <v>4320</v>
      </c>
      <c r="BF88" s="1">
        <f t="shared" si="14"/>
        <v>172.8</v>
      </c>
      <c r="BG88" s="150" t="s">
        <v>573</v>
      </c>
      <c r="BH88" s="1">
        <f t="shared" si="18"/>
        <v>0</v>
      </c>
      <c r="BI88" s="150">
        <v>4320</v>
      </c>
      <c r="BJ88" s="1">
        <f t="shared" si="15"/>
        <v>172.8</v>
      </c>
      <c r="BK88" s="156" t="s">
        <v>573</v>
      </c>
      <c r="BL88" s="1">
        <f t="shared" si="16"/>
        <v>0</v>
      </c>
      <c r="BM88" s="141" t="s">
        <v>525</v>
      </c>
      <c r="BN88" s="136" t="s">
        <v>494</v>
      </c>
      <c r="BO88" s="139" t="s">
        <v>763</v>
      </c>
      <c r="BP88" s="137">
        <v>46022</v>
      </c>
    </row>
    <row r="89" spans="1:68" ht="15.75" customHeight="1">
      <c r="A89" s="109" t="s">
        <v>751</v>
      </c>
      <c r="B89" s="122" t="s">
        <v>184</v>
      </c>
      <c r="C89" s="301"/>
      <c r="D89" s="304"/>
      <c r="E89" s="304"/>
      <c r="F89" s="297"/>
      <c r="G89" s="78">
        <v>2016</v>
      </c>
      <c r="H89" s="105" t="str">
        <f>_xlfn.XLOOKUP(BM89,'[5]Package breakdown0503'!$F:$F,'[5]Package breakdown0503'!$B:$B)</f>
        <v>Oman</v>
      </c>
      <c r="I89" s="76" t="s">
        <v>196</v>
      </c>
      <c r="J89" s="102" t="s">
        <v>197</v>
      </c>
      <c r="K89" s="105" t="s">
        <v>310</v>
      </c>
      <c r="L89" s="105" t="s">
        <v>192</v>
      </c>
      <c r="M89" s="13" t="s">
        <v>193</v>
      </c>
      <c r="N89" s="13">
        <v>4.16</v>
      </c>
      <c r="O89" s="13">
        <v>4.3</v>
      </c>
      <c r="P89" s="13">
        <v>4.3</v>
      </c>
      <c r="Q89" s="13">
        <v>4.3</v>
      </c>
      <c r="R89" s="13">
        <v>4.3</v>
      </c>
      <c r="S89" s="13">
        <v>4.3</v>
      </c>
      <c r="T89" s="13">
        <v>4.3</v>
      </c>
      <c r="U89" s="13">
        <v>4.3</v>
      </c>
      <c r="V89" s="13">
        <v>4.3</v>
      </c>
      <c r="W89" s="13">
        <v>4.3</v>
      </c>
      <c r="X89" s="13">
        <v>4.3</v>
      </c>
      <c r="Y89" s="13">
        <v>4.3</v>
      </c>
      <c r="Z89" s="13">
        <v>4.3</v>
      </c>
      <c r="AA89" s="13">
        <v>4.3</v>
      </c>
      <c r="AB89" s="40">
        <v>0.12</v>
      </c>
      <c r="AC89" s="40">
        <v>0.12</v>
      </c>
      <c r="AD89" s="40">
        <v>0.12</v>
      </c>
      <c r="AE89" s="40">
        <v>0.12</v>
      </c>
      <c r="AF89" s="40">
        <v>0.12</v>
      </c>
      <c r="AG89" s="40">
        <v>0.12</v>
      </c>
      <c r="AH89" s="40">
        <v>0.12</v>
      </c>
      <c r="AI89" s="40">
        <v>0.12</v>
      </c>
      <c r="AJ89" s="40">
        <v>0.12</v>
      </c>
      <c r="AK89" s="40">
        <v>0.12</v>
      </c>
      <c r="AL89" s="40">
        <v>0.12</v>
      </c>
      <c r="AM89" s="40">
        <v>0.12</v>
      </c>
      <c r="AN89" s="40">
        <v>0.12</v>
      </c>
      <c r="AO89" s="116">
        <v>0</v>
      </c>
      <c r="AP89" s="6">
        <f t="shared" si="0"/>
        <v>0</v>
      </c>
      <c r="AQ89" s="115">
        <v>0</v>
      </c>
      <c r="AR89" s="6">
        <f t="shared" si="1"/>
        <v>0</v>
      </c>
      <c r="AS89" s="115" t="s">
        <v>573</v>
      </c>
      <c r="AT89" s="6">
        <f t="shared" si="13"/>
        <v>0</v>
      </c>
      <c r="AU89" s="115">
        <v>0</v>
      </c>
      <c r="AV89" s="1">
        <f t="shared" si="7"/>
        <v>0</v>
      </c>
      <c r="AW89" s="115">
        <v>0</v>
      </c>
      <c r="AX89" s="1">
        <f t="shared" si="17"/>
        <v>0</v>
      </c>
      <c r="AY89" s="5" t="s">
        <v>573</v>
      </c>
      <c r="AZ89" s="1">
        <f t="shared" si="9"/>
        <v>0</v>
      </c>
      <c r="BA89" s="5" t="s">
        <v>573</v>
      </c>
      <c r="BB89" s="1">
        <f t="shared" si="10"/>
        <v>0</v>
      </c>
      <c r="BC89" s="5" t="s">
        <v>573</v>
      </c>
      <c r="BD89" s="1">
        <f t="shared" si="3"/>
        <v>0</v>
      </c>
      <c r="BE89" s="150" t="s">
        <v>573</v>
      </c>
      <c r="BF89" s="1">
        <f t="shared" si="14"/>
        <v>0</v>
      </c>
      <c r="BG89" s="150" t="s">
        <v>573</v>
      </c>
      <c r="BH89" s="1">
        <f t="shared" si="18"/>
        <v>0</v>
      </c>
      <c r="BI89" s="150" t="s">
        <v>573</v>
      </c>
      <c r="BJ89" s="1">
        <f t="shared" si="15"/>
        <v>0</v>
      </c>
      <c r="BK89" s="156" t="s">
        <v>573</v>
      </c>
      <c r="BL89" s="1">
        <f t="shared" si="16"/>
        <v>0</v>
      </c>
      <c r="BM89" s="141" t="s">
        <v>527</v>
      </c>
      <c r="BN89" s="136" t="s">
        <v>17</v>
      </c>
      <c r="BO89" s="139" t="s">
        <v>754</v>
      </c>
      <c r="BP89" s="137">
        <v>46022</v>
      </c>
    </row>
    <row r="90" spans="1:68" ht="15.75" customHeight="1">
      <c r="A90" s="109" t="s">
        <v>751</v>
      </c>
      <c r="B90" s="122" t="s">
        <v>184</v>
      </c>
      <c r="C90" s="301"/>
      <c r="D90" s="304"/>
      <c r="E90" s="304"/>
      <c r="F90" s="297"/>
      <c r="G90" s="78">
        <v>2016</v>
      </c>
      <c r="H90" s="105" t="s">
        <v>733</v>
      </c>
      <c r="I90" s="76" t="s">
        <v>196</v>
      </c>
      <c r="J90" s="102" t="s">
        <v>197</v>
      </c>
      <c r="K90" s="105" t="s">
        <v>397</v>
      </c>
      <c r="L90" s="105" t="s">
        <v>192</v>
      </c>
      <c r="M90" s="13" t="s">
        <v>193</v>
      </c>
      <c r="N90" s="13">
        <v>4.04</v>
      </c>
      <c r="O90" s="13">
        <v>4.18</v>
      </c>
      <c r="P90" s="13">
        <v>4.18</v>
      </c>
      <c r="Q90" s="13">
        <v>4.18</v>
      </c>
      <c r="R90" s="13">
        <v>4.18</v>
      </c>
      <c r="S90" s="13">
        <v>4.18</v>
      </c>
      <c r="T90" s="13">
        <v>4.18</v>
      </c>
      <c r="U90" s="13">
        <v>4.18</v>
      </c>
      <c r="V90" s="13">
        <v>4.18</v>
      </c>
      <c r="W90" s="13">
        <v>4.18</v>
      </c>
      <c r="X90" s="13">
        <v>4.18</v>
      </c>
      <c r="Y90" s="13">
        <v>4.18</v>
      </c>
      <c r="Z90" s="13">
        <v>4.18</v>
      </c>
      <c r="AA90" s="13">
        <v>4.18</v>
      </c>
      <c r="AB90" s="40">
        <v>0.12</v>
      </c>
      <c r="AC90" s="40">
        <v>0.12</v>
      </c>
      <c r="AD90" s="40">
        <v>0.12</v>
      </c>
      <c r="AE90" s="40">
        <v>0.12</v>
      </c>
      <c r="AF90" s="40">
        <v>0.12</v>
      </c>
      <c r="AG90" s="40">
        <v>0.12</v>
      </c>
      <c r="AH90" s="40">
        <v>0.12</v>
      </c>
      <c r="AI90" s="40">
        <v>0.12</v>
      </c>
      <c r="AJ90" s="40">
        <v>0.12</v>
      </c>
      <c r="AK90" s="40">
        <v>0.12</v>
      </c>
      <c r="AL90" s="40">
        <v>0.12</v>
      </c>
      <c r="AM90" s="40">
        <v>0.12</v>
      </c>
      <c r="AN90" s="40">
        <v>0.12</v>
      </c>
      <c r="AO90" s="116">
        <v>0</v>
      </c>
      <c r="AP90" s="6">
        <f t="shared" si="0"/>
        <v>0</v>
      </c>
      <c r="AQ90" s="115">
        <v>0</v>
      </c>
      <c r="AR90" s="6">
        <f t="shared" si="1"/>
        <v>0</v>
      </c>
      <c r="AS90" s="115" t="s">
        <v>573</v>
      </c>
      <c r="AT90" s="6">
        <f t="shared" si="13"/>
        <v>0</v>
      </c>
      <c r="AU90" s="115">
        <v>0</v>
      </c>
      <c r="AV90" s="1">
        <f t="shared" si="7"/>
        <v>0</v>
      </c>
      <c r="AW90" s="115">
        <v>0</v>
      </c>
      <c r="AX90" s="1">
        <f t="shared" si="17"/>
        <v>0</v>
      </c>
      <c r="AY90" s="5">
        <v>5760</v>
      </c>
      <c r="AZ90" s="1">
        <f t="shared" si="9"/>
        <v>691.19999999999993</v>
      </c>
      <c r="BA90" s="5">
        <v>8640</v>
      </c>
      <c r="BB90" s="1">
        <f t="shared" si="10"/>
        <v>1036.8</v>
      </c>
      <c r="BC90" s="5" t="s">
        <v>573</v>
      </c>
      <c r="BD90" s="1">
        <f t="shared" si="3"/>
        <v>0</v>
      </c>
      <c r="BE90" s="150">
        <v>8640</v>
      </c>
      <c r="BF90" s="1">
        <f t="shared" si="14"/>
        <v>1036.8</v>
      </c>
      <c r="BG90" s="150">
        <v>5760</v>
      </c>
      <c r="BH90" s="1">
        <f t="shared" si="18"/>
        <v>691.19999999999993</v>
      </c>
      <c r="BI90" s="150">
        <v>2880</v>
      </c>
      <c r="BJ90" s="1">
        <f t="shared" si="15"/>
        <v>345.59999999999997</v>
      </c>
      <c r="BK90" s="156" t="s">
        <v>573</v>
      </c>
      <c r="BL90" s="1">
        <f t="shared" si="16"/>
        <v>0</v>
      </c>
      <c r="BM90" s="141" t="s">
        <v>528</v>
      </c>
      <c r="BN90" s="136" t="s">
        <v>17</v>
      </c>
      <c r="BO90" s="139" t="s">
        <v>1314</v>
      </c>
      <c r="BP90" s="137">
        <v>46022</v>
      </c>
    </row>
    <row r="91" spans="1:68" ht="15.75" customHeight="1">
      <c r="A91" s="109" t="s">
        <v>751</v>
      </c>
      <c r="B91" s="122" t="s">
        <v>184</v>
      </c>
      <c r="C91" s="301"/>
      <c r="D91" s="304"/>
      <c r="E91" s="304"/>
      <c r="F91" s="297"/>
      <c r="G91" s="78">
        <v>2016</v>
      </c>
      <c r="H91" s="105" t="s">
        <v>733</v>
      </c>
      <c r="I91" s="76" t="s">
        <v>196</v>
      </c>
      <c r="J91" s="102" t="s">
        <v>197</v>
      </c>
      <c r="K91" s="105" t="s">
        <v>397</v>
      </c>
      <c r="L91" s="105" t="s">
        <v>192</v>
      </c>
      <c r="M91" s="13" t="s">
        <v>193</v>
      </c>
      <c r="N91" s="13">
        <v>4</v>
      </c>
      <c r="O91" s="13">
        <v>4.1399999999999997</v>
      </c>
      <c r="P91" s="13">
        <v>4.1399999999999997</v>
      </c>
      <c r="Q91" s="13">
        <v>4.1399999999999997</v>
      </c>
      <c r="R91" s="13">
        <v>4.1399999999999997</v>
      </c>
      <c r="S91" s="13">
        <v>4.1399999999999997</v>
      </c>
      <c r="T91" s="13">
        <v>4.1399999999999997</v>
      </c>
      <c r="U91" s="13">
        <v>4.1399999999999997</v>
      </c>
      <c r="V91" s="13">
        <v>4.1399999999999997</v>
      </c>
      <c r="W91" s="13">
        <v>4.1399999999999997</v>
      </c>
      <c r="X91" s="13">
        <v>4.1399999999999997</v>
      </c>
      <c r="Y91" s="13">
        <v>4.1399999999999997</v>
      </c>
      <c r="Z91" s="13">
        <v>4.1399999999999997</v>
      </c>
      <c r="AA91" s="13">
        <v>4.1399999999999997</v>
      </c>
      <c r="AB91" s="40">
        <v>0.12</v>
      </c>
      <c r="AC91" s="40">
        <v>0.12</v>
      </c>
      <c r="AD91" s="40">
        <v>0.12</v>
      </c>
      <c r="AE91" s="40">
        <v>0.12</v>
      </c>
      <c r="AF91" s="40">
        <v>0.12</v>
      </c>
      <c r="AG91" s="40">
        <v>0.12</v>
      </c>
      <c r="AH91" s="40">
        <v>0.12</v>
      </c>
      <c r="AI91" s="40">
        <v>0.12</v>
      </c>
      <c r="AJ91" s="40">
        <v>0.12</v>
      </c>
      <c r="AK91" s="40">
        <v>0.12</v>
      </c>
      <c r="AL91" s="40">
        <v>0.12</v>
      </c>
      <c r="AM91" s="40">
        <v>0.12</v>
      </c>
      <c r="AN91" s="40">
        <v>0.12</v>
      </c>
      <c r="AO91" s="116">
        <v>0</v>
      </c>
      <c r="AP91" s="6">
        <f t="shared" si="0"/>
        <v>0</v>
      </c>
      <c r="AQ91" s="115">
        <v>0</v>
      </c>
      <c r="AR91" s="6">
        <f t="shared" si="1"/>
        <v>0</v>
      </c>
      <c r="AS91" s="115">
        <v>2880</v>
      </c>
      <c r="AT91" s="6">
        <f t="shared" si="13"/>
        <v>345.59999999999997</v>
      </c>
      <c r="AU91" s="115">
        <v>0</v>
      </c>
      <c r="AV91" s="1">
        <f t="shared" si="7"/>
        <v>0</v>
      </c>
      <c r="AW91" s="115">
        <v>0</v>
      </c>
      <c r="AX91" s="1">
        <f t="shared" si="17"/>
        <v>0</v>
      </c>
      <c r="AY91" s="5" t="s">
        <v>573</v>
      </c>
      <c r="AZ91" s="1">
        <f t="shared" si="9"/>
        <v>0</v>
      </c>
      <c r="BA91" s="5">
        <v>2880</v>
      </c>
      <c r="BB91" s="1">
        <f t="shared" si="10"/>
        <v>345.59999999999997</v>
      </c>
      <c r="BC91" s="5" t="s">
        <v>573</v>
      </c>
      <c r="BD91" s="1">
        <f t="shared" si="3"/>
        <v>0</v>
      </c>
      <c r="BE91" s="150">
        <v>2880</v>
      </c>
      <c r="BF91" s="1">
        <f t="shared" si="14"/>
        <v>345.59999999999997</v>
      </c>
      <c r="BG91" s="150" t="s">
        <v>573</v>
      </c>
      <c r="BH91" s="1">
        <f t="shared" si="18"/>
        <v>0</v>
      </c>
      <c r="BI91" s="150">
        <v>2880</v>
      </c>
      <c r="BJ91" s="1">
        <f t="shared" si="15"/>
        <v>345.59999999999997</v>
      </c>
      <c r="BK91" s="156" t="s">
        <v>573</v>
      </c>
      <c r="BL91" s="1">
        <f t="shared" si="16"/>
        <v>0</v>
      </c>
      <c r="BM91" s="141" t="s">
        <v>529</v>
      </c>
      <c r="BN91" s="136" t="s">
        <v>17</v>
      </c>
      <c r="BO91" s="139" t="s">
        <v>754</v>
      </c>
      <c r="BP91" s="137">
        <v>46022</v>
      </c>
    </row>
    <row r="92" spans="1:68" ht="15.75" customHeight="1">
      <c r="A92" s="109" t="s">
        <v>751</v>
      </c>
      <c r="B92" s="122" t="s">
        <v>184</v>
      </c>
      <c r="C92" s="301"/>
      <c r="D92" s="304"/>
      <c r="E92" s="304"/>
      <c r="F92" s="297"/>
      <c r="G92" s="78">
        <v>2019</v>
      </c>
      <c r="H92" s="105" t="s">
        <v>720</v>
      </c>
      <c r="I92" s="76" t="s">
        <v>196</v>
      </c>
      <c r="J92" s="103" t="s">
        <v>197</v>
      </c>
      <c r="K92" s="76" t="s">
        <v>191</v>
      </c>
      <c r="L92" s="105" t="s">
        <v>192</v>
      </c>
      <c r="M92" s="13" t="s">
        <v>193</v>
      </c>
      <c r="N92" s="13">
        <v>1.81</v>
      </c>
      <c r="O92" s="13">
        <v>1.81</v>
      </c>
      <c r="P92" s="13">
        <v>1.81</v>
      </c>
      <c r="Q92" s="13">
        <v>1.81</v>
      </c>
      <c r="R92" s="13">
        <v>1.81</v>
      </c>
      <c r="S92" s="13">
        <v>1.81</v>
      </c>
      <c r="T92" s="13">
        <v>1.81</v>
      </c>
      <c r="U92" s="13">
        <v>1.81</v>
      </c>
      <c r="V92" s="13">
        <v>1.81</v>
      </c>
      <c r="W92" s="13">
        <v>1.81</v>
      </c>
      <c r="X92" s="13">
        <v>1.81</v>
      </c>
      <c r="Y92" s="13">
        <v>1.81</v>
      </c>
      <c r="Z92" s="13">
        <v>1.81</v>
      </c>
      <c r="AA92" s="13">
        <v>1.81</v>
      </c>
      <c r="AB92" s="40">
        <v>0</v>
      </c>
      <c r="AC92" s="40">
        <v>0</v>
      </c>
      <c r="AD92" s="40">
        <v>0</v>
      </c>
      <c r="AE92" s="40">
        <v>0</v>
      </c>
      <c r="AF92" s="40">
        <v>0</v>
      </c>
      <c r="AG92" s="40">
        <v>0</v>
      </c>
      <c r="AH92" s="40">
        <v>0</v>
      </c>
      <c r="AI92" s="40">
        <v>0</v>
      </c>
      <c r="AJ92" s="40">
        <v>0</v>
      </c>
      <c r="AK92" s="40">
        <v>0</v>
      </c>
      <c r="AL92" s="40">
        <v>0</v>
      </c>
      <c r="AM92" s="40">
        <v>0</v>
      </c>
      <c r="AN92" s="40">
        <v>0</v>
      </c>
      <c r="AO92" s="116">
        <v>0</v>
      </c>
      <c r="AP92" s="6">
        <f t="shared" si="0"/>
        <v>0</v>
      </c>
      <c r="AQ92" s="115">
        <v>0</v>
      </c>
      <c r="AR92" s="6">
        <f t="shared" si="1"/>
        <v>0</v>
      </c>
      <c r="AS92" s="115">
        <v>26880</v>
      </c>
      <c r="AT92" s="6">
        <f t="shared" si="13"/>
        <v>0</v>
      </c>
      <c r="AU92" s="115">
        <v>0</v>
      </c>
      <c r="AV92" s="1">
        <f t="shared" si="7"/>
        <v>0</v>
      </c>
      <c r="AW92" s="115">
        <v>0</v>
      </c>
      <c r="AX92" s="1">
        <f t="shared" si="17"/>
        <v>0</v>
      </c>
      <c r="AY92" s="5">
        <v>6720</v>
      </c>
      <c r="AZ92" s="1">
        <f t="shared" si="9"/>
        <v>0</v>
      </c>
      <c r="BA92" s="5">
        <v>6720</v>
      </c>
      <c r="BB92" s="1">
        <f t="shared" si="10"/>
        <v>0</v>
      </c>
      <c r="BC92" s="5">
        <v>13440</v>
      </c>
      <c r="BD92" s="1">
        <f t="shared" si="3"/>
        <v>0</v>
      </c>
      <c r="BE92" s="150">
        <v>13440</v>
      </c>
      <c r="BF92" s="1">
        <f t="shared" si="14"/>
        <v>0</v>
      </c>
      <c r="BG92" s="150">
        <v>13440</v>
      </c>
      <c r="BH92" s="1">
        <f t="shared" si="18"/>
        <v>0</v>
      </c>
      <c r="BI92" s="150">
        <v>6720</v>
      </c>
      <c r="BJ92" s="1">
        <f t="shared" si="15"/>
        <v>0</v>
      </c>
      <c r="BK92" s="156" t="s">
        <v>573</v>
      </c>
      <c r="BL92" s="1">
        <f t="shared" si="16"/>
        <v>0</v>
      </c>
      <c r="BM92" s="141" t="s">
        <v>609</v>
      </c>
      <c r="BN92" s="136" t="s">
        <v>17</v>
      </c>
      <c r="BO92" s="139" t="s">
        <v>1310</v>
      </c>
      <c r="BP92" s="137">
        <v>45596</v>
      </c>
    </row>
    <row r="93" spans="1:68" ht="15.75" customHeight="1">
      <c r="A93" s="109" t="s">
        <v>751</v>
      </c>
      <c r="B93" s="122" t="s">
        <v>184</v>
      </c>
      <c r="C93" s="301"/>
      <c r="D93" s="304"/>
      <c r="E93" s="304"/>
      <c r="F93" s="297"/>
      <c r="G93" s="78">
        <v>2019</v>
      </c>
      <c r="H93" s="105" t="s">
        <v>720</v>
      </c>
      <c r="I93" s="76" t="s">
        <v>196</v>
      </c>
      <c r="J93" s="102" t="s">
        <v>197</v>
      </c>
      <c r="K93" s="76" t="s">
        <v>191</v>
      </c>
      <c r="L93" s="105" t="s">
        <v>192</v>
      </c>
      <c r="M93" s="13" t="s">
        <v>193</v>
      </c>
      <c r="N93" s="13">
        <v>1.72</v>
      </c>
      <c r="O93" s="13">
        <v>1.72</v>
      </c>
      <c r="P93" s="13">
        <v>1.72</v>
      </c>
      <c r="Q93" s="13">
        <v>1.72</v>
      </c>
      <c r="R93" s="13">
        <v>1.72</v>
      </c>
      <c r="S93" s="13">
        <v>1.72</v>
      </c>
      <c r="T93" s="13">
        <v>1.72</v>
      </c>
      <c r="U93" s="13">
        <v>1.72</v>
      </c>
      <c r="V93" s="13">
        <v>1.72</v>
      </c>
      <c r="W93" s="13">
        <v>1.72</v>
      </c>
      <c r="X93" s="13">
        <v>1.72</v>
      </c>
      <c r="Y93" s="13">
        <v>1.72</v>
      </c>
      <c r="Z93" s="13">
        <v>1.72</v>
      </c>
      <c r="AA93" s="13">
        <v>1.72</v>
      </c>
      <c r="AB93" s="40">
        <v>0</v>
      </c>
      <c r="AC93" s="40">
        <v>0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40">
        <v>0</v>
      </c>
      <c r="AJ93" s="40">
        <v>0</v>
      </c>
      <c r="AK93" s="40">
        <v>0</v>
      </c>
      <c r="AL93" s="40">
        <v>0</v>
      </c>
      <c r="AM93" s="40">
        <v>0</v>
      </c>
      <c r="AN93" s="40">
        <v>0</v>
      </c>
      <c r="AO93" s="116">
        <v>0</v>
      </c>
      <c r="AP93" s="6">
        <f t="shared" si="0"/>
        <v>0</v>
      </c>
      <c r="AQ93" s="115">
        <v>0</v>
      </c>
      <c r="AR93" s="6">
        <f t="shared" si="1"/>
        <v>0</v>
      </c>
      <c r="AS93" s="115">
        <v>6720</v>
      </c>
      <c r="AT93" s="6">
        <f t="shared" si="13"/>
        <v>0</v>
      </c>
      <c r="AU93" s="115">
        <v>0</v>
      </c>
      <c r="AV93" s="1">
        <f t="shared" si="7"/>
        <v>0</v>
      </c>
      <c r="AW93" s="115">
        <v>6720</v>
      </c>
      <c r="AX93" s="1">
        <f t="shared" si="17"/>
        <v>0</v>
      </c>
      <c r="AY93" s="5">
        <v>13440</v>
      </c>
      <c r="AZ93" s="1">
        <f t="shared" si="9"/>
        <v>0</v>
      </c>
      <c r="BA93" s="5" t="s">
        <v>573</v>
      </c>
      <c r="BB93" s="1">
        <f t="shared" si="10"/>
        <v>0</v>
      </c>
      <c r="BC93" s="5" t="s">
        <v>573</v>
      </c>
      <c r="BD93" s="1">
        <f t="shared" si="3"/>
        <v>0</v>
      </c>
      <c r="BE93" s="150" t="s">
        <v>573</v>
      </c>
      <c r="BF93" s="1">
        <f t="shared" si="14"/>
        <v>0</v>
      </c>
      <c r="BG93" s="150" t="s">
        <v>573</v>
      </c>
      <c r="BH93" s="1">
        <f t="shared" si="18"/>
        <v>0</v>
      </c>
      <c r="BI93" s="150" t="s">
        <v>573</v>
      </c>
      <c r="BJ93" s="1">
        <f t="shared" si="15"/>
        <v>0</v>
      </c>
      <c r="BK93" s="156" t="s">
        <v>573</v>
      </c>
      <c r="BL93" s="1">
        <f t="shared" si="16"/>
        <v>0</v>
      </c>
      <c r="BM93" s="141" t="s">
        <v>610</v>
      </c>
      <c r="BN93" s="136" t="s">
        <v>495</v>
      </c>
      <c r="BO93" s="139" t="s">
        <v>754</v>
      </c>
      <c r="BP93" s="137">
        <v>45596</v>
      </c>
    </row>
    <row r="94" spans="1:68" ht="15.75" customHeight="1">
      <c r="A94" s="109" t="s">
        <v>751</v>
      </c>
      <c r="B94" s="122" t="s">
        <v>184</v>
      </c>
      <c r="C94" s="301"/>
      <c r="D94" s="304"/>
      <c r="E94" s="304"/>
      <c r="F94" s="297"/>
      <c r="G94" s="78">
        <v>2019</v>
      </c>
      <c r="H94" s="105" t="s">
        <v>720</v>
      </c>
      <c r="I94" s="76" t="s">
        <v>196</v>
      </c>
      <c r="J94" s="102" t="s">
        <v>197</v>
      </c>
      <c r="K94" s="76" t="s">
        <v>191</v>
      </c>
      <c r="L94" s="105" t="s">
        <v>192</v>
      </c>
      <c r="M94" s="13" t="s">
        <v>193</v>
      </c>
      <c r="N94" s="13">
        <v>1.89</v>
      </c>
      <c r="O94" s="13">
        <v>1.89</v>
      </c>
      <c r="P94" s="13">
        <v>1.89</v>
      </c>
      <c r="Q94" s="13">
        <v>1.89</v>
      </c>
      <c r="R94" s="13">
        <v>1.89</v>
      </c>
      <c r="S94" s="13">
        <v>1.89</v>
      </c>
      <c r="T94" s="13">
        <v>1.89</v>
      </c>
      <c r="U94" s="13">
        <v>1.89</v>
      </c>
      <c r="V94" s="13">
        <v>1.89</v>
      </c>
      <c r="W94" s="13">
        <v>1.89</v>
      </c>
      <c r="X94" s="13">
        <v>1.89</v>
      </c>
      <c r="Y94" s="13">
        <v>1.89</v>
      </c>
      <c r="Z94" s="13">
        <v>1.89</v>
      </c>
      <c r="AA94" s="13">
        <v>1.89</v>
      </c>
      <c r="AB94" s="40">
        <v>0</v>
      </c>
      <c r="AC94" s="40">
        <v>0</v>
      </c>
      <c r="AD94" s="40">
        <v>0</v>
      </c>
      <c r="AE94" s="40">
        <v>0</v>
      </c>
      <c r="AF94" s="40">
        <v>0</v>
      </c>
      <c r="AG94" s="40">
        <v>0</v>
      </c>
      <c r="AH94" s="40">
        <v>0</v>
      </c>
      <c r="AI94" s="40">
        <v>0</v>
      </c>
      <c r="AJ94" s="40">
        <v>0</v>
      </c>
      <c r="AK94" s="40">
        <v>0</v>
      </c>
      <c r="AL94" s="40">
        <v>0</v>
      </c>
      <c r="AM94" s="40">
        <v>0</v>
      </c>
      <c r="AN94" s="40">
        <v>0</v>
      </c>
      <c r="AO94" s="116">
        <v>2880</v>
      </c>
      <c r="AP94" s="6">
        <f t="shared" si="0"/>
        <v>0</v>
      </c>
      <c r="AQ94" s="115">
        <v>5760</v>
      </c>
      <c r="AR94" s="6">
        <f t="shared" si="1"/>
        <v>0</v>
      </c>
      <c r="AS94" s="115">
        <v>8640</v>
      </c>
      <c r="AT94" s="6">
        <f t="shared" si="13"/>
        <v>0</v>
      </c>
      <c r="AU94" s="115">
        <v>0</v>
      </c>
      <c r="AV94" s="1">
        <f t="shared" si="7"/>
        <v>0</v>
      </c>
      <c r="AW94" s="115">
        <v>2880</v>
      </c>
      <c r="AX94" s="1">
        <f t="shared" si="17"/>
        <v>0</v>
      </c>
      <c r="AY94" s="5">
        <v>2880</v>
      </c>
      <c r="AZ94" s="1">
        <f t="shared" si="9"/>
        <v>0</v>
      </c>
      <c r="BA94" s="5">
        <v>2880</v>
      </c>
      <c r="BB94" s="1">
        <f t="shared" si="10"/>
        <v>0</v>
      </c>
      <c r="BC94" s="5">
        <v>5760</v>
      </c>
      <c r="BD94" s="1">
        <f t="shared" si="3"/>
        <v>0</v>
      </c>
      <c r="BE94" s="150">
        <v>8640</v>
      </c>
      <c r="BF94" s="1">
        <f t="shared" si="14"/>
        <v>0</v>
      </c>
      <c r="BG94" s="150">
        <v>2880</v>
      </c>
      <c r="BH94" s="1">
        <f t="shared" si="18"/>
        <v>0</v>
      </c>
      <c r="BI94" s="150">
        <v>5760</v>
      </c>
      <c r="BJ94" s="1">
        <f t="shared" si="15"/>
        <v>0</v>
      </c>
      <c r="BK94" s="156">
        <v>14400</v>
      </c>
      <c r="BL94" s="1">
        <f t="shared" si="16"/>
        <v>0</v>
      </c>
      <c r="BM94" s="141" t="s">
        <v>611</v>
      </c>
      <c r="BN94" s="136" t="s">
        <v>17</v>
      </c>
      <c r="BO94" s="139" t="s">
        <v>754</v>
      </c>
      <c r="BP94" s="137">
        <v>45596</v>
      </c>
    </row>
    <row r="95" spans="1:68" ht="15.75" customHeight="1">
      <c r="A95" s="109" t="s">
        <v>751</v>
      </c>
      <c r="B95" s="122" t="s">
        <v>184</v>
      </c>
      <c r="C95" s="301"/>
      <c r="D95" s="304"/>
      <c r="E95" s="304"/>
      <c r="F95" s="297"/>
      <c r="G95" s="78">
        <v>2019</v>
      </c>
      <c r="H95" s="105" t="s">
        <v>720</v>
      </c>
      <c r="I95" s="76" t="s">
        <v>196</v>
      </c>
      <c r="J95" s="102" t="s">
        <v>197</v>
      </c>
      <c r="K95" s="76" t="s">
        <v>191</v>
      </c>
      <c r="L95" s="105" t="s">
        <v>192</v>
      </c>
      <c r="M95" s="13" t="s">
        <v>193</v>
      </c>
      <c r="N95" s="13">
        <v>1.8</v>
      </c>
      <c r="O95" s="13">
        <v>1.8</v>
      </c>
      <c r="P95" s="13">
        <v>1.8</v>
      </c>
      <c r="Q95" s="13">
        <v>1.8</v>
      </c>
      <c r="R95" s="13">
        <v>1.8</v>
      </c>
      <c r="S95" s="13">
        <v>1.8</v>
      </c>
      <c r="T95" s="13">
        <v>1.8</v>
      </c>
      <c r="U95" s="13">
        <v>1.8</v>
      </c>
      <c r="V95" s="13">
        <v>1.8</v>
      </c>
      <c r="W95" s="13">
        <v>1.8</v>
      </c>
      <c r="X95" s="13">
        <v>1.8</v>
      </c>
      <c r="Y95" s="13">
        <v>1.8</v>
      </c>
      <c r="Z95" s="13">
        <v>1.8</v>
      </c>
      <c r="AA95" s="13">
        <v>1.8</v>
      </c>
      <c r="AB95" s="40">
        <v>0</v>
      </c>
      <c r="AC95" s="40">
        <v>0</v>
      </c>
      <c r="AD95" s="40">
        <v>0</v>
      </c>
      <c r="AE95" s="40">
        <v>0</v>
      </c>
      <c r="AF95" s="40">
        <v>0</v>
      </c>
      <c r="AG95" s="40">
        <v>0</v>
      </c>
      <c r="AH95" s="40">
        <v>0</v>
      </c>
      <c r="AI95" s="40">
        <v>0</v>
      </c>
      <c r="AJ95" s="40">
        <v>0</v>
      </c>
      <c r="AK95" s="40">
        <v>0</v>
      </c>
      <c r="AL95" s="40">
        <v>0</v>
      </c>
      <c r="AM95" s="40">
        <v>0</v>
      </c>
      <c r="AN95" s="40">
        <v>0</v>
      </c>
      <c r="AO95" s="116">
        <v>0</v>
      </c>
      <c r="AP95" s="6">
        <f t="shared" si="0"/>
        <v>0</v>
      </c>
      <c r="AQ95" s="115">
        <v>0</v>
      </c>
      <c r="AR95" s="6">
        <f t="shared" si="1"/>
        <v>0</v>
      </c>
      <c r="AS95" s="115">
        <v>2880</v>
      </c>
      <c r="AT95" s="6">
        <f t="shared" si="13"/>
        <v>0</v>
      </c>
      <c r="AU95" s="115">
        <v>0</v>
      </c>
      <c r="AV95" s="1">
        <f t="shared" si="7"/>
        <v>0</v>
      </c>
      <c r="AW95" s="115">
        <v>8640</v>
      </c>
      <c r="AX95" s="1">
        <f t="shared" si="17"/>
        <v>0</v>
      </c>
      <c r="AY95" s="5" t="s">
        <v>573</v>
      </c>
      <c r="AZ95" s="1">
        <f>AH95*AY95</f>
        <v>0</v>
      </c>
      <c r="BA95" s="5" t="s">
        <v>573</v>
      </c>
      <c r="BB95" s="1">
        <f>AI95*BA95</f>
        <v>0</v>
      </c>
      <c r="BC95" s="5">
        <v>14400</v>
      </c>
      <c r="BD95" s="1">
        <f>AJ95*BC95</f>
        <v>0</v>
      </c>
      <c r="BE95" s="150" t="s">
        <v>573</v>
      </c>
      <c r="BF95" s="1">
        <f t="shared" si="14"/>
        <v>0</v>
      </c>
      <c r="BG95" s="150" t="s">
        <v>573</v>
      </c>
      <c r="BH95" s="1">
        <f t="shared" si="18"/>
        <v>0</v>
      </c>
      <c r="BI95" s="150" t="s">
        <v>573</v>
      </c>
      <c r="BJ95" s="1">
        <f t="shared" si="15"/>
        <v>0</v>
      </c>
      <c r="BK95" s="156">
        <v>11520</v>
      </c>
      <c r="BL95" s="1">
        <f t="shared" si="16"/>
        <v>0</v>
      </c>
      <c r="BM95" s="141" t="s">
        <v>607</v>
      </c>
      <c r="BN95" s="136" t="s">
        <v>497</v>
      </c>
      <c r="BO95" s="139" t="s">
        <v>197</v>
      </c>
      <c r="BP95" s="137">
        <v>45596</v>
      </c>
    </row>
    <row r="96" spans="1:68" ht="15.75" customHeight="1">
      <c r="A96" s="109" t="s">
        <v>751</v>
      </c>
      <c r="B96" s="122" t="s">
        <v>184</v>
      </c>
      <c r="C96" s="301"/>
      <c r="D96" s="304"/>
      <c r="E96" s="304"/>
      <c r="F96" s="297"/>
      <c r="G96" s="78">
        <v>2023</v>
      </c>
      <c r="H96" s="105" t="s">
        <v>720</v>
      </c>
      <c r="I96" s="76" t="s">
        <v>196</v>
      </c>
      <c r="J96" s="102" t="s">
        <v>197</v>
      </c>
      <c r="K96" s="76" t="s">
        <v>191</v>
      </c>
      <c r="L96" s="105" t="s">
        <v>192</v>
      </c>
      <c r="M96" s="13" t="s">
        <v>193</v>
      </c>
      <c r="N96" s="13">
        <v>1.89</v>
      </c>
      <c r="O96" s="13">
        <v>1.89</v>
      </c>
      <c r="P96" s="13">
        <v>1.89</v>
      </c>
      <c r="Q96" s="13">
        <v>1.89</v>
      </c>
      <c r="R96" s="13">
        <v>1.89</v>
      </c>
      <c r="S96" s="13">
        <v>1.89</v>
      </c>
      <c r="T96" s="13">
        <v>1.89</v>
      </c>
      <c r="U96" s="13">
        <v>1.89</v>
      </c>
      <c r="V96" s="13">
        <v>1.89</v>
      </c>
      <c r="W96" s="13">
        <v>1.89</v>
      </c>
      <c r="X96" s="13">
        <v>1.89</v>
      </c>
      <c r="Y96" s="13">
        <v>1.89</v>
      </c>
      <c r="Z96" s="13">
        <v>1.89</v>
      </c>
      <c r="AA96" s="13">
        <v>1.89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40">
        <v>0</v>
      </c>
      <c r="AJ96" s="40">
        <v>0</v>
      </c>
      <c r="AK96" s="40">
        <v>0</v>
      </c>
      <c r="AL96" s="40">
        <v>0</v>
      </c>
      <c r="AM96" s="40">
        <v>0</v>
      </c>
      <c r="AN96" s="40">
        <v>0</v>
      </c>
      <c r="AO96" s="116">
        <v>0</v>
      </c>
      <c r="AP96" s="6">
        <f t="shared" si="0"/>
        <v>0</v>
      </c>
      <c r="AQ96" s="115">
        <v>0</v>
      </c>
      <c r="AR96" s="6">
        <f t="shared" si="1"/>
        <v>0</v>
      </c>
      <c r="AS96" s="115" t="s">
        <v>573</v>
      </c>
      <c r="AT96" s="6">
        <f t="shared" si="13"/>
        <v>0</v>
      </c>
      <c r="AU96" s="115">
        <v>0</v>
      </c>
      <c r="AV96" s="1">
        <f t="shared" si="7"/>
        <v>0</v>
      </c>
      <c r="AW96" s="115">
        <v>0</v>
      </c>
      <c r="AX96" s="1">
        <f t="shared" si="17"/>
        <v>0</v>
      </c>
      <c r="AY96" s="5" t="s">
        <v>573</v>
      </c>
      <c r="AZ96" s="1">
        <f t="shared" si="9"/>
        <v>0</v>
      </c>
      <c r="BA96" s="5" t="s">
        <v>573</v>
      </c>
      <c r="BB96" s="1">
        <f t="shared" si="10"/>
        <v>0</v>
      </c>
      <c r="BC96" s="5" t="s">
        <v>573</v>
      </c>
      <c r="BD96" s="1">
        <f t="shared" si="3"/>
        <v>0</v>
      </c>
      <c r="BE96" s="150" t="s">
        <v>573</v>
      </c>
      <c r="BF96" s="1">
        <f t="shared" si="14"/>
        <v>0</v>
      </c>
      <c r="BG96" s="150" t="s">
        <v>573</v>
      </c>
      <c r="BH96" s="1">
        <f t="shared" si="18"/>
        <v>0</v>
      </c>
      <c r="BI96" s="150" t="s">
        <v>573</v>
      </c>
      <c r="BJ96" s="1">
        <f t="shared" si="15"/>
        <v>0</v>
      </c>
      <c r="BK96" s="156" t="s">
        <v>573</v>
      </c>
      <c r="BL96" s="1">
        <f t="shared" si="16"/>
        <v>0</v>
      </c>
      <c r="BM96" s="141" t="s">
        <v>634</v>
      </c>
      <c r="BN96" s="136" t="s">
        <v>17</v>
      </c>
      <c r="BO96" s="139" t="s">
        <v>1314</v>
      </c>
      <c r="BP96" s="137">
        <v>46203</v>
      </c>
    </row>
    <row r="97" spans="1:68" ht="15.75" customHeight="1">
      <c r="A97" s="109" t="s">
        <v>751</v>
      </c>
      <c r="B97" s="122" t="s">
        <v>184</v>
      </c>
      <c r="C97" s="301"/>
      <c r="D97" s="304"/>
      <c r="E97" s="304"/>
      <c r="F97" s="297"/>
      <c r="G97" s="78">
        <v>2023</v>
      </c>
      <c r="H97" s="105" t="s">
        <v>720</v>
      </c>
      <c r="I97" s="76" t="s">
        <v>196</v>
      </c>
      <c r="J97" s="102" t="s">
        <v>197</v>
      </c>
      <c r="K97" s="105" t="s">
        <v>753</v>
      </c>
      <c r="L97" s="105" t="s">
        <v>192</v>
      </c>
      <c r="M97" s="13" t="s">
        <v>193</v>
      </c>
      <c r="N97" s="13">
        <v>1.89</v>
      </c>
      <c r="O97" s="13">
        <v>1.89</v>
      </c>
      <c r="P97" s="13">
        <v>1.89</v>
      </c>
      <c r="Q97" s="13">
        <v>1.89</v>
      </c>
      <c r="R97" s="13">
        <v>1.89</v>
      </c>
      <c r="S97" s="13">
        <v>1.89</v>
      </c>
      <c r="T97" s="13">
        <v>1.89</v>
      </c>
      <c r="U97" s="13">
        <v>1.89</v>
      </c>
      <c r="V97" s="13">
        <v>1.89</v>
      </c>
      <c r="W97" s="13">
        <v>1.89</v>
      </c>
      <c r="X97" s="13">
        <v>1.89</v>
      </c>
      <c r="Y97" s="13">
        <v>1.89</v>
      </c>
      <c r="Z97" s="13">
        <v>1.89</v>
      </c>
      <c r="AA97" s="13">
        <v>1.89</v>
      </c>
      <c r="AB97" s="40">
        <v>0</v>
      </c>
      <c r="AC97" s="40">
        <v>0</v>
      </c>
      <c r="AD97" s="40">
        <v>0</v>
      </c>
      <c r="AE97" s="40">
        <v>0</v>
      </c>
      <c r="AF97" s="40">
        <v>0</v>
      </c>
      <c r="AG97" s="40">
        <v>0</v>
      </c>
      <c r="AH97" s="40">
        <v>0</v>
      </c>
      <c r="AI97" s="40">
        <v>0</v>
      </c>
      <c r="AJ97" s="40">
        <v>0</v>
      </c>
      <c r="AK97" s="40">
        <v>0</v>
      </c>
      <c r="AL97" s="40">
        <v>0</v>
      </c>
      <c r="AM97" s="40">
        <v>0</v>
      </c>
      <c r="AN97" s="40">
        <v>0</v>
      </c>
      <c r="AO97" s="116">
        <v>0</v>
      </c>
      <c r="AP97" s="6">
        <f t="shared" si="0"/>
        <v>0</v>
      </c>
      <c r="AQ97" s="115">
        <v>0</v>
      </c>
      <c r="AR97" s="6">
        <f t="shared" si="1"/>
        <v>0</v>
      </c>
      <c r="AS97" s="115" t="s">
        <v>573</v>
      </c>
      <c r="AT97" s="6">
        <f t="shared" si="13"/>
        <v>0</v>
      </c>
      <c r="AU97" s="115">
        <v>2880</v>
      </c>
      <c r="AV97" s="1">
        <f t="shared" si="7"/>
        <v>0</v>
      </c>
      <c r="AW97" s="115">
        <v>0</v>
      </c>
      <c r="AX97" s="1">
        <f t="shared" si="17"/>
        <v>0</v>
      </c>
      <c r="AY97" s="5">
        <v>2880</v>
      </c>
      <c r="AZ97" s="1">
        <f t="shared" si="9"/>
        <v>0</v>
      </c>
      <c r="BA97" s="5">
        <v>2880</v>
      </c>
      <c r="BB97" s="1">
        <f t="shared" si="10"/>
        <v>0</v>
      </c>
      <c r="BC97" s="5" t="s">
        <v>573</v>
      </c>
      <c r="BD97" s="1">
        <f t="shared" si="3"/>
        <v>0</v>
      </c>
      <c r="BE97" s="150" t="s">
        <v>573</v>
      </c>
      <c r="BF97" s="1">
        <f t="shared" si="14"/>
        <v>0</v>
      </c>
      <c r="BG97" s="150" t="s">
        <v>573</v>
      </c>
      <c r="BH97" s="1">
        <f t="shared" si="18"/>
        <v>0</v>
      </c>
      <c r="BI97" s="150" t="s">
        <v>573</v>
      </c>
      <c r="BJ97" s="1">
        <f t="shared" si="15"/>
        <v>0</v>
      </c>
      <c r="BK97" s="156" t="s">
        <v>573</v>
      </c>
      <c r="BL97" s="1">
        <f t="shared" si="16"/>
        <v>0</v>
      </c>
      <c r="BM97" s="141" t="s">
        <v>635</v>
      </c>
      <c r="BN97" s="136" t="s">
        <v>17</v>
      </c>
      <c r="BO97" s="139" t="s">
        <v>754</v>
      </c>
      <c r="BP97" s="137">
        <v>46203</v>
      </c>
    </row>
    <row r="98" spans="1:68" ht="15.75" customHeight="1">
      <c r="A98" s="109" t="s">
        <v>751</v>
      </c>
      <c r="B98" s="122" t="s">
        <v>184</v>
      </c>
      <c r="C98" s="301"/>
      <c r="D98" s="304"/>
      <c r="E98" s="304"/>
      <c r="F98" s="297"/>
      <c r="G98" s="78">
        <v>2023</v>
      </c>
      <c r="H98" s="105" t="s">
        <v>720</v>
      </c>
      <c r="I98" s="76" t="s">
        <v>196</v>
      </c>
      <c r="J98" s="102" t="s">
        <v>197</v>
      </c>
      <c r="K98" s="105" t="s">
        <v>753</v>
      </c>
      <c r="L98" s="105" t="s">
        <v>192</v>
      </c>
      <c r="M98" s="13" t="s">
        <v>193</v>
      </c>
      <c r="N98" s="13"/>
      <c r="O98" s="13"/>
      <c r="P98" s="13">
        <v>1.89</v>
      </c>
      <c r="Q98" s="13">
        <v>1.89</v>
      </c>
      <c r="R98" s="13">
        <v>1.89</v>
      </c>
      <c r="S98" s="13">
        <v>1.89</v>
      </c>
      <c r="T98" s="13">
        <v>1.89</v>
      </c>
      <c r="U98" s="13">
        <v>1.89</v>
      </c>
      <c r="V98" s="13">
        <v>1.89</v>
      </c>
      <c r="W98" s="13">
        <v>1.89</v>
      </c>
      <c r="X98" s="13">
        <v>1.89</v>
      </c>
      <c r="Y98" s="13">
        <v>1.89</v>
      </c>
      <c r="Z98" s="13">
        <v>1.89</v>
      </c>
      <c r="AA98" s="13">
        <v>1.89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40">
        <v>0</v>
      </c>
      <c r="AH98" s="40">
        <v>0</v>
      </c>
      <c r="AI98" s="40">
        <v>0</v>
      </c>
      <c r="AJ98" s="40">
        <v>0</v>
      </c>
      <c r="AK98" s="40">
        <v>0</v>
      </c>
      <c r="AL98" s="40">
        <v>0</v>
      </c>
      <c r="AM98" s="40">
        <v>0</v>
      </c>
      <c r="AN98" s="40">
        <v>0</v>
      </c>
      <c r="AO98" s="116">
        <v>0</v>
      </c>
      <c r="AP98" s="6">
        <f t="shared" si="0"/>
        <v>0</v>
      </c>
      <c r="AQ98" s="115">
        <v>0</v>
      </c>
      <c r="AR98" s="6">
        <f t="shared" si="1"/>
        <v>0</v>
      </c>
      <c r="AS98" s="115" t="s">
        <v>573</v>
      </c>
      <c r="AT98" s="6">
        <f t="shared" si="13"/>
        <v>0</v>
      </c>
      <c r="AU98" s="115">
        <v>0</v>
      </c>
      <c r="AV98" s="1">
        <f t="shared" si="7"/>
        <v>0</v>
      </c>
      <c r="AW98" s="115">
        <v>0</v>
      </c>
      <c r="AX98" s="1">
        <f t="shared" si="17"/>
        <v>0</v>
      </c>
      <c r="AY98" s="5" t="s">
        <v>573</v>
      </c>
      <c r="AZ98" s="1">
        <f t="shared" si="9"/>
        <v>0</v>
      </c>
      <c r="BA98" s="5" t="s">
        <v>573</v>
      </c>
      <c r="BB98" s="1">
        <f t="shared" si="10"/>
        <v>0</v>
      </c>
      <c r="BC98" s="5" t="s">
        <v>573</v>
      </c>
      <c r="BD98" s="1">
        <f t="shared" si="3"/>
        <v>0</v>
      </c>
      <c r="BE98" s="150">
        <v>0</v>
      </c>
      <c r="BF98" s="1">
        <f t="shared" si="14"/>
        <v>0</v>
      </c>
      <c r="BG98" s="150">
        <v>2880</v>
      </c>
      <c r="BH98" s="1">
        <f t="shared" si="18"/>
        <v>0</v>
      </c>
      <c r="BI98" s="150" t="s">
        <v>573</v>
      </c>
      <c r="BJ98" s="1">
        <f t="shared" si="15"/>
        <v>0</v>
      </c>
      <c r="BK98" s="156" t="s">
        <v>573</v>
      </c>
      <c r="BL98" s="1">
        <f t="shared" si="16"/>
        <v>0</v>
      </c>
      <c r="BM98" s="141" t="s">
        <v>636</v>
      </c>
      <c r="BN98" s="136" t="s">
        <v>17</v>
      </c>
      <c r="BO98" s="139" t="s">
        <v>1314</v>
      </c>
      <c r="BP98" s="137"/>
    </row>
    <row r="99" spans="1:68" ht="15.75" customHeight="1">
      <c r="A99" s="109" t="s">
        <v>751</v>
      </c>
      <c r="B99" s="122" t="s">
        <v>184</v>
      </c>
      <c r="C99" s="301"/>
      <c r="D99" s="304"/>
      <c r="E99" s="304"/>
      <c r="F99" s="297"/>
      <c r="G99" s="78">
        <v>2023</v>
      </c>
      <c r="H99" s="105" t="s">
        <v>720</v>
      </c>
      <c r="I99" s="76" t="s">
        <v>196</v>
      </c>
      <c r="J99" s="102" t="s">
        <v>197</v>
      </c>
      <c r="K99" s="105" t="s">
        <v>753</v>
      </c>
      <c r="L99" s="105" t="s">
        <v>192</v>
      </c>
      <c r="M99" s="13" t="s">
        <v>193</v>
      </c>
      <c r="N99" s="13"/>
      <c r="O99" s="13"/>
      <c r="P99" s="13">
        <v>1.89</v>
      </c>
      <c r="Q99" s="13">
        <v>1.89</v>
      </c>
      <c r="R99" s="13">
        <v>1.89</v>
      </c>
      <c r="S99" s="13">
        <v>1.89</v>
      </c>
      <c r="T99" s="13">
        <v>1.89</v>
      </c>
      <c r="U99" s="13">
        <v>1.89</v>
      </c>
      <c r="V99" s="13">
        <v>1.89</v>
      </c>
      <c r="W99" s="13">
        <v>1.89</v>
      </c>
      <c r="X99" s="13">
        <v>1.89</v>
      </c>
      <c r="Y99" s="13">
        <v>1.89</v>
      </c>
      <c r="Z99" s="13">
        <v>1.89</v>
      </c>
      <c r="AA99" s="13">
        <v>1.89</v>
      </c>
      <c r="AB99" s="40">
        <v>0</v>
      </c>
      <c r="AC99" s="40">
        <v>0</v>
      </c>
      <c r="AD99" s="40">
        <v>0</v>
      </c>
      <c r="AE99" s="40">
        <v>0</v>
      </c>
      <c r="AF99" s="40">
        <v>0</v>
      </c>
      <c r="AG99" s="40">
        <v>0</v>
      </c>
      <c r="AH99" s="40">
        <v>0</v>
      </c>
      <c r="AI99" s="40">
        <v>0</v>
      </c>
      <c r="AJ99" s="40">
        <v>0</v>
      </c>
      <c r="AK99" s="40">
        <v>0</v>
      </c>
      <c r="AL99" s="40">
        <v>0</v>
      </c>
      <c r="AM99" s="40">
        <v>0</v>
      </c>
      <c r="AN99" s="40">
        <v>0</v>
      </c>
      <c r="AO99" s="116">
        <v>0</v>
      </c>
      <c r="AP99" s="6">
        <f t="shared" si="0"/>
        <v>0</v>
      </c>
      <c r="AQ99" s="115">
        <v>0</v>
      </c>
      <c r="AR99" s="6">
        <f t="shared" si="1"/>
        <v>0</v>
      </c>
      <c r="AS99" s="115" t="s">
        <v>573</v>
      </c>
      <c r="AT99" s="6">
        <f t="shared" si="13"/>
        <v>0</v>
      </c>
      <c r="AU99" s="115">
        <v>0</v>
      </c>
      <c r="AV99" s="1">
        <f t="shared" si="7"/>
        <v>0</v>
      </c>
      <c r="AW99" s="115">
        <v>0</v>
      </c>
      <c r="AX99" s="1">
        <f t="shared" si="17"/>
        <v>0</v>
      </c>
      <c r="AY99" s="5">
        <v>0</v>
      </c>
      <c r="AZ99" s="1">
        <f t="shared" si="9"/>
        <v>0</v>
      </c>
      <c r="BA99" s="5">
        <v>0</v>
      </c>
      <c r="BB99" s="1">
        <f t="shared" si="10"/>
        <v>0</v>
      </c>
      <c r="BC99" s="5">
        <v>35000</v>
      </c>
      <c r="BD99" s="1">
        <f t="shared" si="3"/>
        <v>0</v>
      </c>
      <c r="BE99" s="150"/>
      <c r="BF99" s="1">
        <f t="shared" si="14"/>
        <v>0</v>
      </c>
      <c r="BG99" s="150"/>
      <c r="BH99" s="1">
        <f t="shared" si="18"/>
        <v>0</v>
      </c>
      <c r="BI99" s="150"/>
      <c r="BJ99" s="1">
        <f t="shared" si="15"/>
        <v>0</v>
      </c>
      <c r="BK99" s="156" t="s">
        <v>573</v>
      </c>
      <c r="BL99" s="1">
        <f t="shared" si="16"/>
        <v>0</v>
      </c>
      <c r="BM99" s="141" t="s">
        <v>762</v>
      </c>
      <c r="BN99" s="136" t="s">
        <v>494</v>
      </c>
      <c r="BO99" s="139" t="s">
        <v>763</v>
      </c>
      <c r="BP99" s="137"/>
    </row>
    <row r="100" spans="1:68" ht="15.75" customHeight="1">
      <c r="A100" s="109" t="s">
        <v>751</v>
      </c>
      <c r="B100" s="122" t="s">
        <v>184</v>
      </c>
      <c r="C100" s="301"/>
      <c r="D100" s="304"/>
      <c r="E100" s="304"/>
      <c r="F100" s="297"/>
      <c r="G100" s="78">
        <v>2023</v>
      </c>
      <c r="H100" s="105" t="s">
        <v>720</v>
      </c>
      <c r="I100" s="76" t="s">
        <v>196</v>
      </c>
      <c r="J100" s="102" t="s">
        <v>197</v>
      </c>
      <c r="K100" s="105" t="s">
        <v>753</v>
      </c>
      <c r="L100" s="105" t="s">
        <v>192</v>
      </c>
      <c r="M100" s="13" t="s">
        <v>193</v>
      </c>
      <c r="N100" s="13"/>
      <c r="O100" s="13"/>
      <c r="P100" s="13">
        <v>1.89</v>
      </c>
      <c r="Q100" s="13">
        <v>1.89</v>
      </c>
      <c r="R100" s="13">
        <v>1.89</v>
      </c>
      <c r="S100" s="13">
        <v>1.89</v>
      </c>
      <c r="T100" s="13">
        <v>1.89</v>
      </c>
      <c r="U100" s="13">
        <v>1.89</v>
      </c>
      <c r="V100" s="13">
        <v>1.89</v>
      </c>
      <c r="W100" s="13">
        <v>1.89</v>
      </c>
      <c r="X100" s="13">
        <v>1.89</v>
      </c>
      <c r="Y100" s="13">
        <v>1.89</v>
      </c>
      <c r="Z100" s="13">
        <v>1.89</v>
      </c>
      <c r="AA100" s="13">
        <v>1.89</v>
      </c>
      <c r="AB100" s="40">
        <v>0</v>
      </c>
      <c r="AC100" s="40">
        <v>0</v>
      </c>
      <c r="AD100" s="40">
        <v>0</v>
      </c>
      <c r="AE100" s="40">
        <v>0</v>
      </c>
      <c r="AF100" s="40">
        <v>0</v>
      </c>
      <c r="AG100" s="40">
        <v>0</v>
      </c>
      <c r="AH100" s="40">
        <v>0</v>
      </c>
      <c r="AI100" s="40">
        <v>0</v>
      </c>
      <c r="AJ100" s="40">
        <v>0</v>
      </c>
      <c r="AK100" s="40">
        <v>0</v>
      </c>
      <c r="AL100" s="40">
        <v>0</v>
      </c>
      <c r="AM100" s="40">
        <v>0</v>
      </c>
      <c r="AN100" s="40">
        <v>0</v>
      </c>
      <c r="AO100" s="116">
        <v>0</v>
      </c>
      <c r="AP100" s="6">
        <f t="shared" si="0"/>
        <v>0</v>
      </c>
      <c r="AQ100" s="115">
        <v>0</v>
      </c>
      <c r="AR100" s="6">
        <f t="shared" si="1"/>
        <v>0</v>
      </c>
      <c r="AS100" s="115" t="s">
        <v>573</v>
      </c>
      <c r="AT100" s="6">
        <f t="shared" si="13"/>
        <v>0</v>
      </c>
      <c r="AU100" s="115">
        <v>0</v>
      </c>
      <c r="AV100" s="1">
        <f t="shared" si="7"/>
        <v>0</v>
      </c>
      <c r="AW100" s="115">
        <v>0</v>
      </c>
      <c r="AX100" s="1">
        <f t="shared" si="17"/>
        <v>0</v>
      </c>
      <c r="AY100" s="5" t="s">
        <v>573</v>
      </c>
      <c r="AZ100" s="1">
        <f t="shared" si="9"/>
        <v>0</v>
      </c>
      <c r="BA100" s="5" t="s">
        <v>573</v>
      </c>
      <c r="BB100" s="1">
        <f t="shared" si="10"/>
        <v>0</v>
      </c>
      <c r="BC100" s="5" t="s">
        <v>573</v>
      </c>
      <c r="BD100" s="1">
        <f t="shared" si="3"/>
        <v>0</v>
      </c>
      <c r="BE100" s="150">
        <v>2880</v>
      </c>
      <c r="BF100" s="1">
        <f t="shared" si="14"/>
        <v>0</v>
      </c>
      <c r="BG100" s="150">
        <v>2880</v>
      </c>
      <c r="BH100" s="1">
        <f t="shared" si="18"/>
        <v>0</v>
      </c>
      <c r="BI100" s="150">
        <v>2880</v>
      </c>
      <c r="BJ100" s="1">
        <f t="shared" si="15"/>
        <v>0</v>
      </c>
      <c r="BK100" s="156">
        <v>2880</v>
      </c>
      <c r="BL100" s="1">
        <f t="shared" si="16"/>
        <v>0</v>
      </c>
      <c r="BM100" s="141" t="s">
        <v>637</v>
      </c>
      <c r="BN100" s="136" t="s">
        <v>17</v>
      </c>
      <c r="BO100" s="139" t="s">
        <v>754</v>
      </c>
      <c r="BP100" s="137"/>
    </row>
    <row r="101" spans="1:68" ht="15.75" customHeight="1">
      <c r="A101" s="109" t="s">
        <v>751</v>
      </c>
      <c r="B101" s="122" t="s">
        <v>184</v>
      </c>
      <c r="C101" s="301"/>
      <c r="D101" s="304"/>
      <c r="E101" s="304"/>
      <c r="F101" s="297"/>
      <c r="G101" s="78">
        <v>2020</v>
      </c>
      <c r="H101" s="105" t="s">
        <v>727</v>
      </c>
      <c r="I101" s="76" t="s">
        <v>196</v>
      </c>
      <c r="J101" s="102" t="s">
        <v>197</v>
      </c>
      <c r="K101" s="105" t="s">
        <v>216</v>
      </c>
      <c r="L101" s="105" t="s">
        <v>192</v>
      </c>
      <c r="M101" s="13" t="s">
        <v>193</v>
      </c>
      <c r="N101" s="13">
        <v>22.76</v>
      </c>
      <c r="O101" s="13">
        <v>22.78</v>
      </c>
      <c r="P101" s="13">
        <v>22.78</v>
      </c>
      <c r="Q101" s="13">
        <v>22.78</v>
      </c>
      <c r="R101" s="13">
        <v>22.78</v>
      </c>
      <c r="S101" s="13">
        <v>22.78</v>
      </c>
      <c r="T101" s="13">
        <v>22.78</v>
      </c>
      <c r="U101" s="13">
        <v>22.78</v>
      </c>
      <c r="V101" s="13">
        <v>22.78</v>
      </c>
      <c r="W101" s="13">
        <v>22.78</v>
      </c>
      <c r="X101" s="13">
        <v>22.78</v>
      </c>
      <c r="Y101" s="13">
        <v>22.78</v>
      </c>
      <c r="Z101" s="13">
        <v>22.72</v>
      </c>
      <c r="AA101" s="13">
        <v>22.72</v>
      </c>
      <c r="AB101" s="40">
        <v>0</v>
      </c>
      <c r="AC101" s="40">
        <v>0</v>
      </c>
      <c r="AD101" s="40">
        <v>0</v>
      </c>
      <c r="AE101" s="40">
        <v>0</v>
      </c>
      <c r="AF101" s="40">
        <v>0</v>
      </c>
      <c r="AG101" s="40">
        <v>0</v>
      </c>
      <c r="AH101" s="40">
        <v>0</v>
      </c>
      <c r="AI101" s="40">
        <v>0</v>
      </c>
      <c r="AJ101" s="40">
        <v>0</v>
      </c>
      <c r="AK101" s="40">
        <v>0</v>
      </c>
      <c r="AL101" s="40">
        <v>0</v>
      </c>
      <c r="AM101" s="40">
        <v>0.06</v>
      </c>
      <c r="AN101" s="40">
        <v>0.06</v>
      </c>
      <c r="AO101" s="116">
        <v>0</v>
      </c>
      <c r="AP101" s="6">
        <f t="shared" si="0"/>
        <v>0</v>
      </c>
      <c r="AQ101" s="115">
        <v>0</v>
      </c>
      <c r="AR101" s="6">
        <f t="shared" si="1"/>
        <v>0</v>
      </c>
      <c r="AS101" s="115" t="s">
        <v>573</v>
      </c>
      <c r="AT101" s="6">
        <f t="shared" si="13"/>
        <v>0</v>
      </c>
      <c r="AU101" s="115">
        <v>0</v>
      </c>
      <c r="AV101" s="1">
        <f t="shared" si="7"/>
        <v>0</v>
      </c>
      <c r="AW101" s="115">
        <v>0</v>
      </c>
      <c r="AX101" s="1">
        <f t="shared" si="17"/>
        <v>0</v>
      </c>
      <c r="AY101" s="5" t="s">
        <v>573</v>
      </c>
      <c r="AZ101" s="1">
        <f t="shared" si="9"/>
        <v>0</v>
      </c>
      <c r="BA101" s="5" t="s">
        <v>573</v>
      </c>
      <c r="BB101" s="1">
        <f t="shared" si="10"/>
        <v>0</v>
      </c>
      <c r="BC101" s="5" t="s">
        <v>573</v>
      </c>
      <c r="BD101" s="1">
        <f t="shared" si="3"/>
        <v>0</v>
      </c>
      <c r="BE101" s="150">
        <v>1008</v>
      </c>
      <c r="BF101" s="1">
        <f t="shared" si="14"/>
        <v>0</v>
      </c>
      <c r="BG101" s="150" t="s">
        <v>573</v>
      </c>
      <c r="BH101" s="1">
        <f t="shared" si="18"/>
        <v>0</v>
      </c>
      <c r="BI101" s="150" t="s">
        <v>573</v>
      </c>
      <c r="BJ101" s="1">
        <f t="shared" si="15"/>
        <v>0</v>
      </c>
      <c r="BK101" s="156" t="s">
        <v>573</v>
      </c>
      <c r="BL101" s="1">
        <f t="shared" si="16"/>
        <v>0</v>
      </c>
      <c r="BM101" s="141" t="s">
        <v>502</v>
      </c>
      <c r="BN101" s="136" t="s">
        <v>11</v>
      </c>
      <c r="BO101" s="139" t="s">
        <v>1314</v>
      </c>
      <c r="BP101" s="137">
        <v>45838</v>
      </c>
    </row>
    <row r="102" spans="1:68" ht="15.75" customHeight="1">
      <c r="A102" s="109" t="s">
        <v>751</v>
      </c>
      <c r="B102" s="122" t="s">
        <v>184</v>
      </c>
      <c r="C102" s="301"/>
      <c r="D102" s="304"/>
      <c r="E102" s="304"/>
      <c r="F102" s="297"/>
      <c r="G102" s="78">
        <v>2020</v>
      </c>
      <c r="H102" s="105" t="s">
        <v>727</v>
      </c>
      <c r="I102" s="76" t="s">
        <v>196</v>
      </c>
      <c r="J102" s="103" t="s">
        <v>197</v>
      </c>
      <c r="K102" s="105" t="s">
        <v>216</v>
      </c>
      <c r="L102" s="105" t="s">
        <v>192</v>
      </c>
      <c r="M102" s="13" t="s">
        <v>193</v>
      </c>
      <c r="N102" s="13">
        <v>22.82</v>
      </c>
      <c r="O102" s="13">
        <v>22.84</v>
      </c>
      <c r="P102" s="13">
        <v>22.84</v>
      </c>
      <c r="Q102" s="13">
        <v>22.84</v>
      </c>
      <c r="R102" s="13">
        <v>22.84</v>
      </c>
      <c r="S102" s="13">
        <v>22.84</v>
      </c>
      <c r="T102" s="13">
        <v>22.84</v>
      </c>
      <c r="U102" s="13">
        <v>22.84</v>
      </c>
      <c r="V102" s="13">
        <v>22.84</v>
      </c>
      <c r="W102" s="13">
        <v>22.84</v>
      </c>
      <c r="X102" s="13">
        <v>22.84</v>
      </c>
      <c r="Y102" s="13">
        <v>22.84</v>
      </c>
      <c r="Z102" s="13">
        <v>22.78</v>
      </c>
      <c r="AA102" s="13">
        <v>22.78</v>
      </c>
      <c r="AB102" s="40">
        <v>0</v>
      </c>
      <c r="AC102" s="40">
        <v>0</v>
      </c>
      <c r="AD102" s="40">
        <v>0</v>
      </c>
      <c r="AE102" s="40">
        <v>0</v>
      </c>
      <c r="AF102" s="40">
        <v>0</v>
      </c>
      <c r="AG102" s="40">
        <v>0</v>
      </c>
      <c r="AH102" s="40">
        <v>0</v>
      </c>
      <c r="AI102" s="40">
        <v>0</v>
      </c>
      <c r="AJ102" s="40">
        <v>0</v>
      </c>
      <c r="AK102" s="40">
        <v>0</v>
      </c>
      <c r="AL102" s="40">
        <v>0</v>
      </c>
      <c r="AM102" s="40">
        <v>0.06</v>
      </c>
      <c r="AN102" s="40">
        <v>0.06</v>
      </c>
      <c r="AO102" s="116">
        <v>0</v>
      </c>
      <c r="AP102" s="6">
        <f t="shared" si="0"/>
        <v>0</v>
      </c>
      <c r="AQ102" s="115">
        <v>0</v>
      </c>
      <c r="AR102" s="6">
        <f t="shared" si="1"/>
        <v>0</v>
      </c>
      <c r="AS102" s="115">
        <v>1008</v>
      </c>
      <c r="AT102" s="6">
        <f t="shared" si="13"/>
        <v>0</v>
      </c>
      <c r="AU102" s="115">
        <v>0</v>
      </c>
      <c r="AV102" s="1">
        <f t="shared" si="7"/>
        <v>0</v>
      </c>
      <c r="AW102" s="115">
        <v>0</v>
      </c>
      <c r="AX102" s="1">
        <f t="shared" si="17"/>
        <v>0</v>
      </c>
      <c r="AY102" s="5" t="s">
        <v>573</v>
      </c>
      <c r="AZ102" s="1">
        <f t="shared" si="9"/>
        <v>0</v>
      </c>
      <c r="BA102" s="5" t="s">
        <v>573</v>
      </c>
      <c r="BB102" s="1">
        <f t="shared" si="10"/>
        <v>0</v>
      </c>
      <c r="BC102" s="5" t="s">
        <v>573</v>
      </c>
      <c r="BD102" s="1">
        <f t="shared" si="3"/>
        <v>0</v>
      </c>
      <c r="BE102" s="150" t="s">
        <v>573</v>
      </c>
      <c r="BF102" s="1">
        <f t="shared" si="14"/>
        <v>0</v>
      </c>
      <c r="BG102" s="150" t="s">
        <v>573</v>
      </c>
      <c r="BH102" s="1">
        <f t="shared" si="18"/>
        <v>0</v>
      </c>
      <c r="BI102" s="150" t="s">
        <v>573</v>
      </c>
      <c r="BJ102" s="1">
        <f t="shared" si="15"/>
        <v>0</v>
      </c>
      <c r="BK102" s="156" t="s">
        <v>573</v>
      </c>
      <c r="BL102" s="1">
        <f t="shared" si="16"/>
        <v>0</v>
      </c>
      <c r="BM102" s="141" t="s">
        <v>504</v>
      </c>
      <c r="BN102" s="136" t="s">
        <v>17</v>
      </c>
      <c r="BO102" s="139" t="s">
        <v>754</v>
      </c>
      <c r="BP102" s="137">
        <v>45838</v>
      </c>
    </row>
    <row r="103" spans="1:68" ht="15.75" customHeight="1">
      <c r="A103" s="109" t="s">
        <v>751</v>
      </c>
      <c r="B103" s="122" t="s">
        <v>184</v>
      </c>
      <c r="C103" s="301"/>
      <c r="D103" s="304"/>
      <c r="E103" s="304"/>
      <c r="F103" s="297"/>
      <c r="G103" s="78">
        <v>2020</v>
      </c>
      <c r="H103" s="105" t="s">
        <v>713</v>
      </c>
      <c r="I103" s="76" t="s">
        <v>196</v>
      </c>
      <c r="J103" s="102" t="s">
        <v>197</v>
      </c>
      <c r="K103" s="105" t="s">
        <v>216</v>
      </c>
      <c r="L103" s="105" t="s">
        <v>192</v>
      </c>
      <c r="M103" s="13" t="s">
        <v>193</v>
      </c>
      <c r="N103" s="13">
        <v>30.4</v>
      </c>
      <c r="O103" s="13">
        <v>30.42</v>
      </c>
      <c r="P103" s="13">
        <v>30.42</v>
      </c>
      <c r="Q103" s="13">
        <v>30.42</v>
      </c>
      <c r="R103" s="13">
        <v>30.42</v>
      </c>
      <c r="S103" s="13">
        <v>30.42</v>
      </c>
      <c r="T103" s="13">
        <v>30.42</v>
      </c>
      <c r="U103" s="13">
        <v>30.42</v>
      </c>
      <c r="V103" s="13">
        <v>30.42</v>
      </c>
      <c r="W103" s="13">
        <v>30.42</v>
      </c>
      <c r="X103" s="13">
        <v>30.42</v>
      </c>
      <c r="Y103" s="13">
        <v>30.42</v>
      </c>
      <c r="Z103" s="13">
        <v>30.35</v>
      </c>
      <c r="AA103" s="13">
        <v>30.35</v>
      </c>
      <c r="AB103" s="40">
        <v>0</v>
      </c>
      <c r="AC103" s="40">
        <v>0</v>
      </c>
      <c r="AD103" s="40">
        <v>0</v>
      </c>
      <c r="AE103" s="40">
        <v>0</v>
      </c>
      <c r="AF103" s="40">
        <v>0</v>
      </c>
      <c r="AG103" s="40">
        <v>0</v>
      </c>
      <c r="AH103" s="40">
        <v>0</v>
      </c>
      <c r="AI103" s="40">
        <v>0</v>
      </c>
      <c r="AJ103" s="40">
        <v>0</v>
      </c>
      <c r="AK103" s="40">
        <v>0</v>
      </c>
      <c r="AL103" s="40">
        <v>0</v>
      </c>
      <c r="AM103" s="40">
        <v>7.0000000000000007E-2</v>
      </c>
      <c r="AN103" s="40">
        <v>7.0000000000000007E-2</v>
      </c>
      <c r="AO103" s="116">
        <v>0</v>
      </c>
      <c r="AP103" s="6">
        <f t="shared" si="0"/>
        <v>0</v>
      </c>
      <c r="AQ103" s="115">
        <v>0</v>
      </c>
      <c r="AR103" s="6">
        <f t="shared" si="1"/>
        <v>0</v>
      </c>
      <c r="AS103" s="115" t="s">
        <v>573</v>
      </c>
      <c r="AT103" s="6">
        <f t="shared" si="13"/>
        <v>0</v>
      </c>
      <c r="AU103" s="115">
        <v>0</v>
      </c>
      <c r="AV103" s="1">
        <f t="shared" si="7"/>
        <v>0</v>
      </c>
      <c r="AW103" s="115">
        <v>0</v>
      </c>
      <c r="AX103" s="1">
        <f t="shared" si="17"/>
        <v>0</v>
      </c>
      <c r="AY103" s="5" t="s">
        <v>573</v>
      </c>
      <c r="AZ103" s="1">
        <f t="shared" si="9"/>
        <v>0</v>
      </c>
      <c r="BA103" s="5">
        <v>1008</v>
      </c>
      <c r="BB103" s="1">
        <f t="shared" si="10"/>
        <v>0</v>
      </c>
      <c r="BC103" s="5" t="s">
        <v>573</v>
      </c>
      <c r="BD103" s="1">
        <f t="shared" si="3"/>
        <v>0</v>
      </c>
      <c r="BE103" s="150" t="s">
        <v>573</v>
      </c>
      <c r="BF103" s="1">
        <f t="shared" si="14"/>
        <v>0</v>
      </c>
      <c r="BG103" s="150" t="s">
        <v>573</v>
      </c>
      <c r="BH103" s="1">
        <f t="shared" si="18"/>
        <v>0</v>
      </c>
      <c r="BI103" s="150" t="s">
        <v>573</v>
      </c>
      <c r="BJ103" s="1">
        <f t="shared" si="15"/>
        <v>0</v>
      </c>
      <c r="BK103" s="156" t="s">
        <v>573</v>
      </c>
      <c r="BL103" s="1">
        <f t="shared" si="16"/>
        <v>0</v>
      </c>
      <c r="BM103" s="141" t="s">
        <v>505</v>
      </c>
      <c r="BN103" s="136" t="s">
        <v>11</v>
      </c>
      <c r="BO103" s="139" t="s">
        <v>1314</v>
      </c>
      <c r="BP103" s="137">
        <v>45838</v>
      </c>
    </row>
    <row r="104" spans="1:68" ht="15.75" customHeight="1">
      <c r="A104" s="109" t="s">
        <v>751</v>
      </c>
      <c r="B104" s="122" t="s">
        <v>184</v>
      </c>
      <c r="C104" s="301"/>
      <c r="D104" s="304"/>
      <c r="E104" s="304"/>
      <c r="F104" s="297"/>
      <c r="G104" s="78">
        <v>2020</v>
      </c>
      <c r="H104" s="105" t="s">
        <v>713</v>
      </c>
      <c r="I104" s="76" t="s">
        <v>196</v>
      </c>
      <c r="J104" s="102" t="s">
        <v>197</v>
      </c>
      <c r="K104" s="105" t="s">
        <v>216</v>
      </c>
      <c r="L104" s="105" t="s">
        <v>192</v>
      </c>
      <c r="M104" s="13" t="s">
        <v>193</v>
      </c>
      <c r="N104" s="13">
        <v>30.46</v>
      </c>
      <c r="O104" s="13">
        <v>30.48</v>
      </c>
      <c r="P104" s="13">
        <v>30.48</v>
      </c>
      <c r="Q104" s="13">
        <v>30.48</v>
      </c>
      <c r="R104" s="13">
        <v>30.48</v>
      </c>
      <c r="S104" s="13">
        <v>30.48</v>
      </c>
      <c r="T104" s="13">
        <v>30.48</v>
      </c>
      <c r="U104" s="13">
        <v>30.48</v>
      </c>
      <c r="V104" s="13">
        <v>30.48</v>
      </c>
      <c r="W104" s="13">
        <v>30.48</v>
      </c>
      <c r="X104" s="13">
        <v>30.48</v>
      </c>
      <c r="Y104" s="13">
        <v>30.48</v>
      </c>
      <c r="Z104" s="13">
        <v>30.41</v>
      </c>
      <c r="AA104" s="13">
        <v>30.41</v>
      </c>
      <c r="AB104" s="40">
        <v>0</v>
      </c>
      <c r="AC104" s="40">
        <v>0</v>
      </c>
      <c r="AD104" s="40">
        <v>0</v>
      </c>
      <c r="AE104" s="40">
        <v>0</v>
      </c>
      <c r="AF104" s="40">
        <v>0</v>
      </c>
      <c r="AG104" s="40">
        <v>0</v>
      </c>
      <c r="AH104" s="40">
        <v>0</v>
      </c>
      <c r="AI104" s="40">
        <v>0</v>
      </c>
      <c r="AJ104" s="40">
        <v>0</v>
      </c>
      <c r="AK104" s="40">
        <v>0</v>
      </c>
      <c r="AL104" s="40">
        <v>0</v>
      </c>
      <c r="AM104" s="40">
        <v>7.0000000000000007E-2</v>
      </c>
      <c r="AN104" s="40">
        <v>7.0000000000000007E-2</v>
      </c>
      <c r="AO104" s="116">
        <v>0</v>
      </c>
      <c r="AP104" s="6">
        <f t="shared" si="0"/>
        <v>0</v>
      </c>
      <c r="AQ104" s="115">
        <v>0</v>
      </c>
      <c r="AR104" s="6">
        <f t="shared" si="1"/>
        <v>0</v>
      </c>
      <c r="AS104" s="115" t="s">
        <v>573</v>
      </c>
      <c r="AT104" s="6">
        <f t="shared" si="13"/>
        <v>0</v>
      </c>
      <c r="AU104" s="115">
        <v>0</v>
      </c>
      <c r="AV104" s="1">
        <f t="shared" si="7"/>
        <v>0</v>
      </c>
      <c r="AW104" s="115">
        <v>0</v>
      </c>
      <c r="AX104" s="1">
        <f t="shared" si="17"/>
        <v>0</v>
      </c>
      <c r="AY104" s="5" t="s">
        <v>573</v>
      </c>
      <c r="AZ104" s="1">
        <f t="shared" si="9"/>
        <v>0</v>
      </c>
      <c r="BA104" s="5" t="s">
        <v>573</v>
      </c>
      <c r="BB104" s="1">
        <f t="shared" si="10"/>
        <v>0</v>
      </c>
      <c r="BC104" s="5" t="s">
        <v>573</v>
      </c>
      <c r="BD104" s="1">
        <f t="shared" si="3"/>
        <v>0</v>
      </c>
      <c r="BE104" s="150" t="s">
        <v>573</v>
      </c>
      <c r="BF104" s="1">
        <f t="shared" si="14"/>
        <v>0</v>
      </c>
      <c r="BG104" s="150" t="s">
        <v>573</v>
      </c>
      <c r="BH104" s="1">
        <f t="shared" si="18"/>
        <v>0</v>
      </c>
      <c r="BI104" s="150" t="s">
        <v>573</v>
      </c>
      <c r="BJ104" s="1">
        <f t="shared" si="15"/>
        <v>0</v>
      </c>
      <c r="BK104" s="156" t="s">
        <v>573</v>
      </c>
      <c r="BL104" s="1">
        <f t="shared" si="16"/>
        <v>0</v>
      </c>
      <c r="BM104" s="141" t="s">
        <v>507</v>
      </c>
      <c r="BN104" s="136" t="s">
        <v>17</v>
      </c>
      <c r="BO104" s="139" t="s">
        <v>754</v>
      </c>
      <c r="BP104" s="137">
        <v>45838</v>
      </c>
    </row>
    <row r="105" spans="1:68" ht="15.75" customHeight="1">
      <c r="A105" s="109" t="s">
        <v>751</v>
      </c>
      <c r="B105" s="122" t="s">
        <v>184</v>
      </c>
      <c r="C105" s="301"/>
      <c r="D105" s="304"/>
      <c r="E105" s="304"/>
      <c r="F105" s="297"/>
      <c r="G105" s="78">
        <v>2020</v>
      </c>
      <c r="H105" s="105" t="s">
        <v>713</v>
      </c>
      <c r="I105" s="76" t="s">
        <v>196</v>
      </c>
      <c r="J105" s="102" t="s">
        <v>197</v>
      </c>
      <c r="K105" s="105" t="s">
        <v>218</v>
      </c>
      <c r="L105" s="105" t="s">
        <v>192</v>
      </c>
      <c r="M105" s="13" t="s">
        <v>193</v>
      </c>
      <c r="N105" s="13">
        <v>30.56</v>
      </c>
      <c r="O105" s="13">
        <v>30.58</v>
      </c>
      <c r="P105" s="13">
        <v>30.58</v>
      </c>
      <c r="Q105" s="13">
        <v>30.58</v>
      </c>
      <c r="R105" s="13">
        <v>30.58</v>
      </c>
      <c r="S105" s="13">
        <v>30.58</v>
      </c>
      <c r="T105" s="13">
        <v>30.58</v>
      </c>
      <c r="U105" s="13">
        <v>30.58</v>
      </c>
      <c r="V105" s="13">
        <v>30.58</v>
      </c>
      <c r="W105" s="13">
        <v>30.58</v>
      </c>
      <c r="X105" s="13">
        <v>30.58</v>
      </c>
      <c r="Y105" s="13">
        <v>30.58</v>
      </c>
      <c r="Z105" s="13">
        <v>30.51</v>
      </c>
      <c r="AA105" s="13">
        <v>30.51</v>
      </c>
      <c r="AB105" s="40">
        <v>0</v>
      </c>
      <c r="AC105" s="40">
        <v>0</v>
      </c>
      <c r="AD105" s="40">
        <v>0</v>
      </c>
      <c r="AE105" s="40">
        <v>0</v>
      </c>
      <c r="AF105" s="40">
        <v>0</v>
      </c>
      <c r="AG105" s="40">
        <v>0</v>
      </c>
      <c r="AH105" s="40">
        <v>0</v>
      </c>
      <c r="AI105" s="40">
        <v>0</v>
      </c>
      <c r="AJ105" s="40">
        <v>0</v>
      </c>
      <c r="AK105" s="40">
        <v>0</v>
      </c>
      <c r="AL105" s="40">
        <v>0</v>
      </c>
      <c r="AM105" s="40">
        <v>7.0000000000000007E-2</v>
      </c>
      <c r="AN105" s="40">
        <v>7.0000000000000007E-2</v>
      </c>
      <c r="AO105" s="116">
        <v>0</v>
      </c>
      <c r="AP105" s="6">
        <f t="shared" si="0"/>
        <v>0</v>
      </c>
      <c r="AQ105" s="115">
        <v>0</v>
      </c>
      <c r="AR105" s="6">
        <f t="shared" si="1"/>
        <v>0</v>
      </c>
      <c r="AS105" s="115" t="s">
        <v>573</v>
      </c>
      <c r="AT105" s="6">
        <f t="shared" si="13"/>
        <v>0</v>
      </c>
      <c r="AU105" s="115">
        <v>0</v>
      </c>
      <c r="AV105" s="1">
        <f t="shared" si="7"/>
        <v>0</v>
      </c>
      <c r="AW105" s="115">
        <v>0</v>
      </c>
      <c r="AX105" s="1">
        <f t="shared" si="17"/>
        <v>0</v>
      </c>
      <c r="AY105" s="5" t="s">
        <v>573</v>
      </c>
      <c r="AZ105" s="1">
        <f t="shared" si="9"/>
        <v>0</v>
      </c>
      <c r="BA105" s="5" t="s">
        <v>573</v>
      </c>
      <c r="BB105" s="1">
        <f t="shared" si="10"/>
        <v>0</v>
      </c>
      <c r="BC105" s="5">
        <v>1008</v>
      </c>
      <c r="BD105" s="1">
        <f t="shared" si="3"/>
        <v>0</v>
      </c>
      <c r="BE105" s="150" t="s">
        <v>573</v>
      </c>
      <c r="BF105" s="1">
        <f t="shared" si="14"/>
        <v>0</v>
      </c>
      <c r="BG105" s="150" t="s">
        <v>573</v>
      </c>
      <c r="BH105" s="1">
        <f t="shared" si="18"/>
        <v>0</v>
      </c>
      <c r="BI105" s="150" t="s">
        <v>573</v>
      </c>
      <c r="BJ105" s="1">
        <f t="shared" si="15"/>
        <v>0</v>
      </c>
      <c r="BK105" s="156" t="s">
        <v>573</v>
      </c>
      <c r="BL105" s="1">
        <f t="shared" si="16"/>
        <v>0</v>
      </c>
      <c r="BM105" s="142" t="s">
        <v>509</v>
      </c>
      <c r="BN105" s="136" t="s">
        <v>17</v>
      </c>
      <c r="BO105" s="139" t="s">
        <v>754</v>
      </c>
      <c r="BP105" s="137">
        <v>45838</v>
      </c>
    </row>
    <row r="106" spans="1:68" ht="15.75" customHeight="1">
      <c r="A106" s="109" t="s">
        <v>751</v>
      </c>
      <c r="B106" s="122" t="s">
        <v>184</v>
      </c>
      <c r="C106" s="301"/>
      <c r="D106" s="304"/>
      <c r="E106" s="304"/>
      <c r="F106" s="297"/>
      <c r="G106" s="78">
        <v>2020</v>
      </c>
      <c r="H106" s="105" t="str">
        <f>_xlfn.XLOOKUP(BM106,'[5]Package breakdown0503'!$F:$F,'[5]Package breakdown0503'!$B:$B)</f>
        <v>Brain</v>
      </c>
      <c r="I106" s="76" t="s">
        <v>196</v>
      </c>
      <c r="J106" s="102" t="s">
        <v>197</v>
      </c>
      <c r="K106" s="105" t="s">
        <v>216</v>
      </c>
      <c r="L106" s="105" t="s">
        <v>192</v>
      </c>
      <c r="M106" s="13" t="s">
        <v>193</v>
      </c>
      <c r="N106" s="13">
        <v>30.35</v>
      </c>
      <c r="O106" s="13">
        <v>30.35</v>
      </c>
      <c r="P106" s="13">
        <v>30.35</v>
      </c>
      <c r="Q106" s="13">
        <v>30.35</v>
      </c>
      <c r="R106" s="13">
        <v>30.35</v>
      </c>
      <c r="S106" s="13">
        <v>30.35</v>
      </c>
      <c r="T106" s="13">
        <v>30.35</v>
      </c>
      <c r="U106" s="13">
        <v>30.35</v>
      </c>
      <c r="V106" s="13">
        <v>30.35</v>
      </c>
      <c r="W106" s="13">
        <v>30.35</v>
      </c>
      <c r="X106" s="13">
        <v>30.35</v>
      </c>
      <c r="Y106" s="13">
        <v>30.35</v>
      </c>
      <c r="Z106" s="13">
        <v>30.28</v>
      </c>
      <c r="AA106" s="13">
        <v>30.28</v>
      </c>
      <c r="AB106" s="40">
        <v>0</v>
      </c>
      <c r="AC106" s="40">
        <v>0</v>
      </c>
      <c r="AD106" s="40">
        <v>0</v>
      </c>
      <c r="AE106" s="40">
        <v>0</v>
      </c>
      <c r="AF106" s="40">
        <v>0</v>
      </c>
      <c r="AG106" s="40">
        <v>0</v>
      </c>
      <c r="AH106" s="40">
        <v>0</v>
      </c>
      <c r="AI106" s="40">
        <v>0</v>
      </c>
      <c r="AJ106" s="40">
        <v>0</v>
      </c>
      <c r="AK106" s="40">
        <v>0</v>
      </c>
      <c r="AL106" s="40">
        <v>0</v>
      </c>
      <c r="AM106" s="40">
        <v>7.0000000000000007E-2</v>
      </c>
      <c r="AN106" s="40">
        <v>7.0000000000000007E-2</v>
      </c>
      <c r="AO106" s="116">
        <v>0</v>
      </c>
      <c r="AP106" s="6">
        <f t="shared" si="0"/>
        <v>0</v>
      </c>
      <c r="AQ106" s="116">
        <v>0</v>
      </c>
      <c r="AR106" s="6">
        <f t="shared" si="1"/>
        <v>0</v>
      </c>
      <c r="AS106" s="115" t="s">
        <v>573</v>
      </c>
      <c r="AT106" s="6">
        <f t="shared" si="13"/>
        <v>0</v>
      </c>
      <c r="AU106" s="115">
        <v>0</v>
      </c>
      <c r="AV106" s="1">
        <f t="shared" si="7"/>
        <v>0</v>
      </c>
      <c r="AW106" s="115">
        <v>0</v>
      </c>
      <c r="AX106" s="1">
        <f t="shared" si="17"/>
        <v>0</v>
      </c>
      <c r="AY106" s="5" t="s">
        <v>573</v>
      </c>
      <c r="AZ106" s="1">
        <f t="shared" si="9"/>
        <v>0</v>
      </c>
      <c r="BA106" s="5" t="s">
        <v>573</v>
      </c>
      <c r="BB106" s="1">
        <f t="shared" si="10"/>
        <v>0</v>
      </c>
      <c r="BC106" s="5" t="s">
        <v>573</v>
      </c>
      <c r="BD106" s="1">
        <f t="shared" si="3"/>
        <v>0</v>
      </c>
      <c r="BE106" s="150" t="s">
        <v>573</v>
      </c>
      <c r="BF106" s="1">
        <f t="shared" si="14"/>
        <v>0</v>
      </c>
      <c r="BG106" s="150" t="s">
        <v>573</v>
      </c>
      <c r="BH106" s="1">
        <f t="shared" si="18"/>
        <v>0</v>
      </c>
      <c r="BI106" s="150" t="s">
        <v>573</v>
      </c>
      <c r="BJ106" s="1">
        <f t="shared" si="15"/>
        <v>0</v>
      </c>
      <c r="BK106" s="156" t="s">
        <v>573</v>
      </c>
      <c r="BL106" s="1">
        <f t="shared" si="16"/>
        <v>0</v>
      </c>
      <c r="BM106" s="142" t="s">
        <v>1313</v>
      </c>
      <c r="BN106" s="136" t="s">
        <v>496</v>
      </c>
      <c r="BO106" s="139" t="s">
        <v>1316</v>
      </c>
      <c r="BP106" s="137">
        <v>45838</v>
      </c>
    </row>
    <row r="107" spans="1:68" ht="15.75" customHeight="1">
      <c r="A107" s="109" t="s">
        <v>751</v>
      </c>
      <c r="B107" s="122" t="s">
        <v>184</v>
      </c>
      <c r="C107" s="301"/>
      <c r="D107" s="304"/>
      <c r="E107" s="304"/>
      <c r="F107" s="297"/>
      <c r="G107" s="78">
        <v>2020</v>
      </c>
      <c r="H107" s="105" t="str">
        <f>_xlfn.XLOOKUP(BM107,'[5]Package breakdown0503'!$F:$F,'[5]Package breakdown0503'!$B:$B)</f>
        <v>Brain</v>
      </c>
      <c r="I107" s="76" t="s">
        <v>196</v>
      </c>
      <c r="J107" s="102" t="s">
        <v>197</v>
      </c>
      <c r="K107" s="105" t="s">
        <v>216</v>
      </c>
      <c r="L107" s="105" t="s">
        <v>192</v>
      </c>
      <c r="M107" s="13" t="s">
        <v>193</v>
      </c>
      <c r="N107" s="13">
        <v>30.35</v>
      </c>
      <c r="O107" s="13">
        <v>30.35</v>
      </c>
      <c r="P107" s="13">
        <v>30.35</v>
      </c>
      <c r="Q107" s="13">
        <v>30.35</v>
      </c>
      <c r="R107" s="13">
        <v>30.35</v>
      </c>
      <c r="S107" s="13">
        <v>30.35</v>
      </c>
      <c r="T107" s="13">
        <v>30.35</v>
      </c>
      <c r="U107" s="13">
        <v>30.35</v>
      </c>
      <c r="V107" s="13">
        <v>30.35</v>
      </c>
      <c r="W107" s="13">
        <v>30.35</v>
      </c>
      <c r="X107" s="13">
        <v>30.35</v>
      </c>
      <c r="Y107" s="13">
        <v>30.35</v>
      </c>
      <c r="Z107" s="13">
        <v>30.28</v>
      </c>
      <c r="AA107" s="13">
        <v>30.28</v>
      </c>
      <c r="AB107" s="40">
        <v>0</v>
      </c>
      <c r="AC107" s="40">
        <v>0</v>
      </c>
      <c r="AD107" s="40">
        <v>0</v>
      </c>
      <c r="AE107" s="40">
        <v>0</v>
      </c>
      <c r="AF107" s="40">
        <v>0</v>
      </c>
      <c r="AG107" s="40">
        <v>0</v>
      </c>
      <c r="AH107" s="40">
        <v>0</v>
      </c>
      <c r="AI107" s="40">
        <v>0</v>
      </c>
      <c r="AJ107" s="40">
        <v>0</v>
      </c>
      <c r="AK107" s="40">
        <v>0</v>
      </c>
      <c r="AL107" s="40">
        <v>0</v>
      </c>
      <c r="AM107" s="40">
        <v>7.0000000000000007E-2</v>
      </c>
      <c r="AN107" s="40">
        <v>7.0000000000000007E-2</v>
      </c>
      <c r="AO107" s="116">
        <v>0</v>
      </c>
      <c r="AP107" s="6">
        <f t="shared" si="0"/>
        <v>0</v>
      </c>
      <c r="AQ107" s="116">
        <v>0</v>
      </c>
      <c r="AR107" s="6">
        <f t="shared" si="1"/>
        <v>0</v>
      </c>
      <c r="AS107" s="115" t="s">
        <v>573</v>
      </c>
      <c r="AT107" s="6">
        <f t="shared" si="13"/>
        <v>0</v>
      </c>
      <c r="AU107" s="115">
        <v>0</v>
      </c>
      <c r="AV107" s="1">
        <f t="shared" si="7"/>
        <v>0</v>
      </c>
      <c r="AW107" s="115">
        <v>0</v>
      </c>
      <c r="AX107" s="1">
        <f t="shared" si="17"/>
        <v>0</v>
      </c>
      <c r="AY107" s="5" t="s">
        <v>573</v>
      </c>
      <c r="AZ107" s="1">
        <f t="shared" si="9"/>
        <v>0</v>
      </c>
      <c r="BA107" s="5" t="s">
        <v>573</v>
      </c>
      <c r="BB107" s="1">
        <f t="shared" si="10"/>
        <v>0</v>
      </c>
      <c r="BC107" s="5" t="s">
        <v>573</v>
      </c>
      <c r="BD107" s="1">
        <f t="shared" si="3"/>
        <v>0</v>
      </c>
      <c r="BE107" s="150" t="s">
        <v>573</v>
      </c>
      <c r="BF107" s="1">
        <f t="shared" si="14"/>
        <v>0</v>
      </c>
      <c r="BG107" s="150" t="s">
        <v>573</v>
      </c>
      <c r="BH107" s="1">
        <f t="shared" si="18"/>
        <v>0</v>
      </c>
      <c r="BI107" s="150" t="s">
        <v>573</v>
      </c>
      <c r="BJ107" s="1">
        <f t="shared" si="15"/>
        <v>0</v>
      </c>
      <c r="BK107" s="156" t="s">
        <v>573</v>
      </c>
      <c r="BL107" s="1">
        <f t="shared" si="16"/>
        <v>0</v>
      </c>
      <c r="BM107" s="142" t="s">
        <v>691</v>
      </c>
      <c r="BN107" s="136" t="s">
        <v>496</v>
      </c>
      <c r="BO107" s="139" t="s">
        <v>1316</v>
      </c>
      <c r="BP107" s="137">
        <v>45838</v>
      </c>
    </row>
    <row r="108" spans="1:68" ht="15.75" customHeight="1">
      <c r="A108" s="109" t="s">
        <v>751</v>
      </c>
      <c r="B108" s="122" t="s">
        <v>184</v>
      </c>
      <c r="C108" s="301"/>
      <c r="D108" s="304"/>
      <c r="E108" s="304"/>
      <c r="F108" s="297"/>
      <c r="G108" s="78">
        <v>2020</v>
      </c>
      <c r="H108" s="105" t="str">
        <f>_xlfn.XLOOKUP(BM108,'[5]Package breakdown0503'!$F:$F,'[5]Package breakdown0503'!$B:$B)</f>
        <v>Brain</v>
      </c>
      <c r="I108" s="76" t="s">
        <v>196</v>
      </c>
      <c r="J108" s="102" t="s">
        <v>197</v>
      </c>
      <c r="K108" s="105" t="s">
        <v>216</v>
      </c>
      <c r="L108" s="105" t="s">
        <v>192</v>
      </c>
      <c r="M108" s="13" t="s">
        <v>193</v>
      </c>
      <c r="N108" s="13">
        <v>30.35</v>
      </c>
      <c r="O108" s="13">
        <v>30.35</v>
      </c>
      <c r="P108" s="13">
        <v>30.35</v>
      </c>
      <c r="Q108" s="13">
        <v>30.35</v>
      </c>
      <c r="R108" s="13">
        <v>30.35</v>
      </c>
      <c r="S108" s="13">
        <v>30.35</v>
      </c>
      <c r="T108" s="13">
        <v>30.35</v>
      </c>
      <c r="U108" s="13">
        <v>30.35</v>
      </c>
      <c r="V108" s="13">
        <v>30.35</v>
      </c>
      <c r="W108" s="13">
        <v>30.35</v>
      </c>
      <c r="X108" s="13">
        <v>30.35</v>
      </c>
      <c r="Y108" s="13">
        <v>30.35</v>
      </c>
      <c r="Z108" s="13">
        <v>30.28</v>
      </c>
      <c r="AA108" s="13">
        <v>30.28</v>
      </c>
      <c r="AB108" s="40">
        <v>0</v>
      </c>
      <c r="AC108" s="40">
        <v>0</v>
      </c>
      <c r="AD108" s="40">
        <v>0</v>
      </c>
      <c r="AE108" s="40">
        <v>0</v>
      </c>
      <c r="AF108" s="40">
        <v>0</v>
      </c>
      <c r="AG108" s="40">
        <v>0</v>
      </c>
      <c r="AH108" s="40">
        <v>0</v>
      </c>
      <c r="AI108" s="40">
        <v>0</v>
      </c>
      <c r="AJ108" s="40">
        <v>0</v>
      </c>
      <c r="AK108" s="40">
        <v>0</v>
      </c>
      <c r="AL108" s="40">
        <v>0</v>
      </c>
      <c r="AM108" s="40">
        <v>7.0000000000000007E-2</v>
      </c>
      <c r="AN108" s="40">
        <v>7.0000000000000007E-2</v>
      </c>
      <c r="AO108" s="116">
        <v>0</v>
      </c>
      <c r="AP108" s="6">
        <f t="shared" si="0"/>
        <v>0</v>
      </c>
      <c r="AQ108" s="116">
        <v>0</v>
      </c>
      <c r="AR108" s="6">
        <f t="shared" si="1"/>
        <v>0</v>
      </c>
      <c r="AS108" s="115" t="s">
        <v>573</v>
      </c>
      <c r="AT108" s="6">
        <f t="shared" si="13"/>
        <v>0</v>
      </c>
      <c r="AU108" s="115">
        <v>0</v>
      </c>
      <c r="AV108" s="1">
        <f t="shared" si="7"/>
        <v>0</v>
      </c>
      <c r="AW108" s="115">
        <v>0</v>
      </c>
      <c r="AX108" s="1">
        <f t="shared" si="17"/>
        <v>0</v>
      </c>
      <c r="AY108" s="5" t="s">
        <v>573</v>
      </c>
      <c r="AZ108" s="1">
        <f t="shared" si="9"/>
        <v>0</v>
      </c>
      <c r="BA108" s="5" t="s">
        <v>573</v>
      </c>
      <c r="BB108" s="1">
        <f t="shared" si="10"/>
        <v>0</v>
      </c>
      <c r="BC108" s="5" t="s">
        <v>573</v>
      </c>
      <c r="BD108" s="1">
        <f t="shared" si="3"/>
        <v>0</v>
      </c>
      <c r="BE108" s="150" t="s">
        <v>573</v>
      </c>
      <c r="BF108" s="1">
        <f t="shared" si="14"/>
        <v>0</v>
      </c>
      <c r="BG108" s="150" t="s">
        <v>573</v>
      </c>
      <c r="BH108" s="1">
        <f t="shared" si="18"/>
        <v>0</v>
      </c>
      <c r="BI108" s="150" t="s">
        <v>573</v>
      </c>
      <c r="BJ108" s="1">
        <f t="shared" si="15"/>
        <v>0</v>
      </c>
      <c r="BK108" s="156" t="s">
        <v>573</v>
      </c>
      <c r="BL108" s="1">
        <f t="shared" si="16"/>
        <v>0</v>
      </c>
      <c r="BM108" s="142" t="s">
        <v>692</v>
      </c>
      <c r="BN108" s="136" t="s">
        <v>496</v>
      </c>
      <c r="BO108" s="139" t="s">
        <v>1316</v>
      </c>
      <c r="BP108" s="137">
        <v>45838</v>
      </c>
    </row>
    <row r="109" spans="1:68" ht="15.75" customHeight="1">
      <c r="A109" s="109" t="s">
        <v>751</v>
      </c>
      <c r="B109" s="122" t="s">
        <v>184</v>
      </c>
      <c r="C109" s="301"/>
      <c r="D109" s="304"/>
      <c r="E109" s="304"/>
      <c r="F109" s="297"/>
      <c r="G109" s="78">
        <v>2020</v>
      </c>
      <c r="H109" s="105" t="s">
        <v>734</v>
      </c>
      <c r="I109" s="81" t="s">
        <v>196</v>
      </c>
      <c r="J109" s="102" t="s">
        <v>197</v>
      </c>
      <c r="K109" s="105" t="s">
        <v>753</v>
      </c>
      <c r="L109" s="105" t="s">
        <v>192</v>
      </c>
      <c r="M109" s="13" t="s">
        <v>193</v>
      </c>
      <c r="N109" s="13">
        <v>1.72</v>
      </c>
      <c r="O109" s="13">
        <v>1.72</v>
      </c>
      <c r="P109" s="13">
        <v>1.72</v>
      </c>
      <c r="Q109" s="13">
        <v>1.72</v>
      </c>
      <c r="R109" s="13">
        <v>1.72</v>
      </c>
      <c r="S109" s="13">
        <v>1.72</v>
      </c>
      <c r="T109" s="13">
        <v>1.72</v>
      </c>
      <c r="U109" s="13">
        <v>1.72</v>
      </c>
      <c r="V109" s="13">
        <v>1.72</v>
      </c>
      <c r="W109" s="13">
        <v>1.72</v>
      </c>
      <c r="X109" s="13">
        <v>1.72</v>
      </c>
      <c r="Y109" s="13">
        <v>1.72</v>
      </c>
      <c r="Z109" s="13">
        <v>1.72</v>
      </c>
      <c r="AA109" s="13">
        <v>1.72</v>
      </c>
      <c r="AB109" s="40">
        <v>0</v>
      </c>
      <c r="AC109" s="40">
        <v>0</v>
      </c>
      <c r="AD109" s="40">
        <v>0</v>
      </c>
      <c r="AE109" s="40">
        <v>0</v>
      </c>
      <c r="AF109" s="40">
        <v>0</v>
      </c>
      <c r="AG109" s="40">
        <v>0</v>
      </c>
      <c r="AH109" s="40">
        <v>0</v>
      </c>
      <c r="AI109" s="40">
        <v>0</v>
      </c>
      <c r="AJ109" s="40">
        <v>0</v>
      </c>
      <c r="AK109" s="40">
        <v>0</v>
      </c>
      <c r="AL109" s="40">
        <v>0</v>
      </c>
      <c r="AM109" s="40">
        <v>0</v>
      </c>
      <c r="AN109" s="40">
        <v>0</v>
      </c>
      <c r="AO109" s="116">
        <v>0</v>
      </c>
      <c r="AP109" s="6">
        <f t="shared" si="0"/>
        <v>0</v>
      </c>
      <c r="AQ109" s="115">
        <v>0</v>
      </c>
      <c r="AR109" s="6">
        <f t="shared" si="1"/>
        <v>0</v>
      </c>
      <c r="AS109" s="115" t="s">
        <v>573</v>
      </c>
      <c r="AT109" s="6">
        <f t="shared" si="13"/>
        <v>0</v>
      </c>
      <c r="AU109" s="115">
        <v>0</v>
      </c>
      <c r="AV109" s="1">
        <f t="shared" si="7"/>
        <v>0</v>
      </c>
      <c r="AW109" s="115">
        <v>6720</v>
      </c>
      <c r="AX109" s="1">
        <f t="shared" si="17"/>
        <v>0</v>
      </c>
      <c r="AY109" s="5" t="s">
        <v>573</v>
      </c>
      <c r="AZ109" s="1">
        <f t="shared" si="9"/>
        <v>0</v>
      </c>
      <c r="BA109" s="5">
        <v>13440</v>
      </c>
      <c r="BB109" s="1">
        <f t="shared" si="10"/>
        <v>0</v>
      </c>
      <c r="BC109" s="5">
        <v>6720</v>
      </c>
      <c r="BD109" s="1">
        <f t="shared" si="3"/>
        <v>0</v>
      </c>
      <c r="BE109" s="150">
        <v>26880</v>
      </c>
      <c r="BF109" s="1">
        <f t="shared" si="14"/>
        <v>0</v>
      </c>
      <c r="BG109" s="150">
        <v>20160</v>
      </c>
      <c r="BH109" s="1">
        <f t="shared" si="18"/>
        <v>0</v>
      </c>
      <c r="BI109" s="150" t="s">
        <v>573</v>
      </c>
      <c r="BJ109" s="1">
        <f t="shared" si="15"/>
        <v>0</v>
      </c>
      <c r="BK109" s="156" t="s">
        <v>573</v>
      </c>
      <c r="BL109" s="1">
        <f t="shared" si="16"/>
        <v>0</v>
      </c>
      <c r="BM109" s="142" t="s">
        <v>511</v>
      </c>
      <c r="BN109" s="136" t="s">
        <v>17</v>
      </c>
      <c r="BO109" s="139" t="s">
        <v>1310</v>
      </c>
      <c r="BP109" s="137">
        <v>45961</v>
      </c>
    </row>
    <row r="110" spans="1:68" ht="15.75" customHeight="1">
      <c r="A110" s="109" t="s">
        <v>751</v>
      </c>
      <c r="B110" s="122" t="s">
        <v>184</v>
      </c>
      <c r="C110" s="301"/>
      <c r="D110" s="304"/>
      <c r="E110" s="304"/>
      <c r="F110" s="297"/>
      <c r="G110" s="78">
        <v>2020</v>
      </c>
      <c r="H110" s="105" t="s">
        <v>734</v>
      </c>
      <c r="I110" s="81" t="s">
        <v>196</v>
      </c>
      <c r="J110" s="102" t="s">
        <v>197</v>
      </c>
      <c r="K110" s="105" t="s">
        <v>753</v>
      </c>
      <c r="L110" s="105" t="s">
        <v>192</v>
      </c>
      <c r="M110" s="13" t="s">
        <v>193</v>
      </c>
      <c r="N110" s="13">
        <v>1.66</v>
      </c>
      <c r="O110" s="13">
        <v>1.66</v>
      </c>
      <c r="P110" s="13">
        <v>1.66</v>
      </c>
      <c r="Q110" s="13">
        <v>1.66</v>
      </c>
      <c r="R110" s="13">
        <v>1.66</v>
      </c>
      <c r="S110" s="13">
        <v>1.66</v>
      </c>
      <c r="T110" s="13">
        <v>1.66</v>
      </c>
      <c r="U110" s="13">
        <v>1.66</v>
      </c>
      <c r="V110" s="13">
        <v>1.66</v>
      </c>
      <c r="W110" s="13">
        <v>1.66</v>
      </c>
      <c r="X110" s="13">
        <v>1.66</v>
      </c>
      <c r="Y110" s="13">
        <v>1.66</v>
      </c>
      <c r="Z110" s="13">
        <v>1.66</v>
      </c>
      <c r="AA110" s="13">
        <v>1.66</v>
      </c>
      <c r="AB110" s="40">
        <v>0</v>
      </c>
      <c r="AC110" s="40">
        <v>0</v>
      </c>
      <c r="AD110" s="40">
        <v>0</v>
      </c>
      <c r="AE110" s="40">
        <v>0</v>
      </c>
      <c r="AF110" s="40">
        <v>0</v>
      </c>
      <c r="AG110" s="40">
        <v>0</v>
      </c>
      <c r="AH110" s="40">
        <v>0</v>
      </c>
      <c r="AI110" s="40">
        <v>0</v>
      </c>
      <c r="AJ110" s="40">
        <v>0</v>
      </c>
      <c r="AK110" s="40">
        <v>0</v>
      </c>
      <c r="AL110" s="40">
        <v>0</v>
      </c>
      <c r="AM110" s="40">
        <v>0</v>
      </c>
      <c r="AN110" s="40">
        <v>0</v>
      </c>
      <c r="AO110" s="116">
        <v>0</v>
      </c>
      <c r="AP110" s="6">
        <f t="shared" si="0"/>
        <v>0</v>
      </c>
      <c r="AQ110" s="115">
        <v>0</v>
      </c>
      <c r="AR110" s="6">
        <f t="shared" si="1"/>
        <v>0</v>
      </c>
      <c r="AS110" s="115">
        <v>6720</v>
      </c>
      <c r="AT110" s="6">
        <f t="shared" si="13"/>
        <v>0</v>
      </c>
      <c r="AU110" s="115">
        <v>0</v>
      </c>
      <c r="AV110" s="1">
        <f t="shared" si="7"/>
        <v>0</v>
      </c>
      <c r="AW110" s="115">
        <v>6720</v>
      </c>
      <c r="AX110" s="1">
        <f t="shared" si="17"/>
        <v>0</v>
      </c>
      <c r="AY110" s="5" t="s">
        <v>573</v>
      </c>
      <c r="AZ110" s="1">
        <f t="shared" si="9"/>
        <v>0</v>
      </c>
      <c r="BA110" s="5" t="s">
        <v>573</v>
      </c>
      <c r="BB110" s="1">
        <f t="shared" si="10"/>
        <v>0</v>
      </c>
      <c r="BC110" s="5" t="s">
        <v>573</v>
      </c>
      <c r="BD110" s="1">
        <f t="shared" si="3"/>
        <v>0</v>
      </c>
      <c r="BE110" s="150" t="s">
        <v>573</v>
      </c>
      <c r="BF110" s="1">
        <f t="shared" si="14"/>
        <v>0</v>
      </c>
      <c r="BG110" s="150" t="s">
        <v>573</v>
      </c>
      <c r="BH110" s="1">
        <f t="shared" si="18"/>
        <v>0</v>
      </c>
      <c r="BI110" s="150">
        <v>6720</v>
      </c>
      <c r="BJ110" s="1">
        <f t="shared" si="15"/>
        <v>0</v>
      </c>
      <c r="BK110" s="156" t="s">
        <v>573</v>
      </c>
      <c r="BL110" s="1">
        <f t="shared" si="16"/>
        <v>0</v>
      </c>
      <c r="BM110" s="142" t="s">
        <v>513</v>
      </c>
      <c r="BN110" s="136" t="s">
        <v>17</v>
      </c>
      <c r="BO110" s="139" t="s">
        <v>754</v>
      </c>
      <c r="BP110" s="137">
        <v>45961</v>
      </c>
    </row>
    <row r="111" spans="1:68" ht="15.75" customHeight="1">
      <c r="A111" s="109" t="s">
        <v>751</v>
      </c>
      <c r="B111" s="122" t="s">
        <v>184</v>
      </c>
      <c r="C111" s="301"/>
      <c r="D111" s="304"/>
      <c r="E111" s="304"/>
      <c r="F111" s="297"/>
      <c r="G111" s="78">
        <v>2020</v>
      </c>
      <c r="H111" s="105" t="s">
        <v>734</v>
      </c>
      <c r="I111" s="81" t="s">
        <v>196</v>
      </c>
      <c r="J111" s="103" t="s">
        <v>197</v>
      </c>
      <c r="K111" s="105" t="s">
        <v>753</v>
      </c>
      <c r="L111" s="105" t="s">
        <v>192</v>
      </c>
      <c r="M111" s="13" t="s">
        <v>193</v>
      </c>
      <c r="N111" s="13">
        <v>1.65</v>
      </c>
      <c r="O111" s="13">
        <v>1.65</v>
      </c>
      <c r="P111" s="13">
        <v>1.65</v>
      </c>
      <c r="Q111" s="13">
        <v>1.65</v>
      </c>
      <c r="R111" s="13">
        <v>1.65</v>
      </c>
      <c r="S111" s="13">
        <v>1.65</v>
      </c>
      <c r="T111" s="13">
        <v>1.65</v>
      </c>
      <c r="U111" s="13">
        <v>1.65</v>
      </c>
      <c r="V111" s="13">
        <v>1.65</v>
      </c>
      <c r="W111" s="13">
        <v>1.65</v>
      </c>
      <c r="X111" s="13">
        <v>1.65</v>
      </c>
      <c r="Y111" s="13">
        <v>1.65</v>
      </c>
      <c r="Z111" s="13">
        <v>1.65</v>
      </c>
      <c r="AA111" s="13">
        <v>1.65</v>
      </c>
      <c r="AB111" s="40">
        <v>0</v>
      </c>
      <c r="AC111" s="40">
        <v>0</v>
      </c>
      <c r="AD111" s="40">
        <v>0</v>
      </c>
      <c r="AE111" s="40">
        <v>0</v>
      </c>
      <c r="AF111" s="40">
        <v>0</v>
      </c>
      <c r="AG111" s="40">
        <v>0</v>
      </c>
      <c r="AH111" s="40">
        <v>0</v>
      </c>
      <c r="AI111" s="40">
        <v>0</v>
      </c>
      <c r="AJ111" s="40">
        <v>0</v>
      </c>
      <c r="AK111" s="40">
        <v>0</v>
      </c>
      <c r="AL111" s="40">
        <v>0</v>
      </c>
      <c r="AM111" s="40">
        <v>0</v>
      </c>
      <c r="AN111" s="40">
        <v>0</v>
      </c>
      <c r="AO111" s="116">
        <v>0</v>
      </c>
      <c r="AP111" s="6">
        <f t="shared" si="0"/>
        <v>0</v>
      </c>
      <c r="AQ111" s="115">
        <v>0</v>
      </c>
      <c r="AR111" s="6">
        <f t="shared" si="1"/>
        <v>0</v>
      </c>
      <c r="AS111" s="115">
        <v>6720</v>
      </c>
      <c r="AT111" s="6">
        <f t="shared" si="13"/>
        <v>0</v>
      </c>
      <c r="AU111" s="115">
        <v>0</v>
      </c>
      <c r="AV111" s="1">
        <f t="shared" si="7"/>
        <v>0</v>
      </c>
      <c r="AW111" s="115">
        <v>0</v>
      </c>
      <c r="AX111" s="1">
        <f t="shared" si="17"/>
        <v>0</v>
      </c>
      <c r="AY111" s="5">
        <v>6720</v>
      </c>
      <c r="AZ111" s="1">
        <f t="shared" si="9"/>
        <v>0</v>
      </c>
      <c r="BA111" s="5">
        <v>6720</v>
      </c>
      <c r="BB111" s="1">
        <f t="shared" si="10"/>
        <v>0</v>
      </c>
      <c r="BC111" s="5" t="s">
        <v>573</v>
      </c>
      <c r="BD111" s="1">
        <f t="shared" si="3"/>
        <v>0</v>
      </c>
      <c r="BE111" s="150" t="s">
        <v>573</v>
      </c>
      <c r="BF111" s="1">
        <f t="shared" si="14"/>
        <v>0</v>
      </c>
      <c r="BG111" s="150">
        <v>6720</v>
      </c>
      <c r="BH111" s="1">
        <f t="shared" si="18"/>
        <v>0</v>
      </c>
      <c r="BI111" s="150" t="s">
        <v>573</v>
      </c>
      <c r="BJ111" s="1">
        <f t="shared" si="15"/>
        <v>0</v>
      </c>
      <c r="BK111" s="156" t="s">
        <v>573</v>
      </c>
      <c r="BL111" s="1">
        <f t="shared" si="16"/>
        <v>0</v>
      </c>
      <c r="BM111" s="142" t="s">
        <v>512</v>
      </c>
      <c r="BN111" s="136" t="s">
        <v>495</v>
      </c>
      <c r="BO111" s="139" t="s">
        <v>754</v>
      </c>
      <c r="BP111" s="137">
        <v>45961</v>
      </c>
    </row>
    <row r="112" spans="1:68" ht="15.75" customHeight="1">
      <c r="A112" s="109" t="s">
        <v>751</v>
      </c>
      <c r="B112" s="122" t="s">
        <v>184</v>
      </c>
      <c r="C112" s="301"/>
      <c r="D112" s="304"/>
      <c r="E112" s="304"/>
      <c r="F112" s="297"/>
      <c r="G112" s="78">
        <v>2020</v>
      </c>
      <c r="H112" s="105" t="s">
        <v>730</v>
      </c>
      <c r="I112" s="81" t="s">
        <v>196</v>
      </c>
      <c r="J112" s="102" t="s">
        <v>197</v>
      </c>
      <c r="K112" s="105" t="s">
        <v>221</v>
      </c>
      <c r="L112" s="105" t="s">
        <v>192</v>
      </c>
      <c r="M112" s="13" t="s">
        <v>193</v>
      </c>
      <c r="N112" s="13">
        <v>3.28</v>
      </c>
      <c r="O112" s="13">
        <v>3.33</v>
      </c>
      <c r="P112" s="13">
        <v>3.33</v>
      </c>
      <c r="Q112" s="13">
        <v>3.33</v>
      </c>
      <c r="R112" s="13">
        <v>3.33</v>
      </c>
      <c r="S112" s="13">
        <v>3.33</v>
      </c>
      <c r="T112" s="13">
        <v>3.33</v>
      </c>
      <c r="U112" s="13">
        <v>3.33</v>
      </c>
      <c r="V112" s="13">
        <v>3.33</v>
      </c>
      <c r="W112" s="13">
        <v>3.33</v>
      </c>
      <c r="X112" s="13">
        <v>3.33</v>
      </c>
      <c r="Y112" s="13">
        <v>3.33</v>
      </c>
      <c r="Z112" s="13">
        <v>3.33</v>
      </c>
      <c r="AA112" s="13">
        <v>3.33</v>
      </c>
      <c r="AB112" s="40">
        <v>0</v>
      </c>
      <c r="AC112" s="40">
        <v>0</v>
      </c>
      <c r="AD112" s="40">
        <v>0</v>
      </c>
      <c r="AE112" s="40">
        <v>0</v>
      </c>
      <c r="AF112" s="40">
        <v>0</v>
      </c>
      <c r="AG112" s="40">
        <v>0</v>
      </c>
      <c r="AH112" s="40">
        <v>0</v>
      </c>
      <c r="AI112" s="40">
        <v>0</v>
      </c>
      <c r="AJ112" s="40">
        <v>0</v>
      </c>
      <c r="AK112" s="40">
        <v>0</v>
      </c>
      <c r="AL112" s="40">
        <v>0</v>
      </c>
      <c r="AM112" s="40">
        <v>0</v>
      </c>
      <c r="AN112" s="40">
        <v>0</v>
      </c>
      <c r="AO112" s="116">
        <v>0</v>
      </c>
      <c r="AP112" s="6">
        <f t="shared" si="0"/>
        <v>0</v>
      </c>
      <c r="AQ112" s="115">
        <v>0</v>
      </c>
      <c r="AR112" s="6">
        <f t="shared" si="1"/>
        <v>0</v>
      </c>
      <c r="AS112" s="115">
        <v>6720</v>
      </c>
      <c r="AT112" s="6">
        <f t="shared" si="13"/>
        <v>0</v>
      </c>
      <c r="AU112" s="115">
        <v>0</v>
      </c>
      <c r="AV112" s="1">
        <f t="shared" si="7"/>
        <v>0</v>
      </c>
      <c r="AW112" s="115">
        <v>13440</v>
      </c>
      <c r="AX112" s="1">
        <f t="shared" si="17"/>
        <v>0</v>
      </c>
      <c r="AY112" s="5" t="s">
        <v>573</v>
      </c>
      <c r="AZ112" s="1">
        <f t="shared" si="9"/>
        <v>0</v>
      </c>
      <c r="BA112" s="5">
        <v>6720</v>
      </c>
      <c r="BB112" s="1">
        <f t="shared" si="10"/>
        <v>0</v>
      </c>
      <c r="BC112" s="5">
        <v>6720</v>
      </c>
      <c r="BD112" s="1">
        <f t="shared" si="3"/>
        <v>0</v>
      </c>
      <c r="BE112" s="150" t="s">
        <v>573</v>
      </c>
      <c r="BF112" s="1">
        <f t="shared" si="14"/>
        <v>0</v>
      </c>
      <c r="BG112" s="150" t="s">
        <v>573</v>
      </c>
      <c r="BH112" s="1">
        <f t="shared" si="18"/>
        <v>0</v>
      </c>
      <c r="BI112" s="150" t="s">
        <v>573</v>
      </c>
      <c r="BJ112" s="1">
        <f t="shared" si="15"/>
        <v>0</v>
      </c>
      <c r="BK112" s="156">
        <v>13440</v>
      </c>
      <c r="BL112" s="1">
        <f t="shared" si="16"/>
        <v>0</v>
      </c>
      <c r="BM112" s="142" t="s">
        <v>532</v>
      </c>
      <c r="BN112" s="136" t="s">
        <v>17</v>
      </c>
      <c r="BO112" s="139" t="s">
        <v>1310</v>
      </c>
      <c r="BP112" s="137">
        <v>45473</v>
      </c>
    </row>
    <row r="113" spans="1:68" ht="15.6" customHeight="1">
      <c r="A113" s="109" t="s">
        <v>751</v>
      </c>
      <c r="B113" s="122" t="s">
        <v>184</v>
      </c>
      <c r="C113" s="301"/>
      <c r="D113" s="304"/>
      <c r="E113" s="304"/>
      <c r="F113" s="297"/>
      <c r="G113" s="78">
        <v>2020</v>
      </c>
      <c r="H113" s="105" t="s">
        <v>730</v>
      </c>
      <c r="I113" s="81" t="s">
        <v>196</v>
      </c>
      <c r="J113" s="102" t="s">
        <v>197</v>
      </c>
      <c r="K113" s="105" t="s">
        <v>221</v>
      </c>
      <c r="L113" s="105" t="s">
        <v>192</v>
      </c>
      <c r="M113" s="13" t="s">
        <v>193</v>
      </c>
      <c r="N113" s="13">
        <v>3.24</v>
      </c>
      <c r="O113" s="13">
        <v>3.29</v>
      </c>
      <c r="P113" s="13">
        <v>3.29</v>
      </c>
      <c r="Q113" s="13">
        <v>3.29</v>
      </c>
      <c r="R113" s="13">
        <v>3.29</v>
      </c>
      <c r="S113" s="13">
        <v>3.29</v>
      </c>
      <c r="T113" s="13">
        <v>3.29</v>
      </c>
      <c r="U113" s="13">
        <v>3.29</v>
      </c>
      <c r="V113" s="13">
        <v>3.29</v>
      </c>
      <c r="W113" s="13">
        <v>3.29</v>
      </c>
      <c r="X113" s="13">
        <v>3.29</v>
      </c>
      <c r="Y113" s="13">
        <v>3.29</v>
      </c>
      <c r="Z113" s="13">
        <v>3.29</v>
      </c>
      <c r="AA113" s="13">
        <v>3.29</v>
      </c>
      <c r="AB113" s="40">
        <v>0</v>
      </c>
      <c r="AC113" s="40">
        <v>0</v>
      </c>
      <c r="AD113" s="40">
        <v>0</v>
      </c>
      <c r="AE113" s="40">
        <v>0</v>
      </c>
      <c r="AF113" s="40">
        <v>0</v>
      </c>
      <c r="AG113" s="40">
        <v>0</v>
      </c>
      <c r="AH113" s="40">
        <v>0</v>
      </c>
      <c r="AI113" s="40">
        <v>0</v>
      </c>
      <c r="AJ113" s="40">
        <v>0</v>
      </c>
      <c r="AK113" s="40">
        <v>0</v>
      </c>
      <c r="AL113" s="40">
        <v>0</v>
      </c>
      <c r="AM113" s="40">
        <v>0</v>
      </c>
      <c r="AN113" s="40">
        <v>0</v>
      </c>
      <c r="AO113" s="116">
        <v>6720</v>
      </c>
      <c r="AP113" s="6">
        <f t="shared" si="0"/>
        <v>0</v>
      </c>
      <c r="AQ113" s="115">
        <v>6720</v>
      </c>
      <c r="AR113" s="6">
        <f t="shared" si="1"/>
        <v>0</v>
      </c>
      <c r="AS113" s="115">
        <v>6720</v>
      </c>
      <c r="AT113" s="6">
        <f t="shared" si="13"/>
        <v>0</v>
      </c>
      <c r="AU113" s="115">
        <v>0</v>
      </c>
      <c r="AV113" s="1">
        <f t="shared" si="7"/>
        <v>0</v>
      </c>
      <c r="AW113" s="115">
        <v>6720</v>
      </c>
      <c r="AX113" s="1">
        <f t="shared" si="17"/>
        <v>0</v>
      </c>
      <c r="AY113" s="5">
        <v>13440</v>
      </c>
      <c r="AZ113" s="1">
        <f t="shared" si="9"/>
        <v>0</v>
      </c>
      <c r="BA113" s="5">
        <v>6720</v>
      </c>
      <c r="BB113" s="1">
        <f t="shared" si="10"/>
        <v>0</v>
      </c>
      <c r="BC113" s="5">
        <v>53760</v>
      </c>
      <c r="BD113" s="1">
        <f t="shared" si="3"/>
        <v>0</v>
      </c>
      <c r="BE113" s="150" t="s">
        <v>573</v>
      </c>
      <c r="BF113" s="1">
        <f t="shared" si="14"/>
        <v>0</v>
      </c>
      <c r="BG113" s="150" t="s">
        <v>573</v>
      </c>
      <c r="BH113" s="1">
        <f t="shared" si="18"/>
        <v>0</v>
      </c>
      <c r="BI113" s="150" t="s">
        <v>573</v>
      </c>
      <c r="BJ113" s="1">
        <f t="shared" si="15"/>
        <v>0</v>
      </c>
      <c r="BK113" s="156" t="s">
        <v>573</v>
      </c>
      <c r="BL113" s="1">
        <f t="shared" si="16"/>
        <v>0</v>
      </c>
      <c r="BM113" s="142" t="s">
        <v>534</v>
      </c>
      <c r="BN113" s="136" t="s">
        <v>17</v>
      </c>
      <c r="BO113" s="139" t="s">
        <v>754</v>
      </c>
      <c r="BP113" s="137">
        <v>45473</v>
      </c>
    </row>
    <row r="114" spans="1:68" ht="15.75" customHeight="1">
      <c r="A114" s="109" t="s">
        <v>751</v>
      </c>
      <c r="B114" s="122" t="s">
        <v>184</v>
      </c>
      <c r="C114" s="301"/>
      <c r="D114" s="304"/>
      <c r="E114" s="304"/>
      <c r="F114" s="297"/>
      <c r="G114" s="78">
        <v>2020</v>
      </c>
      <c r="H114" s="105" t="s">
        <v>730</v>
      </c>
      <c r="I114" s="81" t="s">
        <v>196</v>
      </c>
      <c r="J114" s="102" t="s">
        <v>197</v>
      </c>
      <c r="K114" s="105" t="s">
        <v>221</v>
      </c>
      <c r="L114" s="105" t="s">
        <v>192</v>
      </c>
      <c r="M114" s="13" t="s">
        <v>193</v>
      </c>
      <c r="N114" s="13">
        <v>3.28</v>
      </c>
      <c r="O114" s="13">
        <v>3.28</v>
      </c>
      <c r="P114" s="13">
        <v>3.28</v>
      </c>
      <c r="Q114" s="13">
        <v>3.28</v>
      </c>
      <c r="R114" s="13">
        <v>3.28</v>
      </c>
      <c r="S114" s="13">
        <v>3.28</v>
      </c>
      <c r="T114" s="13">
        <v>3.28</v>
      </c>
      <c r="U114" s="13">
        <v>3.28</v>
      </c>
      <c r="V114" s="13">
        <v>3.28</v>
      </c>
      <c r="W114" s="13">
        <v>3.28</v>
      </c>
      <c r="X114" s="13">
        <v>3.28</v>
      </c>
      <c r="Y114" s="13">
        <v>3.28</v>
      </c>
      <c r="Z114" s="13">
        <v>3.28</v>
      </c>
      <c r="AA114" s="13">
        <v>3.28</v>
      </c>
      <c r="AB114" s="40">
        <v>0</v>
      </c>
      <c r="AC114" s="40">
        <v>0</v>
      </c>
      <c r="AD114" s="40">
        <v>0</v>
      </c>
      <c r="AE114" s="40">
        <v>0</v>
      </c>
      <c r="AF114" s="40">
        <v>0</v>
      </c>
      <c r="AG114" s="40">
        <v>0</v>
      </c>
      <c r="AH114" s="40">
        <v>0</v>
      </c>
      <c r="AI114" s="40">
        <v>0</v>
      </c>
      <c r="AJ114" s="40">
        <v>0</v>
      </c>
      <c r="AK114" s="40">
        <v>0</v>
      </c>
      <c r="AL114" s="40">
        <v>0</v>
      </c>
      <c r="AM114" s="40">
        <v>0</v>
      </c>
      <c r="AN114" s="40">
        <v>0</v>
      </c>
      <c r="AO114" s="116">
        <v>0</v>
      </c>
      <c r="AP114" s="6">
        <f t="shared" si="0"/>
        <v>0</v>
      </c>
      <c r="AQ114" s="115">
        <v>0</v>
      </c>
      <c r="AR114" s="6">
        <f t="shared" si="1"/>
        <v>0</v>
      </c>
      <c r="AS114" s="115" t="s">
        <v>573</v>
      </c>
      <c r="AT114" s="6">
        <f t="shared" si="13"/>
        <v>0</v>
      </c>
      <c r="AU114" s="115">
        <v>0</v>
      </c>
      <c r="AV114" s="1">
        <f t="shared" si="7"/>
        <v>0</v>
      </c>
      <c r="AW114" s="115">
        <v>6720</v>
      </c>
      <c r="AX114" s="1">
        <f t="shared" si="17"/>
        <v>0</v>
      </c>
      <c r="AY114" s="5">
        <v>6720</v>
      </c>
      <c r="AZ114" s="1">
        <f t="shared" si="9"/>
        <v>0</v>
      </c>
      <c r="BA114" s="5" t="s">
        <v>573</v>
      </c>
      <c r="BB114" s="1">
        <f t="shared" si="10"/>
        <v>0</v>
      </c>
      <c r="BC114" s="5">
        <v>6720</v>
      </c>
      <c r="BD114" s="1">
        <f t="shared" si="3"/>
        <v>0</v>
      </c>
      <c r="BE114" s="150" t="s">
        <v>573</v>
      </c>
      <c r="BF114" s="1">
        <f t="shared" si="14"/>
        <v>0</v>
      </c>
      <c r="BG114" s="150" t="s">
        <v>573</v>
      </c>
      <c r="BH114" s="1">
        <f t="shared" si="18"/>
        <v>0</v>
      </c>
      <c r="BI114" s="150">
        <v>6720</v>
      </c>
      <c r="BJ114" s="1">
        <f t="shared" si="15"/>
        <v>0</v>
      </c>
      <c r="BK114" s="156" t="s">
        <v>573</v>
      </c>
      <c r="BL114" s="1">
        <f t="shared" si="16"/>
        <v>0</v>
      </c>
      <c r="BM114" s="142" t="s">
        <v>533</v>
      </c>
      <c r="BN114" s="136" t="s">
        <v>495</v>
      </c>
      <c r="BO114" s="139" t="s">
        <v>754</v>
      </c>
      <c r="BP114" s="137">
        <v>45961</v>
      </c>
    </row>
    <row r="115" spans="1:68" ht="15.75" customHeight="1">
      <c r="A115" s="109" t="s">
        <v>751</v>
      </c>
      <c r="B115" s="122" t="s">
        <v>184</v>
      </c>
      <c r="C115" s="301"/>
      <c r="D115" s="304"/>
      <c r="E115" s="304"/>
      <c r="F115" s="297"/>
      <c r="G115" s="78">
        <v>2020</v>
      </c>
      <c r="H115" s="105" t="s">
        <v>730</v>
      </c>
      <c r="I115" s="81" t="s">
        <v>196</v>
      </c>
      <c r="J115" s="102" t="s">
        <v>197</v>
      </c>
      <c r="K115" s="105" t="s">
        <v>221</v>
      </c>
      <c r="L115" s="105" t="s">
        <v>192</v>
      </c>
      <c r="M115" s="13" t="s">
        <v>193</v>
      </c>
      <c r="N115" s="13">
        <v>3.25</v>
      </c>
      <c r="O115" s="13">
        <v>3.25</v>
      </c>
      <c r="P115" s="13">
        <v>3.25</v>
      </c>
      <c r="Q115" s="13">
        <v>3.25</v>
      </c>
      <c r="R115" s="13">
        <v>3.25</v>
      </c>
      <c r="S115" s="13">
        <v>3.25</v>
      </c>
      <c r="T115" s="13">
        <v>3.25</v>
      </c>
      <c r="U115" s="13">
        <v>3.25</v>
      </c>
      <c r="V115" s="13">
        <v>3.25</v>
      </c>
      <c r="W115" s="13">
        <v>3.25</v>
      </c>
      <c r="X115" s="13">
        <v>3.25</v>
      </c>
      <c r="Y115" s="13">
        <v>3.25</v>
      </c>
      <c r="Z115" s="13">
        <v>3.25</v>
      </c>
      <c r="AA115" s="13">
        <v>3.25</v>
      </c>
      <c r="AB115" s="40">
        <v>0</v>
      </c>
      <c r="AC115" s="40">
        <v>0</v>
      </c>
      <c r="AD115" s="40">
        <v>0</v>
      </c>
      <c r="AE115" s="40">
        <v>0</v>
      </c>
      <c r="AF115" s="40">
        <v>0</v>
      </c>
      <c r="AG115" s="40">
        <v>0</v>
      </c>
      <c r="AH115" s="40">
        <v>0</v>
      </c>
      <c r="AI115" s="40">
        <v>0</v>
      </c>
      <c r="AJ115" s="40">
        <v>0</v>
      </c>
      <c r="AK115" s="40">
        <v>0</v>
      </c>
      <c r="AL115" s="40">
        <v>0</v>
      </c>
      <c r="AM115" s="40">
        <v>0</v>
      </c>
      <c r="AN115" s="40">
        <v>0</v>
      </c>
      <c r="AO115" s="116">
        <v>0</v>
      </c>
      <c r="AP115" s="6">
        <f t="shared" si="0"/>
        <v>0</v>
      </c>
      <c r="AQ115" s="116">
        <v>0</v>
      </c>
      <c r="AR115" s="6">
        <f t="shared" si="1"/>
        <v>0</v>
      </c>
      <c r="AS115" s="115" t="s">
        <v>573</v>
      </c>
      <c r="AT115" s="6">
        <f t="shared" si="13"/>
        <v>0</v>
      </c>
      <c r="AU115" s="115">
        <v>0</v>
      </c>
      <c r="AV115" s="1">
        <f t="shared" si="7"/>
        <v>0</v>
      </c>
      <c r="AW115" s="115">
        <v>0</v>
      </c>
      <c r="AX115" s="1">
        <f t="shared" si="17"/>
        <v>0</v>
      </c>
      <c r="AY115" s="5" t="s">
        <v>573</v>
      </c>
      <c r="AZ115" s="1">
        <f t="shared" si="9"/>
        <v>0</v>
      </c>
      <c r="BA115" s="5" t="s">
        <v>573</v>
      </c>
      <c r="BB115" s="1">
        <f t="shared" si="10"/>
        <v>0</v>
      </c>
      <c r="BC115" s="5" t="s">
        <v>573</v>
      </c>
      <c r="BD115" s="1">
        <f t="shared" si="3"/>
        <v>0</v>
      </c>
      <c r="BE115" s="150" t="s">
        <v>573</v>
      </c>
      <c r="BF115" s="1">
        <f t="shared" si="14"/>
        <v>0</v>
      </c>
      <c r="BG115" s="150" t="s">
        <v>573</v>
      </c>
      <c r="BH115" s="1">
        <f t="shared" si="18"/>
        <v>0</v>
      </c>
      <c r="BI115" s="150" t="s">
        <v>573</v>
      </c>
      <c r="BJ115" s="1">
        <f t="shared" si="15"/>
        <v>0</v>
      </c>
      <c r="BK115" s="156" t="s">
        <v>573</v>
      </c>
      <c r="BL115" s="1">
        <f t="shared" si="16"/>
        <v>0</v>
      </c>
      <c r="BM115" s="142" t="s">
        <v>531</v>
      </c>
      <c r="BN115" s="136" t="s">
        <v>497</v>
      </c>
      <c r="BO115" s="139" t="s">
        <v>197</v>
      </c>
      <c r="BP115" s="137">
        <v>45961</v>
      </c>
    </row>
    <row r="116" spans="1:68" ht="15.75" customHeight="1">
      <c r="A116" s="109" t="s">
        <v>751</v>
      </c>
      <c r="B116" s="122" t="s">
        <v>184</v>
      </c>
      <c r="C116" s="301"/>
      <c r="D116" s="304"/>
      <c r="E116" s="304"/>
      <c r="F116" s="297"/>
      <c r="G116" s="78">
        <v>2020</v>
      </c>
      <c r="H116" s="105" t="s">
        <v>730</v>
      </c>
      <c r="I116" s="81" t="s">
        <v>196</v>
      </c>
      <c r="J116" s="102" t="s">
        <v>197</v>
      </c>
      <c r="K116" s="105" t="s">
        <v>221</v>
      </c>
      <c r="L116" s="105" t="s">
        <v>192</v>
      </c>
      <c r="M116" s="13" t="s">
        <v>193</v>
      </c>
      <c r="N116" s="13">
        <v>3.85</v>
      </c>
      <c r="O116" s="13">
        <v>3.85</v>
      </c>
      <c r="P116" s="13">
        <v>3.85</v>
      </c>
      <c r="Q116" s="13">
        <v>3.85</v>
      </c>
      <c r="R116" s="13">
        <v>3.85</v>
      </c>
      <c r="S116" s="13">
        <v>3.85</v>
      </c>
      <c r="T116" s="13">
        <v>3.85</v>
      </c>
      <c r="U116" s="13">
        <v>3.85</v>
      </c>
      <c r="V116" s="13">
        <v>3.85</v>
      </c>
      <c r="W116" s="13">
        <v>3.85</v>
      </c>
      <c r="X116" s="13">
        <v>3.85</v>
      </c>
      <c r="Y116" s="13">
        <v>3.85</v>
      </c>
      <c r="Z116" s="13">
        <v>3.85</v>
      </c>
      <c r="AA116" s="13">
        <v>3.85</v>
      </c>
      <c r="AB116" s="40">
        <v>0</v>
      </c>
      <c r="AC116" s="40">
        <v>0</v>
      </c>
      <c r="AD116" s="40">
        <v>0</v>
      </c>
      <c r="AE116" s="40">
        <v>0</v>
      </c>
      <c r="AF116" s="40">
        <v>0</v>
      </c>
      <c r="AG116" s="40">
        <v>0</v>
      </c>
      <c r="AH116" s="40">
        <v>0</v>
      </c>
      <c r="AI116" s="40">
        <v>0</v>
      </c>
      <c r="AJ116" s="40">
        <v>0</v>
      </c>
      <c r="AK116" s="40">
        <v>0</v>
      </c>
      <c r="AL116" s="40">
        <v>0</v>
      </c>
      <c r="AM116" s="40">
        <v>0</v>
      </c>
      <c r="AN116" s="40">
        <v>0</v>
      </c>
      <c r="AO116" s="116">
        <v>0</v>
      </c>
      <c r="AP116" s="6">
        <f t="shared" si="0"/>
        <v>0</v>
      </c>
      <c r="AQ116" s="116">
        <v>0</v>
      </c>
      <c r="AR116" s="6">
        <f t="shared" si="1"/>
        <v>0</v>
      </c>
      <c r="AS116" s="115" t="s">
        <v>573</v>
      </c>
      <c r="AT116" s="6">
        <f t="shared" si="13"/>
        <v>0</v>
      </c>
      <c r="AU116" s="115">
        <v>0</v>
      </c>
      <c r="AV116" s="1">
        <f t="shared" si="7"/>
        <v>0</v>
      </c>
      <c r="AW116" s="115">
        <v>0</v>
      </c>
      <c r="AX116" s="1">
        <f t="shared" si="17"/>
        <v>0</v>
      </c>
      <c r="AY116" s="5" t="s">
        <v>573</v>
      </c>
      <c r="AZ116" s="1">
        <f t="shared" si="9"/>
        <v>0</v>
      </c>
      <c r="BA116" s="5" t="s">
        <v>573</v>
      </c>
      <c r="BB116" s="1">
        <f t="shared" si="10"/>
        <v>0</v>
      </c>
      <c r="BC116" s="5" t="s">
        <v>573</v>
      </c>
      <c r="BD116" s="1">
        <f t="shared" si="3"/>
        <v>0</v>
      </c>
      <c r="BE116" s="150" t="s">
        <v>573</v>
      </c>
      <c r="BF116" s="1">
        <f t="shared" si="14"/>
        <v>0</v>
      </c>
      <c r="BG116" s="150" t="s">
        <v>573</v>
      </c>
      <c r="BH116" s="1">
        <f t="shared" si="18"/>
        <v>0</v>
      </c>
      <c r="BI116" s="150" t="s">
        <v>573</v>
      </c>
      <c r="BJ116" s="1">
        <f t="shared" si="15"/>
        <v>0</v>
      </c>
      <c r="BK116" s="156" t="s">
        <v>573</v>
      </c>
      <c r="BL116" s="1">
        <f t="shared" si="16"/>
        <v>0</v>
      </c>
      <c r="BM116" s="142" t="s">
        <v>679</v>
      </c>
      <c r="BN116" s="136" t="s">
        <v>32</v>
      </c>
      <c r="BO116" s="139" t="s">
        <v>1316</v>
      </c>
      <c r="BP116" s="137"/>
    </row>
    <row r="117" spans="1:68" ht="15.75" customHeight="1">
      <c r="A117" s="109" t="s">
        <v>751</v>
      </c>
      <c r="B117" s="122" t="s">
        <v>184</v>
      </c>
      <c r="C117" s="301"/>
      <c r="D117" s="304"/>
      <c r="E117" s="304"/>
      <c r="F117" s="297"/>
      <c r="G117" s="78">
        <v>2020</v>
      </c>
      <c r="H117" s="105" t="s">
        <v>730</v>
      </c>
      <c r="I117" s="81" t="s">
        <v>196</v>
      </c>
      <c r="J117" s="102" t="s">
        <v>197</v>
      </c>
      <c r="K117" s="105" t="s">
        <v>221</v>
      </c>
      <c r="L117" s="105" t="s">
        <v>192</v>
      </c>
      <c r="M117" s="13" t="s">
        <v>193</v>
      </c>
      <c r="N117" s="13">
        <v>3.85</v>
      </c>
      <c r="O117" s="13">
        <v>3.85</v>
      </c>
      <c r="P117" s="13">
        <v>3.85</v>
      </c>
      <c r="Q117" s="13">
        <v>3.85</v>
      </c>
      <c r="R117" s="13">
        <v>3.85</v>
      </c>
      <c r="S117" s="13">
        <v>3.85</v>
      </c>
      <c r="T117" s="13">
        <v>3.85</v>
      </c>
      <c r="U117" s="13">
        <v>3.85</v>
      </c>
      <c r="V117" s="13">
        <v>3.85</v>
      </c>
      <c r="W117" s="13">
        <v>3.85</v>
      </c>
      <c r="X117" s="13">
        <v>3.85</v>
      </c>
      <c r="Y117" s="13">
        <v>3.85</v>
      </c>
      <c r="Z117" s="13">
        <v>3.85</v>
      </c>
      <c r="AA117" s="13">
        <v>3.85</v>
      </c>
      <c r="AB117" s="40">
        <v>0</v>
      </c>
      <c r="AC117" s="40">
        <v>0</v>
      </c>
      <c r="AD117" s="40">
        <v>0</v>
      </c>
      <c r="AE117" s="40">
        <v>0</v>
      </c>
      <c r="AF117" s="40">
        <v>0</v>
      </c>
      <c r="AG117" s="40">
        <v>0</v>
      </c>
      <c r="AH117" s="40">
        <v>0</v>
      </c>
      <c r="AI117" s="40">
        <v>0</v>
      </c>
      <c r="AJ117" s="40">
        <v>0</v>
      </c>
      <c r="AK117" s="40">
        <v>0</v>
      </c>
      <c r="AL117" s="40">
        <v>0</v>
      </c>
      <c r="AM117" s="40">
        <v>0</v>
      </c>
      <c r="AN117" s="40">
        <v>0</v>
      </c>
      <c r="AO117" s="116">
        <v>0</v>
      </c>
      <c r="AP117" s="6">
        <f t="shared" si="0"/>
        <v>0</v>
      </c>
      <c r="AQ117" s="116">
        <v>0</v>
      </c>
      <c r="AR117" s="6">
        <f t="shared" si="1"/>
        <v>0</v>
      </c>
      <c r="AS117" s="115" t="s">
        <v>573</v>
      </c>
      <c r="AT117" s="6">
        <f t="shared" si="13"/>
        <v>0</v>
      </c>
      <c r="AU117" s="115">
        <v>0</v>
      </c>
      <c r="AV117" s="1">
        <f t="shared" si="7"/>
        <v>0</v>
      </c>
      <c r="AW117" s="115">
        <v>0</v>
      </c>
      <c r="AX117" s="1">
        <f t="shared" si="17"/>
        <v>0</v>
      </c>
      <c r="AY117" s="5" t="s">
        <v>573</v>
      </c>
      <c r="AZ117" s="1">
        <f t="shared" si="9"/>
        <v>0</v>
      </c>
      <c r="BA117" s="5" t="s">
        <v>573</v>
      </c>
      <c r="BB117" s="1">
        <f>AI117*BA117</f>
        <v>0</v>
      </c>
      <c r="BC117" s="5" t="s">
        <v>573</v>
      </c>
      <c r="BD117" s="1">
        <f>AJ117*BC117</f>
        <v>0</v>
      </c>
      <c r="BE117" s="150" t="s">
        <v>573</v>
      </c>
      <c r="BF117" s="1">
        <f t="shared" si="14"/>
        <v>0</v>
      </c>
      <c r="BG117" s="150" t="s">
        <v>573</v>
      </c>
      <c r="BH117" s="1">
        <f t="shared" si="18"/>
        <v>0</v>
      </c>
      <c r="BI117" s="150" t="s">
        <v>573</v>
      </c>
      <c r="BJ117" s="1">
        <f t="shared" si="15"/>
        <v>0</v>
      </c>
      <c r="BK117" s="156" t="s">
        <v>573</v>
      </c>
      <c r="BL117" s="1">
        <f t="shared" si="16"/>
        <v>0</v>
      </c>
      <c r="BM117" s="142" t="s">
        <v>678</v>
      </c>
      <c r="BN117" s="136" t="s">
        <v>32</v>
      </c>
      <c r="BO117" s="139" t="s">
        <v>1316</v>
      </c>
      <c r="BP117" s="137"/>
    </row>
    <row r="118" spans="1:68" ht="15.75" customHeight="1">
      <c r="A118" s="109" t="s">
        <v>751</v>
      </c>
      <c r="B118" s="122" t="s">
        <v>184</v>
      </c>
      <c r="C118" s="301"/>
      <c r="D118" s="304"/>
      <c r="E118" s="304"/>
      <c r="F118" s="297"/>
      <c r="G118" s="78">
        <v>2020</v>
      </c>
      <c r="H118" s="105" t="s">
        <v>730</v>
      </c>
      <c r="I118" s="81" t="s">
        <v>196</v>
      </c>
      <c r="J118" s="102" t="s">
        <v>197</v>
      </c>
      <c r="K118" s="105" t="s">
        <v>221</v>
      </c>
      <c r="L118" s="105" t="s">
        <v>192</v>
      </c>
      <c r="M118" s="13" t="s">
        <v>193</v>
      </c>
      <c r="N118" s="13">
        <v>3.85</v>
      </c>
      <c r="O118" s="13">
        <v>3.85</v>
      </c>
      <c r="P118" s="13">
        <v>3.85</v>
      </c>
      <c r="Q118" s="13">
        <v>3.85</v>
      </c>
      <c r="R118" s="13">
        <v>3.85</v>
      </c>
      <c r="S118" s="13">
        <v>3.85</v>
      </c>
      <c r="T118" s="13">
        <v>3.85</v>
      </c>
      <c r="U118" s="13">
        <v>3.85</v>
      </c>
      <c r="V118" s="13">
        <v>3.85</v>
      </c>
      <c r="W118" s="13">
        <v>3.85</v>
      </c>
      <c r="X118" s="13">
        <v>3.85</v>
      </c>
      <c r="Y118" s="13">
        <v>3.85</v>
      </c>
      <c r="Z118" s="13">
        <v>3.85</v>
      </c>
      <c r="AA118" s="13">
        <v>3.85</v>
      </c>
      <c r="AB118" s="40">
        <v>0</v>
      </c>
      <c r="AC118" s="40">
        <v>0</v>
      </c>
      <c r="AD118" s="40">
        <v>0</v>
      </c>
      <c r="AE118" s="40">
        <v>0</v>
      </c>
      <c r="AF118" s="40">
        <v>0</v>
      </c>
      <c r="AG118" s="40">
        <v>0</v>
      </c>
      <c r="AH118" s="40">
        <v>0</v>
      </c>
      <c r="AI118" s="40">
        <v>0</v>
      </c>
      <c r="AJ118" s="40">
        <v>0</v>
      </c>
      <c r="AK118" s="40">
        <v>0</v>
      </c>
      <c r="AL118" s="40">
        <v>0</v>
      </c>
      <c r="AM118" s="40">
        <v>0</v>
      </c>
      <c r="AN118" s="40">
        <v>0</v>
      </c>
      <c r="AO118" s="116">
        <v>0</v>
      </c>
      <c r="AP118" s="6">
        <f t="shared" si="0"/>
        <v>0</v>
      </c>
      <c r="AQ118" s="116">
        <v>0</v>
      </c>
      <c r="AR118" s="6">
        <f t="shared" si="1"/>
        <v>0</v>
      </c>
      <c r="AS118" s="115" t="s">
        <v>573</v>
      </c>
      <c r="AT118" s="6">
        <f t="shared" si="13"/>
        <v>0</v>
      </c>
      <c r="AU118" s="115">
        <v>3600</v>
      </c>
      <c r="AV118" s="1">
        <f t="shared" si="7"/>
        <v>0</v>
      </c>
      <c r="AW118" s="115">
        <v>3600</v>
      </c>
      <c r="AX118" s="1">
        <f t="shared" si="17"/>
        <v>0</v>
      </c>
      <c r="AY118" s="5">
        <v>3600</v>
      </c>
      <c r="AZ118" s="1">
        <f t="shared" si="9"/>
        <v>0</v>
      </c>
      <c r="BA118" s="5" t="s">
        <v>573</v>
      </c>
      <c r="BB118" s="1">
        <f>AI118*BA118</f>
        <v>0</v>
      </c>
      <c r="BC118" s="5">
        <v>3600</v>
      </c>
      <c r="BD118" s="1">
        <f>AJ118*BC118</f>
        <v>0</v>
      </c>
      <c r="BE118" s="150">
        <v>3600</v>
      </c>
      <c r="BF118" s="1">
        <f t="shared" si="14"/>
        <v>0</v>
      </c>
      <c r="BG118" s="150" t="s">
        <v>573</v>
      </c>
      <c r="BH118" s="1">
        <f t="shared" si="18"/>
        <v>0</v>
      </c>
      <c r="BI118" s="150" t="s">
        <v>573</v>
      </c>
      <c r="BJ118" s="1">
        <f t="shared" si="15"/>
        <v>0</v>
      </c>
      <c r="BK118" s="156" t="s">
        <v>573</v>
      </c>
      <c r="BL118" s="1">
        <f t="shared" si="16"/>
        <v>0</v>
      </c>
      <c r="BM118" s="142" t="s">
        <v>677</v>
      </c>
      <c r="BN118" s="136" t="s">
        <v>32</v>
      </c>
      <c r="BO118" s="139" t="s">
        <v>760</v>
      </c>
      <c r="BP118" s="137">
        <v>45596</v>
      </c>
    </row>
    <row r="119" spans="1:68" ht="15.75" customHeight="1">
      <c r="A119" s="109" t="s">
        <v>751</v>
      </c>
      <c r="B119" s="122" t="s">
        <v>184</v>
      </c>
      <c r="C119" s="301"/>
      <c r="D119" s="304"/>
      <c r="E119" s="304"/>
      <c r="F119" s="297"/>
      <c r="G119" s="78">
        <v>2020</v>
      </c>
      <c r="H119" s="105" t="s">
        <v>730</v>
      </c>
      <c r="I119" s="81" t="s">
        <v>196</v>
      </c>
      <c r="J119" s="102" t="s">
        <v>197</v>
      </c>
      <c r="K119" s="105" t="s">
        <v>221</v>
      </c>
      <c r="L119" s="105" t="s">
        <v>192</v>
      </c>
      <c r="M119" s="13" t="s">
        <v>193</v>
      </c>
      <c r="N119" s="13">
        <v>3.85</v>
      </c>
      <c r="O119" s="13">
        <v>3.85</v>
      </c>
      <c r="P119" s="13">
        <v>3.85</v>
      </c>
      <c r="Q119" s="13">
        <v>3.85</v>
      </c>
      <c r="R119" s="13">
        <v>3.85</v>
      </c>
      <c r="S119" s="13">
        <v>3.85</v>
      </c>
      <c r="T119" s="13">
        <v>3.85</v>
      </c>
      <c r="U119" s="13">
        <v>3.85</v>
      </c>
      <c r="V119" s="13">
        <v>3.85</v>
      </c>
      <c r="W119" s="13">
        <v>3.85</v>
      </c>
      <c r="X119" s="13">
        <v>3.85</v>
      </c>
      <c r="Y119" s="13">
        <v>3.85</v>
      </c>
      <c r="Z119" s="13">
        <v>3.85</v>
      </c>
      <c r="AA119" s="13">
        <v>3.85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40">
        <v>0</v>
      </c>
      <c r="AH119" s="40">
        <v>0</v>
      </c>
      <c r="AI119" s="40">
        <v>0</v>
      </c>
      <c r="AJ119" s="40">
        <v>0</v>
      </c>
      <c r="AK119" s="40">
        <v>0</v>
      </c>
      <c r="AL119" s="40">
        <v>0</v>
      </c>
      <c r="AM119" s="40">
        <v>0</v>
      </c>
      <c r="AN119" s="40">
        <v>0</v>
      </c>
      <c r="AO119" s="116">
        <v>0</v>
      </c>
      <c r="AP119" s="6">
        <f t="shared" si="0"/>
        <v>0</v>
      </c>
      <c r="AQ119" s="116">
        <v>0</v>
      </c>
      <c r="AR119" s="6">
        <f t="shared" si="1"/>
        <v>0</v>
      </c>
      <c r="AS119" s="115" t="s">
        <v>573</v>
      </c>
      <c r="AT119" s="6">
        <f t="shared" si="13"/>
        <v>0</v>
      </c>
      <c r="AU119" s="115">
        <v>0</v>
      </c>
      <c r="AV119" s="1">
        <f t="shared" si="7"/>
        <v>0</v>
      </c>
      <c r="AW119" s="115">
        <v>0</v>
      </c>
      <c r="AX119" s="1">
        <f t="shared" si="17"/>
        <v>0</v>
      </c>
      <c r="AY119" s="5" t="s">
        <v>573</v>
      </c>
      <c r="AZ119" s="1">
        <f t="shared" si="9"/>
        <v>0</v>
      </c>
      <c r="BA119" s="5" t="s">
        <v>573</v>
      </c>
      <c r="BB119" s="1">
        <f>AI119*BA119</f>
        <v>0</v>
      </c>
      <c r="BC119" s="5" t="s">
        <v>573</v>
      </c>
      <c r="BD119" s="1">
        <f>AJ119*BC119</f>
        <v>0</v>
      </c>
      <c r="BE119" s="150" t="s">
        <v>573</v>
      </c>
      <c r="BF119" s="1">
        <f t="shared" si="14"/>
        <v>0</v>
      </c>
      <c r="BG119" s="150" t="s">
        <v>573</v>
      </c>
      <c r="BH119" s="1">
        <f t="shared" si="18"/>
        <v>0</v>
      </c>
      <c r="BI119" s="150" t="s">
        <v>573</v>
      </c>
      <c r="BJ119" s="1">
        <f t="shared" si="15"/>
        <v>0</v>
      </c>
      <c r="BK119" s="156" t="s">
        <v>573</v>
      </c>
      <c r="BL119" s="1">
        <f t="shared" si="16"/>
        <v>0</v>
      </c>
      <c r="BM119" s="142" t="s">
        <v>677</v>
      </c>
      <c r="BN119" s="136" t="s">
        <v>496</v>
      </c>
      <c r="BO119" s="139" t="s">
        <v>1316</v>
      </c>
      <c r="BP119" s="137">
        <v>45838</v>
      </c>
    </row>
    <row r="120" spans="1:68" ht="15.75" customHeight="1">
      <c r="A120" s="109" t="s">
        <v>751</v>
      </c>
      <c r="B120" s="122" t="s">
        <v>184</v>
      </c>
      <c r="C120" s="301"/>
      <c r="D120" s="304"/>
      <c r="E120" s="304"/>
      <c r="F120" s="297"/>
      <c r="G120" s="78">
        <v>2021</v>
      </c>
      <c r="H120" s="105" t="s">
        <v>741</v>
      </c>
      <c r="I120" s="105" t="s">
        <v>196</v>
      </c>
      <c r="J120" s="102" t="s">
        <v>197</v>
      </c>
      <c r="K120" s="105" t="s">
        <v>221</v>
      </c>
      <c r="L120" s="105" t="s">
        <v>192</v>
      </c>
      <c r="M120" s="13" t="s">
        <v>193</v>
      </c>
      <c r="N120" s="13">
        <v>4.22</v>
      </c>
      <c r="O120" s="13">
        <v>4.26</v>
      </c>
      <c r="P120" s="13">
        <v>4.26</v>
      </c>
      <c r="Q120" s="13">
        <v>4.26</v>
      </c>
      <c r="R120" s="13">
        <v>4.26</v>
      </c>
      <c r="S120" s="13">
        <v>4.26</v>
      </c>
      <c r="T120" s="13">
        <v>4.26</v>
      </c>
      <c r="U120" s="13">
        <v>4.26</v>
      </c>
      <c r="V120" s="13">
        <v>4.26</v>
      </c>
      <c r="W120" s="13">
        <v>4.26</v>
      </c>
      <c r="X120" s="13">
        <v>4.26</v>
      </c>
      <c r="Y120" s="13">
        <v>4.26</v>
      </c>
      <c r="Z120" s="13">
        <v>4.26</v>
      </c>
      <c r="AA120" s="13">
        <v>4.26</v>
      </c>
      <c r="AB120" s="40">
        <v>0</v>
      </c>
      <c r="AC120" s="40">
        <v>0</v>
      </c>
      <c r="AD120" s="40">
        <v>0</v>
      </c>
      <c r="AE120" s="40">
        <v>0</v>
      </c>
      <c r="AF120" s="40">
        <v>0</v>
      </c>
      <c r="AG120" s="40">
        <v>0</v>
      </c>
      <c r="AH120" s="40">
        <v>0</v>
      </c>
      <c r="AI120" s="40">
        <v>0</v>
      </c>
      <c r="AJ120" s="40">
        <v>7.0000000000000007E-2</v>
      </c>
      <c r="AK120" s="40">
        <v>7.0000000000000007E-2</v>
      </c>
      <c r="AL120" s="40">
        <v>7.0000000000000007E-2</v>
      </c>
      <c r="AM120" s="40">
        <v>7.0000000000000007E-2</v>
      </c>
      <c r="AN120" s="40">
        <v>7.0000000000000007E-2</v>
      </c>
      <c r="AO120" s="116">
        <v>14400</v>
      </c>
      <c r="AP120" s="6">
        <f t="shared" si="0"/>
        <v>0</v>
      </c>
      <c r="AQ120" s="115">
        <v>20160</v>
      </c>
      <c r="AR120" s="6">
        <f t="shared" si="1"/>
        <v>0</v>
      </c>
      <c r="AS120" s="115">
        <v>28800</v>
      </c>
      <c r="AT120" s="6">
        <f t="shared" si="13"/>
        <v>0</v>
      </c>
      <c r="AU120" s="115">
        <v>0</v>
      </c>
      <c r="AV120" s="1">
        <f t="shared" si="7"/>
        <v>0</v>
      </c>
      <c r="AW120" s="115">
        <v>11520</v>
      </c>
      <c r="AX120" s="1">
        <f t="shared" si="17"/>
        <v>0</v>
      </c>
      <c r="AY120" s="5">
        <v>11520</v>
      </c>
      <c r="AZ120" s="1">
        <f t="shared" si="9"/>
        <v>0</v>
      </c>
      <c r="BA120" s="5">
        <v>8640</v>
      </c>
      <c r="BB120" s="1">
        <f t="shared" si="10"/>
        <v>0</v>
      </c>
      <c r="BC120" s="5">
        <v>19480</v>
      </c>
      <c r="BD120" s="1">
        <f t="shared" si="3"/>
        <v>1363.6000000000001</v>
      </c>
      <c r="BE120" s="150">
        <v>6160</v>
      </c>
      <c r="BF120" s="1">
        <f t="shared" si="14"/>
        <v>431.20000000000005</v>
      </c>
      <c r="BG120" s="150">
        <v>7760</v>
      </c>
      <c r="BH120" s="1">
        <f t="shared" si="18"/>
        <v>543.20000000000005</v>
      </c>
      <c r="BI120" s="150">
        <v>8640</v>
      </c>
      <c r="BJ120" s="1">
        <f t="shared" si="15"/>
        <v>604.80000000000007</v>
      </c>
      <c r="BK120" s="156">
        <v>11520</v>
      </c>
      <c r="BL120" s="1">
        <f t="shared" si="16"/>
        <v>806.40000000000009</v>
      </c>
      <c r="BM120" s="142" t="s">
        <v>557</v>
      </c>
      <c r="BN120" s="136" t="s">
        <v>494</v>
      </c>
      <c r="BO120" s="139" t="s">
        <v>763</v>
      </c>
      <c r="BP120" s="137">
        <v>45596</v>
      </c>
    </row>
    <row r="121" spans="1:68" ht="15.75" customHeight="1">
      <c r="A121" s="109" t="s">
        <v>751</v>
      </c>
      <c r="B121" s="122" t="s">
        <v>184</v>
      </c>
      <c r="C121" s="301"/>
      <c r="D121" s="304"/>
      <c r="E121" s="304"/>
      <c r="F121" s="297"/>
      <c r="G121" s="78">
        <v>2021</v>
      </c>
      <c r="H121" s="105" t="s">
        <v>741</v>
      </c>
      <c r="I121" s="105" t="s">
        <v>196</v>
      </c>
      <c r="J121" s="103" t="s">
        <v>197</v>
      </c>
      <c r="K121" s="105" t="s">
        <v>221</v>
      </c>
      <c r="L121" s="105" t="s">
        <v>192</v>
      </c>
      <c r="M121" s="13" t="s">
        <v>193</v>
      </c>
      <c r="N121" s="13">
        <v>4.32</v>
      </c>
      <c r="O121" s="13">
        <v>4.3600000000000003</v>
      </c>
      <c r="P121" s="13">
        <v>4.3600000000000003</v>
      </c>
      <c r="Q121" s="13">
        <v>4.3600000000000003</v>
      </c>
      <c r="R121" s="13">
        <v>4.3600000000000003</v>
      </c>
      <c r="S121" s="13">
        <v>4.3600000000000003</v>
      </c>
      <c r="T121" s="13">
        <v>4.3600000000000003</v>
      </c>
      <c r="U121" s="13">
        <v>4.3600000000000003</v>
      </c>
      <c r="V121" s="13">
        <v>4.3600000000000003</v>
      </c>
      <c r="W121" s="13">
        <v>4.3600000000000003</v>
      </c>
      <c r="X121" s="13">
        <v>4.3600000000000003</v>
      </c>
      <c r="Y121" s="13">
        <v>4.3600000000000003</v>
      </c>
      <c r="Z121" s="13">
        <v>4.3600000000000003</v>
      </c>
      <c r="AA121" s="13">
        <v>4.3600000000000003</v>
      </c>
      <c r="AB121" s="40">
        <v>0</v>
      </c>
      <c r="AC121" s="40">
        <v>0</v>
      </c>
      <c r="AD121" s="40">
        <v>0</v>
      </c>
      <c r="AE121" s="40">
        <v>0</v>
      </c>
      <c r="AF121" s="40">
        <v>0</v>
      </c>
      <c r="AG121" s="40">
        <v>0</v>
      </c>
      <c r="AH121" s="40">
        <v>0</v>
      </c>
      <c r="AI121" s="40">
        <v>0</v>
      </c>
      <c r="AJ121" s="40">
        <v>7.0000000000000007E-2</v>
      </c>
      <c r="AK121" s="40">
        <v>7.0000000000000007E-2</v>
      </c>
      <c r="AL121" s="40">
        <v>7.0000000000000007E-2</v>
      </c>
      <c r="AM121" s="40">
        <v>7.0000000000000007E-2</v>
      </c>
      <c r="AN121" s="40">
        <v>7.0000000000000007E-2</v>
      </c>
      <c r="AO121" s="116">
        <v>0</v>
      </c>
      <c r="AP121" s="6">
        <f t="shared" si="0"/>
        <v>0</v>
      </c>
      <c r="AQ121" s="115">
        <v>0</v>
      </c>
      <c r="AR121" s="6">
        <f t="shared" si="1"/>
        <v>0</v>
      </c>
      <c r="AS121" s="115" t="s">
        <v>573</v>
      </c>
      <c r="AT121" s="6">
        <f t="shared" si="13"/>
        <v>0</v>
      </c>
      <c r="AU121" s="115">
        <v>0</v>
      </c>
      <c r="AV121" s="1">
        <f t="shared" si="7"/>
        <v>0</v>
      </c>
      <c r="AW121" s="115">
        <v>5760</v>
      </c>
      <c r="AX121" s="1">
        <f t="shared" si="17"/>
        <v>0</v>
      </c>
      <c r="AY121" s="5" t="s">
        <v>573</v>
      </c>
      <c r="AZ121" s="1">
        <f t="shared" si="9"/>
        <v>0</v>
      </c>
      <c r="BA121" s="5" t="s">
        <v>573</v>
      </c>
      <c r="BB121" s="1">
        <f t="shared" si="10"/>
        <v>0</v>
      </c>
      <c r="BC121" s="5">
        <v>2880</v>
      </c>
      <c r="BD121" s="1">
        <f t="shared" si="3"/>
        <v>201.60000000000002</v>
      </c>
      <c r="BE121" s="150">
        <v>5760</v>
      </c>
      <c r="BF121" s="1">
        <f t="shared" si="14"/>
        <v>403.20000000000005</v>
      </c>
      <c r="BG121" s="150">
        <v>11520</v>
      </c>
      <c r="BH121" s="1">
        <f t="shared" si="18"/>
        <v>806.40000000000009</v>
      </c>
      <c r="BI121" s="150" t="s">
        <v>573</v>
      </c>
      <c r="BJ121" s="1">
        <f t="shared" si="15"/>
        <v>0</v>
      </c>
      <c r="BK121" s="156" t="s">
        <v>573</v>
      </c>
      <c r="BL121" s="1">
        <f t="shared" si="16"/>
        <v>0</v>
      </c>
      <c r="BM121" s="142" t="s">
        <v>558</v>
      </c>
      <c r="BN121" s="136" t="s">
        <v>17</v>
      </c>
      <c r="BO121" s="139" t="s">
        <v>1310</v>
      </c>
      <c r="BP121" s="137">
        <v>45596</v>
      </c>
    </row>
    <row r="122" spans="1:68" ht="15.75" customHeight="1">
      <c r="A122" s="109" t="s">
        <v>751</v>
      </c>
      <c r="B122" s="122" t="s">
        <v>184</v>
      </c>
      <c r="C122" s="301"/>
      <c r="D122" s="304"/>
      <c r="E122" s="304"/>
      <c r="F122" s="297"/>
      <c r="G122" s="78">
        <v>2021</v>
      </c>
      <c r="H122" s="105" t="s">
        <v>741</v>
      </c>
      <c r="I122" s="105" t="s">
        <v>196</v>
      </c>
      <c r="J122" s="102" t="s">
        <v>197</v>
      </c>
      <c r="K122" s="105" t="s">
        <v>221</v>
      </c>
      <c r="L122" s="105" t="s">
        <v>192</v>
      </c>
      <c r="M122" s="13" t="s">
        <v>193</v>
      </c>
      <c r="N122" s="13">
        <v>4.28</v>
      </c>
      <c r="O122" s="13">
        <v>4.32</v>
      </c>
      <c r="P122" s="13">
        <v>4.32</v>
      </c>
      <c r="Q122" s="13">
        <v>4.32</v>
      </c>
      <c r="R122" s="13">
        <v>4.32</v>
      </c>
      <c r="S122" s="13">
        <v>4.32</v>
      </c>
      <c r="T122" s="13">
        <v>4.32</v>
      </c>
      <c r="U122" s="13">
        <v>4.32</v>
      </c>
      <c r="V122" s="13">
        <v>4.32</v>
      </c>
      <c r="W122" s="13">
        <v>4.32</v>
      </c>
      <c r="X122" s="13">
        <v>4.32</v>
      </c>
      <c r="Y122" s="13">
        <v>4.32</v>
      </c>
      <c r="Z122" s="13">
        <v>4.32</v>
      </c>
      <c r="AA122" s="13">
        <v>4.32</v>
      </c>
      <c r="AB122" s="40">
        <v>0</v>
      </c>
      <c r="AC122" s="40">
        <v>0</v>
      </c>
      <c r="AD122" s="40">
        <v>0</v>
      </c>
      <c r="AE122" s="40">
        <v>0</v>
      </c>
      <c r="AF122" s="40">
        <v>0</v>
      </c>
      <c r="AG122" s="40">
        <v>0</v>
      </c>
      <c r="AH122" s="40">
        <v>0</v>
      </c>
      <c r="AI122" s="40">
        <v>0</v>
      </c>
      <c r="AJ122" s="40">
        <v>7.0000000000000007E-2</v>
      </c>
      <c r="AK122" s="40">
        <v>7.0000000000000007E-2</v>
      </c>
      <c r="AL122" s="40">
        <v>7.0000000000000007E-2</v>
      </c>
      <c r="AM122" s="40">
        <v>7.0000000000000007E-2</v>
      </c>
      <c r="AN122" s="40">
        <v>7.0000000000000007E-2</v>
      </c>
      <c r="AO122" s="116">
        <v>5760</v>
      </c>
      <c r="AP122" s="6">
        <f t="shared" si="0"/>
        <v>0</v>
      </c>
      <c r="AQ122" s="115">
        <v>0</v>
      </c>
      <c r="AR122" s="6">
        <f t="shared" si="1"/>
        <v>0</v>
      </c>
      <c r="AS122" s="115">
        <v>5760</v>
      </c>
      <c r="AT122" s="6">
        <f t="shared" si="13"/>
        <v>0</v>
      </c>
      <c r="AU122" s="115">
        <v>0</v>
      </c>
      <c r="AV122" s="1">
        <f t="shared" si="7"/>
        <v>0</v>
      </c>
      <c r="AW122" s="115">
        <v>5760</v>
      </c>
      <c r="AX122" s="1">
        <f t="shared" si="17"/>
        <v>0</v>
      </c>
      <c r="AY122" s="5" t="s">
        <v>573</v>
      </c>
      <c r="AZ122" s="1">
        <f t="shared" si="9"/>
        <v>0</v>
      </c>
      <c r="BA122" s="5">
        <v>5760</v>
      </c>
      <c r="BB122" s="1">
        <f t="shared" si="10"/>
        <v>0</v>
      </c>
      <c r="BC122" s="5">
        <v>8640</v>
      </c>
      <c r="BD122" s="1">
        <f t="shared" si="3"/>
        <v>604.80000000000007</v>
      </c>
      <c r="BE122" s="150">
        <v>5760</v>
      </c>
      <c r="BF122" s="1">
        <f t="shared" si="14"/>
        <v>403.20000000000005</v>
      </c>
      <c r="BG122" s="150">
        <v>14400</v>
      </c>
      <c r="BH122" s="1">
        <f t="shared" si="18"/>
        <v>1008.0000000000001</v>
      </c>
      <c r="BI122" s="150">
        <v>8640</v>
      </c>
      <c r="BJ122" s="1">
        <f t="shared" si="15"/>
        <v>604.80000000000007</v>
      </c>
      <c r="BK122" s="156">
        <v>11520</v>
      </c>
      <c r="BL122" s="1">
        <f t="shared" si="16"/>
        <v>806.40000000000009</v>
      </c>
      <c r="BM122" s="141" t="s">
        <v>559</v>
      </c>
      <c r="BN122" s="136" t="s">
        <v>17</v>
      </c>
      <c r="BO122" s="139" t="s">
        <v>754</v>
      </c>
      <c r="BP122" s="137">
        <v>45596</v>
      </c>
    </row>
    <row r="123" spans="1:68" ht="15.75" customHeight="1">
      <c r="A123" s="109" t="s">
        <v>751</v>
      </c>
      <c r="B123" s="122" t="s">
        <v>184</v>
      </c>
      <c r="C123" s="301"/>
      <c r="D123" s="304"/>
      <c r="E123" s="304"/>
      <c r="F123" s="297"/>
      <c r="G123" s="78">
        <v>2021</v>
      </c>
      <c r="H123" s="105" t="s">
        <v>741</v>
      </c>
      <c r="I123" s="105" t="s">
        <v>196</v>
      </c>
      <c r="J123" s="102" t="s">
        <v>197</v>
      </c>
      <c r="K123" s="105" t="s">
        <v>281</v>
      </c>
      <c r="L123" s="105" t="s">
        <v>192</v>
      </c>
      <c r="M123" s="13" t="s">
        <v>193</v>
      </c>
      <c r="N123" s="13">
        <v>4.63</v>
      </c>
      <c r="O123" s="13">
        <v>4.67</v>
      </c>
      <c r="P123" s="13">
        <v>4.67</v>
      </c>
      <c r="Q123" s="13">
        <v>4.67</v>
      </c>
      <c r="R123" s="13">
        <v>4.67</v>
      </c>
      <c r="S123" s="13">
        <v>4.67</v>
      </c>
      <c r="T123" s="13">
        <v>4.67</v>
      </c>
      <c r="U123" s="13">
        <v>4.67</v>
      </c>
      <c r="V123" s="13">
        <v>4.67</v>
      </c>
      <c r="W123" s="13">
        <v>4.67</v>
      </c>
      <c r="X123" s="13">
        <v>4.67</v>
      </c>
      <c r="Y123" s="13">
        <v>4.67</v>
      </c>
      <c r="Z123" s="13">
        <v>4.67</v>
      </c>
      <c r="AA123" s="13">
        <v>4.67</v>
      </c>
      <c r="AB123" s="40">
        <v>0</v>
      </c>
      <c r="AC123" s="40">
        <v>0</v>
      </c>
      <c r="AD123" s="40">
        <v>0</v>
      </c>
      <c r="AE123" s="40">
        <v>0</v>
      </c>
      <c r="AF123" s="40">
        <v>0</v>
      </c>
      <c r="AG123" s="40">
        <v>0</v>
      </c>
      <c r="AH123" s="40">
        <v>0</v>
      </c>
      <c r="AI123" s="40">
        <v>0</v>
      </c>
      <c r="AJ123" s="40">
        <v>7.0000000000000007E-2</v>
      </c>
      <c r="AK123" s="40">
        <v>7.0000000000000007E-2</v>
      </c>
      <c r="AL123" s="40">
        <v>7.0000000000000007E-2</v>
      </c>
      <c r="AM123" s="40">
        <v>7.0000000000000007E-2</v>
      </c>
      <c r="AN123" s="40">
        <v>7.0000000000000007E-2</v>
      </c>
      <c r="AO123" s="116">
        <v>0</v>
      </c>
      <c r="AP123" s="6">
        <f t="shared" si="0"/>
        <v>0</v>
      </c>
      <c r="AQ123" s="115">
        <v>0</v>
      </c>
      <c r="AR123" s="6">
        <f t="shared" si="1"/>
        <v>0</v>
      </c>
      <c r="AS123" s="115" t="s">
        <v>573</v>
      </c>
      <c r="AT123" s="6">
        <f t="shared" si="13"/>
        <v>0</v>
      </c>
      <c r="AU123" s="115">
        <v>0</v>
      </c>
      <c r="AV123" s="1">
        <f t="shared" si="7"/>
        <v>0</v>
      </c>
      <c r="AW123" s="115">
        <v>0</v>
      </c>
      <c r="AX123" s="1">
        <f t="shared" si="17"/>
        <v>0</v>
      </c>
      <c r="AY123" s="5" t="s">
        <v>573</v>
      </c>
      <c r="AZ123" s="1">
        <f t="shared" si="9"/>
        <v>0</v>
      </c>
      <c r="BA123" s="5">
        <v>2880</v>
      </c>
      <c r="BB123" s="1">
        <f t="shared" si="10"/>
        <v>0</v>
      </c>
      <c r="BC123" s="5" t="s">
        <v>573</v>
      </c>
      <c r="BD123" s="1">
        <f t="shared" si="3"/>
        <v>0</v>
      </c>
      <c r="BE123" s="150" t="s">
        <v>573</v>
      </c>
      <c r="BF123" s="1">
        <f t="shared" si="14"/>
        <v>0</v>
      </c>
      <c r="BG123" s="150" t="s">
        <v>573</v>
      </c>
      <c r="BH123" s="1">
        <f t="shared" si="18"/>
        <v>0</v>
      </c>
      <c r="BI123" s="150" t="s">
        <v>573</v>
      </c>
      <c r="BJ123" s="1">
        <f t="shared" si="15"/>
        <v>0</v>
      </c>
      <c r="BK123" s="156" t="s">
        <v>573</v>
      </c>
      <c r="BL123" s="1">
        <f t="shared" si="16"/>
        <v>0</v>
      </c>
      <c r="BM123" s="141" t="s">
        <v>560</v>
      </c>
      <c r="BN123" s="136" t="s">
        <v>17</v>
      </c>
      <c r="BO123" s="139" t="s">
        <v>197</v>
      </c>
      <c r="BP123" s="137">
        <v>45596</v>
      </c>
    </row>
    <row r="124" spans="1:68" ht="15.75" customHeight="1">
      <c r="A124" s="109" t="s">
        <v>751</v>
      </c>
      <c r="B124" s="122" t="s">
        <v>184</v>
      </c>
      <c r="C124" s="301"/>
      <c r="D124" s="304"/>
      <c r="E124" s="304"/>
      <c r="F124" s="297"/>
      <c r="G124" s="78">
        <v>2021</v>
      </c>
      <c r="H124" s="105" t="s">
        <v>741</v>
      </c>
      <c r="I124" s="105" t="s">
        <v>196</v>
      </c>
      <c r="J124" s="102" t="s">
        <v>197</v>
      </c>
      <c r="K124" s="105" t="s">
        <v>281</v>
      </c>
      <c r="L124" s="105" t="s">
        <v>192</v>
      </c>
      <c r="M124" s="13" t="s">
        <v>193</v>
      </c>
      <c r="N124" s="13">
        <v>4.67</v>
      </c>
      <c r="O124" s="13">
        <v>4.71</v>
      </c>
      <c r="P124" s="13">
        <v>4.71</v>
      </c>
      <c r="Q124" s="13">
        <v>4.71</v>
      </c>
      <c r="R124" s="13">
        <v>4.71</v>
      </c>
      <c r="S124" s="13">
        <v>4.71</v>
      </c>
      <c r="T124" s="13">
        <v>4.71</v>
      </c>
      <c r="U124" s="13">
        <v>4.71</v>
      </c>
      <c r="V124" s="13">
        <v>4.71</v>
      </c>
      <c r="W124" s="13">
        <v>4.71</v>
      </c>
      <c r="X124" s="13">
        <v>4.71</v>
      </c>
      <c r="Y124" s="13">
        <v>4.71</v>
      </c>
      <c r="Z124" s="13">
        <v>4.71</v>
      </c>
      <c r="AA124" s="13">
        <v>4.71</v>
      </c>
      <c r="AB124" s="40">
        <v>0</v>
      </c>
      <c r="AC124" s="40">
        <v>0</v>
      </c>
      <c r="AD124" s="40">
        <v>0</v>
      </c>
      <c r="AE124" s="40">
        <v>0</v>
      </c>
      <c r="AF124" s="40">
        <v>0</v>
      </c>
      <c r="AG124" s="40">
        <v>0</v>
      </c>
      <c r="AH124" s="40">
        <v>0</v>
      </c>
      <c r="AI124" s="40">
        <v>0</v>
      </c>
      <c r="AJ124" s="40">
        <v>7.0000000000000007E-2</v>
      </c>
      <c r="AK124" s="40">
        <v>7.0000000000000007E-2</v>
      </c>
      <c r="AL124" s="40">
        <v>7.0000000000000007E-2</v>
      </c>
      <c r="AM124" s="40">
        <v>7.0000000000000007E-2</v>
      </c>
      <c r="AN124" s="40">
        <v>7.0000000000000007E-2</v>
      </c>
      <c r="AO124" s="116">
        <v>0</v>
      </c>
      <c r="AP124" s="6">
        <f t="shared" si="0"/>
        <v>0</v>
      </c>
      <c r="AQ124" s="115">
        <v>0</v>
      </c>
      <c r="AR124" s="6">
        <f t="shared" si="1"/>
        <v>0</v>
      </c>
      <c r="AS124" s="115" t="s">
        <v>573</v>
      </c>
      <c r="AT124" s="6">
        <f t="shared" si="13"/>
        <v>0</v>
      </c>
      <c r="AU124" s="115">
        <v>2880</v>
      </c>
      <c r="AV124" s="1">
        <f t="shared" si="7"/>
        <v>0</v>
      </c>
      <c r="AW124" s="115">
        <v>2880</v>
      </c>
      <c r="AX124" s="1">
        <f t="shared" si="17"/>
        <v>0</v>
      </c>
      <c r="AY124" s="5" t="s">
        <v>573</v>
      </c>
      <c r="AZ124" s="1">
        <f t="shared" si="9"/>
        <v>0</v>
      </c>
      <c r="BA124" s="5" t="s">
        <v>573</v>
      </c>
      <c r="BB124" s="1">
        <f t="shared" si="10"/>
        <v>0</v>
      </c>
      <c r="BC124" s="5">
        <v>2880</v>
      </c>
      <c r="BD124" s="1">
        <f t="shared" si="3"/>
        <v>201.60000000000002</v>
      </c>
      <c r="BE124" s="150" t="s">
        <v>573</v>
      </c>
      <c r="BF124" s="1">
        <f t="shared" si="14"/>
        <v>0</v>
      </c>
      <c r="BG124" s="150">
        <v>2880</v>
      </c>
      <c r="BH124" s="1">
        <f t="shared" si="18"/>
        <v>201.60000000000002</v>
      </c>
      <c r="BI124" s="150">
        <v>2880</v>
      </c>
      <c r="BJ124" s="1">
        <f t="shared" si="15"/>
        <v>201.60000000000002</v>
      </c>
      <c r="BK124" s="156">
        <v>2880</v>
      </c>
      <c r="BL124" s="1">
        <f t="shared" si="16"/>
        <v>201.60000000000002</v>
      </c>
      <c r="BM124" s="141" t="s">
        <v>562</v>
      </c>
      <c r="BN124" s="136" t="s">
        <v>17</v>
      </c>
      <c r="BO124" s="139" t="s">
        <v>1310</v>
      </c>
      <c r="BP124" s="137">
        <v>45596</v>
      </c>
    </row>
    <row r="125" spans="1:68" ht="15.75" customHeight="1">
      <c r="A125" s="109" t="s">
        <v>751</v>
      </c>
      <c r="B125" s="122" t="s">
        <v>184</v>
      </c>
      <c r="C125" s="301"/>
      <c r="D125" s="304"/>
      <c r="E125" s="304"/>
      <c r="F125" s="297"/>
      <c r="G125" s="78">
        <v>2021</v>
      </c>
      <c r="H125" s="105" t="s">
        <v>741</v>
      </c>
      <c r="I125" s="105" t="s">
        <v>196</v>
      </c>
      <c r="J125" s="102" t="s">
        <v>197</v>
      </c>
      <c r="K125" s="105" t="s">
        <v>281</v>
      </c>
      <c r="L125" s="105" t="s">
        <v>192</v>
      </c>
      <c r="M125" s="13" t="s">
        <v>193</v>
      </c>
      <c r="N125" s="13">
        <v>4.63</v>
      </c>
      <c r="O125" s="13">
        <v>4.67</v>
      </c>
      <c r="P125" s="13">
        <v>4.67</v>
      </c>
      <c r="Q125" s="13">
        <v>4.67</v>
      </c>
      <c r="R125" s="13">
        <v>4.67</v>
      </c>
      <c r="S125" s="13">
        <v>4.67</v>
      </c>
      <c r="T125" s="13">
        <v>4.67</v>
      </c>
      <c r="U125" s="13">
        <v>4.67</v>
      </c>
      <c r="V125" s="13">
        <v>4.67</v>
      </c>
      <c r="W125" s="13">
        <v>4.67</v>
      </c>
      <c r="X125" s="13">
        <v>4.67</v>
      </c>
      <c r="Y125" s="13">
        <v>4.67</v>
      </c>
      <c r="Z125" s="13">
        <v>4.67</v>
      </c>
      <c r="AA125" s="13">
        <v>4.67</v>
      </c>
      <c r="AB125" s="40">
        <v>0</v>
      </c>
      <c r="AC125" s="40">
        <v>0</v>
      </c>
      <c r="AD125" s="40">
        <v>0</v>
      </c>
      <c r="AE125" s="40">
        <v>0</v>
      </c>
      <c r="AF125" s="40">
        <v>0</v>
      </c>
      <c r="AG125" s="40">
        <v>0</v>
      </c>
      <c r="AH125" s="40">
        <v>0</v>
      </c>
      <c r="AI125" s="40">
        <v>0</v>
      </c>
      <c r="AJ125" s="40">
        <v>7.0000000000000007E-2</v>
      </c>
      <c r="AK125" s="40">
        <v>7.0000000000000007E-2</v>
      </c>
      <c r="AL125" s="40">
        <v>7.0000000000000007E-2</v>
      </c>
      <c r="AM125" s="40">
        <v>7.0000000000000007E-2</v>
      </c>
      <c r="AN125" s="40">
        <v>7.0000000000000007E-2</v>
      </c>
      <c r="AO125" s="116">
        <v>0</v>
      </c>
      <c r="AP125" s="6">
        <f t="shared" si="0"/>
        <v>0</v>
      </c>
      <c r="AQ125" s="115">
        <v>0</v>
      </c>
      <c r="AR125" s="6">
        <f t="shared" si="1"/>
        <v>0</v>
      </c>
      <c r="AS125" s="115" t="s">
        <v>573</v>
      </c>
      <c r="AT125" s="6">
        <f t="shared" si="13"/>
        <v>0</v>
      </c>
      <c r="AU125" s="115">
        <v>0</v>
      </c>
      <c r="AV125" s="1">
        <f t="shared" si="7"/>
        <v>0</v>
      </c>
      <c r="AW125" s="115">
        <v>0</v>
      </c>
      <c r="AX125" s="1">
        <f t="shared" si="17"/>
        <v>0</v>
      </c>
      <c r="AY125" s="5" t="s">
        <v>573</v>
      </c>
      <c r="AZ125" s="1">
        <f t="shared" si="9"/>
        <v>0</v>
      </c>
      <c r="BA125" s="5">
        <v>2880</v>
      </c>
      <c r="BB125" s="1">
        <f t="shared" si="10"/>
        <v>0</v>
      </c>
      <c r="BC125" s="5">
        <v>2880</v>
      </c>
      <c r="BD125" s="1">
        <f t="shared" si="3"/>
        <v>201.60000000000002</v>
      </c>
      <c r="BE125" s="150">
        <v>5760</v>
      </c>
      <c r="BF125" s="1">
        <f t="shared" si="14"/>
        <v>403.20000000000005</v>
      </c>
      <c r="BG125" s="150">
        <v>2880</v>
      </c>
      <c r="BH125" s="1">
        <f t="shared" si="18"/>
        <v>201.60000000000002</v>
      </c>
      <c r="BI125" s="150" t="s">
        <v>573</v>
      </c>
      <c r="BJ125" s="1">
        <f t="shared" si="15"/>
        <v>0</v>
      </c>
      <c r="BK125" s="156">
        <v>2880</v>
      </c>
      <c r="BL125" s="1">
        <f t="shared" si="16"/>
        <v>201.60000000000002</v>
      </c>
      <c r="BM125" s="141" t="s">
        <v>563</v>
      </c>
      <c r="BN125" s="136" t="s">
        <v>17</v>
      </c>
      <c r="BO125" s="139" t="s">
        <v>754</v>
      </c>
      <c r="BP125" s="137">
        <v>45596</v>
      </c>
    </row>
    <row r="126" spans="1:68" ht="15.75" customHeight="1">
      <c r="A126" s="109" t="s">
        <v>751</v>
      </c>
      <c r="B126" s="122" t="s">
        <v>184</v>
      </c>
      <c r="C126" s="301"/>
      <c r="D126" s="304"/>
      <c r="E126" s="304"/>
      <c r="F126" s="297"/>
      <c r="G126" s="78">
        <v>2021</v>
      </c>
      <c r="H126" s="105" t="str">
        <f>_xlfn.XLOOKUP(BM126,'[5]Package breakdown0503'!$F:$F,'[5]Package breakdown0503'!$B:$B)</f>
        <v>MilkaB</v>
      </c>
      <c r="I126" s="105" t="s">
        <v>196</v>
      </c>
      <c r="J126" s="102" t="s">
        <v>197</v>
      </c>
      <c r="K126" s="105" t="s">
        <v>283</v>
      </c>
      <c r="L126" s="105" t="s">
        <v>192</v>
      </c>
      <c r="M126" s="13" t="s">
        <v>193</v>
      </c>
      <c r="N126" s="13">
        <v>4.43</v>
      </c>
      <c r="O126" s="13">
        <v>4.47</v>
      </c>
      <c r="P126" s="13">
        <v>4.47</v>
      </c>
      <c r="Q126" s="13">
        <v>4.47</v>
      </c>
      <c r="R126" s="13">
        <v>4.47</v>
      </c>
      <c r="S126" s="13">
        <v>4.47</v>
      </c>
      <c r="T126" s="13">
        <v>4.47</v>
      </c>
      <c r="U126" s="13">
        <v>4.47</v>
      </c>
      <c r="V126" s="13">
        <v>4.47</v>
      </c>
      <c r="W126" s="13">
        <v>4.47</v>
      </c>
      <c r="X126" s="13">
        <v>4.47</v>
      </c>
      <c r="Y126" s="13">
        <v>4.47</v>
      </c>
      <c r="Z126" s="13">
        <v>4.47</v>
      </c>
      <c r="AA126" s="13">
        <v>4.47</v>
      </c>
      <c r="AB126" s="40">
        <v>0</v>
      </c>
      <c r="AC126" s="40">
        <v>0</v>
      </c>
      <c r="AD126" s="40">
        <v>0</v>
      </c>
      <c r="AE126" s="40">
        <v>0</v>
      </c>
      <c r="AF126" s="40">
        <v>0</v>
      </c>
      <c r="AG126" s="40">
        <v>0</v>
      </c>
      <c r="AH126" s="40">
        <v>0</v>
      </c>
      <c r="AI126" s="40">
        <v>0</v>
      </c>
      <c r="AJ126" s="40">
        <v>7.0000000000000007E-2</v>
      </c>
      <c r="AK126" s="40">
        <v>7.0000000000000007E-2</v>
      </c>
      <c r="AL126" s="40">
        <v>7.0000000000000007E-2</v>
      </c>
      <c r="AM126" s="40">
        <v>7.0000000000000007E-2</v>
      </c>
      <c r="AN126" s="40">
        <v>7.0000000000000007E-2</v>
      </c>
      <c r="AO126" s="116">
        <v>0</v>
      </c>
      <c r="AP126" s="6">
        <f t="shared" si="0"/>
        <v>0</v>
      </c>
      <c r="AQ126" s="115">
        <v>0</v>
      </c>
      <c r="AR126" s="6">
        <f t="shared" si="1"/>
        <v>0</v>
      </c>
      <c r="AS126" s="115" t="s">
        <v>573</v>
      </c>
      <c r="AT126" s="6">
        <f t="shared" si="13"/>
        <v>0</v>
      </c>
      <c r="AU126" s="115">
        <v>0</v>
      </c>
      <c r="AV126" s="1">
        <f t="shared" si="7"/>
        <v>0</v>
      </c>
      <c r="AW126" s="115">
        <v>0</v>
      </c>
      <c r="AX126" s="1">
        <f t="shared" si="17"/>
        <v>0</v>
      </c>
      <c r="AY126" s="5" t="s">
        <v>573</v>
      </c>
      <c r="AZ126" s="1">
        <f t="shared" si="9"/>
        <v>0</v>
      </c>
      <c r="BA126" s="5" t="s">
        <v>573</v>
      </c>
      <c r="BB126" s="1">
        <f t="shared" si="10"/>
        <v>0</v>
      </c>
      <c r="BC126" s="5" t="s">
        <v>573</v>
      </c>
      <c r="BD126" s="1">
        <f t="shared" si="3"/>
        <v>0</v>
      </c>
      <c r="BE126" s="150" t="s">
        <v>573</v>
      </c>
      <c r="BF126" s="1">
        <f t="shared" si="14"/>
        <v>0</v>
      </c>
      <c r="BG126" s="150" t="s">
        <v>573</v>
      </c>
      <c r="BH126" s="1">
        <f t="shared" si="18"/>
        <v>0</v>
      </c>
      <c r="BI126" s="150" t="s">
        <v>573</v>
      </c>
      <c r="BJ126" s="1">
        <f t="shared" si="15"/>
        <v>0</v>
      </c>
      <c r="BK126" s="156" t="s">
        <v>573</v>
      </c>
      <c r="BL126" s="1">
        <f t="shared" si="16"/>
        <v>0</v>
      </c>
      <c r="BM126" s="141" t="s">
        <v>1257</v>
      </c>
      <c r="BN126" s="136" t="s">
        <v>17</v>
      </c>
      <c r="BO126" s="139" t="s">
        <v>807</v>
      </c>
      <c r="BP126" s="137">
        <v>45596</v>
      </c>
    </row>
    <row r="127" spans="1:68" ht="15.75" customHeight="1">
      <c r="A127" s="109" t="s">
        <v>751</v>
      </c>
      <c r="B127" s="122" t="s">
        <v>184</v>
      </c>
      <c r="C127" s="301"/>
      <c r="D127" s="304"/>
      <c r="E127" s="304"/>
      <c r="F127" s="297"/>
      <c r="G127" s="78">
        <v>2021</v>
      </c>
      <c r="H127" s="105" t="s">
        <v>741</v>
      </c>
      <c r="I127" s="105" t="s">
        <v>196</v>
      </c>
      <c r="J127" s="102" t="s">
        <v>197</v>
      </c>
      <c r="K127" s="105" t="s">
        <v>283</v>
      </c>
      <c r="L127" s="105" t="s">
        <v>192</v>
      </c>
      <c r="M127" s="13" t="s">
        <v>193</v>
      </c>
      <c r="N127" s="13">
        <v>4.37</v>
      </c>
      <c r="O127" s="13">
        <v>4.41</v>
      </c>
      <c r="P127" s="13">
        <v>4.41</v>
      </c>
      <c r="Q127" s="13">
        <v>4.41</v>
      </c>
      <c r="R127" s="13">
        <v>4.41</v>
      </c>
      <c r="S127" s="13">
        <v>4.41</v>
      </c>
      <c r="T127" s="13">
        <v>4.41</v>
      </c>
      <c r="U127" s="13">
        <v>4.41</v>
      </c>
      <c r="V127" s="13">
        <v>4.41</v>
      </c>
      <c r="W127" s="13">
        <v>4.41</v>
      </c>
      <c r="X127" s="13">
        <v>4.41</v>
      </c>
      <c r="Y127" s="13">
        <v>4.41</v>
      </c>
      <c r="Z127" s="13">
        <v>4.41</v>
      </c>
      <c r="AA127" s="13">
        <v>4.41</v>
      </c>
      <c r="AB127" s="40">
        <v>0</v>
      </c>
      <c r="AC127" s="40">
        <v>0</v>
      </c>
      <c r="AD127" s="40">
        <v>0</v>
      </c>
      <c r="AE127" s="40">
        <v>0</v>
      </c>
      <c r="AF127" s="40">
        <v>0</v>
      </c>
      <c r="AG127" s="40">
        <v>0</v>
      </c>
      <c r="AH127" s="40">
        <v>0</v>
      </c>
      <c r="AI127" s="40">
        <v>0</v>
      </c>
      <c r="AJ127" s="40">
        <v>7.0000000000000007E-2</v>
      </c>
      <c r="AK127" s="40">
        <v>7.0000000000000007E-2</v>
      </c>
      <c r="AL127" s="40">
        <v>7.0000000000000007E-2</v>
      </c>
      <c r="AM127" s="40">
        <v>7.0000000000000007E-2</v>
      </c>
      <c r="AN127" s="40">
        <v>7.0000000000000007E-2</v>
      </c>
      <c r="AO127" s="116">
        <v>1440</v>
      </c>
      <c r="AP127" s="6">
        <f t="shared" si="0"/>
        <v>0</v>
      </c>
      <c r="AQ127" s="115">
        <v>4320</v>
      </c>
      <c r="AR127" s="6">
        <f t="shared" si="1"/>
        <v>0</v>
      </c>
      <c r="AS127" s="115">
        <v>2880</v>
      </c>
      <c r="AT127" s="6">
        <f t="shared" si="13"/>
        <v>0</v>
      </c>
      <c r="AU127" s="115">
        <v>0</v>
      </c>
      <c r="AV127" s="1">
        <f t="shared" si="7"/>
        <v>0</v>
      </c>
      <c r="AW127" s="115">
        <v>2880</v>
      </c>
      <c r="AX127" s="1">
        <f t="shared" si="17"/>
        <v>0</v>
      </c>
      <c r="AY127" s="5">
        <v>5760</v>
      </c>
      <c r="AZ127" s="1">
        <f t="shared" si="9"/>
        <v>0</v>
      </c>
      <c r="BA127" s="5" t="s">
        <v>573</v>
      </c>
      <c r="BB127" s="1">
        <f t="shared" si="10"/>
        <v>0</v>
      </c>
      <c r="BC127" s="5">
        <v>2880</v>
      </c>
      <c r="BD127" s="1">
        <f t="shared" si="3"/>
        <v>201.60000000000002</v>
      </c>
      <c r="BE127" s="150">
        <v>2880</v>
      </c>
      <c r="BF127" s="1">
        <f t="shared" si="14"/>
        <v>201.60000000000002</v>
      </c>
      <c r="BG127" s="150" t="s">
        <v>573</v>
      </c>
      <c r="BH127" s="1">
        <f t="shared" si="18"/>
        <v>0</v>
      </c>
      <c r="BI127" s="150">
        <v>2880</v>
      </c>
      <c r="BJ127" s="1">
        <f t="shared" si="15"/>
        <v>201.60000000000002</v>
      </c>
      <c r="BK127" s="156" t="s">
        <v>573</v>
      </c>
      <c r="BL127" s="1">
        <f t="shared" si="16"/>
        <v>0</v>
      </c>
      <c r="BM127" s="141" t="s">
        <v>564</v>
      </c>
      <c r="BN127" s="136" t="s">
        <v>494</v>
      </c>
      <c r="BO127" s="139" t="s">
        <v>763</v>
      </c>
      <c r="BP127" s="137">
        <v>45596</v>
      </c>
    </row>
    <row r="128" spans="1:68" ht="15.75" customHeight="1">
      <c r="A128" s="109" t="s">
        <v>751</v>
      </c>
      <c r="B128" s="122" t="s">
        <v>184</v>
      </c>
      <c r="C128" s="301"/>
      <c r="D128" s="304"/>
      <c r="E128" s="304"/>
      <c r="F128" s="297"/>
      <c r="G128" s="78">
        <v>2021</v>
      </c>
      <c r="H128" s="105" t="s">
        <v>741</v>
      </c>
      <c r="I128" s="105" t="s">
        <v>196</v>
      </c>
      <c r="J128" s="103" t="s">
        <v>197</v>
      </c>
      <c r="K128" s="105" t="s">
        <v>283</v>
      </c>
      <c r="L128" s="105" t="s">
        <v>192</v>
      </c>
      <c r="M128" s="13" t="s">
        <v>193</v>
      </c>
      <c r="N128" s="13">
        <v>4.47</v>
      </c>
      <c r="O128" s="13">
        <v>4.51</v>
      </c>
      <c r="P128" s="13">
        <v>4.51</v>
      </c>
      <c r="Q128" s="13">
        <v>4.51</v>
      </c>
      <c r="R128" s="13">
        <v>4.51</v>
      </c>
      <c r="S128" s="13">
        <v>4.51</v>
      </c>
      <c r="T128" s="13">
        <v>4.51</v>
      </c>
      <c r="U128" s="13">
        <v>4.51</v>
      </c>
      <c r="V128" s="13">
        <v>4.51</v>
      </c>
      <c r="W128" s="13">
        <v>4.51</v>
      </c>
      <c r="X128" s="13">
        <v>4.51</v>
      </c>
      <c r="Y128" s="13">
        <v>4.51</v>
      </c>
      <c r="Z128" s="13">
        <v>4.51</v>
      </c>
      <c r="AA128" s="13">
        <v>4.51</v>
      </c>
      <c r="AB128" s="40">
        <v>0</v>
      </c>
      <c r="AC128" s="40">
        <v>0</v>
      </c>
      <c r="AD128" s="40">
        <v>0</v>
      </c>
      <c r="AE128" s="40">
        <v>0</v>
      </c>
      <c r="AF128" s="40">
        <v>0</v>
      </c>
      <c r="AG128" s="40">
        <v>0</v>
      </c>
      <c r="AH128" s="40">
        <v>0</v>
      </c>
      <c r="AI128" s="40">
        <v>0</v>
      </c>
      <c r="AJ128" s="40">
        <v>7.0000000000000007E-2</v>
      </c>
      <c r="AK128" s="40">
        <v>7.0000000000000007E-2</v>
      </c>
      <c r="AL128" s="40">
        <v>7.0000000000000007E-2</v>
      </c>
      <c r="AM128" s="40">
        <v>7.0000000000000007E-2</v>
      </c>
      <c r="AN128" s="40">
        <v>7.0000000000000007E-2</v>
      </c>
      <c r="AO128" s="116">
        <v>0</v>
      </c>
      <c r="AP128" s="6">
        <f t="shared" si="0"/>
        <v>0</v>
      </c>
      <c r="AQ128" s="115">
        <v>0</v>
      </c>
      <c r="AR128" s="6">
        <f t="shared" si="1"/>
        <v>0</v>
      </c>
      <c r="AS128" s="115">
        <v>5760</v>
      </c>
      <c r="AT128" s="6">
        <f t="shared" si="13"/>
        <v>0</v>
      </c>
      <c r="AU128" s="115">
        <v>0</v>
      </c>
      <c r="AV128" s="1">
        <f t="shared" si="7"/>
        <v>0</v>
      </c>
      <c r="AW128" s="115">
        <v>0</v>
      </c>
      <c r="AX128" s="1">
        <f t="shared" si="17"/>
        <v>0</v>
      </c>
      <c r="AY128" s="5" t="s">
        <v>573</v>
      </c>
      <c r="AZ128" s="1">
        <f t="shared" si="9"/>
        <v>0</v>
      </c>
      <c r="BA128" s="5" t="s">
        <v>573</v>
      </c>
      <c r="BB128" s="1">
        <f t="shared" si="10"/>
        <v>0</v>
      </c>
      <c r="BC128" s="5" t="s">
        <v>573</v>
      </c>
      <c r="BD128" s="1">
        <f t="shared" si="3"/>
        <v>0</v>
      </c>
      <c r="BE128" s="150" t="s">
        <v>573</v>
      </c>
      <c r="BF128" s="1">
        <f t="shared" si="14"/>
        <v>0</v>
      </c>
      <c r="BG128" s="150">
        <v>2880</v>
      </c>
      <c r="BH128" s="1">
        <f t="shared" si="18"/>
        <v>201.60000000000002</v>
      </c>
      <c r="BI128" s="150" t="s">
        <v>573</v>
      </c>
      <c r="BJ128" s="1">
        <f t="shared" si="15"/>
        <v>0</v>
      </c>
      <c r="BK128" s="156" t="s">
        <v>573</v>
      </c>
      <c r="BL128" s="1">
        <f t="shared" si="16"/>
        <v>0</v>
      </c>
      <c r="BM128" s="141" t="s">
        <v>565</v>
      </c>
      <c r="BN128" s="136" t="s">
        <v>17</v>
      </c>
      <c r="BO128" s="139" t="s">
        <v>1310</v>
      </c>
      <c r="BP128" s="137">
        <v>45596</v>
      </c>
    </row>
    <row r="129" spans="1:68" ht="15.75" customHeight="1">
      <c r="A129" s="109" t="s">
        <v>751</v>
      </c>
      <c r="B129" s="122" t="s">
        <v>184</v>
      </c>
      <c r="C129" s="301"/>
      <c r="D129" s="304"/>
      <c r="E129" s="304"/>
      <c r="F129" s="297"/>
      <c r="G129" s="78">
        <v>2021</v>
      </c>
      <c r="H129" s="105" t="s">
        <v>741</v>
      </c>
      <c r="I129" s="105" t="s">
        <v>196</v>
      </c>
      <c r="J129" s="102" t="s">
        <v>197</v>
      </c>
      <c r="K129" s="105" t="s">
        <v>283</v>
      </c>
      <c r="L129" s="105" t="s">
        <v>192</v>
      </c>
      <c r="M129" s="13" t="s">
        <v>193</v>
      </c>
      <c r="N129" s="13">
        <v>4.43</v>
      </c>
      <c r="O129" s="13">
        <v>4.47</v>
      </c>
      <c r="P129" s="13">
        <v>4.47</v>
      </c>
      <c r="Q129" s="13">
        <v>4.47</v>
      </c>
      <c r="R129" s="13">
        <v>4.47</v>
      </c>
      <c r="S129" s="13">
        <v>4.47</v>
      </c>
      <c r="T129" s="13">
        <v>4.47</v>
      </c>
      <c r="U129" s="13">
        <v>4.47</v>
      </c>
      <c r="V129" s="13">
        <v>4.47</v>
      </c>
      <c r="W129" s="13">
        <v>4.47</v>
      </c>
      <c r="X129" s="13">
        <v>4.47</v>
      </c>
      <c r="Y129" s="13">
        <v>4.47</v>
      </c>
      <c r="Z129" s="13">
        <v>4.47</v>
      </c>
      <c r="AA129" s="13">
        <v>4.47</v>
      </c>
      <c r="AB129" s="40">
        <v>0</v>
      </c>
      <c r="AC129" s="40">
        <v>0</v>
      </c>
      <c r="AD129" s="40">
        <v>0</v>
      </c>
      <c r="AE129" s="40">
        <v>0</v>
      </c>
      <c r="AF129" s="40">
        <v>0</v>
      </c>
      <c r="AG129" s="40">
        <v>0</v>
      </c>
      <c r="AH129" s="40">
        <v>0</v>
      </c>
      <c r="AI129" s="40">
        <v>0</v>
      </c>
      <c r="AJ129" s="40">
        <v>7.0000000000000007E-2</v>
      </c>
      <c r="AK129" s="40">
        <v>7.0000000000000007E-2</v>
      </c>
      <c r="AL129" s="40">
        <v>7.0000000000000007E-2</v>
      </c>
      <c r="AM129" s="40">
        <v>7.0000000000000007E-2</v>
      </c>
      <c r="AN129" s="40">
        <v>7.0000000000000007E-2</v>
      </c>
      <c r="AO129" s="116">
        <v>0</v>
      </c>
      <c r="AP129" s="6">
        <f t="shared" si="0"/>
        <v>0</v>
      </c>
      <c r="AQ129" s="115">
        <v>0</v>
      </c>
      <c r="AR129" s="6">
        <f t="shared" si="1"/>
        <v>0</v>
      </c>
      <c r="AS129" s="115">
        <v>2880</v>
      </c>
      <c r="AT129" s="6">
        <f t="shared" si="13"/>
        <v>0</v>
      </c>
      <c r="AU129" s="115">
        <v>0</v>
      </c>
      <c r="AV129" s="1">
        <f t="shared" si="7"/>
        <v>0</v>
      </c>
      <c r="AW129" s="115">
        <v>0</v>
      </c>
      <c r="AX129" s="1">
        <f t="shared" si="17"/>
        <v>0</v>
      </c>
      <c r="AY129" s="5" t="s">
        <v>573</v>
      </c>
      <c r="AZ129" s="1">
        <f t="shared" si="9"/>
        <v>0</v>
      </c>
      <c r="BA129" s="5" t="s">
        <v>573</v>
      </c>
      <c r="BB129" s="1">
        <f t="shared" si="10"/>
        <v>0</v>
      </c>
      <c r="BC129" s="5" t="s">
        <v>573</v>
      </c>
      <c r="BD129" s="1">
        <f t="shared" si="3"/>
        <v>0</v>
      </c>
      <c r="BE129" s="150" t="s">
        <v>573</v>
      </c>
      <c r="BF129" s="1">
        <f t="shared" si="14"/>
        <v>0</v>
      </c>
      <c r="BG129" s="150" t="s">
        <v>573</v>
      </c>
      <c r="BH129" s="1">
        <f t="shared" si="18"/>
        <v>0</v>
      </c>
      <c r="BI129" s="150" t="s">
        <v>573</v>
      </c>
      <c r="BJ129" s="1">
        <f t="shared" si="15"/>
        <v>0</v>
      </c>
      <c r="BK129" s="156" t="s">
        <v>573</v>
      </c>
      <c r="BL129" s="1">
        <f t="shared" si="16"/>
        <v>0</v>
      </c>
      <c r="BM129" s="141" t="s">
        <v>566</v>
      </c>
      <c r="BN129" s="136" t="s">
        <v>17</v>
      </c>
      <c r="BO129" s="139" t="s">
        <v>754</v>
      </c>
      <c r="BP129" s="137">
        <v>45596</v>
      </c>
    </row>
    <row r="130" spans="1:68" ht="15.75" customHeight="1">
      <c r="A130" s="109" t="s">
        <v>751</v>
      </c>
      <c r="B130" s="122" t="s">
        <v>184</v>
      </c>
      <c r="C130" s="301"/>
      <c r="D130" s="304"/>
      <c r="E130" s="304"/>
      <c r="F130" s="297"/>
      <c r="G130" s="78">
        <v>2023</v>
      </c>
      <c r="H130" s="105" t="s">
        <v>741</v>
      </c>
      <c r="I130" s="76" t="s">
        <v>196</v>
      </c>
      <c r="J130" s="102" t="s">
        <v>197</v>
      </c>
      <c r="K130" s="105" t="s">
        <v>235</v>
      </c>
      <c r="L130" s="105" t="s">
        <v>192</v>
      </c>
      <c r="M130" s="13" t="s">
        <v>193</v>
      </c>
      <c r="N130" s="13">
        <v>4.42</v>
      </c>
      <c r="O130" s="13">
        <v>4.42</v>
      </c>
      <c r="P130" s="13">
        <v>4.42</v>
      </c>
      <c r="Q130" s="13">
        <v>4.42</v>
      </c>
      <c r="R130" s="13">
        <v>4.42</v>
      </c>
      <c r="S130" s="13">
        <v>4.42</v>
      </c>
      <c r="T130" s="13">
        <v>4.42</v>
      </c>
      <c r="U130" s="13">
        <v>4.42</v>
      </c>
      <c r="V130" s="13">
        <v>4.42</v>
      </c>
      <c r="W130" s="13">
        <v>4.42</v>
      </c>
      <c r="X130" s="13">
        <v>4.42</v>
      </c>
      <c r="Y130" s="13">
        <v>4.42</v>
      </c>
      <c r="Z130" s="13">
        <v>4.42</v>
      </c>
      <c r="AA130" s="13">
        <v>4.42</v>
      </c>
      <c r="AB130" s="40">
        <v>0</v>
      </c>
      <c r="AC130" s="40">
        <v>0</v>
      </c>
      <c r="AD130" s="40">
        <v>0</v>
      </c>
      <c r="AE130" s="40">
        <v>0</v>
      </c>
      <c r="AF130" s="40">
        <v>0</v>
      </c>
      <c r="AG130" s="40">
        <v>0</v>
      </c>
      <c r="AH130" s="40">
        <v>0</v>
      </c>
      <c r="AI130" s="40">
        <v>0</v>
      </c>
      <c r="AJ130" s="40">
        <v>7.0000000000000007E-2</v>
      </c>
      <c r="AK130" s="40">
        <v>7.0000000000000007E-2</v>
      </c>
      <c r="AL130" s="40">
        <v>7.0000000000000007E-2</v>
      </c>
      <c r="AM130" s="40">
        <v>7.0000000000000007E-2</v>
      </c>
      <c r="AN130" s="40">
        <v>7.0000000000000007E-2</v>
      </c>
      <c r="AO130" s="116">
        <v>0</v>
      </c>
      <c r="AP130" s="6">
        <f t="shared" si="0"/>
        <v>0</v>
      </c>
      <c r="AQ130" s="115">
        <v>0</v>
      </c>
      <c r="AR130" s="6">
        <f t="shared" si="1"/>
        <v>0</v>
      </c>
      <c r="AS130" s="115" t="s">
        <v>573</v>
      </c>
      <c r="AT130" s="6">
        <f t="shared" si="13"/>
        <v>0</v>
      </c>
      <c r="AU130" s="115">
        <v>0</v>
      </c>
      <c r="AV130" s="1">
        <f t="shared" si="7"/>
        <v>0</v>
      </c>
      <c r="AW130" s="115">
        <v>0</v>
      </c>
      <c r="AX130" s="1">
        <f t="shared" si="17"/>
        <v>0</v>
      </c>
      <c r="AY130" s="5" t="s">
        <v>573</v>
      </c>
      <c r="AZ130" s="1">
        <f t="shared" si="9"/>
        <v>0</v>
      </c>
      <c r="BA130" s="5" t="s">
        <v>573</v>
      </c>
      <c r="BB130" s="1">
        <f t="shared" si="10"/>
        <v>0</v>
      </c>
      <c r="BC130" s="5" t="s">
        <v>573</v>
      </c>
      <c r="BD130" s="1">
        <f t="shared" si="3"/>
        <v>0</v>
      </c>
      <c r="BE130" s="150">
        <v>2880</v>
      </c>
      <c r="BF130" s="1">
        <f t="shared" si="14"/>
        <v>201.60000000000002</v>
      </c>
      <c r="BG130" s="150">
        <v>2880</v>
      </c>
      <c r="BH130" s="1">
        <f t="shared" si="18"/>
        <v>201.60000000000002</v>
      </c>
      <c r="BI130" s="150">
        <v>2880</v>
      </c>
      <c r="BJ130" s="1">
        <f t="shared" si="15"/>
        <v>201.60000000000002</v>
      </c>
      <c r="BK130" s="156" t="s">
        <v>573</v>
      </c>
      <c r="BL130" s="1">
        <f t="shared" si="16"/>
        <v>0</v>
      </c>
      <c r="BM130" s="141" t="s">
        <v>618</v>
      </c>
      <c r="BN130" s="136" t="s">
        <v>17</v>
      </c>
      <c r="BO130" s="139" t="s">
        <v>1314</v>
      </c>
      <c r="BP130" s="137">
        <v>45596</v>
      </c>
    </row>
    <row r="131" spans="1:68" ht="15.75" customHeight="1">
      <c r="A131" s="109" t="s">
        <v>751</v>
      </c>
      <c r="B131" s="122" t="s">
        <v>184</v>
      </c>
      <c r="C131" s="301"/>
      <c r="D131" s="304"/>
      <c r="E131" s="304"/>
      <c r="F131" s="297"/>
      <c r="G131" s="78">
        <v>2022</v>
      </c>
      <c r="H131" s="105" t="s">
        <v>741</v>
      </c>
      <c r="I131" s="76" t="s">
        <v>196</v>
      </c>
      <c r="J131" s="102" t="s">
        <v>197</v>
      </c>
      <c r="K131" s="105" t="s">
        <v>235</v>
      </c>
      <c r="L131" s="105" t="s">
        <v>192</v>
      </c>
      <c r="M131" s="13" t="s">
        <v>193</v>
      </c>
      <c r="N131" s="13">
        <v>4.3600000000000003</v>
      </c>
      <c r="O131" s="13">
        <v>4.3600000000000003</v>
      </c>
      <c r="P131" s="13">
        <v>4.3600000000000003</v>
      </c>
      <c r="Q131" s="13">
        <v>4.3600000000000003</v>
      </c>
      <c r="R131" s="13">
        <v>4.3600000000000003</v>
      </c>
      <c r="S131" s="13">
        <v>4.3600000000000003</v>
      </c>
      <c r="T131" s="13">
        <v>4.3600000000000003</v>
      </c>
      <c r="U131" s="13">
        <v>4.3600000000000003</v>
      </c>
      <c r="V131" s="13">
        <v>4.3600000000000003</v>
      </c>
      <c r="W131" s="13">
        <v>4.3600000000000003</v>
      </c>
      <c r="X131" s="13">
        <v>4.3600000000000003</v>
      </c>
      <c r="Y131" s="13">
        <v>4.3600000000000003</v>
      </c>
      <c r="Z131" s="13">
        <v>4.3600000000000003</v>
      </c>
      <c r="AA131" s="13">
        <v>4.3600000000000003</v>
      </c>
      <c r="AB131" s="40">
        <v>0</v>
      </c>
      <c r="AC131" s="40">
        <v>0</v>
      </c>
      <c r="AD131" s="40">
        <v>0</v>
      </c>
      <c r="AE131" s="40">
        <v>0</v>
      </c>
      <c r="AF131" s="40">
        <v>0</v>
      </c>
      <c r="AG131" s="40">
        <v>0</v>
      </c>
      <c r="AH131" s="40">
        <v>0</v>
      </c>
      <c r="AI131" s="40">
        <v>0</v>
      </c>
      <c r="AJ131" s="40">
        <v>7.0000000000000007E-2</v>
      </c>
      <c r="AK131" s="40">
        <v>7.0000000000000007E-2</v>
      </c>
      <c r="AL131" s="40">
        <v>7.0000000000000007E-2</v>
      </c>
      <c r="AM131" s="40">
        <v>7.0000000000000007E-2</v>
      </c>
      <c r="AN131" s="40">
        <v>7.0000000000000007E-2</v>
      </c>
      <c r="AO131" s="116">
        <v>0</v>
      </c>
      <c r="AP131" s="6">
        <f t="shared" si="0"/>
        <v>0</v>
      </c>
      <c r="AQ131" s="115">
        <v>0</v>
      </c>
      <c r="AR131" s="6">
        <f t="shared" si="1"/>
        <v>0</v>
      </c>
      <c r="AS131" s="115">
        <v>2880</v>
      </c>
      <c r="AT131" s="6">
        <f t="shared" ref="AT131:AT194" si="19">AE131*AS131</f>
        <v>0</v>
      </c>
      <c r="AU131" s="115">
        <v>0</v>
      </c>
      <c r="AV131" s="1">
        <f t="shared" si="7"/>
        <v>0</v>
      </c>
      <c r="AW131" s="115">
        <v>2880</v>
      </c>
      <c r="AX131" s="1">
        <f t="shared" si="17"/>
        <v>0</v>
      </c>
      <c r="AY131" s="5">
        <v>5760</v>
      </c>
      <c r="AZ131" s="1">
        <f t="shared" si="9"/>
        <v>0</v>
      </c>
      <c r="BA131" s="5" t="s">
        <v>573</v>
      </c>
      <c r="BB131" s="1">
        <f t="shared" si="10"/>
        <v>0</v>
      </c>
      <c r="BC131" s="5" t="s">
        <v>573</v>
      </c>
      <c r="BD131" s="1">
        <f t="shared" si="3"/>
        <v>0</v>
      </c>
      <c r="BE131" s="150" t="s">
        <v>573</v>
      </c>
      <c r="BF131" s="1">
        <f t="shared" ref="BF131:BF194" si="20">AK131*BE131</f>
        <v>0</v>
      </c>
      <c r="BG131" s="150" t="s">
        <v>573</v>
      </c>
      <c r="BH131" s="1">
        <f t="shared" si="18"/>
        <v>0</v>
      </c>
      <c r="BI131" s="150" t="s">
        <v>573</v>
      </c>
      <c r="BJ131" s="1">
        <f t="shared" ref="BJ131:BJ194" si="21">AM131*BI131</f>
        <v>0</v>
      </c>
      <c r="BK131" s="156" t="s">
        <v>573</v>
      </c>
      <c r="BL131" s="1">
        <f t="shared" ref="BL131:BL194" si="22">BK131*AN131</f>
        <v>0</v>
      </c>
      <c r="BM131" s="141" t="s">
        <v>619</v>
      </c>
      <c r="BN131" s="136" t="s">
        <v>494</v>
      </c>
      <c r="BO131" s="139" t="s">
        <v>763</v>
      </c>
      <c r="BP131" s="137">
        <v>45596</v>
      </c>
    </row>
    <row r="132" spans="1:68" ht="15.75" customHeight="1">
      <c r="A132" s="109" t="s">
        <v>751</v>
      </c>
      <c r="B132" s="122" t="s">
        <v>184</v>
      </c>
      <c r="C132" s="301"/>
      <c r="D132" s="304"/>
      <c r="E132" s="304"/>
      <c r="F132" s="297"/>
      <c r="G132" s="78">
        <v>2023</v>
      </c>
      <c r="H132" s="105" t="s">
        <v>741</v>
      </c>
      <c r="I132" s="76" t="s">
        <v>196</v>
      </c>
      <c r="J132" s="102" t="s">
        <v>197</v>
      </c>
      <c r="K132" s="105" t="s">
        <v>235</v>
      </c>
      <c r="L132" s="105" t="s">
        <v>192</v>
      </c>
      <c r="M132" s="13" t="s">
        <v>193</v>
      </c>
      <c r="N132" s="13">
        <v>4.42</v>
      </c>
      <c r="O132" s="13">
        <v>4.42</v>
      </c>
      <c r="P132" s="13">
        <v>4.42</v>
      </c>
      <c r="Q132" s="13">
        <v>4.42</v>
      </c>
      <c r="R132" s="13">
        <v>4.42</v>
      </c>
      <c r="S132" s="13">
        <v>4.42</v>
      </c>
      <c r="T132" s="13">
        <v>4.42</v>
      </c>
      <c r="U132" s="13">
        <v>4.42</v>
      </c>
      <c r="V132" s="13">
        <v>4.42</v>
      </c>
      <c r="W132" s="13">
        <v>4.42</v>
      </c>
      <c r="X132" s="13">
        <v>4.42</v>
      </c>
      <c r="Y132" s="13">
        <v>4.42</v>
      </c>
      <c r="Z132" s="13">
        <v>4.42</v>
      </c>
      <c r="AA132" s="13">
        <v>4.42</v>
      </c>
      <c r="AB132" s="40">
        <v>0</v>
      </c>
      <c r="AC132" s="40">
        <v>0</v>
      </c>
      <c r="AD132" s="40">
        <v>0</v>
      </c>
      <c r="AE132" s="40">
        <v>0</v>
      </c>
      <c r="AF132" s="40">
        <v>0</v>
      </c>
      <c r="AG132" s="40">
        <v>0</v>
      </c>
      <c r="AH132" s="40">
        <v>0</v>
      </c>
      <c r="AI132" s="40">
        <v>0</v>
      </c>
      <c r="AJ132" s="40">
        <v>7.0000000000000007E-2</v>
      </c>
      <c r="AK132" s="40">
        <v>7.0000000000000007E-2</v>
      </c>
      <c r="AL132" s="40">
        <v>7.0000000000000007E-2</v>
      </c>
      <c r="AM132" s="40">
        <v>7.0000000000000007E-2</v>
      </c>
      <c r="AN132" s="40">
        <v>7.0000000000000007E-2</v>
      </c>
      <c r="AO132" s="116">
        <v>2880</v>
      </c>
      <c r="AP132" s="6">
        <f t="shared" si="0"/>
        <v>0</v>
      </c>
      <c r="AQ132" s="115">
        <v>0</v>
      </c>
      <c r="AR132" s="6">
        <f t="shared" si="1"/>
        <v>0</v>
      </c>
      <c r="AS132" s="115" t="s">
        <v>573</v>
      </c>
      <c r="AT132" s="6">
        <f t="shared" si="19"/>
        <v>0</v>
      </c>
      <c r="AU132" s="115">
        <v>0</v>
      </c>
      <c r="AV132" s="1">
        <f t="shared" si="7"/>
        <v>0</v>
      </c>
      <c r="AW132" s="115">
        <v>0</v>
      </c>
      <c r="AX132" s="1">
        <f t="shared" si="17"/>
        <v>0</v>
      </c>
      <c r="AY132" s="5" t="s">
        <v>573</v>
      </c>
      <c r="AZ132" s="1">
        <f t="shared" si="9"/>
        <v>0</v>
      </c>
      <c r="BA132" s="5" t="s">
        <v>573</v>
      </c>
      <c r="BB132" s="1">
        <f t="shared" si="10"/>
        <v>0</v>
      </c>
      <c r="BC132" s="5">
        <v>2880</v>
      </c>
      <c r="BD132" s="1">
        <f t="shared" si="3"/>
        <v>201.60000000000002</v>
      </c>
      <c r="BE132" s="150" t="s">
        <v>573</v>
      </c>
      <c r="BF132" s="1">
        <f t="shared" si="20"/>
        <v>0</v>
      </c>
      <c r="BG132" s="150" t="s">
        <v>573</v>
      </c>
      <c r="BH132" s="1">
        <f t="shared" ref="BH132:BH195" si="23">BG132*AL132</f>
        <v>0</v>
      </c>
      <c r="BI132" s="150">
        <v>2880</v>
      </c>
      <c r="BJ132" s="1">
        <f t="shared" si="21"/>
        <v>201.60000000000002</v>
      </c>
      <c r="BK132" s="156" t="s">
        <v>573</v>
      </c>
      <c r="BL132" s="1">
        <f t="shared" si="22"/>
        <v>0</v>
      </c>
      <c r="BM132" s="141" t="s">
        <v>620</v>
      </c>
      <c r="BN132" s="136" t="s">
        <v>17</v>
      </c>
      <c r="BO132" s="139" t="s">
        <v>754</v>
      </c>
      <c r="BP132" s="137">
        <v>45596</v>
      </c>
    </row>
    <row r="133" spans="1:68" ht="15.75" customHeight="1">
      <c r="A133" s="109" t="s">
        <v>751</v>
      </c>
      <c r="B133" s="122" t="s">
        <v>184</v>
      </c>
      <c r="C133" s="301"/>
      <c r="D133" s="304"/>
      <c r="E133" s="304"/>
      <c r="F133" s="297"/>
      <c r="G133" s="78">
        <v>2023</v>
      </c>
      <c r="H133" s="105" t="s">
        <v>741</v>
      </c>
      <c r="I133" s="76" t="s">
        <v>196</v>
      </c>
      <c r="J133" s="102" t="s">
        <v>197</v>
      </c>
      <c r="K133" s="105" t="s">
        <v>221</v>
      </c>
      <c r="L133" s="105" t="s">
        <v>192</v>
      </c>
      <c r="M133" s="13" t="s">
        <v>193</v>
      </c>
      <c r="N133" s="13">
        <v>4.26</v>
      </c>
      <c r="O133" s="13">
        <v>4.26</v>
      </c>
      <c r="P133" s="13">
        <v>4.26</v>
      </c>
      <c r="Q133" s="13">
        <v>4.26</v>
      </c>
      <c r="R133" s="13">
        <v>4.26</v>
      </c>
      <c r="S133" s="13">
        <v>4.26</v>
      </c>
      <c r="T133" s="13">
        <v>4.26</v>
      </c>
      <c r="U133" s="13">
        <v>4.26</v>
      </c>
      <c r="V133" s="13">
        <v>4.26</v>
      </c>
      <c r="W133" s="13">
        <v>4.26</v>
      </c>
      <c r="X133" s="13">
        <v>4.26</v>
      </c>
      <c r="Y133" s="13">
        <v>4.26</v>
      </c>
      <c r="Z133" s="13">
        <v>4.26</v>
      </c>
      <c r="AA133" s="13">
        <v>4.26</v>
      </c>
      <c r="AB133" s="40">
        <v>0</v>
      </c>
      <c r="AC133" s="40">
        <v>0</v>
      </c>
      <c r="AD133" s="40">
        <v>0</v>
      </c>
      <c r="AE133" s="40">
        <v>0</v>
      </c>
      <c r="AF133" s="40">
        <v>0</v>
      </c>
      <c r="AG133" s="40">
        <v>0</v>
      </c>
      <c r="AH133" s="40">
        <v>0</v>
      </c>
      <c r="AI133" s="40">
        <v>0</v>
      </c>
      <c r="AJ133" s="40">
        <v>7.0000000000000007E-2</v>
      </c>
      <c r="AK133" s="40">
        <v>7.0000000000000007E-2</v>
      </c>
      <c r="AL133" s="40">
        <v>7.0000000000000007E-2</v>
      </c>
      <c r="AM133" s="40">
        <v>7.0000000000000007E-2</v>
      </c>
      <c r="AN133" s="40">
        <v>7.0000000000000007E-2</v>
      </c>
      <c r="AO133" s="116">
        <v>0</v>
      </c>
      <c r="AP133" s="6">
        <f t="shared" si="0"/>
        <v>0</v>
      </c>
      <c r="AQ133" s="115">
        <v>0</v>
      </c>
      <c r="AR133" s="6">
        <f t="shared" si="1"/>
        <v>0</v>
      </c>
      <c r="AS133" s="115" t="s">
        <v>573</v>
      </c>
      <c r="AT133" s="6">
        <f t="shared" si="19"/>
        <v>0</v>
      </c>
      <c r="AU133" s="115">
        <v>0</v>
      </c>
      <c r="AV133" s="1">
        <f t="shared" si="7"/>
        <v>0</v>
      </c>
      <c r="AW133" s="115">
        <v>0</v>
      </c>
      <c r="AX133" s="1">
        <f t="shared" si="17"/>
        <v>0</v>
      </c>
      <c r="AY133" s="5">
        <v>2880</v>
      </c>
      <c r="AZ133" s="1">
        <f t="shared" si="9"/>
        <v>0</v>
      </c>
      <c r="BA133" s="5">
        <v>2880</v>
      </c>
      <c r="BB133" s="1">
        <f t="shared" si="10"/>
        <v>0</v>
      </c>
      <c r="BC133" s="5">
        <v>2880</v>
      </c>
      <c r="BD133" s="1">
        <f t="shared" si="3"/>
        <v>201.60000000000002</v>
      </c>
      <c r="BE133" s="150">
        <v>6680</v>
      </c>
      <c r="BF133" s="1">
        <f t="shared" si="20"/>
        <v>467.6</v>
      </c>
      <c r="BG133" s="150" t="s">
        <v>573</v>
      </c>
      <c r="BH133" s="1">
        <f t="shared" si="23"/>
        <v>0</v>
      </c>
      <c r="BI133" s="150">
        <v>5760</v>
      </c>
      <c r="BJ133" s="1">
        <f t="shared" si="21"/>
        <v>403.20000000000005</v>
      </c>
      <c r="BK133" s="156" t="s">
        <v>573</v>
      </c>
      <c r="BL133" s="1">
        <f t="shared" si="22"/>
        <v>0</v>
      </c>
      <c r="BM133" s="141" t="s">
        <v>631</v>
      </c>
      <c r="BN133" s="136" t="s">
        <v>494</v>
      </c>
      <c r="BO133" s="139" t="s">
        <v>763</v>
      </c>
      <c r="BP133" s="137">
        <v>45961</v>
      </c>
    </row>
    <row r="134" spans="1:68" ht="15.75" customHeight="1">
      <c r="A134" s="109" t="s">
        <v>751</v>
      </c>
      <c r="B134" s="122" t="s">
        <v>184</v>
      </c>
      <c r="C134" s="301"/>
      <c r="D134" s="304"/>
      <c r="E134" s="304"/>
      <c r="F134" s="297"/>
      <c r="G134" s="78">
        <v>2023</v>
      </c>
      <c r="H134" s="105" t="s">
        <v>741</v>
      </c>
      <c r="I134" s="76" t="s">
        <v>196</v>
      </c>
      <c r="J134" s="102" t="s">
        <v>197</v>
      </c>
      <c r="K134" s="105" t="s">
        <v>221</v>
      </c>
      <c r="L134" s="105" t="s">
        <v>192</v>
      </c>
      <c r="M134" s="13" t="s">
        <v>193</v>
      </c>
      <c r="N134" s="13">
        <v>4.32</v>
      </c>
      <c r="O134" s="13">
        <v>4.32</v>
      </c>
      <c r="P134" s="13">
        <v>4.32</v>
      </c>
      <c r="Q134" s="13">
        <v>4.32</v>
      </c>
      <c r="R134" s="13">
        <v>4.32</v>
      </c>
      <c r="S134" s="13">
        <v>4.32</v>
      </c>
      <c r="T134" s="13">
        <v>4.32</v>
      </c>
      <c r="U134" s="13">
        <v>4.32</v>
      </c>
      <c r="V134" s="13">
        <v>4.32</v>
      </c>
      <c r="W134" s="13">
        <v>4.32</v>
      </c>
      <c r="X134" s="13">
        <v>4.32</v>
      </c>
      <c r="Y134" s="13">
        <v>4.32</v>
      </c>
      <c r="Z134" s="13">
        <v>4.32</v>
      </c>
      <c r="AA134" s="13">
        <v>4.32</v>
      </c>
      <c r="AB134" s="40">
        <v>0</v>
      </c>
      <c r="AC134" s="40">
        <v>0</v>
      </c>
      <c r="AD134" s="40">
        <v>0</v>
      </c>
      <c r="AE134" s="40">
        <v>0</v>
      </c>
      <c r="AF134" s="40">
        <v>0</v>
      </c>
      <c r="AG134" s="40">
        <v>0</v>
      </c>
      <c r="AH134" s="40">
        <v>0</v>
      </c>
      <c r="AI134" s="40">
        <v>0</v>
      </c>
      <c r="AJ134" s="40">
        <v>7.0000000000000007E-2</v>
      </c>
      <c r="AK134" s="40">
        <v>7.0000000000000007E-2</v>
      </c>
      <c r="AL134" s="40">
        <v>7.0000000000000007E-2</v>
      </c>
      <c r="AM134" s="40">
        <v>7.0000000000000007E-2</v>
      </c>
      <c r="AN134" s="40">
        <v>7.0000000000000007E-2</v>
      </c>
      <c r="AO134" s="116">
        <v>0</v>
      </c>
      <c r="AP134" s="6">
        <f t="shared" si="0"/>
        <v>0</v>
      </c>
      <c r="AQ134" s="115">
        <v>0</v>
      </c>
      <c r="AR134" s="6">
        <f t="shared" si="1"/>
        <v>0</v>
      </c>
      <c r="AS134" s="115">
        <v>28800</v>
      </c>
      <c r="AT134" s="6">
        <f t="shared" si="19"/>
        <v>0</v>
      </c>
      <c r="AU134" s="115">
        <v>5760</v>
      </c>
      <c r="AV134" s="1">
        <f t="shared" si="7"/>
        <v>0</v>
      </c>
      <c r="AW134" s="115">
        <v>51840</v>
      </c>
      <c r="AX134" s="1">
        <f t="shared" si="17"/>
        <v>0</v>
      </c>
      <c r="AY134" s="5">
        <v>5760</v>
      </c>
      <c r="AZ134" s="1">
        <f t="shared" si="9"/>
        <v>0</v>
      </c>
      <c r="BA134" s="5" t="s">
        <v>573</v>
      </c>
      <c r="BB134" s="1">
        <f t="shared" si="10"/>
        <v>0</v>
      </c>
      <c r="BC134" s="5">
        <v>5760</v>
      </c>
      <c r="BD134" s="1">
        <f t="shared" si="3"/>
        <v>403.20000000000005</v>
      </c>
      <c r="BE134" s="150" t="s">
        <v>573</v>
      </c>
      <c r="BF134" s="1">
        <f t="shared" si="20"/>
        <v>0</v>
      </c>
      <c r="BG134" s="150" t="s">
        <v>573</v>
      </c>
      <c r="BH134" s="1">
        <f t="shared" si="23"/>
        <v>0</v>
      </c>
      <c r="BI134" s="150" t="s">
        <v>573</v>
      </c>
      <c r="BJ134" s="1">
        <f t="shared" si="21"/>
        <v>0</v>
      </c>
      <c r="BK134" s="156" t="s">
        <v>573</v>
      </c>
      <c r="BL134" s="1">
        <f t="shared" si="22"/>
        <v>0</v>
      </c>
      <c r="BM134" s="141" t="s">
        <v>632</v>
      </c>
      <c r="BN134" s="136" t="s">
        <v>17</v>
      </c>
      <c r="BO134" s="139" t="s">
        <v>754</v>
      </c>
      <c r="BP134" s="137">
        <v>45961</v>
      </c>
    </row>
    <row r="135" spans="1:68" ht="15.75" customHeight="1">
      <c r="A135" s="109" t="s">
        <v>751</v>
      </c>
      <c r="B135" s="122" t="s">
        <v>184</v>
      </c>
      <c r="C135" s="301"/>
      <c r="D135" s="304"/>
      <c r="E135" s="304"/>
      <c r="F135" s="297"/>
      <c r="G135" s="78">
        <v>2023</v>
      </c>
      <c r="H135" s="105" t="s">
        <v>741</v>
      </c>
      <c r="I135" s="76" t="s">
        <v>196</v>
      </c>
      <c r="J135" s="102" t="s">
        <v>197</v>
      </c>
      <c r="K135" s="105" t="s">
        <v>221</v>
      </c>
      <c r="L135" s="105" t="s">
        <v>192</v>
      </c>
      <c r="M135" s="13" t="s">
        <v>193</v>
      </c>
      <c r="N135" s="13">
        <v>4.32</v>
      </c>
      <c r="O135" s="13">
        <v>4.32</v>
      </c>
      <c r="P135" s="13">
        <v>4.32</v>
      </c>
      <c r="Q135" s="13">
        <v>4.32</v>
      </c>
      <c r="R135" s="13">
        <v>4.32</v>
      </c>
      <c r="S135" s="13">
        <v>4.32</v>
      </c>
      <c r="T135" s="13">
        <v>4.32</v>
      </c>
      <c r="U135" s="13">
        <v>4.32</v>
      </c>
      <c r="V135" s="13">
        <v>4.32</v>
      </c>
      <c r="W135" s="13">
        <v>4.32</v>
      </c>
      <c r="X135" s="13">
        <v>4.32</v>
      </c>
      <c r="Y135" s="13">
        <v>4.32</v>
      </c>
      <c r="Z135" s="13">
        <v>4.32</v>
      </c>
      <c r="AA135" s="13">
        <v>4.32</v>
      </c>
      <c r="AB135" s="40">
        <v>0</v>
      </c>
      <c r="AC135" s="40">
        <v>0</v>
      </c>
      <c r="AD135" s="40">
        <v>0</v>
      </c>
      <c r="AE135" s="40">
        <v>0</v>
      </c>
      <c r="AF135" s="40">
        <v>0</v>
      </c>
      <c r="AG135" s="40">
        <v>0</v>
      </c>
      <c r="AH135" s="40">
        <v>0</v>
      </c>
      <c r="AI135" s="40">
        <v>0</v>
      </c>
      <c r="AJ135" s="40">
        <v>7.0000000000000007E-2</v>
      </c>
      <c r="AK135" s="40">
        <v>7.0000000000000007E-2</v>
      </c>
      <c r="AL135" s="40">
        <v>7.0000000000000007E-2</v>
      </c>
      <c r="AM135" s="40">
        <v>7.0000000000000007E-2</v>
      </c>
      <c r="AN135" s="40">
        <v>7.0000000000000007E-2</v>
      </c>
      <c r="AO135" s="116">
        <v>0</v>
      </c>
      <c r="AP135" s="6">
        <f t="shared" si="0"/>
        <v>0</v>
      </c>
      <c r="AQ135" s="115">
        <v>0</v>
      </c>
      <c r="AR135" s="6">
        <f t="shared" si="1"/>
        <v>0</v>
      </c>
      <c r="AS135" s="115" t="s">
        <v>573</v>
      </c>
      <c r="AT135" s="6">
        <f t="shared" si="19"/>
        <v>0</v>
      </c>
      <c r="AU135" s="115">
        <v>0</v>
      </c>
      <c r="AV135" s="1">
        <f t="shared" si="7"/>
        <v>0</v>
      </c>
      <c r="AW135" s="115">
        <v>0</v>
      </c>
      <c r="AX135" s="1">
        <f t="shared" ref="AX135:AX213" si="24">AG135*AW135</f>
        <v>0</v>
      </c>
      <c r="AY135" s="5" t="s">
        <v>573</v>
      </c>
      <c r="AZ135" s="1">
        <f t="shared" si="9"/>
        <v>0</v>
      </c>
      <c r="BA135" s="5" t="s">
        <v>573</v>
      </c>
      <c r="BB135" s="1">
        <f t="shared" si="10"/>
        <v>0</v>
      </c>
      <c r="BC135" s="5">
        <v>8640</v>
      </c>
      <c r="BD135" s="1">
        <f t="shared" si="3"/>
        <v>604.80000000000007</v>
      </c>
      <c r="BE135" s="150" t="s">
        <v>573</v>
      </c>
      <c r="BF135" s="1">
        <f t="shared" si="20"/>
        <v>0</v>
      </c>
      <c r="BG135" s="150" t="s">
        <v>573</v>
      </c>
      <c r="BH135" s="1">
        <f t="shared" si="23"/>
        <v>0</v>
      </c>
      <c r="BI135" s="150" t="s">
        <v>573</v>
      </c>
      <c r="BJ135" s="1">
        <f t="shared" si="21"/>
        <v>0</v>
      </c>
      <c r="BK135" s="156">
        <v>2880</v>
      </c>
      <c r="BL135" s="1">
        <f t="shared" si="22"/>
        <v>201.60000000000002</v>
      </c>
      <c r="BM135" s="141" t="s">
        <v>633</v>
      </c>
      <c r="BN135" s="136" t="s">
        <v>17</v>
      </c>
      <c r="BO135" s="139" t="s">
        <v>754</v>
      </c>
      <c r="BP135" s="137">
        <v>45961</v>
      </c>
    </row>
    <row r="136" spans="1:68" ht="15.75" customHeight="1">
      <c r="A136" s="109" t="s">
        <v>751</v>
      </c>
      <c r="B136" s="122" t="s">
        <v>184</v>
      </c>
      <c r="C136" s="301"/>
      <c r="D136" s="304"/>
      <c r="E136" s="304"/>
      <c r="F136" s="297"/>
      <c r="G136" s="78">
        <v>2021</v>
      </c>
      <c r="H136" s="105" t="str">
        <f>_xlfn.XLOOKUP(BM136,'[5]Package breakdown0503'!$F:$F,'[5]Package breakdown0503'!$B:$B)</f>
        <v>KentingPlus</v>
      </c>
      <c r="I136" s="76" t="s">
        <v>196</v>
      </c>
      <c r="J136" s="102" t="s">
        <v>197</v>
      </c>
      <c r="K136" s="105" t="s">
        <v>221</v>
      </c>
      <c r="L136" s="105" t="s">
        <v>192</v>
      </c>
      <c r="M136" s="13" t="s">
        <v>193</v>
      </c>
      <c r="N136" s="13">
        <v>4.29</v>
      </c>
      <c r="O136" s="13">
        <v>4.43</v>
      </c>
      <c r="P136" s="13">
        <v>4.43</v>
      </c>
      <c r="Q136" s="13">
        <v>4.43</v>
      </c>
      <c r="R136" s="13">
        <v>4.43</v>
      </c>
      <c r="S136" s="13">
        <v>4.43</v>
      </c>
      <c r="T136" s="13">
        <v>4.43</v>
      </c>
      <c r="U136" s="13">
        <v>4.43</v>
      </c>
      <c r="V136" s="13">
        <v>4.43</v>
      </c>
      <c r="W136" s="13">
        <v>4.43</v>
      </c>
      <c r="X136" s="13">
        <v>4.43</v>
      </c>
      <c r="Y136" s="13">
        <v>4.43</v>
      </c>
      <c r="Z136" s="13">
        <v>4.43</v>
      </c>
      <c r="AA136" s="13">
        <v>4.43</v>
      </c>
      <c r="AB136" s="40">
        <v>0</v>
      </c>
      <c r="AC136" s="40">
        <v>0</v>
      </c>
      <c r="AD136" s="40">
        <v>0</v>
      </c>
      <c r="AE136" s="40">
        <v>0</v>
      </c>
      <c r="AF136" s="40">
        <v>0</v>
      </c>
      <c r="AG136" s="40">
        <v>0</v>
      </c>
      <c r="AH136" s="40">
        <v>0</v>
      </c>
      <c r="AI136" s="40">
        <v>0</v>
      </c>
      <c r="AJ136" s="40">
        <v>0</v>
      </c>
      <c r="AK136" s="40">
        <v>0</v>
      </c>
      <c r="AL136" s="40">
        <v>0</v>
      </c>
      <c r="AM136" s="40">
        <v>0</v>
      </c>
      <c r="AN136" s="40">
        <v>0</v>
      </c>
      <c r="AO136" s="116">
        <v>0</v>
      </c>
      <c r="AP136" s="6">
        <f t="shared" si="0"/>
        <v>0</v>
      </c>
      <c r="AQ136" s="115">
        <v>0</v>
      </c>
      <c r="AR136" s="6">
        <f t="shared" si="1"/>
        <v>0</v>
      </c>
      <c r="AS136" s="115" t="s">
        <v>573</v>
      </c>
      <c r="AT136" s="6">
        <f t="shared" si="19"/>
        <v>0</v>
      </c>
      <c r="AU136" s="115">
        <v>0</v>
      </c>
      <c r="AV136" s="1">
        <f t="shared" si="7"/>
        <v>0</v>
      </c>
      <c r="AW136" s="115">
        <v>0</v>
      </c>
      <c r="AX136" s="1">
        <f t="shared" si="24"/>
        <v>0</v>
      </c>
      <c r="AY136" s="5" t="s">
        <v>573</v>
      </c>
      <c r="AZ136" s="1">
        <f t="shared" si="9"/>
        <v>0</v>
      </c>
      <c r="BA136" s="5" t="s">
        <v>573</v>
      </c>
      <c r="BB136" s="1">
        <f t="shared" si="10"/>
        <v>0</v>
      </c>
      <c r="BC136" s="5" t="s">
        <v>573</v>
      </c>
      <c r="BD136" s="1">
        <f t="shared" si="3"/>
        <v>0</v>
      </c>
      <c r="BE136" s="150" t="s">
        <v>573</v>
      </c>
      <c r="BF136" s="1">
        <f t="shared" si="20"/>
        <v>0</v>
      </c>
      <c r="BG136" s="150" t="s">
        <v>573</v>
      </c>
      <c r="BH136" s="1">
        <f t="shared" si="23"/>
        <v>0</v>
      </c>
      <c r="BI136" s="150" t="s">
        <v>573</v>
      </c>
      <c r="BJ136" s="1">
        <f t="shared" si="21"/>
        <v>0</v>
      </c>
      <c r="BK136" s="156" t="s">
        <v>573</v>
      </c>
      <c r="BL136" s="1">
        <f t="shared" si="22"/>
        <v>0</v>
      </c>
      <c r="BM136" s="141" t="s">
        <v>570</v>
      </c>
      <c r="BN136" s="136" t="s">
        <v>495</v>
      </c>
      <c r="BO136" s="139" t="s">
        <v>754</v>
      </c>
      <c r="BP136" s="137">
        <v>45838</v>
      </c>
    </row>
    <row r="137" spans="1:68" ht="15.75" customHeight="1">
      <c r="A137" s="109" t="s">
        <v>751</v>
      </c>
      <c r="B137" s="122" t="s">
        <v>184</v>
      </c>
      <c r="C137" s="301"/>
      <c r="D137" s="304"/>
      <c r="E137" s="304"/>
      <c r="F137" s="297"/>
      <c r="G137" s="78">
        <v>2021</v>
      </c>
      <c r="H137" s="105" t="s">
        <v>740</v>
      </c>
      <c r="I137" s="76" t="s">
        <v>196</v>
      </c>
      <c r="J137" s="102" t="s">
        <v>197</v>
      </c>
      <c r="K137" s="105" t="s">
        <v>221</v>
      </c>
      <c r="L137" s="105" t="s">
        <v>192</v>
      </c>
      <c r="M137" s="13" t="s">
        <v>193</v>
      </c>
      <c r="N137" s="13">
        <v>4.49</v>
      </c>
      <c r="O137" s="13">
        <v>4.49</v>
      </c>
      <c r="P137" s="13">
        <v>4.49</v>
      </c>
      <c r="Q137" s="13">
        <v>4.49</v>
      </c>
      <c r="R137" s="13">
        <v>4.49</v>
      </c>
      <c r="S137" s="13">
        <v>4.49</v>
      </c>
      <c r="T137" s="13">
        <v>4.49</v>
      </c>
      <c r="U137" s="13">
        <v>4.49</v>
      </c>
      <c r="V137" s="13">
        <v>4.49</v>
      </c>
      <c r="W137" s="13">
        <v>4.49</v>
      </c>
      <c r="X137" s="13">
        <v>4.49</v>
      </c>
      <c r="Y137" s="13">
        <v>4.49</v>
      </c>
      <c r="Z137" s="13">
        <v>4.49</v>
      </c>
      <c r="AA137" s="13">
        <v>4.49</v>
      </c>
      <c r="AB137" s="40">
        <v>0</v>
      </c>
      <c r="AC137" s="40">
        <v>0</v>
      </c>
      <c r="AD137" s="40">
        <v>0</v>
      </c>
      <c r="AE137" s="40">
        <v>0</v>
      </c>
      <c r="AF137" s="40">
        <v>0</v>
      </c>
      <c r="AG137" s="40">
        <v>0</v>
      </c>
      <c r="AH137" s="40">
        <v>0</v>
      </c>
      <c r="AI137" s="40">
        <v>0</v>
      </c>
      <c r="AJ137" s="40">
        <v>0</v>
      </c>
      <c r="AK137" s="40">
        <v>0</v>
      </c>
      <c r="AL137" s="40">
        <v>0</v>
      </c>
      <c r="AM137" s="40">
        <v>0</v>
      </c>
      <c r="AN137" s="40">
        <v>0</v>
      </c>
      <c r="AO137" s="116">
        <v>8640</v>
      </c>
      <c r="AP137" s="6">
        <f t="shared" si="0"/>
        <v>0</v>
      </c>
      <c r="AQ137" s="115">
        <v>8640</v>
      </c>
      <c r="AR137" s="6">
        <f t="shared" si="1"/>
        <v>0</v>
      </c>
      <c r="AS137" s="115">
        <v>11520</v>
      </c>
      <c r="AT137" s="6">
        <f t="shared" si="19"/>
        <v>0</v>
      </c>
      <c r="AU137" s="115">
        <v>0</v>
      </c>
      <c r="AV137" s="1">
        <f t="shared" si="7"/>
        <v>0</v>
      </c>
      <c r="AW137" s="115">
        <v>8640</v>
      </c>
      <c r="AX137" s="1">
        <f t="shared" si="24"/>
        <v>0</v>
      </c>
      <c r="AY137" s="5">
        <v>2880</v>
      </c>
      <c r="AZ137" s="1">
        <f t="shared" si="9"/>
        <v>0</v>
      </c>
      <c r="BA137" s="5">
        <v>8640</v>
      </c>
      <c r="BB137" s="1">
        <f t="shared" si="10"/>
        <v>0</v>
      </c>
      <c r="BC137" s="5" t="s">
        <v>573</v>
      </c>
      <c r="BD137" s="1">
        <f t="shared" si="3"/>
        <v>0</v>
      </c>
      <c r="BE137" s="150" t="s">
        <v>573</v>
      </c>
      <c r="BF137" s="1">
        <f t="shared" si="20"/>
        <v>0</v>
      </c>
      <c r="BG137" s="150" t="s">
        <v>573</v>
      </c>
      <c r="BH137" s="1">
        <f t="shared" si="23"/>
        <v>0</v>
      </c>
      <c r="BI137" s="150" t="s">
        <v>573</v>
      </c>
      <c r="BJ137" s="1">
        <f t="shared" si="21"/>
        <v>0</v>
      </c>
      <c r="BK137" s="156" t="s">
        <v>573</v>
      </c>
      <c r="BL137" s="1">
        <f t="shared" si="22"/>
        <v>0</v>
      </c>
      <c r="BM137" s="141" t="s">
        <v>571</v>
      </c>
      <c r="BN137" s="136" t="s">
        <v>17</v>
      </c>
      <c r="BO137" s="139" t="s">
        <v>754</v>
      </c>
      <c r="BP137" s="137">
        <v>45838</v>
      </c>
    </row>
    <row r="138" spans="1:68" ht="15.75" customHeight="1">
      <c r="A138" s="109" t="s">
        <v>751</v>
      </c>
      <c r="B138" s="122" t="s">
        <v>184</v>
      </c>
      <c r="C138" s="301"/>
      <c r="D138" s="304"/>
      <c r="E138" s="304"/>
      <c r="F138" s="297"/>
      <c r="G138" s="78">
        <v>2021</v>
      </c>
      <c r="H138" s="105" t="s">
        <v>740</v>
      </c>
      <c r="I138" s="76" t="s">
        <v>196</v>
      </c>
      <c r="J138" s="102" t="s">
        <v>197</v>
      </c>
      <c r="K138" s="105" t="s">
        <v>221</v>
      </c>
      <c r="L138" s="105" t="s">
        <v>192</v>
      </c>
      <c r="M138" s="13" t="s">
        <v>193</v>
      </c>
      <c r="N138" s="13">
        <v>4.3899999999999997</v>
      </c>
      <c r="O138" s="13">
        <v>4.51</v>
      </c>
      <c r="P138" s="13">
        <v>4.51</v>
      </c>
      <c r="Q138" s="13">
        <v>4.51</v>
      </c>
      <c r="R138" s="13">
        <v>4.51</v>
      </c>
      <c r="S138" s="13">
        <v>4.51</v>
      </c>
      <c r="T138" s="13">
        <v>4.51</v>
      </c>
      <c r="U138" s="13">
        <v>4.51</v>
      </c>
      <c r="V138" s="13">
        <v>4.51</v>
      </c>
      <c r="W138" s="13">
        <v>4.51</v>
      </c>
      <c r="X138" s="13">
        <v>4.51</v>
      </c>
      <c r="Y138" s="13">
        <v>4.51</v>
      </c>
      <c r="Z138" s="13">
        <v>4.51</v>
      </c>
      <c r="AA138" s="13">
        <v>4.51</v>
      </c>
      <c r="AB138" s="40">
        <v>0</v>
      </c>
      <c r="AC138" s="40">
        <v>0</v>
      </c>
      <c r="AD138" s="40">
        <v>0</v>
      </c>
      <c r="AE138" s="40">
        <v>0</v>
      </c>
      <c r="AF138" s="40">
        <v>0</v>
      </c>
      <c r="AG138" s="40">
        <v>0</v>
      </c>
      <c r="AH138" s="40">
        <v>0</v>
      </c>
      <c r="AI138" s="40">
        <v>0</v>
      </c>
      <c r="AJ138" s="40">
        <v>0</v>
      </c>
      <c r="AK138" s="40">
        <v>0</v>
      </c>
      <c r="AL138" s="40">
        <v>0</v>
      </c>
      <c r="AM138" s="40">
        <v>0</v>
      </c>
      <c r="AN138" s="40">
        <v>0</v>
      </c>
      <c r="AO138" s="116">
        <v>0</v>
      </c>
      <c r="AP138" s="6">
        <f t="shared" si="0"/>
        <v>0</v>
      </c>
      <c r="AQ138" s="115">
        <v>0</v>
      </c>
      <c r="AR138" s="6">
        <f t="shared" si="1"/>
        <v>0</v>
      </c>
      <c r="AS138" s="115">
        <v>2880</v>
      </c>
      <c r="AT138" s="6">
        <f t="shared" si="19"/>
        <v>0</v>
      </c>
      <c r="AU138" s="115">
        <v>0</v>
      </c>
      <c r="AV138" s="1">
        <f t="shared" si="7"/>
        <v>0</v>
      </c>
      <c r="AW138" s="115">
        <v>5760</v>
      </c>
      <c r="AX138" s="1">
        <f t="shared" si="24"/>
        <v>0</v>
      </c>
      <c r="AY138" s="5">
        <v>8640</v>
      </c>
      <c r="AZ138" s="1">
        <f t="shared" si="9"/>
        <v>0</v>
      </c>
      <c r="BA138" s="5" t="s">
        <v>573</v>
      </c>
      <c r="BB138" s="1">
        <f t="shared" si="10"/>
        <v>0</v>
      </c>
      <c r="BC138" s="5" t="s">
        <v>573</v>
      </c>
      <c r="BD138" s="1">
        <f t="shared" si="3"/>
        <v>0</v>
      </c>
      <c r="BE138" s="150" t="s">
        <v>573</v>
      </c>
      <c r="BF138" s="1">
        <f t="shared" si="20"/>
        <v>0</v>
      </c>
      <c r="BG138" s="150" t="s">
        <v>573</v>
      </c>
      <c r="BH138" s="1">
        <f t="shared" si="23"/>
        <v>0</v>
      </c>
      <c r="BI138" s="150" t="s">
        <v>573</v>
      </c>
      <c r="BJ138" s="1">
        <f t="shared" si="21"/>
        <v>0</v>
      </c>
      <c r="BK138" s="156" t="s">
        <v>573</v>
      </c>
      <c r="BL138" s="1">
        <f t="shared" si="22"/>
        <v>0</v>
      </c>
      <c r="BM138" s="141" t="s">
        <v>568</v>
      </c>
      <c r="BN138" s="136" t="s">
        <v>17</v>
      </c>
      <c r="BO138" s="139" t="s">
        <v>1310</v>
      </c>
      <c r="BP138" s="137">
        <v>45838</v>
      </c>
    </row>
    <row r="139" spans="1:68" ht="15.75" customHeight="1">
      <c r="A139" s="109" t="s">
        <v>751</v>
      </c>
      <c r="B139" s="122" t="s">
        <v>184</v>
      </c>
      <c r="C139" s="301"/>
      <c r="D139" s="304"/>
      <c r="E139" s="304"/>
      <c r="F139" s="297"/>
      <c r="G139" s="78">
        <v>2021</v>
      </c>
      <c r="H139" s="105" t="str">
        <f>_xlfn.XLOOKUP(BM139,'[5]Package breakdown0503'!$F:$F,'[5]Package breakdown0503'!$B:$B)</f>
        <v>KentingPlus</v>
      </c>
      <c r="I139" s="76" t="s">
        <v>196</v>
      </c>
      <c r="J139" s="102" t="s">
        <v>197</v>
      </c>
      <c r="K139" s="105" t="s">
        <v>221</v>
      </c>
      <c r="L139" s="105" t="s">
        <v>192</v>
      </c>
      <c r="M139" s="13" t="s">
        <v>193</v>
      </c>
      <c r="N139" s="13">
        <v>4.3899999999999997</v>
      </c>
      <c r="O139" s="13">
        <v>4.3899999999999997</v>
      </c>
      <c r="P139" s="13">
        <v>4.3899999999999997</v>
      </c>
      <c r="Q139" s="13">
        <v>4.3899999999999997</v>
      </c>
      <c r="R139" s="13">
        <v>4.3899999999999997</v>
      </c>
      <c r="S139" s="13">
        <v>4.3899999999999997</v>
      </c>
      <c r="T139" s="13">
        <v>4.3899999999999997</v>
      </c>
      <c r="U139" s="13">
        <v>4.3899999999999997</v>
      </c>
      <c r="V139" s="13">
        <v>4.3899999999999997</v>
      </c>
      <c r="W139" s="13">
        <v>4.3899999999999997</v>
      </c>
      <c r="X139" s="13">
        <v>4.3899999999999997</v>
      </c>
      <c r="Y139" s="13">
        <v>4.3899999999999997</v>
      </c>
      <c r="Z139" s="13">
        <v>4.3899999999999997</v>
      </c>
      <c r="AA139" s="13">
        <v>4.3899999999999997</v>
      </c>
      <c r="AB139" s="40">
        <v>0</v>
      </c>
      <c r="AC139" s="40">
        <v>0</v>
      </c>
      <c r="AD139" s="40">
        <v>0</v>
      </c>
      <c r="AE139" s="40">
        <v>0</v>
      </c>
      <c r="AF139" s="40">
        <v>0</v>
      </c>
      <c r="AG139" s="40">
        <v>0</v>
      </c>
      <c r="AH139" s="40">
        <v>0</v>
      </c>
      <c r="AI139" s="40">
        <v>0</v>
      </c>
      <c r="AJ139" s="40">
        <v>0</v>
      </c>
      <c r="AK139" s="40">
        <v>0</v>
      </c>
      <c r="AL139" s="40">
        <v>0</v>
      </c>
      <c r="AM139" s="40">
        <v>0</v>
      </c>
      <c r="AN139" s="40">
        <v>0</v>
      </c>
      <c r="AO139" s="116">
        <v>0</v>
      </c>
      <c r="AP139" s="6">
        <f t="shared" si="0"/>
        <v>0</v>
      </c>
      <c r="AQ139" s="116">
        <v>0</v>
      </c>
      <c r="AR139" s="6">
        <f t="shared" si="1"/>
        <v>0</v>
      </c>
      <c r="AS139" s="115" t="s">
        <v>573</v>
      </c>
      <c r="AT139" s="6">
        <f t="shared" si="19"/>
        <v>0</v>
      </c>
      <c r="AU139" s="115">
        <v>0</v>
      </c>
      <c r="AV139" s="1">
        <f t="shared" si="7"/>
        <v>0</v>
      </c>
      <c r="AW139" s="115">
        <v>0</v>
      </c>
      <c r="AX139" s="1">
        <f t="shared" si="24"/>
        <v>0</v>
      </c>
      <c r="AY139" s="5" t="s">
        <v>573</v>
      </c>
      <c r="AZ139" s="1">
        <f t="shared" si="9"/>
        <v>0</v>
      </c>
      <c r="BA139" s="5" t="s">
        <v>573</v>
      </c>
      <c r="BB139" s="1">
        <f t="shared" si="10"/>
        <v>0</v>
      </c>
      <c r="BC139" s="5" t="s">
        <v>573</v>
      </c>
      <c r="BD139" s="1">
        <f t="shared" si="3"/>
        <v>0</v>
      </c>
      <c r="BE139" s="150" t="s">
        <v>573</v>
      </c>
      <c r="BF139" s="1">
        <f t="shared" si="20"/>
        <v>0</v>
      </c>
      <c r="BG139" s="150" t="s">
        <v>573</v>
      </c>
      <c r="BH139" s="1">
        <f t="shared" si="23"/>
        <v>0</v>
      </c>
      <c r="BI139" s="150" t="s">
        <v>573</v>
      </c>
      <c r="BJ139" s="1">
        <f t="shared" si="21"/>
        <v>0</v>
      </c>
      <c r="BK139" s="156" t="s">
        <v>573</v>
      </c>
      <c r="BL139" s="1">
        <f t="shared" si="22"/>
        <v>0</v>
      </c>
      <c r="BM139" s="142" t="s">
        <v>1327</v>
      </c>
      <c r="BN139" s="136" t="s">
        <v>497</v>
      </c>
      <c r="BO139" s="139" t="s">
        <v>1326</v>
      </c>
      <c r="BP139" s="137">
        <v>45838</v>
      </c>
    </row>
    <row r="140" spans="1:68" ht="15.75" customHeight="1">
      <c r="A140" s="109" t="s">
        <v>751</v>
      </c>
      <c r="B140" s="122" t="s">
        <v>184</v>
      </c>
      <c r="C140" s="301"/>
      <c r="D140" s="304"/>
      <c r="E140" s="304"/>
      <c r="F140" s="297"/>
      <c r="G140" s="78">
        <v>2021</v>
      </c>
      <c r="H140" s="105" t="s">
        <v>740</v>
      </c>
      <c r="I140" s="76" t="s">
        <v>196</v>
      </c>
      <c r="J140" s="102" t="s">
        <v>197</v>
      </c>
      <c r="K140" s="105" t="s">
        <v>221</v>
      </c>
      <c r="L140" s="105" t="s">
        <v>192</v>
      </c>
      <c r="M140" s="13" t="s">
        <v>193</v>
      </c>
      <c r="N140" s="13"/>
      <c r="O140" s="13"/>
      <c r="P140" s="13">
        <v>4.43</v>
      </c>
      <c r="Q140" s="13">
        <v>4.43</v>
      </c>
      <c r="R140" s="13">
        <v>4.43</v>
      </c>
      <c r="S140" s="13">
        <v>4.43</v>
      </c>
      <c r="T140" s="13">
        <v>4.43</v>
      </c>
      <c r="U140" s="13">
        <v>4.43</v>
      </c>
      <c r="V140" s="13">
        <v>4.43</v>
      </c>
      <c r="W140" s="13">
        <v>4.43</v>
      </c>
      <c r="X140" s="13">
        <v>4.43</v>
      </c>
      <c r="Y140" s="13">
        <v>4.43</v>
      </c>
      <c r="Z140" s="13">
        <v>4.43</v>
      </c>
      <c r="AA140" s="13">
        <v>4.43</v>
      </c>
      <c r="AB140" s="40">
        <v>0</v>
      </c>
      <c r="AC140" s="40">
        <v>0</v>
      </c>
      <c r="AD140" s="40">
        <v>0</v>
      </c>
      <c r="AE140" s="40">
        <v>0</v>
      </c>
      <c r="AF140" s="40">
        <v>0</v>
      </c>
      <c r="AG140" s="40">
        <v>0</v>
      </c>
      <c r="AH140" s="40">
        <v>0</v>
      </c>
      <c r="AI140" s="40">
        <v>0</v>
      </c>
      <c r="AJ140" s="40">
        <v>0</v>
      </c>
      <c r="AK140" s="40">
        <v>0</v>
      </c>
      <c r="AL140" s="40">
        <v>0</v>
      </c>
      <c r="AM140" s="40">
        <v>0</v>
      </c>
      <c r="AN140" s="40">
        <v>0</v>
      </c>
      <c r="AO140" s="116">
        <v>0</v>
      </c>
      <c r="AP140" s="6">
        <f t="shared" si="0"/>
        <v>0</v>
      </c>
      <c r="AQ140" s="116">
        <v>0</v>
      </c>
      <c r="AR140" s="6">
        <f t="shared" si="1"/>
        <v>0</v>
      </c>
      <c r="AS140" s="115" t="s">
        <v>573</v>
      </c>
      <c r="AT140" s="6">
        <f t="shared" si="19"/>
        <v>0</v>
      </c>
      <c r="AU140" s="115">
        <v>0</v>
      </c>
      <c r="AV140" s="1">
        <f t="shared" si="7"/>
        <v>0</v>
      </c>
      <c r="AW140" s="115">
        <v>0</v>
      </c>
      <c r="AX140" s="1">
        <f t="shared" si="24"/>
        <v>0</v>
      </c>
      <c r="AY140" s="5" t="s">
        <v>573</v>
      </c>
      <c r="AZ140" s="1">
        <f t="shared" si="9"/>
        <v>0</v>
      </c>
      <c r="BA140" s="5" t="s">
        <v>573</v>
      </c>
      <c r="BB140" s="1">
        <f t="shared" si="10"/>
        <v>0</v>
      </c>
      <c r="BC140" s="5">
        <v>8080</v>
      </c>
      <c r="BD140" s="1">
        <f t="shared" si="3"/>
        <v>0</v>
      </c>
      <c r="BE140" s="150">
        <v>5760</v>
      </c>
      <c r="BF140" s="1">
        <f t="shared" si="20"/>
        <v>0</v>
      </c>
      <c r="BG140" s="150">
        <v>2880</v>
      </c>
      <c r="BH140" s="1">
        <f t="shared" si="23"/>
        <v>0</v>
      </c>
      <c r="BI140" s="150">
        <v>8640</v>
      </c>
      <c r="BJ140" s="1">
        <f t="shared" si="21"/>
        <v>0</v>
      </c>
      <c r="BK140" s="156">
        <v>8640</v>
      </c>
      <c r="BL140" s="1">
        <f t="shared" si="22"/>
        <v>0</v>
      </c>
      <c r="BM140" s="142" t="s">
        <v>575</v>
      </c>
      <c r="BN140" s="136" t="s">
        <v>494</v>
      </c>
      <c r="BO140" s="139" t="s">
        <v>763</v>
      </c>
      <c r="BP140" s="137"/>
    </row>
    <row r="141" spans="1:68" ht="15.75" customHeight="1">
      <c r="A141" s="109" t="s">
        <v>751</v>
      </c>
      <c r="B141" s="122" t="s">
        <v>184</v>
      </c>
      <c r="C141" s="301"/>
      <c r="D141" s="304"/>
      <c r="E141" s="304"/>
      <c r="F141" s="297"/>
      <c r="G141" s="78">
        <v>2021</v>
      </c>
      <c r="H141" s="105" t="s">
        <v>740</v>
      </c>
      <c r="I141" s="76" t="s">
        <v>196</v>
      </c>
      <c r="J141" s="102" t="s">
        <v>197</v>
      </c>
      <c r="K141" s="105" t="s">
        <v>221</v>
      </c>
      <c r="L141" s="105" t="s">
        <v>192</v>
      </c>
      <c r="M141" s="13" t="s">
        <v>193</v>
      </c>
      <c r="N141" s="13">
        <v>4.3899999999999997</v>
      </c>
      <c r="O141" s="13">
        <v>4.3899999999999997</v>
      </c>
      <c r="P141" s="13">
        <v>4.3899999999999997</v>
      </c>
      <c r="Q141" s="13">
        <v>4.3899999999999997</v>
      </c>
      <c r="R141" s="13">
        <v>4.3899999999999997</v>
      </c>
      <c r="S141" s="13">
        <v>4.3899999999999997</v>
      </c>
      <c r="T141" s="13">
        <v>4.3899999999999997</v>
      </c>
      <c r="U141" s="13">
        <v>4.3899999999999997</v>
      </c>
      <c r="V141" s="13">
        <v>4.3899999999999997</v>
      </c>
      <c r="W141" s="13">
        <v>4.3899999999999997</v>
      </c>
      <c r="X141" s="13">
        <v>4.3899999999999997</v>
      </c>
      <c r="Y141" s="13">
        <v>4.3899999999999997</v>
      </c>
      <c r="Z141" s="13">
        <v>4.51</v>
      </c>
      <c r="AA141" s="13">
        <v>4.51</v>
      </c>
      <c r="AB141" s="40">
        <v>0</v>
      </c>
      <c r="AC141" s="40">
        <v>0</v>
      </c>
      <c r="AD141" s="40">
        <v>0</v>
      </c>
      <c r="AE141" s="40">
        <v>0</v>
      </c>
      <c r="AF141" s="40">
        <v>0</v>
      </c>
      <c r="AG141" s="40">
        <v>0</v>
      </c>
      <c r="AH141" s="40">
        <v>0</v>
      </c>
      <c r="AI141" s="40">
        <v>0</v>
      </c>
      <c r="AJ141" s="40">
        <v>0</v>
      </c>
      <c r="AK141" s="40">
        <v>0</v>
      </c>
      <c r="AL141" s="40">
        <v>0</v>
      </c>
      <c r="AM141" s="40">
        <v>0</v>
      </c>
      <c r="AN141" s="40">
        <v>0</v>
      </c>
      <c r="AO141" s="116">
        <v>0</v>
      </c>
      <c r="AP141" s="6">
        <f t="shared" si="0"/>
        <v>0</v>
      </c>
      <c r="AQ141" s="116">
        <v>0</v>
      </c>
      <c r="AR141" s="6">
        <f t="shared" si="1"/>
        <v>0</v>
      </c>
      <c r="AS141" s="115" t="s">
        <v>573</v>
      </c>
      <c r="AT141" s="6">
        <f t="shared" si="19"/>
        <v>0</v>
      </c>
      <c r="AU141" s="115">
        <v>0</v>
      </c>
      <c r="AV141" s="1">
        <f t="shared" si="7"/>
        <v>0</v>
      </c>
      <c r="AW141" s="115">
        <v>0</v>
      </c>
      <c r="AX141" s="1">
        <f t="shared" si="24"/>
        <v>0</v>
      </c>
      <c r="AY141" s="5" t="s">
        <v>573</v>
      </c>
      <c r="AZ141" s="1">
        <f t="shared" si="9"/>
        <v>0</v>
      </c>
      <c r="BA141" s="5" t="s">
        <v>573</v>
      </c>
      <c r="BB141" s="1">
        <f t="shared" si="10"/>
        <v>0</v>
      </c>
      <c r="BC141" s="5">
        <v>2880</v>
      </c>
      <c r="BD141" s="1">
        <f t="shared" si="3"/>
        <v>0</v>
      </c>
      <c r="BE141" s="150">
        <v>2880</v>
      </c>
      <c r="BF141" s="1">
        <f t="shared" si="20"/>
        <v>0</v>
      </c>
      <c r="BG141" s="150">
        <v>2880</v>
      </c>
      <c r="BH141" s="1">
        <f t="shared" si="23"/>
        <v>0</v>
      </c>
      <c r="BI141" s="150">
        <v>2880</v>
      </c>
      <c r="BJ141" s="1">
        <f t="shared" si="21"/>
        <v>0</v>
      </c>
      <c r="BK141" s="156">
        <v>2880</v>
      </c>
      <c r="BL141" s="1">
        <f t="shared" si="22"/>
        <v>0</v>
      </c>
      <c r="BM141" s="142" t="s">
        <v>574</v>
      </c>
      <c r="BN141" s="136" t="s">
        <v>17</v>
      </c>
      <c r="BO141" s="139" t="s">
        <v>1310</v>
      </c>
      <c r="BP141" s="137">
        <v>45961</v>
      </c>
    </row>
    <row r="142" spans="1:68" ht="15.75" customHeight="1">
      <c r="A142" s="109" t="s">
        <v>751</v>
      </c>
      <c r="B142" s="122" t="s">
        <v>184</v>
      </c>
      <c r="C142" s="301"/>
      <c r="D142" s="304"/>
      <c r="E142" s="304"/>
      <c r="F142" s="297"/>
      <c r="G142" s="78">
        <v>2021</v>
      </c>
      <c r="H142" s="105" t="s">
        <v>740</v>
      </c>
      <c r="I142" s="76" t="s">
        <v>196</v>
      </c>
      <c r="J142" s="102" t="s">
        <v>197</v>
      </c>
      <c r="K142" s="105" t="s">
        <v>221</v>
      </c>
      <c r="L142" s="105" t="s">
        <v>192</v>
      </c>
      <c r="M142" s="13" t="s">
        <v>193</v>
      </c>
      <c r="N142" s="13"/>
      <c r="O142" s="13"/>
      <c r="P142" s="13">
        <v>4.3899999999999997</v>
      </c>
      <c r="Q142" s="13">
        <v>4.3899999999999997</v>
      </c>
      <c r="R142" s="13">
        <v>4.3899999999999997</v>
      </c>
      <c r="S142" s="13">
        <v>4.3899999999999997</v>
      </c>
      <c r="T142" s="13">
        <v>4.3899999999999997</v>
      </c>
      <c r="U142" s="13">
        <v>4.3899999999999997</v>
      </c>
      <c r="V142" s="13">
        <v>4.3899999999999997</v>
      </c>
      <c r="W142" s="13">
        <v>4.3899999999999997</v>
      </c>
      <c r="X142" s="13">
        <v>4.3899999999999997</v>
      </c>
      <c r="Y142" s="13">
        <v>4.3899999999999997</v>
      </c>
      <c r="Z142" s="13">
        <v>4.3899999999999997</v>
      </c>
      <c r="AA142" s="13">
        <v>4.3899999999999997</v>
      </c>
      <c r="AB142" s="40">
        <v>0</v>
      </c>
      <c r="AC142" s="40">
        <v>0</v>
      </c>
      <c r="AD142" s="40">
        <v>0</v>
      </c>
      <c r="AE142" s="40">
        <v>0</v>
      </c>
      <c r="AF142" s="40">
        <v>0</v>
      </c>
      <c r="AG142" s="40">
        <v>0</v>
      </c>
      <c r="AH142" s="40">
        <v>0</v>
      </c>
      <c r="AI142" s="40">
        <v>0</v>
      </c>
      <c r="AJ142" s="40">
        <v>0</v>
      </c>
      <c r="AK142" s="40">
        <v>0</v>
      </c>
      <c r="AL142" s="40">
        <v>0</v>
      </c>
      <c r="AM142" s="40">
        <v>0</v>
      </c>
      <c r="AN142" s="40">
        <v>0</v>
      </c>
      <c r="AO142" s="116">
        <v>0</v>
      </c>
      <c r="AP142" s="6">
        <f t="shared" si="0"/>
        <v>0</v>
      </c>
      <c r="AQ142" s="116">
        <v>0</v>
      </c>
      <c r="AR142" s="6">
        <f t="shared" si="1"/>
        <v>0</v>
      </c>
      <c r="AS142" s="115" t="s">
        <v>573</v>
      </c>
      <c r="AT142" s="6">
        <f t="shared" si="19"/>
        <v>0</v>
      </c>
      <c r="AU142" s="115">
        <v>0</v>
      </c>
      <c r="AV142" s="1">
        <f t="shared" si="7"/>
        <v>0</v>
      </c>
      <c r="AW142" s="115">
        <v>0</v>
      </c>
      <c r="AX142" s="1">
        <f t="shared" si="24"/>
        <v>0</v>
      </c>
      <c r="AY142" s="5" t="s">
        <v>573</v>
      </c>
      <c r="AZ142" s="1">
        <f t="shared" si="9"/>
        <v>0</v>
      </c>
      <c r="BA142" s="5" t="s">
        <v>573</v>
      </c>
      <c r="BB142" s="1">
        <f t="shared" si="10"/>
        <v>0</v>
      </c>
      <c r="BC142" s="5" t="s">
        <v>573</v>
      </c>
      <c r="BD142" s="1">
        <f t="shared" si="3"/>
        <v>0</v>
      </c>
      <c r="BE142" s="150">
        <v>0</v>
      </c>
      <c r="BF142" s="1">
        <f t="shared" si="20"/>
        <v>0</v>
      </c>
      <c r="BG142" s="150">
        <v>2880</v>
      </c>
      <c r="BH142" s="1">
        <f t="shared" si="23"/>
        <v>0</v>
      </c>
      <c r="BI142" s="150" t="s">
        <v>573</v>
      </c>
      <c r="BJ142" s="1">
        <f t="shared" si="21"/>
        <v>0</v>
      </c>
      <c r="BK142" s="156" t="s">
        <v>573</v>
      </c>
      <c r="BL142" s="1">
        <f t="shared" si="22"/>
        <v>0</v>
      </c>
      <c r="BM142" s="142" t="s">
        <v>572</v>
      </c>
      <c r="BN142" s="136" t="s">
        <v>497</v>
      </c>
      <c r="BO142" s="139" t="s">
        <v>197</v>
      </c>
      <c r="BP142" s="137"/>
    </row>
    <row r="143" spans="1:68" ht="15.75" customHeight="1">
      <c r="A143" s="109" t="s">
        <v>751</v>
      </c>
      <c r="B143" s="122" t="s">
        <v>184</v>
      </c>
      <c r="C143" s="301"/>
      <c r="D143" s="304"/>
      <c r="E143" s="304"/>
      <c r="F143" s="297"/>
      <c r="G143" s="78">
        <v>2021</v>
      </c>
      <c r="H143" s="105" t="s">
        <v>740</v>
      </c>
      <c r="I143" s="76" t="s">
        <v>196</v>
      </c>
      <c r="J143" s="102" t="s">
        <v>197</v>
      </c>
      <c r="K143" s="105" t="s">
        <v>221</v>
      </c>
      <c r="L143" s="105" t="s">
        <v>192</v>
      </c>
      <c r="M143" s="13" t="s">
        <v>193</v>
      </c>
      <c r="N143" s="13"/>
      <c r="O143" s="13"/>
      <c r="P143" s="13">
        <v>4.49</v>
      </c>
      <c r="Q143" s="13">
        <v>4.49</v>
      </c>
      <c r="R143" s="13">
        <v>4.49</v>
      </c>
      <c r="S143" s="13">
        <v>4.49</v>
      </c>
      <c r="T143" s="13">
        <v>4.49</v>
      </c>
      <c r="U143" s="13">
        <v>4.49</v>
      </c>
      <c r="V143" s="13">
        <v>4.49</v>
      </c>
      <c r="W143" s="13">
        <v>4.49</v>
      </c>
      <c r="X143" s="13">
        <v>4.49</v>
      </c>
      <c r="Y143" s="13">
        <v>4.49</v>
      </c>
      <c r="Z143" s="13">
        <v>4.49</v>
      </c>
      <c r="AA143" s="13">
        <v>4.49</v>
      </c>
      <c r="AB143" s="40">
        <v>0</v>
      </c>
      <c r="AC143" s="40">
        <v>0</v>
      </c>
      <c r="AD143" s="40">
        <v>0</v>
      </c>
      <c r="AE143" s="40">
        <v>0</v>
      </c>
      <c r="AF143" s="40">
        <v>0</v>
      </c>
      <c r="AG143" s="40">
        <v>0</v>
      </c>
      <c r="AH143" s="40">
        <v>0</v>
      </c>
      <c r="AI143" s="40">
        <v>0</v>
      </c>
      <c r="AJ143" s="40">
        <v>0</v>
      </c>
      <c r="AK143" s="40">
        <v>0</v>
      </c>
      <c r="AL143" s="40">
        <v>0</v>
      </c>
      <c r="AM143" s="40">
        <v>0</v>
      </c>
      <c r="AN143" s="40">
        <v>0</v>
      </c>
      <c r="AO143" s="116">
        <v>0</v>
      </c>
      <c r="AP143" s="6">
        <f t="shared" si="0"/>
        <v>0</v>
      </c>
      <c r="AQ143" s="116">
        <v>0</v>
      </c>
      <c r="AR143" s="6">
        <f t="shared" si="1"/>
        <v>0</v>
      </c>
      <c r="AS143" s="115" t="s">
        <v>573</v>
      </c>
      <c r="AT143" s="6">
        <f t="shared" si="19"/>
        <v>0</v>
      </c>
      <c r="AU143" s="115">
        <v>0</v>
      </c>
      <c r="AV143" s="1">
        <f t="shared" si="7"/>
        <v>0</v>
      </c>
      <c r="AW143" s="115">
        <v>0</v>
      </c>
      <c r="AX143" s="1">
        <f t="shared" si="24"/>
        <v>0</v>
      </c>
      <c r="AY143" s="5" t="s">
        <v>573</v>
      </c>
      <c r="AZ143" s="1">
        <f t="shared" si="9"/>
        <v>0</v>
      </c>
      <c r="BA143" s="5" t="s">
        <v>573</v>
      </c>
      <c r="BB143" s="1">
        <f t="shared" si="10"/>
        <v>0</v>
      </c>
      <c r="BC143" s="5">
        <v>8640</v>
      </c>
      <c r="BD143" s="1">
        <f t="shared" si="3"/>
        <v>0</v>
      </c>
      <c r="BE143" s="150">
        <v>8640</v>
      </c>
      <c r="BF143" s="1">
        <f t="shared" si="20"/>
        <v>0</v>
      </c>
      <c r="BG143" s="150">
        <v>5760</v>
      </c>
      <c r="BH143" s="1">
        <f t="shared" si="23"/>
        <v>0</v>
      </c>
      <c r="BI143" s="150">
        <v>5760</v>
      </c>
      <c r="BJ143" s="1">
        <f t="shared" si="21"/>
        <v>0</v>
      </c>
      <c r="BK143" s="156">
        <v>8640</v>
      </c>
      <c r="BL143" s="1">
        <f t="shared" si="22"/>
        <v>0</v>
      </c>
      <c r="BM143" s="142" t="s">
        <v>576</v>
      </c>
      <c r="BN143" s="136" t="s">
        <v>17</v>
      </c>
      <c r="BO143" s="139" t="s">
        <v>754</v>
      </c>
      <c r="BP143" s="137"/>
    </row>
    <row r="144" spans="1:68" ht="15.75" customHeight="1">
      <c r="A144" s="109" t="s">
        <v>751</v>
      </c>
      <c r="B144" s="122" t="s">
        <v>184</v>
      </c>
      <c r="C144" s="301"/>
      <c r="D144" s="304"/>
      <c r="E144" s="304"/>
      <c r="F144" s="297"/>
      <c r="G144" s="78">
        <v>2021</v>
      </c>
      <c r="H144" s="105" t="s">
        <v>740</v>
      </c>
      <c r="I144" s="76" t="s">
        <v>196</v>
      </c>
      <c r="J144" s="102" t="s">
        <v>197</v>
      </c>
      <c r="K144" s="105" t="s">
        <v>221</v>
      </c>
      <c r="L144" s="105" t="s">
        <v>192</v>
      </c>
      <c r="M144" s="13" t="s">
        <v>193</v>
      </c>
      <c r="N144" s="13">
        <v>4.63</v>
      </c>
      <c r="O144" s="13">
        <v>4.63</v>
      </c>
      <c r="P144" s="13">
        <v>4.63</v>
      </c>
      <c r="Q144" s="13">
        <v>4.63</v>
      </c>
      <c r="R144" s="13">
        <v>4.63</v>
      </c>
      <c r="S144" s="13">
        <v>4.63</v>
      </c>
      <c r="T144" s="13">
        <v>4.63</v>
      </c>
      <c r="U144" s="13">
        <v>4.63</v>
      </c>
      <c r="V144" s="13">
        <v>4.63</v>
      </c>
      <c r="W144" s="13">
        <v>4.63</v>
      </c>
      <c r="X144" s="13">
        <v>4.63</v>
      </c>
      <c r="Y144" s="13">
        <v>4.63</v>
      </c>
      <c r="Z144" s="13">
        <v>4.63</v>
      </c>
      <c r="AA144" s="13">
        <v>4.63</v>
      </c>
      <c r="AB144" s="40">
        <v>0</v>
      </c>
      <c r="AC144" s="40">
        <v>0</v>
      </c>
      <c r="AD144" s="40">
        <v>0</v>
      </c>
      <c r="AE144" s="40">
        <v>0</v>
      </c>
      <c r="AF144" s="40">
        <v>0</v>
      </c>
      <c r="AG144" s="40">
        <v>0</v>
      </c>
      <c r="AH144" s="40">
        <v>0</v>
      </c>
      <c r="AI144" s="40">
        <v>0</v>
      </c>
      <c r="AJ144" s="40">
        <v>0</v>
      </c>
      <c r="AK144" s="40">
        <v>0</v>
      </c>
      <c r="AL144" s="40">
        <v>0</v>
      </c>
      <c r="AM144" s="40">
        <v>0</v>
      </c>
      <c r="AN144" s="40">
        <v>0</v>
      </c>
      <c r="AO144" s="116">
        <v>0</v>
      </c>
      <c r="AP144" s="6">
        <f t="shared" si="0"/>
        <v>0</v>
      </c>
      <c r="AQ144" s="116">
        <v>0</v>
      </c>
      <c r="AR144" s="6">
        <f t="shared" si="1"/>
        <v>0</v>
      </c>
      <c r="AS144" s="115">
        <v>2880</v>
      </c>
      <c r="AT144" s="6">
        <f t="shared" si="19"/>
        <v>0</v>
      </c>
      <c r="AU144" s="115">
        <v>0</v>
      </c>
      <c r="AV144" s="1">
        <f t="shared" si="7"/>
        <v>0</v>
      </c>
      <c r="AW144" s="115">
        <v>0</v>
      </c>
      <c r="AX144" s="1">
        <f t="shared" si="24"/>
        <v>0</v>
      </c>
      <c r="AY144" s="5" t="s">
        <v>573</v>
      </c>
      <c r="AZ144" s="1">
        <f t="shared" si="9"/>
        <v>0</v>
      </c>
      <c r="BA144" s="5" t="s">
        <v>573</v>
      </c>
      <c r="BB144" s="1">
        <f t="shared" si="10"/>
        <v>0</v>
      </c>
      <c r="BC144" s="5" t="s">
        <v>573</v>
      </c>
      <c r="BD144" s="1">
        <f t="shared" si="3"/>
        <v>0</v>
      </c>
      <c r="BE144" s="150" t="s">
        <v>573</v>
      </c>
      <c r="BF144" s="1">
        <f t="shared" si="20"/>
        <v>0</v>
      </c>
      <c r="BG144" s="150" t="s">
        <v>573</v>
      </c>
      <c r="BH144" s="1">
        <f t="shared" si="23"/>
        <v>0</v>
      </c>
      <c r="BI144" s="150" t="s">
        <v>573</v>
      </c>
      <c r="BJ144" s="1">
        <f t="shared" si="21"/>
        <v>0</v>
      </c>
      <c r="BK144" s="156">
        <v>2880</v>
      </c>
      <c r="BL144" s="1">
        <f t="shared" si="22"/>
        <v>0</v>
      </c>
      <c r="BM144" s="142" t="s">
        <v>689</v>
      </c>
      <c r="BN144" s="136" t="s">
        <v>32</v>
      </c>
      <c r="BO144" s="139" t="s">
        <v>760</v>
      </c>
      <c r="BP144" s="137">
        <v>45565</v>
      </c>
    </row>
    <row r="145" spans="1:68" ht="15.75" customHeight="1">
      <c r="A145" s="109" t="s">
        <v>751</v>
      </c>
      <c r="B145" s="122" t="s">
        <v>184</v>
      </c>
      <c r="C145" s="301"/>
      <c r="D145" s="304"/>
      <c r="E145" s="304"/>
      <c r="F145" s="297"/>
      <c r="G145" s="78">
        <v>2021</v>
      </c>
      <c r="H145" s="105" t="s">
        <v>740</v>
      </c>
      <c r="I145" s="76" t="s">
        <v>196</v>
      </c>
      <c r="J145" s="102" t="s">
        <v>197</v>
      </c>
      <c r="K145" s="105" t="s">
        <v>221</v>
      </c>
      <c r="L145" s="105" t="s">
        <v>192</v>
      </c>
      <c r="M145" s="13" t="s">
        <v>193</v>
      </c>
      <c r="N145" s="13">
        <v>4.63</v>
      </c>
      <c r="O145" s="13">
        <v>4.63</v>
      </c>
      <c r="P145" s="13">
        <v>4.63</v>
      </c>
      <c r="Q145" s="13">
        <v>4.63</v>
      </c>
      <c r="R145" s="13">
        <v>4.63</v>
      </c>
      <c r="S145" s="13">
        <v>4.63</v>
      </c>
      <c r="T145" s="13">
        <v>4.63</v>
      </c>
      <c r="U145" s="13">
        <v>4.63</v>
      </c>
      <c r="V145" s="13">
        <v>4.63</v>
      </c>
      <c r="W145" s="13">
        <v>4.63</v>
      </c>
      <c r="X145" s="13">
        <v>4.63</v>
      </c>
      <c r="Y145" s="13">
        <v>4.63</v>
      </c>
      <c r="Z145" s="13">
        <v>4.63</v>
      </c>
      <c r="AA145" s="13">
        <v>4.63</v>
      </c>
      <c r="AB145" s="40">
        <v>0</v>
      </c>
      <c r="AC145" s="40">
        <v>0</v>
      </c>
      <c r="AD145" s="40">
        <v>0</v>
      </c>
      <c r="AE145" s="40">
        <v>0</v>
      </c>
      <c r="AF145" s="40">
        <v>0</v>
      </c>
      <c r="AG145" s="40">
        <v>0</v>
      </c>
      <c r="AH145" s="40">
        <v>0</v>
      </c>
      <c r="AI145" s="40">
        <v>0</v>
      </c>
      <c r="AJ145" s="40">
        <v>0</v>
      </c>
      <c r="AK145" s="40">
        <v>0</v>
      </c>
      <c r="AL145" s="40">
        <v>0</v>
      </c>
      <c r="AM145" s="40">
        <v>0</v>
      </c>
      <c r="AN145" s="40">
        <v>0</v>
      </c>
      <c r="AO145" s="116">
        <v>0</v>
      </c>
      <c r="AP145" s="6">
        <f t="shared" si="0"/>
        <v>0</v>
      </c>
      <c r="AQ145" s="116">
        <v>0</v>
      </c>
      <c r="AR145" s="6">
        <f t="shared" si="1"/>
        <v>0</v>
      </c>
      <c r="AS145" s="115" t="s">
        <v>573</v>
      </c>
      <c r="AT145" s="6">
        <f t="shared" si="19"/>
        <v>0</v>
      </c>
      <c r="AU145" s="115">
        <v>0</v>
      </c>
      <c r="AV145" s="1">
        <f t="shared" si="7"/>
        <v>0</v>
      </c>
      <c r="AW145" s="115">
        <v>0</v>
      </c>
      <c r="AX145" s="1">
        <f t="shared" si="24"/>
        <v>0</v>
      </c>
      <c r="AY145" s="5" t="s">
        <v>573</v>
      </c>
      <c r="AZ145" s="1">
        <f t="shared" si="9"/>
        <v>0</v>
      </c>
      <c r="BA145" s="5" t="s">
        <v>573</v>
      </c>
      <c r="BB145" s="1">
        <f t="shared" si="10"/>
        <v>0</v>
      </c>
      <c r="BC145" s="5" t="s">
        <v>573</v>
      </c>
      <c r="BD145" s="1">
        <f t="shared" si="3"/>
        <v>0</v>
      </c>
      <c r="BE145" s="150" t="s">
        <v>573</v>
      </c>
      <c r="BF145" s="1">
        <f t="shared" si="20"/>
        <v>0</v>
      </c>
      <c r="BG145" s="150" t="s">
        <v>573</v>
      </c>
      <c r="BH145" s="1">
        <f t="shared" si="23"/>
        <v>0</v>
      </c>
      <c r="BI145" s="150" t="s">
        <v>573</v>
      </c>
      <c r="BJ145" s="1">
        <f t="shared" si="21"/>
        <v>0</v>
      </c>
      <c r="BK145" s="156" t="s">
        <v>573</v>
      </c>
      <c r="BL145" s="1">
        <f t="shared" si="22"/>
        <v>0</v>
      </c>
      <c r="BM145" s="142" t="s">
        <v>689</v>
      </c>
      <c r="BN145" s="136" t="s">
        <v>496</v>
      </c>
      <c r="BO145" s="139" t="s">
        <v>1316</v>
      </c>
      <c r="BP145" s="137">
        <v>45473</v>
      </c>
    </row>
    <row r="146" spans="1:68" ht="15.75" customHeight="1">
      <c r="A146" s="109" t="s">
        <v>751</v>
      </c>
      <c r="B146" s="122" t="s">
        <v>184</v>
      </c>
      <c r="C146" s="301"/>
      <c r="D146" s="304"/>
      <c r="E146" s="304"/>
      <c r="F146" s="297"/>
      <c r="G146" s="78">
        <v>2021</v>
      </c>
      <c r="H146" s="105" t="s">
        <v>740</v>
      </c>
      <c r="I146" s="76" t="s">
        <v>196</v>
      </c>
      <c r="J146" s="102" t="s">
        <v>197</v>
      </c>
      <c r="K146" s="105" t="s">
        <v>221</v>
      </c>
      <c r="L146" s="105" t="s">
        <v>192</v>
      </c>
      <c r="M146" s="13" t="s">
        <v>193</v>
      </c>
      <c r="N146" s="13"/>
      <c r="O146" s="13"/>
      <c r="P146" s="13">
        <v>4.63</v>
      </c>
      <c r="Q146" s="13">
        <v>4.63</v>
      </c>
      <c r="R146" s="13">
        <v>4.63</v>
      </c>
      <c r="S146" s="13">
        <v>4.63</v>
      </c>
      <c r="T146" s="13">
        <v>4.63</v>
      </c>
      <c r="U146" s="13">
        <v>4.63</v>
      </c>
      <c r="V146" s="13">
        <v>4.63</v>
      </c>
      <c r="W146" s="13">
        <v>4.63</v>
      </c>
      <c r="X146" s="13">
        <v>4.63</v>
      </c>
      <c r="Y146" s="13">
        <v>4.63</v>
      </c>
      <c r="Z146" s="13">
        <v>4.63</v>
      </c>
      <c r="AA146" s="13">
        <v>4.63</v>
      </c>
      <c r="AB146" s="40">
        <v>0</v>
      </c>
      <c r="AC146" s="40">
        <v>0</v>
      </c>
      <c r="AD146" s="40">
        <v>0</v>
      </c>
      <c r="AE146" s="40">
        <v>0</v>
      </c>
      <c r="AF146" s="40">
        <v>0</v>
      </c>
      <c r="AG146" s="40">
        <v>0</v>
      </c>
      <c r="AH146" s="40">
        <v>0</v>
      </c>
      <c r="AI146" s="40">
        <v>0</v>
      </c>
      <c r="AJ146" s="40">
        <v>0</v>
      </c>
      <c r="AK146" s="40">
        <v>0</v>
      </c>
      <c r="AL146" s="40">
        <v>0</v>
      </c>
      <c r="AM146" s="40">
        <v>0</v>
      </c>
      <c r="AN146" s="40">
        <v>0</v>
      </c>
      <c r="AO146" s="116">
        <v>0</v>
      </c>
      <c r="AP146" s="6">
        <f t="shared" si="0"/>
        <v>0</v>
      </c>
      <c r="AQ146" s="116">
        <v>0</v>
      </c>
      <c r="AS146" s="115" t="s">
        <v>573</v>
      </c>
      <c r="AT146" s="6">
        <f t="shared" si="19"/>
        <v>0</v>
      </c>
      <c r="AU146" s="115">
        <v>0</v>
      </c>
      <c r="AV146" s="1">
        <f t="shared" si="7"/>
        <v>0</v>
      </c>
      <c r="AW146" s="115">
        <v>0</v>
      </c>
      <c r="AX146" s="1">
        <f t="shared" si="24"/>
        <v>0</v>
      </c>
      <c r="AY146" s="5" t="s">
        <v>573</v>
      </c>
      <c r="AZ146" s="1">
        <f t="shared" si="9"/>
        <v>0</v>
      </c>
      <c r="BA146" s="5" t="s">
        <v>573</v>
      </c>
      <c r="BB146" s="1">
        <f t="shared" si="10"/>
        <v>0</v>
      </c>
      <c r="BC146" s="5" t="s">
        <v>573</v>
      </c>
      <c r="BD146" s="1">
        <f t="shared" si="3"/>
        <v>0</v>
      </c>
      <c r="BE146" s="150">
        <v>0</v>
      </c>
      <c r="BF146" s="1">
        <f t="shared" si="20"/>
        <v>0</v>
      </c>
      <c r="BG146" s="150">
        <v>2880</v>
      </c>
      <c r="BH146" s="1">
        <f t="shared" si="23"/>
        <v>0</v>
      </c>
      <c r="BI146" s="150" t="s">
        <v>573</v>
      </c>
      <c r="BJ146" s="1">
        <f t="shared" si="21"/>
        <v>0</v>
      </c>
      <c r="BK146" s="156" t="s">
        <v>573</v>
      </c>
      <c r="BL146" s="1">
        <f t="shared" si="22"/>
        <v>0</v>
      </c>
      <c r="BM146" s="142" t="s">
        <v>689</v>
      </c>
      <c r="BN146" s="136" t="s">
        <v>492</v>
      </c>
      <c r="BO146" s="139" t="s">
        <v>760</v>
      </c>
      <c r="BP146" s="137"/>
    </row>
    <row r="147" spans="1:68" ht="15.75" customHeight="1">
      <c r="A147" s="109" t="s">
        <v>751</v>
      </c>
      <c r="B147" s="122" t="s">
        <v>184</v>
      </c>
      <c r="C147" s="301"/>
      <c r="D147" s="304"/>
      <c r="E147" s="304"/>
      <c r="F147" s="297"/>
      <c r="G147" s="78">
        <v>2021</v>
      </c>
      <c r="H147" s="105" t="str">
        <f>_xlfn.XLOOKUP(BM147,'[5]Package breakdown0503'!$F:$F,'[5]Package breakdown0503'!$B:$B)</f>
        <v>KentingPlus</v>
      </c>
      <c r="I147" s="76" t="s">
        <v>196</v>
      </c>
      <c r="J147" s="103" t="s">
        <v>197</v>
      </c>
      <c r="K147" s="105" t="s">
        <v>221</v>
      </c>
      <c r="L147" s="105" t="s">
        <v>192</v>
      </c>
      <c r="M147" s="13" t="s">
        <v>193</v>
      </c>
      <c r="N147" s="13">
        <v>4.63</v>
      </c>
      <c r="O147" s="13">
        <v>4.63</v>
      </c>
      <c r="P147" s="13">
        <v>4.63</v>
      </c>
      <c r="Q147" s="13">
        <v>4.63</v>
      </c>
      <c r="R147" s="13">
        <v>4.63</v>
      </c>
      <c r="S147" s="13">
        <v>4.63</v>
      </c>
      <c r="T147" s="13">
        <v>4.63</v>
      </c>
      <c r="U147" s="13">
        <v>4.63</v>
      </c>
      <c r="V147" s="13">
        <v>4.63</v>
      </c>
      <c r="W147" s="13">
        <v>4.63</v>
      </c>
      <c r="X147" s="13">
        <v>4.63</v>
      </c>
      <c r="Y147" s="13">
        <v>4.63</v>
      </c>
      <c r="Z147" s="13">
        <v>4.63</v>
      </c>
      <c r="AA147" s="13">
        <v>4.63</v>
      </c>
      <c r="AB147" s="40">
        <v>0</v>
      </c>
      <c r="AC147" s="40">
        <v>0</v>
      </c>
      <c r="AD147" s="40">
        <v>0</v>
      </c>
      <c r="AE147" s="40">
        <v>0</v>
      </c>
      <c r="AF147" s="40">
        <v>0</v>
      </c>
      <c r="AG147" s="40">
        <v>0</v>
      </c>
      <c r="AH147" s="40">
        <v>0</v>
      </c>
      <c r="AI147" s="40">
        <v>0</v>
      </c>
      <c r="AJ147" s="40">
        <v>0</v>
      </c>
      <c r="AK147" s="40">
        <v>0</v>
      </c>
      <c r="AL147" s="40">
        <v>0</v>
      </c>
      <c r="AM147" s="40">
        <v>0</v>
      </c>
      <c r="AN147" s="40">
        <v>0</v>
      </c>
      <c r="AO147" s="116">
        <v>2880</v>
      </c>
      <c r="AP147" s="6">
        <f t="shared" si="0"/>
        <v>0</v>
      </c>
      <c r="AQ147" s="116">
        <v>0</v>
      </c>
      <c r="AR147" s="6">
        <f t="shared" si="1"/>
        <v>0</v>
      </c>
      <c r="AS147" s="115" t="s">
        <v>573</v>
      </c>
      <c r="AT147" s="6">
        <f t="shared" si="19"/>
        <v>0</v>
      </c>
      <c r="AU147" s="115">
        <v>0</v>
      </c>
      <c r="AV147" s="1">
        <f t="shared" si="7"/>
        <v>0</v>
      </c>
      <c r="AW147" s="115">
        <v>0</v>
      </c>
      <c r="AX147" s="1">
        <f t="shared" si="24"/>
        <v>0</v>
      </c>
      <c r="AY147" s="5" t="s">
        <v>573</v>
      </c>
      <c r="AZ147" s="1">
        <f t="shared" si="9"/>
        <v>0</v>
      </c>
      <c r="BA147" s="5" t="s">
        <v>573</v>
      </c>
      <c r="BB147" s="1">
        <f t="shared" si="10"/>
        <v>0</v>
      </c>
      <c r="BC147" s="5" t="s">
        <v>573</v>
      </c>
      <c r="BD147" s="1">
        <f t="shared" si="3"/>
        <v>0</v>
      </c>
      <c r="BE147" s="150" t="s">
        <v>573</v>
      </c>
      <c r="BF147" s="1">
        <f t="shared" si="20"/>
        <v>0</v>
      </c>
      <c r="BG147" s="150" t="s">
        <v>573</v>
      </c>
      <c r="BH147" s="1">
        <f t="shared" si="23"/>
        <v>0</v>
      </c>
      <c r="BI147" s="150" t="s">
        <v>573</v>
      </c>
      <c r="BJ147" s="1">
        <f t="shared" si="21"/>
        <v>0</v>
      </c>
      <c r="BK147" s="156" t="s">
        <v>573</v>
      </c>
      <c r="BL147" s="1">
        <f t="shared" si="22"/>
        <v>0</v>
      </c>
      <c r="BM147" s="142" t="s">
        <v>688</v>
      </c>
      <c r="BN147" s="136" t="s">
        <v>32</v>
      </c>
      <c r="BO147" s="139" t="s">
        <v>760</v>
      </c>
      <c r="BP147" s="137">
        <v>45565</v>
      </c>
    </row>
    <row r="148" spans="1:68" ht="15.75" customHeight="1">
      <c r="A148" s="109" t="s">
        <v>751</v>
      </c>
      <c r="B148" s="122" t="s">
        <v>184</v>
      </c>
      <c r="C148" s="301"/>
      <c r="D148" s="304"/>
      <c r="E148" s="304"/>
      <c r="F148" s="297"/>
      <c r="G148" s="78">
        <v>2021</v>
      </c>
      <c r="H148" s="105" t="str">
        <f>_xlfn.XLOOKUP(BM148,'[5]Package breakdown0503'!$F:$F,'[5]Package breakdown0503'!$B:$B)</f>
        <v>KentingPlus</v>
      </c>
      <c r="I148" s="76" t="s">
        <v>196</v>
      </c>
      <c r="J148" s="102" t="s">
        <v>197</v>
      </c>
      <c r="K148" s="105" t="s">
        <v>221</v>
      </c>
      <c r="L148" s="105" t="s">
        <v>192</v>
      </c>
      <c r="M148" s="13" t="s">
        <v>193</v>
      </c>
      <c r="N148" s="13">
        <v>4.63</v>
      </c>
      <c r="O148" s="13">
        <v>4.63</v>
      </c>
      <c r="P148" s="13">
        <v>4.63</v>
      </c>
      <c r="Q148" s="13">
        <v>4.63</v>
      </c>
      <c r="R148" s="13">
        <v>4.63</v>
      </c>
      <c r="S148" s="13">
        <v>4.63</v>
      </c>
      <c r="T148" s="13">
        <v>4.63</v>
      </c>
      <c r="U148" s="13">
        <v>4.63</v>
      </c>
      <c r="V148" s="13">
        <v>4.63</v>
      </c>
      <c r="W148" s="13">
        <v>4.63</v>
      </c>
      <c r="X148" s="13">
        <v>4.63</v>
      </c>
      <c r="Y148" s="13">
        <v>4.63</v>
      </c>
      <c r="Z148" s="13">
        <v>4.63</v>
      </c>
      <c r="AA148" s="13">
        <v>4.63</v>
      </c>
      <c r="AB148" s="40">
        <v>0</v>
      </c>
      <c r="AC148" s="40">
        <v>0</v>
      </c>
      <c r="AD148" s="40">
        <v>0</v>
      </c>
      <c r="AE148" s="40">
        <v>0</v>
      </c>
      <c r="AF148" s="40">
        <v>0</v>
      </c>
      <c r="AG148" s="40">
        <v>0</v>
      </c>
      <c r="AH148" s="40">
        <v>0</v>
      </c>
      <c r="AI148" s="40">
        <v>0</v>
      </c>
      <c r="AJ148" s="40">
        <v>0</v>
      </c>
      <c r="AK148" s="40">
        <v>0</v>
      </c>
      <c r="AL148" s="40">
        <v>0</v>
      </c>
      <c r="AM148" s="40">
        <v>0</v>
      </c>
      <c r="AN148" s="40">
        <v>0</v>
      </c>
      <c r="AO148" s="116">
        <v>2880</v>
      </c>
      <c r="AP148" s="6">
        <f t="shared" si="0"/>
        <v>0</v>
      </c>
      <c r="AQ148" s="116">
        <v>0</v>
      </c>
      <c r="AR148" s="6">
        <f t="shared" si="1"/>
        <v>0</v>
      </c>
      <c r="AS148" s="115" t="s">
        <v>573</v>
      </c>
      <c r="AT148" s="6">
        <f t="shared" si="19"/>
        <v>0</v>
      </c>
      <c r="AU148" s="115">
        <v>0</v>
      </c>
      <c r="AV148" s="1">
        <f t="shared" si="7"/>
        <v>0</v>
      </c>
      <c r="AW148" s="115">
        <v>0</v>
      </c>
      <c r="AX148" s="1">
        <f t="shared" si="24"/>
        <v>0</v>
      </c>
      <c r="AY148" s="5" t="s">
        <v>573</v>
      </c>
      <c r="AZ148" s="1">
        <f t="shared" si="9"/>
        <v>0</v>
      </c>
      <c r="BA148" s="5" t="s">
        <v>573</v>
      </c>
      <c r="BB148" s="1">
        <f t="shared" si="10"/>
        <v>0</v>
      </c>
      <c r="BC148" s="5" t="s">
        <v>573</v>
      </c>
      <c r="BD148" s="1">
        <f t="shared" si="3"/>
        <v>0</v>
      </c>
      <c r="BE148" s="150" t="s">
        <v>573</v>
      </c>
      <c r="BF148" s="1">
        <f t="shared" si="20"/>
        <v>0</v>
      </c>
      <c r="BG148" s="150" t="s">
        <v>573</v>
      </c>
      <c r="BH148" s="1">
        <f t="shared" si="23"/>
        <v>0</v>
      </c>
      <c r="BI148" s="150" t="s">
        <v>573</v>
      </c>
      <c r="BJ148" s="1">
        <f t="shared" si="21"/>
        <v>0</v>
      </c>
      <c r="BK148" s="156" t="s">
        <v>573</v>
      </c>
      <c r="BL148" s="1">
        <f t="shared" si="22"/>
        <v>0</v>
      </c>
      <c r="BM148" s="142" t="s">
        <v>688</v>
      </c>
      <c r="BN148" s="136" t="s">
        <v>496</v>
      </c>
      <c r="BO148" s="139" t="s">
        <v>760</v>
      </c>
      <c r="BP148" s="137">
        <v>45473</v>
      </c>
    </row>
    <row r="149" spans="1:68" ht="15.75" customHeight="1">
      <c r="A149" s="109" t="s">
        <v>751</v>
      </c>
      <c r="B149" s="122" t="s">
        <v>184</v>
      </c>
      <c r="C149" s="301"/>
      <c r="D149" s="304"/>
      <c r="E149" s="304"/>
      <c r="F149" s="297"/>
      <c r="G149" s="78">
        <v>2021</v>
      </c>
      <c r="H149" s="105" t="s">
        <v>740</v>
      </c>
      <c r="I149" s="76" t="s">
        <v>196</v>
      </c>
      <c r="J149" s="103" t="s">
        <v>197</v>
      </c>
      <c r="K149" s="105" t="s">
        <v>221</v>
      </c>
      <c r="L149" s="105" t="s">
        <v>192</v>
      </c>
      <c r="M149" s="13" t="s">
        <v>193</v>
      </c>
      <c r="N149" s="13">
        <v>4.63</v>
      </c>
      <c r="O149" s="13">
        <v>4.63</v>
      </c>
      <c r="P149" s="13">
        <v>4.63</v>
      </c>
      <c r="Q149" s="13">
        <v>4.63</v>
      </c>
      <c r="R149" s="13">
        <v>4.63</v>
      </c>
      <c r="S149" s="13">
        <v>4.63</v>
      </c>
      <c r="T149" s="13">
        <v>4.63</v>
      </c>
      <c r="U149" s="13">
        <v>4.63</v>
      </c>
      <c r="V149" s="13">
        <v>4.63</v>
      </c>
      <c r="W149" s="13">
        <v>4.63</v>
      </c>
      <c r="X149" s="13">
        <v>4.63</v>
      </c>
      <c r="Y149" s="13">
        <v>4.63</v>
      </c>
      <c r="Z149" s="13">
        <v>4.63</v>
      </c>
      <c r="AA149" s="13">
        <v>4.63</v>
      </c>
      <c r="AB149" s="40">
        <v>0</v>
      </c>
      <c r="AC149" s="40">
        <v>0</v>
      </c>
      <c r="AD149" s="40">
        <v>0</v>
      </c>
      <c r="AE149" s="40">
        <v>0</v>
      </c>
      <c r="AF149" s="40">
        <v>0</v>
      </c>
      <c r="AG149" s="40">
        <v>0</v>
      </c>
      <c r="AH149" s="40">
        <v>0</v>
      </c>
      <c r="AI149" s="40">
        <v>0</v>
      </c>
      <c r="AJ149" s="40">
        <v>0</v>
      </c>
      <c r="AK149" s="40">
        <v>0</v>
      </c>
      <c r="AL149" s="40">
        <v>0</v>
      </c>
      <c r="AM149" s="40">
        <v>0</v>
      </c>
      <c r="AN149" s="40">
        <v>0</v>
      </c>
      <c r="AO149" s="115">
        <v>0</v>
      </c>
      <c r="AP149" s="6">
        <f t="shared" si="0"/>
        <v>0</v>
      </c>
      <c r="AQ149" s="116">
        <v>0</v>
      </c>
      <c r="AR149" s="6">
        <f t="shared" si="1"/>
        <v>0</v>
      </c>
      <c r="AS149" s="115">
        <v>2880</v>
      </c>
      <c r="AT149" s="6">
        <f t="shared" si="19"/>
        <v>0</v>
      </c>
      <c r="AU149" s="115">
        <v>0</v>
      </c>
      <c r="AV149" s="1">
        <f t="shared" si="7"/>
        <v>0</v>
      </c>
      <c r="AW149" s="115">
        <v>0</v>
      </c>
      <c r="AX149" s="1">
        <f t="shared" si="24"/>
        <v>0</v>
      </c>
      <c r="AY149" s="5" t="s">
        <v>573</v>
      </c>
      <c r="AZ149" s="1">
        <f t="shared" si="9"/>
        <v>0</v>
      </c>
      <c r="BA149" s="5" t="s">
        <v>573</v>
      </c>
      <c r="BB149" s="1">
        <f t="shared" si="10"/>
        <v>0</v>
      </c>
      <c r="BC149" s="5" t="s">
        <v>573</v>
      </c>
      <c r="BD149" s="1">
        <f t="shared" si="3"/>
        <v>0</v>
      </c>
      <c r="BE149" s="150" t="s">
        <v>573</v>
      </c>
      <c r="BF149" s="1">
        <f t="shared" si="20"/>
        <v>0</v>
      </c>
      <c r="BG149" s="150">
        <v>1440</v>
      </c>
      <c r="BH149" s="1">
        <f t="shared" si="23"/>
        <v>0</v>
      </c>
      <c r="BI149" s="150" t="s">
        <v>573</v>
      </c>
      <c r="BJ149" s="1">
        <f t="shared" si="21"/>
        <v>0</v>
      </c>
      <c r="BK149" s="156">
        <v>2880</v>
      </c>
      <c r="BL149" s="1">
        <f t="shared" si="22"/>
        <v>0</v>
      </c>
      <c r="BM149" s="142" t="s">
        <v>690</v>
      </c>
      <c r="BN149" s="136" t="s">
        <v>32</v>
      </c>
      <c r="BO149" s="139" t="s">
        <v>760</v>
      </c>
      <c r="BP149" s="137">
        <v>45565</v>
      </c>
    </row>
    <row r="150" spans="1:68" ht="15.75" customHeight="1">
      <c r="A150" s="109" t="s">
        <v>751</v>
      </c>
      <c r="B150" s="122" t="s">
        <v>184</v>
      </c>
      <c r="C150" s="301"/>
      <c r="D150" s="304"/>
      <c r="E150" s="304"/>
      <c r="F150" s="297"/>
      <c r="G150" s="78">
        <v>2021</v>
      </c>
      <c r="H150" s="105" t="s">
        <v>740</v>
      </c>
      <c r="I150" s="76" t="s">
        <v>196</v>
      </c>
      <c r="J150" s="102" t="s">
        <v>197</v>
      </c>
      <c r="K150" s="105" t="s">
        <v>221</v>
      </c>
      <c r="L150" s="105" t="s">
        <v>192</v>
      </c>
      <c r="M150" s="13" t="s">
        <v>193</v>
      </c>
      <c r="N150" s="13">
        <v>4.63</v>
      </c>
      <c r="O150" s="13">
        <v>4.63</v>
      </c>
      <c r="P150" s="13">
        <v>4.63</v>
      </c>
      <c r="Q150" s="13">
        <v>4.63</v>
      </c>
      <c r="R150" s="13">
        <v>4.63</v>
      </c>
      <c r="S150" s="13">
        <v>4.63</v>
      </c>
      <c r="T150" s="13">
        <v>4.63</v>
      </c>
      <c r="U150" s="13">
        <v>4.63</v>
      </c>
      <c r="V150" s="13">
        <v>4.63</v>
      </c>
      <c r="W150" s="13">
        <v>4.63</v>
      </c>
      <c r="X150" s="13">
        <v>4.63</v>
      </c>
      <c r="Y150" s="13">
        <v>4.63</v>
      </c>
      <c r="Z150" s="13">
        <v>4.63</v>
      </c>
      <c r="AA150" s="13">
        <v>4.63</v>
      </c>
      <c r="AB150" s="40">
        <v>0</v>
      </c>
      <c r="AC150" s="40">
        <v>0</v>
      </c>
      <c r="AD150" s="40">
        <v>0</v>
      </c>
      <c r="AE150" s="40">
        <v>0</v>
      </c>
      <c r="AF150" s="40">
        <v>0</v>
      </c>
      <c r="AG150" s="40">
        <v>0</v>
      </c>
      <c r="AH150" s="40">
        <v>0</v>
      </c>
      <c r="AI150" s="40">
        <v>0</v>
      </c>
      <c r="AJ150" s="40">
        <v>0</v>
      </c>
      <c r="AK150" s="40">
        <v>0</v>
      </c>
      <c r="AL150" s="40">
        <v>0</v>
      </c>
      <c r="AM150" s="40">
        <v>0</v>
      </c>
      <c r="AN150" s="40">
        <v>0</v>
      </c>
      <c r="AO150" s="115">
        <v>0</v>
      </c>
      <c r="AP150" s="6">
        <f t="shared" si="0"/>
        <v>0</v>
      </c>
      <c r="AQ150" s="116">
        <v>0</v>
      </c>
      <c r="AR150" s="6">
        <f t="shared" si="1"/>
        <v>0</v>
      </c>
      <c r="AS150" s="115" t="s">
        <v>573</v>
      </c>
      <c r="AT150" s="6">
        <f t="shared" si="19"/>
        <v>0</v>
      </c>
      <c r="AU150" s="115">
        <v>0</v>
      </c>
      <c r="AV150" s="1">
        <f t="shared" si="7"/>
        <v>0</v>
      </c>
      <c r="AW150" s="115">
        <v>0</v>
      </c>
      <c r="AX150" s="1">
        <f t="shared" si="24"/>
        <v>0</v>
      </c>
      <c r="AY150" s="5" t="s">
        <v>573</v>
      </c>
      <c r="AZ150" s="1">
        <f t="shared" si="9"/>
        <v>0</v>
      </c>
      <c r="BA150" s="5">
        <v>2880</v>
      </c>
      <c r="BB150" s="1">
        <f t="shared" si="10"/>
        <v>0</v>
      </c>
      <c r="BC150" s="5" t="s">
        <v>573</v>
      </c>
      <c r="BD150" s="1">
        <f t="shared" si="3"/>
        <v>0</v>
      </c>
      <c r="BE150" s="150" t="s">
        <v>573</v>
      </c>
      <c r="BF150" s="1">
        <f t="shared" si="20"/>
        <v>0</v>
      </c>
      <c r="BG150" s="150" t="s">
        <v>573</v>
      </c>
      <c r="BH150" s="1">
        <f t="shared" si="23"/>
        <v>0</v>
      </c>
      <c r="BI150" s="150" t="s">
        <v>573</v>
      </c>
      <c r="BJ150" s="1">
        <f t="shared" si="21"/>
        <v>0</v>
      </c>
      <c r="BK150" s="156" t="s">
        <v>573</v>
      </c>
      <c r="BL150" s="1">
        <f t="shared" si="22"/>
        <v>0</v>
      </c>
      <c r="BM150" s="142" t="s">
        <v>690</v>
      </c>
      <c r="BN150" s="136" t="s">
        <v>496</v>
      </c>
      <c r="BO150" s="139" t="s">
        <v>760</v>
      </c>
      <c r="BP150" s="137">
        <v>45473</v>
      </c>
    </row>
    <row r="151" spans="1:68" ht="15.75" customHeight="1">
      <c r="A151" s="109" t="s">
        <v>751</v>
      </c>
      <c r="B151" s="122" t="s">
        <v>184</v>
      </c>
      <c r="C151" s="301"/>
      <c r="D151" s="304"/>
      <c r="E151" s="304"/>
      <c r="F151" s="297"/>
      <c r="G151" s="78">
        <v>2021</v>
      </c>
      <c r="H151" s="105" t="s">
        <v>740</v>
      </c>
      <c r="I151" s="76" t="s">
        <v>196</v>
      </c>
      <c r="J151" s="102" t="s">
        <v>197</v>
      </c>
      <c r="K151" s="105" t="s">
        <v>221</v>
      </c>
      <c r="L151" s="105" t="s">
        <v>192</v>
      </c>
      <c r="M151" s="13" t="s">
        <v>193</v>
      </c>
      <c r="N151" s="13"/>
      <c r="O151" s="13"/>
      <c r="P151" s="13">
        <v>4.47</v>
      </c>
      <c r="Q151" s="13">
        <v>4.47</v>
      </c>
      <c r="R151" s="13">
        <v>4.47</v>
      </c>
      <c r="S151" s="13">
        <v>4.47</v>
      </c>
      <c r="T151" s="13">
        <v>4.47</v>
      </c>
      <c r="U151" s="13">
        <v>4.47</v>
      </c>
      <c r="V151" s="13">
        <v>4.47</v>
      </c>
      <c r="W151" s="13">
        <v>4.47</v>
      </c>
      <c r="X151" s="13">
        <v>4.47</v>
      </c>
      <c r="Y151" s="13">
        <v>4.47</v>
      </c>
      <c r="Z151" s="13">
        <v>4.47</v>
      </c>
      <c r="AA151" s="13">
        <v>4.47</v>
      </c>
      <c r="AB151" s="40">
        <v>0</v>
      </c>
      <c r="AC151" s="40">
        <v>0</v>
      </c>
      <c r="AD151" s="40">
        <v>0</v>
      </c>
      <c r="AE151" s="40">
        <v>0</v>
      </c>
      <c r="AF151" s="40">
        <v>0</v>
      </c>
      <c r="AG151" s="40">
        <v>0</v>
      </c>
      <c r="AH151" s="40">
        <v>0</v>
      </c>
      <c r="AI151" s="40">
        <v>0</v>
      </c>
      <c r="AJ151" s="40">
        <v>0</v>
      </c>
      <c r="AK151" s="40">
        <v>0</v>
      </c>
      <c r="AL151" s="40">
        <v>0</v>
      </c>
      <c r="AM151" s="40">
        <v>0</v>
      </c>
      <c r="AN151" s="40">
        <v>0</v>
      </c>
      <c r="AO151" s="115">
        <v>0</v>
      </c>
      <c r="AP151" s="6">
        <f t="shared" si="0"/>
        <v>0</v>
      </c>
      <c r="AQ151" s="116">
        <v>0</v>
      </c>
      <c r="AS151" s="115" t="s">
        <v>573</v>
      </c>
      <c r="AT151" s="6">
        <f t="shared" si="19"/>
        <v>0</v>
      </c>
      <c r="AU151" s="115">
        <v>0</v>
      </c>
      <c r="AV151" s="1">
        <f t="shared" si="7"/>
        <v>0</v>
      </c>
      <c r="AW151" s="115">
        <v>0</v>
      </c>
      <c r="AX151" s="1">
        <f t="shared" si="24"/>
        <v>0</v>
      </c>
      <c r="AY151" s="5" t="s">
        <v>573</v>
      </c>
      <c r="AZ151" s="1">
        <f t="shared" si="9"/>
        <v>0</v>
      </c>
      <c r="BA151" s="5" t="s">
        <v>573</v>
      </c>
      <c r="BB151" s="1">
        <f t="shared" si="10"/>
        <v>0</v>
      </c>
      <c r="BC151" s="5" t="s">
        <v>573</v>
      </c>
      <c r="BD151" s="1">
        <f t="shared" si="3"/>
        <v>0</v>
      </c>
      <c r="BE151" s="150" t="s">
        <v>573</v>
      </c>
      <c r="BF151" s="1">
        <f t="shared" si="20"/>
        <v>0</v>
      </c>
      <c r="BG151" s="150"/>
      <c r="BH151" s="1">
        <f t="shared" si="23"/>
        <v>0</v>
      </c>
      <c r="BI151" s="150" t="s">
        <v>573</v>
      </c>
      <c r="BJ151" s="1">
        <f t="shared" si="21"/>
        <v>0</v>
      </c>
      <c r="BK151" s="156">
        <v>5760</v>
      </c>
      <c r="BL151" s="1">
        <f t="shared" si="22"/>
        <v>0</v>
      </c>
      <c r="BM151" s="142" t="s">
        <v>764</v>
      </c>
      <c r="BN151" s="136" t="s">
        <v>17</v>
      </c>
      <c r="BO151" s="139" t="s">
        <v>1314</v>
      </c>
      <c r="BP151" s="137"/>
    </row>
    <row r="152" spans="1:68" ht="15.75" customHeight="1">
      <c r="A152" s="109" t="s">
        <v>751</v>
      </c>
      <c r="B152" s="122" t="s">
        <v>184</v>
      </c>
      <c r="C152" s="301"/>
      <c r="D152" s="304"/>
      <c r="E152" s="304"/>
      <c r="F152" s="297"/>
      <c r="G152" s="78">
        <v>2021</v>
      </c>
      <c r="H152" s="105" t="s">
        <v>740</v>
      </c>
      <c r="I152" s="76" t="s">
        <v>196</v>
      </c>
      <c r="J152" s="102" t="s">
        <v>197</v>
      </c>
      <c r="K152" s="105" t="s">
        <v>221</v>
      </c>
      <c r="L152" s="105" t="s">
        <v>192</v>
      </c>
      <c r="M152" s="13" t="s">
        <v>193</v>
      </c>
      <c r="N152" s="13"/>
      <c r="O152" s="13"/>
      <c r="P152" s="13">
        <v>4.47</v>
      </c>
      <c r="Q152" s="13">
        <v>4.47</v>
      </c>
      <c r="R152" s="13">
        <v>4.47</v>
      </c>
      <c r="S152" s="13">
        <v>4.47</v>
      </c>
      <c r="T152" s="13">
        <v>4.47</v>
      </c>
      <c r="U152" s="13">
        <v>4.47</v>
      </c>
      <c r="V152" s="13">
        <v>4.47</v>
      </c>
      <c r="W152" s="13">
        <v>4.47</v>
      </c>
      <c r="X152" s="13">
        <v>4.47</v>
      </c>
      <c r="Y152" s="13">
        <v>4.47</v>
      </c>
      <c r="Z152" s="13">
        <v>4.47</v>
      </c>
      <c r="AA152" s="13">
        <v>4.47</v>
      </c>
      <c r="AB152" s="40">
        <v>0</v>
      </c>
      <c r="AC152" s="40">
        <v>0</v>
      </c>
      <c r="AD152" s="40">
        <v>0</v>
      </c>
      <c r="AE152" s="40">
        <v>0</v>
      </c>
      <c r="AF152" s="40">
        <v>0</v>
      </c>
      <c r="AG152" s="40">
        <v>0</v>
      </c>
      <c r="AH152" s="40">
        <v>0</v>
      </c>
      <c r="AI152" s="40">
        <v>0</v>
      </c>
      <c r="AJ152" s="40">
        <v>0</v>
      </c>
      <c r="AK152" s="40">
        <v>0</v>
      </c>
      <c r="AL152" s="40">
        <v>0</v>
      </c>
      <c r="AM152" s="40">
        <v>0</v>
      </c>
      <c r="AN152" s="40">
        <v>0</v>
      </c>
      <c r="AO152" s="115">
        <v>0</v>
      </c>
      <c r="AP152" s="6">
        <f t="shared" si="0"/>
        <v>0</v>
      </c>
      <c r="AQ152" s="116">
        <v>0</v>
      </c>
      <c r="AS152" s="115" t="s">
        <v>573</v>
      </c>
      <c r="AT152" s="6">
        <f t="shared" si="19"/>
        <v>0</v>
      </c>
      <c r="AU152" s="115">
        <v>0</v>
      </c>
      <c r="AV152" s="1">
        <f t="shared" si="7"/>
        <v>0</v>
      </c>
      <c r="AW152" s="115">
        <v>0</v>
      </c>
      <c r="AX152" s="1">
        <f t="shared" si="24"/>
        <v>0</v>
      </c>
      <c r="AY152" s="5" t="s">
        <v>573</v>
      </c>
      <c r="AZ152" s="1">
        <f t="shared" si="9"/>
        <v>0</v>
      </c>
      <c r="BA152" s="5" t="s">
        <v>573</v>
      </c>
      <c r="BB152" s="1">
        <f t="shared" si="10"/>
        <v>0</v>
      </c>
      <c r="BC152" s="5" t="s">
        <v>573</v>
      </c>
      <c r="BD152" s="1">
        <f t="shared" si="3"/>
        <v>0</v>
      </c>
      <c r="BE152" s="150" t="s">
        <v>573</v>
      </c>
      <c r="BF152" s="1">
        <f t="shared" si="20"/>
        <v>0</v>
      </c>
      <c r="BG152" s="150">
        <v>0</v>
      </c>
      <c r="BH152" s="1">
        <f t="shared" si="23"/>
        <v>0</v>
      </c>
      <c r="BI152" s="150">
        <v>2880</v>
      </c>
      <c r="BJ152" s="1">
        <f t="shared" si="21"/>
        <v>0</v>
      </c>
      <c r="BK152" s="156">
        <v>20160</v>
      </c>
      <c r="BL152" s="1">
        <f t="shared" si="22"/>
        <v>0</v>
      </c>
      <c r="BM152" s="142" t="s">
        <v>668</v>
      </c>
      <c r="BN152" s="136" t="s">
        <v>494</v>
      </c>
      <c r="BO152" s="139" t="s">
        <v>763</v>
      </c>
      <c r="BP152" s="137"/>
    </row>
    <row r="153" spans="1:68" ht="15.75" customHeight="1">
      <c r="A153" s="109" t="s">
        <v>751</v>
      </c>
      <c r="B153" s="122" t="s">
        <v>184</v>
      </c>
      <c r="C153" s="301"/>
      <c r="D153" s="304"/>
      <c r="E153" s="304"/>
      <c r="F153" s="297"/>
      <c r="G153" s="78">
        <v>2021</v>
      </c>
      <c r="H153" s="105" t="s">
        <v>740</v>
      </c>
      <c r="I153" s="76" t="s">
        <v>196</v>
      </c>
      <c r="J153" s="102" t="s">
        <v>197</v>
      </c>
      <c r="K153" s="105" t="s">
        <v>221</v>
      </c>
      <c r="L153" s="105" t="s">
        <v>192</v>
      </c>
      <c r="M153" s="13" t="s">
        <v>193</v>
      </c>
      <c r="N153" s="13"/>
      <c r="O153" s="13"/>
      <c r="P153" s="13">
        <v>4.47</v>
      </c>
      <c r="Q153" s="13">
        <v>4.47</v>
      </c>
      <c r="R153" s="13">
        <v>4.47</v>
      </c>
      <c r="S153" s="13">
        <v>4.47</v>
      </c>
      <c r="T153" s="13">
        <v>4.47</v>
      </c>
      <c r="U153" s="13">
        <v>4.47</v>
      </c>
      <c r="V153" s="13">
        <v>4.47</v>
      </c>
      <c r="W153" s="13">
        <v>4.47</v>
      </c>
      <c r="X153" s="13">
        <v>4.47</v>
      </c>
      <c r="Y153" s="13">
        <v>4.47</v>
      </c>
      <c r="Z153" s="13">
        <v>4.47</v>
      </c>
      <c r="AA153" s="13">
        <v>4.47</v>
      </c>
      <c r="AB153" s="40">
        <v>0</v>
      </c>
      <c r="AC153" s="40">
        <v>0</v>
      </c>
      <c r="AD153" s="40">
        <v>0</v>
      </c>
      <c r="AE153" s="40">
        <v>0</v>
      </c>
      <c r="AF153" s="40">
        <v>0</v>
      </c>
      <c r="AG153" s="40">
        <v>0</v>
      </c>
      <c r="AH153" s="40">
        <v>0</v>
      </c>
      <c r="AI153" s="40">
        <v>0</v>
      </c>
      <c r="AJ153" s="40">
        <v>0</v>
      </c>
      <c r="AK153" s="40">
        <v>0</v>
      </c>
      <c r="AL153" s="40">
        <v>0</v>
      </c>
      <c r="AM153" s="40">
        <v>0</v>
      </c>
      <c r="AN153" s="40">
        <v>0</v>
      </c>
      <c r="AO153" s="115">
        <v>0</v>
      </c>
      <c r="AP153" s="6">
        <f t="shared" si="0"/>
        <v>0</v>
      </c>
      <c r="AQ153" s="116">
        <v>0</v>
      </c>
      <c r="AS153" s="115" t="s">
        <v>573</v>
      </c>
      <c r="AT153" s="6">
        <f t="shared" si="19"/>
        <v>0</v>
      </c>
      <c r="AU153" s="115">
        <v>0</v>
      </c>
      <c r="AV153" s="1">
        <f t="shared" si="7"/>
        <v>0</v>
      </c>
      <c r="AW153" s="115">
        <v>0</v>
      </c>
      <c r="AX153" s="1">
        <f t="shared" si="24"/>
        <v>0</v>
      </c>
      <c r="AY153" s="5" t="s">
        <v>573</v>
      </c>
      <c r="AZ153" s="1">
        <f t="shared" si="9"/>
        <v>0</v>
      </c>
      <c r="BA153" s="5" t="s">
        <v>573</v>
      </c>
      <c r="BB153" s="1">
        <f t="shared" si="10"/>
        <v>0</v>
      </c>
      <c r="BC153" s="5" t="s">
        <v>573</v>
      </c>
      <c r="BD153" s="1">
        <f t="shared" si="3"/>
        <v>0</v>
      </c>
      <c r="BE153" s="150" t="s">
        <v>573</v>
      </c>
      <c r="BF153" s="1">
        <f t="shared" si="20"/>
        <v>0</v>
      </c>
      <c r="BG153" s="150"/>
      <c r="BH153" s="1">
        <f t="shared" si="23"/>
        <v>0</v>
      </c>
      <c r="BI153" s="150" t="s">
        <v>573</v>
      </c>
      <c r="BJ153" s="1">
        <f t="shared" si="21"/>
        <v>0</v>
      </c>
      <c r="BK153" s="156">
        <v>2880</v>
      </c>
      <c r="BL153" s="1">
        <f t="shared" si="22"/>
        <v>0</v>
      </c>
      <c r="BM153" s="142" t="s">
        <v>765</v>
      </c>
      <c r="BN153" s="136" t="s">
        <v>17</v>
      </c>
      <c r="BO153" s="139" t="s">
        <v>754</v>
      </c>
      <c r="BP153" s="137"/>
    </row>
    <row r="154" spans="1:68" ht="15.75" customHeight="1">
      <c r="A154" s="109" t="s">
        <v>751</v>
      </c>
      <c r="B154" s="122" t="s">
        <v>199</v>
      </c>
      <c r="C154" s="301"/>
      <c r="D154" s="304"/>
      <c r="E154" s="304"/>
      <c r="F154" s="297"/>
      <c r="G154" s="78">
        <v>2019</v>
      </c>
      <c r="H154" s="105" t="s">
        <v>729</v>
      </c>
      <c r="I154" s="103" t="s">
        <v>201</v>
      </c>
      <c r="J154" s="102" t="s">
        <v>197</v>
      </c>
      <c r="K154" s="105" t="s">
        <v>753</v>
      </c>
      <c r="L154" s="105" t="s">
        <v>192</v>
      </c>
      <c r="M154" s="13" t="s">
        <v>193</v>
      </c>
      <c r="N154" s="13">
        <v>9.9600000000000009</v>
      </c>
      <c r="O154" s="13">
        <v>10.23</v>
      </c>
      <c r="P154" s="13">
        <v>10.23</v>
      </c>
      <c r="Q154" s="13">
        <v>10.23</v>
      </c>
      <c r="R154" s="13">
        <v>10.23</v>
      </c>
      <c r="S154" s="13">
        <v>10.23</v>
      </c>
      <c r="T154" s="13">
        <v>10.23</v>
      </c>
      <c r="U154" s="13">
        <v>10.23</v>
      </c>
      <c r="V154" s="13">
        <v>10.23</v>
      </c>
      <c r="W154" s="13">
        <v>10.23</v>
      </c>
      <c r="X154" s="13">
        <v>10.23</v>
      </c>
      <c r="Y154" s="13">
        <v>10.23</v>
      </c>
      <c r="Z154" s="13">
        <v>10.23</v>
      </c>
      <c r="AA154" s="13">
        <v>10.23</v>
      </c>
      <c r="AB154" s="40">
        <v>0</v>
      </c>
      <c r="AC154" s="40">
        <v>0</v>
      </c>
      <c r="AD154" s="40">
        <v>0</v>
      </c>
      <c r="AE154" s="40">
        <v>0</v>
      </c>
      <c r="AF154" s="40">
        <v>0</v>
      </c>
      <c r="AG154" s="40">
        <v>0</v>
      </c>
      <c r="AH154" s="40">
        <v>0</v>
      </c>
      <c r="AI154" s="40">
        <v>0</v>
      </c>
      <c r="AJ154" s="40">
        <v>0</v>
      </c>
      <c r="AK154" s="40">
        <v>0</v>
      </c>
      <c r="AL154" s="40">
        <v>0</v>
      </c>
      <c r="AM154" s="40">
        <v>0</v>
      </c>
      <c r="AN154" s="40">
        <v>0</v>
      </c>
      <c r="AO154" s="116">
        <v>10080</v>
      </c>
      <c r="AP154" s="6">
        <f t="shared" si="0"/>
        <v>0</v>
      </c>
      <c r="AQ154" s="115">
        <v>1280</v>
      </c>
      <c r="AR154" s="6">
        <f t="shared" si="1"/>
        <v>0</v>
      </c>
      <c r="AS154" s="115" t="s">
        <v>573</v>
      </c>
      <c r="AT154" s="6">
        <f t="shared" si="19"/>
        <v>0</v>
      </c>
      <c r="AU154" s="115">
        <v>0</v>
      </c>
      <c r="AV154" s="1">
        <f t="shared" si="7"/>
        <v>0</v>
      </c>
      <c r="AW154" s="115">
        <v>0</v>
      </c>
      <c r="AX154" s="1">
        <f t="shared" si="24"/>
        <v>0</v>
      </c>
      <c r="AY154" s="5">
        <v>12960</v>
      </c>
      <c r="AZ154" s="1">
        <f t="shared" si="9"/>
        <v>0</v>
      </c>
      <c r="BA154" s="5">
        <v>3200</v>
      </c>
      <c r="BB154" s="1">
        <f t="shared" si="10"/>
        <v>0</v>
      </c>
      <c r="BC154" s="5">
        <v>7680</v>
      </c>
      <c r="BD154" s="1">
        <f t="shared" si="3"/>
        <v>0</v>
      </c>
      <c r="BE154" s="150">
        <v>3840</v>
      </c>
      <c r="BF154" s="1">
        <f t="shared" si="20"/>
        <v>0</v>
      </c>
      <c r="BG154" s="150">
        <v>1280</v>
      </c>
      <c r="BH154" s="1">
        <f t="shared" si="23"/>
        <v>0</v>
      </c>
      <c r="BI154" s="150">
        <v>2560</v>
      </c>
      <c r="BJ154" s="1">
        <f t="shared" si="21"/>
        <v>0</v>
      </c>
      <c r="BK154" s="156">
        <v>2560</v>
      </c>
      <c r="BL154" s="1">
        <f t="shared" si="22"/>
        <v>0</v>
      </c>
      <c r="BM154" s="142" t="s">
        <v>556</v>
      </c>
      <c r="BN154" s="136" t="s">
        <v>17</v>
      </c>
      <c r="BO154" s="139" t="s">
        <v>754</v>
      </c>
      <c r="BP154" s="137">
        <v>45961</v>
      </c>
    </row>
    <row r="155" spans="1:68" ht="15.75" customHeight="1">
      <c r="A155" s="109" t="s">
        <v>751</v>
      </c>
      <c r="B155" s="122" t="s">
        <v>199</v>
      </c>
      <c r="C155" s="301"/>
      <c r="D155" s="304"/>
      <c r="E155" s="304"/>
      <c r="F155" s="297"/>
      <c r="G155" s="78">
        <v>2019</v>
      </c>
      <c r="H155" s="105" t="s">
        <v>729</v>
      </c>
      <c r="I155" s="103" t="s">
        <v>201</v>
      </c>
      <c r="J155" s="102" t="s">
        <v>197</v>
      </c>
      <c r="K155" s="105" t="s">
        <v>753</v>
      </c>
      <c r="L155" s="105" t="s">
        <v>192</v>
      </c>
      <c r="M155" s="13" t="s">
        <v>193</v>
      </c>
      <c r="N155" s="13">
        <v>9.9600000000000009</v>
      </c>
      <c r="O155" s="13">
        <v>10.130000000000001</v>
      </c>
      <c r="P155" s="13">
        <v>10.130000000000001</v>
      </c>
      <c r="Q155" s="13">
        <v>10.130000000000001</v>
      </c>
      <c r="R155" s="13">
        <v>10.130000000000001</v>
      </c>
      <c r="S155" s="13">
        <v>10.130000000000001</v>
      </c>
      <c r="T155" s="13">
        <v>10.130000000000001</v>
      </c>
      <c r="U155" s="13">
        <v>10.130000000000001</v>
      </c>
      <c r="V155" s="13">
        <v>10.130000000000001</v>
      </c>
      <c r="W155" s="13">
        <v>10.130000000000001</v>
      </c>
      <c r="X155" s="13">
        <v>10.130000000000001</v>
      </c>
      <c r="Y155" s="13">
        <v>10.130000000000001</v>
      </c>
      <c r="Z155" s="13">
        <v>10.130000000000001</v>
      </c>
      <c r="AA155" s="13">
        <v>10.130000000000001</v>
      </c>
      <c r="AB155" s="40">
        <v>0</v>
      </c>
      <c r="AC155" s="40">
        <v>0</v>
      </c>
      <c r="AD155" s="40">
        <v>0</v>
      </c>
      <c r="AE155" s="40">
        <v>0</v>
      </c>
      <c r="AF155" s="40">
        <v>0</v>
      </c>
      <c r="AG155" s="40">
        <v>0</v>
      </c>
      <c r="AH155" s="40">
        <v>0</v>
      </c>
      <c r="AI155" s="40">
        <v>0</v>
      </c>
      <c r="AJ155" s="40">
        <v>0</v>
      </c>
      <c r="AK155" s="40">
        <v>0</v>
      </c>
      <c r="AL155" s="40">
        <v>0</v>
      </c>
      <c r="AM155" s="40">
        <v>0</v>
      </c>
      <c r="AN155" s="40">
        <v>0</v>
      </c>
      <c r="AO155" s="116">
        <v>0</v>
      </c>
      <c r="AP155" s="6">
        <f>AC155*AO155</f>
        <v>0</v>
      </c>
      <c r="AQ155" s="115">
        <v>7200</v>
      </c>
      <c r="AR155" s="6">
        <f>AD155*AQ155</f>
        <v>0</v>
      </c>
      <c r="AS155" s="115" t="s">
        <v>573</v>
      </c>
      <c r="AT155" s="6">
        <f t="shared" si="19"/>
        <v>0</v>
      </c>
      <c r="AU155" s="115">
        <v>0</v>
      </c>
      <c r="AV155" s="1">
        <f>AF155*AU155</f>
        <v>0</v>
      </c>
      <c r="AW155" s="115">
        <v>7680</v>
      </c>
      <c r="AX155" s="1">
        <f t="shared" si="24"/>
        <v>0</v>
      </c>
      <c r="AY155" s="5" t="s">
        <v>573</v>
      </c>
      <c r="AZ155" s="1">
        <f>AH155*AY155</f>
        <v>0</v>
      </c>
      <c r="BA155" s="5" t="s">
        <v>573</v>
      </c>
      <c r="BB155" s="1">
        <f t="shared" si="10"/>
        <v>0</v>
      </c>
      <c r="BC155" s="5">
        <v>8960</v>
      </c>
      <c r="BD155" s="1">
        <f t="shared" si="3"/>
        <v>0</v>
      </c>
      <c r="BE155" s="150" t="s">
        <v>573</v>
      </c>
      <c r="BF155" s="1">
        <f t="shared" si="20"/>
        <v>0</v>
      </c>
      <c r="BG155" s="150" t="s">
        <v>573</v>
      </c>
      <c r="BH155" s="1">
        <f t="shared" si="23"/>
        <v>0</v>
      </c>
      <c r="BI155" s="150" t="s">
        <v>573</v>
      </c>
      <c r="BJ155" s="1">
        <f t="shared" si="21"/>
        <v>0</v>
      </c>
      <c r="BK155" s="156" t="s">
        <v>573</v>
      </c>
      <c r="BL155" s="1">
        <f t="shared" si="22"/>
        <v>0</v>
      </c>
      <c r="BM155" s="142" t="s">
        <v>553</v>
      </c>
      <c r="BN155" s="136" t="s">
        <v>497</v>
      </c>
      <c r="BO155" s="139" t="s">
        <v>197</v>
      </c>
      <c r="BP155" s="137">
        <v>45961</v>
      </c>
    </row>
    <row r="156" spans="1:68" ht="15.75" customHeight="1">
      <c r="A156" s="109" t="s">
        <v>751</v>
      </c>
      <c r="B156" s="122" t="s">
        <v>199</v>
      </c>
      <c r="C156" s="301"/>
      <c r="D156" s="304"/>
      <c r="E156" s="304"/>
      <c r="F156" s="297"/>
      <c r="G156" s="78">
        <v>2019</v>
      </c>
      <c r="H156" s="105" t="s">
        <v>729</v>
      </c>
      <c r="I156" s="103" t="s">
        <v>201</v>
      </c>
      <c r="J156" s="103" t="s">
        <v>197</v>
      </c>
      <c r="K156" s="105" t="s">
        <v>753</v>
      </c>
      <c r="L156" s="105" t="s">
        <v>192</v>
      </c>
      <c r="M156" s="13" t="s">
        <v>193</v>
      </c>
      <c r="N156" s="13">
        <v>9.9600000000000009</v>
      </c>
      <c r="O156" s="13">
        <v>10.27</v>
      </c>
      <c r="P156" s="13">
        <v>10.27</v>
      </c>
      <c r="Q156" s="13">
        <v>10.27</v>
      </c>
      <c r="R156" s="13">
        <v>10.27</v>
      </c>
      <c r="S156" s="13">
        <v>10.27</v>
      </c>
      <c r="T156" s="13">
        <v>10.27</v>
      </c>
      <c r="U156" s="13">
        <v>10.27</v>
      </c>
      <c r="V156" s="13">
        <v>10.27</v>
      </c>
      <c r="W156" s="13">
        <v>10.27</v>
      </c>
      <c r="X156" s="13">
        <v>10.27</v>
      </c>
      <c r="Y156" s="13">
        <v>10.27</v>
      </c>
      <c r="Z156" s="13">
        <v>10.27</v>
      </c>
      <c r="AA156" s="13">
        <v>10.27</v>
      </c>
      <c r="AB156" s="40">
        <v>0</v>
      </c>
      <c r="AC156" s="40">
        <v>0</v>
      </c>
      <c r="AD156" s="40">
        <v>0</v>
      </c>
      <c r="AE156" s="40">
        <v>0</v>
      </c>
      <c r="AF156" s="40">
        <v>0</v>
      </c>
      <c r="AG156" s="40">
        <v>0</v>
      </c>
      <c r="AH156" s="40">
        <v>0</v>
      </c>
      <c r="AI156" s="40">
        <v>0</v>
      </c>
      <c r="AJ156" s="40">
        <v>0</v>
      </c>
      <c r="AK156" s="40">
        <v>0</v>
      </c>
      <c r="AL156" s="40">
        <v>0</v>
      </c>
      <c r="AM156" s="40">
        <v>0</v>
      </c>
      <c r="AN156" s="40">
        <v>0</v>
      </c>
      <c r="AO156" s="116">
        <v>0</v>
      </c>
      <c r="AP156" s="6">
        <f t="shared" si="0"/>
        <v>0</v>
      </c>
      <c r="AQ156" s="115">
        <v>0</v>
      </c>
      <c r="AR156" s="6">
        <f t="shared" si="1"/>
        <v>0</v>
      </c>
      <c r="AS156" s="115" t="s">
        <v>573</v>
      </c>
      <c r="AT156" s="6">
        <f t="shared" si="19"/>
        <v>0</v>
      </c>
      <c r="AU156" s="115">
        <v>0</v>
      </c>
      <c r="AV156" s="1">
        <f>AF156*AU156</f>
        <v>0</v>
      </c>
      <c r="AW156" s="115">
        <v>1280</v>
      </c>
      <c r="AX156" s="1">
        <f t="shared" si="24"/>
        <v>0</v>
      </c>
      <c r="AY156" s="5" t="s">
        <v>573</v>
      </c>
      <c r="AZ156" s="1">
        <f t="shared" si="9"/>
        <v>0</v>
      </c>
      <c r="BA156" s="5" t="s">
        <v>573</v>
      </c>
      <c r="BB156" s="1">
        <f t="shared" si="10"/>
        <v>0</v>
      </c>
      <c r="BC156" s="5" t="s">
        <v>573</v>
      </c>
      <c r="BD156" s="1">
        <f t="shared" si="3"/>
        <v>0</v>
      </c>
      <c r="BE156" s="150" t="s">
        <v>573</v>
      </c>
      <c r="BF156" s="1">
        <f t="shared" si="20"/>
        <v>0</v>
      </c>
      <c r="BG156" s="150" t="s">
        <v>573</v>
      </c>
      <c r="BH156" s="1">
        <f t="shared" si="23"/>
        <v>0</v>
      </c>
      <c r="BI156" s="150">
        <v>6400</v>
      </c>
      <c r="BJ156" s="1">
        <f t="shared" si="21"/>
        <v>0</v>
      </c>
      <c r="BK156" s="156" t="s">
        <v>573</v>
      </c>
      <c r="BL156" s="1">
        <f t="shared" si="22"/>
        <v>0</v>
      </c>
      <c r="BM156" s="142" t="s">
        <v>554</v>
      </c>
      <c r="BN156" s="136" t="s">
        <v>17</v>
      </c>
      <c r="BO156" s="139" t="s">
        <v>1310</v>
      </c>
      <c r="BP156" s="137">
        <v>45961</v>
      </c>
    </row>
    <row r="157" spans="1:68" ht="15.75" customHeight="1">
      <c r="A157" s="109" t="s">
        <v>751</v>
      </c>
      <c r="B157" s="122" t="s">
        <v>199</v>
      </c>
      <c r="C157" s="301"/>
      <c r="D157" s="304"/>
      <c r="E157" s="304"/>
      <c r="F157" s="297"/>
      <c r="G157" s="78">
        <v>2020</v>
      </c>
      <c r="H157" s="105" t="s">
        <v>716</v>
      </c>
      <c r="I157" s="76" t="s">
        <v>201</v>
      </c>
      <c r="J157" s="102" t="s">
        <v>197</v>
      </c>
      <c r="K157" s="105" t="s">
        <v>221</v>
      </c>
      <c r="L157" s="105" t="s">
        <v>192</v>
      </c>
      <c r="M157" s="13" t="s">
        <v>193</v>
      </c>
      <c r="N157" s="13">
        <v>5.77</v>
      </c>
      <c r="O157" s="13">
        <v>5.66</v>
      </c>
      <c r="P157" s="13">
        <v>5.66</v>
      </c>
      <c r="Q157" s="13">
        <v>5.66</v>
      </c>
      <c r="R157" s="13">
        <v>5.66</v>
      </c>
      <c r="S157" s="13">
        <v>5.66</v>
      </c>
      <c r="T157" s="13">
        <v>5.66</v>
      </c>
      <c r="U157" s="13">
        <v>5.66</v>
      </c>
      <c r="V157" s="13">
        <v>5.66</v>
      </c>
      <c r="W157" s="13">
        <v>5.66</v>
      </c>
      <c r="X157" s="13">
        <v>5.66</v>
      </c>
      <c r="Y157" s="13">
        <v>5.66</v>
      </c>
      <c r="Z157" s="13">
        <v>5.66</v>
      </c>
      <c r="AA157" s="13">
        <v>5.66</v>
      </c>
      <c r="AB157" s="40">
        <v>0</v>
      </c>
      <c r="AC157" s="40">
        <v>0</v>
      </c>
      <c r="AD157" s="40">
        <v>0</v>
      </c>
      <c r="AE157" s="40">
        <v>0</v>
      </c>
      <c r="AF157" s="40">
        <v>0</v>
      </c>
      <c r="AG157" s="40">
        <v>0</v>
      </c>
      <c r="AH157" s="40">
        <v>0</v>
      </c>
      <c r="AI157" s="40">
        <v>0</v>
      </c>
      <c r="AJ157" s="40">
        <v>0</v>
      </c>
      <c r="AK157" s="40">
        <v>0</v>
      </c>
      <c r="AL157" s="40">
        <v>0</v>
      </c>
      <c r="AM157" s="40">
        <v>0</v>
      </c>
      <c r="AN157" s="40">
        <v>0</v>
      </c>
      <c r="AO157" s="116">
        <v>2880</v>
      </c>
      <c r="AP157" s="6">
        <f t="shared" si="0"/>
        <v>0</v>
      </c>
      <c r="AQ157" s="115">
        <v>0</v>
      </c>
      <c r="AR157" s="6">
        <f t="shared" si="1"/>
        <v>0</v>
      </c>
      <c r="AS157" s="115" t="s">
        <v>573</v>
      </c>
      <c r="AT157" s="6">
        <f t="shared" si="19"/>
        <v>0</v>
      </c>
      <c r="AU157" s="115">
        <v>0</v>
      </c>
      <c r="AV157" s="1">
        <f t="shared" si="7"/>
        <v>0</v>
      </c>
      <c r="AW157" s="115">
        <v>5760</v>
      </c>
      <c r="AX157" s="1">
        <f t="shared" si="24"/>
        <v>0</v>
      </c>
      <c r="AY157" s="5">
        <v>4320</v>
      </c>
      <c r="AZ157" s="1">
        <f t="shared" si="9"/>
        <v>0</v>
      </c>
      <c r="BA157" s="5" t="s">
        <v>573</v>
      </c>
      <c r="BB157" s="1">
        <f t="shared" si="10"/>
        <v>0</v>
      </c>
      <c r="BC157" s="5">
        <v>4320</v>
      </c>
      <c r="BD157" s="1">
        <f t="shared" si="3"/>
        <v>0</v>
      </c>
      <c r="BE157" s="150">
        <v>4320</v>
      </c>
      <c r="BF157" s="1">
        <f t="shared" si="20"/>
        <v>0</v>
      </c>
      <c r="BG157" s="150">
        <v>1440</v>
      </c>
      <c r="BH157" s="1">
        <f t="shared" si="23"/>
        <v>0</v>
      </c>
      <c r="BI157" s="150">
        <v>4320</v>
      </c>
      <c r="BJ157" s="1">
        <f t="shared" si="21"/>
        <v>0</v>
      </c>
      <c r="BK157" s="156">
        <v>1440</v>
      </c>
      <c r="BL157" s="1">
        <f t="shared" si="22"/>
        <v>0</v>
      </c>
      <c r="BM157" s="141" t="s">
        <v>653</v>
      </c>
      <c r="BN157" s="136" t="s">
        <v>17</v>
      </c>
      <c r="BO157" s="139" t="s">
        <v>754</v>
      </c>
      <c r="BP157" s="137">
        <v>45596</v>
      </c>
    </row>
    <row r="158" spans="1:68" ht="15.75" customHeight="1">
      <c r="A158" s="109" t="s">
        <v>751</v>
      </c>
      <c r="B158" s="122" t="s">
        <v>199</v>
      </c>
      <c r="C158" s="301"/>
      <c r="D158" s="304"/>
      <c r="E158" s="304"/>
      <c r="F158" s="297"/>
      <c r="G158" s="78">
        <v>2020</v>
      </c>
      <c r="H158" s="105" t="s">
        <v>716</v>
      </c>
      <c r="I158" s="76" t="s">
        <v>201</v>
      </c>
      <c r="J158" s="102" t="s">
        <v>197</v>
      </c>
      <c r="K158" s="105" t="s">
        <v>221</v>
      </c>
      <c r="L158" s="105" t="s">
        <v>192</v>
      </c>
      <c r="M158" s="13" t="s">
        <v>193</v>
      </c>
      <c r="N158" s="13">
        <v>6.07</v>
      </c>
      <c r="O158" s="13">
        <v>5.86</v>
      </c>
      <c r="P158" s="13">
        <v>5.86</v>
      </c>
      <c r="Q158" s="13">
        <v>5.86</v>
      </c>
      <c r="R158" s="13">
        <v>5.86</v>
      </c>
      <c r="S158" s="13">
        <v>5.86</v>
      </c>
      <c r="T158" s="13">
        <v>5.86</v>
      </c>
      <c r="U158" s="13">
        <v>5.86</v>
      </c>
      <c r="V158" s="13">
        <v>5.86</v>
      </c>
      <c r="W158" s="13">
        <v>5.86</v>
      </c>
      <c r="X158" s="13">
        <v>5.86</v>
      </c>
      <c r="Y158" s="13">
        <v>5.86</v>
      </c>
      <c r="Z158" s="13">
        <v>5.86</v>
      </c>
      <c r="AA158" s="13">
        <v>5.86</v>
      </c>
      <c r="AB158" s="40">
        <v>0</v>
      </c>
      <c r="AC158" s="40">
        <v>0</v>
      </c>
      <c r="AD158" s="40">
        <v>0</v>
      </c>
      <c r="AE158" s="40">
        <v>0</v>
      </c>
      <c r="AF158" s="40">
        <v>0</v>
      </c>
      <c r="AG158" s="40">
        <v>0</v>
      </c>
      <c r="AH158" s="40">
        <v>0</v>
      </c>
      <c r="AI158" s="40">
        <v>0</v>
      </c>
      <c r="AJ158" s="40">
        <v>0</v>
      </c>
      <c r="AK158" s="40">
        <v>0</v>
      </c>
      <c r="AL158" s="40">
        <v>0</v>
      </c>
      <c r="AM158" s="40">
        <v>0</v>
      </c>
      <c r="AN158" s="40">
        <v>0</v>
      </c>
      <c r="AO158" s="116">
        <v>4320</v>
      </c>
      <c r="AP158" s="6">
        <f t="shared" si="0"/>
        <v>0</v>
      </c>
      <c r="AQ158" s="115">
        <v>1440</v>
      </c>
      <c r="AR158" s="6">
        <f t="shared" si="1"/>
        <v>0</v>
      </c>
      <c r="AS158" s="115">
        <v>1440</v>
      </c>
      <c r="AT158" s="6">
        <f t="shared" si="19"/>
        <v>0</v>
      </c>
      <c r="AU158" s="115">
        <v>1440</v>
      </c>
      <c r="AV158" s="1">
        <f t="shared" si="7"/>
        <v>0</v>
      </c>
      <c r="AW158" s="115">
        <v>3440</v>
      </c>
      <c r="AX158" s="1">
        <f t="shared" si="24"/>
        <v>0</v>
      </c>
      <c r="AY158" s="5">
        <v>4440</v>
      </c>
      <c r="AZ158" s="1">
        <f t="shared" si="9"/>
        <v>0</v>
      </c>
      <c r="BA158" s="5" t="s">
        <v>573</v>
      </c>
      <c r="BB158" s="1">
        <f t="shared" si="10"/>
        <v>0</v>
      </c>
      <c r="BC158" s="5">
        <v>1440</v>
      </c>
      <c r="BD158" s="1">
        <f t="shared" si="3"/>
        <v>0</v>
      </c>
      <c r="BE158" s="150" t="s">
        <v>573</v>
      </c>
      <c r="BF158" s="1">
        <f t="shared" si="20"/>
        <v>0</v>
      </c>
      <c r="BG158" s="150" t="s">
        <v>573</v>
      </c>
      <c r="BH158" s="1">
        <f t="shared" si="23"/>
        <v>0</v>
      </c>
      <c r="BI158" s="150">
        <v>2880</v>
      </c>
      <c r="BJ158" s="1">
        <f t="shared" si="21"/>
        <v>0</v>
      </c>
      <c r="BK158" s="156">
        <v>1440</v>
      </c>
      <c r="BL158" s="1">
        <f t="shared" si="22"/>
        <v>0</v>
      </c>
      <c r="BM158" s="141" t="s">
        <v>652</v>
      </c>
      <c r="BN158" s="136" t="s">
        <v>6</v>
      </c>
      <c r="BO158" s="139" t="s">
        <v>763</v>
      </c>
      <c r="BP158" s="137">
        <v>45596</v>
      </c>
    </row>
    <row r="159" spans="1:68" ht="15.75" customHeight="1">
      <c r="A159" s="109" t="s">
        <v>751</v>
      </c>
      <c r="B159" s="122" t="s">
        <v>199</v>
      </c>
      <c r="C159" s="301"/>
      <c r="D159" s="304"/>
      <c r="E159" s="304"/>
      <c r="F159" s="297"/>
      <c r="G159" s="78">
        <v>2020</v>
      </c>
      <c r="H159" s="105" t="str">
        <f>_xlfn.XLOOKUP(BM159,'[5]Package breakdown0503'!$F:$F,'[5]Package breakdown0503'!$B:$B)</f>
        <v>Capri</v>
      </c>
      <c r="I159" s="76" t="s">
        <v>201</v>
      </c>
      <c r="J159" s="102" t="s">
        <v>197</v>
      </c>
      <c r="K159" s="105" t="s">
        <v>221</v>
      </c>
      <c r="L159" s="105" t="s">
        <v>192</v>
      </c>
      <c r="M159" s="13" t="s">
        <v>193</v>
      </c>
      <c r="N159" s="13">
        <v>5.77</v>
      </c>
      <c r="O159" s="13">
        <v>5.56</v>
      </c>
      <c r="P159" s="13">
        <v>5.56</v>
      </c>
      <c r="Q159" s="13">
        <v>5.56</v>
      </c>
      <c r="R159" s="13">
        <v>5.56</v>
      </c>
      <c r="S159" s="13">
        <v>5.56</v>
      </c>
      <c r="T159" s="13">
        <v>5.56</v>
      </c>
      <c r="U159" s="13">
        <v>5.56</v>
      </c>
      <c r="V159" s="13">
        <v>5.56</v>
      </c>
      <c r="W159" s="13">
        <v>5.56</v>
      </c>
      <c r="X159" s="13">
        <v>5.56</v>
      </c>
      <c r="Y159" s="13">
        <v>5.56</v>
      </c>
      <c r="Z159" s="13">
        <v>5.56</v>
      </c>
      <c r="AA159" s="13">
        <v>5.56</v>
      </c>
      <c r="AB159" s="40">
        <v>0</v>
      </c>
      <c r="AC159" s="40">
        <v>0</v>
      </c>
      <c r="AD159" s="40">
        <v>0</v>
      </c>
      <c r="AE159" s="40">
        <v>0</v>
      </c>
      <c r="AF159" s="40">
        <v>0</v>
      </c>
      <c r="AG159" s="40">
        <v>0</v>
      </c>
      <c r="AH159" s="40">
        <v>0</v>
      </c>
      <c r="AI159" s="40">
        <v>0</v>
      </c>
      <c r="AJ159" s="40">
        <v>0</v>
      </c>
      <c r="AK159" s="40">
        <v>0</v>
      </c>
      <c r="AL159" s="40">
        <v>0</v>
      </c>
      <c r="AM159" s="40">
        <v>0</v>
      </c>
      <c r="AN159" s="40">
        <v>0</v>
      </c>
      <c r="AO159" s="116">
        <v>0</v>
      </c>
      <c r="AP159" s="6">
        <f t="shared" si="0"/>
        <v>0</v>
      </c>
      <c r="AQ159" s="115">
        <v>0</v>
      </c>
      <c r="AR159" s="6">
        <f t="shared" si="1"/>
        <v>0</v>
      </c>
      <c r="AS159" s="115" t="s">
        <v>573</v>
      </c>
      <c r="AT159" s="6">
        <f t="shared" si="19"/>
        <v>0</v>
      </c>
      <c r="AU159" s="115">
        <v>0</v>
      </c>
      <c r="AV159" s="1">
        <f t="shared" si="7"/>
        <v>0</v>
      </c>
      <c r="AW159" s="115">
        <v>0</v>
      </c>
      <c r="AX159" s="1">
        <f t="shared" si="24"/>
        <v>0</v>
      </c>
      <c r="AY159" s="5" t="s">
        <v>573</v>
      </c>
      <c r="AZ159" s="1">
        <f t="shared" si="9"/>
        <v>0</v>
      </c>
      <c r="BA159" s="5" t="s">
        <v>573</v>
      </c>
      <c r="BB159" s="1">
        <f t="shared" si="10"/>
        <v>0</v>
      </c>
      <c r="BC159" s="5" t="s">
        <v>573</v>
      </c>
      <c r="BD159" s="1">
        <f t="shared" si="3"/>
        <v>0</v>
      </c>
      <c r="BE159" s="150" t="s">
        <v>573</v>
      </c>
      <c r="BF159" s="1">
        <f t="shared" si="20"/>
        <v>0</v>
      </c>
      <c r="BG159" s="150" t="s">
        <v>573</v>
      </c>
      <c r="BH159" s="1">
        <f t="shared" si="23"/>
        <v>0</v>
      </c>
      <c r="BI159" s="150" t="s">
        <v>573</v>
      </c>
      <c r="BJ159" s="1">
        <f t="shared" si="21"/>
        <v>0</v>
      </c>
      <c r="BK159" s="156" t="s">
        <v>573</v>
      </c>
      <c r="BL159" s="1">
        <f t="shared" si="22"/>
        <v>0</v>
      </c>
      <c r="BM159" s="141" t="s">
        <v>651</v>
      </c>
      <c r="BN159" s="136" t="s">
        <v>497</v>
      </c>
      <c r="BO159" s="139" t="s">
        <v>197</v>
      </c>
      <c r="BP159" s="137">
        <v>45596</v>
      </c>
    </row>
    <row r="160" spans="1:68" ht="15.75" customHeight="1">
      <c r="A160" s="109" t="s">
        <v>751</v>
      </c>
      <c r="B160" s="122" t="s">
        <v>199</v>
      </c>
      <c r="C160" s="301"/>
      <c r="D160" s="304"/>
      <c r="E160" s="304"/>
      <c r="F160" s="297"/>
      <c r="G160" s="78">
        <v>2020</v>
      </c>
      <c r="H160" s="105" t="s">
        <v>5</v>
      </c>
      <c r="I160" s="103" t="s">
        <v>201</v>
      </c>
      <c r="J160" s="103" t="s">
        <v>197</v>
      </c>
      <c r="K160" s="105" t="s">
        <v>753</v>
      </c>
      <c r="L160" s="105" t="s">
        <v>192</v>
      </c>
      <c r="M160" s="13" t="s">
        <v>193</v>
      </c>
      <c r="N160" s="13">
        <v>9.0299999999999994</v>
      </c>
      <c r="O160" s="13">
        <v>8.8699999999999992</v>
      </c>
      <c r="P160" s="13">
        <v>8.8699999999999992</v>
      </c>
      <c r="Q160" s="13">
        <v>8.8699999999999992</v>
      </c>
      <c r="R160" s="13">
        <v>8.8699999999999992</v>
      </c>
      <c r="S160" s="13">
        <v>8.8699999999999992</v>
      </c>
      <c r="T160" s="13">
        <v>8.8699999999999992</v>
      </c>
      <c r="U160" s="13">
        <v>8.8699999999999992</v>
      </c>
      <c r="V160" s="13">
        <v>8.8699999999999992</v>
      </c>
      <c r="W160" s="13">
        <v>8.8699999999999992</v>
      </c>
      <c r="X160" s="13">
        <v>8.8699999999999992</v>
      </c>
      <c r="Y160" s="13">
        <v>8.8699999999999992</v>
      </c>
      <c r="Z160" s="13">
        <v>8.8699999999999992</v>
      </c>
      <c r="AA160" s="13">
        <v>8.8699999999999992</v>
      </c>
      <c r="AB160" s="40">
        <v>0.18</v>
      </c>
      <c r="AC160" s="40">
        <v>0.18</v>
      </c>
      <c r="AD160" s="40">
        <v>0.18</v>
      </c>
      <c r="AE160" s="40">
        <v>0.18</v>
      </c>
      <c r="AF160" s="40">
        <v>0.18</v>
      </c>
      <c r="AG160" s="40">
        <v>0.18</v>
      </c>
      <c r="AH160" s="40">
        <v>0.18</v>
      </c>
      <c r="AI160" s="40">
        <v>0.18</v>
      </c>
      <c r="AJ160" s="40">
        <v>0.18</v>
      </c>
      <c r="AK160" s="40">
        <v>0.18</v>
      </c>
      <c r="AL160" s="40">
        <v>0.18</v>
      </c>
      <c r="AM160" s="40">
        <v>0.18</v>
      </c>
      <c r="AN160" s="40">
        <v>0.18</v>
      </c>
      <c r="AO160" s="116">
        <v>0</v>
      </c>
      <c r="AP160" s="6">
        <f t="shared" si="0"/>
        <v>0</v>
      </c>
      <c r="AQ160" s="115">
        <v>0</v>
      </c>
      <c r="AR160" s="6">
        <f t="shared" si="1"/>
        <v>0</v>
      </c>
      <c r="AS160" s="115" t="s">
        <v>573</v>
      </c>
      <c r="AT160" s="6">
        <f t="shared" si="19"/>
        <v>0</v>
      </c>
      <c r="AU160" s="115">
        <v>0</v>
      </c>
      <c r="AV160" s="1">
        <f t="shared" si="7"/>
        <v>0</v>
      </c>
      <c r="AW160" s="115">
        <v>0</v>
      </c>
      <c r="AX160" s="1">
        <f t="shared" si="24"/>
        <v>0</v>
      </c>
      <c r="AY160" s="5" t="s">
        <v>573</v>
      </c>
      <c r="AZ160" s="1">
        <f t="shared" si="9"/>
        <v>0</v>
      </c>
      <c r="BA160" s="5">
        <v>12800</v>
      </c>
      <c r="BB160" s="1">
        <f t="shared" si="10"/>
        <v>2304</v>
      </c>
      <c r="BC160" s="5">
        <v>8960</v>
      </c>
      <c r="BD160" s="1">
        <f t="shared" si="3"/>
        <v>1612.8</v>
      </c>
      <c r="BE160" s="150">
        <v>3840</v>
      </c>
      <c r="BF160" s="1">
        <f t="shared" si="20"/>
        <v>691.19999999999993</v>
      </c>
      <c r="BG160" s="150">
        <v>11520</v>
      </c>
      <c r="BH160" s="1">
        <f t="shared" si="23"/>
        <v>2073.6</v>
      </c>
      <c r="BI160" s="150" t="s">
        <v>573</v>
      </c>
      <c r="BJ160" s="1">
        <f t="shared" si="21"/>
        <v>0</v>
      </c>
      <c r="BK160" s="156" t="s">
        <v>573</v>
      </c>
      <c r="BL160" s="1">
        <f t="shared" si="22"/>
        <v>0</v>
      </c>
      <c r="BM160" s="141" t="s">
        <v>21</v>
      </c>
      <c r="BN160" s="136" t="s">
        <v>17</v>
      </c>
      <c r="BO160" s="139" t="s">
        <v>1310</v>
      </c>
      <c r="BP160" s="137">
        <v>45961</v>
      </c>
    </row>
    <row r="161" spans="1:68" ht="15.75" customHeight="1">
      <c r="A161" s="109" t="s">
        <v>751</v>
      </c>
      <c r="B161" s="122" t="s">
        <v>199</v>
      </c>
      <c r="C161" s="301"/>
      <c r="D161" s="304"/>
      <c r="E161" s="304"/>
      <c r="F161" s="297"/>
      <c r="G161" s="78">
        <v>2020</v>
      </c>
      <c r="H161" s="105" t="s">
        <v>5</v>
      </c>
      <c r="I161" s="103" t="s">
        <v>201</v>
      </c>
      <c r="J161" s="102" t="s">
        <v>197</v>
      </c>
      <c r="K161" s="105" t="s">
        <v>753</v>
      </c>
      <c r="L161" s="105" t="s">
        <v>192</v>
      </c>
      <c r="M161" s="13" t="s">
        <v>193</v>
      </c>
      <c r="N161" s="13">
        <v>9.0299999999999994</v>
      </c>
      <c r="O161" s="13">
        <v>8.8699999999999992</v>
      </c>
      <c r="P161" s="13">
        <v>8.8699999999999992</v>
      </c>
      <c r="Q161" s="13">
        <v>8.8699999999999992</v>
      </c>
      <c r="R161" s="13">
        <v>8.8699999999999992</v>
      </c>
      <c r="S161" s="13">
        <v>8.8699999999999992</v>
      </c>
      <c r="T161" s="13">
        <v>8.8699999999999992</v>
      </c>
      <c r="U161" s="13">
        <v>8.8699999999999992</v>
      </c>
      <c r="V161" s="13">
        <v>8.8699999999999992</v>
      </c>
      <c r="W161" s="13">
        <v>8.8699999999999992</v>
      </c>
      <c r="X161" s="13">
        <v>8.8699999999999992</v>
      </c>
      <c r="Y161" s="13">
        <v>8.8699999999999992</v>
      </c>
      <c r="Z161" s="13">
        <v>8.8699999999999992</v>
      </c>
      <c r="AA161" s="13">
        <v>8.8699999999999992</v>
      </c>
      <c r="AB161" s="40">
        <v>0.18</v>
      </c>
      <c r="AC161" s="40">
        <v>0.18</v>
      </c>
      <c r="AD161" s="40">
        <v>0.18</v>
      </c>
      <c r="AE161" s="40">
        <v>0.18</v>
      </c>
      <c r="AF161" s="40">
        <v>0.18</v>
      </c>
      <c r="AG161" s="40">
        <v>0.18</v>
      </c>
      <c r="AH161" s="40">
        <v>0.18</v>
      </c>
      <c r="AI161" s="40">
        <v>0.18</v>
      </c>
      <c r="AJ161" s="40">
        <v>0.18</v>
      </c>
      <c r="AK161" s="40">
        <v>0.18</v>
      </c>
      <c r="AL161" s="40">
        <v>0.18</v>
      </c>
      <c r="AM161" s="40">
        <v>0.18</v>
      </c>
      <c r="AN161" s="40">
        <v>0.18</v>
      </c>
      <c r="AO161" s="116">
        <v>2560</v>
      </c>
      <c r="AP161" s="6">
        <f t="shared" si="0"/>
        <v>460.79999999999995</v>
      </c>
      <c r="AQ161" s="115">
        <v>2560</v>
      </c>
      <c r="AR161" s="6">
        <f t="shared" si="1"/>
        <v>460.79999999999995</v>
      </c>
      <c r="AS161" s="115">
        <v>6400</v>
      </c>
      <c r="AT161" s="6">
        <f t="shared" si="19"/>
        <v>1152</v>
      </c>
      <c r="AU161" s="115">
        <v>0</v>
      </c>
      <c r="AV161" s="1">
        <f t="shared" si="7"/>
        <v>0</v>
      </c>
      <c r="AW161" s="115">
        <v>6400</v>
      </c>
      <c r="AX161" s="1">
        <f t="shared" si="24"/>
        <v>1152</v>
      </c>
      <c r="AY161" s="5" t="s">
        <v>573</v>
      </c>
      <c r="AZ161" s="1">
        <f t="shared" si="9"/>
        <v>0</v>
      </c>
      <c r="BA161" s="5">
        <v>2560</v>
      </c>
      <c r="BB161" s="1">
        <f t="shared" si="10"/>
        <v>460.79999999999995</v>
      </c>
      <c r="BC161" s="5">
        <v>5120</v>
      </c>
      <c r="BD161" s="1">
        <f t="shared" si="3"/>
        <v>921.59999999999991</v>
      </c>
      <c r="BE161" s="150" t="s">
        <v>573</v>
      </c>
      <c r="BF161" s="1">
        <f t="shared" si="20"/>
        <v>0</v>
      </c>
      <c r="BG161" s="150">
        <v>3840</v>
      </c>
      <c r="BH161" s="1">
        <f t="shared" si="23"/>
        <v>691.19999999999993</v>
      </c>
      <c r="BI161" s="150">
        <v>2560</v>
      </c>
      <c r="BJ161" s="1">
        <f t="shared" si="21"/>
        <v>460.79999999999995</v>
      </c>
      <c r="BK161" s="156" t="s">
        <v>573</v>
      </c>
      <c r="BL161" s="1">
        <f t="shared" si="22"/>
        <v>0</v>
      </c>
      <c r="BM161" s="141" t="s">
        <v>20</v>
      </c>
      <c r="BN161" s="136" t="s">
        <v>17</v>
      </c>
      <c r="BO161" s="139" t="s">
        <v>1310</v>
      </c>
      <c r="BP161" s="137">
        <v>45961</v>
      </c>
    </row>
    <row r="162" spans="1:68" ht="15.75" customHeight="1">
      <c r="A162" s="109" t="s">
        <v>751</v>
      </c>
      <c r="B162" s="122" t="s">
        <v>199</v>
      </c>
      <c r="C162" s="301"/>
      <c r="D162" s="304"/>
      <c r="E162" s="304"/>
      <c r="F162" s="297"/>
      <c r="G162" s="78">
        <v>2020</v>
      </c>
      <c r="H162" s="105" t="s">
        <v>5</v>
      </c>
      <c r="I162" s="103" t="s">
        <v>201</v>
      </c>
      <c r="J162" s="102" t="s">
        <v>197</v>
      </c>
      <c r="K162" s="105" t="s">
        <v>753</v>
      </c>
      <c r="L162" s="105" t="s">
        <v>192</v>
      </c>
      <c r="M162" s="13" t="s">
        <v>193</v>
      </c>
      <c r="N162" s="13">
        <v>9.0299999999999994</v>
      </c>
      <c r="O162" s="13">
        <v>8.85</v>
      </c>
      <c r="P162" s="13">
        <v>8.85</v>
      </c>
      <c r="Q162" s="13">
        <v>8.85</v>
      </c>
      <c r="R162" s="13">
        <v>8.85</v>
      </c>
      <c r="S162" s="13">
        <v>8.85</v>
      </c>
      <c r="T162" s="13">
        <v>8.85</v>
      </c>
      <c r="U162" s="13">
        <v>8.85</v>
      </c>
      <c r="V162" s="13">
        <v>8.85</v>
      </c>
      <c r="W162" s="13">
        <v>8.85</v>
      </c>
      <c r="X162" s="13">
        <v>8.85</v>
      </c>
      <c r="Y162" s="13">
        <v>8.85</v>
      </c>
      <c r="Z162" s="13">
        <v>8.85</v>
      </c>
      <c r="AA162" s="13">
        <v>8.85</v>
      </c>
      <c r="AB162" s="40">
        <v>0.18</v>
      </c>
      <c r="AC162" s="40">
        <v>0.18</v>
      </c>
      <c r="AD162" s="40">
        <v>0.18</v>
      </c>
      <c r="AE162" s="40">
        <v>0.18</v>
      </c>
      <c r="AF162" s="40">
        <v>0.18</v>
      </c>
      <c r="AG162" s="40">
        <v>0.18</v>
      </c>
      <c r="AH162" s="40">
        <v>0.18</v>
      </c>
      <c r="AI162" s="40">
        <v>0.18</v>
      </c>
      <c r="AJ162" s="40">
        <v>0.18</v>
      </c>
      <c r="AK162" s="40">
        <v>0.18</v>
      </c>
      <c r="AL162" s="40">
        <v>0.18</v>
      </c>
      <c r="AM162" s="40">
        <v>0.18</v>
      </c>
      <c r="AN162" s="40">
        <v>0.18</v>
      </c>
      <c r="AO162" s="116">
        <v>0</v>
      </c>
      <c r="AP162" s="6">
        <f t="shared" si="0"/>
        <v>0</v>
      </c>
      <c r="AQ162" s="115">
        <v>5120</v>
      </c>
      <c r="AR162" s="6">
        <f t="shared" si="1"/>
        <v>921.59999999999991</v>
      </c>
      <c r="AS162" s="115">
        <v>16640</v>
      </c>
      <c r="AT162" s="6">
        <f t="shared" si="19"/>
        <v>2995.2</v>
      </c>
      <c r="AU162" s="115">
        <v>3840</v>
      </c>
      <c r="AV162" s="1">
        <f t="shared" si="7"/>
        <v>691.19999999999993</v>
      </c>
      <c r="AW162" s="115">
        <v>5120</v>
      </c>
      <c r="AX162" s="1">
        <f t="shared" si="24"/>
        <v>921.59999999999991</v>
      </c>
      <c r="AY162" s="5">
        <v>7680</v>
      </c>
      <c r="AZ162" s="1">
        <f t="shared" si="9"/>
        <v>1382.3999999999999</v>
      </c>
      <c r="BA162" s="5" t="s">
        <v>573</v>
      </c>
      <c r="BB162" s="1">
        <f t="shared" si="10"/>
        <v>0</v>
      </c>
      <c r="BC162" s="5">
        <v>5120</v>
      </c>
      <c r="BD162" s="1">
        <f t="shared" si="3"/>
        <v>921.59999999999991</v>
      </c>
      <c r="BE162" s="150">
        <v>6400</v>
      </c>
      <c r="BF162" s="1">
        <f t="shared" si="20"/>
        <v>1152</v>
      </c>
      <c r="BG162" s="150">
        <v>7680</v>
      </c>
      <c r="BH162" s="1">
        <f t="shared" si="23"/>
        <v>1382.3999999999999</v>
      </c>
      <c r="BI162" s="150">
        <v>12800</v>
      </c>
      <c r="BJ162" s="1">
        <f t="shared" si="21"/>
        <v>2304</v>
      </c>
      <c r="BK162" s="156">
        <v>8960</v>
      </c>
      <c r="BL162" s="1">
        <f t="shared" si="22"/>
        <v>1612.8</v>
      </c>
      <c r="BM162" s="141" t="s">
        <v>22</v>
      </c>
      <c r="BN162" s="136" t="s">
        <v>17</v>
      </c>
      <c r="BO162" s="139" t="s">
        <v>754</v>
      </c>
      <c r="BP162" s="137">
        <v>45961</v>
      </c>
    </row>
    <row r="163" spans="1:68" ht="15.75" customHeight="1">
      <c r="A163" s="109" t="s">
        <v>751</v>
      </c>
      <c r="B163" s="122" t="s">
        <v>199</v>
      </c>
      <c r="C163" s="301"/>
      <c r="D163" s="304"/>
      <c r="E163" s="304"/>
      <c r="F163" s="297"/>
      <c r="G163" s="78">
        <v>2020</v>
      </c>
      <c r="H163" s="105" t="str">
        <f>_xlfn.XLOOKUP(BM163,'[5]Package breakdown0503'!$F:$F,'[5]Package breakdown0503'!$B:$B)</f>
        <v>Brac</v>
      </c>
      <c r="I163" s="103" t="s">
        <v>201</v>
      </c>
      <c r="J163" s="102" t="s">
        <v>197</v>
      </c>
      <c r="K163" s="105" t="s">
        <v>753</v>
      </c>
      <c r="L163" s="105" t="s">
        <v>192</v>
      </c>
      <c r="M163" s="13" t="s">
        <v>193</v>
      </c>
      <c r="N163" s="13">
        <v>9.0299999999999994</v>
      </c>
      <c r="O163" s="13">
        <v>8.85</v>
      </c>
      <c r="P163" s="13">
        <v>8.85</v>
      </c>
      <c r="Q163" s="13">
        <v>8.85</v>
      </c>
      <c r="R163" s="13">
        <v>8.85</v>
      </c>
      <c r="S163" s="13">
        <v>8.85</v>
      </c>
      <c r="T163" s="13">
        <v>8.85</v>
      </c>
      <c r="U163" s="13">
        <v>8.85</v>
      </c>
      <c r="V163" s="13">
        <v>8.85</v>
      </c>
      <c r="W163" s="13">
        <v>8.85</v>
      </c>
      <c r="X163" s="13">
        <v>8.85</v>
      </c>
      <c r="Y163" s="13">
        <v>8.85</v>
      </c>
      <c r="Z163" s="13">
        <v>8.85</v>
      </c>
      <c r="AA163" s="13">
        <v>8.85</v>
      </c>
      <c r="AB163" s="40">
        <v>0.18</v>
      </c>
      <c r="AC163" s="40">
        <v>0.18</v>
      </c>
      <c r="AD163" s="40">
        <v>0.18</v>
      </c>
      <c r="AE163" s="40">
        <v>0.18</v>
      </c>
      <c r="AF163" s="40">
        <v>0.18</v>
      </c>
      <c r="AG163" s="40">
        <v>0.18</v>
      </c>
      <c r="AH163" s="40">
        <v>0.18</v>
      </c>
      <c r="AI163" s="40">
        <v>0.18</v>
      </c>
      <c r="AJ163" s="40">
        <v>0.18</v>
      </c>
      <c r="AK163" s="40">
        <v>0.18</v>
      </c>
      <c r="AL163" s="40">
        <v>0.18</v>
      </c>
      <c r="AM163" s="40">
        <v>0.18</v>
      </c>
      <c r="AN163" s="40">
        <v>0.18</v>
      </c>
      <c r="AO163" s="116">
        <v>0</v>
      </c>
      <c r="AP163" s="6">
        <f t="shared" si="0"/>
        <v>0</v>
      </c>
      <c r="AQ163" s="115">
        <v>0</v>
      </c>
      <c r="AR163" s="6">
        <f t="shared" si="1"/>
        <v>0</v>
      </c>
      <c r="AS163" s="115" t="s">
        <v>573</v>
      </c>
      <c r="AT163" s="6">
        <f t="shared" si="19"/>
        <v>0</v>
      </c>
      <c r="AU163" s="115">
        <v>0</v>
      </c>
      <c r="AV163" s="1">
        <f t="shared" si="7"/>
        <v>0</v>
      </c>
      <c r="AW163" s="115">
        <v>0</v>
      </c>
      <c r="AX163" s="1">
        <f t="shared" si="24"/>
        <v>0</v>
      </c>
      <c r="AY163" s="5" t="s">
        <v>573</v>
      </c>
      <c r="AZ163" s="1">
        <f t="shared" si="9"/>
        <v>0</v>
      </c>
      <c r="BA163" s="5" t="s">
        <v>573</v>
      </c>
      <c r="BB163" s="1">
        <f t="shared" si="10"/>
        <v>0</v>
      </c>
      <c r="BC163" s="5" t="s">
        <v>573</v>
      </c>
      <c r="BD163" s="1">
        <f t="shared" si="3"/>
        <v>0</v>
      </c>
      <c r="BE163" s="150" t="s">
        <v>573</v>
      </c>
      <c r="BF163" s="1">
        <f t="shared" si="20"/>
        <v>0</v>
      </c>
      <c r="BG163" s="150" t="s">
        <v>573</v>
      </c>
      <c r="BH163" s="1">
        <f t="shared" si="23"/>
        <v>0</v>
      </c>
      <c r="BI163" s="150" t="s">
        <v>573</v>
      </c>
      <c r="BJ163" s="1">
        <f t="shared" si="21"/>
        <v>0</v>
      </c>
      <c r="BK163" s="156" t="s">
        <v>573</v>
      </c>
      <c r="BL163" s="1">
        <f t="shared" si="22"/>
        <v>0</v>
      </c>
      <c r="BM163" s="141" t="s">
        <v>18</v>
      </c>
      <c r="BN163" s="136" t="s">
        <v>17</v>
      </c>
      <c r="BO163" s="139" t="s">
        <v>754</v>
      </c>
      <c r="BP163" s="137">
        <v>45961</v>
      </c>
    </row>
    <row r="164" spans="1:68" ht="15.75" customHeight="1">
      <c r="A164" s="109" t="s">
        <v>751</v>
      </c>
      <c r="B164" s="122" t="s">
        <v>199</v>
      </c>
      <c r="C164" s="301"/>
      <c r="D164" s="304"/>
      <c r="E164" s="304"/>
      <c r="F164" s="297"/>
      <c r="G164" s="78">
        <v>2020</v>
      </c>
      <c r="H164" s="105" t="s">
        <v>5</v>
      </c>
      <c r="I164" s="103" t="s">
        <v>201</v>
      </c>
      <c r="J164" s="103" t="s">
        <v>197</v>
      </c>
      <c r="K164" s="105" t="s">
        <v>753</v>
      </c>
      <c r="L164" s="105" t="s">
        <v>192</v>
      </c>
      <c r="M164" s="13" t="s">
        <v>193</v>
      </c>
      <c r="N164" s="13">
        <v>9.0299999999999994</v>
      </c>
      <c r="O164" s="13">
        <v>8.85</v>
      </c>
      <c r="P164" s="13">
        <v>8.85</v>
      </c>
      <c r="Q164" s="13">
        <v>8.85</v>
      </c>
      <c r="R164" s="13">
        <v>8.85</v>
      </c>
      <c r="S164" s="13">
        <v>8.85</v>
      </c>
      <c r="T164" s="13">
        <v>8.85</v>
      </c>
      <c r="U164" s="13">
        <v>8.85</v>
      </c>
      <c r="V164" s="13">
        <v>8.85</v>
      </c>
      <c r="W164" s="13">
        <v>8.85</v>
      </c>
      <c r="X164" s="13">
        <v>8.85</v>
      </c>
      <c r="Y164" s="13">
        <v>8.85</v>
      </c>
      <c r="Z164" s="13">
        <v>8.85</v>
      </c>
      <c r="AA164" s="13">
        <v>8.85</v>
      </c>
      <c r="AB164" s="40">
        <v>0.18</v>
      </c>
      <c r="AC164" s="40">
        <v>0.18</v>
      </c>
      <c r="AD164" s="40">
        <v>0.18</v>
      </c>
      <c r="AE164" s="40">
        <v>0.18</v>
      </c>
      <c r="AF164" s="40">
        <v>0.18</v>
      </c>
      <c r="AG164" s="40">
        <v>0.18</v>
      </c>
      <c r="AH164" s="40">
        <v>0.18</v>
      </c>
      <c r="AI164" s="40">
        <v>0.18</v>
      </c>
      <c r="AJ164" s="40">
        <v>0.18</v>
      </c>
      <c r="AK164" s="40">
        <v>0.18</v>
      </c>
      <c r="AL164" s="40">
        <v>0.18</v>
      </c>
      <c r="AM164" s="40">
        <v>0.18</v>
      </c>
      <c r="AN164" s="40">
        <v>0.18</v>
      </c>
      <c r="AO164" s="116">
        <v>0</v>
      </c>
      <c r="AP164" s="6">
        <f t="shared" si="0"/>
        <v>0</v>
      </c>
      <c r="AQ164" s="115">
        <v>8960</v>
      </c>
      <c r="AR164" s="6">
        <f t="shared" si="1"/>
        <v>1612.8</v>
      </c>
      <c r="AS164" s="115">
        <v>21760</v>
      </c>
      <c r="AT164" s="6">
        <f t="shared" si="19"/>
        <v>3916.7999999999997</v>
      </c>
      <c r="AU164" s="115">
        <v>0</v>
      </c>
      <c r="AV164" s="1">
        <f t="shared" si="7"/>
        <v>0</v>
      </c>
      <c r="AW164" s="115">
        <v>16640</v>
      </c>
      <c r="AX164" s="1">
        <f t="shared" si="24"/>
        <v>2995.2</v>
      </c>
      <c r="AY164" s="5">
        <v>15360</v>
      </c>
      <c r="AZ164" s="1">
        <f t="shared" si="9"/>
        <v>2764.7999999999997</v>
      </c>
      <c r="BA164" s="5">
        <v>25600</v>
      </c>
      <c r="BB164" s="1">
        <f t="shared" si="10"/>
        <v>4608</v>
      </c>
      <c r="BC164" s="5" t="s">
        <v>573</v>
      </c>
      <c r="BD164" s="1">
        <f t="shared" si="3"/>
        <v>0</v>
      </c>
      <c r="BE164" s="150">
        <v>11520</v>
      </c>
      <c r="BF164" s="1">
        <f t="shared" si="20"/>
        <v>2073.6</v>
      </c>
      <c r="BG164" s="150">
        <v>23040</v>
      </c>
      <c r="BH164" s="1">
        <f t="shared" si="23"/>
        <v>4147.2</v>
      </c>
      <c r="BI164" s="150">
        <v>34560</v>
      </c>
      <c r="BJ164" s="1">
        <f t="shared" si="21"/>
        <v>6220.8</v>
      </c>
      <c r="BK164" s="156" t="s">
        <v>573</v>
      </c>
      <c r="BL164" s="1">
        <f t="shared" si="22"/>
        <v>0</v>
      </c>
      <c r="BM164" s="141" t="s">
        <v>19</v>
      </c>
      <c r="BN164" s="136" t="s">
        <v>17</v>
      </c>
      <c r="BO164" s="139" t="s">
        <v>197</v>
      </c>
      <c r="BP164" s="137">
        <v>45961</v>
      </c>
    </row>
    <row r="165" spans="1:68" ht="15.75" customHeight="1">
      <c r="A165" s="109" t="s">
        <v>751</v>
      </c>
      <c r="B165" s="122" t="s">
        <v>199</v>
      </c>
      <c r="C165" s="301"/>
      <c r="D165" s="304"/>
      <c r="E165" s="304"/>
      <c r="F165" s="297"/>
      <c r="G165" s="78">
        <v>2020</v>
      </c>
      <c r="H165" s="105" t="s">
        <v>5</v>
      </c>
      <c r="I165" s="103" t="s">
        <v>201</v>
      </c>
      <c r="J165" s="102" t="s">
        <v>197</v>
      </c>
      <c r="K165" s="105" t="s">
        <v>753</v>
      </c>
      <c r="L165" s="105" t="s">
        <v>192</v>
      </c>
      <c r="M165" s="13" t="s">
        <v>193</v>
      </c>
      <c r="N165" s="13">
        <v>9.1999999999999993</v>
      </c>
      <c r="O165" s="13">
        <v>9</v>
      </c>
      <c r="P165" s="13">
        <v>9</v>
      </c>
      <c r="Q165" s="13">
        <v>9</v>
      </c>
      <c r="R165" s="13">
        <v>9</v>
      </c>
      <c r="S165" s="13">
        <v>9</v>
      </c>
      <c r="T165" s="13">
        <v>9</v>
      </c>
      <c r="U165" s="13">
        <v>9</v>
      </c>
      <c r="V165" s="13">
        <v>9</v>
      </c>
      <c r="W165" s="13">
        <v>9</v>
      </c>
      <c r="X165" s="13">
        <v>9</v>
      </c>
      <c r="Y165" s="13">
        <v>9</v>
      </c>
      <c r="Z165" s="13">
        <v>9</v>
      </c>
      <c r="AA165" s="13">
        <v>9</v>
      </c>
      <c r="AB165" s="40">
        <v>0.18</v>
      </c>
      <c r="AC165" s="40">
        <v>0.18</v>
      </c>
      <c r="AD165" s="40">
        <v>0.18</v>
      </c>
      <c r="AE165" s="40">
        <v>0.18</v>
      </c>
      <c r="AF165" s="40">
        <v>0.18</v>
      </c>
      <c r="AG165" s="40">
        <v>0.18</v>
      </c>
      <c r="AH165" s="40">
        <v>0.18</v>
      </c>
      <c r="AI165" s="40">
        <v>0.18</v>
      </c>
      <c r="AJ165" s="40">
        <v>0.18</v>
      </c>
      <c r="AK165" s="40">
        <v>0.18</v>
      </c>
      <c r="AL165" s="40">
        <v>0.18</v>
      </c>
      <c r="AM165" s="40">
        <v>0.18</v>
      </c>
      <c r="AN165" s="40">
        <v>0.18</v>
      </c>
      <c r="AO165" s="116">
        <v>10240</v>
      </c>
      <c r="AP165" s="6">
        <f t="shared" si="0"/>
        <v>1843.1999999999998</v>
      </c>
      <c r="AQ165" s="115">
        <v>10240</v>
      </c>
      <c r="AR165" s="6">
        <f t="shared" si="1"/>
        <v>1843.1999999999998</v>
      </c>
      <c r="AS165" s="115">
        <v>17920</v>
      </c>
      <c r="AT165" s="6">
        <f t="shared" si="19"/>
        <v>3225.6</v>
      </c>
      <c r="AU165" s="115">
        <v>0</v>
      </c>
      <c r="AV165" s="1">
        <f t="shared" si="7"/>
        <v>0</v>
      </c>
      <c r="AW165" s="115">
        <v>5120</v>
      </c>
      <c r="AX165" s="1">
        <f t="shared" si="24"/>
        <v>921.59999999999991</v>
      </c>
      <c r="AY165" s="5">
        <v>8960</v>
      </c>
      <c r="AZ165" s="1">
        <f t="shared" si="9"/>
        <v>1612.8</v>
      </c>
      <c r="BA165" s="5">
        <v>6400</v>
      </c>
      <c r="BB165" s="1">
        <f t="shared" si="10"/>
        <v>1152</v>
      </c>
      <c r="BC165" s="5">
        <v>3840</v>
      </c>
      <c r="BD165" s="1">
        <f t="shared" si="3"/>
        <v>691.19999999999993</v>
      </c>
      <c r="BE165" s="150" t="s">
        <v>573</v>
      </c>
      <c r="BF165" s="1">
        <f t="shared" si="20"/>
        <v>0</v>
      </c>
      <c r="BG165" s="150" t="s">
        <v>573</v>
      </c>
      <c r="BH165" s="1">
        <f t="shared" si="23"/>
        <v>0</v>
      </c>
      <c r="BI165" s="150" t="s">
        <v>573</v>
      </c>
      <c r="BJ165" s="1">
        <f t="shared" si="21"/>
        <v>0</v>
      </c>
      <c r="BK165" s="156" t="s">
        <v>573</v>
      </c>
      <c r="BL165" s="1">
        <f t="shared" si="22"/>
        <v>0</v>
      </c>
      <c r="BM165" s="141" t="s">
        <v>26</v>
      </c>
      <c r="BN165" s="136" t="s">
        <v>17</v>
      </c>
      <c r="BO165" s="139" t="s">
        <v>754</v>
      </c>
      <c r="BP165" s="137">
        <v>45961</v>
      </c>
    </row>
    <row r="166" spans="1:68" ht="15.75" customHeight="1">
      <c r="A166" s="109" t="s">
        <v>751</v>
      </c>
      <c r="B166" s="122" t="s">
        <v>199</v>
      </c>
      <c r="C166" s="301"/>
      <c r="D166" s="304"/>
      <c r="E166" s="304"/>
      <c r="F166" s="297"/>
      <c r="G166" s="78">
        <v>2020</v>
      </c>
      <c r="H166" s="105" t="s">
        <v>5</v>
      </c>
      <c r="I166" s="103" t="s">
        <v>201</v>
      </c>
      <c r="J166" s="102" t="s">
        <v>197</v>
      </c>
      <c r="K166" s="105" t="s">
        <v>753</v>
      </c>
      <c r="L166" s="105" t="s">
        <v>192</v>
      </c>
      <c r="M166" s="13" t="s">
        <v>193</v>
      </c>
      <c r="N166" s="13">
        <v>9.1999999999999993</v>
      </c>
      <c r="O166" s="13">
        <v>9</v>
      </c>
      <c r="P166" s="13">
        <v>9</v>
      </c>
      <c r="Q166" s="13">
        <v>9</v>
      </c>
      <c r="R166" s="13">
        <v>9</v>
      </c>
      <c r="S166" s="13">
        <v>9</v>
      </c>
      <c r="T166" s="13">
        <v>9</v>
      </c>
      <c r="U166" s="13">
        <v>9</v>
      </c>
      <c r="V166" s="13">
        <v>9</v>
      </c>
      <c r="W166" s="13">
        <v>9</v>
      </c>
      <c r="X166" s="13">
        <v>9</v>
      </c>
      <c r="Y166" s="13">
        <v>9</v>
      </c>
      <c r="Z166" s="13">
        <v>9</v>
      </c>
      <c r="AA166" s="13">
        <v>9</v>
      </c>
      <c r="AB166" s="40">
        <v>0.18</v>
      </c>
      <c r="AC166" s="40">
        <v>0.18</v>
      </c>
      <c r="AD166" s="40">
        <v>0.18</v>
      </c>
      <c r="AE166" s="40">
        <v>0.18</v>
      </c>
      <c r="AF166" s="40">
        <v>0.18</v>
      </c>
      <c r="AG166" s="40">
        <v>0.18</v>
      </c>
      <c r="AH166" s="40">
        <v>0.18</v>
      </c>
      <c r="AI166" s="40">
        <v>0.18</v>
      </c>
      <c r="AJ166" s="40">
        <v>0.18</v>
      </c>
      <c r="AK166" s="40">
        <v>0.18</v>
      </c>
      <c r="AL166" s="40">
        <v>0.18</v>
      </c>
      <c r="AM166" s="40">
        <v>0.18</v>
      </c>
      <c r="AN166" s="40">
        <v>0.18</v>
      </c>
      <c r="AO166" s="116">
        <v>1280</v>
      </c>
      <c r="AP166" s="6">
        <f t="shared" si="0"/>
        <v>230.39999999999998</v>
      </c>
      <c r="AQ166" s="115">
        <v>0</v>
      </c>
      <c r="AR166" s="6">
        <f t="shared" si="1"/>
        <v>0</v>
      </c>
      <c r="AS166" s="115">
        <v>2560</v>
      </c>
      <c r="AT166" s="6">
        <f t="shared" si="19"/>
        <v>460.79999999999995</v>
      </c>
      <c r="AU166" s="115">
        <v>0</v>
      </c>
      <c r="AV166" s="1">
        <f t="shared" si="7"/>
        <v>0</v>
      </c>
      <c r="AW166" s="115">
        <v>0</v>
      </c>
      <c r="AX166" s="1">
        <f t="shared" si="24"/>
        <v>0</v>
      </c>
      <c r="AY166" s="5" t="s">
        <v>573</v>
      </c>
      <c r="AZ166" s="1">
        <f t="shared" si="9"/>
        <v>0</v>
      </c>
      <c r="BA166" s="5">
        <v>1280</v>
      </c>
      <c r="BB166" s="1">
        <f t="shared" si="10"/>
        <v>230.39999999999998</v>
      </c>
      <c r="BC166" s="5" t="s">
        <v>573</v>
      </c>
      <c r="BD166" s="1">
        <f t="shared" si="3"/>
        <v>0</v>
      </c>
      <c r="BE166" s="150" t="s">
        <v>573</v>
      </c>
      <c r="BF166" s="1">
        <f t="shared" si="20"/>
        <v>0</v>
      </c>
      <c r="BG166" s="150" t="s">
        <v>573</v>
      </c>
      <c r="BH166" s="1">
        <f t="shared" si="23"/>
        <v>0</v>
      </c>
      <c r="BI166" s="150" t="s">
        <v>573</v>
      </c>
      <c r="BJ166" s="1">
        <f t="shared" si="21"/>
        <v>0</v>
      </c>
      <c r="BK166" s="156" t="s">
        <v>573</v>
      </c>
      <c r="BL166" s="1">
        <f t="shared" si="22"/>
        <v>0</v>
      </c>
      <c r="BM166" s="141" t="s">
        <v>23</v>
      </c>
      <c r="BN166" s="136" t="s">
        <v>17</v>
      </c>
      <c r="BO166" s="139" t="s">
        <v>754</v>
      </c>
      <c r="BP166" s="137">
        <v>45961</v>
      </c>
    </row>
    <row r="167" spans="1:68" ht="15.75" customHeight="1">
      <c r="A167" s="109" t="s">
        <v>751</v>
      </c>
      <c r="B167" s="122" t="s">
        <v>199</v>
      </c>
      <c r="C167" s="301"/>
      <c r="D167" s="304"/>
      <c r="E167" s="304"/>
      <c r="F167" s="297"/>
      <c r="G167" s="78">
        <v>2020</v>
      </c>
      <c r="H167" s="105" t="s">
        <v>5</v>
      </c>
      <c r="I167" s="103" t="s">
        <v>201</v>
      </c>
      <c r="J167" s="103" t="s">
        <v>197</v>
      </c>
      <c r="K167" s="105" t="s">
        <v>753</v>
      </c>
      <c r="L167" s="105" t="s">
        <v>192</v>
      </c>
      <c r="M167" s="13" t="s">
        <v>193</v>
      </c>
      <c r="N167" s="13">
        <v>9.1999999999999993</v>
      </c>
      <c r="O167" s="13">
        <v>8.86</v>
      </c>
      <c r="P167" s="13">
        <v>8.86</v>
      </c>
      <c r="Q167" s="13">
        <v>8.86</v>
      </c>
      <c r="R167" s="13">
        <v>8.86</v>
      </c>
      <c r="S167" s="13">
        <v>8.86</v>
      </c>
      <c r="T167" s="13">
        <v>8.86</v>
      </c>
      <c r="U167" s="13">
        <v>8.86</v>
      </c>
      <c r="V167" s="13">
        <v>8.86</v>
      </c>
      <c r="W167" s="13">
        <v>8.86</v>
      </c>
      <c r="X167" s="13">
        <v>8.86</v>
      </c>
      <c r="Y167" s="13">
        <v>8.86</v>
      </c>
      <c r="Z167" s="13">
        <v>8.86</v>
      </c>
      <c r="AA167" s="13">
        <v>8.86</v>
      </c>
      <c r="AB167" s="40">
        <v>0.18</v>
      </c>
      <c r="AC167" s="40">
        <v>0.18</v>
      </c>
      <c r="AD167" s="40">
        <v>0.18</v>
      </c>
      <c r="AE167" s="40">
        <v>0.18</v>
      </c>
      <c r="AF167" s="40">
        <v>0.18</v>
      </c>
      <c r="AG167" s="40">
        <v>0.18</v>
      </c>
      <c r="AH167" s="40">
        <v>0.18</v>
      </c>
      <c r="AI167" s="40">
        <v>0.18</v>
      </c>
      <c r="AJ167" s="40">
        <v>0.18</v>
      </c>
      <c r="AK167" s="40">
        <v>0.18</v>
      </c>
      <c r="AL167" s="40">
        <v>0.18</v>
      </c>
      <c r="AM167" s="40">
        <v>0.18</v>
      </c>
      <c r="AN167" s="40">
        <v>0.18</v>
      </c>
      <c r="AO167" s="116">
        <v>9280</v>
      </c>
      <c r="AP167" s="6">
        <f t="shared" si="0"/>
        <v>1670.3999999999999</v>
      </c>
      <c r="AQ167" s="115">
        <v>4480</v>
      </c>
      <c r="AR167" s="6">
        <f t="shared" si="1"/>
        <v>806.4</v>
      </c>
      <c r="AS167" s="115" t="s">
        <v>573</v>
      </c>
      <c r="AT167" s="6">
        <f t="shared" si="19"/>
        <v>0</v>
      </c>
      <c r="AU167" s="115">
        <v>5760</v>
      </c>
      <c r="AV167" s="1">
        <f t="shared" si="7"/>
        <v>1036.8</v>
      </c>
      <c r="AW167" s="115">
        <v>7680</v>
      </c>
      <c r="AX167" s="1">
        <f t="shared" si="24"/>
        <v>1382.3999999999999</v>
      </c>
      <c r="AY167" s="5">
        <v>38080</v>
      </c>
      <c r="AZ167" s="1">
        <f t="shared" si="9"/>
        <v>6854.4</v>
      </c>
      <c r="BA167" s="5">
        <v>22080</v>
      </c>
      <c r="BB167" s="1">
        <f t="shared" si="10"/>
        <v>3974.3999999999996</v>
      </c>
      <c r="BC167" s="5" t="s">
        <v>573</v>
      </c>
      <c r="BD167" s="1">
        <f t="shared" si="3"/>
        <v>0</v>
      </c>
      <c r="BE167" s="150" t="s">
        <v>573</v>
      </c>
      <c r="BF167" s="1">
        <f t="shared" si="20"/>
        <v>0</v>
      </c>
      <c r="BG167" s="150" t="s">
        <v>573</v>
      </c>
      <c r="BH167" s="1">
        <f t="shared" si="23"/>
        <v>0</v>
      </c>
      <c r="BI167" s="150" t="s">
        <v>573</v>
      </c>
      <c r="BJ167" s="1">
        <f t="shared" si="21"/>
        <v>0</v>
      </c>
      <c r="BK167" s="156" t="s">
        <v>573</v>
      </c>
      <c r="BL167" s="1">
        <f t="shared" si="22"/>
        <v>0</v>
      </c>
      <c r="BM167" s="141" t="s">
        <v>12</v>
      </c>
      <c r="BN167" s="136" t="s">
        <v>11</v>
      </c>
      <c r="BO167" s="139" t="s">
        <v>197</v>
      </c>
      <c r="BP167" s="137">
        <v>45961</v>
      </c>
    </row>
    <row r="168" spans="1:68" ht="15.75" customHeight="1">
      <c r="A168" s="109" t="s">
        <v>751</v>
      </c>
      <c r="B168" s="122" t="s">
        <v>199</v>
      </c>
      <c r="C168" s="301"/>
      <c r="D168" s="304"/>
      <c r="E168" s="304"/>
      <c r="F168" s="297"/>
      <c r="G168" s="78">
        <v>2020</v>
      </c>
      <c r="H168" s="105" t="s">
        <v>5</v>
      </c>
      <c r="I168" s="103" t="s">
        <v>201</v>
      </c>
      <c r="J168" s="102" t="s">
        <v>197</v>
      </c>
      <c r="K168" s="105" t="s">
        <v>753</v>
      </c>
      <c r="L168" s="105" t="s">
        <v>192</v>
      </c>
      <c r="M168" s="13" t="s">
        <v>193</v>
      </c>
      <c r="N168" s="13">
        <v>9.1999999999999993</v>
      </c>
      <c r="O168" s="13">
        <v>9.02</v>
      </c>
      <c r="P168" s="13">
        <v>9.02</v>
      </c>
      <c r="Q168" s="13">
        <v>9.02</v>
      </c>
      <c r="R168" s="13">
        <v>9.02</v>
      </c>
      <c r="S168" s="13">
        <v>9.02</v>
      </c>
      <c r="T168" s="13">
        <v>9.02</v>
      </c>
      <c r="U168" s="13">
        <v>9.02</v>
      </c>
      <c r="V168" s="13">
        <v>9.02</v>
      </c>
      <c r="W168" s="13">
        <v>9.02</v>
      </c>
      <c r="X168" s="13">
        <v>9.02</v>
      </c>
      <c r="Y168" s="13">
        <v>9.02</v>
      </c>
      <c r="Z168" s="13">
        <v>9.02</v>
      </c>
      <c r="AA168" s="13">
        <v>9.02</v>
      </c>
      <c r="AB168" s="40">
        <v>0.18</v>
      </c>
      <c r="AC168" s="40">
        <v>0.18</v>
      </c>
      <c r="AD168" s="40">
        <v>0.18</v>
      </c>
      <c r="AE168" s="40">
        <v>0.18</v>
      </c>
      <c r="AF168" s="40">
        <v>0.18</v>
      </c>
      <c r="AG168" s="40">
        <v>0.18</v>
      </c>
      <c r="AH168" s="40">
        <v>0.18</v>
      </c>
      <c r="AI168" s="40">
        <v>0.18</v>
      </c>
      <c r="AJ168" s="40">
        <v>0.18</v>
      </c>
      <c r="AK168" s="40">
        <v>0.18</v>
      </c>
      <c r="AL168" s="40">
        <v>0.18</v>
      </c>
      <c r="AM168" s="40">
        <v>0.18</v>
      </c>
      <c r="AN168" s="40">
        <v>0.18</v>
      </c>
      <c r="AO168" s="116">
        <v>0</v>
      </c>
      <c r="AP168" s="6">
        <f t="shared" si="0"/>
        <v>0</v>
      </c>
      <c r="AQ168" s="115">
        <v>6400</v>
      </c>
      <c r="AR168" s="6">
        <f t="shared" si="1"/>
        <v>1152</v>
      </c>
      <c r="AS168" s="115">
        <v>5120</v>
      </c>
      <c r="AT168" s="6">
        <f t="shared" si="19"/>
        <v>921.59999999999991</v>
      </c>
      <c r="AU168" s="115">
        <v>0</v>
      </c>
      <c r="AV168" s="1">
        <f t="shared" si="7"/>
        <v>0</v>
      </c>
      <c r="AW168" s="115">
        <v>6400</v>
      </c>
      <c r="AX168" s="1">
        <f t="shared" si="24"/>
        <v>1152</v>
      </c>
      <c r="AY168" s="5">
        <v>8960</v>
      </c>
      <c r="AZ168" s="1">
        <f t="shared" si="9"/>
        <v>1612.8</v>
      </c>
      <c r="BA168" s="5" t="s">
        <v>573</v>
      </c>
      <c r="BB168" s="1">
        <f t="shared" si="10"/>
        <v>0</v>
      </c>
      <c r="BC168" s="5" t="s">
        <v>573</v>
      </c>
      <c r="BD168" s="1">
        <f t="shared" si="3"/>
        <v>0</v>
      </c>
      <c r="BE168" s="150" t="s">
        <v>573</v>
      </c>
      <c r="BF168" s="1">
        <f t="shared" si="20"/>
        <v>0</v>
      </c>
      <c r="BG168" s="150" t="s">
        <v>573</v>
      </c>
      <c r="BH168" s="1">
        <f t="shared" si="23"/>
        <v>0</v>
      </c>
      <c r="BI168" s="150" t="s">
        <v>573</v>
      </c>
      <c r="BJ168" s="1">
        <f t="shared" si="21"/>
        <v>0</v>
      </c>
      <c r="BK168" s="156" t="s">
        <v>573</v>
      </c>
      <c r="BL168" s="1">
        <f t="shared" si="22"/>
        <v>0</v>
      </c>
      <c r="BM168" s="141" t="s">
        <v>24</v>
      </c>
      <c r="BN168" s="136" t="s">
        <v>17</v>
      </c>
      <c r="BO168" s="139" t="s">
        <v>1310</v>
      </c>
      <c r="BP168" s="137">
        <v>45961</v>
      </c>
    </row>
    <row r="169" spans="1:68" ht="15.75" customHeight="1">
      <c r="A169" s="109" t="s">
        <v>751</v>
      </c>
      <c r="B169" s="122" t="s">
        <v>199</v>
      </c>
      <c r="C169" s="301"/>
      <c r="D169" s="304"/>
      <c r="E169" s="304"/>
      <c r="F169" s="297"/>
      <c r="G169" s="78">
        <v>2020</v>
      </c>
      <c r="H169" s="105" t="s">
        <v>5</v>
      </c>
      <c r="I169" s="103" t="s">
        <v>201</v>
      </c>
      <c r="J169" s="102" t="s">
        <v>197</v>
      </c>
      <c r="K169" s="105" t="s">
        <v>753</v>
      </c>
      <c r="L169" s="105" t="s">
        <v>192</v>
      </c>
      <c r="M169" s="13" t="s">
        <v>193</v>
      </c>
      <c r="N169" s="13">
        <v>9.1999999999999993</v>
      </c>
      <c r="O169" s="13">
        <v>9.02</v>
      </c>
      <c r="P169" s="13">
        <v>9.02</v>
      </c>
      <c r="Q169" s="13">
        <v>9.02</v>
      </c>
      <c r="R169" s="13">
        <v>9.02</v>
      </c>
      <c r="S169" s="13">
        <v>9.02</v>
      </c>
      <c r="T169" s="13">
        <v>9.02</v>
      </c>
      <c r="U169" s="13">
        <v>9.02</v>
      </c>
      <c r="V169" s="13">
        <v>9.02</v>
      </c>
      <c r="W169" s="13">
        <v>9.02</v>
      </c>
      <c r="X169" s="13">
        <v>9.02</v>
      </c>
      <c r="Y169" s="13">
        <v>9.02</v>
      </c>
      <c r="Z169" s="13">
        <v>9.02</v>
      </c>
      <c r="AA169" s="13">
        <v>9.02</v>
      </c>
      <c r="AB169" s="40">
        <v>0.18</v>
      </c>
      <c r="AC169" s="40">
        <v>0.18</v>
      </c>
      <c r="AD169" s="40">
        <v>0.18</v>
      </c>
      <c r="AE169" s="40">
        <v>0.18</v>
      </c>
      <c r="AF169" s="40">
        <v>0.18</v>
      </c>
      <c r="AG169" s="40">
        <v>0.18</v>
      </c>
      <c r="AH169" s="40">
        <v>0.18</v>
      </c>
      <c r="AI169" s="40">
        <v>0.18</v>
      </c>
      <c r="AJ169" s="40">
        <v>0.18</v>
      </c>
      <c r="AK169" s="40">
        <v>0.18</v>
      </c>
      <c r="AL169" s="40">
        <v>0.18</v>
      </c>
      <c r="AM169" s="40">
        <v>0.18</v>
      </c>
      <c r="AN169" s="40">
        <v>0.18</v>
      </c>
      <c r="AO169" s="116">
        <v>0</v>
      </c>
      <c r="AP169" s="6">
        <f t="shared" si="0"/>
        <v>0</v>
      </c>
      <c r="AQ169" s="115">
        <v>1280</v>
      </c>
      <c r="AR169" s="6">
        <f t="shared" si="1"/>
        <v>230.39999999999998</v>
      </c>
      <c r="AS169" s="115">
        <v>1280</v>
      </c>
      <c r="AT169" s="6">
        <f t="shared" si="19"/>
        <v>230.39999999999998</v>
      </c>
      <c r="AU169" s="115">
        <v>0</v>
      </c>
      <c r="AV169" s="1">
        <f t="shared" si="7"/>
        <v>0</v>
      </c>
      <c r="AW169" s="115">
        <v>0</v>
      </c>
      <c r="AX169" s="1">
        <f t="shared" si="24"/>
        <v>0</v>
      </c>
      <c r="AY169" s="5" t="s">
        <v>573</v>
      </c>
      <c r="AZ169" s="1">
        <f t="shared" si="9"/>
        <v>0</v>
      </c>
      <c r="BA169" s="5" t="s">
        <v>573</v>
      </c>
      <c r="BB169" s="1">
        <f t="shared" si="10"/>
        <v>0</v>
      </c>
      <c r="BC169" s="5" t="s">
        <v>573</v>
      </c>
      <c r="BD169" s="1">
        <f t="shared" si="3"/>
        <v>0</v>
      </c>
      <c r="BE169" s="150" t="s">
        <v>573</v>
      </c>
      <c r="BF169" s="1">
        <f t="shared" si="20"/>
        <v>0</v>
      </c>
      <c r="BG169" s="150" t="s">
        <v>573</v>
      </c>
      <c r="BH169" s="1">
        <f t="shared" si="23"/>
        <v>0</v>
      </c>
      <c r="BI169" s="150" t="s">
        <v>573</v>
      </c>
      <c r="BJ169" s="1">
        <f t="shared" si="21"/>
        <v>0</v>
      </c>
      <c r="BK169" s="156" t="s">
        <v>573</v>
      </c>
      <c r="BL169" s="1">
        <f t="shared" si="22"/>
        <v>0</v>
      </c>
      <c r="BM169" s="141" t="s">
        <v>25</v>
      </c>
      <c r="BN169" s="136" t="s">
        <v>17</v>
      </c>
      <c r="BO169" s="139" t="s">
        <v>1310</v>
      </c>
      <c r="BP169" s="137">
        <v>45961</v>
      </c>
    </row>
    <row r="170" spans="1:68" ht="15.75" customHeight="1">
      <c r="A170" s="109" t="s">
        <v>751</v>
      </c>
      <c r="B170" s="122" t="s">
        <v>199</v>
      </c>
      <c r="C170" s="301"/>
      <c r="D170" s="304"/>
      <c r="E170" s="304"/>
      <c r="F170" s="297"/>
      <c r="G170" s="78">
        <v>2020</v>
      </c>
      <c r="H170" s="105" t="s">
        <v>5</v>
      </c>
      <c r="I170" s="103" t="s">
        <v>201</v>
      </c>
      <c r="J170" s="102" t="s">
        <v>197</v>
      </c>
      <c r="K170" s="105" t="s">
        <v>753</v>
      </c>
      <c r="L170" s="105" t="s">
        <v>192</v>
      </c>
      <c r="M170" s="13" t="s">
        <v>193</v>
      </c>
      <c r="N170" s="13">
        <v>9.1999999999999993</v>
      </c>
      <c r="O170" s="13">
        <v>8.84</v>
      </c>
      <c r="P170" s="13">
        <v>8.84</v>
      </c>
      <c r="Q170" s="13">
        <v>8.84</v>
      </c>
      <c r="R170" s="13">
        <v>8.84</v>
      </c>
      <c r="S170" s="13">
        <v>8.84</v>
      </c>
      <c r="T170" s="13">
        <v>8.84</v>
      </c>
      <c r="U170" s="13">
        <v>8.84</v>
      </c>
      <c r="V170" s="13">
        <v>8.84</v>
      </c>
      <c r="W170" s="13">
        <v>8.84</v>
      </c>
      <c r="X170" s="13">
        <v>8.84</v>
      </c>
      <c r="Y170" s="13">
        <v>8.84</v>
      </c>
      <c r="Z170" s="13">
        <v>8.84</v>
      </c>
      <c r="AA170" s="13">
        <v>8.84</v>
      </c>
      <c r="AB170" s="40">
        <v>0.18</v>
      </c>
      <c r="AC170" s="40">
        <v>0.18</v>
      </c>
      <c r="AD170" s="40">
        <v>0.18</v>
      </c>
      <c r="AE170" s="40">
        <v>0.18</v>
      </c>
      <c r="AF170" s="40">
        <v>0.18</v>
      </c>
      <c r="AG170" s="40">
        <v>0.18</v>
      </c>
      <c r="AH170" s="40">
        <v>0.18</v>
      </c>
      <c r="AI170" s="40">
        <v>0.18</v>
      </c>
      <c r="AJ170" s="40">
        <v>0.18</v>
      </c>
      <c r="AK170" s="40">
        <v>0.18</v>
      </c>
      <c r="AL170" s="40">
        <v>0.18</v>
      </c>
      <c r="AM170" s="40">
        <v>0.18</v>
      </c>
      <c r="AN170" s="40">
        <v>0.18</v>
      </c>
      <c r="AO170" s="116">
        <v>0</v>
      </c>
      <c r="AP170" s="6">
        <f t="shared" si="0"/>
        <v>0</v>
      </c>
      <c r="AQ170" s="115">
        <v>0</v>
      </c>
      <c r="AR170" s="6">
        <f t="shared" si="1"/>
        <v>0</v>
      </c>
      <c r="AS170" s="115" t="s">
        <v>573</v>
      </c>
      <c r="AT170" s="6">
        <f t="shared" si="19"/>
        <v>0</v>
      </c>
      <c r="AU170" s="115">
        <v>0</v>
      </c>
      <c r="AV170" s="1">
        <f t="shared" si="7"/>
        <v>0</v>
      </c>
      <c r="AW170" s="115">
        <v>1280</v>
      </c>
      <c r="AX170" s="1">
        <f t="shared" si="24"/>
        <v>230.39999999999998</v>
      </c>
      <c r="AY170" s="5" t="s">
        <v>573</v>
      </c>
      <c r="AZ170" s="1">
        <f t="shared" si="9"/>
        <v>0</v>
      </c>
      <c r="BA170" s="5" t="s">
        <v>573</v>
      </c>
      <c r="BB170" s="1">
        <f t="shared" si="10"/>
        <v>0</v>
      </c>
      <c r="BC170" s="5" t="s">
        <v>573</v>
      </c>
      <c r="BD170" s="1">
        <f t="shared" si="3"/>
        <v>0</v>
      </c>
      <c r="BE170" s="150" t="s">
        <v>573</v>
      </c>
      <c r="BF170" s="1">
        <f t="shared" si="20"/>
        <v>0</v>
      </c>
      <c r="BG170" s="150" t="s">
        <v>573</v>
      </c>
      <c r="BH170" s="1">
        <f t="shared" si="23"/>
        <v>0</v>
      </c>
      <c r="BI170" s="150" t="s">
        <v>573</v>
      </c>
      <c r="BJ170" s="1">
        <f t="shared" si="21"/>
        <v>0</v>
      </c>
      <c r="BK170" s="156" t="s">
        <v>573</v>
      </c>
      <c r="BL170" s="1">
        <f t="shared" si="22"/>
        <v>0</v>
      </c>
      <c r="BM170" s="141" t="s">
        <v>13</v>
      </c>
      <c r="BN170" s="136" t="s">
        <v>11</v>
      </c>
      <c r="BO170" s="139" t="s">
        <v>197</v>
      </c>
      <c r="BP170" s="137">
        <v>45961</v>
      </c>
    </row>
    <row r="171" spans="1:68" ht="15.75" customHeight="1">
      <c r="A171" s="109" t="s">
        <v>751</v>
      </c>
      <c r="B171" s="122" t="s">
        <v>199</v>
      </c>
      <c r="C171" s="301"/>
      <c r="D171" s="304"/>
      <c r="E171" s="304"/>
      <c r="F171" s="297"/>
      <c r="G171" s="78">
        <v>2020</v>
      </c>
      <c r="H171" s="105" t="s">
        <v>5</v>
      </c>
      <c r="I171" s="103" t="s">
        <v>201</v>
      </c>
      <c r="J171" s="102" t="s">
        <v>197</v>
      </c>
      <c r="K171" s="105" t="s">
        <v>753</v>
      </c>
      <c r="L171" s="105" t="s">
        <v>192</v>
      </c>
      <c r="M171" s="13" t="s">
        <v>193</v>
      </c>
      <c r="N171" s="13"/>
      <c r="O171" s="13"/>
      <c r="P171" s="13">
        <v>8.86</v>
      </c>
      <c r="Q171" s="13">
        <v>8.86</v>
      </c>
      <c r="R171" s="13">
        <v>8.86</v>
      </c>
      <c r="S171" s="13">
        <v>8.86</v>
      </c>
      <c r="T171" s="13">
        <v>8.86</v>
      </c>
      <c r="U171" s="13">
        <v>8.86</v>
      </c>
      <c r="V171" s="13">
        <v>8.86</v>
      </c>
      <c r="W171" s="13">
        <v>8.86</v>
      </c>
      <c r="X171" s="13">
        <v>8.86</v>
      </c>
      <c r="Y171" s="13">
        <v>8.86</v>
      </c>
      <c r="Z171" s="13">
        <v>8.86</v>
      </c>
      <c r="AA171" s="13">
        <v>8.86</v>
      </c>
      <c r="AB171" s="40"/>
      <c r="AC171" s="40"/>
      <c r="AD171" s="40"/>
      <c r="AE171" s="40"/>
      <c r="AF171" s="40"/>
      <c r="AG171" s="40"/>
      <c r="AH171" s="40"/>
      <c r="AI171" s="40"/>
      <c r="AJ171" s="40">
        <v>0.18</v>
      </c>
      <c r="AK171" s="40">
        <v>0.18</v>
      </c>
      <c r="AL171" s="40">
        <v>0.18</v>
      </c>
      <c r="AM171" s="40">
        <v>0.18</v>
      </c>
      <c r="AN171" s="40">
        <v>0.18</v>
      </c>
      <c r="AO171" s="116">
        <v>0</v>
      </c>
      <c r="AP171" s="6">
        <f t="shared" si="0"/>
        <v>0</v>
      </c>
      <c r="AQ171" s="115">
        <v>0</v>
      </c>
      <c r="AR171" s="6">
        <f t="shared" si="1"/>
        <v>0</v>
      </c>
      <c r="AS171" s="115" t="s">
        <v>573</v>
      </c>
      <c r="AT171" s="6">
        <f t="shared" si="19"/>
        <v>0</v>
      </c>
      <c r="AU171" s="115">
        <v>0</v>
      </c>
      <c r="AV171" s="1">
        <f t="shared" si="7"/>
        <v>0</v>
      </c>
      <c r="AW171" s="115">
        <v>0</v>
      </c>
      <c r="AX171" s="1">
        <f t="shared" si="24"/>
        <v>0</v>
      </c>
      <c r="AY171" s="5" t="s">
        <v>573</v>
      </c>
      <c r="AZ171" s="1">
        <f t="shared" si="9"/>
        <v>0</v>
      </c>
      <c r="BA171" s="5" t="s">
        <v>573</v>
      </c>
      <c r="BB171" s="1">
        <f t="shared" si="10"/>
        <v>0</v>
      </c>
      <c r="BC171" s="5">
        <v>6680</v>
      </c>
      <c r="BD171" s="146">
        <f t="shared" si="3"/>
        <v>1202.3999999999999</v>
      </c>
      <c r="BE171" s="150">
        <v>26240</v>
      </c>
      <c r="BF171" s="1">
        <f t="shared" si="20"/>
        <v>4723.2</v>
      </c>
      <c r="BG171" s="150">
        <v>6400</v>
      </c>
      <c r="BH171" s="1">
        <f t="shared" si="23"/>
        <v>1152</v>
      </c>
      <c r="BI171" s="150">
        <v>13440</v>
      </c>
      <c r="BJ171" s="1">
        <f t="shared" si="21"/>
        <v>2419.1999999999998</v>
      </c>
      <c r="BK171" s="156">
        <v>4980</v>
      </c>
      <c r="BL171" s="1">
        <f t="shared" si="22"/>
        <v>896.4</v>
      </c>
      <c r="BM171" s="140" t="s">
        <v>14</v>
      </c>
      <c r="BN171" s="136" t="s">
        <v>11</v>
      </c>
      <c r="BO171" s="139" t="s">
        <v>197</v>
      </c>
      <c r="BP171" s="137">
        <v>45961</v>
      </c>
    </row>
    <row r="172" spans="1:68" ht="15.75" customHeight="1">
      <c r="A172" s="109" t="s">
        <v>751</v>
      </c>
      <c r="B172" s="122" t="s">
        <v>199</v>
      </c>
      <c r="C172" s="301"/>
      <c r="D172" s="304"/>
      <c r="E172" s="304"/>
      <c r="F172" s="297"/>
      <c r="G172" s="78">
        <v>2020</v>
      </c>
      <c r="H172" s="105" t="s">
        <v>5</v>
      </c>
      <c r="I172" s="103" t="s">
        <v>201</v>
      </c>
      <c r="J172" s="102" t="s">
        <v>197</v>
      </c>
      <c r="K172" s="105" t="s">
        <v>753</v>
      </c>
      <c r="L172" s="105" t="s">
        <v>192</v>
      </c>
      <c r="M172" s="13" t="s">
        <v>193</v>
      </c>
      <c r="N172" s="13"/>
      <c r="O172" s="13"/>
      <c r="P172" s="13">
        <v>8.84</v>
      </c>
      <c r="Q172" s="13">
        <v>8.84</v>
      </c>
      <c r="R172" s="13">
        <v>8.84</v>
      </c>
      <c r="S172" s="13">
        <v>8.84</v>
      </c>
      <c r="T172" s="13">
        <v>8.84</v>
      </c>
      <c r="U172" s="13">
        <v>8.84</v>
      </c>
      <c r="V172" s="13">
        <v>8.84</v>
      </c>
      <c r="W172" s="13">
        <v>8.84</v>
      </c>
      <c r="X172" s="13">
        <v>8.84</v>
      </c>
      <c r="Y172" s="13">
        <v>8.84</v>
      </c>
      <c r="Z172" s="13">
        <v>8.84</v>
      </c>
      <c r="AA172" s="13">
        <v>8.84</v>
      </c>
      <c r="AB172" s="40"/>
      <c r="AC172" s="40"/>
      <c r="AD172" s="40"/>
      <c r="AE172" s="40"/>
      <c r="AF172" s="40"/>
      <c r="AG172" s="40"/>
      <c r="AH172" s="40"/>
      <c r="AI172" s="40"/>
      <c r="AJ172" s="40">
        <v>0.18</v>
      </c>
      <c r="AK172" s="40">
        <v>0.18</v>
      </c>
      <c r="AL172" s="40">
        <v>0.18</v>
      </c>
      <c r="AM172" s="40">
        <v>0.18</v>
      </c>
      <c r="AN172" s="40">
        <v>0.18</v>
      </c>
      <c r="AO172" s="116">
        <v>0</v>
      </c>
      <c r="AP172" s="6">
        <f t="shared" si="0"/>
        <v>0</v>
      </c>
      <c r="AQ172" s="115">
        <v>0</v>
      </c>
      <c r="AR172" s="6">
        <f t="shared" si="1"/>
        <v>0</v>
      </c>
      <c r="AS172" s="115" t="s">
        <v>573</v>
      </c>
      <c r="AT172" s="6">
        <f t="shared" si="19"/>
        <v>0</v>
      </c>
      <c r="AU172" s="115">
        <v>0</v>
      </c>
      <c r="AV172" s="1">
        <f t="shared" si="7"/>
        <v>0</v>
      </c>
      <c r="AW172" s="115">
        <v>0</v>
      </c>
      <c r="AX172" s="1">
        <f t="shared" si="24"/>
        <v>0</v>
      </c>
      <c r="AY172" s="5" t="s">
        <v>573</v>
      </c>
      <c r="AZ172" s="1">
        <f t="shared" si="9"/>
        <v>0</v>
      </c>
      <c r="BA172" s="5" t="s">
        <v>573</v>
      </c>
      <c r="BB172" s="1">
        <f t="shared" si="10"/>
        <v>0</v>
      </c>
      <c r="BC172" s="5">
        <v>150</v>
      </c>
      <c r="BD172" s="146">
        <f t="shared" si="3"/>
        <v>27</v>
      </c>
      <c r="BE172" s="150">
        <v>1130</v>
      </c>
      <c r="BF172" s="1">
        <f t="shared" si="20"/>
        <v>203.4</v>
      </c>
      <c r="BG172" s="150" t="s">
        <v>573</v>
      </c>
      <c r="BH172" s="1">
        <f t="shared" si="23"/>
        <v>0</v>
      </c>
      <c r="BI172" s="150" t="s">
        <v>573</v>
      </c>
      <c r="BJ172" s="1">
        <f t="shared" si="21"/>
        <v>0</v>
      </c>
      <c r="BK172" s="156" t="s">
        <v>573</v>
      </c>
      <c r="BL172" s="1">
        <f t="shared" si="22"/>
        <v>0</v>
      </c>
      <c r="BM172" s="140" t="s">
        <v>15</v>
      </c>
      <c r="BN172" s="136" t="s">
        <v>11</v>
      </c>
      <c r="BO172" s="139" t="s">
        <v>197</v>
      </c>
      <c r="BP172" s="137">
        <v>45961</v>
      </c>
    </row>
    <row r="173" spans="1:68" ht="15.75" customHeight="1">
      <c r="A173" s="109" t="s">
        <v>751</v>
      </c>
      <c r="B173" s="122" t="s">
        <v>199</v>
      </c>
      <c r="C173" s="301"/>
      <c r="D173" s="304"/>
      <c r="E173" s="304"/>
      <c r="F173" s="297"/>
      <c r="G173" s="78">
        <v>2020</v>
      </c>
      <c r="H173" s="105" t="s">
        <v>5</v>
      </c>
      <c r="I173" s="103" t="s">
        <v>201</v>
      </c>
      <c r="J173" s="102" t="s">
        <v>197</v>
      </c>
      <c r="K173" s="105" t="s">
        <v>753</v>
      </c>
      <c r="L173" s="105" t="s">
        <v>192</v>
      </c>
      <c r="M173" s="13" t="s">
        <v>193</v>
      </c>
      <c r="N173" s="13"/>
      <c r="O173" s="13"/>
      <c r="P173" s="13">
        <v>9.02</v>
      </c>
      <c r="Q173" s="13">
        <v>9.02</v>
      </c>
      <c r="R173" s="13">
        <v>9.02</v>
      </c>
      <c r="S173" s="13">
        <v>9.02</v>
      </c>
      <c r="T173" s="13">
        <v>9.02</v>
      </c>
      <c r="U173" s="13">
        <v>9.02</v>
      </c>
      <c r="V173" s="13">
        <v>9.02</v>
      </c>
      <c r="W173" s="13">
        <v>9.02</v>
      </c>
      <c r="X173" s="13">
        <v>9.02</v>
      </c>
      <c r="Y173" s="13">
        <v>9.02</v>
      </c>
      <c r="Z173" s="13">
        <v>9.02</v>
      </c>
      <c r="AA173" s="13">
        <v>9.02</v>
      </c>
      <c r="AB173" s="40"/>
      <c r="AC173" s="40"/>
      <c r="AD173" s="40"/>
      <c r="AE173" s="40"/>
      <c r="AF173" s="40"/>
      <c r="AG173" s="40"/>
      <c r="AH173" s="40"/>
      <c r="AI173" s="40"/>
      <c r="AJ173" s="40">
        <v>0.18</v>
      </c>
      <c r="AK173" s="40">
        <v>0.18</v>
      </c>
      <c r="AL173" s="40">
        <v>0.18</v>
      </c>
      <c r="AM173" s="40">
        <v>0.18</v>
      </c>
      <c r="AN173" s="40">
        <v>0.18</v>
      </c>
      <c r="AO173" s="116">
        <v>0</v>
      </c>
      <c r="AP173" s="6">
        <f t="shared" si="0"/>
        <v>0</v>
      </c>
      <c r="AQ173" s="115">
        <v>0</v>
      </c>
      <c r="AR173" s="6">
        <f t="shared" si="1"/>
        <v>0</v>
      </c>
      <c r="AS173" s="115" t="s">
        <v>573</v>
      </c>
      <c r="AT173" s="6">
        <f t="shared" si="19"/>
        <v>0</v>
      </c>
      <c r="AU173" s="115">
        <v>0</v>
      </c>
      <c r="AV173" s="1">
        <f t="shared" si="7"/>
        <v>0</v>
      </c>
      <c r="AW173" s="115">
        <v>0</v>
      </c>
      <c r="AX173" s="1">
        <f t="shared" si="24"/>
        <v>0</v>
      </c>
      <c r="AY173" s="5" t="s">
        <v>573</v>
      </c>
      <c r="AZ173" s="1">
        <f t="shared" si="9"/>
        <v>0</v>
      </c>
      <c r="BA173" s="5" t="s">
        <v>573</v>
      </c>
      <c r="BB173" s="1">
        <f t="shared" si="10"/>
        <v>0</v>
      </c>
      <c r="BC173" s="5">
        <v>6400</v>
      </c>
      <c r="BD173" s="146">
        <f t="shared" si="3"/>
        <v>1152</v>
      </c>
      <c r="BE173" s="150">
        <v>3840</v>
      </c>
      <c r="BF173" s="1">
        <f t="shared" si="20"/>
        <v>691.19999999999993</v>
      </c>
      <c r="BG173" s="150">
        <v>5120</v>
      </c>
      <c r="BH173" s="1">
        <f t="shared" si="23"/>
        <v>921.59999999999991</v>
      </c>
      <c r="BI173" s="150">
        <v>8960</v>
      </c>
      <c r="BJ173" s="1">
        <f t="shared" si="21"/>
        <v>1612.8</v>
      </c>
      <c r="BK173" s="156" t="s">
        <v>573</v>
      </c>
      <c r="BL173" s="1">
        <f t="shared" si="22"/>
        <v>0</v>
      </c>
      <c r="BM173" s="140" t="s">
        <v>28</v>
      </c>
      <c r="BN173" s="136" t="s">
        <v>17</v>
      </c>
      <c r="BO173" s="139" t="s">
        <v>1310</v>
      </c>
      <c r="BP173" s="137">
        <v>45961</v>
      </c>
    </row>
    <row r="174" spans="1:68" ht="15.75" customHeight="1">
      <c r="A174" s="109" t="s">
        <v>751</v>
      </c>
      <c r="B174" s="122" t="s">
        <v>199</v>
      </c>
      <c r="C174" s="301"/>
      <c r="D174" s="304"/>
      <c r="E174" s="304"/>
      <c r="F174" s="297"/>
      <c r="G174" s="78">
        <v>2020</v>
      </c>
      <c r="H174" s="105" t="s">
        <v>5</v>
      </c>
      <c r="I174" s="103" t="s">
        <v>201</v>
      </c>
      <c r="J174" s="102" t="s">
        <v>197</v>
      </c>
      <c r="K174" s="105" t="s">
        <v>753</v>
      </c>
      <c r="L174" s="105" t="s">
        <v>192</v>
      </c>
      <c r="M174" s="13" t="s">
        <v>193</v>
      </c>
      <c r="N174" s="13"/>
      <c r="O174" s="13"/>
      <c r="P174" s="13">
        <v>9.16</v>
      </c>
      <c r="Q174" s="13">
        <v>9.16</v>
      </c>
      <c r="R174" s="13">
        <v>9.16</v>
      </c>
      <c r="S174" s="13">
        <v>9.16</v>
      </c>
      <c r="T174" s="13">
        <v>9.16</v>
      </c>
      <c r="U174" s="13">
        <v>9.16</v>
      </c>
      <c r="V174" s="13">
        <v>9.16</v>
      </c>
      <c r="W174" s="13">
        <v>9.16</v>
      </c>
      <c r="X174" s="13">
        <v>9.16</v>
      </c>
      <c r="Y174" s="13">
        <v>9.16</v>
      </c>
      <c r="Z174" s="13">
        <v>9.16</v>
      </c>
      <c r="AA174" s="13">
        <v>9.16</v>
      </c>
      <c r="AB174" s="40"/>
      <c r="AC174" s="40"/>
      <c r="AD174" s="40"/>
      <c r="AE174" s="40"/>
      <c r="AF174" s="40"/>
      <c r="AG174" s="40"/>
      <c r="AH174" s="40"/>
      <c r="AI174" s="40"/>
      <c r="AJ174" s="40">
        <v>0.18</v>
      </c>
      <c r="AK174" s="40">
        <v>0.18</v>
      </c>
      <c r="AL174" s="40">
        <v>0.18</v>
      </c>
      <c r="AM174" s="40">
        <v>0.18</v>
      </c>
      <c r="AN174" s="40">
        <v>0.18</v>
      </c>
      <c r="AO174" s="116">
        <v>0</v>
      </c>
      <c r="AP174" s="6">
        <f t="shared" si="0"/>
        <v>0</v>
      </c>
      <c r="AQ174" s="115">
        <v>0</v>
      </c>
      <c r="AR174" s="6">
        <f t="shared" si="1"/>
        <v>0</v>
      </c>
      <c r="AS174" s="115" t="s">
        <v>573</v>
      </c>
      <c r="AT174" s="6">
        <f t="shared" si="19"/>
        <v>0</v>
      </c>
      <c r="AU174" s="115">
        <v>0</v>
      </c>
      <c r="AV174" s="1">
        <f t="shared" si="7"/>
        <v>0</v>
      </c>
      <c r="AW174" s="115">
        <v>0</v>
      </c>
      <c r="AX174" s="1">
        <f t="shared" si="24"/>
        <v>0</v>
      </c>
      <c r="AY174" s="5" t="s">
        <v>573</v>
      </c>
      <c r="AZ174" s="1">
        <f t="shared" si="9"/>
        <v>0</v>
      </c>
      <c r="BA174" s="5" t="s">
        <v>573</v>
      </c>
      <c r="BB174" s="1">
        <f t="shared" si="10"/>
        <v>0</v>
      </c>
      <c r="BC174" s="5">
        <v>14000</v>
      </c>
      <c r="BD174" s="146">
        <f t="shared" si="3"/>
        <v>2520</v>
      </c>
      <c r="BE174" s="150">
        <v>8200</v>
      </c>
      <c r="BF174" s="1">
        <f t="shared" si="20"/>
        <v>1476</v>
      </c>
      <c r="BG174" s="150">
        <v>25800</v>
      </c>
      <c r="BH174" s="1">
        <f t="shared" si="23"/>
        <v>4644</v>
      </c>
      <c r="BI174" s="150">
        <v>39000</v>
      </c>
      <c r="BJ174" s="1">
        <f t="shared" si="21"/>
        <v>7020</v>
      </c>
      <c r="BK174" s="156">
        <v>18000</v>
      </c>
      <c r="BL174" s="1">
        <f t="shared" si="22"/>
        <v>3240</v>
      </c>
      <c r="BM174" s="144" t="s">
        <v>9</v>
      </c>
      <c r="BN174" s="136" t="s">
        <v>6</v>
      </c>
      <c r="BO174" s="139" t="s">
        <v>763</v>
      </c>
      <c r="BP174" s="137">
        <v>45961</v>
      </c>
    </row>
    <row r="175" spans="1:68" ht="15.75" customHeight="1">
      <c r="A175" s="109" t="s">
        <v>751</v>
      </c>
      <c r="B175" s="122" t="s">
        <v>199</v>
      </c>
      <c r="C175" s="301"/>
      <c r="D175" s="304"/>
      <c r="E175" s="304"/>
      <c r="F175" s="297"/>
      <c r="G175" s="78">
        <v>2020</v>
      </c>
      <c r="H175" s="105" t="s">
        <v>5</v>
      </c>
      <c r="I175" s="103" t="s">
        <v>201</v>
      </c>
      <c r="J175" s="102" t="s">
        <v>197</v>
      </c>
      <c r="K175" s="105" t="s">
        <v>753</v>
      </c>
      <c r="L175" s="105" t="s">
        <v>192</v>
      </c>
      <c r="M175" s="13" t="s">
        <v>193</v>
      </c>
      <c r="N175" s="13"/>
      <c r="O175" s="13"/>
      <c r="P175" s="13">
        <v>9</v>
      </c>
      <c r="Q175" s="13">
        <v>9</v>
      </c>
      <c r="R175" s="13">
        <v>9</v>
      </c>
      <c r="S175" s="13">
        <v>9</v>
      </c>
      <c r="T175" s="13">
        <v>9</v>
      </c>
      <c r="U175" s="13">
        <v>9</v>
      </c>
      <c r="V175" s="13">
        <v>9</v>
      </c>
      <c r="W175" s="13">
        <v>9</v>
      </c>
      <c r="X175" s="13">
        <v>9</v>
      </c>
      <c r="Y175" s="13">
        <v>9</v>
      </c>
      <c r="Z175" s="13">
        <v>9</v>
      </c>
      <c r="AA175" s="13">
        <v>9</v>
      </c>
      <c r="AB175" s="40"/>
      <c r="AC175" s="40"/>
      <c r="AD175" s="40"/>
      <c r="AE175" s="40"/>
      <c r="AF175" s="40"/>
      <c r="AG175" s="40"/>
      <c r="AH175" s="40"/>
      <c r="AI175" s="40"/>
      <c r="AJ175" s="40">
        <v>0.18</v>
      </c>
      <c r="AK175" s="40">
        <v>0.18</v>
      </c>
      <c r="AL175" s="40">
        <v>0.18</v>
      </c>
      <c r="AM175" s="40">
        <v>0.18</v>
      </c>
      <c r="AN175" s="40">
        <v>0.18</v>
      </c>
      <c r="AO175" s="116">
        <v>0</v>
      </c>
      <c r="AP175" s="6">
        <f t="shared" si="0"/>
        <v>0</v>
      </c>
      <c r="AQ175" s="115">
        <v>0</v>
      </c>
      <c r="AR175" s="6">
        <f t="shared" si="1"/>
        <v>0</v>
      </c>
      <c r="AS175" s="115" t="s">
        <v>573</v>
      </c>
      <c r="AT175" s="6">
        <f t="shared" si="19"/>
        <v>0</v>
      </c>
      <c r="AU175" s="115">
        <v>0</v>
      </c>
      <c r="AV175" s="1">
        <f t="shared" si="7"/>
        <v>0</v>
      </c>
      <c r="AW175" s="115">
        <v>0</v>
      </c>
      <c r="AX175" s="1">
        <f t="shared" si="24"/>
        <v>0</v>
      </c>
      <c r="AY175" s="5" t="s">
        <v>573</v>
      </c>
      <c r="AZ175" s="1">
        <f t="shared" si="9"/>
        <v>0</v>
      </c>
      <c r="BA175" s="5" t="s">
        <v>573</v>
      </c>
      <c r="BB175" s="1">
        <f t="shared" si="10"/>
        <v>0</v>
      </c>
      <c r="BC175" s="5">
        <v>2560</v>
      </c>
      <c r="BD175" s="146">
        <f t="shared" si="3"/>
        <v>460.79999999999995</v>
      </c>
      <c r="BE175" s="150">
        <v>8960</v>
      </c>
      <c r="BF175" s="1">
        <f t="shared" si="20"/>
        <v>1612.8</v>
      </c>
      <c r="BG175" s="150">
        <v>5120</v>
      </c>
      <c r="BH175" s="1">
        <f t="shared" si="23"/>
        <v>921.59999999999991</v>
      </c>
      <c r="BI175" s="150">
        <v>5120</v>
      </c>
      <c r="BJ175" s="1">
        <f t="shared" si="21"/>
        <v>921.59999999999991</v>
      </c>
      <c r="BK175" s="156">
        <v>2560</v>
      </c>
      <c r="BL175" s="1">
        <f t="shared" si="22"/>
        <v>460.79999999999995</v>
      </c>
      <c r="BM175" s="144" t="s">
        <v>30</v>
      </c>
      <c r="BN175" s="136" t="s">
        <v>17</v>
      </c>
      <c r="BO175" s="139" t="s">
        <v>754</v>
      </c>
      <c r="BP175" s="137">
        <v>45961</v>
      </c>
    </row>
    <row r="176" spans="1:68" ht="15.75" customHeight="1">
      <c r="A176" s="109" t="s">
        <v>751</v>
      </c>
      <c r="B176" s="122" t="s">
        <v>199</v>
      </c>
      <c r="C176" s="301"/>
      <c r="D176" s="304"/>
      <c r="E176" s="304"/>
      <c r="F176" s="297"/>
      <c r="G176" s="78">
        <v>2020</v>
      </c>
      <c r="H176" s="105" t="s">
        <v>5</v>
      </c>
      <c r="I176" s="103" t="s">
        <v>201</v>
      </c>
      <c r="J176" s="102" t="s">
        <v>197</v>
      </c>
      <c r="K176" s="105" t="s">
        <v>753</v>
      </c>
      <c r="L176" s="105" t="s">
        <v>192</v>
      </c>
      <c r="M176" s="13" t="s">
        <v>193</v>
      </c>
      <c r="N176" s="13"/>
      <c r="O176" s="13"/>
      <c r="P176" s="13">
        <v>9.02</v>
      </c>
      <c r="Q176" s="13">
        <v>9.02</v>
      </c>
      <c r="R176" s="13">
        <v>9.02</v>
      </c>
      <c r="S176" s="13">
        <v>9.02</v>
      </c>
      <c r="T176" s="13">
        <v>9.02</v>
      </c>
      <c r="U176" s="13">
        <v>9.02</v>
      </c>
      <c r="V176" s="13">
        <v>9.02</v>
      </c>
      <c r="W176" s="13">
        <v>9.02</v>
      </c>
      <c r="X176" s="13">
        <v>9.02</v>
      </c>
      <c r="Y176" s="13">
        <v>9.02</v>
      </c>
      <c r="Z176" s="13">
        <v>9.02</v>
      </c>
      <c r="AA176" s="13">
        <v>9.02</v>
      </c>
      <c r="AB176" s="40"/>
      <c r="AC176" s="40"/>
      <c r="AD176" s="40"/>
      <c r="AE176" s="40"/>
      <c r="AF176" s="40"/>
      <c r="AG176" s="40"/>
      <c r="AH176" s="40"/>
      <c r="AI176" s="40"/>
      <c r="AJ176" s="40">
        <v>0.18</v>
      </c>
      <c r="AK176" s="40">
        <v>0.18</v>
      </c>
      <c r="AL176" s="40">
        <v>0.18</v>
      </c>
      <c r="AM176" s="40">
        <v>0.18</v>
      </c>
      <c r="AN176" s="40">
        <v>0.18</v>
      </c>
      <c r="AO176" s="116">
        <v>0</v>
      </c>
      <c r="AP176" s="6">
        <f t="shared" si="0"/>
        <v>0</v>
      </c>
      <c r="AQ176" s="115">
        <v>0</v>
      </c>
      <c r="AR176" s="6">
        <f t="shared" si="1"/>
        <v>0</v>
      </c>
      <c r="AS176" s="115" t="s">
        <v>573</v>
      </c>
      <c r="AT176" s="6">
        <f t="shared" si="19"/>
        <v>0</v>
      </c>
      <c r="AU176" s="115">
        <v>0</v>
      </c>
      <c r="AV176" s="1">
        <f t="shared" si="7"/>
        <v>0</v>
      </c>
      <c r="AW176" s="115">
        <v>0</v>
      </c>
      <c r="AX176" s="1">
        <f t="shared" si="24"/>
        <v>0</v>
      </c>
      <c r="AY176" s="5" t="s">
        <v>573</v>
      </c>
      <c r="AZ176" s="1">
        <f t="shared" si="9"/>
        <v>0</v>
      </c>
      <c r="BA176" s="5" t="s">
        <v>573</v>
      </c>
      <c r="BB176" s="1">
        <f t="shared" si="10"/>
        <v>0</v>
      </c>
      <c r="BC176" s="5">
        <v>1280</v>
      </c>
      <c r="BD176" s="146">
        <f t="shared" si="3"/>
        <v>230.39999999999998</v>
      </c>
      <c r="BE176" s="150" t="s">
        <v>573</v>
      </c>
      <c r="BF176" s="1">
        <f t="shared" si="20"/>
        <v>0</v>
      </c>
      <c r="BG176" s="150" t="s">
        <v>573</v>
      </c>
      <c r="BH176" s="1">
        <f t="shared" si="23"/>
        <v>0</v>
      </c>
      <c r="BI176" s="150">
        <v>1280</v>
      </c>
      <c r="BJ176" s="1">
        <f t="shared" si="21"/>
        <v>230.39999999999998</v>
      </c>
      <c r="BK176" s="156">
        <v>2560</v>
      </c>
      <c r="BL176" s="1">
        <f t="shared" si="22"/>
        <v>460.79999999999995</v>
      </c>
      <c r="BM176" s="144" t="s">
        <v>29</v>
      </c>
      <c r="BN176" s="136" t="s">
        <v>17</v>
      </c>
      <c r="BO176" s="139" t="s">
        <v>1310</v>
      </c>
      <c r="BP176" s="137">
        <v>45961</v>
      </c>
    </row>
    <row r="177" spans="1:68" ht="15.75" customHeight="1">
      <c r="A177" s="109" t="s">
        <v>751</v>
      </c>
      <c r="B177" s="122" t="s">
        <v>199</v>
      </c>
      <c r="C177" s="301"/>
      <c r="D177" s="304"/>
      <c r="E177" s="304"/>
      <c r="F177" s="297"/>
      <c r="G177" s="78">
        <v>2020</v>
      </c>
      <c r="H177" s="105" t="s">
        <v>736</v>
      </c>
      <c r="I177" s="103" t="s">
        <v>201</v>
      </c>
      <c r="J177" s="102" t="s">
        <v>197</v>
      </c>
      <c r="K177" s="105" t="s">
        <v>755</v>
      </c>
      <c r="L177" s="105" t="s">
        <v>192</v>
      </c>
      <c r="M177" s="13" t="s">
        <v>193</v>
      </c>
      <c r="N177" s="13">
        <v>10.99</v>
      </c>
      <c r="O177" s="13">
        <v>10.77</v>
      </c>
      <c r="P177" s="13">
        <v>10.77</v>
      </c>
      <c r="Q177" s="13">
        <v>10.77</v>
      </c>
      <c r="R177" s="13">
        <v>10.77</v>
      </c>
      <c r="S177" s="13">
        <v>10.77</v>
      </c>
      <c r="T177" s="13">
        <v>10.77</v>
      </c>
      <c r="U177" s="13">
        <v>10.77</v>
      </c>
      <c r="V177" s="13">
        <v>10.77</v>
      </c>
      <c r="W177" s="13">
        <v>10.77</v>
      </c>
      <c r="X177" s="13">
        <v>10.77</v>
      </c>
      <c r="Y177" s="13">
        <v>10.77</v>
      </c>
      <c r="Z177" s="13">
        <v>10.77</v>
      </c>
      <c r="AA177" s="13">
        <v>10.77</v>
      </c>
      <c r="AB177" s="40">
        <v>0.21</v>
      </c>
      <c r="AC177" s="40">
        <v>0.21</v>
      </c>
      <c r="AD177" s="40">
        <v>0.21</v>
      </c>
      <c r="AE177" s="40">
        <v>0.21</v>
      </c>
      <c r="AF177" s="40">
        <v>0.21</v>
      </c>
      <c r="AG177" s="40">
        <v>0.21</v>
      </c>
      <c r="AH177" s="40">
        <v>0.21</v>
      </c>
      <c r="AI177" s="40">
        <v>0.21</v>
      </c>
      <c r="AJ177" s="40">
        <v>0.21</v>
      </c>
      <c r="AK177" s="40">
        <v>0.21</v>
      </c>
      <c r="AL177" s="40">
        <v>0.21</v>
      </c>
      <c r="AM177" s="40">
        <v>0.21</v>
      </c>
      <c r="AN177" s="40">
        <v>0.21</v>
      </c>
      <c r="AO177" s="116">
        <v>0</v>
      </c>
      <c r="AP177" s="6">
        <f t="shared" si="0"/>
        <v>0</v>
      </c>
      <c r="AQ177" s="115">
        <v>0</v>
      </c>
      <c r="AR177" s="6">
        <f t="shared" si="1"/>
        <v>0</v>
      </c>
      <c r="AS177" s="115" t="s">
        <v>573</v>
      </c>
      <c r="AT177" s="6">
        <f t="shared" si="19"/>
        <v>0</v>
      </c>
      <c r="AU177" s="115">
        <v>0</v>
      </c>
      <c r="AV177" s="1">
        <f t="shared" si="7"/>
        <v>0</v>
      </c>
      <c r="AW177" s="115">
        <v>2880</v>
      </c>
      <c r="AX177" s="1">
        <f t="shared" si="24"/>
        <v>604.79999999999995</v>
      </c>
      <c r="AY177" s="5" t="s">
        <v>573</v>
      </c>
      <c r="AZ177" s="1">
        <f t="shared" si="9"/>
        <v>0</v>
      </c>
      <c r="BA177" s="5">
        <v>2880</v>
      </c>
      <c r="BB177" s="1">
        <f t="shared" si="10"/>
        <v>604.79999999999995</v>
      </c>
      <c r="BC177" s="5" t="s">
        <v>573</v>
      </c>
      <c r="BD177" s="1">
        <f t="shared" si="3"/>
        <v>0</v>
      </c>
      <c r="BE177" s="150" t="s">
        <v>573</v>
      </c>
      <c r="BF177" s="1">
        <f t="shared" si="20"/>
        <v>0</v>
      </c>
      <c r="BG177" s="150" t="s">
        <v>573</v>
      </c>
      <c r="BH177" s="1">
        <f t="shared" si="23"/>
        <v>0</v>
      </c>
      <c r="BI177" s="150">
        <v>2880</v>
      </c>
      <c r="BJ177" s="1">
        <f t="shared" si="21"/>
        <v>604.79999999999995</v>
      </c>
      <c r="BK177" s="156" t="s">
        <v>573</v>
      </c>
      <c r="BL177" s="1">
        <f t="shared" si="22"/>
        <v>0</v>
      </c>
      <c r="BM177" s="141" t="s">
        <v>550</v>
      </c>
      <c r="BN177" s="136" t="s">
        <v>17</v>
      </c>
      <c r="BO177" s="139" t="s">
        <v>1310</v>
      </c>
      <c r="BP177" s="137">
        <v>45961</v>
      </c>
    </row>
    <row r="178" spans="1:68" ht="15.75" customHeight="1">
      <c r="A178" s="109" t="s">
        <v>751</v>
      </c>
      <c r="B178" s="122" t="s">
        <v>199</v>
      </c>
      <c r="C178" s="301"/>
      <c r="D178" s="304"/>
      <c r="E178" s="304"/>
      <c r="F178" s="297"/>
      <c r="G178" s="78">
        <v>2020</v>
      </c>
      <c r="H178" s="105" t="s">
        <v>736</v>
      </c>
      <c r="I178" s="103" t="s">
        <v>201</v>
      </c>
      <c r="J178" s="103" t="s">
        <v>197</v>
      </c>
      <c r="K178" s="105" t="s">
        <v>755</v>
      </c>
      <c r="L178" s="105" t="s">
        <v>192</v>
      </c>
      <c r="M178" s="13" t="s">
        <v>193</v>
      </c>
      <c r="N178" s="13">
        <v>10.99</v>
      </c>
      <c r="O178" s="13">
        <v>10.73</v>
      </c>
      <c r="P178" s="13">
        <v>10.73</v>
      </c>
      <c r="Q178" s="13">
        <v>10.73</v>
      </c>
      <c r="R178" s="13">
        <v>10.73</v>
      </c>
      <c r="S178" s="13">
        <v>10.73</v>
      </c>
      <c r="T178" s="13">
        <v>10.73</v>
      </c>
      <c r="U178" s="13">
        <v>10.73</v>
      </c>
      <c r="V178" s="13">
        <v>10.73</v>
      </c>
      <c r="W178" s="13">
        <v>10.73</v>
      </c>
      <c r="X178" s="13">
        <v>10.73</v>
      </c>
      <c r="Y178" s="13">
        <v>10.73</v>
      </c>
      <c r="Z178" s="13">
        <v>10.73</v>
      </c>
      <c r="AA178" s="13">
        <v>10.73</v>
      </c>
      <c r="AB178" s="40">
        <v>0.21</v>
      </c>
      <c r="AC178" s="40">
        <v>0.21</v>
      </c>
      <c r="AD178" s="40">
        <v>0.21</v>
      </c>
      <c r="AE178" s="40">
        <v>0.21</v>
      </c>
      <c r="AF178" s="40">
        <v>0.21</v>
      </c>
      <c r="AG178" s="40">
        <v>0.21</v>
      </c>
      <c r="AH178" s="40">
        <v>0.21</v>
      </c>
      <c r="AI178" s="40">
        <v>0.21</v>
      </c>
      <c r="AJ178" s="40">
        <v>0.21</v>
      </c>
      <c r="AK178" s="40">
        <v>0.21</v>
      </c>
      <c r="AL178" s="40">
        <v>0.21</v>
      </c>
      <c r="AM178" s="40">
        <v>0.21</v>
      </c>
      <c r="AN178" s="40">
        <v>0.21</v>
      </c>
      <c r="AO178" s="116">
        <v>0</v>
      </c>
      <c r="AP178" s="6">
        <f t="shared" si="0"/>
        <v>0</v>
      </c>
      <c r="AQ178" s="115">
        <v>0</v>
      </c>
      <c r="AR178" s="6">
        <f t="shared" si="1"/>
        <v>0</v>
      </c>
      <c r="AS178" s="115" t="s">
        <v>573</v>
      </c>
      <c r="AT178" s="6">
        <f t="shared" si="19"/>
        <v>0</v>
      </c>
      <c r="AU178" s="115">
        <v>0</v>
      </c>
      <c r="AV178" s="1">
        <f t="shared" si="7"/>
        <v>0</v>
      </c>
      <c r="AW178" s="115">
        <v>0</v>
      </c>
      <c r="AX178" s="1">
        <f t="shared" si="24"/>
        <v>0</v>
      </c>
      <c r="AY178" s="5">
        <v>2880</v>
      </c>
      <c r="AZ178" s="1">
        <f t="shared" si="9"/>
        <v>604.79999999999995</v>
      </c>
      <c r="BA178" s="5" t="s">
        <v>573</v>
      </c>
      <c r="BB178" s="1">
        <f t="shared" si="10"/>
        <v>0</v>
      </c>
      <c r="BC178" s="5" t="s">
        <v>573</v>
      </c>
      <c r="BD178" s="1">
        <f t="shared" si="3"/>
        <v>0</v>
      </c>
      <c r="BE178" s="150" t="s">
        <v>573</v>
      </c>
      <c r="BF178" s="1">
        <f t="shared" si="20"/>
        <v>0</v>
      </c>
      <c r="BG178" s="150" t="s">
        <v>573</v>
      </c>
      <c r="BH178" s="1">
        <f t="shared" si="23"/>
        <v>0</v>
      </c>
      <c r="BI178" s="150">
        <v>2880</v>
      </c>
      <c r="BJ178" s="1">
        <f t="shared" si="21"/>
        <v>604.79999999999995</v>
      </c>
      <c r="BK178" s="156">
        <v>2880</v>
      </c>
      <c r="BL178" s="1">
        <f t="shared" si="22"/>
        <v>604.79999999999995</v>
      </c>
      <c r="BM178" s="141" t="s">
        <v>552</v>
      </c>
      <c r="BN178" s="136" t="s">
        <v>17</v>
      </c>
      <c r="BO178" s="139" t="s">
        <v>754</v>
      </c>
      <c r="BP178" s="137">
        <v>45961</v>
      </c>
    </row>
    <row r="179" spans="1:68" ht="15.75" customHeight="1">
      <c r="A179" s="109" t="s">
        <v>751</v>
      </c>
      <c r="B179" s="122" t="s">
        <v>199</v>
      </c>
      <c r="C179" s="301"/>
      <c r="D179" s="304"/>
      <c r="E179" s="304"/>
      <c r="F179" s="297"/>
      <c r="G179" s="78">
        <v>2021</v>
      </c>
      <c r="H179" s="105" t="s">
        <v>737</v>
      </c>
      <c r="I179" s="103" t="s">
        <v>212</v>
      </c>
      <c r="J179" s="102" t="s">
        <v>197</v>
      </c>
      <c r="K179" s="105" t="s">
        <v>753</v>
      </c>
      <c r="L179" s="105" t="s">
        <v>192</v>
      </c>
      <c r="M179" s="13" t="s">
        <v>193</v>
      </c>
      <c r="N179" s="13">
        <v>7.53</v>
      </c>
      <c r="O179" s="13">
        <v>7.48</v>
      </c>
      <c r="P179" s="13">
        <v>7.48</v>
      </c>
      <c r="Q179" s="13">
        <v>7.48</v>
      </c>
      <c r="R179" s="13">
        <v>7.48</v>
      </c>
      <c r="S179" s="13">
        <v>7.48</v>
      </c>
      <c r="T179" s="13">
        <v>7.48</v>
      </c>
      <c r="U179" s="13">
        <v>7.48</v>
      </c>
      <c r="V179" s="13">
        <v>7.48</v>
      </c>
      <c r="W179" s="13">
        <v>7.48</v>
      </c>
      <c r="X179" s="13">
        <v>7.48</v>
      </c>
      <c r="Y179" s="13">
        <v>7.48</v>
      </c>
      <c r="Z179" s="13">
        <v>7.48</v>
      </c>
      <c r="AA179" s="13">
        <v>7.48</v>
      </c>
      <c r="AB179" s="40">
        <v>0.15</v>
      </c>
      <c r="AC179" s="40">
        <v>0.15</v>
      </c>
      <c r="AD179" s="40">
        <v>0.15</v>
      </c>
      <c r="AE179" s="40">
        <v>0.15</v>
      </c>
      <c r="AF179" s="40">
        <v>0.15</v>
      </c>
      <c r="AG179" s="40">
        <v>0.15</v>
      </c>
      <c r="AH179" s="40">
        <v>0.15</v>
      </c>
      <c r="AI179" s="40">
        <v>0.15</v>
      </c>
      <c r="AJ179" s="40">
        <v>0.15</v>
      </c>
      <c r="AK179" s="40">
        <v>0.15</v>
      </c>
      <c r="AL179" s="40">
        <v>0.15</v>
      </c>
      <c r="AM179" s="40">
        <v>0.15</v>
      </c>
      <c r="AN179" s="40">
        <v>0.15</v>
      </c>
      <c r="AO179" s="116">
        <v>0</v>
      </c>
      <c r="AP179" s="6">
        <f t="shared" si="0"/>
        <v>0</v>
      </c>
      <c r="AQ179" s="115">
        <v>0</v>
      </c>
      <c r="AR179" s="6">
        <f t="shared" si="1"/>
        <v>0</v>
      </c>
      <c r="AS179" s="115" t="s">
        <v>573</v>
      </c>
      <c r="AT179" s="6">
        <f t="shared" si="19"/>
        <v>0</v>
      </c>
      <c r="AU179" s="115">
        <v>0</v>
      </c>
      <c r="AV179" s="1">
        <f t="shared" si="7"/>
        <v>0</v>
      </c>
      <c r="AW179" s="115">
        <v>0</v>
      </c>
      <c r="AX179" s="1">
        <f t="shared" si="24"/>
        <v>0</v>
      </c>
      <c r="AY179" s="5" t="s">
        <v>573</v>
      </c>
      <c r="AZ179" s="1">
        <f t="shared" si="9"/>
        <v>0</v>
      </c>
      <c r="BA179" s="5" t="s">
        <v>573</v>
      </c>
      <c r="BB179" s="1">
        <f t="shared" si="10"/>
        <v>0</v>
      </c>
      <c r="BC179" s="5" t="s">
        <v>573</v>
      </c>
      <c r="BD179" s="1">
        <f t="shared" si="3"/>
        <v>0</v>
      </c>
      <c r="BE179" s="150" t="s">
        <v>573</v>
      </c>
      <c r="BF179" s="1">
        <f t="shared" si="20"/>
        <v>0</v>
      </c>
      <c r="BG179" s="150" t="s">
        <v>573</v>
      </c>
      <c r="BH179" s="1">
        <f t="shared" si="23"/>
        <v>0</v>
      </c>
      <c r="BI179" s="150" t="s">
        <v>573</v>
      </c>
      <c r="BJ179" s="1">
        <f t="shared" si="21"/>
        <v>0</v>
      </c>
      <c r="BK179" s="156" t="s">
        <v>573</v>
      </c>
      <c r="BL179" s="1">
        <f t="shared" si="22"/>
        <v>0</v>
      </c>
      <c r="BM179" s="141" t="s">
        <v>548</v>
      </c>
      <c r="BN179" s="136" t="s">
        <v>17</v>
      </c>
      <c r="BO179" s="139" t="s">
        <v>1310</v>
      </c>
      <c r="BP179" s="137">
        <v>45961</v>
      </c>
    </row>
    <row r="180" spans="1:68" ht="15.75" customHeight="1">
      <c r="A180" s="109" t="s">
        <v>751</v>
      </c>
      <c r="B180" s="122" t="s">
        <v>199</v>
      </c>
      <c r="C180" s="301"/>
      <c r="D180" s="304"/>
      <c r="E180" s="304"/>
      <c r="F180" s="297"/>
      <c r="G180" s="78">
        <v>2021</v>
      </c>
      <c r="H180" s="105" t="s">
        <v>737</v>
      </c>
      <c r="I180" s="103" t="s">
        <v>212</v>
      </c>
      <c r="J180" s="102" t="s">
        <v>197</v>
      </c>
      <c r="K180" s="105" t="s">
        <v>753</v>
      </c>
      <c r="L180" s="105" t="s">
        <v>192</v>
      </c>
      <c r="M180" s="13" t="s">
        <v>193</v>
      </c>
      <c r="N180" s="13">
        <v>7.53</v>
      </c>
      <c r="O180" s="13">
        <v>7.46</v>
      </c>
      <c r="P180" s="13">
        <v>7.46</v>
      </c>
      <c r="Q180" s="13">
        <v>7.46</v>
      </c>
      <c r="R180" s="13">
        <v>7.46</v>
      </c>
      <c r="S180" s="13">
        <v>7.46</v>
      </c>
      <c r="T180" s="13">
        <v>7.46</v>
      </c>
      <c r="U180" s="13">
        <v>7.46</v>
      </c>
      <c r="V180" s="13">
        <v>7.46</v>
      </c>
      <c r="W180" s="13">
        <v>7.46</v>
      </c>
      <c r="X180" s="13">
        <v>7.46</v>
      </c>
      <c r="Y180" s="13">
        <v>7.46</v>
      </c>
      <c r="Z180" s="13">
        <v>7.46</v>
      </c>
      <c r="AA180" s="13">
        <v>7.46</v>
      </c>
      <c r="AB180" s="40">
        <v>0.15</v>
      </c>
      <c r="AC180" s="40">
        <v>0.15</v>
      </c>
      <c r="AD180" s="40">
        <v>0.15</v>
      </c>
      <c r="AE180" s="40">
        <v>0.15</v>
      </c>
      <c r="AF180" s="40">
        <v>0.15</v>
      </c>
      <c r="AG180" s="40">
        <v>0.15</v>
      </c>
      <c r="AH180" s="40">
        <v>0.15</v>
      </c>
      <c r="AI180" s="40">
        <v>0.15</v>
      </c>
      <c r="AJ180" s="40">
        <v>0.15</v>
      </c>
      <c r="AK180" s="40">
        <v>0.15</v>
      </c>
      <c r="AL180" s="40">
        <v>0.15</v>
      </c>
      <c r="AM180" s="40">
        <v>0.15</v>
      </c>
      <c r="AN180" s="40">
        <v>0.15</v>
      </c>
      <c r="AO180" s="116">
        <v>0</v>
      </c>
      <c r="AP180" s="6">
        <f t="shared" si="0"/>
        <v>0</v>
      </c>
      <c r="AQ180" s="115">
        <v>0</v>
      </c>
      <c r="AR180" s="6">
        <f t="shared" si="1"/>
        <v>0</v>
      </c>
      <c r="AS180" s="115" t="s">
        <v>573</v>
      </c>
      <c r="AT180" s="6">
        <f t="shared" si="19"/>
        <v>0</v>
      </c>
      <c r="AU180" s="115">
        <v>0</v>
      </c>
      <c r="AV180" s="1">
        <f t="shared" si="7"/>
        <v>0</v>
      </c>
      <c r="AW180" s="115">
        <v>4800</v>
      </c>
      <c r="AX180" s="1">
        <f t="shared" si="24"/>
        <v>720</v>
      </c>
      <c r="AY180" s="5" t="s">
        <v>573</v>
      </c>
      <c r="AZ180" s="1">
        <f t="shared" si="9"/>
        <v>0</v>
      </c>
      <c r="BA180" s="5" t="s">
        <v>573</v>
      </c>
      <c r="BB180" s="1">
        <f t="shared" si="10"/>
        <v>0</v>
      </c>
      <c r="BC180" s="5" t="s">
        <v>573</v>
      </c>
      <c r="BD180" s="1">
        <f t="shared" si="3"/>
        <v>0</v>
      </c>
      <c r="BE180" s="150" t="s">
        <v>573</v>
      </c>
      <c r="BF180" s="1">
        <f t="shared" si="20"/>
        <v>0</v>
      </c>
      <c r="BG180" s="150" t="s">
        <v>573</v>
      </c>
      <c r="BH180" s="1">
        <f t="shared" si="23"/>
        <v>0</v>
      </c>
      <c r="BI180" s="150">
        <v>2400</v>
      </c>
      <c r="BJ180" s="1">
        <f t="shared" si="21"/>
        <v>360</v>
      </c>
      <c r="BK180" s="156">
        <v>1200</v>
      </c>
      <c r="BL180" s="1">
        <f t="shared" si="22"/>
        <v>180</v>
      </c>
      <c r="BM180" s="141" t="s">
        <v>546</v>
      </c>
      <c r="BN180" s="136" t="s">
        <v>17</v>
      </c>
      <c r="BO180" s="139" t="s">
        <v>1310</v>
      </c>
      <c r="BP180" s="137">
        <v>45961</v>
      </c>
    </row>
    <row r="181" spans="1:68" ht="15.75" customHeight="1">
      <c r="A181" s="109" t="s">
        <v>751</v>
      </c>
      <c r="B181" s="122" t="s">
        <v>199</v>
      </c>
      <c r="C181" s="301"/>
      <c r="D181" s="304"/>
      <c r="E181" s="304"/>
      <c r="F181" s="297"/>
      <c r="G181" s="78">
        <v>2021</v>
      </c>
      <c r="H181" s="105" t="s">
        <v>737</v>
      </c>
      <c r="I181" s="103" t="s">
        <v>212</v>
      </c>
      <c r="J181" s="103" t="s">
        <v>197</v>
      </c>
      <c r="K181" s="105" t="s">
        <v>753</v>
      </c>
      <c r="L181" s="105" t="s">
        <v>192</v>
      </c>
      <c r="M181" s="13" t="s">
        <v>193</v>
      </c>
      <c r="N181" s="13">
        <v>7.53</v>
      </c>
      <c r="O181" s="13">
        <v>7.4</v>
      </c>
      <c r="P181" s="13">
        <v>7.4</v>
      </c>
      <c r="Q181" s="13">
        <v>7.4</v>
      </c>
      <c r="R181" s="13">
        <v>7.4</v>
      </c>
      <c r="S181" s="13">
        <v>7.4</v>
      </c>
      <c r="T181" s="13">
        <v>7.4</v>
      </c>
      <c r="U181" s="13">
        <v>7.4</v>
      </c>
      <c r="V181" s="13">
        <v>7.4</v>
      </c>
      <c r="W181" s="13">
        <v>7.4</v>
      </c>
      <c r="X181" s="13">
        <v>7.4</v>
      </c>
      <c r="Y181" s="13">
        <v>7.4</v>
      </c>
      <c r="Z181" s="13">
        <v>7.4</v>
      </c>
      <c r="AA181" s="13">
        <v>7.4</v>
      </c>
      <c r="AB181" s="40">
        <v>0.15</v>
      </c>
      <c r="AC181" s="40">
        <v>0.15</v>
      </c>
      <c r="AD181" s="40">
        <v>0.15</v>
      </c>
      <c r="AE181" s="40">
        <v>0.15</v>
      </c>
      <c r="AF181" s="40">
        <v>0.15</v>
      </c>
      <c r="AG181" s="40">
        <v>0.15</v>
      </c>
      <c r="AH181" s="40">
        <v>0.15</v>
      </c>
      <c r="AI181" s="40">
        <v>0.15</v>
      </c>
      <c r="AJ181" s="40">
        <v>0.15</v>
      </c>
      <c r="AK181" s="40">
        <v>0.15</v>
      </c>
      <c r="AL181" s="40">
        <v>0.15</v>
      </c>
      <c r="AM181" s="40">
        <v>0.15</v>
      </c>
      <c r="AN181" s="40">
        <v>0.15</v>
      </c>
      <c r="AO181" s="116">
        <v>1200</v>
      </c>
      <c r="AP181" s="6">
        <f t="shared" si="0"/>
        <v>180</v>
      </c>
      <c r="AQ181" s="115">
        <v>0</v>
      </c>
      <c r="AR181" s="6">
        <f t="shared" si="1"/>
        <v>0</v>
      </c>
      <c r="AS181" s="115" t="s">
        <v>573</v>
      </c>
      <c r="AT181" s="6">
        <f t="shared" si="19"/>
        <v>0</v>
      </c>
      <c r="AU181" s="115">
        <v>0</v>
      </c>
      <c r="AV181" s="1">
        <f t="shared" si="7"/>
        <v>0</v>
      </c>
      <c r="AW181" s="115">
        <v>2400</v>
      </c>
      <c r="AX181" s="1">
        <f t="shared" si="24"/>
        <v>360</v>
      </c>
      <c r="AY181" s="5">
        <v>1200</v>
      </c>
      <c r="AZ181" s="1">
        <f t="shared" si="9"/>
        <v>180</v>
      </c>
      <c r="BA181" s="5" t="s">
        <v>573</v>
      </c>
      <c r="BB181" s="1">
        <f t="shared" si="10"/>
        <v>0</v>
      </c>
      <c r="BC181" s="5" t="s">
        <v>573</v>
      </c>
      <c r="BD181" s="1">
        <f t="shared" si="3"/>
        <v>0</v>
      </c>
      <c r="BE181" s="150">
        <v>1200</v>
      </c>
      <c r="BF181" s="1">
        <f t="shared" si="20"/>
        <v>180</v>
      </c>
      <c r="BG181" s="150" t="s">
        <v>573</v>
      </c>
      <c r="BH181" s="1">
        <f t="shared" si="23"/>
        <v>0</v>
      </c>
      <c r="BI181" s="150" t="s">
        <v>573</v>
      </c>
      <c r="BJ181" s="1">
        <f t="shared" si="21"/>
        <v>0</v>
      </c>
      <c r="BK181" s="156" t="s">
        <v>573</v>
      </c>
      <c r="BL181" s="1">
        <f t="shared" si="22"/>
        <v>0</v>
      </c>
      <c r="BM181" s="141" t="s">
        <v>549</v>
      </c>
      <c r="BN181" s="136" t="s">
        <v>17</v>
      </c>
      <c r="BO181" s="139" t="s">
        <v>754</v>
      </c>
      <c r="BP181" s="137">
        <v>45961</v>
      </c>
    </row>
    <row r="182" spans="1:68" ht="15.75" customHeight="1">
      <c r="A182" s="109" t="s">
        <v>751</v>
      </c>
      <c r="B182" s="122" t="s">
        <v>199</v>
      </c>
      <c r="C182" s="301"/>
      <c r="D182" s="304"/>
      <c r="E182" s="304"/>
      <c r="F182" s="297"/>
      <c r="G182" s="78">
        <v>2021</v>
      </c>
      <c r="H182" s="105" t="s">
        <v>737</v>
      </c>
      <c r="I182" s="103" t="s">
        <v>212</v>
      </c>
      <c r="J182" s="102" t="s">
        <v>197</v>
      </c>
      <c r="K182" s="105" t="s">
        <v>753</v>
      </c>
      <c r="L182" s="105" t="s">
        <v>192</v>
      </c>
      <c r="M182" s="13" t="s">
        <v>193</v>
      </c>
      <c r="N182" s="13">
        <v>7.53</v>
      </c>
      <c r="O182" s="13">
        <v>7.42</v>
      </c>
      <c r="P182" s="13">
        <v>7.42</v>
      </c>
      <c r="Q182" s="13">
        <v>7.42</v>
      </c>
      <c r="R182" s="13">
        <v>7.42</v>
      </c>
      <c r="S182" s="13">
        <v>7.42</v>
      </c>
      <c r="T182" s="13">
        <v>7.42</v>
      </c>
      <c r="U182" s="13">
        <v>7.42</v>
      </c>
      <c r="V182" s="13">
        <v>7.42</v>
      </c>
      <c r="W182" s="13">
        <v>7.42</v>
      </c>
      <c r="X182" s="13">
        <v>7.42</v>
      </c>
      <c r="Y182" s="13">
        <v>7.42</v>
      </c>
      <c r="Z182" s="13">
        <v>7.42</v>
      </c>
      <c r="AA182" s="13">
        <v>7.42</v>
      </c>
      <c r="AB182" s="40">
        <v>0.15</v>
      </c>
      <c r="AC182" s="40">
        <v>0.15</v>
      </c>
      <c r="AD182" s="40">
        <v>0.15</v>
      </c>
      <c r="AE182" s="40">
        <v>0.15</v>
      </c>
      <c r="AF182" s="40">
        <v>0.15</v>
      </c>
      <c r="AG182" s="40">
        <v>0.15</v>
      </c>
      <c r="AH182" s="40">
        <v>0.15</v>
      </c>
      <c r="AI182" s="40">
        <v>0.15</v>
      </c>
      <c r="AJ182" s="40">
        <v>0.15</v>
      </c>
      <c r="AK182" s="40">
        <v>0.15</v>
      </c>
      <c r="AL182" s="40">
        <v>0.15</v>
      </c>
      <c r="AM182" s="40">
        <v>0.15</v>
      </c>
      <c r="AN182" s="40">
        <v>0.15</v>
      </c>
      <c r="AO182" s="116">
        <v>8400</v>
      </c>
      <c r="AP182" s="6">
        <f t="shared" si="0"/>
        <v>1260</v>
      </c>
      <c r="AQ182" s="115">
        <v>9600</v>
      </c>
      <c r="AR182" s="6">
        <f t="shared" si="1"/>
        <v>1440</v>
      </c>
      <c r="AS182" s="115">
        <v>6000</v>
      </c>
      <c r="AT182" s="6">
        <f t="shared" si="19"/>
        <v>900</v>
      </c>
      <c r="AU182" s="115">
        <v>0</v>
      </c>
      <c r="AV182" s="1">
        <f t="shared" si="7"/>
        <v>0</v>
      </c>
      <c r="AW182" s="115">
        <v>15600</v>
      </c>
      <c r="AX182" s="1">
        <f t="shared" si="24"/>
        <v>2340</v>
      </c>
      <c r="AY182" s="5">
        <v>33000</v>
      </c>
      <c r="AZ182" s="1">
        <f t="shared" si="9"/>
        <v>4950</v>
      </c>
      <c r="BA182" s="5">
        <v>28200</v>
      </c>
      <c r="BB182" s="1">
        <f t="shared" si="10"/>
        <v>4230</v>
      </c>
      <c r="BC182" s="5">
        <v>13200</v>
      </c>
      <c r="BD182" s="1">
        <f t="shared" si="3"/>
        <v>1980</v>
      </c>
      <c r="BE182" s="150">
        <v>3600</v>
      </c>
      <c r="BF182" s="1">
        <f t="shared" si="20"/>
        <v>540</v>
      </c>
      <c r="BG182" s="150">
        <v>7200</v>
      </c>
      <c r="BH182" s="1">
        <f t="shared" si="23"/>
        <v>1080</v>
      </c>
      <c r="BI182" s="150">
        <v>25200</v>
      </c>
      <c r="BJ182" s="1">
        <f t="shared" si="21"/>
        <v>3780</v>
      </c>
      <c r="BK182" s="156">
        <v>21600</v>
      </c>
      <c r="BL182" s="1">
        <f t="shared" si="22"/>
        <v>3240</v>
      </c>
      <c r="BM182" s="141" t="s">
        <v>544</v>
      </c>
      <c r="BN182" s="136" t="s">
        <v>17</v>
      </c>
      <c r="BO182" s="139" t="s">
        <v>197</v>
      </c>
      <c r="BP182" s="137">
        <v>45961</v>
      </c>
    </row>
    <row r="183" spans="1:68" ht="15.75" customHeight="1">
      <c r="A183" s="109" t="s">
        <v>751</v>
      </c>
      <c r="B183" s="122" t="s">
        <v>199</v>
      </c>
      <c r="C183" s="301"/>
      <c r="D183" s="304"/>
      <c r="E183" s="304"/>
      <c r="F183" s="297"/>
      <c r="G183" s="78">
        <v>2021</v>
      </c>
      <c r="H183" s="105" t="s">
        <v>737</v>
      </c>
      <c r="I183" s="103" t="s">
        <v>212</v>
      </c>
      <c r="J183" s="102" t="s">
        <v>197</v>
      </c>
      <c r="K183" s="105" t="s">
        <v>753</v>
      </c>
      <c r="L183" s="105" t="s">
        <v>192</v>
      </c>
      <c r="M183" s="13" t="s">
        <v>193</v>
      </c>
      <c r="N183" s="13">
        <v>7.92</v>
      </c>
      <c r="O183" s="13">
        <v>7.92</v>
      </c>
      <c r="P183" s="13">
        <v>7.92</v>
      </c>
      <c r="Q183" s="13">
        <v>7.92</v>
      </c>
      <c r="R183" s="13">
        <v>7.92</v>
      </c>
      <c r="S183" s="13">
        <v>7.92</v>
      </c>
      <c r="T183" s="13">
        <v>7.92</v>
      </c>
      <c r="U183" s="13">
        <v>7.92</v>
      </c>
      <c r="V183" s="13">
        <v>7.92</v>
      </c>
      <c r="W183" s="13">
        <v>7.92</v>
      </c>
      <c r="X183" s="13">
        <v>7.92</v>
      </c>
      <c r="Y183" s="13">
        <v>7.92</v>
      </c>
      <c r="Z183" s="13">
        <v>7.92</v>
      </c>
      <c r="AA183" s="13">
        <v>7.92</v>
      </c>
      <c r="AB183" s="40">
        <v>0.15</v>
      </c>
      <c r="AC183" s="40">
        <v>0.15</v>
      </c>
      <c r="AD183" s="40">
        <v>0.15</v>
      </c>
      <c r="AE183" s="40">
        <v>0.15</v>
      </c>
      <c r="AF183" s="40">
        <v>0.15</v>
      </c>
      <c r="AG183" s="40">
        <v>0.15</v>
      </c>
      <c r="AH183" s="40">
        <v>0.15</v>
      </c>
      <c r="AI183" s="40">
        <v>0.15</v>
      </c>
      <c r="AJ183" s="40">
        <v>0.15</v>
      </c>
      <c r="AK183" s="40">
        <v>0.15</v>
      </c>
      <c r="AL183" s="40">
        <v>0.15</v>
      </c>
      <c r="AM183" s="40">
        <v>0.15</v>
      </c>
      <c r="AN183" s="40">
        <v>0.15</v>
      </c>
      <c r="AO183" s="116">
        <v>0</v>
      </c>
      <c r="AP183" s="6">
        <f t="shared" si="0"/>
        <v>0</v>
      </c>
      <c r="AQ183" s="115">
        <v>1200</v>
      </c>
      <c r="AR183" s="6">
        <f t="shared" si="1"/>
        <v>180</v>
      </c>
      <c r="AS183" s="115" t="s">
        <v>573</v>
      </c>
      <c r="AT183" s="6">
        <f t="shared" si="19"/>
        <v>0</v>
      </c>
      <c r="AU183" s="115">
        <v>0</v>
      </c>
      <c r="AV183" s="1">
        <f t="shared" si="7"/>
        <v>0</v>
      </c>
      <c r="AW183" s="115">
        <v>1200</v>
      </c>
      <c r="AX183" s="1">
        <f t="shared" si="24"/>
        <v>180</v>
      </c>
      <c r="AY183" s="5" t="s">
        <v>573</v>
      </c>
      <c r="AZ183" s="1">
        <f t="shared" si="9"/>
        <v>0</v>
      </c>
      <c r="BA183" s="5" t="s">
        <v>573</v>
      </c>
      <c r="BB183" s="1">
        <f t="shared" si="10"/>
        <v>0</v>
      </c>
      <c r="BC183" s="5" t="s">
        <v>573</v>
      </c>
      <c r="BD183" s="1">
        <f t="shared" si="3"/>
        <v>0</v>
      </c>
      <c r="BE183" s="150" t="s">
        <v>573</v>
      </c>
      <c r="BF183" s="1">
        <f t="shared" si="20"/>
        <v>0</v>
      </c>
      <c r="BG183" s="150" t="s">
        <v>573</v>
      </c>
      <c r="BH183" s="1">
        <f t="shared" si="23"/>
        <v>0</v>
      </c>
      <c r="BI183" s="150" t="s">
        <v>573</v>
      </c>
      <c r="BJ183" s="1">
        <f t="shared" si="21"/>
        <v>0</v>
      </c>
      <c r="BK183" s="156">
        <v>1200</v>
      </c>
      <c r="BL183" s="1">
        <f t="shared" si="22"/>
        <v>180</v>
      </c>
      <c r="BM183" s="141" t="s">
        <v>545</v>
      </c>
      <c r="BN183" s="136" t="s">
        <v>17</v>
      </c>
      <c r="BO183" s="139" t="s">
        <v>754</v>
      </c>
      <c r="BP183" s="137">
        <v>45961</v>
      </c>
    </row>
    <row r="184" spans="1:68" ht="15.75" customHeight="1">
      <c r="A184" s="109" t="s">
        <v>751</v>
      </c>
      <c r="B184" s="122" t="s">
        <v>199</v>
      </c>
      <c r="C184" s="301"/>
      <c r="D184" s="304"/>
      <c r="E184" s="304"/>
      <c r="F184" s="297"/>
      <c r="G184" s="78">
        <v>2020</v>
      </c>
      <c r="H184" s="105" t="s">
        <v>717</v>
      </c>
      <c r="I184" s="103" t="s">
        <v>201</v>
      </c>
      <c r="J184" s="102" t="s">
        <v>197</v>
      </c>
      <c r="K184" s="105" t="s">
        <v>221</v>
      </c>
      <c r="L184" s="105" t="s">
        <v>192</v>
      </c>
      <c r="M184" s="13" t="s">
        <v>193</v>
      </c>
      <c r="N184" s="13">
        <v>4.99</v>
      </c>
      <c r="O184" s="13">
        <v>4.99</v>
      </c>
      <c r="P184" s="13">
        <v>4.99</v>
      </c>
      <c r="Q184" s="13">
        <v>4.99</v>
      </c>
      <c r="R184" s="13">
        <v>4.99</v>
      </c>
      <c r="S184" s="13">
        <v>4.99</v>
      </c>
      <c r="T184" s="13">
        <v>4.99</v>
      </c>
      <c r="U184" s="13">
        <v>4.99</v>
      </c>
      <c r="V184" s="13">
        <v>4.99</v>
      </c>
      <c r="W184" s="13">
        <v>4.99</v>
      </c>
      <c r="X184" s="13">
        <v>4.99</v>
      </c>
      <c r="Y184" s="13">
        <v>4.99</v>
      </c>
      <c r="Z184" s="13">
        <v>4.99</v>
      </c>
      <c r="AA184" s="13">
        <v>4.99</v>
      </c>
      <c r="AB184" s="40">
        <v>0</v>
      </c>
      <c r="AC184" s="40">
        <v>0</v>
      </c>
      <c r="AD184" s="40">
        <v>0</v>
      </c>
      <c r="AE184" s="40">
        <v>0</v>
      </c>
      <c r="AF184" s="40">
        <v>0</v>
      </c>
      <c r="AG184" s="40">
        <v>0</v>
      </c>
      <c r="AH184" s="40">
        <v>0</v>
      </c>
      <c r="AI184" s="40">
        <v>0</v>
      </c>
      <c r="AJ184" s="40">
        <v>0</v>
      </c>
      <c r="AK184" s="40">
        <v>0</v>
      </c>
      <c r="AL184" s="40">
        <v>0</v>
      </c>
      <c r="AM184" s="40">
        <v>0</v>
      </c>
      <c r="AN184" s="40">
        <v>0</v>
      </c>
      <c r="AO184" s="116">
        <v>0</v>
      </c>
      <c r="AP184" s="6">
        <f t="shared" si="0"/>
        <v>0</v>
      </c>
      <c r="AQ184" s="115">
        <v>0</v>
      </c>
      <c r="AR184" s="6">
        <f t="shared" si="1"/>
        <v>0</v>
      </c>
      <c r="AS184" s="115" t="s">
        <v>573</v>
      </c>
      <c r="AT184" s="6">
        <f t="shared" si="19"/>
        <v>0</v>
      </c>
      <c r="AU184" s="115">
        <v>0</v>
      </c>
      <c r="AV184" s="1">
        <f t="shared" si="7"/>
        <v>0</v>
      </c>
      <c r="AW184" s="115">
        <v>0</v>
      </c>
      <c r="AX184" s="1">
        <f t="shared" si="24"/>
        <v>0</v>
      </c>
      <c r="AY184" s="5" t="s">
        <v>573</v>
      </c>
      <c r="AZ184" s="1">
        <f t="shared" si="9"/>
        <v>0</v>
      </c>
      <c r="BA184" s="5">
        <v>10400</v>
      </c>
      <c r="BB184" s="1">
        <f t="shared" si="10"/>
        <v>0</v>
      </c>
      <c r="BC184" s="5">
        <v>5200</v>
      </c>
      <c r="BD184" s="1">
        <f t="shared" si="3"/>
        <v>0</v>
      </c>
      <c r="BE184" s="150" t="s">
        <v>573</v>
      </c>
      <c r="BF184" s="1">
        <f t="shared" si="20"/>
        <v>0</v>
      </c>
      <c r="BG184" s="150">
        <v>5200</v>
      </c>
      <c r="BH184" s="1">
        <f t="shared" si="23"/>
        <v>0</v>
      </c>
      <c r="BI184" s="150" t="s">
        <v>573</v>
      </c>
      <c r="BJ184" s="1">
        <f t="shared" si="21"/>
        <v>0</v>
      </c>
      <c r="BK184" s="156">
        <v>5200</v>
      </c>
      <c r="BL184" s="1">
        <f t="shared" si="22"/>
        <v>0</v>
      </c>
      <c r="BM184" s="141" t="s">
        <v>519</v>
      </c>
      <c r="BN184" s="136" t="s">
        <v>17</v>
      </c>
      <c r="BO184" s="139" t="s">
        <v>754</v>
      </c>
      <c r="BP184" s="137">
        <v>45961</v>
      </c>
    </row>
    <row r="185" spans="1:68" ht="15.75" customHeight="1">
      <c r="A185" s="109" t="s">
        <v>751</v>
      </c>
      <c r="B185" s="122" t="s">
        <v>199</v>
      </c>
      <c r="C185" s="301"/>
      <c r="D185" s="304"/>
      <c r="E185" s="304"/>
      <c r="F185" s="297"/>
      <c r="G185" s="78">
        <v>2020</v>
      </c>
      <c r="H185" s="105" t="s">
        <v>717</v>
      </c>
      <c r="I185" s="103" t="s">
        <v>201</v>
      </c>
      <c r="J185" s="103" t="s">
        <v>197</v>
      </c>
      <c r="K185" s="105" t="s">
        <v>221</v>
      </c>
      <c r="L185" s="105" t="s">
        <v>192</v>
      </c>
      <c r="M185" s="13" t="s">
        <v>193</v>
      </c>
      <c r="N185" s="13">
        <v>4.93</v>
      </c>
      <c r="O185" s="13">
        <v>4.93</v>
      </c>
      <c r="P185" s="13">
        <v>4.93</v>
      </c>
      <c r="Q185" s="13">
        <v>4.93</v>
      </c>
      <c r="R185" s="13">
        <v>4.93</v>
      </c>
      <c r="S185" s="13">
        <v>4.93</v>
      </c>
      <c r="T185" s="13">
        <v>4.93</v>
      </c>
      <c r="U185" s="13">
        <v>4.93</v>
      </c>
      <c r="V185" s="13">
        <v>4.93</v>
      </c>
      <c r="W185" s="13">
        <v>4.93</v>
      </c>
      <c r="X185" s="13">
        <v>4.93</v>
      </c>
      <c r="Y185" s="13">
        <v>4.93</v>
      </c>
      <c r="Z185" s="13">
        <v>4.93</v>
      </c>
      <c r="AA185" s="13">
        <v>4.93</v>
      </c>
      <c r="AB185" s="40">
        <v>0</v>
      </c>
      <c r="AC185" s="40">
        <v>0</v>
      </c>
      <c r="AD185" s="40">
        <v>0</v>
      </c>
      <c r="AE185" s="40">
        <v>0</v>
      </c>
      <c r="AF185" s="40">
        <v>0</v>
      </c>
      <c r="AG185" s="40">
        <v>0</v>
      </c>
      <c r="AH185" s="40">
        <v>0</v>
      </c>
      <c r="AI185" s="40">
        <v>0</v>
      </c>
      <c r="AJ185" s="40">
        <v>0</v>
      </c>
      <c r="AK185" s="40">
        <v>0</v>
      </c>
      <c r="AL185" s="40">
        <v>0</v>
      </c>
      <c r="AM185" s="40">
        <v>0</v>
      </c>
      <c r="AN185" s="40">
        <v>0</v>
      </c>
      <c r="AO185" s="116">
        <v>0</v>
      </c>
      <c r="AP185" s="6">
        <f t="shared" si="0"/>
        <v>0</v>
      </c>
      <c r="AQ185" s="115">
        <v>0</v>
      </c>
      <c r="AR185" s="6">
        <f t="shared" si="1"/>
        <v>0</v>
      </c>
      <c r="AS185" s="115">
        <v>5200</v>
      </c>
      <c r="AT185" s="6">
        <f t="shared" si="19"/>
        <v>0</v>
      </c>
      <c r="AU185" s="115">
        <v>0</v>
      </c>
      <c r="AV185" s="1">
        <f t="shared" si="7"/>
        <v>0</v>
      </c>
      <c r="AW185" s="115">
        <v>0</v>
      </c>
      <c r="AX185" s="1">
        <f t="shared" si="24"/>
        <v>0</v>
      </c>
      <c r="AY185" s="5">
        <v>10400</v>
      </c>
      <c r="AZ185" s="1">
        <f t="shared" si="9"/>
        <v>0</v>
      </c>
      <c r="BA185" s="5">
        <v>5200</v>
      </c>
      <c r="BB185" s="1">
        <f t="shared" si="10"/>
        <v>0</v>
      </c>
      <c r="BC185" s="5" t="s">
        <v>573</v>
      </c>
      <c r="BD185" s="1">
        <f t="shared" si="3"/>
        <v>0</v>
      </c>
      <c r="BE185" s="150" t="s">
        <v>573</v>
      </c>
      <c r="BF185" s="1">
        <f t="shared" si="20"/>
        <v>0</v>
      </c>
      <c r="BG185" s="150" t="s">
        <v>573</v>
      </c>
      <c r="BH185" s="1">
        <f t="shared" si="23"/>
        <v>0</v>
      </c>
      <c r="BI185" s="150" t="s">
        <v>573</v>
      </c>
      <c r="BJ185" s="1">
        <f t="shared" si="21"/>
        <v>0</v>
      </c>
      <c r="BK185" s="156" t="s">
        <v>573</v>
      </c>
      <c r="BL185" s="1">
        <f t="shared" si="22"/>
        <v>0</v>
      </c>
      <c r="BM185" s="141" t="s">
        <v>518</v>
      </c>
      <c r="BN185" s="136" t="s">
        <v>495</v>
      </c>
      <c r="BO185" s="139" t="s">
        <v>754</v>
      </c>
      <c r="BP185" s="137">
        <v>45443</v>
      </c>
    </row>
    <row r="186" spans="1:68" ht="15.75" customHeight="1">
      <c r="A186" s="109" t="s">
        <v>751</v>
      </c>
      <c r="B186" s="122" t="s">
        <v>199</v>
      </c>
      <c r="C186" s="301"/>
      <c r="D186" s="304"/>
      <c r="E186" s="304"/>
      <c r="F186" s="297"/>
      <c r="G186" s="78">
        <v>2020</v>
      </c>
      <c r="H186" s="105" t="s">
        <v>717</v>
      </c>
      <c r="I186" s="103" t="s">
        <v>201</v>
      </c>
      <c r="J186" s="102" t="s">
        <v>197</v>
      </c>
      <c r="K186" s="105" t="s">
        <v>221</v>
      </c>
      <c r="L186" s="105" t="s">
        <v>192</v>
      </c>
      <c r="M186" s="13" t="s">
        <v>193</v>
      </c>
      <c r="N186" s="13">
        <v>5.05</v>
      </c>
      <c r="O186" s="13">
        <v>5.05</v>
      </c>
      <c r="P186" s="13">
        <v>5.05</v>
      </c>
      <c r="Q186" s="13">
        <v>5.05</v>
      </c>
      <c r="R186" s="13">
        <v>5.05</v>
      </c>
      <c r="S186" s="13">
        <v>5.05</v>
      </c>
      <c r="T186" s="13">
        <v>5.05</v>
      </c>
      <c r="U186" s="13">
        <v>5.05</v>
      </c>
      <c r="V186" s="13">
        <v>5.05</v>
      </c>
      <c r="W186" s="13">
        <v>5.05</v>
      </c>
      <c r="X186" s="13">
        <v>5.05</v>
      </c>
      <c r="Y186" s="13">
        <v>5.05</v>
      </c>
      <c r="Z186" s="13">
        <v>5.05</v>
      </c>
      <c r="AA186" s="13">
        <v>5.05</v>
      </c>
      <c r="AB186" s="40">
        <v>0</v>
      </c>
      <c r="AC186" s="40">
        <v>0</v>
      </c>
      <c r="AD186" s="40">
        <v>0</v>
      </c>
      <c r="AE186" s="40">
        <v>0</v>
      </c>
      <c r="AF186" s="40">
        <v>0</v>
      </c>
      <c r="AG186" s="40">
        <v>0</v>
      </c>
      <c r="AH186" s="40">
        <v>0</v>
      </c>
      <c r="AI186" s="40">
        <v>0</v>
      </c>
      <c r="AJ186" s="40">
        <v>0</v>
      </c>
      <c r="AK186" s="40">
        <v>0</v>
      </c>
      <c r="AL186" s="40">
        <v>0</v>
      </c>
      <c r="AM186" s="40">
        <v>0</v>
      </c>
      <c r="AN186" s="40">
        <v>0</v>
      </c>
      <c r="AO186" s="116">
        <v>0</v>
      </c>
      <c r="AP186" s="6">
        <f t="shared" si="0"/>
        <v>0</v>
      </c>
      <c r="AQ186" s="115">
        <v>0</v>
      </c>
      <c r="AR186" s="6">
        <f t="shared" si="1"/>
        <v>0</v>
      </c>
      <c r="AS186" s="115" t="s">
        <v>573</v>
      </c>
      <c r="AT186" s="6">
        <f t="shared" si="19"/>
        <v>0</v>
      </c>
      <c r="AU186" s="115">
        <v>0</v>
      </c>
      <c r="AV186" s="1">
        <f t="shared" si="7"/>
        <v>0</v>
      </c>
      <c r="AW186" s="115">
        <v>0</v>
      </c>
      <c r="AX186" s="1">
        <f t="shared" si="24"/>
        <v>0</v>
      </c>
      <c r="AY186" s="5" t="s">
        <v>573</v>
      </c>
      <c r="AZ186" s="1">
        <f t="shared" si="9"/>
        <v>0</v>
      </c>
      <c r="BA186" s="5" t="s">
        <v>573</v>
      </c>
      <c r="BB186" s="1">
        <f t="shared" si="10"/>
        <v>0</v>
      </c>
      <c r="BC186" s="5" t="s">
        <v>573</v>
      </c>
      <c r="BD186" s="1">
        <f t="shared" si="3"/>
        <v>0</v>
      </c>
      <c r="BE186" s="150" t="s">
        <v>573</v>
      </c>
      <c r="BF186" s="1">
        <f t="shared" si="20"/>
        <v>0</v>
      </c>
      <c r="BG186" s="150">
        <v>10400</v>
      </c>
      <c r="BH186" s="1">
        <f t="shared" si="23"/>
        <v>0</v>
      </c>
      <c r="BI186" s="150">
        <v>5200</v>
      </c>
      <c r="BJ186" s="1">
        <f t="shared" si="21"/>
        <v>0</v>
      </c>
      <c r="BK186" s="156" t="s">
        <v>573</v>
      </c>
      <c r="BL186" s="1">
        <f t="shared" si="22"/>
        <v>0</v>
      </c>
      <c r="BM186" s="141" t="s">
        <v>517</v>
      </c>
      <c r="BN186" s="136" t="s">
        <v>17</v>
      </c>
      <c r="BO186" s="139" t="s">
        <v>1310</v>
      </c>
      <c r="BP186" s="137">
        <v>45443</v>
      </c>
    </row>
    <row r="187" spans="1:68" ht="15.75" customHeight="1">
      <c r="A187" s="109" t="s">
        <v>751</v>
      </c>
      <c r="B187" s="122" t="s">
        <v>199</v>
      </c>
      <c r="C187" s="301"/>
      <c r="D187" s="304"/>
      <c r="E187" s="304"/>
      <c r="F187" s="297"/>
      <c r="G187" s="78">
        <v>2020</v>
      </c>
      <c r="H187" s="105" t="s">
        <v>717</v>
      </c>
      <c r="I187" s="103" t="s">
        <v>201</v>
      </c>
      <c r="J187" s="102" t="s">
        <v>197</v>
      </c>
      <c r="K187" s="105" t="s">
        <v>221</v>
      </c>
      <c r="L187" s="105" t="s">
        <v>192</v>
      </c>
      <c r="M187" s="13" t="s">
        <v>193</v>
      </c>
      <c r="N187" s="13">
        <v>5.03</v>
      </c>
      <c r="O187" s="13">
        <v>5.03</v>
      </c>
      <c r="P187" s="13">
        <v>5.03</v>
      </c>
      <c r="Q187" s="13">
        <v>5.03</v>
      </c>
      <c r="R187" s="13">
        <v>5.03</v>
      </c>
      <c r="S187" s="13">
        <v>5.03</v>
      </c>
      <c r="T187" s="13">
        <v>5.03</v>
      </c>
      <c r="U187" s="13">
        <v>5.03</v>
      </c>
      <c r="V187" s="13">
        <v>5.03</v>
      </c>
      <c r="W187" s="13">
        <v>5.03</v>
      </c>
      <c r="X187" s="13">
        <v>5.03</v>
      </c>
      <c r="Y187" s="13">
        <v>5.03</v>
      </c>
      <c r="Z187" s="13">
        <v>5.03</v>
      </c>
      <c r="AA187" s="13">
        <v>5.03</v>
      </c>
      <c r="AB187" s="40">
        <v>0</v>
      </c>
      <c r="AC187" s="40">
        <v>0</v>
      </c>
      <c r="AD187" s="40">
        <v>0</v>
      </c>
      <c r="AE187" s="40">
        <v>0</v>
      </c>
      <c r="AF187" s="40">
        <v>0</v>
      </c>
      <c r="AG187" s="40">
        <v>0</v>
      </c>
      <c r="AH187" s="40">
        <v>0</v>
      </c>
      <c r="AI187" s="40">
        <v>0</v>
      </c>
      <c r="AJ187" s="40">
        <v>0</v>
      </c>
      <c r="AK187" s="40">
        <v>0</v>
      </c>
      <c r="AL187" s="40">
        <v>0</v>
      </c>
      <c r="AM187" s="40">
        <v>0</v>
      </c>
      <c r="AN187" s="40">
        <v>0</v>
      </c>
      <c r="AO187" s="116">
        <v>0</v>
      </c>
      <c r="AP187" s="6">
        <f t="shared" si="0"/>
        <v>0</v>
      </c>
      <c r="AQ187" s="115">
        <v>0</v>
      </c>
      <c r="AR187" s="6">
        <f t="shared" si="1"/>
        <v>0</v>
      </c>
      <c r="AS187" s="115">
        <v>5200</v>
      </c>
      <c r="AT187" s="6">
        <f t="shared" si="19"/>
        <v>0</v>
      </c>
      <c r="AU187" s="115">
        <v>0</v>
      </c>
      <c r="AV187" s="1">
        <f t="shared" si="7"/>
        <v>0</v>
      </c>
      <c r="AW187" s="115">
        <v>0</v>
      </c>
      <c r="AX187" s="1">
        <f t="shared" si="24"/>
        <v>0</v>
      </c>
      <c r="AY187" s="5" t="s">
        <v>573</v>
      </c>
      <c r="AZ187" s="1">
        <f t="shared" si="9"/>
        <v>0</v>
      </c>
      <c r="BA187" s="5">
        <v>5200</v>
      </c>
      <c r="BB187" s="1">
        <f t="shared" si="10"/>
        <v>0</v>
      </c>
      <c r="BC187" s="5" t="s">
        <v>573</v>
      </c>
      <c r="BD187" s="1">
        <f t="shared" si="3"/>
        <v>0</v>
      </c>
      <c r="BE187" s="150" t="s">
        <v>573</v>
      </c>
      <c r="BF187" s="1">
        <f t="shared" si="20"/>
        <v>0</v>
      </c>
      <c r="BG187" s="150" t="s">
        <v>573</v>
      </c>
      <c r="BH187" s="1">
        <f t="shared" si="23"/>
        <v>0</v>
      </c>
      <c r="BI187" s="150" t="s">
        <v>573</v>
      </c>
      <c r="BJ187" s="1">
        <f t="shared" si="21"/>
        <v>0</v>
      </c>
      <c r="BK187" s="156" t="s">
        <v>573</v>
      </c>
      <c r="BL187" s="1">
        <f t="shared" si="22"/>
        <v>0</v>
      </c>
      <c r="BM187" s="141" t="s">
        <v>515</v>
      </c>
      <c r="BN187" s="136" t="s">
        <v>17</v>
      </c>
      <c r="BO187" s="139" t="s">
        <v>1310</v>
      </c>
      <c r="BP187" s="137">
        <v>45443</v>
      </c>
    </row>
    <row r="188" spans="1:68" ht="15.75" customHeight="1">
      <c r="A188" s="109" t="s">
        <v>751</v>
      </c>
      <c r="B188" s="122" t="s">
        <v>199</v>
      </c>
      <c r="C188" s="301"/>
      <c r="D188" s="304"/>
      <c r="E188" s="304"/>
      <c r="F188" s="297"/>
      <c r="G188" s="78">
        <v>2020</v>
      </c>
      <c r="H188" s="105" t="s">
        <v>717</v>
      </c>
      <c r="I188" s="103" t="s">
        <v>201</v>
      </c>
      <c r="J188" s="103" t="s">
        <v>197</v>
      </c>
      <c r="K188" s="105" t="s">
        <v>221</v>
      </c>
      <c r="L188" s="105" t="s">
        <v>192</v>
      </c>
      <c r="M188" s="13" t="s">
        <v>193</v>
      </c>
      <c r="N188" s="13">
        <v>4.99</v>
      </c>
      <c r="O188" s="13">
        <v>4.99</v>
      </c>
      <c r="P188" s="13">
        <v>4.99</v>
      </c>
      <c r="Q188" s="13">
        <v>4.99</v>
      </c>
      <c r="R188" s="13">
        <v>4.99</v>
      </c>
      <c r="S188" s="13">
        <v>4.99</v>
      </c>
      <c r="T188" s="13">
        <v>4.99</v>
      </c>
      <c r="U188" s="13">
        <v>4.99</v>
      </c>
      <c r="V188" s="13">
        <v>4.99</v>
      </c>
      <c r="W188" s="13">
        <v>4.99</v>
      </c>
      <c r="X188" s="13">
        <v>4.99</v>
      </c>
      <c r="Y188" s="13">
        <v>4.99</v>
      </c>
      <c r="Z188" s="13">
        <v>4.99</v>
      </c>
      <c r="AA188" s="13">
        <v>4.99</v>
      </c>
      <c r="AB188" s="40">
        <v>0</v>
      </c>
      <c r="AC188" s="40">
        <v>0</v>
      </c>
      <c r="AD188" s="40">
        <v>0</v>
      </c>
      <c r="AE188" s="40">
        <v>0</v>
      </c>
      <c r="AF188" s="40">
        <v>0</v>
      </c>
      <c r="AG188" s="40">
        <v>0</v>
      </c>
      <c r="AH188" s="40">
        <v>0</v>
      </c>
      <c r="AI188" s="40">
        <v>0</v>
      </c>
      <c r="AJ188" s="40">
        <v>0</v>
      </c>
      <c r="AK188" s="40">
        <v>0</v>
      </c>
      <c r="AL188" s="40">
        <v>0</v>
      </c>
      <c r="AM188" s="40">
        <v>0</v>
      </c>
      <c r="AN188" s="40">
        <v>0</v>
      </c>
      <c r="AO188" s="116">
        <v>0</v>
      </c>
      <c r="AP188" s="6">
        <f t="shared" si="0"/>
        <v>0</v>
      </c>
      <c r="AQ188" s="115">
        <v>0</v>
      </c>
      <c r="AR188" s="6">
        <f t="shared" si="1"/>
        <v>0</v>
      </c>
      <c r="AS188" s="115" t="s">
        <v>573</v>
      </c>
      <c r="AT188" s="6">
        <f t="shared" si="19"/>
        <v>0</v>
      </c>
      <c r="AU188" s="115">
        <v>0</v>
      </c>
      <c r="AV188" s="1">
        <f t="shared" si="7"/>
        <v>0</v>
      </c>
      <c r="AW188" s="115">
        <v>0</v>
      </c>
      <c r="AX188" s="1">
        <f t="shared" si="24"/>
        <v>0</v>
      </c>
      <c r="AY188" s="5">
        <v>5200</v>
      </c>
      <c r="AZ188" s="1">
        <f t="shared" si="9"/>
        <v>0</v>
      </c>
      <c r="BA188" s="5" t="s">
        <v>573</v>
      </c>
      <c r="BB188" s="1">
        <f t="shared" si="10"/>
        <v>0</v>
      </c>
      <c r="BC188" s="5" t="s">
        <v>573</v>
      </c>
      <c r="BD188" s="1">
        <f t="shared" si="3"/>
        <v>0</v>
      </c>
      <c r="BE188" s="150" t="s">
        <v>573</v>
      </c>
      <c r="BF188" s="1">
        <f t="shared" si="20"/>
        <v>0</v>
      </c>
      <c r="BG188" s="150">
        <v>4800</v>
      </c>
      <c r="BH188" s="1">
        <f t="shared" si="23"/>
        <v>0</v>
      </c>
      <c r="BI188" s="150">
        <v>5200</v>
      </c>
      <c r="BJ188" s="1">
        <f t="shared" si="21"/>
        <v>0</v>
      </c>
      <c r="BK188" s="156" t="s">
        <v>573</v>
      </c>
      <c r="BL188" s="1">
        <f t="shared" si="22"/>
        <v>0</v>
      </c>
      <c r="BM188" s="141" t="s">
        <v>514</v>
      </c>
      <c r="BN188" s="136" t="s">
        <v>17</v>
      </c>
      <c r="BO188" s="139" t="s">
        <v>197</v>
      </c>
      <c r="BP188" s="137">
        <v>45961</v>
      </c>
    </row>
    <row r="189" spans="1:68" ht="15.75" customHeight="1">
      <c r="A189" s="109" t="s">
        <v>751</v>
      </c>
      <c r="B189" s="122" t="s">
        <v>199</v>
      </c>
      <c r="C189" s="301"/>
      <c r="D189" s="304"/>
      <c r="E189" s="304"/>
      <c r="F189" s="297"/>
      <c r="G189" s="78">
        <v>2022</v>
      </c>
      <c r="H189" s="105" t="s">
        <v>739</v>
      </c>
      <c r="I189" s="103" t="s">
        <v>212</v>
      </c>
      <c r="J189" s="102" t="s">
        <v>197</v>
      </c>
      <c r="K189" s="105" t="s">
        <v>221</v>
      </c>
      <c r="L189" s="105" t="s">
        <v>192</v>
      </c>
      <c r="M189" s="13" t="s">
        <v>193</v>
      </c>
      <c r="N189" s="13">
        <v>3.75</v>
      </c>
      <c r="O189" s="13">
        <v>3.75</v>
      </c>
      <c r="P189" s="13">
        <v>3.75</v>
      </c>
      <c r="Q189" s="13">
        <v>3.75</v>
      </c>
      <c r="R189" s="13">
        <v>3.75</v>
      </c>
      <c r="S189" s="13">
        <v>3.75</v>
      </c>
      <c r="T189" s="13">
        <v>3.75</v>
      </c>
      <c r="U189" s="13">
        <v>3.75</v>
      </c>
      <c r="V189" s="13">
        <v>3.75</v>
      </c>
      <c r="W189" s="13">
        <v>3.75</v>
      </c>
      <c r="X189" s="13">
        <v>3.75</v>
      </c>
      <c r="Y189" s="13">
        <v>3.75</v>
      </c>
      <c r="Z189" s="13">
        <v>3.75</v>
      </c>
      <c r="AA189" s="13">
        <v>3.75</v>
      </c>
      <c r="AB189" s="40">
        <v>0.21</v>
      </c>
      <c r="AC189" s="40">
        <v>0.21</v>
      </c>
      <c r="AD189" s="40">
        <v>0.21</v>
      </c>
      <c r="AE189" s="40">
        <v>0.21</v>
      </c>
      <c r="AF189" s="40">
        <v>0.21</v>
      </c>
      <c r="AG189" s="40">
        <v>0.21</v>
      </c>
      <c r="AH189" s="40">
        <v>0.21</v>
      </c>
      <c r="AI189" s="40">
        <v>0.21</v>
      </c>
      <c r="AJ189" s="40">
        <v>0.21</v>
      </c>
      <c r="AK189" s="40">
        <v>0.21</v>
      </c>
      <c r="AL189" s="40">
        <v>0.21</v>
      </c>
      <c r="AM189" s="40">
        <v>0.21</v>
      </c>
      <c r="AN189" s="40">
        <v>0.21</v>
      </c>
      <c r="AO189" s="116">
        <v>0</v>
      </c>
      <c r="AP189" s="6">
        <f t="shared" si="0"/>
        <v>0</v>
      </c>
      <c r="AQ189" s="115">
        <v>0</v>
      </c>
      <c r="AR189" s="6">
        <f t="shared" si="1"/>
        <v>0</v>
      </c>
      <c r="AS189" s="115" t="s">
        <v>573</v>
      </c>
      <c r="AT189" s="6">
        <f t="shared" si="19"/>
        <v>0</v>
      </c>
      <c r="AU189" s="115">
        <v>0</v>
      </c>
      <c r="AV189" s="1">
        <f t="shared" si="7"/>
        <v>0</v>
      </c>
      <c r="AW189" s="115">
        <v>0</v>
      </c>
      <c r="AX189" s="1">
        <f t="shared" si="24"/>
        <v>0</v>
      </c>
      <c r="AY189" s="5">
        <v>5600</v>
      </c>
      <c r="AZ189" s="1">
        <f t="shared" si="9"/>
        <v>1176</v>
      </c>
      <c r="BA189" s="5" t="s">
        <v>573</v>
      </c>
      <c r="BB189" s="1">
        <f t="shared" si="10"/>
        <v>0</v>
      </c>
      <c r="BC189" s="5">
        <v>5600</v>
      </c>
      <c r="BD189" s="1">
        <f t="shared" si="3"/>
        <v>1176</v>
      </c>
      <c r="BE189" s="150" t="s">
        <v>573</v>
      </c>
      <c r="BF189" s="1">
        <f t="shared" si="20"/>
        <v>0</v>
      </c>
      <c r="BG189" s="150" t="s">
        <v>573</v>
      </c>
      <c r="BH189" s="1">
        <f t="shared" si="23"/>
        <v>0</v>
      </c>
      <c r="BI189" s="150">
        <v>5600</v>
      </c>
      <c r="BJ189" s="1">
        <f t="shared" si="21"/>
        <v>1176</v>
      </c>
      <c r="BK189" s="156" t="s">
        <v>573</v>
      </c>
      <c r="BL189" s="1">
        <f t="shared" si="22"/>
        <v>0</v>
      </c>
      <c r="BM189" s="141" t="s">
        <v>586</v>
      </c>
      <c r="BN189" s="136" t="s">
        <v>17</v>
      </c>
      <c r="BO189" s="139" t="s">
        <v>754</v>
      </c>
      <c r="BP189" s="137">
        <v>45961</v>
      </c>
    </row>
    <row r="190" spans="1:68" ht="15.75" customHeight="1">
      <c r="A190" s="109" t="s">
        <v>751</v>
      </c>
      <c r="B190" s="122" t="s">
        <v>199</v>
      </c>
      <c r="C190" s="301"/>
      <c r="D190" s="304"/>
      <c r="E190" s="304"/>
      <c r="F190" s="297"/>
      <c r="G190" s="78">
        <v>2022</v>
      </c>
      <c r="H190" s="105" t="s">
        <v>739</v>
      </c>
      <c r="I190" s="103" t="s">
        <v>212</v>
      </c>
      <c r="J190" s="102" t="s">
        <v>197</v>
      </c>
      <c r="K190" s="105" t="s">
        <v>221</v>
      </c>
      <c r="L190" s="105" t="s">
        <v>192</v>
      </c>
      <c r="M190" s="13" t="s">
        <v>193</v>
      </c>
      <c r="N190" s="13">
        <v>3.69</v>
      </c>
      <c r="O190" s="13">
        <v>3.69</v>
      </c>
      <c r="P190" s="13">
        <v>3.69</v>
      </c>
      <c r="Q190" s="13">
        <v>3.69</v>
      </c>
      <c r="R190" s="13">
        <v>3.69</v>
      </c>
      <c r="S190" s="13">
        <v>3.69</v>
      </c>
      <c r="T190" s="13">
        <v>3.69</v>
      </c>
      <c r="U190" s="13">
        <v>3.69</v>
      </c>
      <c r="V190" s="13">
        <v>3.69</v>
      </c>
      <c r="W190" s="13">
        <v>3.69</v>
      </c>
      <c r="X190" s="13">
        <v>3.69</v>
      </c>
      <c r="Y190" s="13">
        <v>3.69</v>
      </c>
      <c r="Z190" s="13">
        <v>3.69</v>
      </c>
      <c r="AA190" s="13">
        <v>3.69</v>
      </c>
      <c r="AB190" s="40">
        <v>0.21</v>
      </c>
      <c r="AC190" s="40">
        <v>0.21</v>
      </c>
      <c r="AD190" s="40">
        <v>0.21</v>
      </c>
      <c r="AE190" s="40">
        <v>0.21</v>
      </c>
      <c r="AF190" s="40">
        <v>0.21</v>
      </c>
      <c r="AG190" s="40">
        <v>0.21</v>
      </c>
      <c r="AH190" s="40">
        <v>0.21</v>
      </c>
      <c r="AI190" s="40">
        <v>0.21</v>
      </c>
      <c r="AJ190" s="40">
        <v>0.21</v>
      </c>
      <c r="AK190" s="40">
        <v>0.21</v>
      </c>
      <c r="AL190" s="40">
        <v>0.21</v>
      </c>
      <c r="AM190" s="40">
        <v>0.21</v>
      </c>
      <c r="AN190" s="40">
        <v>0.21</v>
      </c>
      <c r="AO190" s="79">
        <v>5600</v>
      </c>
      <c r="AP190" s="6">
        <f t="shared" si="0"/>
        <v>1176</v>
      </c>
      <c r="AQ190" s="115">
        <v>0</v>
      </c>
      <c r="AR190" s="6">
        <f t="shared" si="1"/>
        <v>0</v>
      </c>
      <c r="AS190" s="115" t="s">
        <v>573</v>
      </c>
      <c r="AT190" s="6">
        <f t="shared" si="19"/>
        <v>0</v>
      </c>
      <c r="AU190" s="115">
        <v>0</v>
      </c>
      <c r="AV190" s="1">
        <f t="shared" si="7"/>
        <v>0</v>
      </c>
      <c r="AW190" s="115">
        <v>5600</v>
      </c>
      <c r="AX190" s="1">
        <f t="shared" si="24"/>
        <v>1176</v>
      </c>
      <c r="AY190" s="5" t="s">
        <v>573</v>
      </c>
      <c r="AZ190" s="1">
        <f t="shared" si="9"/>
        <v>0</v>
      </c>
      <c r="BA190" s="5" t="s">
        <v>573</v>
      </c>
      <c r="BB190" s="1">
        <f t="shared" si="10"/>
        <v>0</v>
      </c>
      <c r="BC190" s="5" t="s">
        <v>573</v>
      </c>
      <c r="BD190" s="1">
        <f t="shared" si="3"/>
        <v>0</v>
      </c>
      <c r="BE190" s="150" t="s">
        <v>573</v>
      </c>
      <c r="BF190" s="1">
        <f t="shared" si="20"/>
        <v>0</v>
      </c>
      <c r="BG190" s="150" t="s">
        <v>573</v>
      </c>
      <c r="BH190" s="1">
        <f t="shared" si="23"/>
        <v>0</v>
      </c>
      <c r="BI190" s="150" t="s">
        <v>573</v>
      </c>
      <c r="BJ190" s="1">
        <f t="shared" si="21"/>
        <v>0</v>
      </c>
      <c r="BK190" s="156" t="s">
        <v>573</v>
      </c>
      <c r="BL190" s="1">
        <f t="shared" si="22"/>
        <v>0</v>
      </c>
      <c r="BM190" s="141" t="s">
        <v>585</v>
      </c>
      <c r="BN190" s="136" t="s">
        <v>495</v>
      </c>
      <c r="BO190" s="139" t="s">
        <v>754</v>
      </c>
      <c r="BP190" s="137">
        <v>45443</v>
      </c>
    </row>
    <row r="191" spans="1:68" ht="15.75" customHeight="1">
      <c r="A191" s="109" t="s">
        <v>751</v>
      </c>
      <c r="B191" s="122" t="s">
        <v>199</v>
      </c>
      <c r="C191" s="301"/>
      <c r="D191" s="304"/>
      <c r="E191" s="304"/>
      <c r="F191" s="297"/>
      <c r="G191" s="78">
        <v>2022</v>
      </c>
      <c r="H191" s="105" t="s">
        <v>739</v>
      </c>
      <c r="I191" s="103" t="s">
        <v>212</v>
      </c>
      <c r="J191" s="102" t="s">
        <v>197</v>
      </c>
      <c r="K191" s="105" t="s">
        <v>221</v>
      </c>
      <c r="L191" s="105" t="s">
        <v>192</v>
      </c>
      <c r="M191" s="13" t="s">
        <v>193</v>
      </c>
      <c r="N191" s="13">
        <v>3.79</v>
      </c>
      <c r="O191" s="13">
        <v>3.79</v>
      </c>
      <c r="P191" s="13">
        <v>3.79</v>
      </c>
      <c r="Q191" s="13">
        <v>3.79</v>
      </c>
      <c r="R191" s="13">
        <v>3.79</v>
      </c>
      <c r="S191" s="13">
        <v>3.79</v>
      </c>
      <c r="T191" s="13">
        <v>3.79</v>
      </c>
      <c r="U191" s="13">
        <v>3.79</v>
      </c>
      <c r="V191" s="13">
        <v>3.79</v>
      </c>
      <c r="W191" s="13">
        <v>3.79</v>
      </c>
      <c r="X191" s="13">
        <v>3.79</v>
      </c>
      <c r="Y191" s="13">
        <v>3.79</v>
      </c>
      <c r="Z191" s="13">
        <v>3.79</v>
      </c>
      <c r="AA191" s="13">
        <v>3.79</v>
      </c>
      <c r="AB191" s="40">
        <v>0.21</v>
      </c>
      <c r="AC191" s="40">
        <v>0.21</v>
      </c>
      <c r="AD191" s="40">
        <v>0.21</v>
      </c>
      <c r="AE191" s="40">
        <v>0.21</v>
      </c>
      <c r="AF191" s="40">
        <v>0.21</v>
      </c>
      <c r="AG191" s="40">
        <v>0.21</v>
      </c>
      <c r="AH191" s="40">
        <v>0.21</v>
      </c>
      <c r="AI191" s="40">
        <v>0.21</v>
      </c>
      <c r="AJ191" s="40">
        <v>0.21</v>
      </c>
      <c r="AK191" s="40">
        <v>0.21</v>
      </c>
      <c r="AL191" s="40">
        <v>0.21</v>
      </c>
      <c r="AM191" s="40">
        <v>0.21</v>
      </c>
      <c r="AN191" s="40">
        <v>0.21</v>
      </c>
      <c r="AO191" s="116">
        <v>0</v>
      </c>
      <c r="AP191" s="6">
        <f t="shared" si="0"/>
        <v>0</v>
      </c>
      <c r="AQ191" s="115">
        <v>0</v>
      </c>
      <c r="AR191" s="6">
        <f t="shared" si="1"/>
        <v>0</v>
      </c>
      <c r="AS191" s="115">
        <v>5600</v>
      </c>
      <c r="AT191" s="6">
        <f t="shared" si="19"/>
        <v>1176</v>
      </c>
      <c r="AU191" s="115">
        <v>0</v>
      </c>
      <c r="AV191" s="1">
        <f t="shared" si="7"/>
        <v>0</v>
      </c>
      <c r="AW191" s="115">
        <v>0</v>
      </c>
      <c r="AX191" s="1">
        <f t="shared" si="24"/>
        <v>0</v>
      </c>
      <c r="AY191" s="5" t="s">
        <v>573</v>
      </c>
      <c r="AZ191" s="1">
        <f t="shared" si="9"/>
        <v>0</v>
      </c>
      <c r="BA191" s="5">
        <v>5600</v>
      </c>
      <c r="BB191" s="1">
        <f t="shared" si="10"/>
        <v>1176</v>
      </c>
      <c r="BC191" s="5" t="s">
        <v>573</v>
      </c>
      <c r="BD191" s="1">
        <f t="shared" si="3"/>
        <v>0</v>
      </c>
      <c r="BE191" s="150" t="s">
        <v>573</v>
      </c>
      <c r="BF191" s="1">
        <f t="shared" si="20"/>
        <v>0</v>
      </c>
      <c r="BG191" s="150" t="s">
        <v>573</v>
      </c>
      <c r="BH191" s="1">
        <f t="shared" si="23"/>
        <v>0</v>
      </c>
      <c r="BI191" s="150" t="s">
        <v>573</v>
      </c>
      <c r="BJ191" s="1">
        <f t="shared" si="21"/>
        <v>0</v>
      </c>
      <c r="BK191" s="156">
        <v>5600</v>
      </c>
      <c r="BL191" s="1">
        <f t="shared" si="22"/>
        <v>1176</v>
      </c>
      <c r="BM191" s="141" t="s">
        <v>583</v>
      </c>
      <c r="BN191" s="136" t="s">
        <v>17</v>
      </c>
      <c r="BO191" s="139" t="s">
        <v>1310</v>
      </c>
      <c r="BP191" s="137">
        <v>45443</v>
      </c>
    </row>
    <row r="192" spans="1:68" ht="15.75" customHeight="1">
      <c r="A192" s="109" t="s">
        <v>751</v>
      </c>
      <c r="B192" s="122" t="s">
        <v>199</v>
      </c>
      <c r="C192" s="301"/>
      <c r="D192" s="304"/>
      <c r="E192" s="304"/>
      <c r="F192" s="297"/>
      <c r="G192" s="78">
        <v>2022</v>
      </c>
      <c r="H192" s="105" t="s">
        <v>739</v>
      </c>
      <c r="I192" s="103" t="s">
        <v>212</v>
      </c>
      <c r="J192" s="103" t="s">
        <v>197</v>
      </c>
      <c r="K192" s="105" t="s">
        <v>221</v>
      </c>
      <c r="L192" s="105" t="s">
        <v>192</v>
      </c>
      <c r="M192" s="13" t="s">
        <v>193</v>
      </c>
      <c r="N192" s="13">
        <v>3.77</v>
      </c>
      <c r="O192" s="13">
        <v>3.77</v>
      </c>
      <c r="P192" s="13">
        <v>3.77</v>
      </c>
      <c r="Q192" s="13">
        <v>3.77</v>
      </c>
      <c r="R192" s="13">
        <v>3.77</v>
      </c>
      <c r="S192" s="13">
        <v>3.77</v>
      </c>
      <c r="T192" s="13">
        <v>3.77</v>
      </c>
      <c r="U192" s="13">
        <v>3.77</v>
      </c>
      <c r="V192" s="13">
        <v>3.77</v>
      </c>
      <c r="W192" s="13">
        <v>3.77</v>
      </c>
      <c r="X192" s="13">
        <v>3.77</v>
      </c>
      <c r="Y192" s="13">
        <v>3.77</v>
      </c>
      <c r="Z192" s="13">
        <v>3.77</v>
      </c>
      <c r="AA192" s="13">
        <v>3.77</v>
      </c>
      <c r="AB192" s="40">
        <v>0.21</v>
      </c>
      <c r="AC192" s="40">
        <v>0.21</v>
      </c>
      <c r="AD192" s="40">
        <v>0.21</v>
      </c>
      <c r="AE192" s="40">
        <v>0.21</v>
      </c>
      <c r="AF192" s="40">
        <v>0.21</v>
      </c>
      <c r="AG192" s="40">
        <v>0.21</v>
      </c>
      <c r="AH192" s="40">
        <v>0.21</v>
      </c>
      <c r="AI192" s="40">
        <v>0.21</v>
      </c>
      <c r="AJ192" s="40">
        <v>0.21</v>
      </c>
      <c r="AK192" s="40">
        <v>0.21</v>
      </c>
      <c r="AL192" s="40">
        <v>0.21</v>
      </c>
      <c r="AM192" s="40">
        <v>0.21</v>
      </c>
      <c r="AN192" s="40">
        <v>0.21</v>
      </c>
      <c r="AO192" s="116">
        <v>0</v>
      </c>
      <c r="AP192" s="6">
        <f t="shared" si="0"/>
        <v>0</v>
      </c>
      <c r="AQ192" s="115">
        <v>0</v>
      </c>
      <c r="AR192" s="6">
        <f t="shared" si="1"/>
        <v>0</v>
      </c>
      <c r="AS192" s="115" t="s">
        <v>573</v>
      </c>
      <c r="AT192" s="6">
        <f t="shared" si="19"/>
        <v>0</v>
      </c>
      <c r="AU192" s="115">
        <v>0</v>
      </c>
      <c r="AV192" s="1">
        <f t="shared" si="7"/>
        <v>0</v>
      </c>
      <c r="AW192" s="115">
        <v>0</v>
      </c>
      <c r="AX192" s="1">
        <f t="shared" si="24"/>
        <v>0</v>
      </c>
      <c r="AY192" s="5" t="s">
        <v>573</v>
      </c>
      <c r="AZ192" s="1">
        <f t="shared" si="9"/>
        <v>0</v>
      </c>
      <c r="BA192" s="5">
        <v>10000</v>
      </c>
      <c r="BB192" s="1">
        <f t="shared" si="10"/>
        <v>2100</v>
      </c>
      <c r="BC192" s="5">
        <v>5600</v>
      </c>
      <c r="BD192" s="1">
        <f t="shared" si="3"/>
        <v>1176</v>
      </c>
      <c r="BE192" s="150" t="s">
        <v>573</v>
      </c>
      <c r="BF192" s="1">
        <f t="shared" si="20"/>
        <v>0</v>
      </c>
      <c r="BG192" s="150">
        <v>5600</v>
      </c>
      <c r="BH192" s="1">
        <f t="shared" si="23"/>
        <v>1176</v>
      </c>
      <c r="BI192" s="150">
        <v>5600</v>
      </c>
      <c r="BJ192" s="1">
        <f t="shared" si="21"/>
        <v>1176</v>
      </c>
      <c r="BK192" s="156" t="s">
        <v>573</v>
      </c>
      <c r="BL192" s="1">
        <f t="shared" si="22"/>
        <v>0</v>
      </c>
      <c r="BM192" s="141" t="s">
        <v>582</v>
      </c>
      <c r="BN192" s="136" t="s">
        <v>17</v>
      </c>
      <c r="BO192" s="139" t="s">
        <v>197</v>
      </c>
      <c r="BP192" s="137">
        <v>45961</v>
      </c>
    </row>
    <row r="193" spans="1:68" ht="15.75" customHeight="1">
      <c r="A193" s="109" t="s">
        <v>751</v>
      </c>
      <c r="B193" s="122" t="s">
        <v>199</v>
      </c>
      <c r="C193" s="301"/>
      <c r="D193" s="304"/>
      <c r="E193" s="304"/>
      <c r="F193" s="297"/>
      <c r="G193" s="78">
        <v>2023</v>
      </c>
      <c r="H193" s="105" t="str">
        <f>_xlfn.XLOOKUP(BM193,'[5]Package breakdown0503'!$F:$F,'[5]Package breakdown0503'!$B:$B)</f>
        <v>Havelock KB</v>
      </c>
      <c r="I193" s="76" t="s">
        <v>212</v>
      </c>
      <c r="J193" s="102" t="s">
        <v>197</v>
      </c>
      <c r="K193" s="105" t="s">
        <v>221</v>
      </c>
      <c r="L193" s="105" t="s">
        <v>192</v>
      </c>
      <c r="M193" s="13" t="s">
        <v>193</v>
      </c>
      <c r="N193" s="13">
        <v>6.35</v>
      </c>
      <c r="O193" s="13">
        <v>6.35</v>
      </c>
      <c r="P193" s="13">
        <v>6.35</v>
      </c>
      <c r="Q193" s="13">
        <v>6.35</v>
      </c>
      <c r="R193" s="13">
        <v>6.35</v>
      </c>
      <c r="S193" s="13">
        <v>6.35</v>
      </c>
      <c r="T193" s="13">
        <v>6.35</v>
      </c>
      <c r="U193" s="13">
        <v>6.35</v>
      </c>
      <c r="V193" s="13">
        <v>6.35</v>
      </c>
      <c r="W193" s="13">
        <v>6.35</v>
      </c>
      <c r="X193" s="13">
        <v>6.35</v>
      </c>
      <c r="Y193" s="13">
        <v>6.35</v>
      </c>
      <c r="Z193" s="13">
        <v>6.35</v>
      </c>
      <c r="AA193" s="13">
        <v>6.35</v>
      </c>
      <c r="AB193" s="40">
        <v>0.06</v>
      </c>
      <c r="AC193" s="40">
        <v>0.06</v>
      </c>
      <c r="AD193" s="40">
        <v>0.06</v>
      </c>
      <c r="AE193" s="40">
        <v>0.06</v>
      </c>
      <c r="AF193" s="40">
        <v>0.06</v>
      </c>
      <c r="AG193" s="40">
        <v>0.06</v>
      </c>
      <c r="AH193" s="40">
        <v>0.06</v>
      </c>
      <c r="AI193" s="40">
        <v>0.06</v>
      </c>
      <c r="AJ193" s="40">
        <v>0.06</v>
      </c>
      <c r="AK193" s="40">
        <v>0.06</v>
      </c>
      <c r="AL193" s="40">
        <v>0.06</v>
      </c>
      <c r="AM193" s="40">
        <v>0.06</v>
      </c>
      <c r="AN193" s="40">
        <v>0.06</v>
      </c>
      <c r="AO193" s="116">
        <v>0</v>
      </c>
      <c r="AP193" s="6">
        <f t="shared" si="0"/>
        <v>0</v>
      </c>
      <c r="AQ193" s="115">
        <v>5400</v>
      </c>
      <c r="AR193" s="6">
        <f t="shared" si="1"/>
        <v>324</v>
      </c>
      <c r="AS193" s="115" t="s">
        <v>573</v>
      </c>
      <c r="AT193" s="6">
        <f t="shared" si="19"/>
        <v>0</v>
      </c>
      <c r="AU193" s="115">
        <v>0</v>
      </c>
      <c r="AV193" s="1">
        <f t="shared" si="7"/>
        <v>0</v>
      </c>
      <c r="AW193" s="115">
        <v>0</v>
      </c>
      <c r="AX193" s="1">
        <f t="shared" si="24"/>
        <v>0</v>
      </c>
      <c r="AY193" s="5" t="s">
        <v>573</v>
      </c>
      <c r="AZ193" s="1">
        <f t="shared" si="9"/>
        <v>0</v>
      </c>
      <c r="BA193" s="5" t="s">
        <v>573</v>
      </c>
      <c r="BB193" s="1">
        <f t="shared" si="10"/>
        <v>0</v>
      </c>
      <c r="BC193" s="5" t="s">
        <v>573</v>
      </c>
      <c r="BD193" s="1">
        <f t="shared" si="3"/>
        <v>0</v>
      </c>
      <c r="BE193" s="150" t="s">
        <v>573</v>
      </c>
      <c r="BF193" s="1">
        <f t="shared" si="20"/>
        <v>0</v>
      </c>
      <c r="BG193" s="150" t="s">
        <v>573</v>
      </c>
      <c r="BH193" s="1">
        <f t="shared" si="23"/>
        <v>0</v>
      </c>
      <c r="BI193" s="150" t="s">
        <v>573</v>
      </c>
      <c r="BJ193" s="1">
        <f t="shared" si="21"/>
        <v>0</v>
      </c>
      <c r="BK193" s="156" t="s">
        <v>573</v>
      </c>
      <c r="BL193" s="1">
        <f t="shared" si="22"/>
        <v>0</v>
      </c>
      <c r="BM193" s="141" t="s">
        <v>627</v>
      </c>
      <c r="BN193" s="136" t="s">
        <v>17</v>
      </c>
      <c r="BO193" s="139" t="s">
        <v>197</v>
      </c>
      <c r="BP193" s="137">
        <v>45961</v>
      </c>
    </row>
    <row r="194" spans="1:68" ht="15.75" customHeight="1">
      <c r="A194" s="109" t="s">
        <v>751</v>
      </c>
      <c r="B194" s="122" t="s">
        <v>199</v>
      </c>
      <c r="C194" s="301"/>
      <c r="D194" s="304"/>
      <c r="E194" s="304"/>
      <c r="F194" s="297"/>
      <c r="G194" s="78">
        <v>2023</v>
      </c>
      <c r="H194" s="105" t="s">
        <v>722</v>
      </c>
      <c r="I194" s="76" t="s">
        <v>212</v>
      </c>
      <c r="J194" s="102" t="s">
        <v>197</v>
      </c>
      <c r="K194" s="105" t="s">
        <v>221</v>
      </c>
      <c r="L194" s="105" t="s">
        <v>192</v>
      </c>
      <c r="M194" s="13" t="s">
        <v>193</v>
      </c>
      <c r="N194" s="13">
        <v>6.6</v>
      </c>
      <c r="O194" s="13">
        <v>6.6</v>
      </c>
      <c r="P194" s="13">
        <v>6.6</v>
      </c>
      <c r="Q194" s="13">
        <v>6.6</v>
      </c>
      <c r="R194" s="13">
        <v>6.6</v>
      </c>
      <c r="S194" s="13">
        <v>6.6</v>
      </c>
      <c r="T194" s="13">
        <v>6.6</v>
      </c>
      <c r="U194" s="13">
        <v>6.6</v>
      </c>
      <c r="V194" s="13">
        <v>6.6</v>
      </c>
      <c r="W194" s="13">
        <v>6.6</v>
      </c>
      <c r="X194" s="13">
        <v>6.6</v>
      </c>
      <c r="Y194" s="13">
        <v>6.6</v>
      </c>
      <c r="Z194" s="13">
        <v>6.6</v>
      </c>
      <c r="AA194" s="13">
        <v>6.6</v>
      </c>
      <c r="AB194" s="40">
        <v>0.06</v>
      </c>
      <c r="AC194" s="40">
        <v>0.06</v>
      </c>
      <c r="AD194" s="40">
        <v>0.06</v>
      </c>
      <c r="AE194" s="40">
        <v>0.06</v>
      </c>
      <c r="AF194" s="40">
        <v>0.06</v>
      </c>
      <c r="AG194" s="40">
        <v>0.06</v>
      </c>
      <c r="AH194" s="40">
        <v>0.06</v>
      </c>
      <c r="AI194" s="40">
        <v>0.06</v>
      </c>
      <c r="AJ194" s="40">
        <v>0.06</v>
      </c>
      <c r="AK194" s="40">
        <v>0.06</v>
      </c>
      <c r="AL194" s="40">
        <v>0.06</v>
      </c>
      <c r="AM194" s="40">
        <v>0.06</v>
      </c>
      <c r="AN194" s="40">
        <v>0.06</v>
      </c>
      <c r="AO194" s="116">
        <v>0</v>
      </c>
      <c r="AP194" s="6">
        <f t="shared" si="0"/>
        <v>0</v>
      </c>
      <c r="AQ194" s="115">
        <v>0</v>
      </c>
      <c r="AR194" s="6">
        <f t="shared" si="1"/>
        <v>0</v>
      </c>
      <c r="AS194" s="115" t="s">
        <v>573</v>
      </c>
      <c r="AT194" s="6">
        <f t="shared" si="19"/>
        <v>0</v>
      </c>
      <c r="AU194" s="115">
        <v>0</v>
      </c>
      <c r="AV194" s="1">
        <f t="shared" si="7"/>
        <v>0</v>
      </c>
      <c r="AW194" s="115">
        <v>0</v>
      </c>
      <c r="AX194" s="1">
        <f t="shared" si="24"/>
        <v>0</v>
      </c>
      <c r="AY194" s="5" t="s">
        <v>573</v>
      </c>
      <c r="AZ194" s="1">
        <f t="shared" si="9"/>
        <v>0</v>
      </c>
      <c r="BA194" s="5" t="s">
        <v>573</v>
      </c>
      <c r="BB194" s="1">
        <f t="shared" si="10"/>
        <v>0</v>
      </c>
      <c r="BC194" s="5" t="s">
        <v>573</v>
      </c>
      <c r="BD194" s="1">
        <f t="shared" si="3"/>
        <v>0</v>
      </c>
      <c r="BE194" s="150">
        <v>2700</v>
      </c>
      <c r="BF194" s="1">
        <f t="shared" si="20"/>
        <v>162</v>
      </c>
      <c r="BG194" s="150">
        <v>2700</v>
      </c>
      <c r="BH194" s="1">
        <f t="shared" si="23"/>
        <v>162</v>
      </c>
      <c r="BI194" s="150">
        <v>5400</v>
      </c>
      <c r="BJ194" s="1">
        <f t="shared" si="21"/>
        <v>324</v>
      </c>
      <c r="BK194" s="156">
        <v>2700</v>
      </c>
      <c r="BL194" s="1">
        <f t="shared" si="22"/>
        <v>162</v>
      </c>
      <c r="BM194" s="141" t="s">
        <v>629</v>
      </c>
      <c r="BN194" s="136" t="s">
        <v>6</v>
      </c>
      <c r="BO194" s="139" t="s">
        <v>763</v>
      </c>
      <c r="BP194" s="137">
        <v>45961</v>
      </c>
    </row>
    <row r="195" spans="1:68" ht="15.75" customHeight="1">
      <c r="A195" s="109" t="s">
        <v>751</v>
      </c>
      <c r="B195" s="122" t="s">
        <v>199</v>
      </c>
      <c r="C195" s="301"/>
      <c r="D195" s="304"/>
      <c r="E195" s="304"/>
      <c r="F195" s="297"/>
      <c r="G195" s="78">
        <v>2023</v>
      </c>
      <c r="H195" s="105" t="str">
        <f>_xlfn.XLOOKUP(BM195,'[5]Package breakdown0503'!$F:$F,'[5]Package breakdown0503'!$B:$B)</f>
        <v>Havelock KB</v>
      </c>
      <c r="I195" s="76" t="s">
        <v>212</v>
      </c>
      <c r="J195" s="103" t="s">
        <v>197</v>
      </c>
      <c r="K195" s="105" t="s">
        <v>221</v>
      </c>
      <c r="L195" s="105" t="s">
        <v>192</v>
      </c>
      <c r="M195" s="13" t="s">
        <v>193</v>
      </c>
      <c r="N195" s="13">
        <v>6.35</v>
      </c>
      <c r="O195" s="13">
        <v>6.35</v>
      </c>
      <c r="P195" s="13">
        <v>6.35</v>
      </c>
      <c r="Q195" s="13">
        <v>6.35</v>
      </c>
      <c r="R195" s="13">
        <v>6.35</v>
      </c>
      <c r="S195" s="13">
        <v>6.35</v>
      </c>
      <c r="T195" s="13">
        <v>6.35</v>
      </c>
      <c r="U195" s="13">
        <v>6.35</v>
      </c>
      <c r="V195" s="13">
        <v>6.35</v>
      </c>
      <c r="W195" s="13">
        <v>6.35</v>
      </c>
      <c r="X195" s="13">
        <v>6.35</v>
      </c>
      <c r="Y195" s="13">
        <v>6.35</v>
      </c>
      <c r="Z195" s="13">
        <v>6.35</v>
      </c>
      <c r="AA195" s="13">
        <v>6.35</v>
      </c>
      <c r="AB195" s="40">
        <v>0.06</v>
      </c>
      <c r="AC195" s="40">
        <v>0.06</v>
      </c>
      <c r="AD195" s="40">
        <v>0.06</v>
      </c>
      <c r="AE195" s="40">
        <v>0.06</v>
      </c>
      <c r="AF195" s="40">
        <v>0.06</v>
      </c>
      <c r="AG195" s="40">
        <v>0.06</v>
      </c>
      <c r="AH195" s="40">
        <v>0.06</v>
      </c>
      <c r="AI195" s="40">
        <v>0.06</v>
      </c>
      <c r="AJ195" s="40">
        <v>0.06</v>
      </c>
      <c r="AK195" s="40">
        <v>0.06</v>
      </c>
      <c r="AL195" s="40">
        <v>0.06</v>
      </c>
      <c r="AM195" s="40">
        <v>0.06</v>
      </c>
      <c r="AN195" s="40">
        <v>0.06</v>
      </c>
      <c r="AO195" s="116">
        <v>0</v>
      </c>
      <c r="AP195" s="6">
        <f t="shared" si="0"/>
        <v>0</v>
      </c>
      <c r="AQ195" s="115">
        <v>0</v>
      </c>
      <c r="AR195" s="6">
        <f t="shared" si="1"/>
        <v>0</v>
      </c>
      <c r="AS195" s="115" t="s">
        <v>573</v>
      </c>
      <c r="AT195" s="6">
        <f t="shared" ref="AT195:AT258" si="25">AE195*AS195</f>
        <v>0</v>
      </c>
      <c r="AU195" s="115">
        <v>0</v>
      </c>
      <c r="AV195" s="1">
        <f t="shared" si="7"/>
        <v>0</v>
      </c>
      <c r="AW195" s="115">
        <v>0</v>
      </c>
      <c r="AX195" s="1">
        <f t="shared" si="24"/>
        <v>0</v>
      </c>
      <c r="AY195" s="5" t="s">
        <v>573</v>
      </c>
      <c r="AZ195" s="1">
        <f t="shared" si="9"/>
        <v>0</v>
      </c>
      <c r="BA195" s="5" t="s">
        <v>573</v>
      </c>
      <c r="BB195" s="1">
        <f t="shared" si="10"/>
        <v>0</v>
      </c>
      <c r="BC195" s="5" t="s">
        <v>573</v>
      </c>
      <c r="BD195" s="1">
        <f t="shared" si="3"/>
        <v>0</v>
      </c>
      <c r="BE195" s="150" t="s">
        <v>573</v>
      </c>
      <c r="BF195" s="1">
        <f t="shared" ref="BF195:BF258" si="26">AK195*BE195</f>
        <v>0</v>
      </c>
      <c r="BG195" s="150" t="s">
        <v>573</v>
      </c>
      <c r="BH195" s="1">
        <f t="shared" si="23"/>
        <v>0</v>
      </c>
      <c r="BI195" s="150" t="s">
        <v>573</v>
      </c>
      <c r="BJ195" s="1">
        <f t="shared" ref="BJ195:BJ258" si="27">AM195*BI195</f>
        <v>0</v>
      </c>
      <c r="BK195" s="156" t="s">
        <v>573</v>
      </c>
      <c r="BL195" s="1">
        <f t="shared" ref="BL195:BL213" si="28">BK195*AN195</f>
        <v>0</v>
      </c>
      <c r="BM195" s="141" t="s">
        <v>628</v>
      </c>
      <c r="BN195" s="136" t="s">
        <v>17</v>
      </c>
      <c r="BO195" s="139" t="s">
        <v>1310</v>
      </c>
      <c r="BP195" s="137">
        <v>45961</v>
      </c>
    </row>
    <row r="196" spans="1:68" ht="15.75" customHeight="1">
      <c r="A196" s="109" t="s">
        <v>751</v>
      </c>
      <c r="B196" s="122" t="s">
        <v>766</v>
      </c>
      <c r="C196" s="301"/>
      <c r="D196" s="304"/>
      <c r="E196" s="304"/>
      <c r="F196" s="297"/>
      <c r="G196" s="78">
        <v>2023</v>
      </c>
      <c r="H196" s="105" t="str">
        <f>_xlfn.XLOOKUP(BM196,'[5]Package breakdown0503'!$F:$F,'[5]Package breakdown0503'!$B:$B)</f>
        <v>Havelock KB</v>
      </c>
      <c r="I196" s="76" t="s">
        <v>212</v>
      </c>
      <c r="J196" s="102" t="s">
        <v>197</v>
      </c>
      <c r="K196" s="105" t="s">
        <v>221</v>
      </c>
      <c r="L196" s="105" t="s">
        <v>192</v>
      </c>
      <c r="M196" s="13" t="s">
        <v>193</v>
      </c>
      <c r="N196" s="13">
        <v>6.35</v>
      </c>
      <c r="O196" s="13">
        <v>6.35</v>
      </c>
      <c r="P196" s="13">
        <v>6.35</v>
      </c>
      <c r="Q196" s="13">
        <v>6.35</v>
      </c>
      <c r="R196" s="13">
        <v>6.35</v>
      </c>
      <c r="S196" s="13">
        <v>6.35</v>
      </c>
      <c r="T196" s="13">
        <v>6.35</v>
      </c>
      <c r="U196" s="13">
        <v>6.35</v>
      </c>
      <c r="V196" s="13">
        <v>6.35</v>
      </c>
      <c r="W196" s="13">
        <v>6.35</v>
      </c>
      <c r="X196" s="13">
        <v>6.35</v>
      </c>
      <c r="Y196" s="13">
        <v>6.35</v>
      </c>
      <c r="Z196" s="13">
        <v>6.35</v>
      </c>
      <c r="AA196" s="13">
        <v>6.35</v>
      </c>
      <c r="AB196" s="40">
        <v>0.06</v>
      </c>
      <c r="AC196" s="40">
        <v>0.06</v>
      </c>
      <c r="AD196" s="40">
        <v>0.06</v>
      </c>
      <c r="AE196" s="40">
        <v>0.06</v>
      </c>
      <c r="AF196" s="40">
        <v>0.06</v>
      </c>
      <c r="AG196" s="40">
        <v>0.06</v>
      </c>
      <c r="AH196" s="40">
        <v>0.06</v>
      </c>
      <c r="AI196" s="40">
        <v>0.06</v>
      </c>
      <c r="AJ196" s="40">
        <v>0.06</v>
      </c>
      <c r="AK196" s="40">
        <v>0.06</v>
      </c>
      <c r="AL196" s="40">
        <v>0.06</v>
      </c>
      <c r="AM196" s="40">
        <v>0.06</v>
      </c>
      <c r="AN196" s="40">
        <v>0.06</v>
      </c>
      <c r="AO196" s="116">
        <v>0</v>
      </c>
      <c r="AP196" s="6">
        <f t="shared" si="0"/>
        <v>0</v>
      </c>
      <c r="AQ196" s="115">
        <v>0</v>
      </c>
      <c r="AR196" s="6">
        <f t="shared" si="1"/>
        <v>0</v>
      </c>
      <c r="AS196" s="115" t="s">
        <v>573</v>
      </c>
      <c r="AT196" s="6">
        <f t="shared" si="25"/>
        <v>0</v>
      </c>
      <c r="AU196" s="115">
        <v>0</v>
      </c>
      <c r="AV196" s="1">
        <f t="shared" si="7"/>
        <v>0</v>
      </c>
      <c r="AW196" s="115">
        <v>0</v>
      </c>
      <c r="AX196" s="1">
        <f t="shared" si="24"/>
        <v>0</v>
      </c>
      <c r="AY196" s="5" t="s">
        <v>573</v>
      </c>
      <c r="AZ196" s="1">
        <f t="shared" si="9"/>
        <v>0</v>
      </c>
      <c r="BA196" s="5" t="s">
        <v>573</v>
      </c>
      <c r="BB196" s="1">
        <f t="shared" si="10"/>
        <v>0</v>
      </c>
      <c r="BC196" s="5" t="s">
        <v>573</v>
      </c>
      <c r="BD196" s="1">
        <f t="shared" si="3"/>
        <v>0</v>
      </c>
      <c r="BE196" s="150" t="s">
        <v>573</v>
      </c>
      <c r="BF196" s="1">
        <f t="shared" si="26"/>
        <v>0</v>
      </c>
      <c r="BG196" s="150" t="s">
        <v>573</v>
      </c>
      <c r="BH196" s="1">
        <f t="shared" ref="BH196:BH259" si="29">BG196*AL196</f>
        <v>0</v>
      </c>
      <c r="BI196" s="150" t="s">
        <v>573</v>
      </c>
      <c r="BJ196" s="1">
        <f t="shared" si="27"/>
        <v>0</v>
      </c>
      <c r="BK196" s="156" t="s">
        <v>573</v>
      </c>
      <c r="BL196" s="1">
        <f t="shared" si="28"/>
        <v>0</v>
      </c>
      <c r="BM196" s="141" t="s">
        <v>630</v>
      </c>
      <c r="BN196" s="136" t="s">
        <v>17</v>
      </c>
      <c r="BO196" s="139" t="s">
        <v>754</v>
      </c>
      <c r="BP196" s="137">
        <v>45961</v>
      </c>
    </row>
    <row r="197" spans="1:68" ht="15.75" customHeight="1">
      <c r="A197" s="109" t="s">
        <v>751</v>
      </c>
      <c r="B197" s="122" t="s">
        <v>199</v>
      </c>
      <c r="C197" s="301"/>
      <c r="D197" s="304"/>
      <c r="E197" s="304"/>
      <c r="F197" s="297"/>
      <c r="G197" s="78">
        <v>2023</v>
      </c>
      <c r="H197" s="105" t="str">
        <f>_xlfn.XLOOKUP(BM197,'[5]Package breakdown0503'!$F:$F,'[5]Package breakdown0503'!$B:$B)</f>
        <v>Havelock KB</v>
      </c>
      <c r="I197" s="76" t="s">
        <v>212</v>
      </c>
      <c r="J197" s="102" t="s">
        <v>197</v>
      </c>
      <c r="K197" s="105" t="s">
        <v>221</v>
      </c>
      <c r="L197" s="105" t="s">
        <v>192</v>
      </c>
      <c r="M197" s="13" t="s">
        <v>193</v>
      </c>
      <c r="N197" s="13">
        <v>6.35</v>
      </c>
      <c r="O197" s="13">
        <v>6.35</v>
      </c>
      <c r="P197" s="13">
        <v>6.35</v>
      </c>
      <c r="Q197" s="13">
        <v>6.35</v>
      </c>
      <c r="R197" s="13">
        <v>6.35</v>
      </c>
      <c r="S197" s="13">
        <v>6.35</v>
      </c>
      <c r="T197" s="13">
        <v>6.35</v>
      </c>
      <c r="U197" s="13">
        <v>6.35</v>
      </c>
      <c r="V197" s="13">
        <v>6.35</v>
      </c>
      <c r="W197" s="13">
        <v>6.35</v>
      </c>
      <c r="X197" s="13">
        <v>6.35</v>
      </c>
      <c r="Y197" s="13">
        <v>6.35</v>
      </c>
      <c r="Z197" s="13">
        <v>6.35</v>
      </c>
      <c r="AA197" s="13">
        <v>6.35</v>
      </c>
      <c r="AB197" s="40">
        <v>0.06</v>
      </c>
      <c r="AC197" s="40">
        <v>0.06</v>
      </c>
      <c r="AD197" s="40">
        <v>0.06</v>
      </c>
      <c r="AE197" s="40">
        <v>0.06</v>
      </c>
      <c r="AF197" s="40">
        <v>0.06</v>
      </c>
      <c r="AG197" s="40">
        <v>0.06</v>
      </c>
      <c r="AH197" s="40">
        <v>0.06</v>
      </c>
      <c r="AI197" s="40">
        <v>0.06</v>
      </c>
      <c r="AJ197" s="40">
        <v>0.06</v>
      </c>
      <c r="AK197" s="40">
        <v>0.06</v>
      </c>
      <c r="AL197" s="40">
        <v>0.06</v>
      </c>
      <c r="AM197" s="40">
        <v>0.06</v>
      </c>
      <c r="AN197" s="40">
        <v>0.06</v>
      </c>
      <c r="AO197" s="116">
        <v>0</v>
      </c>
      <c r="AP197" s="6">
        <f t="shared" si="0"/>
        <v>0</v>
      </c>
      <c r="AQ197" s="115">
        <v>0</v>
      </c>
      <c r="AR197" s="6">
        <f t="shared" si="1"/>
        <v>0</v>
      </c>
      <c r="AS197" s="115" t="s">
        <v>573</v>
      </c>
      <c r="AT197" s="6">
        <f t="shared" si="25"/>
        <v>0</v>
      </c>
      <c r="AU197" s="115">
        <v>0</v>
      </c>
      <c r="AV197" s="1">
        <f t="shared" si="7"/>
        <v>0</v>
      </c>
      <c r="AW197" s="115">
        <v>0</v>
      </c>
      <c r="AX197" s="1">
        <f t="shared" si="24"/>
        <v>0</v>
      </c>
      <c r="AY197" s="5" t="s">
        <v>573</v>
      </c>
      <c r="AZ197" s="1">
        <f t="shared" si="9"/>
        <v>0</v>
      </c>
      <c r="BA197" s="5" t="s">
        <v>573</v>
      </c>
      <c r="BB197" s="1">
        <f t="shared" si="10"/>
        <v>0</v>
      </c>
      <c r="BC197" s="5" t="s">
        <v>573</v>
      </c>
      <c r="BD197" s="1">
        <f t="shared" si="3"/>
        <v>0</v>
      </c>
      <c r="BE197" s="150" t="s">
        <v>573</v>
      </c>
      <c r="BF197" s="1">
        <f t="shared" si="26"/>
        <v>0</v>
      </c>
      <c r="BG197" s="150" t="s">
        <v>573</v>
      </c>
      <c r="BH197" s="1">
        <f t="shared" si="29"/>
        <v>0</v>
      </c>
      <c r="BI197" s="150" t="s">
        <v>573</v>
      </c>
      <c r="BJ197" s="1">
        <f t="shared" si="27"/>
        <v>0</v>
      </c>
      <c r="BK197" s="156" t="s">
        <v>573</v>
      </c>
      <c r="BL197" s="1">
        <f t="shared" si="28"/>
        <v>0</v>
      </c>
      <c r="BM197" s="141" t="s">
        <v>625</v>
      </c>
      <c r="BN197" s="136" t="s">
        <v>17</v>
      </c>
      <c r="BO197" s="139" t="s">
        <v>197</v>
      </c>
      <c r="BP197" s="137">
        <v>45961</v>
      </c>
    </row>
    <row r="198" spans="1:68" ht="15.75" customHeight="1">
      <c r="A198" s="109" t="s">
        <v>751</v>
      </c>
      <c r="B198" s="122" t="s">
        <v>766</v>
      </c>
      <c r="C198" s="301"/>
      <c r="D198" s="304"/>
      <c r="E198" s="304"/>
      <c r="F198" s="297"/>
      <c r="G198" s="78">
        <v>2023</v>
      </c>
      <c r="H198" s="105" t="str">
        <f>_xlfn.XLOOKUP(BM198,'[5]Package breakdown0503'!$F:$F,'[5]Package breakdown0503'!$B:$B)</f>
        <v>Havelock KB</v>
      </c>
      <c r="I198" s="76" t="s">
        <v>212</v>
      </c>
      <c r="J198" s="102" t="s">
        <v>197</v>
      </c>
      <c r="K198" s="105" t="s">
        <v>221</v>
      </c>
      <c r="L198" s="105" t="s">
        <v>192</v>
      </c>
      <c r="M198" s="13" t="s">
        <v>193</v>
      </c>
      <c r="N198" s="13">
        <v>6.6</v>
      </c>
      <c r="O198" s="13">
        <v>6.6</v>
      </c>
      <c r="P198" s="13">
        <v>6.6</v>
      </c>
      <c r="Q198" s="13">
        <v>6.6</v>
      </c>
      <c r="R198" s="13">
        <v>6.6</v>
      </c>
      <c r="S198" s="13">
        <v>6.6</v>
      </c>
      <c r="T198" s="13">
        <v>6.6</v>
      </c>
      <c r="U198" s="13">
        <v>6.6</v>
      </c>
      <c r="V198" s="13">
        <v>6.6</v>
      </c>
      <c r="W198" s="13">
        <v>6.6</v>
      </c>
      <c r="X198" s="13">
        <v>6.6</v>
      </c>
      <c r="Y198" s="13">
        <v>6.6</v>
      </c>
      <c r="Z198" s="13">
        <v>6.6</v>
      </c>
      <c r="AA198" s="13">
        <v>6.6</v>
      </c>
      <c r="AB198" s="40">
        <v>0.06</v>
      </c>
      <c r="AC198" s="40">
        <v>0.06</v>
      </c>
      <c r="AD198" s="40">
        <v>0.06</v>
      </c>
      <c r="AE198" s="40">
        <v>0.06</v>
      </c>
      <c r="AF198" s="40">
        <v>0.06</v>
      </c>
      <c r="AG198" s="40">
        <v>0.06</v>
      </c>
      <c r="AH198" s="40">
        <v>0.06</v>
      </c>
      <c r="AI198" s="40">
        <v>0.06</v>
      </c>
      <c r="AJ198" s="40">
        <v>0.06</v>
      </c>
      <c r="AK198" s="40">
        <v>0.06</v>
      </c>
      <c r="AL198" s="40">
        <v>0.06</v>
      </c>
      <c r="AM198" s="40">
        <v>0.06</v>
      </c>
      <c r="AN198" s="40">
        <v>0.06</v>
      </c>
      <c r="AO198" s="116">
        <v>0</v>
      </c>
      <c r="AP198" s="6">
        <f t="shared" si="0"/>
        <v>0</v>
      </c>
      <c r="AQ198" s="115">
        <v>0</v>
      </c>
      <c r="AR198" s="6">
        <f t="shared" si="1"/>
        <v>0</v>
      </c>
      <c r="AS198" s="115" t="s">
        <v>573</v>
      </c>
      <c r="AT198" s="6">
        <f t="shared" si="25"/>
        <v>0</v>
      </c>
      <c r="AU198" s="115">
        <v>0</v>
      </c>
      <c r="AV198" s="1">
        <f t="shared" si="7"/>
        <v>0</v>
      </c>
      <c r="AW198" s="115">
        <v>0</v>
      </c>
      <c r="AX198" s="1">
        <f t="shared" si="24"/>
        <v>0</v>
      </c>
      <c r="AY198" s="5" t="s">
        <v>573</v>
      </c>
      <c r="AZ198" s="1">
        <f t="shared" si="9"/>
        <v>0</v>
      </c>
      <c r="BA198" s="5" t="s">
        <v>573</v>
      </c>
      <c r="BB198" s="1">
        <f t="shared" si="10"/>
        <v>0</v>
      </c>
      <c r="BC198" s="5" t="s">
        <v>573</v>
      </c>
      <c r="BD198" s="1">
        <f t="shared" si="3"/>
        <v>0</v>
      </c>
      <c r="BE198" s="150" t="s">
        <v>573</v>
      </c>
      <c r="BF198" s="1">
        <f t="shared" si="26"/>
        <v>0</v>
      </c>
      <c r="BG198" s="150" t="s">
        <v>573</v>
      </c>
      <c r="BH198" s="1">
        <f t="shared" si="29"/>
        <v>0</v>
      </c>
      <c r="BI198" s="150" t="s">
        <v>573</v>
      </c>
      <c r="BJ198" s="1">
        <f t="shared" si="27"/>
        <v>0</v>
      </c>
      <c r="BK198" s="156" t="s">
        <v>573</v>
      </c>
      <c r="BL198" s="1">
        <f t="shared" si="28"/>
        <v>0</v>
      </c>
      <c r="BM198" s="141" t="s">
        <v>626</v>
      </c>
      <c r="BN198" s="136" t="s">
        <v>6</v>
      </c>
      <c r="BO198" s="139" t="s">
        <v>763</v>
      </c>
      <c r="BP198" s="137">
        <v>45961</v>
      </c>
    </row>
    <row r="199" spans="1:68" ht="15.75" customHeight="1">
      <c r="A199" s="109" t="s">
        <v>751</v>
      </c>
      <c r="B199" s="122" t="s">
        <v>199</v>
      </c>
      <c r="C199" s="301"/>
      <c r="D199" s="304"/>
      <c r="E199" s="304"/>
      <c r="F199" s="297"/>
      <c r="G199" s="78">
        <v>2020</v>
      </c>
      <c r="H199" s="105" t="s">
        <v>721</v>
      </c>
      <c r="I199" s="103" t="s">
        <v>201</v>
      </c>
      <c r="J199" s="103" t="s">
        <v>197</v>
      </c>
      <c r="K199" s="105" t="s">
        <v>221</v>
      </c>
      <c r="L199" s="105" t="s">
        <v>192</v>
      </c>
      <c r="M199" s="13" t="s">
        <v>193</v>
      </c>
      <c r="N199" s="13">
        <v>7.86</v>
      </c>
      <c r="O199" s="13">
        <v>7.86</v>
      </c>
      <c r="P199" s="13">
        <v>7.86</v>
      </c>
      <c r="Q199" s="13">
        <v>7.86</v>
      </c>
      <c r="R199" s="13">
        <v>7.86</v>
      </c>
      <c r="S199" s="13">
        <v>7.86</v>
      </c>
      <c r="T199" s="13">
        <v>7.86</v>
      </c>
      <c r="U199" s="13">
        <v>7.86</v>
      </c>
      <c r="V199" s="13">
        <v>7.86</v>
      </c>
      <c r="W199" s="13">
        <v>7.86</v>
      </c>
      <c r="X199" s="13">
        <v>7.86</v>
      </c>
      <c r="Y199" s="13">
        <v>7.86</v>
      </c>
      <c r="Z199" s="13">
        <v>7.86</v>
      </c>
      <c r="AA199" s="13">
        <v>7.86</v>
      </c>
      <c r="AB199" s="40">
        <v>0.08</v>
      </c>
      <c r="AC199" s="40">
        <v>0.08</v>
      </c>
      <c r="AD199" s="40">
        <v>0.08</v>
      </c>
      <c r="AE199" s="40">
        <v>0.08</v>
      </c>
      <c r="AF199" s="40">
        <v>0.08</v>
      </c>
      <c r="AG199" s="40">
        <v>0.08</v>
      </c>
      <c r="AH199" s="40">
        <v>0.08</v>
      </c>
      <c r="AI199" s="40">
        <v>0.08</v>
      </c>
      <c r="AJ199" s="40">
        <v>0.08</v>
      </c>
      <c r="AK199" s="40">
        <v>0.08</v>
      </c>
      <c r="AL199" s="40">
        <v>0.08</v>
      </c>
      <c r="AM199" s="40">
        <v>0.08</v>
      </c>
      <c r="AN199" s="40">
        <v>0.08</v>
      </c>
      <c r="AO199" s="116">
        <v>0</v>
      </c>
      <c r="AP199" s="6">
        <f t="shared" si="0"/>
        <v>0</v>
      </c>
      <c r="AQ199" s="115">
        <v>0</v>
      </c>
      <c r="AR199" s="6">
        <f t="shared" si="1"/>
        <v>0</v>
      </c>
      <c r="AS199" s="115">
        <v>5280</v>
      </c>
      <c r="AT199" s="6">
        <f t="shared" si="25"/>
        <v>422.40000000000003</v>
      </c>
      <c r="AU199" s="115">
        <v>0</v>
      </c>
      <c r="AV199" s="1">
        <f t="shared" si="7"/>
        <v>0</v>
      </c>
      <c r="AW199" s="115">
        <v>5280</v>
      </c>
      <c r="AX199" s="1">
        <f t="shared" si="24"/>
        <v>422.40000000000003</v>
      </c>
      <c r="AY199" s="5">
        <v>5280</v>
      </c>
      <c r="AZ199" s="1">
        <f t="shared" si="9"/>
        <v>422.40000000000003</v>
      </c>
      <c r="BA199" s="5">
        <v>5280</v>
      </c>
      <c r="BB199" s="1">
        <f t="shared" si="10"/>
        <v>422.40000000000003</v>
      </c>
      <c r="BC199" s="5">
        <v>5280</v>
      </c>
      <c r="BD199" s="1">
        <f t="shared" si="3"/>
        <v>422.40000000000003</v>
      </c>
      <c r="BE199" s="150">
        <v>5280</v>
      </c>
      <c r="BF199" s="1">
        <f t="shared" si="26"/>
        <v>422.40000000000003</v>
      </c>
      <c r="BG199" s="150">
        <v>5280</v>
      </c>
      <c r="BH199" s="1">
        <f t="shared" si="29"/>
        <v>422.40000000000003</v>
      </c>
      <c r="BI199" s="150" t="s">
        <v>573</v>
      </c>
      <c r="BJ199" s="1">
        <f t="shared" si="27"/>
        <v>0</v>
      </c>
      <c r="BK199" s="156">
        <v>5280</v>
      </c>
      <c r="BL199" s="1">
        <f t="shared" si="28"/>
        <v>422.40000000000003</v>
      </c>
      <c r="BM199" s="141" t="s">
        <v>541</v>
      </c>
      <c r="BN199" s="136" t="s">
        <v>17</v>
      </c>
      <c r="BO199" s="139" t="s">
        <v>754</v>
      </c>
      <c r="BP199" s="137">
        <v>45443</v>
      </c>
    </row>
    <row r="200" spans="1:68" ht="15.75" customHeight="1">
      <c r="A200" s="109" t="s">
        <v>751</v>
      </c>
      <c r="B200" s="122" t="s">
        <v>199</v>
      </c>
      <c r="C200" s="301"/>
      <c r="D200" s="304"/>
      <c r="E200" s="304"/>
      <c r="F200" s="297"/>
      <c r="G200" s="78">
        <v>2020</v>
      </c>
      <c r="H200" s="105" t="s">
        <v>721</v>
      </c>
      <c r="I200" s="103" t="s">
        <v>201</v>
      </c>
      <c r="J200" s="102" t="s">
        <v>197</v>
      </c>
      <c r="K200" s="105" t="s">
        <v>221</v>
      </c>
      <c r="L200" s="105" t="s">
        <v>192</v>
      </c>
      <c r="M200" s="13" t="s">
        <v>193</v>
      </c>
      <c r="N200" s="13">
        <v>7.8</v>
      </c>
      <c r="O200" s="13">
        <v>7.8</v>
      </c>
      <c r="P200" s="13">
        <v>7.8</v>
      </c>
      <c r="Q200" s="13">
        <v>7.8</v>
      </c>
      <c r="R200" s="13">
        <v>7.8</v>
      </c>
      <c r="S200" s="13">
        <v>7.8</v>
      </c>
      <c r="T200" s="13">
        <v>7.8</v>
      </c>
      <c r="U200" s="13">
        <v>7.8</v>
      </c>
      <c r="V200" s="13">
        <v>7.8</v>
      </c>
      <c r="W200" s="13">
        <v>7.8</v>
      </c>
      <c r="X200" s="13">
        <v>7.8</v>
      </c>
      <c r="Y200" s="13">
        <v>7.8</v>
      </c>
      <c r="Z200" s="13">
        <v>7.8</v>
      </c>
      <c r="AA200" s="13">
        <v>7.8</v>
      </c>
      <c r="AB200" s="40">
        <v>0.08</v>
      </c>
      <c r="AC200" s="40">
        <v>0.08</v>
      </c>
      <c r="AD200" s="40">
        <v>0.08</v>
      </c>
      <c r="AE200" s="40">
        <v>0.08</v>
      </c>
      <c r="AF200" s="40">
        <v>0.08</v>
      </c>
      <c r="AG200" s="40">
        <v>0.08</v>
      </c>
      <c r="AH200" s="40">
        <v>0.08</v>
      </c>
      <c r="AI200" s="40">
        <v>0.08</v>
      </c>
      <c r="AJ200" s="40">
        <v>0.08</v>
      </c>
      <c r="AK200" s="40">
        <v>0.08</v>
      </c>
      <c r="AL200" s="40">
        <v>0.08</v>
      </c>
      <c r="AM200" s="40">
        <v>0.08</v>
      </c>
      <c r="AN200" s="40">
        <v>0.08</v>
      </c>
      <c r="AO200" s="116">
        <v>0</v>
      </c>
      <c r="AP200" s="6">
        <f t="shared" si="0"/>
        <v>0</v>
      </c>
      <c r="AQ200" s="115">
        <v>0</v>
      </c>
      <c r="AR200" s="6">
        <f t="shared" si="1"/>
        <v>0</v>
      </c>
      <c r="AS200" s="115">
        <v>5280</v>
      </c>
      <c r="AT200" s="6">
        <f t="shared" si="25"/>
        <v>422.40000000000003</v>
      </c>
      <c r="AU200" s="115">
        <v>0</v>
      </c>
      <c r="AV200" s="1">
        <f t="shared" si="7"/>
        <v>0</v>
      </c>
      <c r="AW200" s="115">
        <v>5280</v>
      </c>
      <c r="AX200" s="1">
        <f t="shared" si="24"/>
        <v>422.40000000000003</v>
      </c>
      <c r="AY200" s="5">
        <v>5280</v>
      </c>
      <c r="AZ200" s="1">
        <f t="shared" si="9"/>
        <v>422.40000000000003</v>
      </c>
      <c r="BA200" s="5">
        <v>5280</v>
      </c>
      <c r="BB200" s="1">
        <f t="shared" si="10"/>
        <v>422.40000000000003</v>
      </c>
      <c r="BC200" s="5">
        <v>5280</v>
      </c>
      <c r="BD200" s="1">
        <f t="shared" si="3"/>
        <v>422.40000000000003</v>
      </c>
      <c r="BE200" s="150">
        <v>7920</v>
      </c>
      <c r="BF200" s="1">
        <f t="shared" si="26"/>
        <v>633.6</v>
      </c>
      <c r="BG200" s="150">
        <v>2640</v>
      </c>
      <c r="BH200" s="1">
        <f t="shared" si="29"/>
        <v>211.20000000000002</v>
      </c>
      <c r="BI200" s="150">
        <v>5280</v>
      </c>
      <c r="BJ200" s="1">
        <f t="shared" si="27"/>
        <v>422.40000000000003</v>
      </c>
      <c r="BK200" s="156">
        <v>4400</v>
      </c>
      <c r="BL200" s="1">
        <f t="shared" si="28"/>
        <v>352</v>
      </c>
      <c r="BM200" s="141" t="s">
        <v>540</v>
      </c>
      <c r="BN200" s="136" t="s">
        <v>495</v>
      </c>
      <c r="BO200" s="139" t="s">
        <v>754</v>
      </c>
      <c r="BP200" s="137">
        <v>45443</v>
      </c>
    </row>
    <row r="201" spans="1:68" ht="15.75" customHeight="1">
      <c r="A201" s="109" t="s">
        <v>751</v>
      </c>
      <c r="B201" s="122" t="s">
        <v>199</v>
      </c>
      <c r="C201" s="301"/>
      <c r="D201" s="304"/>
      <c r="E201" s="304"/>
      <c r="F201" s="297"/>
      <c r="G201" s="78">
        <v>2020</v>
      </c>
      <c r="H201" s="105" t="s">
        <v>721</v>
      </c>
      <c r="I201" s="103" t="s">
        <v>201</v>
      </c>
      <c r="J201" s="102" t="s">
        <v>197</v>
      </c>
      <c r="K201" s="105" t="s">
        <v>221</v>
      </c>
      <c r="L201" s="105" t="s">
        <v>192</v>
      </c>
      <c r="M201" s="13" t="s">
        <v>193</v>
      </c>
      <c r="N201" s="13">
        <v>7.92</v>
      </c>
      <c r="O201" s="13">
        <v>7.92</v>
      </c>
      <c r="P201" s="13">
        <v>7.92</v>
      </c>
      <c r="Q201" s="13">
        <v>7.92</v>
      </c>
      <c r="R201" s="13">
        <v>7.92</v>
      </c>
      <c r="S201" s="13">
        <v>7.92</v>
      </c>
      <c r="T201" s="13">
        <v>7.92</v>
      </c>
      <c r="U201" s="13">
        <v>7.92</v>
      </c>
      <c r="V201" s="13">
        <v>7.92</v>
      </c>
      <c r="W201" s="13">
        <v>7.92</v>
      </c>
      <c r="X201" s="13">
        <v>7.92</v>
      </c>
      <c r="Y201" s="13">
        <v>7.92</v>
      </c>
      <c r="Z201" s="13">
        <v>7.92</v>
      </c>
      <c r="AA201" s="13">
        <v>7.92</v>
      </c>
      <c r="AB201" s="40">
        <v>0.08</v>
      </c>
      <c r="AC201" s="40">
        <v>0.08</v>
      </c>
      <c r="AD201" s="40">
        <v>0.08</v>
      </c>
      <c r="AE201" s="40">
        <v>0.08</v>
      </c>
      <c r="AF201" s="40">
        <v>0.08</v>
      </c>
      <c r="AG201" s="40">
        <v>0.08</v>
      </c>
      <c r="AH201" s="40">
        <v>0.08</v>
      </c>
      <c r="AI201" s="40">
        <v>0.08</v>
      </c>
      <c r="AJ201" s="40">
        <v>0.08</v>
      </c>
      <c r="AK201" s="40">
        <v>0.08</v>
      </c>
      <c r="AL201" s="40">
        <v>0.08</v>
      </c>
      <c r="AM201" s="40">
        <v>0.08</v>
      </c>
      <c r="AN201" s="40">
        <v>0.08</v>
      </c>
      <c r="AO201" s="116">
        <v>0</v>
      </c>
      <c r="AP201" s="6">
        <f t="shared" si="0"/>
        <v>0</v>
      </c>
      <c r="AQ201" s="115">
        <v>0</v>
      </c>
      <c r="AR201" s="6">
        <f t="shared" si="1"/>
        <v>0</v>
      </c>
      <c r="AS201" s="115" t="s">
        <v>573</v>
      </c>
      <c r="AT201" s="6">
        <f t="shared" si="25"/>
        <v>0</v>
      </c>
      <c r="AU201" s="115">
        <v>0</v>
      </c>
      <c r="AV201" s="1">
        <f t="shared" si="7"/>
        <v>0</v>
      </c>
      <c r="AW201" s="115">
        <v>0</v>
      </c>
      <c r="AX201" s="1">
        <f t="shared" si="24"/>
        <v>0</v>
      </c>
      <c r="AY201" s="5" t="s">
        <v>573</v>
      </c>
      <c r="AZ201" s="1">
        <f t="shared" si="9"/>
        <v>0</v>
      </c>
      <c r="BA201" s="5">
        <v>5280</v>
      </c>
      <c r="BB201" s="1">
        <f t="shared" si="10"/>
        <v>422.40000000000003</v>
      </c>
      <c r="BC201" s="5" t="s">
        <v>573</v>
      </c>
      <c r="BD201" s="1">
        <f t="shared" si="3"/>
        <v>0</v>
      </c>
      <c r="BE201" s="150">
        <v>5280</v>
      </c>
      <c r="BF201" s="1">
        <f t="shared" si="26"/>
        <v>422.40000000000003</v>
      </c>
      <c r="BG201" s="150">
        <v>5280</v>
      </c>
      <c r="BH201" s="1">
        <f t="shared" si="29"/>
        <v>422.40000000000003</v>
      </c>
      <c r="BI201" s="150" t="s">
        <v>573</v>
      </c>
      <c r="BJ201" s="1">
        <f t="shared" si="27"/>
        <v>0</v>
      </c>
      <c r="BK201" s="156" t="s">
        <v>573</v>
      </c>
      <c r="BL201" s="1">
        <f t="shared" si="28"/>
        <v>0</v>
      </c>
      <c r="BM201" s="141" t="s">
        <v>539</v>
      </c>
      <c r="BN201" s="136" t="s">
        <v>17</v>
      </c>
      <c r="BO201" s="139" t="s">
        <v>1310</v>
      </c>
      <c r="BP201" s="137">
        <v>45443</v>
      </c>
    </row>
    <row r="202" spans="1:68" ht="15.75" customHeight="1">
      <c r="A202" s="109" t="s">
        <v>751</v>
      </c>
      <c r="B202" s="122" t="s">
        <v>199</v>
      </c>
      <c r="C202" s="301"/>
      <c r="D202" s="304"/>
      <c r="E202" s="304"/>
      <c r="F202" s="297"/>
      <c r="G202" s="78">
        <v>2020</v>
      </c>
      <c r="H202" s="105" t="s">
        <v>721</v>
      </c>
      <c r="I202" s="103" t="s">
        <v>201</v>
      </c>
      <c r="J202" s="103" t="s">
        <v>197</v>
      </c>
      <c r="K202" s="105" t="s">
        <v>221</v>
      </c>
      <c r="L202" s="105" t="s">
        <v>192</v>
      </c>
      <c r="M202" s="13" t="s">
        <v>193</v>
      </c>
      <c r="N202" s="13">
        <v>7.8</v>
      </c>
      <c r="O202" s="13">
        <v>7.9</v>
      </c>
      <c r="P202" s="13">
        <v>7.9</v>
      </c>
      <c r="Q202" s="13">
        <v>7.9</v>
      </c>
      <c r="R202" s="13">
        <v>7.9</v>
      </c>
      <c r="S202" s="13">
        <v>7.9</v>
      </c>
      <c r="T202" s="13">
        <v>7.9</v>
      </c>
      <c r="U202" s="13">
        <v>7.9</v>
      </c>
      <c r="V202" s="13">
        <v>7.9</v>
      </c>
      <c r="W202" s="13">
        <v>7.9</v>
      </c>
      <c r="X202" s="13">
        <v>7.9</v>
      </c>
      <c r="Y202" s="13">
        <v>7.9</v>
      </c>
      <c r="Z202" s="13">
        <v>7.9</v>
      </c>
      <c r="AA202" s="13">
        <v>7.9</v>
      </c>
      <c r="AB202" s="40">
        <v>0.08</v>
      </c>
      <c r="AC202" s="40">
        <v>0.08</v>
      </c>
      <c r="AD202" s="40">
        <v>0.08</v>
      </c>
      <c r="AE202" s="40">
        <v>0.08</v>
      </c>
      <c r="AF202" s="40">
        <v>0.08</v>
      </c>
      <c r="AG202" s="40">
        <v>0.08</v>
      </c>
      <c r="AH202" s="40">
        <v>0.08</v>
      </c>
      <c r="AI202" s="40">
        <v>0.08</v>
      </c>
      <c r="AJ202" s="40">
        <v>0.08</v>
      </c>
      <c r="AK202" s="40">
        <v>0.08</v>
      </c>
      <c r="AL202" s="40">
        <v>0.08</v>
      </c>
      <c r="AM202" s="40">
        <v>0.08</v>
      </c>
      <c r="AN202" s="40">
        <v>0.08</v>
      </c>
      <c r="AO202" s="116">
        <v>0</v>
      </c>
      <c r="AP202" s="6">
        <f t="shared" si="0"/>
        <v>0</v>
      </c>
      <c r="AQ202" s="115">
        <v>5280</v>
      </c>
      <c r="AR202" s="6">
        <f t="shared" si="1"/>
        <v>422.40000000000003</v>
      </c>
      <c r="AS202" s="115">
        <v>5280</v>
      </c>
      <c r="AT202" s="6">
        <f t="shared" si="25"/>
        <v>422.40000000000003</v>
      </c>
      <c r="AU202" s="115">
        <v>0</v>
      </c>
      <c r="AV202" s="1">
        <f t="shared" si="7"/>
        <v>0</v>
      </c>
      <c r="AW202" s="115">
        <v>0</v>
      </c>
      <c r="AX202" s="1">
        <f t="shared" si="24"/>
        <v>0</v>
      </c>
      <c r="AY202" s="5">
        <v>5280</v>
      </c>
      <c r="AZ202" s="1">
        <f t="shared" si="9"/>
        <v>422.40000000000003</v>
      </c>
      <c r="BA202" s="5" t="s">
        <v>573</v>
      </c>
      <c r="BB202" s="1">
        <f t="shared" si="10"/>
        <v>0</v>
      </c>
      <c r="BC202" s="5">
        <v>5280</v>
      </c>
      <c r="BD202" s="1">
        <f t="shared" si="3"/>
        <v>422.40000000000003</v>
      </c>
      <c r="BE202" s="150" t="s">
        <v>573</v>
      </c>
      <c r="BF202" s="1">
        <f t="shared" si="26"/>
        <v>0</v>
      </c>
      <c r="BG202" s="150">
        <v>5280</v>
      </c>
      <c r="BH202" s="1">
        <f t="shared" si="29"/>
        <v>422.40000000000003</v>
      </c>
      <c r="BI202" s="150">
        <v>0</v>
      </c>
      <c r="BJ202" s="1">
        <f t="shared" si="27"/>
        <v>0</v>
      </c>
      <c r="BK202" s="156" t="s">
        <v>573</v>
      </c>
      <c r="BL202" s="1">
        <f t="shared" si="28"/>
        <v>0</v>
      </c>
      <c r="BM202" s="141" t="s">
        <v>537</v>
      </c>
      <c r="BN202" s="136" t="s">
        <v>17</v>
      </c>
      <c r="BO202" s="139" t="s">
        <v>1310</v>
      </c>
      <c r="BP202" s="137">
        <v>45443</v>
      </c>
    </row>
    <row r="203" spans="1:68" ht="15.75" customHeight="1">
      <c r="A203" s="109" t="s">
        <v>751</v>
      </c>
      <c r="B203" s="122" t="s">
        <v>199</v>
      </c>
      <c r="C203" s="301"/>
      <c r="D203" s="304"/>
      <c r="E203" s="304"/>
      <c r="F203" s="297"/>
      <c r="G203" s="78">
        <v>2020</v>
      </c>
      <c r="H203" s="105" t="s">
        <v>721</v>
      </c>
      <c r="I203" s="103" t="s">
        <v>201</v>
      </c>
      <c r="J203" s="102" t="s">
        <v>197</v>
      </c>
      <c r="K203" s="105" t="s">
        <v>221</v>
      </c>
      <c r="L203" s="105" t="s">
        <v>192</v>
      </c>
      <c r="M203" s="13" t="s">
        <v>193</v>
      </c>
      <c r="N203" s="13">
        <v>7.92</v>
      </c>
      <c r="O203" s="13">
        <v>7.92</v>
      </c>
      <c r="P203" s="13">
        <v>7.92</v>
      </c>
      <c r="Q203" s="13">
        <v>7.92</v>
      </c>
      <c r="R203" s="13">
        <v>7.92</v>
      </c>
      <c r="S203" s="13">
        <v>7.92</v>
      </c>
      <c r="T203" s="13">
        <v>7.92</v>
      </c>
      <c r="U203" s="13">
        <v>7.92</v>
      </c>
      <c r="V203" s="13">
        <v>7.92</v>
      </c>
      <c r="W203" s="13">
        <v>7.92</v>
      </c>
      <c r="X203" s="13">
        <v>7.92</v>
      </c>
      <c r="Y203" s="13">
        <v>7.92</v>
      </c>
      <c r="Z203" s="13">
        <v>7.92</v>
      </c>
      <c r="AA203" s="13">
        <v>7.92</v>
      </c>
      <c r="AB203" s="40">
        <v>0.08</v>
      </c>
      <c r="AC203" s="40">
        <v>0.08</v>
      </c>
      <c r="AD203" s="40">
        <v>0.08</v>
      </c>
      <c r="AE203" s="40">
        <v>0.08</v>
      </c>
      <c r="AF203" s="40">
        <v>0.08</v>
      </c>
      <c r="AG203" s="40">
        <v>0.08</v>
      </c>
      <c r="AH203" s="40">
        <v>0.08</v>
      </c>
      <c r="AI203" s="40">
        <v>0.08</v>
      </c>
      <c r="AJ203" s="40">
        <v>0.08</v>
      </c>
      <c r="AK203" s="40">
        <v>0.08</v>
      </c>
      <c r="AL203" s="40">
        <v>0.08</v>
      </c>
      <c r="AM203" s="40">
        <v>0.08</v>
      </c>
      <c r="AN203" s="40">
        <v>0.08</v>
      </c>
      <c r="AO203" s="116">
        <v>4720</v>
      </c>
      <c r="AP203" s="6">
        <f t="shared" si="0"/>
        <v>377.6</v>
      </c>
      <c r="AQ203" s="115">
        <v>0</v>
      </c>
      <c r="AR203" s="6">
        <f t="shared" si="1"/>
        <v>0</v>
      </c>
      <c r="AS203" s="115">
        <v>5280</v>
      </c>
      <c r="AT203" s="6">
        <f t="shared" si="25"/>
        <v>422.40000000000003</v>
      </c>
      <c r="AU203" s="115">
        <v>0</v>
      </c>
      <c r="AV203" s="1">
        <f t="shared" si="7"/>
        <v>0</v>
      </c>
      <c r="AW203" s="115">
        <v>0</v>
      </c>
      <c r="AX203" s="1">
        <f t="shared" si="24"/>
        <v>0</v>
      </c>
      <c r="AY203" s="5">
        <v>5280</v>
      </c>
      <c r="AZ203" s="1">
        <f t="shared" si="9"/>
        <v>422.40000000000003</v>
      </c>
      <c r="BA203" s="5">
        <v>15840</v>
      </c>
      <c r="BB203" s="1">
        <f t="shared" si="10"/>
        <v>1267.2</v>
      </c>
      <c r="BC203" s="5">
        <v>10560</v>
      </c>
      <c r="BD203" s="1">
        <f t="shared" si="3"/>
        <v>844.80000000000007</v>
      </c>
      <c r="BE203" s="150" t="s">
        <v>573</v>
      </c>
      <c r="BF203" s="1">
        <f t="shared" si="26"/>
        <v>0</v>
      </c>
      <c r="BG203" s="150" t="s">
        <v>573</v>
      </c>
      <c r="BH203" s="1">
        <f t="shared" si="29"/>
        <v>0</v>
      </c>
      <c r="BI203" s="150" t="s">
        <v>573</v>
      </c>
      <c r="BJ203" s="1">
        <f t="shared" si="27"/>
        <v>0</v>
      </c>
      <c r="BK203" s="156" t="s">
        <v>573</v>
      </c>
      <c r="BL203" s="1">
        <f t="shared" si="28"/>
        <v>0</v>
      </c>
      <c r="BM203" s="141" t="s">
        <v>536</v>
      </c>
      <c r="BN203" s="136" t="s">
        <v>17</v>
      </c>
      <c r="BO203" s="139" t="s">
        <v>197</v>
      </c>
      <c r="BP203" s="137">
        <v>45443</v>
      </c>
    </row>
    <row r="204" spans="1:68" ht="15.75" customHeight="1">
      <c r="A204" s="109" t="s">
        <v>751</v>
      </c>
      <c r="B204" s="122" t="s">
        <v>184</v>
      </c>
      <c r="C204" s="301"/>
      <c r="D204" s="304"/>
      <c r="E204" s="304"/>
      <c r="F204" s="297"/>
      <c r="G204" s="78">
        <v>2018</v>
      </c>
      <c r="H204" s="105" t="str">
        <f>_xlfn.XLOOKUP(BM204,'[5]Package breakdown0503'!$F:$F,'[5]Package breakdown0503'!$B:$B)</f>
        <v>Moscow blue LED refresh</v>
      </c>
      <c r="I204" s="76" t="s">
        <v>196</v>
      </c>
      <c r="J204" s="102" t="s">
        <v>197</v>
      </c>
      <c r="K204" s="105" t="s">
        <v>221</v>
      </c>
      <c r="L204" s="105" t="s">
        <v>192</v>
      </c>
      <c r="M204" s="13" t="s">
        <v>193</v>
      </c>
      <c r="N204" s="13">
        <v>4.66</v>
      </c>
      <c r="O204" s="13">
        <v>4.66</v>
      </c>
      <c r="P204" s="13">
        <v>4.66</v>
      </c>
      <c r="Q204" s="13">
        <v>4.66</v>
      </c>
      <c r="R204" s="13">
        <v>4.66</v>
      </c>
      <c r="S204" s="13">
        <v>4.66</v>
      </c>
      <c r="T204" s="13">
        <v>4.66</v>
      </c>
      <c r="U204" s="13">
        <v>4.66</v>
      </c>
      <c r="V204" s="13">
        <v>4.66</v>
      </c>
      <c r="W204" s="13">
        <v>4.66</v>
      </c>
      <c r="X204" s="13">
        <v>4.66</v>
      </c>
      <c r="Y204" s="13">
        <v>4.66</v>
      </c>
      <c r="Z204" s="13">
        <v>4.66</v>
      </c>
      <c r="AA204" s="13">
        <v>4.66</v>
      </c>
      <c r="AB204" s="40">
        <v>0.05</v>
      </c>
      <c r="AC204" s="40">
        <v>0.05</v>
      </c>
      <c r="AD204" s="40">
        <v>0.05</v>
      </c>
      <c r="AE204" s="40">
        <v>0.05</v>
      </c>
      <c r="AF204" s="40">
        <v>0.05</v>
      </c>
      <c r="AG204" s="40">
        <v>0.05</v>
      </c>
      <c r="AH204" s="40">
        <v>0.05</v>
      </c>
      <c r="AI204" s="40">
        <v>0.05</v>
      </c>
      <c r="AJ204" s="40">
        <v>0.05</v>
      </c>
      <c r="AK204" s="40">
        <v>0.05</v>
      </c>
      <c r="AL204" s="40">
        <v>0.05</v>
      </c>
      <c r="AM204" s="40">
        <v>0.05</v>
      </c>
      <c r="AN204" s="40">
        <v>0.05</v>
      </c>
      <c r="AO204" s="116">
        <v>0</v>
      </c>
      <c r="AP204" s="6">
        <f t="shared" si="0"/>
        <v>0</v>
      </c>
      <c r="AQ204" s="115">
        <v>0</v>
      </c>
      <c r="AR204" s="6">
        <f t="shared" si="1"/>
        <v>0</v>
      </c>
      <c r="AS204" s="115" t="s">
        <v>573</v>
      </c>
      <c r="AT204" s="6">
        <f t="shared" si="25"/>
        <v>0</v>
      </c>
      <c r="AU204" s="115">
        <v>0</v>
      </c>
      <c r="AV204" s="1">
        <f t="shared" si="7"/>
        <v>0</v>
      </c>
      <c r="AW204" s="115">
        <v>0</v>
      </c>
      <c r="AX204" s="1">
        <f t="shared" si="24"/>
        <v>0</v>
      </c>
      <c r="AY204" s="5" t="s">
        <v>573</v>
      </c>
      <c r="AZ204" s="1">
        <f t="shared" si="9"/>
        <v>0</v>
      </c>
      <c r="BA204" s="5" t="s">
        <v>573</v>
      </c>
      <c r="BB204" s="1">
        <f t="shared" si="10"/>
        <v>0</v>
      </c>
      <c r="BC204" s="5" t="s">
        <v>573</v>
      </c>
      <c r="BD204" s="1">
        <f t="shared" si="3"/>
        <v>0</v>
      </c>
      <c r="BE204" s="150" t="s">
        <v>573</v>
      </c>
      <c r="BF204" s="1">
        <f t="shared" si="26"/>
        <v>0</v>
      </c>
      <c r="BG204" s="150" t="s">
        <v>573</v>
      </c>
      <c r="BH204" s="1">
        <f t="shared" si="29"/>
        <v>0</v>
      </c>
      <c r="BI204" s="150" t="s">
        <v>573</v>
      </c>
      <c r="BJ204" s="1">
        <f t="shared" si="27"/>
        <v>0</v>
      </c>
      <c r="BK204" s="156" t="s">
        <v>573</v>
      </c>
      <c r="BL204" s="1">
        <f t="shared" si="28"/>
        <v>0</v>
      </c>
      <c r="BM204" s="142" t="s">
        <v>673</v>
      </c>
      <c r="BN204" s="136" t="s">
        <v>32</v>
      </c>
      <c r="BO204" s="139" t="s">
        <v>1316</v>
      </c>
      <c r="BP204" s="137">
        <v>45504</v>
      </c>
    </row>
    <row r="205" spans="1:68" ht="15.75" customHeight="1">
      <c r="A205" s="109" t="s">
        <v>751</v>
      </c>
      <c r="B205" s="122" t="s">
        <v>184</v>
      </c>
      <c r="C205" s="301"/>
      <c r="D205" s="304"/>
      <c r="E205" s="304"/>
      <c r="F205" s="297"/>
      <c r="G205" s="78">
        <v>2018</v>
      </c>
      <c r="H205" s="105" t="str">
        <f>_xlfn.XLOOKUP(BM205,'[5]Package breakdown0503'!$F:$F,'[5]Package breakdown0503'!$B:$B)</f>
        <v>Moscow blue LED refresh</v>
      </c>
      <c r="I205" s="76" t="s">
        <v>196</v>
      </c>
      <c r="J205" s="102" t="s">
        <v>197</v>
      </c>
      <c r="K205" s="105" t="s">
        <v>221</v>
      </c>
      <c r="L205" s="105" t="s">
        <v>192</v>
      </c>
      <c r="M205" s="13" t="s">
        <v>193</v>
      </c>
      <c r="N205" s="13">
        <v>4.66</v>
      </c>
      <c r="O205" s="13">
        <v>4.66</v>
      </c>
      <c r="P205" s="13">
        <v>4.66</v>
      </c>
      <c r="Q205" s="13">
        <v>4.66</v>
      </c>
      <c r="R205" s="13">
        <v>4.66</v>
      </c>
      <c r="S205" s="13">
        <v>4.66</v>
      </c>
      <c r="T205" s="13">
        <v>4.66</v>
      </c>
      <c r="U205" s="13">
        <v>4.66</v>
      </c>
      <c r="V205" s="13">
        <v>4.66</v>
      </c>
      <c r="W205" s="13">
        <v>4.66</v>
      </c>
      <c r="X205" s="13">
        <v>4.66</v>
      </c>
      <c r="Y205" s="13">
        <v>4.66</v>
      </c>
      <c r="Z205" s="13">
        <v>4.66</v>
      </c>
      <c r="AA205" s="13">
        <v>4.66</v>
      </c>
      <c r="AB205" s="40">
        <v>0.05</v>
      </c>
      <c r="AC205" s="40">
        <v>0.05</v>
      </c>
      <c r="AD205" s="40">
        <v>0.05</v>
      </c>
      <c r="AE205" s="40">
        <v>0.05</v>
      </c>
      <c r="AF205" s="40">
        <v>0.05</v>
      </c>
      <c r="AG205" s="40">
        <v>0.05</v>
      </c>
      <c r="AH205" s="40">
        <v>0.05</v>
      </c>
      <c r="AI205" s="40">
        <v>0.05</v>
      </c>
      <c r="AJ205" s="40">
        <v>0.05</v>
      </c>
      <c r="AK205" s="40">
        <v>0.05</v>
      </c>
      <c r="AL205" s="40">
        <v>0.05</v>
      </c>
      <c r="AM205" s="40">
        <v>0.05</v>
      </c>
      <c r="AN205" s="40">
        <v>0.05</v>
      </c>
      <c r="AO205" s="115">
        <v>0</v>
      </c>
      <c r="AP205" s="6">
        <f t="shared" si="0"/>
        <v>0</v>
      </c>
      <c r="AQ205" s="115">
        <v>0</v>
      </c>
      <c r="AR205" s="6">
        <f t="shared" si="1"/>
        <v>0</v>
      </c>
      <c r="AS205" s="115" t="s">
        <v>573</v>
      </c>
      <c r="AT205" s="6">
        <f t="shared" si="25"/>
        <v>0</v>
      </c>
      <c r="AU205" s="115">
        <v>0</v>
      </c>
      <c r="AV205" s="1">
        <f>AF205*AU205</f>
        <v>0</v>
      </c>
      <c r="AW205" s="115">
        <v>0</v>
      </c>
      <c r="AX205" s="1">
        <f t="shared" si="24"/>
        <v>0</v>
      </c>
      <c r="AY205" s="5" t="s">
        <v>573</v>
      </c>
      <c r="AZ205" s="1">
        <f>AH205*AY205</f>
        <v>0</v>
      </c>
      <c r="BA205" s="5" t="s">
        <v>573</v>
      </c>
      <c r="BB205" s="1">
        <f>AI205*BA205</f>
        <v>0</v>
      </c>
      <c r="BC205" s="5" t="s">
        <v>573</v>
      </c>
      <c r="BD205" s="1">
        <f>AJ205*BC205</f>
        <v>0</v>
      </c>
      <c r="BE205" s="150" t="s">
        <v>573</v>
      </c>
      <c r="BF205" s="1">
        <f t="shared" si="26"/>
        <v>0</v>
      </c>
      <c r="BG205" s="150" t="s">
        <v>573</v>
      </c>
      <c r="BH205" s="1">
        <f t="shared" si="29"/>
        <v>0</v>
      </c>
      <c r="BI205" s="150" t="s">
        <v>573</v>
      </c>
      <c r="BJ205" s="1">
        <f t="shared" si="27"/>
        <v>0</v>
      </c>
      <c r="BK205" s="156" t="s">
        <v>573</v>
      </c>
      <c r="BL205" s="1">
        <f t="shared" si="28"/>
        <v>0</v>
      </c>
      <c r="BM205" s="142" t="s">
        <v>673</v>
      </c>
      <c r="BN205" s="136" t="s">
        <v>492</v>
      </c>
      <c r="BO205" s="139" t="s">
        <v>1316</v>
      </c>
      <c r="BP205" s="137"/>
    </row>
    <row r="206" spans="1:68" ht="15.75" customHeight="1">
      <c r="A206" s="109" t="s">
        <v>751</v>
      </c>
      <c r="B206" s="122" t="s">
        <v>184</v>
      </c>
      <c r="C206" s="301"/>
      <c r="D206" s="304"/>
      <c r="E206" s="304"/>
      <c r="F206" s="297"/>
      <c r="G206" s="78">
        <v>2018</v>
      </c>
      <c r="H206" s="105" t="str">
        <f>_xlfn.XLOOKUP(BM206,'[5]Package breakdown0503'!$F:$F,'[5]Package breakdown0503'!$B:$B)</f>
        <v>Moscow blue LED refresh</v>
      </c>
      <c r="I206" s="76" t="s">
        <v>196</v>
      </c>
      <c r="J206" s="102" t="s">
        <v>197</v>
      </c>
      <c r="K206" s="105" t="s">
        <v>221</v>
      </c>
      <c r="L206" s="105" t="s">
        <v>192</v>
      </c>
      <c r="M206" s="13" t="s">
        <v>193</v>
      </c>
      <c r="N206" s="13">
        <v>4.66</v>
      </c>
      <c r="O206" s="13">
        <v>4.66</v>
      </c>
      <c r="P206" s="13">
        <v>4.66</v>
      </c>
      <c r="Q206" s="13">
        <v>4.66</v>
      </c>
      <c r="R206" s="13">
        <v>4.66</v>
      </c>
      <c r="S206" s="13">
        <v>4.66</v>
      </c>
      <c r="T206" s="13">
        <v>4.66</v>
      </c>
      <c r="U206" s="13">
        <v>4.66</v>
      </c>
      <c r="V206" s="13">
        <v>4.66</v>
      </c>
      <c r="W206" s="13">
        <v>4.66</v>
      </c>
      <c r="X206" s="13">
        <v>4.66</v>
      </c>
      <c r="Y206" s="13">
        <v>4.66</v>
      </c>
      <c r="Z206" s="13">
        <v>4.66</v>
      </c>
      <c r="AA206" s="13">
        <v>4.66</v>
      </c>
      <c r="AB206" s="40">
        <v>0.05</v>
      </c>
      <c r="AC206" s="40">
        <v>0.05</v>
      </c>
      <c r="AD206" s="40">
        <v>0.05</v>
      </c>
      <c r="AE206" s="40">
        <v>0.05</v>
      </c>
      <c r="AF206" s="40">
        <v>0.05</v>
      </c>
      <c r="AG206" s="40">
        <v>0.05</v>
      </c>
      <c r="AH206" s="40">
        <v>0.05</v>
      </c>
      <c r="AI206" s="40">
        <v>0.05</v>
      </c>
      <c r="AJ206" s="40">
        <v>0.05</v>
      </c>
      <c r="AK206" s="40">
        <v>0.05</v>
      </c>
      <c r="AL206" s="40">
        <v>0.05</v>
      </c>
      <c r="AM206" s="40">
        <v>0.05</v>
      </c>
      <c r="AN206" s="40">
        <v>0.05</v>
      </c>
      <c r="AO206" s="115">
        <v>0</v>
      </c>
      <c r="AP206" s="6">
        <f t="shared" si="0"/>
        <v>0</v>
      </c>
      <c r="AQ206" s="115">
        <v>0</v>
      </c>
      <c r="AR206" s="6">
        <f t="shared" si="1"/>
        <v>0</v>
      </c>
      <c r="AS206" s="115" t="s">
        <v>573</v>
      </c>
      <c r="AT206" s="6">
        <f t="shared" si="25"/>
        <v>0</v>
      </c>
      <c r="AU206" s="115">
        <v>0</v>
      </c>
      <c r="AV206" s="1">
        <f>AF206*AU206</f>
        <v>0</v>
      </c>
      <c r="AW206" s="115">
        <v>0</v>
      </c>
      <c r="AX206" s="1">
        <f t="shared" si="24"/>
        <v>0</v>
      </c>
      <c r="AY206" s="5" t="s">
        <v>573</v>
      </c>
      <c r="AZ206" s="1">
        <f>AH206*AY206</f>
        <v>0</v>
      </c>
      <c r="BA206" s="5" t="s">
        <v>573</v>
      </c>
      <c r="BB206" s="1">
        <f>AI206*BA206</f>
        <v>0</v>
      </c>
      <c r="BC206" s="5" t="s">
        <v>573</v>
      </c>
      <c r="BD206" s="1">
        <f>AJ206*BC206</f>
        <v>0</v>
      </c>
      <c r="BE206" s="150" t="s">
        <v>573</v>
      </c>
      <c r="BF206" s="1">
        <f t="shared" si="26"/>
        <v>0</v>
      </c>
      <c r="BG206" s="150" t="s">
        <v>573</v>
      </c>
      <c r="BH206" s="1">
        <f t="shared" si="29"/>
        <v>0</v>
      </c>
      <c r="BI206" s="150" t="s">
        <v>573</v>
      </c>
      <c r="BJ206" s="1">
        <f t="shared" si="27"/>
        <v>0</v>
      </c>
      <c r="BK206" s="156" t="s">
        <v>573</v>
      </c>
      <c r="BL206" s="1">
        <f t="shared" si="28"/>
        <v>0</v>
      </c>
      <c r="BM206" s="142" t="s">
        <v>673</v>
      </c>
      <c r="BN206" s="136" t="s">
        <v>759</v>
      </c>
      <c r="BO206" s="139" t="s">
        <v>1316</v>
      </c>
      <c r="BP206" s="137"/>
    </row>
    <row r="207" spans="1:68" ht="15.75" customHeight="1">
      <c r="A207" s="109" t="s">
        <v>751</v>
      </c>
      <c r="B207" s="122" t="s">
        <v>184</v>
      </c>
      <c r="C207" s="301"/>
      <c r="D207" s="304"/>
      <c r="E207" s="304"/>
      <c r="F207" s="297"/>
      <c r="G207" s="78">
        <v>2018</v>
      </c>
      <c r="H207" s="105" t="s">
        <v>742</v>
      </c>
      <c r="I207" s="76" t="s">
        <v>196</v>
      </c>
      <c r="J207" s="102" t="s">
        <v>197</v>
      </c>
      <c r="K207" s="105" t="s">
        <v>221</v>
      </c>
      <c r="L207" s="105" t="s">
        <v>192</v>
      </c>
      <c r="M207" s="13" t="s">
        <v>193</v>
      </c>
      <c r="N207" s="13">
        <v>4.66</v>
      </c>
      <c r="O207" s="13">
        <v>4.66</v>
      </c>
      <c r="P207" s="13">
        <v>4.66</v>
      </c>
      <c r="Q207" s="13">
        <v>4.66</v>
      </c>
      <c r="R207" s="13">
        <v>4.66</v>
      </c>
      <c r="S207" s="13">
        <v>4.66</v>
      </c>
      <c r="T207" s="13">
        <v>4.66</v>
      </c>
      <c r="U207" s="13">
        <v>4.66</v>
      </c>
      <c r="V207" s="13">
        <v>4.66</v>
      </c>
      <c r="W207" s="13">
        <v>4.66</v>
      </c>
      <c r="X207" s="13">
        <v>4.66</v>
      </c>
      <c r="Y207" s="13">
        <v>4.66</v>
      </c>
      <c r="Z207" s="13">
        <v>4.66</v>
      </c>
      <c r="AA207" s="13">
        <v>4.66</v>
      </c>
      <c r="AB207" s="40">
        <v>0.05</v>
      </c>
      <c r="AC207" s="40">
        <v>0.05</v>
      </c>
      <c r="AD207" s="40">
        <v>0.05</v>
      </c>
      <c r="AE207" s="40">
        <v>0.05</v>
      </c>
      <c r="AF207" s="40">
        <v>0.05</v>
      </c>
      <c r="AG207" s="40">
        <v>0.05</v>
      </c>
      <c r="AH207" s="40">
        <v>0.05</v>
      </c>
      <c r="AI207" s="40">
        <v>0.05</v>
      </c>
      <c r="AJ207" s="40">
        <v>0.05</v>
      </c>
      <c r="AK207" s="40">
        <v>0.05</v>
      </c>
      <c r="AL207" s="40">
        <v>0.05</v>
      </c>
      <c r="AM207" s="40">
        <v>0.05</v>
      </c>
      <c r="AN207" s="40">
        <v>0.05</v>
      </c>
      <c r="AO207" s="116">
        <v>33000</v>
      </c>
      <c r="AP207" s="6">
        <f t="shared" si="0"/>
        <v>1650</v>
      </c>
      <c r="AQ207" s="115">
        <v>3000</v>
      </c>
      <c r="AR207" s="6">
        <f t="shared" si="1"/>
        <v>150</v>
      </c>
      <c r="AS207" s="115">
        <v>6000</v>
      </c>
      <c r="AT207" s="6">
        <f t="shared" si="25"/>
        <v>300</v>
      </c>
      <c r="AU207" s="115">
        <v>0</v>
      </c>
      <c r="AV207" s="1">
        <f t="shared" si="7"/>
        <v>0</v>
      </c>
      <c r="AW207" s="115">
        <v>0</v>
      </c>
      <c r="AX207" s="1">
        <f t="shared" si="24"/>
        <v>0</v>
      </c>
      <c r="AY207" s="5">
        <v>6000</v>
      </c>
      <c r="AZ207" s="1">
        <f t="shared" si="9"/>
        <v>300</v>
      </c>
      <c r="BA207" s="5">
        <v>3000</v>
      </c>
      <c r="BB207" s="1">
        <f t="shared" si="10"/>
        <v>150</v>
      </c>
      <c r="BC207" s="5" t="s">
        <v>573</v>
      </c>
      <c r="BD207" s="1">
        <f t="shared" si="3"/>
        <v>0</v>
      </c>
      <c r="BE207" s="150" t="s">
        <v>573</v>
      </c>
      <c r="BF207" s="1">
        <f t="shared" si="26"/>
        <v>0</v>
      </c>
      <c r="BG207" s="150" t="s">
        <v>573</v>
      </c>
      <c r="BH207" s="1">
        <f t="shared" si="29"/>
        <v>0</v>
      </c>
      <c r="BI207" s="150">
        <v>3000</v>
      </c>
      <c r="BJ207" s="1">
        <f t="shared" si="27"/>
        <v>150</v>
      </c>
      <c r="BK207" s="156">
        <v>3000</v>
      </c>
      <c r="BL207" s="1">
        <f t="shared" si="28"/>
        <v>150</v>
      </c>
      <c r="BM207" s="142" t="s">
        <v>671</v>
      </c>
      <c r="BN207" s="136" t="s">
        <v>32</v>
      </c>
      <c r="BO207" s="139" t="s">
        <v>760</v>
      </c>
      <c r="BP207" s="137">
        <v>45504</v>
      </c>
    </row>
    <row r="208" spans="1:68" ht="15.75" customHeight="1">
      <c r="A208" s="109" t="s">
        <v>751</v>
      </c>
      <c r="B208" s="122" t="s">
        <v>184</v>
      </c>
      <c r="C208" s="301"/>
      <c r="D208" s="304"/>
      <c r="E208" s="304"/>
      <c r="F208" s="297"/>
      <c r="G208" s="78">
        <v>2016</v>
      </c>
      <c r="H208" s="105" t="s">
        <v>718</v>
      </c>
      <c r="I208" s="76" t="s">
        <v>196</v>
      </c>
      <c r="J208" s="103" t="s">
        <v>197</v>
      </c>
      <c r="K208" s="105" t="s">
        <v>431</v>
      </c>
      <c r="L208" s="105" t="s">
        <v>192</v>
      </c>
      <c r="M208" s="13" t="s">
        <v>193</v>
      </c>
      <c r="N208" s="13">
        <v>7.45</v>
      </c>
      <c r="O208" s="13">
        <v>7.45</v>
      </c>
      <c r="P208" s="13">
        <v>8.4499999999999993</v>
      </c>
      <c r="Q208" s="13">
        <v>7.45</v>
      </c>
      <c r="R208" s="13">
        <v>7.45</v>
      </c>
      <c r="S208" s="13">
        <v>7.45</v>
      </c>
      <c r="T208" s="13">
        <v>7.45</v>
      </c>
      <c r="U208" s="13">
        <v>7.45</v>
      </c>
      <c r="V208" s="13">
        <v>7.45</v>
      </c>
      <c r="W208" s="13">
        <v>7.45</v>
      </c>
      <c r="X208" s="13">
        <v>7.45</v>
      </c>
      <c r="Y208" s="13">
        <v>7.45</v>
      </c>
      <c r="Z208" s="13">
        <v>7.45</v>
      </c>
      <c r="AA208" s="13">
        <v>7.45</v>
      </c>
      <c r="AB208" s="40">
        <v>0.05</v>
      </c>
      <c r="AC208" s="40">
        <v>0.05</v>
      </c>
      <c r="AD208" s="40">
        <v>0.05</v>
      </c>
      <c r="AE208" s="40">
        <v>0.05</v>
      </c>
      <c r="AF208" s="40">
        <v>0.05</v>
      </c>
      <c r="AG208" s="40">
        <v>0.05</v>
      </c>
      <c r="AH208" s="40">
        <v>0.05</v>
      </c>
      <c r="AI208" s="40">
        <v>0.05</v>
      </c>
      <c r="AJ208" s="40">
        <v>0.05</v>
      </c>
      <c r="AK208" s="40">
        <v>0.05</v>
      </c>
      <c r="AL208" s="40">
        <v>0.05</v>
      </c>
      <c r="AM208" s="40">
        <v>0.05</v>
      </c>
      <c r="AN208" s="40">
        <v>0.05</v>
      </c>
      <c r="AO208" s="116">
        <v>3000</v>
      </c>
      <c r="AP208" s="6">
        <f t="shared" si="0"/>
        <v>150</v>
      </c>
      <c r="AQ208" s="115">
        <v>0</v>
      </c>
      <c r="AR208" s="6">
        <f t="shared" si="1"/>
        <v>0</v>
      </c>
      <c r="AS208" s="115">
        <v>3000</v>
      </c>
      <c r="AT208" s="6">
        <f t="shared" si="25"/>
        <v>150</v>
      </c>
      <c r="AU208" s="115">
        <v>0</v>
      </c>
      <c r="AV208" s="1">
        <f t="shared" si="7"/>
        <v>0</v>
      </c>
      <c r="AW208" s="115">
        <v>3000</v>
      </c>
      <c r="AX208" s="1">
        <f t="shared" si="24"/>
        <v>150</v>
      </c>
      <c r="AY208" s="5" t="s">
        <v>573</v>
      </c>
      <c r="AZ208" s="1">
        <f t="shared" si="9"/>
        <v>0</v>
      </c>
      <c r="BA208" s="5" t="s">
        <v>573</v>
      </c>
      <c r="BB208" s="1">
        <f t="shared" si="10"/>
        <v>0</v>
      </c>
      <c r="BC208" s="5" t="s">
        <v>573</v>
      </c>
      <c r="BD208" s="1">
        <f t="shared" si="3"/>
        <v>0</v>
      </c>
      <c r="BE208" s="150" t="s">
        <v>573</v>
      </c>
      <c r="BF208" s="1">
        <f t="shared" si="26"/>
        <v>0</v>
      </c>
      <c r="BG208" s="150" t="s">
        <v>573</v>
      </c>
      <c r="BH208" s="1">
        <f t="shared" si="29"/>
        <v>0</v>
      </c>
      <c r="BI208" s="150" t="s">
        <v>573</v>
      </c>
      <c r="BJ208" s="1">
        <f t="shared" si="27"/>
        <v>0</v>
      </c>
      <c r="BK208" s="156" t="s">
        <v>573</v>
      </c>
      <c r="BL208" s="1">
        <f t="shared" si="28"/>
        <v>0</v>
      </c>
      <c r="BM208" s="142" t="s">
        <v>683</v>
      </c>
      <c r="BN208" s="136" t="s">
        <v>32</v>
      </c>
      <c r="BO208" s="139" t="s">
        <v>760</v>
      </c>
      <c r="BP208" s="137">
        <v>45838</v>
      </c>
    </row>
    <row r="209" spans="1:68" ht="15.75" customHeight="1">
      <c r="A209" s="109" t="s">
        <v>751</v>
      </c>
      <c r="B209" s="122" t="s">
        <v>184</v>
      </c>
      <c r="C209" s="301"/>
      <c r="D209" s="304"/>
      <c r="E209" s="304"/>
      <c r="F209" s="297"/>
      <c r="G209" s="78">
        <v>2016</v>
      </c>
      <c r="H209" s="105" t="s">
        <v>718</v>
      </c>
      <c r="I209" s="76" t="s">
        <v>196</v>
      </c>
      <c r="J209" s="102" t="s">
        <v>197</v>
      </c>
      <c r="K209" s="105" t="s">
        <v>431</v>
      </c>
      <c r="L209" s="105" t="s">
        <v>192</v>
      </c>
      <c r="M209" s="13" t="s">
        <v>193</v>
      </c>
      <c r="N209" s="13">
        <v>7.45</v>
      </c>
      <c r="O209" s="13">
        <v>7.45</v>
      </c>
      <c r="P209" s="13">
        <v>8.4499999999999993</v>
      </c>
      <c r="Q209" s="13">
        <v>7.45</v>
      </c>
      <c r="R209" s="13">
        <v>7.45</v>
      </c>
      <c r="S209" s="13">
        <v>7.45</v>
      </c>
      <c r="T209" s="13">
        <v>7.45</v>
      </c>
      <c r="U209" s="13">
        <v>7.45</v>
      </c>
      <c r="V209" s="13">
        <v>7.45</v>
      </c>
      <c r="W209" s="13">
        <v>7.45</v>
      </c>
      <c r="X209" s="13">
        <v>7.45</v>
      </c>
      <c r="Y209" s="13">
        <v>7.45</v>
      </c>
      <c r="Z209" s="13">
        <v>7.45</v>
      </c>
      <c r="AA209" s="13">
        <v>7.45</v>
      </c>
      <c r="AB209" s="40">
        <v>0.05</v>
      </c>
      <c r="AC209" s="40">
        <v>0.05</v>
      </c>
      <c r="AD209" s="40">
        <v>0.05</v>
      </c>
      <c r="AE209" s="40">
        <v>0.05</v>
      </c>
      <c r="AF209" s="40">
        <v>0.05</v>
      </c>
      <c r="AG209" s="40">
        <v>0.05</v>
      </c>
      <c r="AH209" s="40">
        <v>0.05</v>
      </c>
      <c r="AI209" s="40">
        <v>0.05</v>
      </c>
      <c r="AJ209" s="40">
        <v>0.05</v>
      </c>
      <c r="AK209" s="40">
        <v>0.05</v>
      </c>
      <c r="AL209" s="40">
        <v>0.05</v>
      </c>
      <c r="AM209" s="40">
        <v>0.05</v>
      </c>
      <c r="AN209" s="40">
        <v>0.05</v>
      </c>
      <c r="AO209" s="116">
        <v>3000</v>
      </c>
      <c r="AP209" s="6">
        <f t="shared" si="0"/>
        <v>150</v>
      </c>
      <c r="AQ209" s="115">
        <v>3000</v>
      </c>
      <c r="AR209" s="6">
        <f t="shared" si="1"/>
        <v>150</v>
      </c>
      <c r="AS209" s="115">
        <v>6000</v>
      </c>
      <c r="AT209" s="6">
        <f t="shared" si="25"/>
        <v>300</v>
      </c>
      <c r="AU209" s="115">
        <v>0</v>
      </c>
      <c r="AV209" s="1">
        <f t="shared" si="7"/>
        <v>0</v>
      </c>
      <c r="AW209" s="115">
        <v>3000</v>
      </c>
      <c r="AX209" s="1">
        <f t="shared" si="24"/>
        <v>150</v>
      </c>
      <c r="AY209" s="5" t="s">
        <v>573</v>
      </c>
      <c r="AZ209" s="1">
        <f t="shared" si="9"/>
        <v>0</v>
      </c>
      <c r="BA209" s="5" t="s">
        <v>573</v>
      </c>
      <c r="BB209" s="1">
        <f t="shared" si="10"/>
        <v>0</v>
      </c>
      <c r="BC209" s="5" t="s">
        <v>573</v>
      </c>
      <c r="BD209" s="1">
        <f t="shared" si="3"/>
        <v>0</v>
      </c>
      <c r="BE209" s="150" t="s">
        <v>573</v>
      </c>
      <c r="BF209" s="1">
        <f t="shared" si="26"/>
        <v>0</v>
      </c>
      <c r="BG209" s="150" t="s">
        <v>573</v>
      </c>
      <c r="BH209" s="1">
        <f t="shared" si="29"/>
        <v>0</v>
      </c>
      <c r="BI209" s="150" t="s">
        <v>573</v>
      </c>
      <c r="BJ209" s="1">
        <f t="shared" si="27"/>
        <v>0</v>
      </c>
      <c r="BK209" s="156" t="s">
        <v>573</v>
      </c>
      <c r="BL209" s="1">
        <f t="shared" si="28"/>
        <v>0</v>
      </c>
      <c r="BM209" s="142" t="s">
        <v>683</v>
      </c>
      <c r="BN209" s="136" t="s">
        <v>496</v>
      </c>
      <c r="BO209" s="139" t="s">
        <v>760</v>
      </c>
      <c r="BP209" s="137">
        <v>45838</v>
      </c>
    </row>
    <row r="210" spans="1:68" ht="15.6" customHeight="1">
      <c r="A210" s="109" t="s">
        <v>751</v>
      </c>
      <c r="B210" s="122" t="s">
        <v>184</v>
      </c>
      <c r="C210" s="301"/>
      <c r="D210" s="304"/>
      <c r="E210" s="304"/>
      <c r="F210" s="297"/>
      <c r="G210" s="78">
        <v>2016</v>
      </c>
      <c r="H210" s="105" t="s">
        <v>718</v>
      </c>
      <c r="I210" s="76" t="s">
        <v>196</v>
      </c>
      <c r="J210" s="102" t="s">
        <v>197</v>
      </c>
      <c r="K210" s="105" t="s">
        <v>434</v>
      </c>
      <c r="L210" s="105" t="s">
        <v>192</v>
      </c>
      <c r="M210" s="13" t="s">
        <v>193</v>
      </c>
      <c r="N210" s="13">
        <v>7.45</v>
      </c>
      <c r="O210" s="13">
        <v>7.45</v>
      </c>
      <c r="P210" s="13">
        <v>8.4499999999999993</v>
      </c>
      <c r="Q210" s="13">
        <v>7.45</v>
      </c>
      <c r="R210" s="13">
        <v>7.45</v>
      </c>
      <c r="S210" s="13">
        <v>7.45</v>
      </c>
      <c r="T210" s="13">
        <v>7.45</v>
      </c>
      <c r="U210" s="13">
        <v>7.45</v>
      </c>
      <c r="V210" s="13">
        <v>7.45</v>
      </c>
      <c r="W210" s="13">
        <v>7.45</v>
      </c>
      <c r="X210" s="13">
        <v>7.45</v>
      </c>
      <c r="Y210" s="13">
        <v>7.45</v>
      </c>
      <c r="Z210" s="13">
        <v>7.45</v>
      </c>
      <c r="AA210" s="13">
        <v>7.45</v>
      </c>
      <c r="AB210" s="40">
        <v>0.05</v>
      </c>
      <c r="AC210" s="40">
        <v>0.05</v>
      </c>
      <c r="AD210" s="40">
        <v>0.05</v>
      </c>
      <c r="AE210" s="40">
        <v>0.05</v>
      </c>
      <c r="AF210" s="40">
        <v>0.05</v>
      </c>
      <c r="AG210" s="40">
        <v>0.05</v>
      </c>
      <c r="AH210" s="40">
        <v>0.05</v>
      </c>
      <c r="AI210" s="40">
        <v>0.05</v>
      </c>
      <c r="AJ210" s="40">
        <v>0.05</v>
      </c>
      <c r="AK210" s="40">
        <v>0.05</v>
      </c>
      <c r="AL210" s="40">
        <v>0.05</v>
      </c>
      <c r="AM210" s="40">
        <v>0.05</v>
      </c>
      <c r="AN210" s="40">
        <v>0.05</v>
      </c>
      <c r="AO210" s="116">
        <v>3000</v>
      </c>
      <c r="AP210" s="6">
        <f t="shared" si="0"/>
        <v>150</v>
      </c>
      <c r="AQ210" s="115">
        <v>0</v>
      </c>
      <c r="AR210" s="6">
        <f t="shared" si="1"/>
        <v>0</v>
      </c>
      <c r="AS210" s="115">
        <v>3000</v>
      </c>
      <c r="AT210" s="6">
        <f t="shared" si="25"/>
        <v>150</v>
      </c>
      <c r="AU210" s="115">
        <v>0</v>
      </c>
      <c r="AV210" s="1">
        <f t="shared" si="7"/>
        <v>0</v>
      </c>
      <c r="AW210" s="115">
        <v>0</v>
      </c>
      <c r="AX210" s="1">
        <f t="shared" si="24"/>
        <v>0</v>
      </c>
      <c r="AY210" s="5" t="s">
        <v>573</v>
      </c>
      <c r="AZ210" s="1">
        <f t="shared" si="9"/>
        <v>0</v>
      </c>
      <c r="BA210" s="5" t="s">
        <v>573</v>
      </c>
      <c r="BB210" s="1">
        <f t="shared" si="10"/>
        <v>0</v>
      </c>
      <c r="BC210" s="5" t="s">
        <v>573</v>
      </c>
      <c r="BD210" s="1">
        <f t="shared" si="3"/>
        <v>0</v>
      </c>
      <c r="BE210" s="150" t="s">
        <v>573</v>
      </c>
      <c r="BF210" s="1">
        <f t="shared" si="26"/>
        <v>0</v>
      </c>
      <c r="BG210" s="150" t="s">
        <v>573</v>
      </c>
      <c r="BH210" s="1">
        <f t="shared" si="29"/>
        <v>0</v>
      </c>
      <c r="BI210" s="150" t="s">
        <v>573</v>
      </c>
      <c r="BJ210" s="1">
        <f t="shared" si="27"/>
        <v>0</v>
      </c>
      <c r="BK210" s="156" t="s">
        <v>573</v>
      </c>
      <c r="BL210" s="1">
        <f t="shared" si="28"/>
        <v>0</v>
      </c>
      <c r="BM210" s="142" t="s">
        <v>684</v>
      </c>
      <c r="BN210" s="136" t="s">
        <v>32</v>
      </c>
      <c r="BO210" s="139" t="s">
        <v>760</v>
      </c>
      <c r="BP210" s="137">
        <v>45838</v>
      </c>
    </row>
    <row r="211" spans="1:68" ht="15.6" customHeight="1">
      <c r="A211" s="109" t="s">
        <v>751</v>
      </c>
      <c r="B211" s="122" t="s">
        <v>184</v>
      </c>
      <c r="C211" s="301"/>
      <c r="D211" s="304"/>
      <c r="E211" s="304"/>
      <c r="F211" s="297"/>
      <c r="G211" s="78">
        <v>2016</v>
      </c>
      <c r="H211" s="105" t="s">
        <v>718</v>
      </c>
      <c r="I211" s="76" t="s">
        <v>196</v>
      </c>
      <c r="J211" s="103" t="s">
        <v>197</v>
      </c>
      <c r="K211" s="105" t="s">
        <v>434</v>
      </c>
      <c r="L211" s="105" t="s">
        <v>192</v>
      </c>
      <c r="M211" s="13" t="s">
        <v>193</v>
      </c>
      <c r="N211" s="13">
        <v>7.45</v>
      </c>
      <c r="O211" s="13">
        <v>7.45</v>
      </c>
      <c r="P211" s="13">
        <v>8.4499999999999993</v>
      </c>
      <c r="Q211" s="13">
        <v>7.45</v>
      </c>
      <c r="R211" s="13">
        <v>7.45</v>
      </c>
      <c r="S211" s="13">
        <v>7.45</v>
      </c>
      <c r="T211" s="13">
        <v>7.45</v>
      </c>
      <c r="U211" s="13">
        <v>7.45</v>
      </c>
      <c r="V211" s="13">
        <v>7.45</v>
      </c>
      <c r="W211" s="13">
        <v>7.45</v>
      </c>
      <c r="X211" s="13">
        <v>7.45</v>
      </c>
      <c r="Y211" s="13">
        <v>7.45</v>
      </c>
      <c r="Z211" s="13">
        <v>7.45</v>
      </c>
      <c r="AA211" s="13">
        <v>7.45</v>
      </c>
      <c r="AB211" s="40">
        <v>0.05</v>
      </c>
      <c r="AC211" s="40">
        <v>0.05</v>
      </c>
      <c r="AD211" s="40">
        <v>0.05</v>
      </c>
      <c r="AE211" s="40">
        <v>0.05</v>
      </c>
      <c r="AF211" s="40">
        <v>0.05</v>
      </c>
      <c r="AG211" s="40">
        <v>0.05</v>
      </c>
      <c r="AH211" s="40">
        <v>0.05</v>
      </c>
      <c r="AI211" s="40">
        <v>0.05</v>
      </c>
      <c r="AJ211" s="40">
        <v>0.05</v>
      </c>
      <c r="AK211" s="40">
        <v>0.05</v>
      </c>
      <c r="AL211" s="40">
        <v>0.05</v>
      </c>
      <c r="AM211" s="40">
        <v>0.05</v>
      </c>
      <c r="AN211" s="40">
        <v>0.05</v>
      </c>
      <c r="AO211" s="116">
        <v>3000</v>
      </c>
      <c r="AP211" s="6">
        <f t="shared" si="0"/>
        <v>150</v>
      </c>
      <c r="AQ211" s="115">
        <v>3000</v>
      </c>
      <c r="AR211" s="6">
        <f t="shared" si="1"/>
        <v>150</v>
      </c>
      <c r="AS211" s="115">
        <v>3000</v>
      </c>
      <c r="AT211" s="6">
        <f t="shared" si="25"/>
        <v>150</v>
      </c>
      <c r="AU211" s="115">
        <v>0</v>
      </c>
      <c r="AV211" s="1">
        <f t="shared" si="7"/>
        <v>0</v>
      </c>
      <c r="AW211" s="115">
        <v>0</v>
      </c>
      <c r="AX211" s="1">
        <f t="shared" si="24"/>
        <v>0</v>
      </c>
      <c r="AY211" s="5">
        <v>3000</v>
      </c>
      <c r="AZ211" s="1">
        <f t="shared" si="9"/>
        <v>150</v>
      </c>
      <c r="BA211" s="5" t="s">
        <v>573</v>
      </c>
      <c r="BB211" s="1">
        <f t="shared" si="10"/>
        <v>0</v>
      </c>
      <c r="BC211" s="5" t="s">
        <v>573</v>
      </c>
      <c r="BD211" s="1">
        <f t="shared" si="3"/>
        <v>0</v>
      </c>
      <c r="BE211" s="150" t="s">
        <v>573</v>
      </c>
      <c r="BF211" s="1">
        <f t="shared" si="26"/>
        <v>0</v>
      </c>
      <c r="BG211" s="150" t="s">
        <v>573</v>
      </c>
      <c r="BH211" s="1">
        <f t="shared" si="29"/>
        <v>0</v>
      </c>
      <c r="BI211" s="150" t="s">
        <v>573</v>
      </c>
      <c r="BJ211" s="1">
        <f t="shared" si="27"/>
        <v>0</v>
      </c>
      <c r="BK211" s="156" t="s">
        <v>573</v>
      </c>
      <c r="BL211" s="1">
        <f t="shared" si="28"/>
        <v>0</v>
      </c>
      <c r="BM211" s="142" t="s">
        <v>684</v>
      </c>
      <c r="BN211" s="136" t="s">
        <v>496</v>
      </c>
      <c r="BO211" s="139" t="s">
        <v>760</v>
      </c>
      <c r="BP211" s="137">
        <v>45838</v>
      </c>
    </row>
    <row r="212" spans="1:68" ht="15.6" customHeight="1">
      <c r="A212" s="109" t="s">
        <v>751</v>
      </c>
      <c r="B212" s="122" t="s">
        <v>184</v>
      </c>
      <c r="C212" s="301"/>
      <c r="D212" s="304"/>
      <c r="E212" s="304"/>
      <c r="F212" s="297"/>
      <c r="G212" s="78">
        <v>2016</v>
      </c>
      <c r="H212" s="105" t="s">
        <v>718</v>
      </c>
      <c r="I212" s="76" t="s">
        <v>196</v>
      </c>
      <c r="J212" s="102" t="s">
        <v>197</v>
      </c>
      <c r="K212" s="105" t="s">
        <v>418</v>
      </c>
      <c r="L212" s="105" t="s">
        <v>192</v>
      </c>
      <c r="M212" s="13" t="s">
        <v>193</v>
      </c>
      <c r="N212" s="13">
        <v>5.1100000000000003</v>
      </c>
      <c r="O212" s="13">
        <v>5.1100000000000003</v>
      </c>
      <c r="P212" s="13">
        <v>5.1100000000000003</v>
      </c>
      <c r="Q212" s="13">
        <v>5.1100000000000003</v>
      </c>
      <c r="R212" s="13">
        <v>5.1100000000000003</v>
      </c>
      <c r="S212" s="13">
        <v>5.1100000000000003</v>
      </c>
      <c r="T212" s="13">
        <v>5.1100000000000003</v>
      </c>
      <c r="U212" s="13">
        <v>5.1100000000000003</v>
      </c>
      <c r="V212" s="13">
        <v>5.1100000000000003</v>
      </c>
      <c r="W212" s="13">
        <v>5.1100000000000003</v>
      </c>
      <c r="X212" s="13">
        <v>5.1100000000000003</v>
      </c>
      <c r="Y212" s="13">
        <v>5.1100000000000003</v>
      </c>
      <c r="Z212" s="13">
        <v>5.1100000000000003</v>
      </c>
      <c r="AA212" s="13">
        <v>5.1100000000000003</v>
      </c>
      <c r="AB212" s="40">
        <v>0.05</v>
      </c>
      <c r="AC212" s="40">
        <v>0.05</v>
      </c>
      <c r="AD212" s="40">
        <v>0.05</v>
      </c>
      <c r="AE212" s="40">
        <v>0.05</v>
      </c>
      <c r="AF212" s="40">
        <v>0.05</v>
      </c>
      <c r="AG212" s="40">
        <v>0.05</v>
      </c>
      <c r="AH212" s="40">
        <v>0.05</v>
      </c>
      <c r="AI212" s="40">
        <v>0.05</v>
      </c>
      <c r="AJ212" s="40">
        <v>0.05</v>
      </c>
      <c r="AK212" s="40">
        <v>0.05</v>
      </c>
      <c r="AL212" s="40">
        <v>0.05</v>
      </c>
      <c r="AM212" s="40">
        <v>0.05</v>
      </c>
      <c r="AN212" s="40">
        <v>0.05</v>
      </c>
      <c r="AO212" s="116">
        <v>0</v>
      </c>
      <c r="AP212" s="6">
        <f t="shared" si="0"/>
        <v>0</v>
      </c>
      <c r="AQ212" s="115">
        <v>0</v>
      </c>
      <c r="AR212" s="6">
        <f t="shared" si="1"/>
        <v>0</v>
      </c>
      <c r="AS212" s="115">
        <v>6000</v>
      </c>
      <c r="AT212" s="6">
        <f t="shared" si="25"/>
        <v>300</v>
      </c>
      <c r="AU212" s="115">
        <v>0</v>
      </c>
      <c r="AV212" s="1">
        <f t="shared" si="7"/>
        <v>0</v>
      </c>
      <c r="AW212" s="115">
        <v>0</v>
      </c>
      <c r="AX212" s="1">
        <f t="shared" si="24"/>
        <v>0</v>
      </c>
      <c r="AY212" s="5" t="s">
        <v>573</v>
      </c>
      <c r="AZ212" s="1">
        <f t="shared" si="9"/>
        <v>0</v>
      </c>
      <c r="BA212" s="5">
        <v>3000</v>
      </c>
      <c r="BB212" s="1">
        <f t="shared" si="10"/>
        <v>150</v>
      </c>
      <c r="BC212" s="5" t="s">
        <v>573</v>
      </c>
      <c r="BD212" s="1">
        <f t="shared" si="3"/>
        <v>0</v>
      </c>
      <c r="BE212" s="150" t="s">
        <v>573</v>
      </c>
      <c r="BF212" s="1">
        <f t="shared" si="26"/>
        <v>0</v>
      </c>
      <c r="BG212" s="150" t="s">
        <v>573</v>
      </c>
      <c r="BH212" s="1">
        <f t="shared" si="29"/>
        <v>0</v>
      </c>
      <c r="BI212" s="150">
        <v>27000</v>
      </c>
      <c r="BJ212" s="1">
        <f t="shared" si="27"/>
        <v>1350</v>
      </c>
      <c r="BK212" s="156" t="s">
        <v>573</v>
      </c>
      <c r="BL212" s="1">
        <f t="shared" si="28"/>
        <v>0</v>
      </c>
      <c r="BM212" s="142" t="s">
        <v>682</v>
      </c>
      <c r="BN212" s="136" t="s">
        <v>32</v>
      </c>
      <c r="BO212" s="139" t="s">
        <v>760</v>
      </c>
      <c r="BP212" s="137">
        <v>45838</v>
      </c>
    </row>
    <row r="213" spans="1:68" ht="15.6" customHeight="1">
      <c r="A213" s="109" t="s">
        <v>751</v>
      </c>
      <c r="B213" s="122" t="s">
        <v>184</v>
      </c>
      <c r="C213" s="301"/>
      <c r="D213" s="304"/>
      <c r="E213" s="304"/>
      <c r="F213" s="297"/>
      <c r="G213" s="78">
        <v>2016</v>
      </c>
      <c r="H213" s="105" t="s">
        <v>718</v>
      </c>
      <c r="I213" s="76" t="s">
        <v>196</v>
      </c>
      <c r="J213" s="102" t="s">
        <v>197</v>
      </c>
      <c r="K213" s="105" t="s">
        <v>418</v>
      </c>
      <c r="L213" s="105" t="s">
        <v>192</v>
      </c>
      <c r="M213" s="13" t="s">
        <v>193</v>
      </c>
      <c r="N213" s="13">
        <v>5.1100000000000003</v>
      </c>
      <c r="O213" s="13">
        <v>5.1100000000000003</v>
      </c>
      <c r="P213" s="13">
        <v>5.1100000000000003</v>
      </c>
      <c r="Q213" s="13">
        <v>5.1100000000000003</v>
      </c>
      <c r="R213" s="13">
        <v>5.1100000000000003</v>
      </c>
      <c r="S213" s="13">
        <v>5.1100000000000003</v>
      </c>
      <c r="T213" s="13">
        <v>5.1100000000000003</v>
      </c>
      <c r="U213" s="13">
        <v>5.1100000000000003</v>
      </c>
      <c r="V213" s="13">
        <v>5.1100000000000003</v>
      </c>
      <c r="W213" s="13">
        <v>5.1100000000000003</v>
      </c>
      <c r="X213" s="13">
        <v>5.1100000000000003</v>
      </c>
      <c r="Y213" s="13">
        <v>5.1100000000000003</v>
      </c>
      <c r="Z213" s="13">
        <v>5.1100000000000003</v>
      </c>
      <c r="AA213" s="13">
        <v>5.1100000000000003</v>
      </c>
      <c r="AB213" s="40">
        <v>0.05</v>
      </c>
      <c r="AC213" s="40">
        <v>0.05</v>
      </c>
      <c r="AD213" s="40">
        <v>0.05</v>
      </c>
      <c r="AE213" s="40">
        <v>0.05</v>
      </c>
      <c r="AF213" s="40">
        <v>0.05</v>
      </c>
      <c r="AG213" s="40">
        <v>0.05</v>
      </c>
      <c r="AH213" s="40">
        <v>0.05</v>
      </c>
      <c r="AI213" s="40">
        <v>0.05</v>
      </c>
      <c r="AJ213" s="40">
        <v>0.05</v>
      </c>
      <c r="AK213" s="40">
        <v>0.05</v>
      </c>
      <c r="AL213" s="40">
        <v>0.05</v>
      </c>
      <c r="AM213" s="40">
        <v>0.05</v>
      </c>
      <c r="AN213" s="40">
        <v>0.05</v>
      </c>
      <c r="AO213" s="116">
        <v>3000</v>
      </c>
      <c r="AP213" s="6">
        <f t="shared" si="0"/>
        <v>150</v>
      </c>
      <c r="AQ213" s="115">
        <v>0</v>
      </c>
      <c r="AR213" s="6">
        <f t="shared" si="1"/>
        <v>0</v>
      </c>
      <c r="AS213" s="115">
        <v>6000</v>
      </c>
      <c r="AT213" s="6">
        <f t="shared" si="25"/>
        <v>300</v>
      </c>
      <c r="AU213" s="115">
        <v>0</v>
      </c>
      <c r="AV213" s="1">
        <f t="shared" si="7"/>
        <v>0</v>
      </c>
      <c r="AW213" s="115">
        <v>0</v>
      </c>
      <c r="AX213" s="1">
        <f t="shared" si="24"/>
        <v>0</v>
      </c>
      <c r="AY213" s="5" t="s">
        <v>573</v>
      </c>
      <c r="AZ213" s="1">
        <f t="shared" si="9"/>
        <v>0</v>
      </c>
      <c r="BA213" s="5">
        <v>5000</v>
      </c>
      <c r="BB213" s="1">
        <f t="shared" si="10"/>
        <v>250</v>
      </c>
      <c r="BC213" s="5" t="s">
        <v>573</v>
      </c>
      <c r="BD213" s="1">
        <f t="shared" si="3"/>
        <v>0</v>
      </c>
      <c r="BE213" s="150" t="s">
        <v>573</v>
      </c>
      <c r="BF213" s="1">
        <f t="shared" si="26"/>
        <v>0</v>
      </c>
      <c r="BG213" s="150">
        <v>3000</v>
      </c>
      <c r="BH213" s="1">
        <f t="shared" si="29"/>
        <v>150</v>
      </c>
      <c r="BI213" s="150">
        <v>6000</v>
      </c>
      <c r="BJ213" s="1">
        <f t="shared" si="27"/>
        <v>300</v>
      </c>
      <c r="BK213" s="156">
        <v>6000</v>
      </c>
      <c r="BL213" s="1">
        <f t="shared" si="28"/>
        <v>300</v>
      </c>
      <c r="BM213" s="142" t="s">
        <v>682</v>
      </c>
      <c r="BN213" s="136" t="s">
        <v>496</v>
      </c>
      <c r="BO213" s="139" t="s">
        <v>760</v>
      </c>
      <c r="BP213" s="137">
        <v>45838</v>
      </c>
    </row>
    <row r="214" spans="1:68" ht="15.6" customHeight="1">
      <c r="A214" s="109" t="s">
        <v>751</v>
      </c>
      <c r="B214" s="122" t="s">
        <v>184</v>
      </c>
      <c r="C214" s="301"/>
      <c r="D214" s="304"/>
      <c r="E214" s="304"/>
      <c r="F214" s="297"/>
      <c r="G214" s="78">
        <v>2016</v>
      </c>
      <c r="H214" s="105" t="s">
        <v>718</v>
      </c>
      <c r="I214" s="76" t="s">
        <v>196</v>
      </c>
      <c r="J214" s="102" t="s">
        <v>197</v>
      </c>
      <c r="K214" s="105" t="s">
        <v>767</v>
      </c>
      <c r="L214" s="105" t="s">
        <v>192</v>
      </c>
      <c r="M214" s="13" t="s">
        <v>193</v>
      </c>
      <c r="N214" s="13"/>
      <c r="O214" s="13"/>
      <c r="P214" s="13">
        <v>5.24</v>
      </c>
      <c r="Q214" s="13">
        <v>5.24</v>
      </c>
      <c r="R214" s="13">
        <v>5.24</v>
      </c>
      <c r="S214" s="13">
        <v>5.24</v>
      </c>
      <c r="T214" s="13">
        <v>5.24</v>
      </c>
      <c r="U214" s="13">
        <v>5.24</v>
      </c>
      <c r="V214" s="13">
        <v>5.24</v>
      </c>
      <c r="W214" s="13">
        <v>5.24</v>
      </c>
      <c r="X214" s="13">
        <v>5.24</v>
      </c>
      <c r="Y214" s="13">
        <v>5.24</v>
      </c>
      <c r="Z214" s="13">
        <v>5.24</v>
      </c>
      <c r="AA214" s="13">
        <v>5.24</v>
      </c>
      <c r="AB214" s="40">
        <v>0.05</v>
      </c>
      <c r="AC214" s="40">
        <v>0.05</v>
      </c>
      <c r="AD214" s="40">
        <v>0.05</v>
      </c>
      <c r="AE214" s="40">
        <v>0.05</v>
      </c>
      <c r="AF214" s="40">
        <v>0.05</v>
      </c>
      <c r="AG214" s="40">
        <v>0.05</v>
      </c>
      <c r="AH214" s="40">
        <v>0.05</v>
      </c>
      <c r="AI214" s="40">
        <v>0.05</v>
      </c>
      <c r="AJ214" s="40">
        <v>0.05</v>
      </c>
      <c r="AK214" s="40">
        <v>0.05</v>
      </c>
      <c r="AL214" s="40">
        <v>0.05</v>
      </c>
      <c r="AM214" s="40">
        <v>0.05</v>
      </c>
      <c r="AN214" s="40">
        <v>0.05</v>
      </c>
      <c r="AO214" s="116">
        <v>0</v>
      </c>
      <c r="AP214" s="6">
        <f t="shared" si="0"/>
        <v>0</v>
      </c>
      <c r="AQ214" s="115">
        <v>0</v>
      </c>
      <c r="AR214" s="6">
        <f t="shared" si="1"/>
        <v>0</v>
      </c>
      <c r="AS214" s="115" t="s">
        <v>573</v>
      </c>
      <c r="AT214" s="6">
        <f t="shared" si="25"/>
        <v>0</v>
      </c>
      <c r="AU214" s="115">
        <v>0</v>
      </c>
      <c r="AV214" s="1">
        <f t="shared" si="7"/>
        <v>0</v>
      </c>
      <c r="AW214" s="115">
        <v>0</v>
      </c>
      <c r="AX214" s="1">
        <f t="shared" ref="AX214:AX277" si="30">AG214*AW214</f>
        <v>0</v>
      </c>
      <c r="AY214" s="5">
        <v>0</v>
      </c>
      <c r="AZ214" s="1">
        <f t="shared" si="9"/>
        <v>0</v>
      </c>
      <c r="BA214" s="5">
        <v>5500</v>
      </c>
      <c r="BB214" s="1">
        <f t="shared" si="10"/>
        <v>275</v>
      </c>
      <c r="BC214" s="5" t="s">
        <v>573</v>
      </c>
      <c r="BD214" s="1">
        <f t="shared" si="3"/>
        <v>0</v>
      </c>
      <c r="BE214" s="150" t="s">
        <v>573</v>
      </c>
      <c r="BF214" s="1">
        <f t="shared" si="26"/>
        <v>0</v>
      </c>
      <c r="BG214" s="150"/>
      <c r="BH214" s="1">
        <f t="shared" si="29"/>
        <v>0</v>
      </c>
      <c r="BI214" s="150"/>
      <c r="BJ214" s="1">
        <f t="shared" si="27"/>
        <v>0</v>
      </c>
      <c r="BK214" s="156" t="s">
        <v>573</v>
      </c>
      <c r="BM214" s="142" t="s">
        <v>696</v>
      </c>
      <c r="BN214" s="136" t="s">
        <v>768</v>
      </c>
      <c r="BO214" s="139" t="s">
        <v>760</v>
      </c>
      <c r="BP214" s="137"/>
    </row>
    <row r="215" spans="1:68" ht="15.6" customHeight="1">
      <c r="A215" s="109" t="s">
        <v>751</v>
      </c>
      <c r="B215" s="122" t="s">
        <v>184</v>
      </c>
      <c r="C215" s="301"/>
      <c r="D215" s="304"/>
      <c r="E215" s="304"/>
      <c r="F215" s="297"/>
      <c r="G215" s="78">
        <v>2016</v>
      </c>
      <c r="H215" s="105" t="s">
        <v>718</v>
      </c>
      <c r="I215" s="76" t="s">
        <v>196</v>
      </c>
      <c r="J215" s="102" t="s">
        <v>197</v>
      </c>
      <c r="K215" s="105" t="s">
        <v>767</v>
      </c>
      <c r="L215" s="105" t="s">
        <v>192</v>
      </c>
      <c r="M215" s="13" t="s">
        <v>193</v>
      </c>
      <c r="N215" s="13"/>
      <c r="O215" s="13"/>
      <c r="P215" s="13">
        <v>5.24</v>
      </c>
      <c r="Q215" s="13">
        <v>5.24</v>
      </c>
      <c r="R215" s="13">
        <v>5.24</v>
      </c>
      <c r="S215" s="13">
        <v>5.24</v>
      </c>
      <c r="T215" s="13">
        <v>5.24</v>
      </c>
      <c r="U215" s="13">
        <v>5.24</v>
      </c>
      <c r="V215" s="13">
        <v>5.24</v>
      </c>
      <c r="W215" s="13">
        <v>5.24</v>
      </c>
      <c r="X215" s="13">
        <v>5.24</v>
      </c>
      <c r="Y215" s="13">
        <v>5.24</v>
      </c>
      <c r="Z215" s="13">
        <v>5.24</v>
      </c>
      <c r="AA215" s="13">
        <v>5.24</v>
      </c>
      <c r="AB215" s="40">
        <v>0.05</v>
      </c>
      <c r="AC215" s="40">
        <v>0.05</v>
      </c>
      <c r="AD215" s="40">
        <v>0.05</v>
      </c>
      <c r="AE215" s="40">
        <v>0.05</v>
      </c>
      <c r="AF215" s="40">
        <v>0.05</v>
      </c>
      <c r="AG215" s="40">
        <v>0.05</v>
      </c>
      <c r="AH215" s="40">
        <v>0.05</v>
      </c>
      <c r="AI215" s="40">
        <v>0.05</v>
      </c>
      <c r="AJ215" s="40">
        <v>0.05</v>
      </c>
      <c r="AK215" s="40">
        <v>0.05</v>
      </c>
      <c r="AL215" s="40">
        <v>0.05</v>
      </c>
      <c r="AM215" s="40">
        <v>0.05</v>
      </c>
      <c r="AN215" s="40">
        <v>0.05</v>
      </c>
      <c r="AO215" s="116">
        <v>0</v>
      </c>
      <c r="AP215" s="6">
        <f t="shared" si="0"/>
        <v>0</v>
      </c>
      <c r="AQ215" s="115">
        <v>0</v>
      </c>
      <c r="AR215" s="6">
        <f t="shared" si="1"/>
        <v>0</v>
      </c>
      <c r="AS215" s="115" t="s">
        <v>573</v>
      </c>
      <c r="AT215" s="6">
        <f t="shared" si="25"/>
        <v>0</v>
      </c>
      <c r="AU215" s="115">
        <v>0</v>
      </c>
      <c r="AV215" s="1">
        <f t="shared" si="7"/>
        <v>0</v>
      </c>
      <c r="AW215" s="115">
        <v>0</v>
      </c>
      <c r="AX215" s="1">
        <f t="shared" si="30"/>
        <v>0</v>
      </c>
      <c r="AY215" s="5" t="s">
        <v>573</v>
      </c>
      <c r="AZ215" s="1">
        <f t="shared" si="9"/>
        <v>0</v>
      </c>
      <c r="BA215" s="5">
        <v>3000</v>
      </c>
      <c r="BB215" s="1">
        <f t="shared" si="10"/>
        <v>150</v>
      </c>
      <c r="BC215" s="5" t="s">
        <v>573</v>
      </c>
      <c r="BD215" s="1">
        <f t="shared" si="3"/>
        <v>0</v>
      </c>
      <c r="BE215" s="150" t="s">
        <v>573</v>
      </c>
      <c r="BF215" s="1">
        <f t="shared" si="26"/>
        <v>0</v>
      </c>
      <c r="BG215" s="150">
        <v>0</v>
      </c>
      <c r="BH215" s="1">
        <f t="shared" si="29"/>
        <v>0</v>
      </c>
      <c r="BI215" s="150">
        <v>3000</v>
      </c>
      <c r="BJ215" s="1">
        <f t="shared" si="27"/>
        <v>150</v>
      </c>
      <c r="BK215" s="156" t="s">
        <v>573</v>
      </c>
      <c r="BL215" s="1">
        <f t="shared" ref="BL215:BL278" si="31">BK215*AN215</f>
        <v>0</v>
      </c>
      <c r="BM215" s="142" t="s">
        <v>696</v>
      </c>
      <c r="BN215" s="136" t="s">
        <v>32</v>
      </c>
      <c r="BO215" s="139" t="s">
        <v>760</v>
      </c>
      <c r="BP215" s="137"/>
    </row>
    <row r="216" spans="1:68" ht="15.6" customHeight="1">
      <c r="A216" s="109" t="s">
        <v>751</v>
      </c>
      <c r="B216" s="122" t="s">
        <v>184</v>
      </c>
      <c r="C216" s="301"/>
      <c r="D216" s="304"/>
      <c r="E216" s="304"/>
      <c r="F216" s="297"/>
      <c r="G216" s="78">
        <v>2016</v>
      </c>
      <c r="H216" s="105" t="s">
        <v>718</v>
      </c>
      <c r="I216" s="76" t="s">
        <v>196</v>
      </c>
      <c r="J216" s="102" t="s">
        <v>197</v>
      </c>
      <c r="K216" s="105" t="s">
        <v>769</v>
      </c>
      <c r="L216" s="105" t="s">
        <v>192</v>
      </c>
      <c r="M216" s="13" t="s">
        <v>193</v>
      </c>
      <c r="N216" s="13"/>
      <c r="O216" s="13"/>
      <c r="P216" s="13">
        <v>5.24</v>
      </c>
      <c r="Q216" s="13">
        <v>5.24</v>
      </c>
      <c r="R216" s="13">
        <v>5.24</v>
      </c>
      <c r="S216" s="13">
        <v>5.24</v>
      </c>
      <c r="T216" s="13">
        <v>5.24</v>
      </c>
      <c r="U216" s="13">
        <v>5.24</v>
      </c>
      <c r="V216" s="13">
        <v>5.24</v>
      </c>
      <c r="W216" s="13">
        <v>5.24</v>
      </c>
      <c r="X216" s="13">
        <v>5.24</v>
      </c>
      <c r="Y216" s="13">
        <v>5.24</v>
      </c>
      <c r="Z216" s="13">
        <v>5.24</v>
      </c>
      <c r="AA216" s="13">
        <v>5.24</v>
      </c>
      <c r="AB216" s="40">
        <v>0.05</v>
      </c>
      <c r="AC216" s="40">
        <v>0.05</v>
      </c>
      <c r="AD216" s="40">
        <v>0.05</v>
      </c>
      <c r="AE216" s="40">
        <v>0.05</v>
      </c>
      <c r="AF216" s="40">
        <v>0.05</v>
      </c>
      <c r="AG216" s="40">
        <v>0.05</v>
      </c>
      <c r="AH216" s="40">
        <v>0.05</v>
      </c>
      <c r="AI216" s="40">
        <v>0.05</v>
      </c>
      <c r="AJ216" s="40">
        <v>0.05</v>
      </c>
      <c r="AK216" s="40">
        <v>0.05</v>
      </c>
      <c r="AL216" s="40">
        <v>0.05</v>
      </c>
      <c r="AM216" s="40">
        <v>0.05</v>
      </c>
      <c r="AN216" s="40">
        <v>0.05</v>
      </c>
      <c r="AO216" s="116">
        <v>0</v>
      </c>
      <c r="AP216" s="6">
        <f t="shared" si="0"/>
        <v>0</v>
      </c>
      <c r="AQ216" s="115">
        <v>0</v>
      </c>
      <c r="AR216" s="6">
        <f t="shared" si="1"/>
        <v>0</v>
      </c>
      <c r="AS216" s="115" t="s">
        <v>573</v>
      </c>
      <c r="AT216" s="6">
        <f t="shared" si="25"/>
        <v>0</v>
      </c>
      <c r="AU216" s="115">
        <v>0</v>
      </c>
      <c r="AV216" s="1">
        <f t="shared" si="7"/>
        <v>0</v>
      </c>
      <c r="AW216" s="115">
        <v>0</v>
      </c>
      <c r="AX216" s="1">
        <f t="shared" si="30"/>
        <v>0</v>
      </c>
      <c r="AY216" s="5" t="s">
        <v>573</v>
      </c>
      <c r="AZ216" s="1">
        <f t="shared" si="9"/>
        <v>0</v>
      </c>
      <c r="BA216" s="5">
        <v>3300</v>
      </c>
      <c r="BB216" s="1">
        <f t="shared" si="10"/>
        <v>165</v>
      </c>
      <c r="BC216" s="5" t="s">
        <v>573</v>
      </c>
      <c r="BD216" s="1">
        <f t="shared" si="3"/>
        <v>0</v>
      </c>
      <c r="BE216" s="150" t="s">
        <v>573</v>
      </c>
      <c r="BF216" s="1">
        <f t="shared" si="26"/>
        <v>0</v>
      </c>
      <c r="BG216" s="150">
        <v>0</v>
      </c>
      <c r="BH216" s="1">
        <f t="shared" si="29"/>
        <v>0</v>
      </c>
      <c r="BI216" s="150">
        <v>3000</v>
      </c>
      <c r="BJ216" s="1">
        <f t="shared" si="27"/>
        <v>150</v>
      </c>
      <c r="BK216" s="156">
        <v>3000</v>
      </c>
      <c r="BL216" s="1">
        <f t="shared" si="31"/>
        <v>150</v>
      </c>
      <c r="BM216" s="142" t="s">
        <v>697</v>
      </c>
      <c r="BN216" s="136" t="s">
        <v>496</v>
      </c>
      <c r="BO216" s="139" t="s">
        <v>760</v>
      </c>
      <c r="BP216" s="137"/>
    </row>
    <row r="217" spans="1:68" ht="15.6" customHeight="1">
      <c r="A217" s="109" t="s">
        <v>751</v>
      </c>
      <c r="B217" s="122" t="s">
        <v>184</v>
      </c>
      <c r="C217" s="301"/>
      <c r="D217" s="304"/>
      <c r="E217" s="304"/>
      <c r="F217" s="297"/>
      <c r="G217" s="78">
        <v>2016</v>
      </c>
      <c r="H217" s="105" t="s">
        <v>718</v>
      </c>
      <c r="I217" s="76" t="s">
        <v>196</v>
      </c>
      <c r="J217" s="102" t="s">
        <v>197</v>
      </c>
      <c r="K217" s="105" t="s">
        <v>769</v>
      </c>
      <c r="L217" s="105" t="s">
        <v>192</v>
      </c>
      <c r="M217" s="13" t="s">
        <v>193</v>
      </c>
      <c r="N217" s="13"/>
      <c r="O217" s="13"/>
      <c r="P217" s="13">
        <v>5.24</v>
      </c>
      <c r="Q217" s="13">
        <v>5.24</v>
      </c>
      <c r="R217" s="13">
        <v>5.24</v>
      </c>
      <c r="S217" s="13">
        <v>5.24</v>
      </c>
      <c r="T217" s="13">
        <v>5.24</v>
      </c>
      <c r="U217" s="13">
        <v>5.24</v>
      </c>
      <c r="V217" s="13">
        <v>5.24</v>
      </c>
      <c r="W217" s="13">
        <v>5.24</v>
      </c>
      <c r="X217" s="13">
        <v>5.24</v>
      </c>
      <c r="Y217" s="13">
        <v>5.24</v>
      </c>
      <c r="Z217" s="13">
        <v>5.24</v>
      </c>
      <c r="AA217" s="13">
        <v>5.24</v>
      </c>
      <c r="AB217" s="40">
        <v>0.05</v>
      </c>
      <c r="AC217" s="40">
        <v>0.05</v>
      </c>
      <c r="AD217" s="40">
        <v>0.05</v>
      </c>
      <c r="AE217" s="40">
        <v>0.05</v>
      </c>
      <c r="AF217" s="40">
        <v>0.05</v>
      </c>
      <c r="AG217" s="40">
        <v>0.05</v>
      </c>
      <c r="AH217" s="40">
        <v>0.05</v>
      </c>
      <c r="AI217" s="40">
        <v>0.05</v>
      </c>
      <c r="AJ217" s="40">
        <v>0.05</v>
      </c>
      <c r="AK217" s="40">
        <v>0.05</v>
      </c>
      <c r="AL217" s="40">
        <v>0.05</v>
      </c>
      <c r="AM217" s="40">
        <v>0.05</v>
      </c>
      <c r="AN217" s="40">
        <v>0.05</v>
      </c>
      <c r="AO217" s="116">
        <v>0</v>
      </c>
      <c r="AP217" s="6">
        <f t="shared" si="0"/>
        <v>0</v>
      </c>
      <c r="AQ217" s="115">
        <v>0</v>
      </c>
      <c r="AR217" s="6">
        <f t="shared" si="1"/>
        <v>0</v>
      </c>
      <c r="AS217" s="115" t="s">
        <v>573</v>
      </c>
      <c r="AT217" s="6">
        <f t="shared" si="25"/>
        <v>0</v>
      </c>
      <c r="AU217" s="115">
        <v>0</v>
      </c>
      <c r="AV217" s="1">
        <f t="shared" si="7"/>
        <v>0</v>
      </c>
      <c r="AW217" s="115">
        <v>0</v>
      </c>
      <c r="AX217" s="1">
        <f t="shared" si="30"/>
        <v>0</v>
      </c>
      <c r="AY217" s="5" t="s">
        <v>573</v>
      </c>
      <c r="AZ217" s="1">
        <f t="shared" si="9"/>
        <v>0</v>
      </c>
      <c r="BA217" s="5">
        <v>3000</v>
      </c>
      <c r="BB217" s="1">
        <f t="shared" si="10"/>
        <v>150</v>
      </c>
      <c r="BC217" s="5" t="s">
        <v>573</v>
      </c>
      <c r="BD217" s="1">
        <f t="shared" si="3"/>
        <v>0</v>
      </c>
      <c r="BE217" s="150">
        <v>0</v>
      </c>
      <c r="BF217" s="1">
        <f t="shared" si="26"/>
        <v>0</v>
      </c>
      <c r="BG217" s="150">
        <v>0</v>
      </c>
      <c r="BH217" s="1">
        <f t="shared" si="29"/>
        <v>0</v>
      </c>
      <c r="BI217" s="150">
        <v>9000</v>
      </c>
      <c r="BJ217" s="1">
        <f t="shared" si="27"/>
        <v>450</v>
      </c>
      <c r="BK217" s="156" t="s">
        <v>573</v>
      </c>
      <c r="BL217" s="1">
        <f t="shared" si="31"/>
        <v>0</v>
      </c>
      <c r="BM217" s="142" t="s">
        <v>697</v>
      </c>
      <c r="BN217" s="136" t="s">
        <v>32</v>
      </c>
      <c r="BO217" s="139" t="s">
        <v>760</v>
      </c>
      <c r="BP217" s="137"/>
    </row>
    <row r="218" spans="1:68" ht="15.6" customHeight="1">
      <c r="A218" s="109" t="s">
        <v>751</v>
      </c>
      <c r="B218" s="122" t="s">
        <v>184</v>
      </c>
      <c r="C218" s="301"/>
      <c r="D218" s="304"/>
      <c r="E218" s="304"/>
      <c r="F218" s="297"/>
      <c r="G218" s="78">
        <v>2016</v>
      </c>
      <c r="H218" s="105" t="s">
        <v>718</v>
      </c>
      <c r="I218" s="76" t="s">
        <v>196</v>
      </c>
      <c r="J218" s="102" t="s">
        <v>197</v>
      </c>
      <c r="K218" s="105" t="s">
        <v>770</v>
      </c>
      <c r="L218" s="105" t="s">
        <v>192</v>
      </c>
      <c r="M218" s="13" t="s">
        <v>193</v>
      </c>
      <c r="N218" s="13"/>
      <c r="O218" s="13"/>
      <c r="P218" s="13">
        <v>7.45</v>
      </c>
      <c r="Q218" s="13">
        <v>7.45</v>
      </c>
      <c r="R218" s="13">
        <v>7.45</v>
      </c>
      <c r="S218" s="13">
        <v>7.45</v>
      </c>
      <c r="T218" s="13">
        <v>7.45</v>
      </c>
      <c r="U218" s="13">
        <v>7.45</v>
      </c>
      <c r="V218" s="13">
        <v>7.45</v>
      </c>
      <c r="W218" s="13">
        <v>7.45</v>
      </c>
      <c r="X218" s="13">
        <v>7.45</v>
      </c>
      <c r="Y218" s="13">
        <v>7.45</v>
      </c>
      <c r="Z218" s="13">
        <v>7.45</v>
      </c>
      <c r="AA218" s="13">
        <v>7.45</v>
      </c>
      <c r="AB218" s="40">
        <v>0.05</v>
      </c>
      <c r="AC218" s="40">
        <v>0.05</v>
      </c>
      <c r="AD218" s="40">
        <v>0.05</v>
      </c>
      <c r="AE218" s="40">
        <v>0.05</v>
      </c>
      <c r="AF218" s="40">
        <v>0.05</v>
      </c>
      <c r="AG218" s="40">
        <v>0.05</v>
      </c>
      <c r="AH218" s="40">
        <v>0.05</v>
      </c>
      <c r="AI218" s="40">
        <v>0.05</v>
      </c>
      <c r="AJ218" s="40">
        <v>0.05</v>
      </c>
      <c r="AK218" s="40">
        <v>0.05</v>
      </c>
      <c r="AL218" s="40">
        <v>0.05</v>
      </c>
      <c r="AM218" s="40">
        <v>0.05</v>
      </c>
      <c r="AN218" s="40">
        <v>0.05</v>
      </c>
      <c r="AO218" s="116">
        <v>0</v>
      </c>
      <c r="AP218" s="6">
        <f t="shared" si="0"/>
        <v>0</v>
      </c>
      <c r="AQ218" s="115">
        <v>0</v>
      </c>
      <c r="AR218" s="6">
        <f t="shared" si="1"/>
        <v>0</v>
      </c>
      <c r="AS218" s="115" t="s">
        <v>573</v>
      </c>
      <c r="AT218" s="6">
        <f t="shared" si="25"/>
        <v>0</v>
      </c>
      <c r="AU218" s="115">
        <v>0</v>
      </c>
      <c r="AV218" s="1">
        <f t="shared" si="7"/>
        <v>0</v>
      </c>
      <c r="AW218" s="115">
        <v>0</v>
      </c>
      <c r="AX218" s="1">
        <f t="shared" si="30"/>
        <v>0</v>
      </c>
      <c r="AY218" s="5" t="s">
        <v>573</v>
      </c>
      <c r="AZ218" s="1">
        <f t="shared" si="9"/>
        <v>0</v>
      </c>
      <c r="BA218" s="5">
        <v>7000</v>
      </c>
      <c r="BB218" s="1">
        <f t="shared" si="10"/>
        <v>350</v>
      </c>
      <c r="BC218" s="5" t="s">
        <v>573</v>
      </c>
      <c r="BD218" s="1">
        <f t="shared" si="3"/>
        <v>0</v>
      </c>
      <c r="BE218" s="150">
        <v>3000</v>
      </c>
      <c r="BF218" s="1">
        <f t="shared" si="26"/>
        <v>150</v>
      </c>
      <c r="BG218" s="150" t="s">
        <v>573</v>
      </c>
      <c r="BH218" s="1">
        <f t="shared" si="29"/>
        <v>0</v>
      </c>
      <c r="BI218" s="150">
        <v>3000</v>
      </c>
      <c r="BJ218" s="1">
        <f t="shared" si="27"/>
        <v>150</v>
      </c>
      <c r="BK218" s="156">
        <v>3000</v>
      </c>
      <c r="BL218" s="1">
        <f t="shared" si="31"/>
        <v>150</v>
      </c>
      <c r="BM218" s="142" t="s">
        <v>771</v>
      </c>
      <c r="BN218" s="136" t="s">
        <v>32</v>
      </c>
      <c r="BO218" s="139" t="s">
        <v>760</v>
      </c>
      <c r="BP218" s="151" t="s">
        <v>772</v>
      </c>
    </row>
    <row r="219" spans="1:68" ht="15.6" customHeight="1">
      <c r="A219" s="109" t="s">
        <v>751</v>
      </c>
      <c r="B219" s="122" t="s">
        <v>184</v>
      </c>
      <c r="C219" s="301"/>
      <c r="D219" s="304"/>
      <c r="E219" s="304"/>
      <c r="F219" s="297"/>
      <c r="G219" s="78">
        <v>2016</v>
      </c>
      <c r="H219" s="105" t="s">
        <v>718</v>
      </c>
      <c r="I219" s="76" t="s">
        <v>196</v>
      </c>
      <c r="J219" s="102" t="s">
        <v>197</v>
      </c>
      <c r="K219" s="105" t="s">
        <v>770</v>
      </c>
      <c r="L219" s="105" t="s">
        <v>192</v>
      </c>
      <c r="M219" s="13" t="s">
        <v>193</v>
      </c>
      <c r="N219" s="13"/>
      <c r="O219" s="13"/>
      <c r="P219" s="13">
        <v>7.45</v>
      </c>
      <c r="Q219" s="13">
        <v>7.45</v>
      </c>
      <c r="R219" s="13">
        <v>7.45</v>
      </c>
      <c r="S219" s="13">
        <v>7.45</v>
      </c>
      <c r="T219" s="13">
        <v>7.45</v>
      </c>
      <c r="U219" s="13">
        <v>7.45</v>
      </c>
      <c r="V219" s="13">
        <v>7.45</v>
      </c>
      <c r="W219" s="13">
        <v>7.45</v>
      </c>
      <c r="X219" s="13">
        <v>7.45</v>
      </c>
      <c r="Y219" s="13">
        <v>7.45</v>
      </c>
      <c r="Z219" s="13">
        <v>7.45</v>
      </c>
      <c r="AA219" s="13">
        <v>7.45</v>
      </c>
      <c r="AB219" s="40">
        <v>0.05</v>
      </c>
      <c r="AC219" s="40">
        <v>0.05</v>
      </c>
      <c r="AD219" s="40">
        <v>0.05</v>
      </c>
      <c r="AE219" s="40">
        <v>0.05</v>
      </c>
      <c r="AF219" s="40">
        <v>0.05</v>
      </c>
      <c r="AG219" s="40">
        <v>0.05</v>
      </c>
      <c r="AH219" s="40">
        <v>0.05</v>
      </c>
      <c r="AI219" s="40">
        <v>0.05</v>
      </c>
      <c r="AJ219" s="40">
        <v>0.05</v>
      </c>
      <c r="AK219" s="40">
        <v>0.05</v>
      </c>
      <c r="AL219" s="40">
        <v>0.05</v>
      </c>
      <c r="AM219" s="40">
        <v>0.05</v>
      </c>
      <c r="AN219" s="40">
        <v>0.05</v>
      </c>
      <c r="AO219" s="116">
        <v>0</v>
      </c>
      <c r="AP219" s="6">
        <f t="shared" si="0"/>
        <v>0</v>
      </c>
      <c r="AQ219" s="115">
        <v>0</v>
      </c>
      <c r="AR219" s="6">
        <f t="shared" si="1"/>
        <v>0</v>
      </c>
      <c r="AS219" s="115" t="s">
        <v>573</v>
      </c>
      <c r="AT219" s="6">
        <f t="shared" si="25"/>
        <v>0</v>
      </c>
      <c r="AU219" s="115">
        <v>0</v>
      </c>
      <c r="AV219" s="1">
        <f t="shared" si="7"/>
        <v>0</v>
      </c>
      <c r="AW219" s="115">
        <v>0</v>
      </c>
      <c r="AX219" s="1">
        <f t="shared" si="30"/>
        <v>0</v>
      </c>
      <c r="AY219" s="5" t="s">
        <v>573</v>
      </c>
      <c r="AZ219" s="1">
        <f t="shared" si="9"/>
        <v>0</v>
      </c>
      <c r="BA219" s="5">
        <v>4000</v>
      </c>
      <c r="BB219" s="1">
        <f t="shared" si="10"/>
        <v>200</v>
      </c>
      <c r="BC219" s="5" t="s">
        <v>573</v>
      </c>
      <c r="BD219" s="1">
        <f t="shared" si="3"/>
        <v>0</v>
      </c>
      <c r="BE219" s="150">
        <v>0</v>
      </c>
      <c r="BF219" s="1">
        <f t="shared" si="26"/>
        <v>0</v>
      </c>
      <c r="BG219" s="150">
        <v>9000</v>
      </c>
      <c r="BH219" s="1">
        <f t="shared" si="29"/>
        <v>450</v>
      </c>
      <c r="BI219" s="150">
        <v>3000</v>
      </c>
      <c r="BJ219" s="1">
        <f t="shared" si="27"/>
        <v>150</v>
      </c>
      <c r="BK219" s="156">
        <v>3000</v>
      </c>
      <c r="BL219" s="1">
        <f t="shared" si="31"/>
        <v>150</v>
      </c>
      <c r="BM219" s="142" t="s">
        <v>771</v>
      </c>
      <c r="BN219" s="136" t="s">
        <v>496</v>
      </c>
      <c r="BO219" s="139" t="s">
        <v>760</v>
      </c>
      <c r="BP219" s="154"/>
    </row>
    <row r="220" spans="1:68" ht="15.6" customHeight="1">
      <c r="A220" s="109" t="s">
        <v>751</v>
      </c>
      <c r="B220" s="122" t="s">
        <v>184</v>
      </c>
      <c r="C220" s="301"/>
      <c r="D220" s="304"/>
      <c r="E220" s="304"/>
      <c r="F220" s="297"/>
      <c r="G220" s="78">
        <v>2016</v>
      </c>
      <c r="H220" s="105" t="s">
        <v>718</v>
      </c>
      <c r="I220" s="76" t="s">
        <v>196</v>
      </c>
      <c r="J220" s="102" t="s">
        <v>197</v>
      </c>
      <c r="K220" s="105" t="s">
        <v>773</v>
      </c>
      <c r="L220" s="105" t="s">
        <v>192</v>
      </c>
      <c r="M220" s="13" t="s">
        <v>193</v>
      </c>
      <c r="N220" s="13"/>
      <c r="O220" s="13"/>
      <c r="P220" s="13">
        <v>7.45</v>
      </c>
      <c r="Q220" s="13">
        <v>7.45</v>
      </c>
      <c r="R220" s="13">
        <v>7.45</v>
      </c>
      <c r="S220" s="13">
        <v>7.45</v>
      </c>
      <c r="T220" s="13">
        <v>7.45</v>
      </c>
      <c r="U220" s="13">
        <v>7.45</v>
      </c>
      <c r="V220" s="13">
        <v>7.45</v>
      </c>
      <c r="W220" s="13">
        <v>7.45</v>
      </c>
      <c r="X220" s="13">
        <v>7.45</v>
      </c>
      <c r="Y220" s="13">
        <v>7.45</v>
      </c>
      <c r="Z220" s="13">
        <v>7.45</v>
      </c>
      <c r="AA220" s="13">
        <v>7.45</v>
      </c>
      <c r="AB220" s="40">
        <v>0.05</v>
      </c>
      <c r="AC220" s="40">
        <v>0.05</v>
      </c>
      <c r="AD220" s="40">
        <v>0.05</v>
      </c>
      <c r="AE220" s="40">
        <v>0.05</v>
      </c>
      <c r="AF220" s="40">
        <v>0.05</v>
      </c>
      <c r="AG220" s="40">
        <v>0.05</v>
      </c>
      <c r="AH220" s="40">
        <v>0.05</v>
      </c>
      <c r="AI220" s="40">
        <v>0.05</v>
      </c>
      <c r="AJ220" s="40">
        <v>0.05</v>
      </c>
      <c r="AK220" s="40">
        <v>0.05</v>
      </c>
      <c r="AL220" s="40">
        <v>0.05</v>
      </c>
      <c r="AM220" s="40">
        <v>0.05</v>
      </c>
      <c r="AN220" s="40">
        <v>0.05</v>
      </c>
      <c r="AO220" s="116">
        <v>0</v>
      </c>
      <c r="AP220" s="6">
        <f t="shared" si="0"/>
        <v>0</v>
      </c>
      <c r="AQ220" s="115">
        <v>0</v>
      </c>
      <c r="AR220" s="6">
        <f t="shared" si="1"/>
        <v>0</v>
      </c>
      <c r="AS220" s="115" t="s">
        <v>573</v>
      </c>
      <c r="AT220" s="6">
        <f t="shared" si="25"/>
        <v>0</v>
      </c>
      <c r="AU220" s="115">
        <v>0</v>
      </c>
      <c r="AV220" s="1">
        <f t="shared" si="7"/>
        <v>0</v>
      </c>
      <c r="AW220" s="115">
        <v>0</v>
      </c>
      <c r="AX220" s="1">
        <f t="shared" si="30"/>
        <v>0</v>
      </c>
      <c r="AY220" s="5" t="s">
        <v>573</v>
      </c>
      <c r="AZ220" s="1">
        <f t="shared" si="9"/>
        <v>0</v>
      </c>
      <c r="BA220" s="5" t="s">
        <v>573</v>
      </c>
      <c r="BB220" s="1">
        <f t="shared" si="10"/>
        <v>0</v>
      </c>
      <c r="BC220" s="5" t="s">
        <v>573</v>
      </c>
      <c r="BD220" s="1">
        <f t="shared" si="3"/>
        <v>0</v>
      </c>
      <c r="BE220" s="150">
        <v>3000</v>
      </c>
      <c r="BF220" s="1">
        <f t="shared" si="26"/>
        <v>150</v>
      </c>
      <c r="BG220" s="150" t="s">
        <v>573</v>
      </c>
      <c r="BH220" s="1">
        <f t="shared" si="29"/>
        <v>0</v>
      </c>
      <c r="BI220" s="150">
        <v>3000</v>
      </c>
      <c r="BJ220" s="1">
        <f t="shared" si="27"/>
        <v>150</v>
      </c>
      <c r="BK220" s="156" t="s">
        <v>573</v>
      </c>
      <c r="BL220" s="1">
        <f t="shared" si="31"/>
        <v>0</v>
      </c>
      <c r="BM220" s="142" t="s">
        <v>774</v>
      </c>
      <c r="BN220" s="136" t="s">
        <v>32</v>
      </c>
      <c r="BO220" s="139" t="s">
        <v>760</v>
      </c>
      <c r="BP220" s="137"/>
    </row>
    <row r="221" spans="1:68" ht="15.6" customHeight="1">
      <c r="A221" s="109" t="s">
        <v>751</v>
      </c>
      <c r="B221" s="122" t="s">
        <v>184</v>
      </c>
      <c r="C221" s="301"/>
      <c r="D221" s="304"/>
      <c r="E221" s="304"/>
      <c r="F221" s="297"/>
      <c r="G221" s="78">
        <v>2016</v>
      </c>
      <c r="H221" s="105" t="s">
        <v>718</v>
      </c>
      <c r="I221" s="76" t="s">
        <v>196</v>
      </c>
      <c r="J221" s="102" t="s">
        <v>197</v>
      </c>
      <c r="K221" s="105" t="s">
        <v>773</v>
      </c>
      <c r="L221" s="105" t="s">
        <v>192</v>
      </c>
      <c r="M221" s="13" t="s">
        <v>193</v>
      </c>
      <c r="N221" s="13"/>
      <c r="O221" s="13"/>
      <c r="P221" s="13">
        <v>7.45</v>
      </c>
      <c r="Q221" s="13">
        <v>7.45</v>
      </c>
      <c r="R221" s="13">
        <v>7.45</v>
      </c>
      <c r="S221" s="13">
        <v>7.45</v>
      </c>
      <c r="T221" s="13">
        <v>7.45</v>
      </c>
      <c r="U221" s="13">
        <v>7.45</v>
      </c>
      <c r="V221" s="13">
        <v>7.45</v>
      </c>
      <c r="W221" s="13">
        <v>7.45</v>
      </c>
      <c r="X221" s="13">
        <v>7.45</v>
      </c>
      <c r="Y221" s="13">
        <v>7.45</v>
      </c>
      <c r="Z221" s="13">
        <v>7.45</v>
      </c>
      <c r="AA221" s="13">
        <v>7.45</v>
      </c>
      <c r="AB221" s="40">
        <v>0.05</v>
      </c>
      <c r="AC221" s="40">
        <v>0.05</v>
      </c>
      <c r="AD221" s="40">
        <v>0.05</v>
      </c>
      <c r="AE221" s="40">
        <v>0.05</v>
      </c>
      <c r="AF221" s="40">
        <v>0.05</v>
      </c>
      <c r="AG221" s="40">
        <v>0.05</v>
      </c>
      <c r="AH221" s="40">
        <v>0.05</v>
      </c>
      <c r="AI221" s="40">
        <v>0.05</v>
      </c>
      <c r="AJ221" s="40">
        <v>0.05</v>
      </c>
      <c r="AK221" s="40">
        <v>0.05</v>
      </c>
      <c r="AL221" s="40">
        <v>0.05</v>
      </c>
      <c r="AM221" s="40">
        <v>0.05</v>
      </c>
      <c r="AN221" s="40">
        <v>0.05</v>
      </c>
      <c r="AO221" s="116">
        <v>0</v>
      </c>
      <c r="AP221" s="6">
        <f t="shared" si="0"/>
        <v>0</v>
      </c>
      <c r="AQ221" s="115">
        <v>0</v>
      </c>
      <c r="AR221" s="6">
        <f t="shared" si="1"/>
        <v>0</v>
      </c>
      <c r="AS221" s="115" t="s">
        <v>573</v>
      </c>
      <c r="AT221" s="6">
        <f t="shared" si="25"/>
        <v>0</v>
      </c>
      <c r="AU221" s="115">
        <v>0</v>
      </c>
      <c r="AV221" s="1">
        <f t="shared" si="7"/>
        <v>0</v>
      </c>
      <c r="AW221" s="115">
        <v>0</v>
      </c>
      <c r="AX221" s="1">
        <f t="shared" si="30"/>
        <v>0</v>
      </c>
      <c r="AY221" s="5" t="s">
        <v>573</v>
      </c>
      <c r="AZ221" s="1">
        <f t="shared" si="9"/>
        <v>0</v>
      </c>
      <c r="BA221" s="5">
        <v>4200</v>
      </c>
      <c r="BB221" s="1">
        <f t="shared" si="10"/>
        <v>210</v>
      </c>
      <c r="BC221" s="5" t="s">
        <v>573</v>
      </c>
      <c r="BD221" s="1">
        <f t="shared" si="3"/>
        <v>0</v>
      </c>
      <c r="BE221" s="150">
        <v>0</v>
      </c>
      <c r="BF221" s="1">
        <f t="shared" si="26"/>
        <v>0</v>
      </c>
      <c r="BG221" s="150">
        <v>3000</v>
      </c>
      <c r="BH221" s="1">
        <f t="shared" si="29"/>
        <v>150</v>
      </c>
      <c r="BI221" s="150">
        <v>0</v>
      </c>
      <c r="BJ221" s="1">
        <f t="shared" si="27"/>
        <v>0</v>
      </c>
      <c r="BK221" s="156">
        <v>3000</v>
      </c>
      <c r="BL221" s="1">
        <f t="shared" si="31"/>
        <v>150</v>
      </c>
      <c r="BM221" s="142" t="s">
        <v>774</v>
      </c>
      <c r="BN221" s="136" t="s">
        <v>496</v>
      </c>
      <c r="BO221" s="139" t="s">
        <v>760</v>
      </c>
      <c r="BP221" s="137"/>
    </row>
    <row r="222" spans="1:68" ht="15.6" customHeight="1">
      <c r="A222" s="109" t="s">
        <v>751</v>
      </c>
      <c r="B222" s="122" t="s">
        <v>184</v>
      </c>
      <c r="C222" s="301"/>
      <c r="D222" s="304"/>
      <c r="E222" s="304"/>
      <c r="F222" s="297"/>
      <c r="G222" s="78">
        <v>2016</v>
      </c>
      <c r="H222" s="105" t="s">
        <v>718</v>
      </c>
      <c r="I222" s="76" t="s">
        <v>196</v>
      </c>
      <c r="J222" s="102" t="s">
        <v>197</v>
      </c>
      <c r="K222" s="105" t="s">
        <v>249</v>
      </c>
      <c r="L222" s="105" t="s">
        <v>192</v>
      </c>
      <c r="M222" s="13" t="s">
        <v>193</v>
      </c>
      <c r="N222" s="13">
        <v>5.24</v>
      </c>
      <c r="O222" s="13">
        <v>5.24</v>
      </c>
      <c r="P222" s="13">
        <v>5.24</v>
      </c>
      <c r="Q222" s="13">
        <v>5.24</v>
      </c>
      <c r="R222" s="13">
        <v>5.24</v>
      </c>
      <c r="S222" s="13">
        <v>5.24</v>
      </c>
      <c r="T222" s="13">
        <v>5.24</v>
      </c>
      <c r="U222" s="13">
        <v>5.24</v>
      </c>
      <c r="V222" s="13">
        <v>5.24</v>
      </c>
      <c r="W222" s="13">
        <v>5.24</v>
      </c>
      <c r="X222" s="13">
        <v>5.24</v>
      </c>
      <c r="Y222" s="13">
        <v>5.24</v>
      </c>
      <c r="Z222" s="13">
        <v>5.24</v>
      </c>
      <c r="AA222" s="13">
        <v>5.24</v>
      </c>
      <c r="AB222" s="40">
        <v>0.05</v>
      </c>
      <c r="AC222" s="40">
        <v>0.05</v>
      </c>
      <c r="AD222" s="40">
        <v>0.05</v>
      </c>
      <c r="AE222" s="40">
        <v>0.05</v>
      </c>
      <c r="AF222" s="40">
        <v>0.05</v>
      </c>
      <c r="AG222" s="40">
        <v>0.05</v>
      </c>
      <c r="AH222" s="40">
        <v>0.05</v>
      </c>
      <c r="AI222" s="40">
        <v>0.05</v>
      </c>
      <c r="AJ222" s="40">
        <v>0.05</v>
      </c>
      <c r="AK222" s="40">
        <v>0.05</v>
      </c>
      <c r="AL222" s="40">
        <v>0.05</v>
      </c>
      <c r="AM222" s="40">
        <v>0.05</v>
      </c>
      <c r="AN222" s="40">
        <v>0.05</v>
      </c>
      <c r="AO222" s="116">
        <v>0</v>
      </c>
      <c r="AP222" s="6">
        <f t="shared" si="0"/>
        <v>0</v>
      </c>
      <c r="AQ222" s="115">
        <v>10800</v>
      </c>
      <c r="AR222" s="6">
        <f t="shared" si="1"/>
        <v>540</v>
      </c>
      <c r="AS222" s="115">
        <v>18000</v>
      </c>
      <c r="AT222" s="6">
        <f t="shared" si="25"/>
        <v>900</v>
      </c>
      <c r="AU222" s="115">
        <v>0</v>
      </c>
      <c r="AV222" s="1">
        <f t="shared" si="7"/>
        <v>0</v>
      </c>
      <c r="AW222" s="115">
        <v>0</v>
      </c>
      <c r="AX222" s="1">
        <f t="shared" si="30"/>
        <v>0</v>
      </c>
      <c r="AY222" s="5" t="s">
        <v>573</v>
      </c>
      <c r="AZ222" s="1">
        <f t="shared" si="9"/>
        <v>0</v>
      </c>
      <c r="BA222" s="5" t="s">
        <v>573</v>
      </c>
      <c r="BB222" s="1">
        <f t="shared" si="10"/>
        <v>0</v>
      </c>
      <c r="BC222" s="5" t="s">
        <v>573</v>
      </c>
      <c r="BD222" s="1">
        <f t="shared" si="3"/>
        <v>0</v>
      </c>
      <c r="BE222" s="150">
        <v>10800</v>
      </c>
      <c r="BF222" s="1">
        <f t="shared" si="26"/>
        <v>540</v>
      </c>
      <c r="BG222" s="150">
        <v>7200</v>
      </c>
      <c r="BH222" s="1">
        <f t="shared" si="29"/>
        <v>360</v>
      </c>
      <c r="BI222" s="150">
        <v>3600</v>
      </c>
      <c r="BJ222" s="1">
        <f t="shared" si="27"/>
        <v>180</v>
      </c>
      <c r="BK222" s="156">
        <v>3600</v>
      </c>
      <c r="BL222" s="1">
        <f t="shared" si="31"/>
        <v>180</v>
      </c>
      <c r="BM222" s="142" t="s">
        <v>675</v>
      </c>
      <c r="BN222" s="136" t="s">
        <v>493</v>
      </c>
      <c r="BO222" s="139" t="s">
        <v>760</v>
      </c>
      <c r="BP222" s="137">
        <v>46022</v>
      </c>
    </row>
    <row r="223" spans="1:68" ht="15.6" customHeight="1">
      <c r="A223" s="109" t="s">
        <v>751</v>
      </c>
      <c r="B223" s="122" t="s">
        <v>184</v>
      </c>
      <c r="C223" s="301"/>
      <c r="D223" s="304"/>
      <c r="E223" s="304"/>
      <c r="F223" s="297"/>
      <c r="G223" s="78">
        <v>2016</v>
      </c>
      <c r="H223" s="105" t="s">
        <v>718</v>
      </c>
      <c r="I223" s="76" t="s">
        <v>196</v>
      </c>
      <c r="J223" s="102" t="s">
        <v>197</v>
      </c>
      <c r="K223" s="105" t="s">
        <v>249</v>
      </c>
      <c r="L223" s="105" t="s">
        <v>192</v>
      </c>
      <c r="M223" s="13" t="s">
        <v>193</v>
      </c>
      <c r="N223" s="13">
        <v>5.24</v>
      </c>
      <c r="O223" s="13">
        <v>5.24</v>
      </c>
      <c r="P223" s="13">
        <v>5.24</v>
      </c>
      <c r="Q223" s="13">
        <v>5.24</v>
      </c>
      <c r="R223" s="13">
        <v>5.24</v>
      </c>
      <c r="S223" s="13">
        <v>5.24</v>
      </c>
      <c r="T223" s="13">
        <v>5.24</v>
      </c>
      <c r="U223" s="13">
        <v>5.24</v>
      </c>
      <c r="V223" s="13">
        <v>5.24</v>
      </c>
      <c r="W223" s="13">
        <v>5.24</v>
      </c>
      <c r="X223" s="13">
        <v>5.24</v>
      </c>
      <c r="Y223" s="13">
        <v>5.24</v>
      </c>
      <c r="Z223" s="13">
        <v>5.24</v>
      </c>
      <c r="AA223" s="13">
        <v>5.24</v>
      </c>
      <c r="AB223" s="40">
        <v>0.05</v>
      </c>
      <c r="AC223" s="40">
        <v>0.05</v>
      </c>
      <c r="AD223" s="40">
        <v>0.05</v>
      </c>
      <c r="AE223" s="40">
        <v>0.05</v>
      </c>
      <c r="AF223" s="40">
        <v>0.05</v>
      </c>
      <c r="AG223" s="40">
        <v>0.05</v>
      </c>
      <c r="AH223" s="40">
        <v>0.05</v>
      </c>
      <c r="AI223" s="40">
        <v>0.05</v>
      </c>
      <c r="AJ223" s="40">
        <v>0.05</v>
      </c>
      <c r="AK223" s="40">
        <v>0.05</v>
      </c>
      <c r="AL223" s="40">
        <v>0.05</v>
      </c>
      <c r="AM223" s="40">
        <v>0.05</v>
      </c>
      <c r="AN223" s="40">
        <v>0.05</v>
      </c>
      <c r="AO223" s="116">
        <v>0</v>
      </c>
      <c r="AP223" s="6">
        <f t="shared" si="0"/>
        <v>0</v>
      </c>
      <c r="AQ223" s="116">
        <v>0</v>
      </c>
      <c r="AR223" s="6">
        <f t="shared" si="1"/>
        <v>0</v>
      </c>
      <c r="AS223" s="115" t="s">
        <v>573</v>
      </c>
      <c r="AT223" s="6">
        <f t="shared" si="25"/>
        <v>0</v>
      </c>
      <c r="AU223" s="115">
        <v>0</v>
      </c>
      <c r="AV223" s="1">
        <f t="shared" si="7"/>
        <v>0</v>
      </c>
      <c r="AW223" s="115">
        <v>0</v>
      </c>
      <c r="AX223" s="1">
        <f t="shared" si="30"/>
        <v>0</v>
      </c>
      <c r="AY223" s="5" t="s">
        <v>573</v>
      </c>
      <c r="AZ223" s="1">
        <f t="shared" si="9"/>
        <v>0</v>
      </c>
      <c r="BA223" s="5" t="s">
        <v>573</v>
      </c>
      <c r="BB223" s="1">
        <f t="shared" si="10"/>
        <v>0</v>
      </c>
      <c r="BC223" s="5" t="s">
        <v>573</v>
      </c>
      <c r="BD223" s="1">
        <f t="shared" si="3"/>
        <v>0</v>
      </c>
      <c r="BE223" s="150" t="s">
        <v>573</v>
      </c>
      <c r="BF223" s="1">
        <f t="shared" si="26"/>
        <v>0</v>
      </c>
      <c r="BG223" s="150" t="s">
        <v>573</v>
      </c>
      <c r="BH223" s="1">
        <f t="shared" si="29"/>
        <v>0</v>
      </c>
      <c r="BI223" s="150" t="s">
        <v>573</v>
      </c>
      <c r="BJ223" s="1">
        <f t="shared" si="27"/>
        <v>0</v>
      </c>
      <c r="BK223" s="156" t="s">
        <v>573</v>
      </c>
      <c r="BL223" s="1">
        <f t="shared" si="31"/>
        <v>0</v>
      </c>
      <c r="BM223" s="142" t="s">
        <v>675</v>
      </c>
      <c r="BN223" s="136" t="s">
        <v>32</v>
      </c>
      <c r="BO223" s="139" t="s">
        <v>760</v>
      </c>
      <c r="BP223" s="137">
        <v>45657</v>
      </c>
    </row>
    <row r="224" spans="1:68" ht="15.6" customHeight="1">
      <c r="A224" s="109" t="s">
        <v>751</v>
      </c>
      <c r="B224" s="122" t="s">
        <v>184</v>
      </c>
      <c r="C224" s="301"/>
      <c r="D224" s="304"/>
      <c r="E224" s="304"/>
      <c r="F224" s="297"/>
      <c r="G224" s="78">
        <v>2016</v>
      </c>
      <c r="H224" s="105" t="s">
        <v>718</v>
      </c>
      <c r="I224" s="76" t="s">
        <v>196</v>
      </c>
      <c r="J224" s="102" t="s">
        <v>197</v>
      </c>
      <c r="K224" s="105" t="s">
        <v>249</v>
      </c>
      <c r="L224" s="105" t="s">
        <v>192</v>
      </c>
      <c r="M224" s="13" t="s">
        <v>193</v>
      </c>
      <c r="N224" s="13">
        <v>5.24</v>
      </c>
      <c r="O224" s="13">
        <v>5.24</v>
      </c>
      <c r="P224" s="13">
        <v>5.24</v>
      </c>
      <c r="Q224" s="13">
        <v>5.24</v>
      </c>
      <c r="R224" s="13">
        <v>5.24</v>
      </c>
      <c r="S224" s="13">
        <v>5.24</v>
      </c>
      <c r="T224" s="13">
        <v>5.24</v>
      </c>
      <c r="U224" s="13">
        <v>5.24</v>
      </c>
      <c r="V224" s="13">
        <v>5.24</v>
      </c>
      <c r="W224" s="13">
        <v>5.24</v>
      </c>
      <c r="X224" s="13">
        <v>5.24</v>
      </c>
      <c r="Y224" s="13">
        <v>5.24</v>
      </c>
      <c r="Z224" s="13">
        <v>5.24</v>
      </c>
      <c r="AA224" s="13">
        <v>5.24</v>
      </c>
      <c r="AB224" s="40">
        <v>0.05</v>
      </c>
      <c r="AC224" s="40">
        <v>0.05</v>
      </c>
      <c r="AD224" s="40">
        <v>0.05</v>
      </c>
      <c r="AE224" s="40">
        <v>0.05</v>
      </c>
      <c r="AF224" s="40">
        <v>0.05</v>
      </c>
      <c r="AG224" s="40">
        <v>0.05</v>
      </c>
      <c r="AH224" s="40">
        <v>0.05</v>
      </c>
      <c r="AI224" s="40">
        <v>0.05</v>
      </c>
      <c r="AJ224" s="40">
        <v>0.05</v>
      </c>
      <c r="AK224" s="40">
        <v>0.05</v>
      </c>
      <c r="AL224" s="40">
        <v>0.05</v>
      </c>
      <c r="AM224" s="40">
        <v>0.05</v>
      </c>
      <c r="AN224" s="40">
        <v>0.05</v>
      </c>
      <c r="AO224" s="116">
        <v>0</v>
      </c>
      <c r="AP224" s="6">
        <f t="shared" si="0"/>
        <v>0</v>
      </c>
      <c r="AQ224" s="116">
        <v>0</v>
      </c>
      <c r="AR224" s="6">
        <f t="shared" si="1"/>
        <v>0</v>
      </c>
      <c r="AS224" s="115" t="s">
        <v>573</v>
      </c>
      <c r="AT224" s="6">
        <f t="shared" si="25"/>
        <v>0</v>
      </c>
      <c r="AU224" s="115">
        <v>0</v>
      </c>
      <c r="AV224" s="1">
        <f t="shared" si="7"/>
        <v>0</v>
      </c>
      <c r="AW224" s="115">
        <v>0</v>
      </c>
      <c r="AX224" s="1">
        <f t="shared" si="30"/>
        <v>0</v>
      </c>
      <c r="AY224" s="5" t="s">
        <v>573</v>
      </c>
      <c r="AZ224" s="1">
        <f t="shared" si="9"/>
        <v>0</v>
      </c>
      <c r="BA224" s="5" t="s">
        <v>573</v>
      </c>
      <c r="BB224" s="1">
        <f t="shared" si="10"/>
        <v>0</v>
      </c>
      <c r="BC224" s="5" t="s">
        <v>573</v>
      </c>
      <c r="BD224" s="1">
        <f t="shared" si="3"/>
        <v>0</v>
      </c>
      <c r="BE224" s="150" t="s">
        <v>573</v>
      </c>
      <c r="BF224" s="1">
        <f t="shared" si="26"/>
        <v>0</v>
      </c>
      <c r="BG224" s="150" t="s">
        <v>573</v>
      </c>
      <c r="BH224" s="1">
        <f t="shared" si="29"/>
        <v>0</v>
      </c>
      <c r="BI224" s="150" t="s">
        <v>573</v>
      </c>
      <c r="BJ224" s="1">
        <f t="shared" si="27"/>
        <v>0</v>
      </c>
      <c r="BK224" s="156" t="s">
        <v>573</v>
      </c>
      <c r="BL224" s="1">
        <f t="shared" si="31"/>
        <v>0</v>
      </c>
      <c r="BM224" s="142" t="s">
        <v>675</v>
      </c>
      <c r="BN224" s="136" t="s">
        <v>496</v>
      </c>
      <c r="BO224" s="139" t="s">
        <v>760</v>
      </c>
      <c r="BP224" s="137">
        <v>45657</v>
      </c>
    </row>
    <row r="225" spans="1:68" ht="15.6" customHeight="1">
      <c r="A225" s="109" t="s">
        <v>751</v>
      </c>
      <c r="B225" s="122" t="s">
        <v>184</v>
      </c>
      <c r="C225" s="301"/>
      <c r="D225" s="304"/>
      <c r="E225" s="304"/>
      <c r="F225" s="297"/>
      <c r="G225" s="78">
        <v>2016</v>
      </c>
      <c r="H225" s="105" t="str">
        <f>_xlfn.XLOOKUP(BM225,'[5]Package breakdown0503'!$F:$F,'[5]Package breakdown0503'!$B:$B)</f>
        <v>Gadget</v>
      </c>
      <c r="I225" s="76" t="s">
        <v>196</v>
      </c>
      <c r="J225" s="103" t="s">
        <v>197</v>
      </c>
      <c r="K225" s="105" t="s">
        <v>237</v>
      </c>
      <c r="L225" s="105" t="s">
        <v>192</v>
      </c>
      <c r="M225" s="13" t="s">
        <v>193</v>
      </c>
      <c r="N225" s="13">
        <v>5.24</v>
      </c>
      <c r="O225" s="13">
        <v>5.24</v>
      </c>
      <c r="P225" s="13">
        <v>5.24</v>
      </c>
      <c r="Q225" s="13">
        <v>5.24</v>
      </c>
      <c r="R225" s="13">
        <v>5.24</v>
      </c>
      <c r="S225" s="13">
        <v>5.24</v>
      </c>
      <c r="T225" s="13">
        <v>5.24</v>
      </c>
      <c r="U225" s="13">
        <v>5.24</v>
      </c>
      <c r="V225" s="13">
        <v>5.24</v>
      </c>
      <c r="W225" s="13">
        <v>5.24</v>
      </c>
      <c r="X225" s="13">
        <v>5.24</v>
      </c>
      <c r="Y225" s="13">
        <v>5.24</v>
      </c>
      <c r="Z225" s="13">
        <v>5.24</v>
      </c>
      <c r="AA225" s="13">
        <v>5.24</v>
      </c>
      <c r="AB225" s="40">
        <v>0.05</v>
      </c>
      <c r="AC225" s="40">
        <v>0.05</v>
      </c>
      <c r="AD225" s="40">
        <v>0.05</v>
      </c>
      <c r="AE225" s="40">
        <v>0.05</v>
      </c>
      <c r="AF225" s="40">
        <v>0.05</v>
      </c>
      <c r="AG225" s="40">
        <v>0.05</v>
      </c>
      <c r="AH225" s="40">
        <v>0.05</v>
      </c>
      <c r="AI225" s="40">
        <v>0.05</v>
      </c>
      <c r="AJ225" s="40">
        <v>0.05</v>
      </c>
      <c r="AK225" s="40">
        <v>0.05</v>
      </c>
      <c r="AL225" s="40">
        <v>0.05</v>
      </c>
      <c r="AM225" s="40">
        <v>0.05</v>
      </c>
      <c r="AN225" s="40">
        <v>0.05</v>
      </c>
      <c r="AO225" s="116">
        <v>0</v>
      </c>
      <c r="AP225" s="6">
        <f t="shared" si="0"/>
        <v>0</v>
      </c>
      <c r="AQ225" s="115">
        <v>0</v>
      </c>
      <c r="AR225" s="6">
        <f t="shared" si="1"/>
        <v>0</v>
      </c>
      <c r="AS225" s="115" t="s">
        <v>573</v>
      </c>
      <c r="AT225" s="6">
        <f t="shared" si="25"/>
        <v>0</v>
      </c>
      <c r="AU225" s="115">
        <v>0</v>
      </c>
      <c r="AV225" s="1">
        <f t="shared" si="7"/>
        <v>0</v>
      </c>
      <c r="AW225" s="115">
        <v>0</v>
      </c>
      <c r="AX225" s="1">
        <f t="shared" si="30"/>
        <v>0</v>
      </c>
      <c r="AY225" s="5" t="s">
        <v>573</v>
      </c>
      <c r="AZ225" s="1">
        <f t="shared" si="9"/>
        <v>0</v>
      </c>
      <c r="BA225" s="5" t="s">
        <v>573</v>
      </c>
      <c r="BB225" s="1">
        <f t="shared" si="10"/>
        <v>0</v>
      </c>
      <c r="BC225" s="5" t="s">
        <v>573</v>
      </c>
      <c r="BD225" s="1">
        <f t="shared" si="3"/>
        <v>0</v>
      </c>
      <c r="BE225" s="150" t="s">
        <v>573</v>
      </c>
      <c r="BF225" s="1">
        <f t="shared" si="26"/>
        <v>0</v>
      </c>
      <c r="BG225" s="150" t="s">
        <v>573</v>
      </c>
      <c r="BH225" s="1">
        <f t="shared" si="29"/>
        <v>0</v>
      </c>
      <c r="BI225" s="150" t="s">
        <v>573</v>
      </c>
      <c r="BJ225" s="1">
        <f t="shared" si="27"/>
        <v>0</v>
      </c>
      <c r="BK225" s="156" t="s">
        <v>573</v>
      </c>
      <c r="BL225" s="1">
        <f t="shared" si="31"/>
        <v>0</v>
      </c>
      <c r="BM225" s="142" t="s">
        <v>672</v>
      </c>
      <c r="BN225" s="136" t="s">
        <v>32</v>
      </c>
      <c r="BO225" s="139" t="s">
        <v>760</v>
      </c>
      <c r="BP225" s="137">
        <v>45838</v>
      </c>
    </row>
    <row r="226" spans="1:68" ht="15.6" customHeight="1">
      <c r="A226" s="109" t="s">
        <v>751</v>
      </c>
      <c r="B226" s="122" t="s">
        <v>184</v>
      </c>
      <c r="C226" s="301"/>
      <c r="D226" s="304"/>
      <c r="E226" s="304"/>
      <c r="F226" s="297"/>
      <c r="G226" s="78">
        <v>2016</v>
      </c>
      <c r="H226" s="105" t="str">
        <f>_xlfn.XLOOKUP(BM226,'[5]Package breakdown0503'!$F:$F,'[5]Package breakdown0503'!$B:$B)</f>
        <v>Gadget</v>
      </c>
      <c r="I226" s="76" t="s">
        <v>196</v>
      </c>
      <c r="J226" s="102" t="s">
        <v>197</v>
      </c>
      <c r="K226" s="105" t="s">
        <v>237</v>
      </c>
      <c r="L226" s="105" t="s">
        <v>192</v>
      </c>
      <c r="M226" s="13" t="s">
        <v>193</v>
      </c>
      <c r="N226" s="13">
        <v>5.74</v>
      </c>
      <c r="O226" s="13">
        <v>5.74</v>
      </c>
      <c r="P226" s="13">
        <v>5.74</v>
      </c>
      <c r="Q226" s="13">
        <v>5.74</v>
      </c>
      <c r="R226" s="13">
        <v>5.74</v>
      </c>
      <c r="S226" s="13">
        <v>5.74</v>
      </c>
      <c r="T226" s="13">
        <v>5.74</v>
      </c>
      <c r="U226" s="13">
        <v>5.74</v>
      </c>
      <c r="V226" s="13">
        <v>5.74</v>
      </c>
      <c r="W226" s="13">
        <v>5.74</v>
      </c>
      <c r="X226" s="13">
        <v>5.74</v>
      </c>
      <c r="Y226" s="13">
        <v>5.74</v>
      </c>
      <c r="Z226" s="13">
        <v>5.74</v>
      </c>
      <c r="AA226" s="13">
        <v>5.74</v>
      </c>
      <c r="AB226" s="40">
        <v>0.05</v>
      </c>
      <c r="AC226" s="40">
        <v>0.05</v>
      </c>
      <c r="AD226" s="40">
        <v>0.05</v>
      </c>
      <c r="AE226" s="40">
        <v>0.05</v>
      </c>
      <c r="AF226" s="40">
        <v>0.05</v>
      </c>
      <c r="AG226" s="40">
        <v>0.05</v>
      </c>
      <c r="AH226" s="40">
        <v>0.05</v>
      </c>
      <c r="AI226" s="40">
        <v>0.05</v>
      </c>
      <c r="AJ226" s="40">
        <v>0.05</v>
      </c>
      <c r="AK226" s="40">
        <v>0.05</v>
      </c>
      <c r="AL226" s="40">
        <v>0.05</v>
      </c>
      <c r="AM226" s="40">
        <v>0.05</v>
      </c>
      <c r="AN226" s="40">
        <v>0.05</v>
      </c>
      <c r="AO226" s="116">
        <v>1000</v>
      </c>
      <c r="AP226" s="6">
        <f t="shared" si="0"/>
        <v>50</v>
      </c>
      <c r="AQ226" s="115">
        <v>0</v>
      </c>
      <c r="AR226" s="6">
        <f t="shared" si="1"/>
        <v>0</v>
      </c>
      <c r="AS226" s="115" t="s">
        <v>573</v>
      </c>
      <c r="AT226" s="6">
        <f t="shared" si="25"/>
        <v>0</v>
      </c>
      <c r="AU226" s="115">
        <v>0</v>
      </c>
      <c r="AV226" s="1">
        <f t="shared" si="7"/>
        <v>0</v>
      </c>
      <c r="AW226" s="115">
        <v>0</v>
      </c>
      <c r="AX226" s="1">
        <f t="shared" si="30"/>
        <v>0</v>
      </c>
      <c r="AY226" s="5" t="s">
        <v>573</v>
      </c>
      <c r="AZ226" s="1">
        <f t="shared" si="9"/>
        <v>0</v>
      </c>
      <c r="BA226" s="5" t="s">
        <v>573</v>
      </c>
      <c r="BB226" s="1">
        <f t="shared" si="10"/>
        <v>0</v>
      </c>
      <c r="BC226" s="5" t="s">
        <v>573</v>
      </c>
      <c r="BD226" s="1">
        <f t="shared" si="3"/>
        <v>0</v>
      </c>
      <c r="BE226" s="150" t="s">
        <v>573</v>
      </c>
      <c r="BF226" s="1">
        <f t="shared" si="26"/>
        <v>0</v>
      </c>
      <c r="BG226" s="150" t="s">
        <v>573</v>
      </c>
      <c r="BH226" s="1">
        <f t="shared" si="29"/>
        <v>0</v>
      </c>
      <c r="BI226" s="150" t="s">
        <v>573</v>
      </c>
      <c r="BJ226" s="1">
        <f t="shared" si="27"/>
        <v>0</v>
      </c>
      <c r="BK226" s="156" t="s">
        <v>573</v>
      </c>
      <c r="BL226" s="1">
        <f t="shared" si="31"/>
        <v>0</v>
      </c>
      <c r="BM226" s="142" t="s">
        <v>672</v>
      </c>
      <c r="BN226" s="136" t="s">
        <v>32</v>
      </c>
      <c r="BO226" s="139" t="s">
        <v>760</v>
      </c>
      <c r="BP226" s="137">
        <v>45838</v>
      </c>
    </row>
    <row r="227" spans="1:68" ht="15.6" customHeight="1">
      <c r="A227" s="109" t="s">
        <v>751</v>
      </c>
      <c r="B227" s="122" t="s">
        <v>184</v>
      </c>
      <c r="C227" s="301"/>
      <c r="D227" s="304"/>
      <c r="E227" s="304"/>
      <c r="F227" s="297"/>
      <c r="G227" s="78">
        <v>2016</v>
      </c>
      <c r="H227" s="105" t="str">
        <f>_xlfn.XLOOKUP(BM227,'[5]Package breakdown0503'!$F:$F,'[5]Package breakdown0503'!$B:$B)</f>
        <v>Gadget</v>
      </c>
      <c r="I227" s="76" t="s">
        <v>196</v>
      </c>
      <c r="J227" s="102" t="s">
        <v>197</v>
      </c>
      <c r="K227" s="105" t="s">
        <v>237</v>
      </c>
      <c r="L227" s="105" t="s">
        <v>192</v>
      </c>
      <c r="M227" s="13" t="s">
        <v>193</v>
      </c>
      <c r="N227" s="13">
        <v>5.24</v>
      </c>
      <c r="O227" s="13">
        <v>5.24</v>
      </c>
      <c r="P227" s="13">
        <v>5.24</v>
      </c>
      <c r="Q227" s="13">
        <v>5.24</v>
      </c>
      <c r="R227" s="13">
        <v>5.24</v>
      </c>
      <c r="S227" s="13">
        <v>5.24</v>
      </c>
      <c r="T227" s="13">
        <v>5.24</v>
      </c>
      <c r="U227" s="13">
        <v>5.24</v>
      </c>
      <c r="V227" s="13">
        <v>5.24</v>
      </c>
      <c r="W227" s="13">
        <v>5.24</v>
      </c>
      <c r="X227" s="13">
        <v>5.24</v>
      </c>
      <c r="Y227" s="13">
        <v>5.24</v>
      </c>
      <c r="Z227" s="13">
        <v>5.24</v>
      </c>
      <c r="AA227" s="13">
        <v>5.24</v>
      </c>
      <c r="AB227" s="40">
        <v>0.05</v>
      </c>
      <c r="AC227" s="40">
        <v>0.05</v>
      </c>
      <c r="AD227" s="40">
        <v>0.05</v>
      </c>
      <c r="AE227" s="40">
        <v>0.05</v>
      </c>
      <c r="AF227" s="40">
        <v>0.05</v>
      </c>
      <c r="AG227" s="40">
        <v>0.05</v>
      </c>
      <c r="AH227" s="40">
        <v>0.05</v>
      </c>
      <c r="AI227" s="40">
        <v>0.05</v>
      </c>
      <c r="AJ227" s="40">
        <v>0.05</v>
      </c>
      <c r="AK227" s="40">
        <v>0.05</v>
      </c>
      <c r="AL227" s="40">
        <v>0.05</v>
      </c>
      <c r="AM227" s="40">
        <v>0.05</v>
      </c>
      <c r="AN227" s="40">
        <v>0.05</v>
      </c>
      <c r="AO227" s="116">
        <v>0</v>
      </c>
      <c r="AP227" s="6">
        <f t="shared" si="0"/>
        <v>0</v>
      </c>
      <c r="AQ227" s="115">
        <v>0</v>
      </c>
      <c r="AR227" s="6">
        <f t="shared" si="1"/>
        <v>0</v>
      </c>
      <c r="AS227" s="115" t="s">
        <v>573</v>
      </c>
      <c r="AT227" s="6">
        <f t="shared" si="25"/>
        <v>0</v>
      </c>
      <c r="AU227" s="115">
        <v>0</v>
      </c>
      <c r="AV227" s="1">
        <f t="shared" si="7"/>
        <v>0</v>
      </c>
      <c r="AW227" s="115">
        <v>0</v>
      </c>
      <c r="AX227" s="1">
        <f t="shared" si="30"/>
        <v>0</v>
      </c>
      <c r="AY227" s="5" t="s">
        <v>573</v>
      </c>
      <c r="AZ227" s="1">
        <f t="shared" si="9"/>
        <v>0</v>
      </c>
      <c r="BA227" s="5" t="s">
        <v>573</v>
      </c>
      <c r="BB227" s="1">
        <f t="shared" si="10"/>
        <v>0</v>
      </c>
      <c r="BC227" s="5" t="s">
        <v>573</v>
      </c>
      <c r="BD227" s="1">
        <f t="shared" si="3"/>
        <v>0</v>
      </c>
      <c r="BE227" s="150" t="s">
        <v>573</v>
      </c>
      <c r="BF227" s="1">
        <f t="shared" si="26"/>
        <v>0</v>
      </c>
      <c r="BG227" s="150" t="s">
        <v>573</v>
      </c>
      <c r="BH227" s="1">
        <f t="shared" si="29"/>
        <v>0</v>
      </c>
      <c r="BI227" s="150" t="s">
        <v>573</v>
      </c>
      <c r="BJ227" s="1">
        <f t="shared" si="27"/>
        <v>0</v>
      </c>
      <c r="BK227" s="156" t="s">
        <v>573</v>
      </c>
      <c r="BL227" s="1">
        <f t="shared" si="31"/>
        <v>0</v>
      </c>
      <c r="BM227" s="142" t="s">
        <v>672</v>
      </c>
      <c r="BN227" s="136" t="s">
        <v>496</v>
      </c>
      <c r="BO227" s="139" t="s">
        <v>760</v>
      </c>
      <c r="BP227" s="137">
        <v>45838</v>
      </c>
    </row>
    <row r="228" spans="1:68" ht="15.75" customHeight="1">
      <c r="A228" s="109" t="s">
        <v>751</v>
      </c>
      <c r="B228" s="122" t="s">
        <v>184</v>
      </c>
      <c r="C228" s="301"/>
      <c r="D228" s="304"/>
      <c r="E228" s="304"/>
      <c r="F228" s="297"/>
      <c r="G228" s="78">
        <v>2016</v>
      </c>
      <c r="H228" s="105" t="str">
        <f>_xlfn.XLOOKUP(BM228,'[5]Package breakdown0503'!$F:$F,'[5]Package breakdown0503'!$B:$B)</f>
        <v>Gadget</v>
      </c>
      <c r="I228" s="76" t="s">
        <v>196</v>
      </c>
      <c r="J228" s="102" t="s">
        <v>197</v>
      </c>
      <c r="K228" s="105" t="s">
        <v>239</v>
      </c>
      <c r="L228" s="105" t="s">
        <v>192</v>
      </c>
      <c r="M228" s="13" t="s">
        <v>193</v>
      </c>
      <c r="N228" s="13">
        <v>6.05</v>
      </c>
      <c r="O228" s="13">
        <v>5.92</v>
      </c>
      <c r="P228" s="13">
        <v>5.92</v>
      </c>
      <c r="Q228" s="13">
        <v>5.92</v>
      </c>
      <c r="R228" s="13">
        <v>5.92</v>
      </c>
      <c r="S228" s="13">
        <v>5.92</v>
      </c>
      <c r="T228" s="13">
        <v>5.92</v>
      </c>
      <c r="U228" s="13">
        <v>5.92</v>
      </c>
      <c r="V228" s="13">
        <v>5.92</v>
      </c>
      <c r="W228" s="13">
        <v>5.92</v>
      </c>
      <c r="X228" s="13">
        <v>5.92</v>
      </c>
      <c r="Y228" s="13">
        <v>5.92</v>
      </c>
      <c r="Z228" s="13">
        <v>5.92</v>
      </c>
      <c r="AA228" s="13">
        <v>5.92</v>
      </c>
      <c r="AB228" s="40">
        <v>0.05</v>
      </c>
      <c r="AC228" s="40">
        <v>0.05</v>
      </c>
      <c r="AD228" s="40">
        <v>0.05</v>
      </c>
      <c r="AE228" s="40">
        <v>0.05</v>
      </c>
      <c r="AF228" s="40">
        <v>0.05</v>
      </c>
      <c r="AG228" s="40">
        <v>0.05</v>
      </c>
      <c r="AH228" s="40">
        <v>0.05</v>
      </c>
      <c r="AI228" s="40">
        <v>0.05</v>
      </c>
      <c r="AJ228" s="40">
        <v>0.05</v>
      </c>
      <c r="AK228" s="40">
        <v>0.05</v>
      </c>
      <c r="AL228" s="40">
        <v>0.05</v>
      </c>
      <c r="AM228" s="40">
        <v>0.05</v>
      </c>
      <c r="AN228" s="40">
        <v>0.05</v>
      </c>
      <c r="AO228" s="116">
        <v>0</v>
      </c>
      <c r="AP228" s="6">
        <f t="shared" si="0"/>
        <v>0</v>
      </c>
      <c r="AQ228" s="115">
        <v>4320</v>
      </c>
      <c r="AR228" s="6">
        <f t="shared" si="1"/>
        <v>216</v>
      </c>
      <c r="AS228" s="115" t="s">
        <v>573</v>
      </c>
      <c r="AT228" s="6">
        <f t="shared" si="25"/>
        <v>0</v>
      </c>
      <c r="AU228" s="115">
        <v>0</v>
      </c>
      <c r="AV228" s="1">
        <f t="shared" si="7"/>
        <v>0</v>
      </c>
      <c r="AW228" s="115">
        <v>0</v>
      </c>
      <c r="AX228" s="1">
        <f t="shared" si="30"/>
        <v>0</v>
      </c>
      <c r="AY228" s="5" t="s">
        <v>573</v>
      </c>
      <c r="AZ228" s="1">
        <f>AH228*AY228</f>
        <v>0</v>
      </c>
      <c r="BA228" s="5" t="s">
        <v>573</v>
      </c>
      <c r="BB228" s="1">
        <f>AI228*BA228</f>
        <v>0</v>
      </c>
      <c r="BC228" s="5" t="s">
        <v>573</v>
      </c>
      <c r="BD228" s="1">
        <f>AJ228*BC228</f>
        <v>0</v>
      </c>
      <c r="BE228" s="150" t="s">
        <v>573</v>
      </c>
      <c r="BF228" s="1">
        <f t="shared" si="26"/>
        <v>0</v>
      </c>
      <c r="BG228" s="150" t="s">
        <v>573</v>
      </c>
      <c r="BH228" s="1">
        <f t="shared" si="29"/>
        <v>0</v>
      </c>
      <c r="BI228" s="150" t="s">
        <v>573</v>
      </c>
      <c r="BJ228" s="1">
        <f t="shared" si="27"/>
        <v>0</v>
      </c>
      <c r="BK228" s="156" t="s">
        <v>573</v>
      </c>
      <c r="BL228" s="1">
        <f t="shared" si="31"/>
        <v>0</v>
      </c>
      <c r="BM228" s="142" t="s">
        <v>587</v>
      </c>
      <c r="BN228" s="136" t="s">
        <v>497</v>
      </c>
      <c r="BO228" s="139" t="s">
        <v>1314</v>
      </c>
      <c r="BP228" s="137">
        <v>46022</v>
      </c>
    </row>
    <row r="229" spans="1:68" ht="15.75" customHeight="1">
      <c r="A229" s="109" t="s">
        <v>751</v>
      </c>
      <c r="B229" s="122" t="s">
        <v>184</v>
      </c>
      <c r="C229" s="301"/>
      <c r="D229" s="304"/>
      <c r="E229" s="304"/>
      <c r="F229" s="297"/>
      <c r="G229" s="78">
        <v>2016</v>
      </c>
      <c r="H229" s="105" t="str">
        <f>_xlfn.XLOOKUP(BM229,'[5]Package breakdown0503'!$F:$F,'[5]Package breakdown0503'!$B:$B)</f>
        <v>Gadget</v>
      </c>
      <c r="I229" s="76" t="s">
        <v>196</v>
      </c>
      <c r="J229" s="102" t="s">
        <v>197</v>
      </c>
      <c r="K229" s="105" t="s">
        <v>239</v>
      </c>
      <c r="L229" s="105" t="s">
        <v>192</v>
      </c>
      <c r="M229" s="13" t="s">
        <v>193</v>
      </c>
      <c r="N229" s="13">
        <v>6.05</v>
      </c>
      <c r="O229" s="13">
        <v>5.05</v>
      </c>
      <c r="P229" s="13">
        <v>5.05</v>
      </c>
      <c r="Q229" s="13">
        <v>5.05</v>
      </c>
      <c r="R229" s="13">
        <v>5.05</v>
      </c>
      <c r="S229" s="13">
        <v>5.05</v>
      </c>
      <c r="T229" s="13">
        <v>5.05</v>
      </c>
      <c r="U229" s="13">
        <v>5.05</v>
      </c>
      <c r="V229" s="13">
        <v>5.05</v>
      </c>
      <c r="W229" s="13">
        <v>5.05</v>
      </c>
      <c r="X229" s="13">
        <v>5.05</v>
      </c>
      <c r="Y229" s="13">
        <v>5.05</v>
      </c>
      <c r="Z229" s="13">
        <v>5.05</v>
      </c>
      <c r="AA229" s="13">
        <v>5.05</v>
      </c>
      <c r="AB229" s="40">
        <v>0.05</v>
      </c>
      <c r="AC229" s="40">
        <v>0.05</v>
      </c>
      <c r="AD229" s="40">
        <v>0.05</v>
      </c>
      <c r="AE229" s="40">
        <v>0.05</v>
      </c>
      <c r="AF229" s="40">
        <v>0.05</v>
      </c>
      <c r="AG229" s="40">
        <v>0.05</v>
      </c>
      <c r="AH229" s="40">
        <v>0.05</v>
      </c>
      <c r="AI229" s="40">
        <v>0.05</v>
      </c>
      <c r="AJ229" s="40">
        <v>0.05</v>
      </c>
      <c r="AK229" s="40">
        <v>0.05</v>
      </c>
      <c r="AL229" s="40">
        <v>0.05</v>
      </c>
      <c r="AM229" s="40">
        <v>0.05</v>
      </c>
      <c r="AN229" s="40">
        <v>0.05</v>
      </c>
      <c r="AO229" s="116">
        <v>0</v>
      </c>
      <c r="AP229" s="6">
        <f t="shared" si="0"/>
        <v>0</v>
      </c>
      <c r="AQ229" s="116">
        <v>0</v>
      </c>
      <c r="AR229" s="6">
        <f t="shared" si="1"/>
        <v>0</v>
      </c>
      <c r="AS229" s="115" t="s">
        <v>573</v>
      </c>
      <c r="AT229" s="6">
        <f t="shared" si="25"/>
        <v>0</v>
      </c>
      <c r="AU229" s="115">
        <v>0</v>
      </c>
      <c r="AV229" s="1">
        <f t="shared" si="7"/>
        <v>0</v>
      </c>
      <c r="AW229" s="115">
        <v>0</v>
      </c>
      <c r="AX229" s="1">
        <f t="shared" si="30"/>
        <v>0</v>
      </c>
      <c r="AY229" s="5" t="s">
        <v>573</v>
      </c>
      <c r="AZ229" s="1">
        <f t="shared" si="9"/>
        <v>0</v>
      </c>
      <c r="BA229" s="5" t="s">
        <v>573</v>
      </c>
      <c r="BB229" s="1">
        <f t="shared" si="10"/>
        <v>0</v>
      </c>
      <c r="BC229" s="5" t="s">
        <v>573</v>
      </c>
      <c r="BD229" s="1">
        <f t="shared" si="3"/>
        <v>0</v>
      </c>
      <c r="BE229" s="150" t="s">
        <v>573</v>
      </c>
      <c r="BF229" s="1">
        <f t="shared" si="26"/>
        <v>0</v>
      </c>
      <c r="BG229" s="150" t="s">
        <v>573</v>
      </c>
      <c r="BH229" s="1">
        <f t="shared" si="29"/>
        <v>0</v>
      </c>
      <c r="BI229" s="150" t="s">
        <v>573</v>
      </c>
      <c r="BJ229" s="1">
        <f t="shared" si="27"/>
        <v>0</v>
      </c>
      <c r="BK229" s="156" t="s">
        <v>573</v>
      </c>
      <c r="BL229" s="1">
        <f t="shared" si="31"/>
        <v>0</v>
      </c>
      <c r="BM229" s="141" t="s">
        <v>1315</v>
      </c>
      <c r="BN229" s="136" t="s">
        <v>497</v>
      </c>
      <c r="BO229" s="139" t="s">
        <v>1326</v>
      </c>
      <c r="BP229" s="137">
        <v>46022</v>
      </c>
    </row>
    <row r="230" spans="1:68" ht="15.75" customHeight="1">
      <c r="A230" s="109" t="s">
        <v>751</v>
      </c>
      <c r="B230" s="122" t="s">
        <v>184</v>
      </c>
      <c r="C230" s="301"/>
      <c r="D230" s="304"/>
      <c r="E230" s="304"/>
      <c r="F230" s="297"/>
      <c r="G230" s="78">
        <v>2016</v>
      </c>
      <c r="H230" s="105" t="str">
        <f>_xlfn.XLOOKUP(BM230,'[5]Package breakdown0503'!$F:$F,'[5]Package breakdown0503'!$B:$B)</f>
        <v>Gadget</v>
      </c>
      <c r="I230" s="76" t="s">
        <v>196</v>
      </c>
      <c r="J230" s="102" t="s">
        <v>197</v>
      </c>
      <c r="K230" s="105" t="s">
        <v>239</v>
      </c>
      <c r="L230" s="105" t="s">
        <v>192</v>
      </c>
      <c r="M230" s="13" t="s">
        <v>193</v>
      </c>
      <c r="N230" s="13">
        <v>6.05</v>
      </c>
      <c r="O230" s="13">
        <v>5.13</v>
      </c>
      <c r="P230" s="13">
        <v>5.13</v>
      </c>
      <c r="Q230" s="13">
        <v>5.13</v>
      </c>
      <c r="R230" s="13">
        <v>5.13</v>
      </c>
      <c r="S230" s="13">
        <v>5.13</v>
      </c>
      <c r="T230" s="13">
        <v>5.13</v>
      </c>
      <c r="U230" s="13">
        <v>5.13</v>
      </c>
      <c r="V230" s="13">
        <v>5.13</v>
      </c>
      <c r="W230" s="13">
        <v>5.13</v>
      </c>
      <c r="X230" s="13">
        <v>5.13</v>
      </c>
      <c r="Y230" s="13">
        <v>5.13</v>
      </c>
      <c r="Z230" s="13">
        <v>5.13</v>
      </c>
      <c r="AA230" s="13">
        <v>5.13</v>
      </c>
      <c r="AB230" s="40">
        <v>0.05</v>
      </c>
      <c r="AC230" s="40">
        <v>0.05</v>
      </c>
      <c r="AD230" s="40">
        <v>0.05</v>
      </c>
      <c r="AE230" s="40">
        <v>0.05</v>
      </c>
      <c r="AF230" s="40">
        <v>0.05</v>
      </c>
      <c r="AG230" s="40">
        <v>0.05</v>
      </c>
      <c r="AH230" s="40">
        <v>0.05</v>
      </c>
      <c r="AI230" s="40">
        <v>0.05</v>
      </c>
      <c r="AJ230" s="40">
        <v>0.05</v>
      </c>
      <c r="AK230" s="40">
        <v>0.05</v>
      </c>
      <c r="AL230" s="40">
        <v>0.05</v>
      </c>
      <c r="AM230" s="40">
        <v>0.05</v>
      </c>
      <c r="AN230" s="40">
        <v>0.05</v>
      </c>
      <c r="AO230" s="116">
        <v>0</v>
      </c>
      <c r="AP230" s="6">
        <f t="shared" si="0"/>
        <v>0</v>
      </c>
      <c r="AQ230" s="116">
        <v>0</v>
      </c>
      <c r="AR230" s="6">
        <f t="shared" si="1"/>
        <v>0</v>
      </c>
      <c r="AS230" s="115" t="s">
        <v>573</v>
      </c>
      <c r="AT230" s="6">
        <f t="shared" si="25"/>
        <v>0</v>
      </c>
      <c r="AU230" s="115">
        <v>0</v>
      </c>
      <c r="AV230" s="1">
        <f t="shared" si="7"/>
        <v>0</v>
      </c>
      <c r="AW230" s="115">
        <v>0</v>
      </c>
      <c r="AX230" s="1">
        <f t="shared" si="30"/>
        <v>0</v>
      </c>
      <c r="AY230" s="5" t="s">
        <v>573</v>
      </c>
      <c r="AZ230" s="1">
        <f t="shared" si="9"/>
        <v>0</v>
      </c>
      <c r="BA230" s="5" t="s">
        <v>573</v>
      </c>
      <c r="BB230" s="1">
        <f t="shared" si="10"/>
        <v>0</v>
      </c>
      <c r="BC230" s="5" t="s">
        <v>573</v>
      </c>
      <c r="BD230" s="1">
        <f t="shared" si="3"/>
        <v>0</v>
      </c>
      <c r="BE230" s="150" t="s">
        <v>573</v>
      </c>
      <c r="BF230" s="1">
        <f t="shared" si="26"/>
        <v>0</v>
      </c>
      <c r="BG230" s="150" t="s">
        <v>573</v>
      </c>
      <c r="BH230" s="1">
        <f t="shared" si="29"/>
        <v>0</v>
      </c>
      <c r="BI230" s="150" t="s">
        <v>573</v>
      </c>
      <c r="BJ230" s="1">
        <f t="shared" si="27"/>
        <v>0</v>
      </c>
      <c r="BK230" s="156" t="s">
        <v>573</v>
      </c>
      <c r="BL230" s="1">
        <f t="shared" si="31"/>
        <v>0</v>
      </c>
      <c r="BM230" s="141" t="s">
        <v>1287</v>
      </c>
      <c r="BN230" s="136" t="s">
        <v>497</v>
      </c>
      <c r="BO230" s="139" t="s">
        <v>1326</v>
      </c>
      <c r="BP230" s="137">
        <v>46022</v>
      </c>
    </row>
    <row r="231" spans="1:68" ht="15.75" customHeight="1">
      <c r="A231" s="109" t="s">
        <v>751</v>
      </c>
      <c r="B231" s="122" t="s">
        <v>184</v>
      </c>
      <c r="C231" s="301"/>
      <c r="D231" s="304"/>
      <c r="E231" s="304"/>
      <c r="F231" s="297"/>
      <c r="G231" s="78">
        <v>2016</v>
      </c>
      <c r="H231" s="105" t="str">
        <f>_xlfn.XLOOKUP(BM231,'[5]Package breakdown0503'!$F:$F,'[5]Package breakdown0503'!$B:$B)</f>
        <v>Gadget</v>
      </c>
      <c r="I231" s="76" t="s">
        <v>196</v>
      </c>
      <c r="J231" s="102" t="s">
        <v>197</v>
      </c>
      <c r="K231" s="105" t="s">
        <v>239</v>
      </c>
      <c r="L231" s="105" t="s">
        <v>192</v>
      </c>
      <c r="M231" s="13" t="s">
        <v>193</v>
      </c>
      <c r="N231" s="13">
        <v>6.05</v>
      </c>
      <c r="O231" s="13">
        <v>5.54</v>
      </c>
      <c r="P231" s="13">
        <v>5.54</v>
      </c>
      <c r="Q231" s="13">
        <v>5.54</v>
      </c>
      <c r="R231" s="13">
        <v>5.54</v>
      </c>
      <c r="S231" s="13">
        <v>5.54</v>
      </c>
      <c r="T231" s="13">
        <v>5.54</v>
      </c>
      <c r="U231" s="13">
        <v>5.54</v>
      </c>
      <c r="V231" s="13">
        <v>5.54</v>
      </c>
      <c r="W231" s="13">
        <v>5.54</v>
      </c>
      <c r="X231" s="13">
        <v>5.54</v>
      </c>
      <c r="Y231" s="13">
        <v>5.54</v>
      </c>
      <c r="Z231" s="13">
        <v>5.54</v>
      </c>
      <c r="AA231" s="13">
        <v>5.54</v>
      </c>
      <c r="AB231" s="40">
        <v>0.05</v>
      </c>
      <c r="AC231" s="40">
        <v>0.05</v>
      </c>
      <c r="AD231" s="40">
        <v>0.05</v>
      </c>
      <c r="AE231" s="40">
        <v>0.05</v>
      </c>
      <c r="AF231" s="40">
        <v>0.05</v>
      </c>
      <c r="AG231" s="40">
        <v>0.05</v>
      </c>
      <c r="AH231" s="40">
        <v>0.05</v>
      </c>
      <c r="AI231" s="40">
        <v>0.05</v>
      </c>
      <c r="AJ231" s="40">
        <v>0.05</v>
      </c>
      <c r="AK231" s="40">
        <v>0.05</v>
      </c>
      <c r="AL231" s="40">
        <v>0.05</v>
      </c>
      <c r="AM231" s="40">
        <v>0.05</v>
      </c>
      <c r="AN231" s="40">
        <v>0.05</v>
      </c>
      <c r="AO231" s="116">
        <v>0</v>
      </c>
      <c r="AP231" s="6">
        <f t="shared" si="0"/>
        <v>0</v>
      </c>
      <c r="AQ231" s="116">
        <v>0</v>
      </c>
      <c r="AR231" s="6">
        <f t="shared" si="1"/>
        <v>0</v>
      </c>
      <c r="AS231" s="115" t="s">
        <v>573</v>
      </c>
      <c r="AT231" s="6">
        <f t="shared" si="25"/>
        <v>0</v>
      </c>
      <c r="AU231" s="115">
        <v>0</v>
      </c>
      <c r="AV231" s="1">
        <f t="shared" si="7"/>
        <v>0</v>
      </c>
      <c r="AW231" s="115">
        <v>0</v>
      </c>
      <c r="AX231" s="1">
        <f t="shared" si="30"/>
        <v>0</v>
      </c>
      <c r="AY231" s="5" t="s">
        <v>573</v>
      </c>
      <c r="AZ231" s="1">
        <f t="shared" si="9"/>
        <v>0</v>
      </c>
      <c r="BA231" s="5" t="s">
        <v>573</v>
      </c>
      <c r="BB231" s="1">
        <f t="shared" si="10"/>
        <v>0</v>
      </c>
      <c r="BC231" s="5" t="s">
        <v>573</v>
      </c>
      <c r="BD231" s="1">
        <f t="shared" si="3"/>
        <v>0</v>
      </c>
      <c r="BE231" s="150" t="s">
        <v>573</v>
      </c>
      <c r="BF231" s="1">
        <f t="shared" si="26"/>
        <v>0</v>
      </c>
      <c r="BG231" s="150" t="s">
        <v>573</v>
      </c>
      <c r="BH231" s="1">
        <f t="shared" si="29"/>
        <v>0</v>
      </c>
      <c r="BI231" s="150" t="s">
        <v>573</v>
      </c>
      <c r="BJ231" s="1">
        <f t="shared" si="27"/>
        <v>0</v>
      </c>
      <c r="BK231" s="156" t="s">
        <v>573</v>
      </c>
      <c r="BL231" s="1">
        <f t="shared" si="31"/>
        <v>0</v>
      </c>
      <c r="BM231" s="141" t="s">
        <v>1288</v>
      </c>
      <c r="BN231" s="136" t="s">
        <v>497</v>
      </c>
      <c r="BO231" s="139" t="s">
        <v>1326</v>
      </c>
      <c r="BP231" s="137">
        <v>46022</v>
      </c>
    </row>
    <row r="232" spans="1:68" ht="15.75" customHeight="1">
      <c r="A232" s="109" t="s">
        <v>751</v>
      </c>
      <c r="B232" s="122" t="s">
        <v>184</v>
      </c>
      <c r="C232" s="301"/>
      <c r="D232" s="304"/>
      <c r="E232" s="304"/>
      <c r="F232" s="297"/>
      <c r="G232" s="78">
        <v>2016</v>
      </c>
      <c r="H232" s="105" t="str">
        <f>_xlfn.XLOOKUP(BM232,'[5]Package breakdown0503'!$F:$F,'[5]Package breakdown0503'!$B:$B)</f>
        <v>Gadget</v>
      </c>
      <c r="I232" s="76" t="s">
        <v>196</v>
      </c>
      <c r="J232" s="102" t="s">
        <v>197</v>
      </c>
      <c r="K232" s="105" t="s">
        <v>239</v>
      </c>
      <c r="L232" s="105" t="s">
        <v>192</v>
      </c>
      <c r="M232" s="13" t="s">
        <v>193</v>
      </c>
      <c r="N232" s="13">
        <v>6.05</v>
      </c>
      <c r="O232" s="13">
        <v>4.9800000000000004</v>
      </c>
      <c r="P232" s="13">
        <v>4.9800000000000004</v>
      </c>
      <c r="Q232" s="13">
        <v>4.9800000000000004</v>
      </c>
      <c r="R232" s="13">
        <v>4.9800000000000004</v>
      </c>
      <c r="S232" s="13">
        <v>4.9800000000000004</v>
      </c>
      <c r="T232" s="13">
        <v>4.9800000000000004</v>
      </c>
      <c r="U232" s="13">
        <v>4.9800000000000004</v>
      </c>
      <c r="V232" s="13">
        <v>4.9800000000000004</v>
      </c>
      <c r="W232" s="13">
        <v>4.9800000000000004</v>
      </c>
      <c r="X232" s="13">
        <v>4.9800000000000004</v>
      </c>
      <c r="Y232" s="13">
        <v>4.9800000000000004</v>
      </c>
      <c r="Z232" s="13">
        <v>4.9800000000000004</v>
      </c>
      <c r="AA232" s="13">
        <v>4.9800000000000004</v>
      </c>
      <c r="AB232" s="40">
        <v>0.05</v>
      </c>
      <c r="AC232" s="40">
        <v>0.05</v>
      </c>
      <c r="AD232" s="40">
        <v>0.05</v>
      </c>
      <c r="AE232" s="40">
        <v>0.05</v>
      </c>
      <c r="AF232" s="40">
        <v>0.05</v>
      </c>
      <c r="AG232" s="40">
        <v>0.05</v>
      </c>
      <c r="AH232" s="40">
        <v>0.05</v>
      </c>
      <c r="AI232" s="40">
        <v>0.05</v>
      </c>
      <c r="AJ232" s="40">
        <v>0.05</v>
      </c>
      <c r="AK232" s="40">
        <v>0.05</v>
      </c>
      <c r="AL232" s="40">
        <v>0.05</v>
      </c>
      <c r="AM232" s="40">
        <v>0.05</v>
      </c>
      <c r="AN232" s="40">
        <v>0.05</v>
      </c>
      <c r="AO232" s="116">
        <v>0</v>
      </c>
      <c r="AP232" s="6">
        <f t="shared" si="0"/>
        <v>0</v>
      </c>
      <c r="AQ232" s="116">
        <v>0</v>
      </c>
      <c r="AR232" s="6">
        <f t="shared" si="1"/>
        <v>0</v>
      </c>
      <c r="AS232" s="115" t="s">
        <v>573</v>
      </c>
      <c r="AT232" s="6">
        <f t="shared" si="25"/>
        <v>0</v>
      </c>
      <c r="AU232" s="115">
        <v>0</v>
      </c>
      <c r="AV232" s="1">
        <f t="shared" si="7"/>
        <v>0</v>
      </c>
      <c r="AW232" s="115">
        <v>0</v>
      </c>
      <c r="AX232" s="1">
        <f t="shared" si="30"/>
        <v>0</v>
      </c>
      <c r="AY232" s="5" t="s">
        <v>573</v>
      </c>
      <c r="AZ232" s="1">
        <f t="shared" si="9"/>
        <v>0</v>
      </c>
      <c r="BA232" s="5" t="s">
        <v>573</v>
      </c>
      <c r="BB232" s="1">
        <f t="shared" si="10"/>
        <v>0</v>
      </c>
      <c r="BC232" s="5" t="s">
        <v>573</v>
      </c>
      <c r="BD232" s="1">
        <f t="shared" si="3"/>
        <v>0</v>
      </c>
      <c r="BE232" s="150" t="s">
        <v>573</v>
      </c>
      <c r="BF232" s="1">
        <f t="shared" si="26"/>
        <v>0</v>
      </c>
      <c r="BG232" s="150" t="s">
        <v>573</v>
      </c>
      <c r="BH232" s="1">
        <f t="shared" si="29"/>
        <v>0</v>
      </c>
      <c r="BI232" s="150" t="s">
        <v>573</v>
      </c>
      <c r="BJ232" s="1">
        <f t="shared" si="27"/>
        <v>0</v>
      </c>
      <c r="BK232" s="156" t="s">
        <v>573</v>
      </c>
      <c r="BL232" s="1">
        <f t="shared" si="31"/>
        <v>0</v>
      </c>
      <c r="BM232" s="141" t="s">
        <v>1289</v>
      </c>
      <c r="BN232" s="136" t="s">
        <v>497</v>
      </c>
      <c r="BO232" s="139" t="s">
        <v>1326</v>
      </c>
      <c r="BP232" s="137">
        <v>46022</v>
      </c>
    </row>
    <row r="233" spans="1:68" ht="15.75" customHeight="1">
      <c r="A233" s="109" t="s">
        <v>751</v>
      </c>
      <c r="B233" s="122" t="s">
        <v>184</v>
      </c>
      <c r="C233" s="301"/>
      <c r="D233" s="304"/>
      <c r="E233" s="304"/>
      <c r="F233" s="297"/>
      <c r="G233" s="78">
        <v>2016</v>
      </c>
      <c r="H233" s="105" t="str">
        <f>_xlfn.XLOOKUP(BM233,'[5]Package breakdown0503'!$F:$F,'[5]Package breakdown0503'!$B:$B)</f>
        <v>Gadget</v>
      </c>
      <c r="I233" s="76" t="s">
        <v>196</v>
      </c>
      <c r="J233" s="102" t="s">
        <v>197</v>
      </c>
      <c r="K233" s="105" t="s">
        <v>239</v>
      </c>
      <c r="L233" s="105" t="s">
        <v>192</v>
      </c>
      <c r="M233" s="13" t="s">
        <v>193</v>
      </c>
      <c r="N233" s="13">
        <v>6.05</v>
      </c>
      <c r="O233" s="13">
        <v>5.27</v>
      </c>
      <c r="P233" s="13">
        <v>5.27</v>
      </c>
      <c r="Q233" s="13">
        <v>5.27</v>
      </c>
      <c r="R233" s="13">
        <v>5.27</v>
      </c>
      <c r="S233" s="13">
        <v>5.27</v>
      </c>
      <c r="T233" s="13">
        <v>5.27</v>
      </c>
      <c r="U233" s="13">
        <v>5.27</v>
      </c>
      <c r="V233" s="13">
        <v>5.27</v>
      </c>
      <c r="W233" s="13">
        <v>5.27</v>
      </c>
      <c r="X233" s="13">
        <v>5.27</v>
      </c>
      <c r="Y233" s="13">
        <v>5.27</v>
      </c>
      <c r="Z233" s="13">
        <v>5.27</v>
      </c>
      <c r="AA233" s="13">
        <v>5.27</v>
      </c>
      <c r="AB233" s="40">
        <v>0.05</v>
      </c>
      <c r="AC233" s="40">
        <v>0.05</v>
      </c>
      <c r="AD233" s="40">
        <v>0.05</v>
      </c>
      <c r="AE233" s="40">
        <v>0.05</v>
      </c>
      <c r="AF233" s="40">
        <v>0.05</v>
      </c>
      <c r="AG233" s="40">
        <v>0.05</v>
      </c>
      <c r="AH233" s="40">
        <v>0.05</v>
      </c>
      <c r="AI233" s="40">
        <v>0.05</v>
      </c>
      <c r="AJ233" s="40">
        <v>0.05</v>
      </c>
      <c r="AK233" s="40">
        <v>0.05</v>
      </c>
      <c r="AL233" s="40">
        <v>0.05</v>
      </c>
      <c r="AM233" s="40">
        <v>0.05</v>
      </c>
      <c r="AN233" s="40">
        <v>0.05</v>
      </c>
      <c r="AO233" s="116">
        <v>0</v>
      </c>
      <c r="AP233" s="6">
        <f t="shared" si="0"/>
        <v>0</v>
      </c>
      <c r="AQ233" s="116">
        <v>0</v>
      </c>
      <c r="AR233" s="6">
        <f t="shared" si="1"/>
        <v>0</v>
      </c>
      <c r="AS233" s="115" t="s">
        <v>573</v>
      </c>
      <c r="AT233" s="6">
        <f t="shared" si="25"/>
        <v>0</v>
      </c>
      <c r="AU233" s="115">
        <v>0</v>
      </c>
      <c r="AV233" s="1">
        <f t="shared" si="7"/>
        <v>0</v>
      </c>
      <c r="AW233" s="115">
        <v>0</v>
      </c>
      <c r="AX233" s="1">
        <f t="shared" si="30"/>
        <v>0</v>
      </c>
      <c r="AY233" s="5" t="s">
        <v>573</v>
      </c>
      <c r="AZ233" s="1">
        <f t="shared" si="9"/>
        <v>0</v>
      </c>
      <c r="BA233" s="5" t="s">
        <v>573</v>
      </c>
      <c r="BB233" s="1">
        <f t="shared" si="10"/>
        <v>0</v>
      </c>
      <c r="BC233" s="5" t="s">
        <v>573</v>
      </c>
      <c r="BD233" s="1">
        <f t="shared" si="3"/>
        <v>0</v>
      </c>
      <c r="BE233" s="150" t="s">
        <v>573</v>
      </c>
      <c r="BF233" s="1">
        <f t="shared" si="26"/>
        <v>0</v>
      </c>
      <c r="BG233" s="150" t="s">
        <v>573</v>
      </c>
      <c r="BH233" s="1">
        <f t="shared" si="29"/>
        <v>0</v>
      </c>
      <c r="BI233" s="150" t="s">
        <v>573</v>
      </c>
      <c r="BJ233" s="1">
        <f t="shared" si="27"/>
        <v>0</v>
      </c>
      <c r="BK233" s="156" t="s">
        <v>573</v>
      </c>
      <c r="BL233" s="1">
        <f t="shared" si="31"/>
        <v>0</v>
      </c>
      <c r="BM233" s="141" t="s">
        <v>1290</v>
      </c>
      <c r="BN233" s="136" t="s">
        <v>497</v>
      </c>
      <c r="BO233" s="139" t="s">
        <v>1326</v>
      </c>
      <c r="BP233" s="137">
        <v>46022</v>
      </c>
    </row>
    <row r="234" spans="1:68" ht="15.75" customHeight="1">
      <c r="A234" s="109" t="s">
        <v>751</v>
      </c>
      <c r="B234" s="122" t="s">
        <v>184</v>
      </c>
      <c r="C234" s="301"/>
      <c r="D234" s="304"/>
      <c r="E234" s="304"/>
      <c r="F234" s="297"/>
      <c r="G234" s="78">
        <v>2016</v>
      </c>
      <c r="H234" s="105" t="str">
        <f>_xlfn.XLOOKUP(BM234,'[5]Package breakdown0503'!$F:$F,'[5]Package breakdown0503'!$B:$B)</f>
        <v>Gadget</v>
      </c>
      <c r="I234" s="76" t="s">
        <v>196</v>
      </c>
      <c r="J234" s="102" t="s">
        <v>197</v>
      </c>
      <c r="K234" s="105" t="s">
        <v>221</v>
      </c>
      <c r="L234" s="105" t="s">
        <v>192</v>
      </c>
      <c r="M234" s="13" t="s">
        <v>193</v>
      </c>
      <c r="N234" s="13">
        <v>4.82</v>
      </c>
      <c r="O234" s="13">
        <v>3.72</v>
      </c>
      <c r="P234" s="13">
        <v>4.72</v>
      </c>
      <c r="Q234" s="13">
        <v>3.72</v>
      </c>
      <c r="R234" s="13">
        <v>3.72</v>
      </c>
      <c r="S234" s="13">
        <v>3.72</v>
      </c>
      <c r="T234" s="13">
        <v>3.72</v>
      </c>
      <c r="U234" s="13">
        <v>3.72</v>
      </c>
      <c r="V234" s="13">
        <v>3.72</v>
      </c>
      <c r="W234" s="13">
        <v>3.72</v>
      </c>
      <c r="X234" s="13">
        <v>3.72</v>
      </c>
      <c r="Y234" s="13">
        <v>3.72</v>
      </c>
      <c r="Z234" s="13">
        <v>3.72</v>
      </c>
      <c r="AA234" s="13">
        <v>3.72</v>
      </c>
      <c r="AB234" s="40">
        <v>0.04</v>
      </c>
      <c r="AC234" s="40">
        <v>0.04</v>
      </c>
      <c r="AD234" s="40">
        <v>0.04</v>
      </c>
      <c r="AE234" s="40">
        <v>0.04</v>
      </c>
      <c r="AF234" s="40">
        <v>0.04</v>
      </c>
      <c r="AG234" s="40">
        <v>0.04</v>
      </c>
      <c r="AH234" s="40">
        <v>0.04</v>
      </c>
      <c r="AI234" s="40">
        <v>0.04</v>
      </c>
      <c r="AJ234" s="40">
        <v>0.04</v>
      </c>
      <c r="AK234" s="40">
        <v>0.04</v>
      </c>
      <c r="AL234" s="40">
        <v>0.04</v>
      </c>
      <c r="AM234" s="40">
        <v>0.04</v>
      </c>
      <c r="AN234" s="40">
        <v>0.04</v>
      </c>
      <c r="AO234" s="79">
        <v>3600</v>
      </c>
      <c r="AP234" s="6">
        <f t="shared" si="0"/>
        <v>144</v>
      </c>
      <c r="AQ234" s="115">
        <v>0</v>
      </c>
      <c r="AR234" s="6">
        <f t="shared" si="1"/>
        <v>0</v>
      </c>
      <c r="AS234" s="115" t="s">
        <v>573</v>
      </c>
      <c r="AT234" s="6">
        <f t="shared" si="25"/>
        <v>0</v>
      </c>
      <c r="AU234" s="115">
        <v>0</v>
      </c>
      <c r="AV234" s="1">
        <f t="shared" si="7"/>
        <v>0</v>
      </c>
      <c r="AW234" s="115">
        <v>0</v>
      </c>
      <c r="AX234" s="1">
        <f t="shared" si="30"/>
        <v>0</v>
      </c>
      <c r="AY234" s="5" t="s">
        <v>573</v>
      </c>
      <c r="AZ234" s="1">
        <f t="shared" si="9"/>
        <v>0</v>
      </c>
      <c r="BA234" s="5" t="s">
        <v>573</v>
      </c>
      <c r="BB234" s="1">
        <f t="shared" si="10"/>
        <v>0</v>
      </c>
      <c r="BC234" s="5" t="s">
        <v>573</v>
      </c>
      <c r="BD234" s="1">
        <f t="shared" si="3"/>
        <v>0</v>
      </c>
      <c r="BE234" s="150" t="s">
        <v>573</v>
      </c>
      <c r="BF234" s="1">
        <f t="shared" si="26"/>
        <v>0</v>
      </c>
      <c r="BG234" s="150" t="s">
        <v>573</v>
      </c>
      <c r="BH234" s="1">
        <f t="shared" si="29"/>
        <v>0</v>
      </c>
      <c r="BI234" s="150" t="s">
        <v>573</v>
      </c>
      <c r="BJ234" s="1">
        <f t="shared" si="27"/>
        <v>0</v>
      </c>
      <c r="BK234" s="156" t="s">
        <v>573</v>
      </c>
      <c r="BL234" s="1">
        <f t="shared" si="31"/>
        <v>0</v>
      </c>
      <c r="BM234" s="141" t="s">
        <v>672</v>
      </c>
      <c r="BN234" s="136" t="s">
        <v>32</v>
      </c>
      <c r="BO234" s="139" t="s">
        <v>760</v>
      </c>
      <c r="BP234" s="137">
        <v>45838</v>
      </c>
    </row>
    <row r="235" spans="1:68" ht="15.75" customHeight="1">
      <c r="A235" s="109" t="s">
        <v>751</v>
      </c>
      <c r="B235" s="122" t="s">
        <v>184</v>
      </c>
      <c r="C235" s="301"/>
      <c r="D235" s="304"/>
      <c r="E235" s="304"/>
      <c r="F235" s="297"/>
      <c r="G235" s="78">
        <v>2016</v>
      </c>
      <c r="H235" s="105" t="s">
        <v>733</v>
      </c>
      <c r="I235" s="76" t="s">
        <v>196</v>
      </c>
      <c r="J235" s="102" t="s">
        <v>197</v>
      </c>
      <c r="K235" s="105" t="s">
        <v>221</v>
      </c>
      <c r="L235" s="105" t="s">
        <v>192</v>
      </c>
      <c r="M235" s="13" t="s">
        <v>193</v>
      </c>
      <c r="N235" s="13">
        <v>4.87</v>
      </c>
      <c r="O235" s="13">
        <v>3.87</v>
      </c>
      <c r="P235" s="13">
        <v>3.87</v>
      </c>
      <c r="Q235" s="13">
        <v>3.87</v>
      </c>
      <c r="R235" s="13">
        <v>3.87</v>
      </c>
      <c r="S235" s="13">
        <v>3.87</v>
      </c>
      <c r="T235" s="13">
        <v>3.87</v>
      </c>
      <c r="U235" s="13">
        <v>3.87</v>
      </c>
      <c r="V235" s="13">
        <v>3.87</v>
      </c>
      <c r="W235" s="13">
        <v>3.87</v>
      </c>
      <c r="X235" s="13">
        <v>3.87</v>
      </c>
      <c r="Y235" s="13">
        <v>3.87</v>
      </c>
      <c r="Z235" s="13">
        <v>3.87</v>
      </c>
      <c r="AA235" s="13">
        <v>3.87</v>
      </c>
      <c r="AB235" s="40">
        <v>0.04</v>
      </c>
      <c r="AC235" s="40">
        <v>0.04</v>
      </c>
      <c r="AD235" s="40">
        <v>0.04</v>
      </c>
      <c r="AE235" s="40">
        <v>0.04</v>
      </c>
      <c r="AF235" s="40">
        <v>0.04</v>
      </c>
      <c r="AG235" s="40">
        <v>0.04</v>
      </c>
      <c r="AH235" s="40">
        <v>0.04</v>
      </c>
      <c r="AI235" s="40">
        <v>0.04</v>
      </c>
      <c r="AJ235" s="40">
        <v>0.04</v>
      </c>
      <c r="AK235" s="40">
        <v>0.04</v>
      </c>
      <c r="AL235" s="40">
        <v>0.04</v>
      </c>
      <c r="AM235" s="40">
        <v>0.04</v>
      </c>
      <c r="AN235" s="40">
        <v>0.04</v>
      </c>
      <c r="AO235" s="116">
        <v>0</v>
      </c>
      <c r="AP235" s="6">
        <f t="shared" si="0"/>
        <v>0</v>
      </c>
      <c r="AQ235" s="115">
        <v>0</v>
      </c>
      <c r="AR235" s="6">
        <f t="shared" si="1"/>
        <v>0</v>
      </c>
      <c r="AS235" s="115">
        <v>3600</v>
      </c>
      <c r="AT235" s="6">
        <f t="shared" si="25"/>
        <v>144</v>
      </c>
      <c r="AU235" s="115">
        <v>0</v>
      </c>
      <c r="AV235" s="1">
        <f t="shared" si="7"/>
        <v>0</v>
      </c>
      <c r="AW235" s="115">
        <v>0</v>
      </c>
      <c r="AX235" s="1">
        <f t="shared" si="30"/>
        <v>0</v>
      </c>
      <c r="AY235" s="5" t="s">
        <v>573</v>
      </c>
      <c r="AZ235" s="1">
        <f t="shared" si="9"/>
        <v>0</v>
      </c>
      <c r="BA235" s="5" t="s">
        <v>573</v>
      </c>
      <c r="BB235" s="1">
        <f t="shared" si="10"/>
        <v>0</v>
      </c>
      <c r="BC235" s="5" t="s">
        <v>573</v>
      </c>
      <c r="BD235" s="1">
        <f t="shared" si="3"/>
        <v>0</v>
      </c>
      <c r="BE235" s="150" t="s">
        <v>573</v>
      </c>
      <c r="BF235" s="1">
        <f t="shared" si="26"/>
        <v>0</v>
      </c>
      <c r="BG235" s="150" t="s">
        <v>573</v>
      </c>
      <c r="BH235" s="1">
        <f t="shared" si="29"/>
        <v>0</v>
      </c>
      <c r="BI235" s="150" t="s">
        <v>573</v>
      </c>
      <c r="BJ235" s="1">
        <f t="shared" si="27"/>
        <v>0</v>
      </c>
      <c r="BK235" s="156" t="s">
        <v>573</v>
      </c>
      <c r="BL235" s="1">
        <f t="shared" si="31"/>
        <v>0</v>
      </c>
      <c r="BM235" s="141" t="s">
        <v>676</v>
      </c>
      <c r="BN235" s="136" t="s">
        <v>32</v>
      </c>
      <c r="BO235" s="139" t="s">
        <v>760</v>
      </c>
      <c r="BP235" s="137">
        <v>45838</v>
      </c>
    </row>
    <row r="236" spans="1:68" ht="15.75" customHeight="1">
      <c r="A236" s="109" t="s">
        <v>751</v>
      </c>
      <c r="B236" s="122" t="s">
        <v>184</v>
      </c>
      <c r="C236" s="301"/>
      <c r="D236" s="304"/>
      <c r="E236" s="304"/>
      <c r="F236" s="297"/>
      <c r="G236" s="78">
        <v>2023</v>
      </c>
      <c r="H236" s="105" t="str">
        <f>_xlfn.XLOOKUP(BM236,'[5]Package breakdown0503'!$F:$F,'[5]Package breakdown0503'!$B:$B)</f>
        <v>MilkaB</v>
      </c>
      <c r="I236" s="76" t="s">
        <v>196</v>
      </c>
      <c r="J236" s="102" t="s">
        <v>197</v>
      </c>
      <c r="K236" s="105" t="s">
        <v>221</v>
      </c>
      <c r="L236" s="105" t="s">
        <v>192</v>
      </c>
      <c r="M236" s="13" t="s">
        <v>193</v>
      </c>
      <c r="N236" s="13">
        <v>4.18</v>
      </c>
      <c r="O236" s="13">
        <v>4.2199999999999989</v>
      </c>
      <c r="P236" s="13">
        <v>4.2199999999999989</v>
      </c>
      <c r="Q236" s="13">
        <v>4.2199999999999989</v>
      </c>
      <c r="R236" s="13">
        <v>4.2199999999999989</v>
      </c>
      <c r="S236" s="13">
        <v>4.22</v>
      </c>
      <c r="T236" s="13">
        <v>4.22</v>
      </c>
      <c r="U236" s="13">
        <v>4.22</v>
      </c>
      <c r="V236" s="13">
        <v>4.22</v>
      </c>
      <c r="W236" s="13">
        <v>4.22</v>
      </c>
      <c r="X236" s="13">
        <v>4.22</v>
      </c>
      <c r="Y236" s="13">
        <v>4.22</v>
      </c>
      <c r="Z236" s="13">
        <v>4.22</v>
      </c>
      <c r="AA236" s="13">
        <v>4.22</v>
      </c>
      <c r="AB236" s="40">
        <v>0</v>
      </c>
      <c r="AC236" s="40">
        <v>0</v>
      </c>
      <c r="AD236" s="40">
        <v>0</v>
      </c>
      <c r="AE236" s="40">
        <v>0</v>
      </c>
      <c r="AF236" s="40">
        <v>0</v>
      </c>
      <c r="AG236" s="40">
        <v>0</v>
      </c>
      <c r="AH236" s="40">
        <v>0</v>
      </c>
      <c r="AI236" s="40">
        <v>0</v>
      </c>
      <c r="AJ236" s="40">
        <v>7.0000000000000007E-2</v>
      </c>
      <c r="AK236" s="40">
        <v>7.0000000000000007E-2</v>
      </c>
      <c r="AL236" s="40">
        <v>7.0000000000000007E-2</v>
      </c>
      <c r="AM236" s="40">
        <v>7.0000000000000007E-2</v>
      </c>
      <c r="AN236" s="40">
        <v>7.0000000000000007E-2</v>
      </c>
      <c r="AO236" s="116">
        <v>0</v>
      </c>
      <c r="AP236" s="6">
        <f t="shared" si="0"/>
        <v>0</v>
      </c>
      <c r="AQ236" s="116">
        <v>0</v>
      </c>
      <c r="AR236" s="6">
        <f t="shared" si="1"/>
        <v>0</v>
      </c>
      <c r="AS236" s="115" t="s">
        <v>573</v>
      </c>
      <c r="AT236" s="6">
        <f t="shared" si="25"/>
        <v>0</v>
      </c>
      <c r="AU236" s="115">
        <v>0</v>
      </c>
      <c r="AV236" s="1">
        <f t="shared" si="7"/>
        <v>0</v>
      </c>
      <c r="AW236" s="115">
        <v>0</v>
      </c>
      <c r="AX236" s="1">
        <f t="shared" si="30"/>
        <v>0</v>
      </c>
      <c r="AY236" s="5" t="s">
        <v>573</v>
      </c>
      <c r="AZ236" s="1">
        <f t="shared" si="9"/>
        <v>0</v>
      </c>
      <c r="BA236" s="5" t="s">
        <v>573</v>
      </c>
      <c r="BB236" s="1">
        <f t="shared" si="10"/>
        <v>0</v>
      </c>
      <c r="BC236" s="5" t="s">
        <v>573</v>
      </c>
      <c r="BD236" s="144">
        <f t="shared" si="3"/>
        <v>0</v>
      </c>
      <c r="BE236" s="150" t="s">
        <v>573</v>
      </c>
      <c r="BF236" s="1">
        <f t="shared" si="26"/>
        <v>0</v>
      </c>
      <c r="BG236" s="150" t="s">
        <v>573</v>
      </c>
      <c r="BH236" s="1">
        <f t="shared" si="29"/>
        <v>0</v>
      </c>
      <c r="BI236" s="150" t="s">
        <v>573</v>
      </c>
      <c r="BJ236" s="1">
        <f t="shared" si="27"/>
        <v>0</v>
      </c>
      <c r="BK236" s="156" t="s">
        <v>573</v>
      </c>
      <c r="BL236" s="1">
        <f t="shared" si="31"/>
        <v>0</v>
      </c>
      <c r="BM236" s="141" t="s">
        <v>1291</v>
      </c>
      <c r="BN236" s="136" t="s">
        <v>497</v>
      </c>
      <c r="BO236" s="139" t="s">
        <v>807</v>
      </c>
      <c r="BP236" s="137">
        <v>45596</v>
      </c>
    </row>
    <row r="237" spans="1:68" ht="15.75" customHeight="1">
      <c r="A237" s="109" t="s">
        <v>751</v>
      </c>
      <c r="B237" s="122" t="s">
        <v>184</v>
      </c>
      <c r="C237" s="301"/>
      <c r="D237" s="304"/>
      <c r="E237" s="304"/>
      <c r="F237" s="297"/>
      <c r="G237" s="78">
        <v>2023</v>
      </c>
      <c r="H237" s="105" t="str">
        <f>_xlfn.XLOOKUP(BM237,'[5]Package breakdown0503'!$F:$F,'[5]Package breakdown0503'!$B:$B)</f>
        <v>MilkaB</v>
      </c>
      <c r="I237" s="76" t="s">
        <v>196</v>
      </c>
      <c r="J237" s="102" t="s">
        <v>197</v>
      </c>
      <c r="K237" s="105" t="s">
        <v>775</v>
      </c>
      <c r="L237" s="105" t="s">
        <v>192</v>
      </c>
      <c r="M237" s="13" t="s">
        <v>193</v>
      </c>
      <c r="N237" s="13">
        <v>4.7</v>
      </c>
      <c r="O237" s="13">
        <v>4.7</v>
      </c>
      <c r="P237" s="13">
        <v>4.7</v>
      </c>
      <c r="Q237" s="13">
        <v>4.7</v>
      </c>
      <c r="R237" s="13">
        <v>4.7</v>
      </c>
      <c r="S237" s="13">
        <v>4.7</v>
      </c>
      <c r="T237" s="13">
        <v>4.7</v>
      </c>
      <c r="U237" s="13">
        <v>4.7</v>
      </c>
      <c r="V237" s="13">
        <v>4.7</v>
      </c>
      <c r="W237" s="13">
        <v>4.7</v>
      </c>
      <c r="X237" s="13">
        <v>4.7</v>
      </c>
      <c r="Y237" s="13">
        <v>4.7</v>
      </c>
      <c r="Z237" s="13">
        <v>4.7</v>
      </c>
      <c r="AA237" s="13">
        <v>4.7</v>
      </c>
      <c r="AB237" s="40">
        <v>0</v>
      </c>
      <c r="AC237" s="40">
        <v>0</v>
      </c>
      <c r="AD237" s="40">
        <v>0</v>
      </c>
      <c r="AE237" s="40">
        <v>0</v>
      </c>
      <c r="AF237" s="40">
        <v>0</v>
      </c>
      <c r="AG237" s="40">
        <v>0</v>
      </c>
      <c r="AH237" s="40">
        <v>0</v>
      </c>
      <c r="AI237" s="40">
        <v>0</v>
      </c>
      <c r="AJ237" s="40">
        <v>7.0000000000000007E-2</v>
      </c>
      <c r="AK237" s="40">
        <v>7.0000000000000007E-2</v>
      </c>
      <c r="AL237" s="40">
        <v>7.0000000000000007E-2</v>
      </c>
      <c r="AM237" s="40">
        <v>7.0000000000000007E-2</v>
      </c>
      <c r="AN237" s="40">
        <v>7.0000000000000007E-2</v>
      </c>
      <c r="AO237" s="116">
        <v>0</v>
      </c>
      <c r="AP237" s="6">
        <f t="shared" si="0"/>
        <v>0</v>
      </c>
      <c r="AQ237" s="116">
        <v>0</v>
      </c>
      <c r="AR237" s="6">
        <f t="shared" si="1"/>
        <v>0</v>
      </c>
      <c r="AS237" s="115" t="s">
        <v>573</v>
      </c>
      <c r="AT237" s="6">
        <f t="shared" si="25"/>
        <v>0</v>
      </c>
      <c r="AU237" s="115">
        <v>0</v>
      </c>
      <c r="AV237" s="1">
        <f t="shared" si="7"/>
        <v>0</v>
      </c>
      <c r="AW237" s="115">
        <v>0</v>
      </c>
      <c r="AX237" s="1">
        <f t="shared" si="30"/>
        <v>0</v>
      </c>
      <c r="AY237" s="5" t="s">
        <v>573</v>
      </c>
      <c r="AZ237" s="1">
        <f t="shared" si="9"/>
        <v>0</v>
      </c>
      <c r="BA237" s="5" t="s">
        <v>573</v>
      </c>
      <c r="BB237" s="1">
        <f t="shared" si="10"/>
        <v>0</v>
      </c>
      <c r="BC237" s="5" t="s">
        <v>573</v>
      </c>
      <c r="BD237" s="144">
        <f t="shared" si="3"/>
        <v>0</v>
      </c>
      <c r="BE237" s="150" t="s">
        <v>573</v>
      </c>
      <c r="BF237" s="1">
        <f t="shared" si="26"/>
        <v>0</v>
      </c>
      <c r="BG237" s="150" t="s">
        <v>573</v>
      </c>
      <c r="BH237" s="1">
        <f t="shared" si="29"/>
        <v>0</v>
      </c>
      <c r="BI237" s="150" t="s">
        <v>573</v>
      </c>
      <c r="BJ237" s="1">
        <f t="shared" si="27"/>
        <v>0</v>
      </c>
      <c r="BK237" s="156" t="s">
        <v>573</v>
      </c>
      <c r="BL237" s="1">
        <f t="shared" si="31"/>
        <v>0</v>
      </c>
      <c r="BM237" s="142" t="s">
        <v>681</v>
      </c>
      <c r="BN237" s="136" t="s">
        <v>493</v>
      </c>
      <c r="BO237" s="139" t="s">
        <v>1316</v>
      </c>
      <c r="BP237" s="137">
        <v>45322</v>
      </c>
    </row>
    <row r="238" spans="1:68" ht="15.75" customHeight="1">
      <c r="A238" s="109" t="s">
        <v>751</v>
      </c>
      <c r="B238" s="122" t="s">
        <v>184</v>
      </c>
      <c r="C238" s="301"/>
      <c r="D238" s="304"/>
      <c r="E238" s="304"/>
      <c r="F238" s="297"/>
      <c r="G238" s="78">
        <v>2023</v>
      </c>
      <c r="H238" s="105" t="str">
        <f>_xlfn.XLOOKUP(BM238,'[5]Package breakdown0503'!$F:$F,'[5]Package breakdown0503'!$B:$B)</f>
        <v>MilkaB</v>
      </c>
      <c r="I238" s="76" t="s">
        <v>196</v>
      </c>
      <c r="J238" s="102" t="s">
        <v>197</v>
      </c>
      <c r="K238" s="105" t="s">
        <v>775</v>
      </c>
      <c r="L238" s="105" t="s">
        <v>192</v>
      </c>
      <c r="M238" s="13" t="s">
        <v>193</v>
      </c>
      <c r="N238" s="13">
        <v>4.75</v>
      </c>
      <c r="O238" s="13">
        <v>4.75</v>
      </c>
      <c r="P238" s="13">
        <v>4.75</v>
      </c>
      <c r="Q238" s="13">
        <v>4.75</v>
      </c>
      <c r="R238" s="13">
        <v>4.75</v>
      </c>
      <c r="S238" s="13">
        <v>4.75</v>
      </c>
      <c r="T238" s="13">
        <v>4.75</v>
      </c>
      <c r="U238" s="13">
        <v>4.75</v>
      </c>
      <c r="V238" s="13">
        <v>4.75</v>
      </c>
      <c r="W238" s="13">
        <v>4.75</v>
      </c>
      <c r="X238" s="13">
        <v>4.75</v>
      </c>
      <c r="Y238" s="13">
        <v>4.75</v>
      </c>
      <c r="Z238" s="13">
        <v>4.75</v>
      </c>
      <c r="AA238" s="13">
        <v>4.75</v>
      </c>
      <c r="AB238" s="40">
        <v>0</v>
      </c>
      <c r="AC238" s="40">
        <v>0</v>
      </c>
      <c r="AD238" s="40">
        <v>0</v>
      </c>
      <c r="AE238" s="40">
        <v>0</v>
      </c>
      <c r="AF238" s="40">
        <v>0</v>
      </c>
      <c r="AG238" s="40">
        <v>0</v>
      </c>
      <c r="AH238" s="40">
        <v>0</v>
      </c>
      <c r="AI238" s="40">
        <v>0</v>
      </c>
      <c r="AJ238" s="40">
        <v>7.0000000000000007E-2</v>
      </c>
      <c r="AK238" s="40">
        <v>7.0000000000000007E-2</v>
      </c>
      <c r="AL238" s="40">
        <v>7.0000000000000007E-2</v>
      </c>
      <c r="AM238" s="40">
        <v>7.0000000000000007E-2</v>
      </c>
      <c r="AN238" s="40">
        <v>7.0000000000000007E-2</v>
      </c>
      <c r="AO238" s="116">
        <v>0</v>
      </c>
      <c r="AP238" s="6">
        <f t="shared" si="0"/>
        <v>0</v>
      </c>
      <c r="AQ238" s="116">
        <v>0</v>
      </c>
      <c r="AR238" s="6">
        <f t="shared" si="1"/>
        <v>0</v>
      </c>
      <c r="AS238" s="115" t="s">
        <v>573</v>
      </c>
      <c r="AT238" s="6">
        <f t="shared" si="25"/>
        <v>0</v>
      </c>
      <c r="AU238" s="115">
        <v>0</v>
      </c>
      <c r="AV238" s="1">
        <f t="shared" si="7"/>
        <v>0</v>
      </c>
      <c r="AW238" s="115">
        <v>0</v>
      </c>
      <c r="AX238" s="1">
        <f t="shared" si="30"/>
        <v>0</v>
      </c>
      <c r="AY238" s="5" t="s">
        <v>573</v>
      </c>
      <c r="AZ238" s="1">
        <f t="shared" si="9"/>
        <v>0</v>
      </c>
      <c r="BA238" s="5" t="s">
        <v>573</v>
      </c>
      <c r="BB238" s="1">
        <f t="shared" si="10"/>
        <v>0</v>
      </c>
      <c r="BC238" s="5" t="s">
        <v>573</v>
      </c>
      <c r="BD238" s="144">
        <f t="shared" si="3"/>
        <v>0</v>
      </c>
      <c r="BE238" s="150" t="s">
        <v>573</v>
      </c>
      <c r="BF238" s="1">
        <f t="shared" si="26"/>
        <v>0</v>
      </c>
      <c r="BG238" s="150" t="s">
        <v>573</v>
      </c>
      <c r="BH238" s="1">
        <f t="shared" si="29"/>
        <v>0</v>
      </c>
      <c r="BI238" s="150" t="s">
        <v>573</v>
      </c>
      <c r="BJ238" s="1">
        <f t="shared" si="27"/>
        <v>0</v>
      </c>
      <c r="BK238" s="156" t="s">
        <v>573</v>
      </c>
      <c r="BL238" s="1">
        <f t="shared" si="31"/>
        <v>0</v>
      </c>
      <c r="BM238" s="142" t="s">
        <v>681</v>
      </c>
      <c r="BN238" s="136" t="s">
        <v>32</v>
      </c>
      <c r="BO238" s="139" t="s">
        <v>1316</v>
      </c>
      <c r="BP238" s="137">
        <v>45838</v>
      </c>
    </row>
    <row r="239" spans="1:68" ht="15.75" customHeight="1">
      <c r="A239" s="109" t="s">
        <v>751</v>
      </c>
      <c r="B239" s="122" t="s">
        <v>184</v>
      </c>
      <c r="C239" s="301"/>
      <c r="D239" s="304"/>
      <c r="E239" s="304"/>
      <c r="F239" s="297"/>
      <c r="G239" s="78">
        <v>2023</v>
      </c>
      <c r="H239" s="105" t="str">
        <f>_xlfn.XLOOKUP(BM239,'[5]Package breakdown0503'!$F:$F,'[5]Package breakdown0503'!$B:$B)</f>
        <v>MilkaB</v>
      </c>
      <c r="I239" s="76" t="s">
        <v>196</v>
      </c>
      <c r="J239" s="102" t="s">
        <v>197</v>
      </c>
      <c r="K239" s="105" t="s">
        <v>775</v>
      </c>
      <c r="L239" s="105" t="s">
        <v>192</v>
      </c>
      <c r="M239" s="13" t="s">
        <v>193</v>
      </c>
      <c r="N239" s="13">
        <v>4.7</v>
      </c>
      <c r="O239" s="13">
        <v>4.7</v>
      </c>
      <c r="P239" s="13">
        <v>4.7</v>
      </c>
      <c r="Q239" s="13">
        <v>4.7</v>
      </c>
      <c r="R239" s="13">
        <v>4.7</v>
      </c>
      <c r="S239" s="13">
        <v>4.7</v>
      </c>
      <c r="T239" s="13">
        <v>4.7</v>
      </c>
      <c r="U239" s="13">
        <v>4.7</v>
      </c>
      <c r="V239" s="13">
        <v>4.7</v>
      </c>
      <c r="W239" s="13">
        <v>4.7</v>
      </c>
      <c r="X239" s="13">
        <v>4.7</v>
      </c>
      <c r="Y239" s="13">
        <v>4.7</v>
      </c>
      <c r="Z239" s="13">
        <v>4.7</v>
      </c>
      <c r="AA239" s="13">
        <v>4.7</v>
      </c>
      <c r="AB239" s="40">
        <v>0</v>
      </c>
      <c r="AC239" s="40">
        <v>0</v>
      </c>
      <c r="AD239" s="40">
        <v>0</v>
      </c>
      <c r="AE239" s="40">
        <v>0</v>
      </c>
      <c r="AF239" s="40">
        <v>0</v>
      </c>
      <c r="AG239" s="40">
        <v>0</v>
      </c>
      <c r="AH239" s="40">
        <v>0</v>
      </c>
      <c r="AI239" s="40">
        <v>0</v>
      </c>
      <c r="AJ239" s="40">
        <v>7.0000000000000007E-2</v>
      </c>
      <c r="AK239" s="40">
        <v>7.0000000000000007E-2</v>
      </c>
      <c r="AL239" s="40">
        <v>7.0000000000000007E-2</v>
      </c>
      <c r="AM239" s="40">
        <v>7.0000000000000007E-2</v>
      </c>
      <c r="AN239" s="40">
        <v>7.0000000000000007E-2</v>
      </c>
      <c r="AO239" s="116">
        <v>0</v>
      </c>
      <c r="AP239" s="6">
        <f t="shared" si="0"/>
        <v>0</v>
      </c>
      <c r="AQ239" s="116">
        <v>0</v>
      </c>
      <c r="AR239" s="6">
        <f t="shared" si="1"/>
        <v>0</v>
      </c>
      <c r="AS239" s="115" t="s">
        <v>573</v>
      </c>
      <c r="AT239" s="6">
        <f t="shared" si="25"/>
        <v>0</v>
      </c>
      <c r="AU239" s="115">
        <v>0</v>
      </c>
      <c r="AV239" s="1">
        <f t="shared" si="7"/>
        <v>0</v>
      </c>
      <c r="AW239" s="115">
        <v>0</v>
      </c>
      <c r="AX239" s="1">
        <f t="shared" si="30"/>
        <v>0</v>
      </c>
      <c r="AY239" s="5" t="s">
        <v>573</v>
      </c>
      <c r="AZ239" s="1">
        <f t="shared" si="9"/>
        <v>0</v>
      </c>
      <c r="BA239" s="5" t="s">
        <v>573</v>
      </c>
      <c r="BB239" s="1">
        <f t="shared" si="10"/>
        <v>0</v>
      </c>
      <c r="BC239" s="5" t="s">
        <v>573</v>
      </c>
      <c r="BD239" s="144">
        <f t="shared" si="3"/>
        <v>0</v>
      </c>
      <c r="BE239" s="150" t="s">
        <v>573</v>
      </c>
      <c r="BF239" s="1">
        <f t="shared" si="26"/>
        <v>0</v>
      </c>
      <c r="BG239" s="150" t="s">
        <v>573</v>
      </c>
      <c r="BH239" s="1">
        <f t="shared" si="29"/>
        <v>0</v>
      </c>
      <c r="BI239" s="150" t="s">
        <v>573</v>
      </c>
      <c r="BJ239" s="1">
        <f t="shared" si="27"/>
        <v>0</v>
      </c>
      <c r="BK239" s="156" t="s">
        <v>573</v>
      </c>
      <c r="BL239" s="1">
        <f t="shared" si="31"/>
        <v>0</v>
      </c>
      <c r="BM239" s="142" t="s">
        <v>681</v>
      </c>
      <c r="BN239" s="136" t="s">
        <v>496</v>
      </c>
      <c r="BO239" s="139" t="s">
        <v>1316</v>
      </c>
      <c r="BP239" s="137">
        <v>45838</v>
      </c>
    </row>
    <row r="240" spans="1:68" ht="15.75" customHeight="1">
      <c r="A240" s="109" t="s">
        <v>751</v>
      </c>
      <c r="B240" s="122" t="s">
        <v>184</v>
      </c>
      <c r="C240" s="301"/>
      <c r="D240" s="304"/>
      <c r="E240" s="304"/>
      <c r="F240" s="297"/>
      <c r="G240" s="78">
        <v>2023</v>
      </c>
      <c r="H240" s="105" t="s">
        <v>741</v>
      </c>
      <c r="I240" s="76" t="s">
        <v>196</v>
      </c>
      <c r="J240" s="102" t="s">
        <v>197</v>
      </c>
      <c r="K240" s="105" t="s">
        <v>221</v>
      </c>
      <c r="L240" s="105" t="s">
        <v>192</v>
      </c>
      <c r="M240" s="13" t="s">
        <v>193</v>
      </c>
      <c r="N240" s="13">
        <v>4.3499999999999996</v>
      </c>
      <c r="O240" s="13">
        <v>4.3499999999999996</v>
      </c>
      <c r="P240" s="13">
        <v>4.3499999999999996</v>
      </c>
      <c r="Q240" s="13">
        <v>4.3499999999999996</v>
      </c>
      <c r="R240" s="13">
        <v>4.3499999999999996</v>
      </c>
      <c r="S240" s="13">
        <v>4.3499999999999996</v>
      </c>
      <c r="T240" s="13">
        <v>4.3499999999999996</v>
      </c>
      <c r="U240" s="13">
        <v>4.3499999999999996</v>
      </c>
      <c r="V240" s="13">
        <v>4.3499999999999996</v>
      </c>
      <c r="W240" s="13">
        <v>4.3499999999999996</v>
      </c>
      <c r="X240" s="13">
        <v>4.3499999999999996</v>
      </c>
      <c r="Y240" s="13">
        <v>4.3499999999999996</v>
      </c>
      <c r="Z240" s="13">
        <v>4.3499999999999996</v>
      </c>
      <c r="AA240" s="13">
        <v>4.3499999999999996</v>
      </c>
      <c r="AB240" s="40">
        <v>0</v>
      </c>
      <c r="AC240" s="40">
        <v>0</v>
      </c>
      <c r="AD240" s="40">
        <v>0</v>
      </c>
      <c r="AE240" s="40">
        <v>0</v>
      </c>
      <c r="AF240" s="40">
        <v>0</v>
      </c>
      <c r="AG240" s="40">
        <v>0</v>
      </c>
      <c r="AH240" s="40">
        <v>0</v>
      </c>
      <c r="AI240" s="40">
        <v>0</v>
      </c>
      <c r="AJ240" s="40">
        <v>7.0000000000000007E-2</v>
      </c>
      <c r="AK240" s="40">
        <v>7.0000000000000007E-2</v>
      </c>
      <c r="AL240" s="40">
        <v>7.0000000000000007E-2</v>
      </c>
      <c r="AM240" s="40">
        <v>7.0000000000000007E-2</v>
      </c>
      <c r="AN240" s="40">
        <v>7.0000000000000007E-2</v>
      </c>
      <c r="AO240" s="116">
        <v>0</v>
      </c>
      <c r="AP240" s="6">
        <f t="shared" si="0"/>
        <v>0</v>
      </c>
      <c r="AQ240" s="116">
        <v>0</v>
      </c>
      <c r="AR240" s="6">
        <f t="shared" si="1"/>
        <v>0</v>
      </c>
      <c r="AS240" s="115" t="s">
        <v>573</v>
      </c>
      <c r="AT240" s="6">
        <f t="shared" si="25"/>
        <v>0</v>
      </c>
      <c r="AU240" s="115">
        <v>0</v>
      </c>
      <c r="AV240" s="1">
        <f t="shared" si="7"/>
        <v>0</v>
      </c>
      <c r="AW240" s="115">
        <v>0</v>
      </c>
      <c r="AX240" s="1">
        <f t="shared" si="30"/>
        <v>0</v>
      </c>
      <c r="AY240" s="5" t="s">
        <v>573</v>
      </c>
      <c r="AZ240" s="1">
        <f t="shared" si="9"/>
        <v>0</v>
      </c>
      <c r="BA240" s="5" t="s">
        <v>573</v>
      </c>
      <c r="BB240" s="1">
        <f t="shared" si="10"/>
        <v>0</v>
      </c>
      <c r="BC240" s="5" t="s">
        <v>573</v>
      </c>
      <c r="BD240" s="144">
        <f t="shared" si="3"/>
        <v>0</v>
      </c>
      <c r="BE240" s="150" t="s">
        <v>573</v>
      </c>
      <c r="BF240" s="1">
        <f t="shared" si="26"/>
        <v>0</v>
      </c>
      <c r="BG240" s="150" t="s">
        <v>573</v>
      </c>
      <c r="BH240" s="1">
        <f t="shared" si="29"/>
        <v>0</v>
      </c>
      <c r="BI240" s="150" t="s">
        <v>573</v>
      </c>
      <c r="BJ240" s="1">
        <f t="shared" si="27"/>
        <v>0</v>
      </c>
      <c r="BK240" s="156" t="s">
        <v>573</v>
      </c>
      <c r="BL240" s="1">
        <f t="shared" si="31"/>
        <v>0</v>
      </c>
      <c r="BM240" s="142" t="s">
        <v>680</v>
      </c>
      <c r="BN240" s="136" t="s">
        <v>493</v>
      </c>
      <c r="BO240" s="139" t="s">
        <v>1316</v>
      </c>
      <c r="BP240" s="137">
        <v>45322</v>
      </c>
    </row>
    <row r="241" spans="1:68" ht="15.75" customHeight="1">
      <c r="A241" s="109" t="s">
        <v>751</v>
      </c>
      <c r="B241" s="122" t="s">
        <v>184</v>
      </c>
      <c r="C241" s="301"/>
      <c r="D241" s="304"/>
      <c r="E241" s="304"/>
      <c r="F241" s="297"/>
      <c r="G241" s="78">
        <v>2023</v>
      </c>
      <c r="H241" s="105" t="s">
        <v>741</v>
      </c>
      <c r="I241" s="76" t="s">
        <v>196</v>
      </c>
      <c r="J241" s="103" t="s">
        <v>197</v>
      </c>
      <c r="K241" s="105" t="s">
        <v>221</v>
      </c>
      <c r="L241" s="105" t="s">
        <v>192</v>
      </c>
      <c r="M241" s="13" t="s">
        <v>193</v>
      </c>
      <c r="N241" s="13">
        <v>4.4000000000000004</v>
      </c>
      <c r="O241" s="13">
        <v>4.4000000000000004</v>
      </c>
      <c r="P241" s="13">
        <v>4.4000000000000004</v>
      </c>
      <c r="Q241" s="13">
        <v>4.4000000000000004</v>
      </c>
      <c r="R241" s="13">
        <v>4.4000000000000004</v>
      </c>
      <c r="S241" s="13">
        <v>4.4000000000000004</v>
      </c>
      <c r="T241" s="13">
        <v>4.4000000000000004</v>
      </c>
      <c r="U241" s="13">
        <v>4.4000000000000004</v>
      </c>
      <c r="V241" s="13">
        <v>4.4000000000000004</v>
      </c>
      <c r="W241" s="13">
        <v>4.4000000000000004</v>
      </c>
      <c r="X241" s="13">
        <v>4.4000000000000004</v>
      </c>
      <c r="Y241" s="13">
        <v>4.4000000000000004</v>
      </c>
      <c r="Z241" s="13">
        <v>4.4000000000000004</v>
      </c>
      <c r="AA241" s="13">
        <v>4.4000000000000004</v>
      </c>
      <c r="AB241" s="40">
        <v>0</v>
      </c>
      <c r="AC241" s="40">
        <v>0</v>
      </c>
      <c r="AD241" s="40">
        <v>0</v>
      </c>
      <c r="AE241" s="40">
        <v>0</v>
      </c>
      <c r="AF241" s="40">
        <v>0</v>
      </c>
      <c r="AG241" s="40">
        <v>0</v>
      </c>
      <c r="AH241" s="40">
        <v>0</v>
      </c>
      <c r="AI241" s="40">
        <v>0</v>
      </c>
      <c r="AJ241" s="40">
        <v>7.0000000000000007E-2</v>
      </c>
      <c r="AK241" s="40">
        <v>7.0000000000000007E-2</v>
      </c>
      <c r="AL241" s="40">
        <v>7.0000000000000007E-2</v>
      </c>
      <c r="AM241" s="40">
        <v>7.0000000000000007E-2</v>
      </c>
      <c r="AN241" s="40">
        <v>7.0000000000000007E-2</v>
      </c>
      <c r="AO241" s="116">
        <v>6000</v>
      </c>
      <c r="AP241" s="6">
        <f t="shared" si="0"/>
        <v>0</v>
      </c>
      <c r="AQ241" s="115">
        <v>12000</v>
      </c>
      <c r="AR241" s="6">
        <f t="shared" si="1"/>
        <v>0</v>
      </c>
      <c r="AS241" s="115">
        <v>9000</v>
      </c>
      <c r="AT241" s="6">
        <f t="shared" si="25"/>
        <v>0</v>
      </c>
      <c r="AU241" s="115">
        <v>3000</v>
      </c>
      <c r="AV241" s="1">
        <f t="shared" si="7"/>
        <v>0</v>
      </c>
      <c r="AW241" s="115">
        <v>6000</v>
      </c>
      <c r="AX241" s="1">
        <f t="shared" si="30"/>
        <v>0</v>
      </c>
      <c r="AY241" s="5">
        <v>6000</v>
      </c>
      <c r="AZ241" s="1">
        <f t="shared" si="9"/>
        <v>0</v>
      </c>
      <c r="BA241" s="5">
        <v>3000</v>
      </c>
      <c r="BB241" s="1">
        <f t="shared" si="10"/>
        <v>0</v>
      </c>
      <c r="BC241" s="5">
        <v>3000</v>
      </c>
      <c r="BD241" s="144">
        <f t="shared" si="3"/>
        <v>210.00000000000003</v>
      </c>
      <c r="BE241" s="171">
        <v>7200</v>
      </c>
      <c r="BF241" s="1">
        <f t="shared" si="26"/>
        <v>504.00000000000006</v>
      </c>
      <c r="BG241" s="150">
        <v>9000</v>
      </c>
      <c r="BH241" s="1">
        <f t="shared" si="29"/>
        <v>630.00000000000011</v>
      </c>
      <c r="BI241" s="150">
        <v>9000</v>
      </c>
      <c r="BJ241" s="1">
        <f t="shared" si="27"/>
        <v>630.00000000000011</v>
      </c>
      <c r="BK241" s="156">
        <v>3000</v>
      </c>
      <c r="BL241" s="1">
        <f t="shared" si="31"/>
        <v>210.00000000000003</v>
      </c>
      <c r="BM241" s="142" t="s">
        <v>680</v>
      </c>
      <c r="BN241" s="136" t="s">
        <v>32</v>
      </c>
      <c r="BO241" s="139" t="s">
        <v>760</v>
      </c>
      <c r="BP241" s="137">
        <v>45838</v>
      </c>
    </row>
    <row r="242" spans="1:68" ht="15.75" customHeight="1">
      <c r="A242" s="109" t="s">
        <v>751</v>
      </c>
      <c r="B242" s="122" t="s">
        <v>184</v>
      </c>
      <c r="C242" s="301"/>
      <c r="D242" s="304"/>
      <c r="E242" s="304"/>
      <c r="F242" s="297"/>
      <c r="G242" s="78">
        <v>2023</v>
      </c>
      <c r="H242" s="105" t="s">
        <v>741</v>
      </c>
      <c r="I242" s="76" t="s">
        <v>196</v>
      </c>
      <c r="J242" s="102" t="s">
        <v>197</v>
      </c>
      <c r="K242" s="105" t="s">
        <v>221</v>
      </c>
      <c r="L242" s="105" t="s">
        <v>192</v>
      </c>
      <c r="M242" s="13" t="s">
        <v>193</v>
      </c>
      <c r="N242" s="13">
        <v>4.3499999999999996</v>
      </c>
      <c r="O242" s="13">
        <v>4.3499999999999996</v>
      </c>
      <c r="P242" s="13">
        <v>4.3499999999999996</v>
      </c>
      <c r="Q242" s="13">
        <v>4.3499999999999996</v>
      </c>
      <c r="R242" s="13">
        <v>4.3499999999999996</v>
      </c>
      <c r="S242" s="13">
        <v>4.3499999999999996</v>
      </c>
      <c r="T242" s="13">
        <v>4.3499999999999996</v>
      </c>
      <c r="U242" s="13">
        <v>4.3499999999999996</v>
      </c>
      <c r="V242" s="13">
        <v>4.3499999999999996</v>
      </c>
      <c r="W242" s="13">
        <v>4.3499999999999996</v>
      </c>
      <c r="X242" s="13">
        <v>4.3499999999999996</v>
      </c>
      <c r="Y242" s="13">
        <v>4.3499999999999996</v>
      </c>
      <c r="Z242" s="13">
        <v>4.3499999999999996</v>
      </c>
      <c r="AA242" s="13">
        <v>4.3499999999999996</v>
      </c>
      <c r="AB242" s="40">
        <v>0</v>
      </c>
      <c r="AC242" s="40">
        <v>0</v>
      </c>
      <c r="AD242" s="40">
        <v>0</v>
      </c>
      <c r="AE242" s="40">
        <v>0</v>
      </c>
      <c r="AF242" s="40">
        <v>0</v>
      </c>
      <c r="AG242" s="40">
        <v>0</v>
      </c>
      <c r="AH242" s="40">
        <v>0</v>
      </c>
      <c r="AI242" s="40">
        <v>0</v>
      </c>
      <c r="AJ242" s="40">
        <v>7.0000000000000007E-2</v>
      </c>
      <c r="AK242" s="40">
        <v>7.0000000000000007E-2</v>
      </c>
      <c r="AL242" s="40">
        <v>7.0000000000000007E-2</v>
      </c>
      <c r="AM242" s="40">
        <v>7.0000000000000007E-2</v>
      </c>
      <c r="AN242" s="40">
        <v>7.0000000000000007E-2</v>
      </c>
      <c r="AO242" s="116">
        <v>3000</v>
      </c>
      <c r="AP242" s="6">
        <f t="shared" si="0"/>
        <v>0</v>
      </c>
      <c r="AQ242" s="115">
        <v>3000</v>
      </c>
      <c r="AR242" s="6">
        <f t="shared" si="1"/>
        <v>0</v>
      </c>
      <c r="AS242" s="115">
        <v>6000</v>
      </c>
      <c r="AT242" s="6">
        <f t="shared" si="25"/>
        <v>0</v>
      </c>
      <c r="AU242" s="115">
        <v>3000</v>
      </c>
      <c r="AV242" s="1">
        <f t="shared" si="7"/>
        <v>0</v>
      </c>
      <c r="AW242" s="115">
        <v>6000</v>
      </c>
      <c r="AX242" s="1">
        <f t="shared" si="30"/>
        <v>0</v>
      </c>
      <c r="AY242" s="5">
        <v>3000</v>
      </c>
      <c r="AZ242" s="1">
        <f t="shared" si="9"/>
        <v>0</v>
      </c>
      <c r="BA242" s="5" t="s">
        <v>573</v>
      </c>
      <c r="BB242" s="1">
        <f t="shared" si="10"/>
        <v>0</v>
      </c>
      <c r="BC242" s="5">
        <v>3000</v>
      </c>
      <c r="BD242" s="144">
        <f t="shared" si="3"/>
        <v>210.00000000000003</v>
      </c>
      <c r="BE242" s="171">
        <v>3000</v>
      </c>
      <c r="BF242" s="1">
        <f t="shared" si="26"/>
        <v>210.00000000000003</v>
      </c>
      <c r="BG242" s="150">
        <v>6000</v>
      </c>
      <c r="BH242" s="1">
        <f t="shared" si="29"/>
        <v>420.00000000000006</v>
      </c>
      <c r="BI242" s="150">
        <v>3000</v>
      </c>
      <c r="BJ242" s="1">
        <f t="shared" si="27"/>
        <v>210.00000000000003</v>
      </c>
      <c r="BK242" s="156">
        <v>3000</v>
      </c>
      <c r="BL242" s="1">
        <f t="shared" si="31"/>
        <v>210.00000000000003</v>
      </c>
      <c r="BM242" s="142" t="s">
        <v>680</v>
      </c>
      <c r="BN242" s="136" t="s">
        <v>496</v>
      </c>
      <c r="BO242" s="139" t="s">
        <v>760</v>
      </c>
      <c r="BP242" s="137">
        <v>45838</v>
      </c>
    </row>
    <row r="243" spans="1:68" ht="15.75" customHeight="1">
      <c r="A243" s="109" t="s">
        <v>751</v>
      </c>
      <c r="B243" s="122" t="s">
        <v>184</v>
      </c>
      <c r="C243" s="301"/>
      <c r="D243" s="304"/>
      <c r="E243" s="304"/>
      <c r="F243" s="297"/>
      <c r="G243" s="78">
        <v>2023</v>
      </c>
      <c r="H243" s="105" t="s">
        <v>741</v>
      </c>
      <c r="I243" s="76" t="s">
        <v>196</v>
      </c>
      <c r="J243" s="103" t="s">
        <v>197</v>
      </c>
      <c r="K243" s="105" t="s">
        <v>221</v>
      </c>
      <c r="L243" s="105" t="s">
        <v>192</v>
      </c>
      <c r="M243" s="13" t="s">
        <v>193</v>
      </c>
      <c r="N243" s="13">
        <v>4.3499999999999996</v>
      </c>
      <c r="O243" s="13">
        <v>4.3499999999999996</v>
      </c>
      <c r="P243" s="13">
        <v>4.3499999999999996</v>
      </c>
      <c r="Q243" s="13">
        <v>4.3499999999999996</v>
      </c>
      <c r="R243" s="13">
        <v>4.3499999999999996</v>
      </c>
      <c r="S243" s="13">
        <v>4.3499999999999996</v>
      </c>
      <c r="T243" s="13">
        <v>4.3499999999999996</v>
      </c>
      <c r="U243" s="13">
        <v>4.3499999999999996</v>
      </c>
      <c r="V243" s="13">
        <v>4.3499999999999996</v>
      </c>
      <c r="W243" s="13">
        <v>4.3499999999999996</v>
      </c>
      <c r="X243" s="13">
        <v>4.3499999999999996</v>
      </c>
      <c r="Y243" s="13">
        <v>4.3499999999999996</v>
      </c>
      <c r="Z243" s="13">
        <v>4.3499999999999996</v>
      </c>
      <c r="AA243" s="13">
        <v>4.3499999999999996</v>
      </c>
      <c r="AB243" s="40">
        <v>0</v>
      </c>
      <c r="AC243" s="40">
        <v>0</v>
      </c>
      <c r="AD243" s="40">
        <v>0</v>
      </c>
      <c r="AE243" s="40">
        <v>0</v>
      </c>
      <c r="AF243" s="40">
        <v>0</v>
      </c>
      <c r="AG243" s="40">
        <v>0</v>
      </c>
      <c r="AH243" s="40">
        <v>0</v>
      </c>
      <c r="AI243" s="40">
        <v>0</v>
      </c>
      <c r="AJ243" s="40">
        <v>7.0000000000000007E-2</v>
      </c>
      <c r="AK243" s="40">
        <v>7.0000000000000007E-2</v>
      </c>
      <c r="AL243" s="40">
        <v>7.0000000000000007E-2</v>
      </c>
      <c r="AM243" s="40">
        <v>7.0000000000000007E-2</v>
      </c>
      <c r="AN243" s="40">
        <v>7.0000000000000007E-2</v>
      </c>
      <c r="AO243" s="116">
        <v>0</v>
      </c>
      <c r="AP243" s="6">
        <f t="shared" si="0"/>
        <v>0</v>
      </c>
      <c r="AQ243" s="116">
        <v>0</v>
      </c>
      <c r="AR243" s="6">
        <f t="shared" si="1"/>
        <v>0</v>
      </c>
      <c r="AS243" s="115" t="s">
        <v>573</v>
      </c>
      <c r="AT243" s="6">
        <f t="shared" si="25"/>
        <v>0</v>
      </c>
      <c r="AU243" s="116">
        <v>0</v>
      </c>
      <c r="AV243" s="1">
        <f t="shared" si="7"/>
        <v>0</v>
      </c>
      <c r="AW243" s="115">
        <v>3000</v>
      </c>
      <c r="AX243" s="1">
        <f t="shared" si="30"/>
        <v>0</v>
      </c>
      <c r="AY243" s="5">
        <v>3000</v>
      </c>
      <c r="AZ243" s="1">
        <f t="shared" si="9"/>
        <v>0</v>
      </c>
      <c r="BA243" s="5">
        <v>3000</v>
      </c>
      <c r="BB243" s="1">
        <f t="shared" si="10"/>
        <v>0</v>
      </c>
      <c r="BC243" s="5">
        <v>3000</v>
      </c>
      <c r="BD243" s="144">
        <f t="shared" si="3"/>
        <v>210.00000000000003</v>
      </c>
      <c r="BE243" s="171">
        <v>3000</v>
      </c>
      <c r="BF243" s="1">
        <f t="shared" si="26"/>
        <v>210.00000000000003</v>
      </c>
      <c r="BG243" s="150">
        <v>3000</v>
      </c>
      <c r="BH243" s="1">
        <f t="shared" si="29"/>
        <v>210.00000000000003</v>
      </c>
      <c r="BI243" s="150">
        <v>3000</v>
      </c>
      <c r="BJ243" s="1">
        <f t="shared" si="27"/>
        <v>210.00000000000003</v>
      </c>
      <c r="BK243" s="156">
        <v>3000</v>
      </c>
      <c r="BL243" s="1">
        <f t="shared" si="31"/>
        <v>210.00000000000003</v>
      </c>
      <c r="BM243" s="142" t="s">
        <v>680</v>
      </c>
      <c r="BN243" s="136" t="s">
        <v>492</v>
      </c>
      <c r="BO243" s="139" t="s">
        <v>760</v>
      </c>
      <c r="BP243" s="137">
        <v>45777</v>
      </c>
    </row>
    <row r="244" spans="1:68" ht="15.75" customHeight="1">
      <c r="A244" s="109" t="s">
        <v>751</v>
      </c>
      <c r="B244" s="122" t="s">
        <v>184</v>
      </c>
      <c r="C244" s="301"/>
      <c r="D244" s="304"/>
      <c r="E244" s="304"/>
      <c r="F244" s="297"/>
      <c r="G244" s="78">
        <v>2023</v>
      </c>
      <c r="H244" s="105" t="s">
        <v>741</v>
      </c>
      <c r="I244" s="76" t="s">
        <v>196</v>
      </c>
      <c r="J244" s="102" t="s">
        <v>197</v>
      </c>
      <c r="K244" s="105" t="s">
        <v>221</v>
      </c>
      <c r="L244" s="105" t="s">
        <v>192</v>
      </c>
      <c r="M244" s="13" t="s">
        <v>193</v>
      </c>
      <c r="N244" s="13">
        <v>4.3499999999999996</v>
      </c>
      <c r="O244" s="13">
        <v>4.3499999999999996</v>
      </c>
      <c r="P244" s="13">
        <v>4.3499999999999996</v>
      </c>
      <c r="Q244" s="13">
        <v>4.3499999999999996</v>
      </c>
      <c r="R244" s="13">
        <v>4.3499999999999996</v>
      </c>
      <c r="S244" s="13">
        <v>4.3499999999999996</v>
      </c>
      <c r="T244" s="13">
        <v>4.3499999999999996</v>
      </c>
      <c r="U244" s="13">
        <v>4.3499999999999996</v>
      </c>
      <c r="V244" s="13">
        <v>4.3499999999999996</v>
      </c>
      <c r="W244" s="13">
        <v>4.3499999999999996</v>
      </c>
      <c r="X244" s="13">
        <v>4.3499999999999996</v>
      </c>
      <c r="Y244" s="13">
        <v>4.3499999999999996</v>
      </c>
      <c r="Z244" s="13">
        <v>4.3499999999999996</v>
      </c>
      <c r="AA244" s="13">
        <v>4.3499999999999996</v>
      </c>
      <c r="AB244" s="40">
        <v>0</v>
      </c>
      <c r="AC244" s="40">
        <v>0</v>
      </c>
      <c r="AD244" s="40">
        <v>0</v>
      </c>
      <c r="AE244" s="40">
        <v>0</v>
      </c>
      <c r="AF244" s="40">
        <v>0</v>
      </c>
      <c r="AG244" s="40">
        <v>0</v>
      </c>
      <c r="AH244" s="40">
        <v>0</v>
      </c>
      <c r="AI244" s="40">
        <v>0</v>
      </c>
      <c r="AJ244" s="40">
        <v>7.0000000000000007E-2</v>
      </c>
      <c r="AK244" s="40">
        <v>7.0000000000000007E-2</v>
      </c>
      <c r="AL244" s="40">
        <v>7.0000000000000007E-2</v>
      </c>
      <c r="AM244" s="40">
        <v>7.0000000000000007E-2</v>
      </c>
      <c r="AN244" s="40">
        <v>7.0000000000000007E-2</v>
      </c>
      <c r="AO244" s="116">
        <v>0</v>
      </c>
      <c r="AP244" s="6">
        <f t="shared" si="0"/>
        <v>0</v>
      </c>
      <c r="AQ244" s="116">
        <v>0</v>
      </c>
      <c r="AR244" s="6">
        <f t="shared" si="1"/>
        <v>0</v>
      </c>
      <c r="AS244" s="115" t="s">
        <v>573</v>
      </c>
      <c r="AT244" s="6">
        <f t="shared" si="25"/>
        <v>0</v>
      </c>
      <c r="AU244" s="116">
        <v>0</v>
      </c>
      <c r="AV244" s="1">
        <f t="shared" si="7"/>
        <v>0</v>
      </c>
      <c r="AW244" s="115">
        <v>3000</v>
      </c>
      <c r="AX244" s="1">
        <f t="shared" si="30"/>
        <v>0</v>
      </c>
      <c r="AY244" s="5" t="s">
        <v>573</v>
      </c>
      <c r="AZ244" s="1">
        <f t="shared" si="9"/>
        <v>0</v>
      </c>
      <c r="BA244" s="5" t="s">
        <v>573</v>
      </c>
      <c r="BB244" s="1">
        <f t="shared" ref="BB244:BB259" si="32">AI244*BA244</f>
        <v>0</v>
      </c>
      <c r="BC244" s="5" t="s">
        <v>573</v>
      </c>
      <c r="BD244" s="144">
        <f t="shared" si="3"/>
        <v>0</v>
      </c>
      <c r="BE244" s="150" t="s">
        <v>573</v>
      </c>
      <c r="BF244" s="1">
        <f t="shared" si="26"/>
        <v>0</v>
      </c>
      <c r="BG244" s="150" t="s">
        <v>573</v>
      </c>
      <c r="BH244" s="1">
        <f t="shared" si="29"/>
        <v>0</v>
      </c>
      <c r="BI244" s="150" t="s">
        <v>573</v>
      </c>
      <c r="BJ244" s="1">
        <f t="shared" si="27"/>
        <v>0</v>
      </c>
      <c r="BK244" s="156" t="s">
        <v>573</v>
      </c>
      <c r="BL244" s="1">
        <f t="shared" si="31"/>
        <v>0</v>
      </c>
      <c r="BM244" s="142" t="s">
        <v>680</v>
      </c>
      <c r="BN244" s="136" t="s">
        <v>759</v>
      </c>
      <c r="BO244" s="139" t="s">
        <v>760</v>
      </c>
      <c r="BP244" s="137"/>
    </row>
    <row r="245" spans="1:68" ht="15.75" customHeight="1">
      <c r="A245" s="109" t="s">
        <v>751</v>
      </c>
      <c r="B245" s="122" t="s">
        <v>184</v>
      </c>
      <c r="C245" s="301"/>
      <c r="D245" s="304"/>
      <c r="E245" s="304"/>
      <c r="F245" s="297"/>
      <c r="G245" s="78">
        <v>2023</v>
      </c>
      <c r="H245" s="105" t="s">
        <v>741</v>
      </c>
      <c r="I245" s="76" t="s">
        <v>196</v>
      </c>
      <c r="J245" s="102" t="s">
        <v>197</v>
      </c>
      <c r="K245" s="105" t="s">
        <v>221</v>
      </c>
      <c r="L245" s="105" t="s">
        <v>192</v>
      </c>
      <c r="M245" s="13" t="s">
        <v>193</v>
      </c>
      <c r="N245" s="13"/>
      <c r="O245" s="13"/>
      <c r="P245" s="13">
        <v>4.3499999999999996</v>
      </c>
      <c r="Q245" s="13">
        <v>4.3499999999999996</v>
      </c>
      <c r="R245" s="13">
        <v>4.3499999999999996</v>
      </c>
      <c r="S245" s="13">
        <v>4.3499999999999996</v>
      </c>
      <c r="T245" s="13">
        <v>4.3499999999999996</v>
      </c>
      <c r="U245" s="13">
        <v>4.3499999999999996</v>
      </c>
      <c r="V245" s="13">
        <v>4.3499999999999996</v>
      </c>
      <c r="W245" s="13">
        <v>4.3499999999999996</v>
      </c>
      <c r="X245" s="13">
        <v>4.3499999999999996</v>
      </c>
      <c r="Y245" s="13">
        <v>4.3499999999999996</v>
      </c>
      <c r="Z245" s="13">
        <v>4.3499999999999996</v>
      </c>
      <c r="AA245" s="13">
        <v>4.3499999999999996</v>
      </c>
      <c r="AB245" s="40">
        <v>0</v>
      </c>
      <c r="AC245" s="40">
        <v>0</v>
      </c>
      <c r="AD245" s="40">
        <v>0</v>
      </c>
      <c r="AE245" s="40">
        <v>0</v>
      </c>
      <c r="AF245" s="40">
        <v>0</v>
      </c>
      <c r="AG245" s="40">
        <v>0</v>
      </c>
      <c r="AH245" s="40">
        <v>0</v>
      </c>
      <c r="AI245" s="40">
        <v>0</v>
      </c>
      <c r="AJ245" s="40">
        <v>7.0000000000000007E-2</v>
      </c>
      <c r="AK245" s="40">
        <v>7.0000000000000007E-2</v>
      </c>
      <c r="AL245" s="40">
        <v>7.0000000000000007E-2</v>
      </c>
      <c r="AM245" s="40">
        <v>7.0000000000000007E-2</v>
      </c>
      <c r="AN245" s="40">
        <v>7.0000000000000007E-2</v>
      </c>
      <c r="AO245" s="116">
        <v>0</v>
      </c>
      <c r="AP245" s="6">
        <f>AC245*AO245</f>
        <v>0</v>
      </c>
      <c r="AQ245" s="116">
        <v>0</v>
      </c>
      <c r="AR245" s="6">
        <f t="shared" si="1"/>
        <v>0</v>
      </c>
      <c r="AS245" s="115" t="s">
        <v>573</v>
      </c>
      <c r="AT245" s="6">
        <f t="shared" si="25"/>
        <v>0</v>
      </c>
      <c r="AU245" s="116">
        <v>0</v>
      </c>
      <c r="AV245" s="1">
        <f t="shared" si="7"/>
        <v>0</v>
      </c>
      <c r="AW245" s="115">
        <v>0</v>
      </c>
      <c r="AX245" s="1">
        <f t="shared" si="30"/>
        <v>0</v>
      </c>
      <c r="AY245" s="5" t="s">
        <v>573</v>
      </c>
      <c r="AZ245" s="1">
        <f t="shared" si="9"/>
        <v>0</v>
      </c>
      <c r="BA245" s="5" t="s">
        <v>573</v>
      </c>
      <c r="BB245" s="1">
        <f t="shared" si="32"/>
        <v>0</v>
      </c>
      <c r="BC245" s="5" t="s">
        <v>573</v>
      </c>
      <c r="BD245" s="144">
        <f t="shared" si="3"/>
        <v>0</v>
      </c>
      <c r="BE245" s="150">
        <v>0</v>
      </c>
      <c r="BF245" s="1">
        <f t="shared" si="26"/>
        <v>0</v>
      </c>
      <c r="BG245" s="150">
        <v>2400</v>
      </c>
      <c r="BH245" s="1">
        <f t="shared" si="29"/>
        <v>168.00000000000003</v>
      </c>
      <c r="BI245" s="150" t="s">
        <v>573</v>
      </c>
      <c r="BJ245" s="1">
        <f t="shared" si="27"/>
        <v>0</v>
      </c>
      <c r="BK245" s="156" t="s">
        <v>573</v>
      </c>
      <c r="BL245" s="1">
        <f t="shared" si="31"/>
        <v>0</v>
      </c>
      <c r="BM245" s="142" t="s">
        <v>680</v>
      </c>
      <c r="BN245" s="136" t="s">
        <v>776</v>
      </c>
      <c r="BO245" s="139" t="s">
        <v>760</v>
      </c>
      <c r="BP245" s="137"/>
    </row>
    <row r="246" spans="1:68" ht="15.75" customHeight="1">
      <c r="A246" s="109" t="s">
        <v>751</v>
      </c>
      <c r="B246" s="122" t="s">
        <v>199</v>
      </c>
      <c r="C246" s="301"/>
      <c r="D246" s="304"/>
      <c r="E246" s="304"/>
      <c r="F246" s="297"/>
      <c r="G246" s="78">
        <v>2020</v>
      </c>
      <c r="H246" s="105" t="s">
        <v>5</v>
      </c>
      <c r="I246" s="76" t="s">
        <v>201</v>
      </c>
      <c r="J246" s="102" t="s">
        <v>197</v>
      </c>
      <c r="K246" s="105" t="s">
        <v>753</v>
      </c>
      <c r="L246" s="105" t="s">
        <v>192</v>
      </c>
      <c r="M246" s="13" t="s">
        <v>193</v>
      </c>
      <c r="N246" s="13">
        <v>9.32</v>
      </c>
      <c r="O246" s="13">
        <v>9.7200000000000006</v>
      </c>
      <c r="P246" s="13">
        <v>9.7200000000000006</v>
      </c>
      <c r="Q246" s="13">
        <v>9.7200000000000006</v>
      </c>
      <c r="R246" s="13">
        <v>9.7200000000000006</v>
      </c>
      <c r="S246" s="13">
        <v>9.7200000000000006</v>
      </c>
      <c r="T246" s="13">
        <v>9.7200000000000006</v>
      </c>
      <c r="U246" s="13">
        <v>9.7200000000000006</v>
      </c>
      <c r="V246" s="13">
        <v>9.7200000000000006</v>
      </c>
      <c r="W246" s="13">
        <v>9.7200000000000006</v>
      </c>
      <c r="X246" s="13">
        <v>9.7200000000000006</v>
      </c>
      <c r="Y246" s="13">
        <v>9.7200000000000006</v>
      </c>
      <c r="Z246" s="13">
        <v>9.7200000000000006</v>
      </c>
      <c r="AA246" s="13">
        <v>9.7200000000000006</v>
      </c>
      <c r="AB246" s="40">
        <v>0.18</v>
      </c>
      <c r="AC246" s="40">
        <v>0.18</v>
      </c>
      <c r="AD246" s="40">
        <v>0.18</v>
      </c>
      <c r="AE246" s="40">
        <v>0.18</v>
      </c>
      <c r="AF246" s="40">
        <v>0.18</v>
      </c>
      <c r="AG246" s="40">
        <v>0.18</v>
      </c>
      <c r="AH246" s="40">
        <v>0.18</v>
      </c>
      <c r="AI246" s="40">
        <v>0.18</v>
      </c>
      <c r="AJ246" s="40">
        <v>0.18</v>
      </c>
      <c r="AK246" s="40">
        <v>0.18</v>
      </c>
      <c r="AL246" s="40">
        <v>0.18</v>
      </c>
      <c r="AM246" s="40">
        <v>0.18</v>
      </c>
      <c r="AN246" s="40">
        <v>0.18</v>
      </c>
      <c r="AO246" s="116">
        <v>2160</v>
      </c>
      <c r="AP246" s="6">
        <f t="shared" si="0"/>
        <v>388.8</v>
      </c>
      <c r="AQ246" s="115">
        <v>3240</v>
      </c>
      <c r="AR246" s="6">
        <f t="shared" si="1"/>
        <v>583.19999999999993</v>
      </c>
      <c r="AS246" s="115">
        <v>3240</v>
      </c>
      <c r="AT246" s="6">
        <f t="shared" si="25"/>
        <v>583.19999999999993</v>
      </c>
      <c r="AU246" s="115">
        <v>3240</v>
      </c>
      <c r="AV246" s="1">
        <f t="shared" si="7"/>
        <v>583.19999999999993</v>
      </c>
      <c r="AW246" s="115">
        <v>6480</v>
      </c>
      <c r="AX246" s="1">
        <f t="shared" si="30"/>
        <v>1166.3999999999999</v>
      </c>
      <c r="AY246" s="5">
        <v>3240</v>
      </c>
      <c r="AZ246" s="1">
        <f t="shared" si="9"/>
        <v>583.19999999999993</v>
      </c>
      <c r="BA246" s="5">
        <v>9720</v>
      </c>
      <c r="BB246" s="1">
        <f t="shared" si="32"/>
        <v>1749.6</v>
      </c>
      <c r="BC246" s="5">
        <v>2160</v>
      </c>
      <c r="BD246" s="144">
        <f t="shared" si="3"/>
        <v>388.8</v>
      </c>
      <c r="BE246" s="150">
        <v>4320</v>
      </c>
      <c r="BF246" s="1">
        <f t="shared" si="26"/>
        <v>777.6</v>
      </c>
      <c r="BG246" s="150">
        <v>4320</v>
      </c>
      <c r="BH246" s="1">
        <f t="shared" si="29"/>
        <v>777.6</v>
      </c>
      <c r="BI246" s="150">
        <v>5400</v>
      </c>
      <c r="BJ246" s="1">
        <f t="shared" si="27"/>
        <v>972</v>
      </c>
      <c r="BK246" s="156">
        <v>3240</v>
      </c>
      <c r="BL246" s="1">
        <f t="shared" si="31"/>
        <v>583.19999999999993</v>
      </c>
      <c r="BM246" s="142" t="s">
        <v>33</v>
      </c>
      <c r="BN246" s="136" t="s">
        <v>32</v>
      </c>
      <c r="BO246" s="139" t="s">
        <v>760</v>
      </c>
      <c r="BP246" s="137">
        <v>45657</v>
      </c>
    </row>
    <row r="247" spans="1:68" ht="15.75" customHeight="1">
      <c r="A247" s="109" t="s">
        <v>751</v>
      </c>
      <c r="B247" s="122" t="s">
        <v>199</v>
      </c>
      <c r="C247" s="301"/>
      <c r="D247" s="304"/>
      <c r="E247" s="304"/>
      <c r="F247" s="297"/>
      <c r="G247" s="78">
        <v>2021</v>
      </c>
      <c r="H247" s="105" t="s">
        <v>736</v>
      </c>
      <c r="I247" s="76" t="s">
        <v>201</v>
      </c>
      <c r="J247" s="102" t="s">
        <v>197</v>
      </c>
      <c r="K247" s="105" t="s">
        <v>755</v>
      </c>
      <c r="L247" s="105" t="s">
        <v>192</v>
      </c>
      <c r="M247" s="13" t="s">
        <v>193</v>
      </c>
      <c r="N247" s="13">
        <v>10.88</v>
      </c>
      <c r="O247" s="13">
        <v>11.28</v>
      </c>
      <c r="P247" s="13">
        <v>11.28</v>
      </c>
      <c r="Q247" s="13">
        <v>11.28</v>
      </c>
      <c r="R247" s="13">
        <v>11.28</v>
      </c>
      <c r="S247" s="13">
        <v>11.28</v>
      </c>
      <c r="T247" s="13">
        <v>11.28</v>
      </c>
      <c r="U247" s="13">
        <v>11.28</v>
      </c>
      <c r="V247" s="13">
        <v>11.28</v>
      </c>
      <c r="W247" s="13">
        <v>11.28</v>
      </c>
      <c r="X247" s="13">
        <v>11.28</v>
      </c>
      <c r="Y247" s="13">
        <v>11.28</v>
      </c>
      <c r="Z247" s="13">
        <v>11.28</v>
      </c>
      <c r="AA247" s="13">
        <v>11.28</v>
      </c>
      <c r="AB247" s="40">
        <v>0.21</v>
      </c>
      <c r="AC247" s="40">
        <v>0.21</v>
      </c>
      <c r="AD247" s="40">
        <v>0.21</v>
      </c>
      <c r="AE247" s="40">
        <v>0.21</v>
      </c>
      <c r="AF247" s="40">
        <v>0.21</v>
      </c>
      <c r="AG247" s="40">
        <v>0.21</v>
      </c>
      <c r="AH247" s="40">
        <v>0.21</v>
      </c>
      <c r="AI247" s="40">
        <v>0.21</v>
      </c>
      <c r="AJ247" s="40">
        <v>0.21</v>
      </c>
      <c r="AK247" s="40">
        <v>0.21</v>
      </c>
      <c r="AL247" s="40">
        <v>0.21</v>
      </c>
      <c r="AM247" s="40">
        <v>0.21</v>
      </c>
      <c r="AN247" s="40">
        <v>0.21</v>
      </c>
      <c r="AO247" s="116">
        <v>5040</v>
      </c>
      <c r="AP247" s="6">
        <f t="shared" si="0"/>
        <v>1058.3999999999999</v>
      </c>
      <c r="AQ247" s="115">
        <v>2520</v>
      </c>
      <c r="AR247" s="6">
        <f t="shared" si="1"/>
        <v>529.19999999999993</v>
      </c>
      <c r="AS247" s="115">
        <v>2520</v>
      </c>
      <c r="AT247" s="6">
        <f t="shared" si="25"/>
        <v>529.19999999999993</v>
      </c>
      <c r="AU247" s="115">
        <v>2520</v>
      </c>
      <c r="AV247" s="1">
        <f t="shared" si="7"/>
        <v>529.19999999999993</v>
      </c>
      <c r="AW247" s="115">
        <v>5040</v>
      </c>
      <c r="AX247" s="1">
        <f t="shared" si="30"/>
        <v>1058.3999999999999</v>
      </c>
      <c r="AY247" s="5">
        <v>2520</v>
      </c>
      <c r="AZ247" s="1">
        <f t="shared" si="9"/>
        <v>529.19999999999993</v>
      </c>
      <c r="BA247" s="5">
        <v>5040</v>
      </c>
      <c r="BB247" s="1">
        <f t="shared" si="32"/>
        <v>1058.3999999999999</v>
      </c>
      <c r="BC247" s="5" t="s">
        <v>573</v>
      </c>
      <c r="BD247" s="144">
        <f t="shared" si="3"/>
        <v>0</v>
      </c>
      <c r="BE247" s="150">
        <v>2520</v>
      </c>
      <c r="BF247" s="1">
        <f t="shared" si="26"/>
        <v>529.19999999999993</v>
      </c>
      <c r="BG247" s="150">
        <v>2520</v>
      </c>
      <c r="BH247" s="1">
        <f t="shared" si="29"/>
        <v>529.19999999999993</v>
      </c>
      <c r="BI247" s="150">
        <v>2520</v>
      </c>
      <c r="BJ247" s="1">
        <f t="shared" si="27"/>
        <v>529.19999999999993</v>
      </c>
      <c r="BK247" s="156" t="s">
        <v>573</v>
      </c>
      <c r="BL247" s="1">
        <f t="shared" si="31"/>
        <v>0</v>
      </c>
      <c r="BM247" s="142" t="s">
        <v>674</v>
      </c>
      <c r="BN247" s="136" t="s">
        <v>32</v>
      </c>
      <c r="BO247" s="139" t="s">
        <v>760</v>
      </c>
      <c r="BP247" s="137">
        <v>45838</v>
      </c>
    </row>
    <row r="248" spans="1:68" ht="15.75" customHeight="1">
      <c r="A248" s="109" t="s">
        <v>751</v>
      </c>
      <c r="B248" s="122" t="s">
        <v>184</v>
      </c>
      <c r="C248" s="301"/>
      <c r="D248" s="304"/>
      <c r="E248" s="304"/>
      <c r="F248" s="297"/>
      <c r="G248" s="78">
        <v>2020</v>
      </c>
      <c r="H248" s="105" t="s">
        <v>734</v>
      </c>
      <c r="I248" s="76" t="s">
        <v>196</v>
      </c>
      <c r="J248" s="102" t="s">
        <v>197</v>
      </c>
      <c r="K248" s="105" t="s">
        <v>753</v>
      </c>
      <c r="L248" s="105" t="s">
        <v>192</v>
      </c>
      <c r="M248" s="13" t="s">
        <v>193</v>
      </c>
      <c r="N248" s="13">
        <v>1.61</v>
      </c>
      <c r="O248" s="13">
        <v>1.61</v>
      </c>
      <c r="P248" s="13">
        <v>1.61</v>
      </c>
      <c r="Q248" s="13">
        <v>1.61</v>
      </c>
      <c r="R248" s="13">
        <v>1.61</v>
      </c>
      <c r="S248" s="13">
        <v>1.61</v>
      </c>
      <c r="T248" s="13">
        <v>1.61</v>
      </c>
      <c r="U248" s="13">
        <v>1.61</v>
      </c>
      <c r="V248" s="13">
        <v>1.61</v>
      </c>
      <c r="W248" s="13">
        <v>1.61</v>
      </c>
      <c r="X248" s="13">
        <v>1.61</v>
      </c>
      <c r="Y248" s="13">
        <v>1.61</v>
      </c>
      <c r="Z248" s="13">
        <v>1.61</v>
      </c>
      <c r="AA248" s="13">
        <v>1.61</v>
      </c>
      <c r="AB248" s="40">
        <v>0</v>
      </c>
      <c r="AC248" s="40">
        <v>0</v>
      </c>
      <c r="AD248" s="40">
        <v>0</v>
      </c>
      <c r="AE248" s="40">
        <v>0</v>
      </c>
      <c r="AF248" s="40">
        <v>0</v>
      </c>
      <c r="AG248" s="40">
        <v>0</v>
      </c>
      <c r="AH248" s="40">
        <v>0</v>
      </c>
      <c r="AI248" s="40">
        <v>0</v>
      </c>
      <c r="AJ248" s="40">
        <v>0</v>
      </c>
      <c r="AK248" s="40">
        <v>0</v>
      </c>
      <c r="AL248" s="40">
        <v>0</v>
      </c>
      <c r="AM248" s="40">
        <v>0</v>
      </c>
      <c r="AN248" s="40">
        <v>0</v>
      </c>
      <c r="AO248" s="116">
        <v>6720</v>
      </c>
      <c r="AP248" s="6">
        <f t="shared" si="0"/>
        <v>0</v>
      </c>
      <c r="AQ248" s="115">
        <v>40320</v>
      </c>
      <c r="AR248" s="6">
        <f t="shared" si="1"/>
        <v>0</v>
      </c>
      <c r="AS248" s="115">
        <v>33600</v>
      </c>
      <c r="AT248" s="6">
        <f t="shared" si="25"/>
        <v>0</v>
      </c>
      <c r="AU248" s="115">
        <v>0</v>
      </c>
      <c r="AV248" s="1">
        <f t="shared" si="7"/>
        <v>0</v>
      </c>
      <c r="AW248" s="115">
        <v>25920</v>
      </c>
      <c r="AX248" s="1">
        <f t="shared" si="30"/>
        <v>0</v>
      </c>
      <c r="AY248" s="5">
        <v>31680</v>
      </c>
      <c r="AZ248" s="1">
        <f t="shared" si="9"/>
        <v>0</v>
      </c>
      <c r="BA248" s="5">
        <v>20160</v>
      </c>
      <c r="BB248" s="1">
        <f t="shared" si="32"/>
        <v>0</v>
      </c>
      <c r="BC248" s="5">
        <v>13440</v>
      </c>
      <c r="BD248" s="144">
        <f t="shared" si="3"/>
        <v>0</v>
      </c>
      <c r="BE248" s="150" t="s">
        <v>573</v>
      </c>
      <c r="BF248" s="1">
        <f t="shared" si="26"/>
        <v>0</v>
      </c>
      <c r="BG248" s="150">
        <v>6720</v>
      </c>
      <c r="BH248" s="1">
        <f t="shared" si="29"/>
        <v>0</v>
      </c>
      <c r="BI248" s="150">
        <v>6720</v>
      </c>
      <c r="BJ248" s="1">
        <f t="shared" si="27"/>
        <v>0</v>
      </c>
      <c r="BK248" s="156" t="s">
        <v>573</v>
      </c>
      <c r="BL248" s="1">
        <f t="shared" si="31"/>
        <v>0</v>
      </c>
      <c r="BM248" s="142" t="s">
        <v>510</v>
      </c>
      <c r="BN248" s="136" t="s">
        <v>494</v>
      </c>
      <c r="BO248" s="139" t="s">
        <v>763</v>
      </c>
      <c r="BP248" s="137">
        <v>45961</v>
      </c>
    </row>
    <row r="249" spans="1:68" ht="15.75" customHeight="1">
      <c r="A249" s="109" t="s">
        <v>751</v>
      </c>
      <c r="B249" s="122" t="s">
        <v>184</v>
      </c>
      <c r="C249" s="301"/>
      <c r="D249" s="304"/>
      <c r="E249" s="304"/>
      <c r="F249" s="297"/>
      <c r="G249" s="78">
        <v>2020</v>
      </c>
      <c r="H249" s="105" t="str">
        <f>_xlfn.XLOOKUP(BM249,'[5]Package breakdown0503'!$F:$F,'[5]Package breakdown0503'!$B:$B)</f>
        <v>OreoBPS</v>
      </c>
      <c r="I249" s="76" t="s">
        <v>196</v>
      </c>
      <c r="J249" s="102" t="s">
        <v>197</v>
      </c>
      <c r="K249" s="105" t="s">
        <v>753</v>
      </c>
      <c r="L249" s="105" t="s">
        <v>192</v>
      </c>
      <c r="M249" s="13" t="s">
        <v>193</v>
      </c>
      <c r="N249" s="13">
        <v>1.65</v>
      </c>
      <c r="O249" s="13">
        <v>1.65</v>
      </c>
      <c r="P249" s="13">
        <v>1.65</v>
      </c>
      <c r="Q249" s="13">
        <v>1.65</v>
      </c>
      <c r="R249" s="13">
        <v>1.65</v>
      </c>
      <c r="S249" s="13">
        <v>1.65</v>
      </c>
      <c r="T249" s="13">
        <v>1.65</v>
      </c>
      <c r="U249" s="13">
        <v>1.65</v>
      </c>
      <c r="V249" s="13">
        <v>1.65</v>
      </c>
      <c r="W249" s="13">
        <v>1.65</v>
      </c>
      <c r="X249" s="13">
        <v>1.65</v>
      </c>
      <c r="Y249" s="13">
        <v>1.65</v>
      </c>
      <c r="Z249" s="13">
        <v>1.65</v>
      </c>
      <c r="AA249" s="13">
        <v>1.65</v>
      </c>
      <c r="AB249" s="40">
        <v>0</v>
      </c>
      <c r="AC249" s="40">
        <v>0</v>
      </c>
      <c r="AD249" s="40">
        <v>0</v>
      </c>
      <c r="AE249" s="40">
        <v>0</v>
      </c>
      <c r="AF249" s="40">
        <v>0</v>
      </c>
      <c r="AG249" s="40">
        <v>0</v>
      </c>
      <c r="AH249" s="40">
        <v>0</v>
      </c>
      <c r="AI249" s="40">
        <v>0</v>
      </c>
      <c r="AJ249" s="40">
        <v>0</v>
      </c>
      <c r="AK249" s="40">
        <v>0</v>
      </c>
      <c r="AL249" s="40">
        <v>0</v>
      </c>
      <c r="AM249" s="40">
        <v>0</v>
      </c>
      <c r="AN249" s="40">
        <v>0</v>
      </c>
      <c r="AO249" s="116">
        <v>0</v>
      </c>
      <c r="AP249" s="6">
        <f t="shared" si="0"/>
        <v>0</v>
      </c>
      <c r="AQ249" s="115">
        <v>0</v>
      </c>
      <c r="AR249" s="6">
        <f t="shared" si="1"/>
        <v>0</v>
      </c>
      <c r="AS249" s="115" t="s">
        <v>573</v>
      </c>
      <c r="AT249" s="6">
        <f t="shared" si="25"/>
        <v>0</v>
      </c>
      <c r="AU249" s="115">
        <v>0</v>
      </c>
      <c r="AV249" s="1">
        <f t="shared" si="7"/>
        <v>0</v>
      </c>
      <c r="AW249" s="115">
        <v>0</v>
      </c>
      <c r="AX249" s="1">
        <f t="shared" si="30"/>
        <v>0</v>
      </c>
      <c r="AY249" s="5" t="s">
        <v>573</v>
      </c>
      <c r="AZ249" s="1">
        <f>AH249*AY249</f>
        <v>0</v>
      </c>
      <c r="BA249" s="5" t="s">
        <v>573</v>
      </c>
      <c r="BB249" s="1">
        <f t="shared" si="32"/>
        <v>0</v>
      </c>
      <c r="BC249" s="5" t="s">
        <v>573</v>
      </c>
      <c r="BD249" s="144">
        <f t="shared" si="3"/>
        <v>0</v>
      </c>
      <c r="BE249" s="150" t="s">
        <v>573</v>
      </c>
      <c r="BF249" s="1">
        <f t="shared" si="26"/>
        <v>0</v>
      </c>
      <c r="BG249" s="150" t="s">
        <v>573</v>
      </c>
      <c r="BH249" s="1">
        <f t="shared" si="29"/>
        <v>0</v>
      </c>
      <c r="BI249" s="150" t="s">
        <v>573</v>
      </c>
      <c r="BJ249" s="1">
        <f t="shared" si="27"/>
        <v>0</v>
      </c>
      <c r="BK249" s="156" t="s">
        <v>573</v>
      </c>
      <c r="BL249" s="1">
        <f t="shared" si="31"/>
        <v>0</v>
      </c>
      <c r="BM249" s="142" t="s">
        <v>581</v>
      </c>
      <c r="BN249" s="136" t="s">
        <v>495</v>
      </c>
      <c r="BO249" s="139" t="s">
        <v>754</v>
      </c>
      <c r="BP249" s="137">
        <v>45443</v>
      </c>
    </row>
    <row r="250" spans="1:68" ht="15.75" customHeight="1">
      <c r="A250" s="109" t="s">
        <v>751</v>
      </c>
      <c r="B250" s="122" t="s">
        <v>184</v>
      </c>
      <c r="C250" s="301"/>
      <c r="D250" s="304"/>
      <c r="E250" s="304"/>
      <c r="F250" s="297"/>
      <c r="G250" s="78">
        <v>2020</v>
      </c>
      <c r="H250" s="105" t="s">
        <v>728</v>
      </c>
      <c r="I250" s="76" t="s">
        <v>196</v>
      </c>
      <c r="J250" s="77" t="s">
        <v>197</v>
      </c>
      <c r="K250" s="81" t="s">
        <v>357</v>
      </c>
      <c r="L250" s="76" t="s">
        <v>192</v>
      </c>
      <c r="M250" s="13" t="s">
        <v>193</v>
      </c>
      <c r="N250" s="13">
        <v>3.79</v>
      </c>
      <c r="O250" s="13">
        <v>3.91</v>
      </c>
      <c r="P250" s="13">
        <v>3.91</v>
      </c>
      <c r="Q250" s="13">
        <v>3.91</v>
      </c>
      <c r="R250" s="13">
        <v>3.91</v>
      </c>
      <c r="S250" s="13">
        <v>3.91</v>
      </c>
      <c r="T250" s="13">
        <v>3.91</v>
      </c>
      <c r="U250" s="13">
        <v>3.91</v>
      </c>
      <c r="V250" s="13">
        <v>3.91</v>
      </c>
      <c r="W250" s="13">
        <v>3.91</v>
      </c>
      <c r="X250" s="13">
        <v>3.91</v>
      </c>
      <c r="Y250" s="13">
        <v>3.91</v>
      </c>
      <c r="Z250" s="13">
        <v>3.91</v>
      </c>
      <c r="AA250" s="13">
        <v>3.91</v>
      </c>
      <c r="AB250" s="40">
        <v>0</v>
      </c>
      <c r="AC250" s="40">
        <v>0</v>
      </c>
      <c r="AD250" s="40">
        <v>0</v>
      </c>
      <c r="AE250" s="40">
        <v>0</v>
      </c>
      <c r="AF250" s="40">
        <v>0</v>
      </c>
      <c r="AG250" s="40">
        <v>0</v>
      </c>
      <c r="AH250" s="40">
        <v>0</v>
      </c>
      <c r="AI250" s="40">
        <v>0</v>
      </c>
      <c r="AJ250" s="40">
        <v>0</v>
      </c>
      <c r="AK250" s="40">
        <v>0</v>
      </c>
      <c r="AL250" s="40">
        <v>0</v>
      </c>
      <c r="AM250" s="40">
        <v>0</v>
      </c>
      <c r="AN250" s="40">
        <v>0</v>
      </c>
      <c r="AO250" s="116">
        <v>0</v>
      </c>
      <c r="AP250" s="6">
        <f t="shared" si="0"/>
        <v>0</v>
      </c>
      <c r="AQ250" s="115">
        <v>8640</v>
      </c>
      <c r="AR250" s="6">
        <f t="shared" si="1"/>
        <v>0</v>
      </c>
      <c r="AS250" s="115">
        <v>37440</v>
      </c>
      <c r="AT250" s="6">
        <f t="shared" si="25"/>
        <v>0</v>
      </c>
      <c r="AU250" s="115">
        <v>23040</v>
      </c>
      <c r="AV250" s="1">
        <f t="shared" si="7"/>
        <v>0</v>
      </c>
      <c r="AW250" s="115">
        <v>28800</v>
      </c>
      <c r="AX250" s="1">
        <f t="shared" si="30"/>
        <v>0</v>
      </c>
      <c r="AY250" s="5">
        <v>50320</v>
      </c>
      <c r="AZ250" s="1">
        <f t="shared" si="9"/>
        <v>0</v>
      </c>
      <c r="BA250" s="5">
        <v>14960</v>
      </c>
      <c r="BB250" s="1">
        <f t="shared" si="32"/>
        <v>0</v>
      </c>
      <c r="BC250" s="5" t="s">
        <v>573</v>
      </c>
      <c r="BD250" s="144">
        <f t="shared" si="3"/>
        <v>0</v>
      </c>
      <c r="BE250" s="150" t="s">
        <v>573</v>
      </c>
      <c r="BF250" s="1">
        <f t="shared" si="26"/>
        <v>0</v>
      </c>
      <c r="BG250" s="150" t="s">
        <v>573</v>
      </c>
      <c r="BH250" s="1">
        <f t="shared" si="29"/>
        <v>0</v>
      </c>
      <c r="BI250" s="150" t="s">
        <v>573</v>
      </c>
      <c r="BJ250" s="1">
        <f t="shared" si="27"/>
        <v>0</v>
      </c>
      <c r="BK250" s="156" t="s">
        <v>573</v>
      </c>
      <c r="BL250" s="1">
        <f t="shared" si="31"/>
        <v>0</v>
      </c>
      <c r="BM250" s="142" t="s">
        <v>605</v>
      </c>
      <c r="BN250" s="136" t="s">
        <v>494</v>
      </c>
      <c r="BO250" s="139" t="s">
        <v>763</v>
      </c>
      <c r="BP250" s="137">
        <v>45596</v>
      </c>
    </row>
    <row r="251" spans="1:68" ht="15.75" customHeight="1">
      <c r="A251" s="109" t="s">
        <v>751</v>
      </c>
      <c r="B251" s="122" t="s">
        <v>184</v>
      </c>
      <c r="C251" s="301"/>
      <c r="D251" s="304"/>
      <c r="E251" s="304"/>
      <c r="F251" s="297"/>
      <c r="G251" s="78">
        <v>2020</v>
      </c>
      <c r="H251" s="105" t="s">
        <v>728</v>
      </c>
      <c r="I251" s="76" t="s">
        <v>196</v>
      </c>
      <c r="J251" s="77" t="s">
        <v>197</v>
      </c>
      <c r="K251" s="81" t="s">
        <v>357</v>
      </c>
      <c r="L251" s="76" t="s">
        <v>192</v>
      </c>
      <c r="M251" s="13" t="s">
        <v>193</v>
      </c>
      <c r="N251" s="13">
        <v>3.75</v>
      </c>
      <c r="O251" s="13">
        <v>3.87</v>
      </c>
      <c r="P251" s="13">
        <v>3.87</v>
      </c>
      <c r="Q251" s="13">
        <v>3.87</v>
      </c>
      <c r="R251" s="13">
        <v>3.87</v>
      </c>
      <c r="S251" s="13">
        <v>3.87</v>
      </c>
      <c r="T251" s="13">
        <v>3.87</v>
      </c>
      <c r="U251" s="13">
        <v>3.87</v>
      </c>
      <c r="V251" s="13">
        <v>3.87</v>
      </c>
      <c r="W251" s="13">
        <v>3.87</v>
      </c>
      <c r="X251" s="13">
        <v>3.87</v>
      </c>
      <c r="Y251" s="13">
        <v>3.87</v>
      </c>
      <c r="Z251" s="13">
        <v>3.87</v>
      </c>
      <c r="AA251" s="13">
        <v>3.87</v>
      </c>
      <c r="AB251" s="40">
        <v>0</v>
      </c>
      <c r="AC251" s="40">
        <v>0</v>
      </c>
      <c r="AD251" s="40">
        <v>0</v>
      </c>
      <c r="AE251" s="40">
        <v>0</v>
      </c>
      <c r="AF251" s="40">
        <v>0</v>
      </c>
      <c r="AG251" s="40">
        <v>0</v>
      </c>
      <c r="AH251" s="40">
        <v>0</v>
      </c>
      <c r="AI251" s="40">
        <v>0</v>
      </c>
      <c r="AJ251" s="40">
        <v>0</v>
      </c>
      <c r="AK251" s="40">
        <v>0</v>
      </c>
      <c r="AL251" s="40">
        <v>0</v>
      </c>
      <c r="AM251" s="40">
        <v>0</v>
      </c>
      <c r="AN251" s="40">
        <v>0</v>
      </c>
      <c r="AO251" s="116">
        <v>0</v>
      </c>
      <c r="AP251" s="6">
        <f t="shared" ref="AP251:AP260" si="33">AC251*AO251</f>
        <v>0</v>
      </c>
      <c r="AQ251" s="115">
        <v>0</v>
      </c>
      <c r="AR251" s="6">
        <f t="shared" ref="AR251:AR260" si="34">AD251*AQ251</f>
        <v>0</v>
      </c>
      <c r="AS251" s="115">
        <v>2880</v>
      </c>
      <c r="AT251" s="6">
        <f t="shared" si="25"/>
        <v>0</v>
      </c>
      <c r="AU251" s="115">
        <v>0</v>
      </c>
      <c r="AV251" s="1">
        <f>AF251*AU251</f>
        <v>0</v>
      </c>
      <c r="AW251" s="115">
        <v>2880</v>
      </c>
      <c r="AX251" s="1">
        <f t="shared" si="30"/>
        <v>0</v>
      </c>
      <c r="AY251" s="5">
        <v>8640</v>
      </c>
      <c r="AZ251" s="1">
        <f>AH251*AY251</f>
        <v>0</v>
      </c>
      <c r="BA251" s="5" t="s">
        <v>573</v>
      </c>
      <c r="BB251" s="1">
        <f t="shared" si="32"/>
        <v>0</v>
      </c>
      <c r="BC251" s="5">
        <v>8640</v>
      </c>
      <c r="BD251" s="144">
        <f t="shared" si="3"/>
        <v>0</v>
      </c>
      <c r="BE251" s="150">
        <v>8640</v>
      </c>
      <c r="BF251" s="1">
        <f t="shared" si="26"/>
        <v>0</v>
      </c>
      <c r="BG251" s="150" t="s">
        <v>573</v>
      </c>
      <c r="BH251" s="1">
        <f t="shared" si="29"/>
        <v>0</v>
      </c>
      <c r="BI251" s="150">
        <v>2880</v>
      </c>
      <c r="BJ251" s="1">
        <f t="shared" si="27"/>
        <v>0</v>
      </c>
      <c r="BK251" s="156" t="s">
        <v>573</v>
      </c>
      <c r="BL251" s="1">
        <f t="shared" si="31"/>
        <v>0</v>
      </c>
      <c r="BM251" s="142" t="s">
        <v>606</v>
      </c>
      <c r="BN251" s="136" t="s">
        <v>495</v>
      </c>
      <c r="BO251" s="139" t="s">
        <v>754</v>
      </c>
      <c r="BP251" s="137">
        <v>45596</v>
      </c>
    </row>
    <row r="252" spans="1:68" ht="15.75" customHeight="1">
      <c r="A252" s="109" t="s">
        <v>751</v>
      </c>
      <c r="B252" s="122" t="s">
        <v>184</v>
      </c>
      <c r="C252" s="301"/>
      <c r="D252" s="304"/>
      <c r="E252" s="304"/>
      <c r="F252" s="297"/>
      <c r="G252" s="78">
        <v>2023</v>
      </c>
      <c r="H252" s="105" t="str">
        <f>_xlfn.XLOOKUP(BM252,'[5]Package breakdown0503'!$F:$F,'[5]Package breakdown0503'!$B:$B)</f>
        <v>Sochi</v>
      </c>
      <c r="I252" s="103" t="s">
        <v>196</v>
      </c>
      <c r="J252" s="102" t="s">
        <v>197</v>
      </c>
      <c r="K252" s="105" t="s">
        <v>753</v>
      </c>
      <c r="L252" s="105" t="s">
        <v>192</v>
      </c>
      <c r="M252" s="13" t="s">
        <v>193</v>
      </c>
      <c r="N252" s="13">
        <v>5.4</v>
      </c>
      <c r="O252" s="13">
        <v>5.4</v>
      </c>
      <c r="P252" s="13">
        <v>5.4</v>
      </c>
      <c r="Q252" s="13">
        <v>5.4</v>
      </c>
      <c r="R252" s="13">
        <v>5.4</v>
      </c>
      <c r="S252" s="13">
        <v>5.4</v>
      </c>
      <c r="T252" s="13">
        <v>5.4</v>
      </c>
      <c r="U252" s="13">
        <v>5.4</v>
      </c>
      <c r="V252" s="13">
        <v>5.4</v>
      </c>
      <c r="W252" s="13">
        <v>5.4</v>
      </c>
      <c r="X252" s="13">
        <v>5.4</v>
      </c>
      <c r="Y252" s="13">
        <v>5.4</v>
      </c>
      <c r="Z252" s="13">
        <v>5.4</v>
      </c>
      <c r="AA252" s="13">
        <v>5.4</v>
      </c>
      <c r="AB252" s="40">
        <v>0</v>
      </c>
      <c r="AC252" s="40">
        <v>0</v>
      </c>
      <c r="AD252" s="40">
        <v>0</v>
      </c>
      <c r="AE252" s="40">
        <v>0</v>
      </c>
      <c r="AF252" s="40">
        <v>0</v>
      </c>
      <c r="AG252" s="40">
        <v>0</v>
      </c>
      <c r="AH252" s="40">
        <v>0</v>
      </c>
      <c r="AI252" s="40">
        <v>0</v>
      </c>
      <c r="AJ252" s="40">
        <v>0</v>
      </c>
      <c r="AK252" s="40">
        <v>0</v>
      </c>
      <c r="AL252" s="40">
        <v>0</v>
      </c>
      <c r="AM252" s="40">
        <v>0</v>
      </c>
      <c r="AN252" s="40">
        <v>0</v>
      </c>
      <c r="AO252" s="116">
        <v>0</v>
      </c>
      <c r="AP252" s="6">
        <f t="shared" si="33"/>
        <v>0</v>
      </c>
      <c r="AQ252" s="115">
        <v>3200</v>
      </c>
      <c r="AR252" s="6">
        <f t="shared" si="34"/>
        <v>0</v>
      </c>
      <c r="AS252" s="115" t="s">
        <v>573</v>
      </c>
      <c r="AT252" s="6">
        <f t="shared" si="25"/>
        <v>0</v>
      </c>
      <c r="AU252" s="115">
        <v>0</v>
      </c>
      <c r="AV252" s="1">
        <f>AF252*AU252</f>
        <v>0</v>
      </c>
      <c r="AW252" s="115">
        <v>0</v>
      </c>
      <c r="AX252" s="1">
        <f t="shared" si="30"/>
        <v>0</v>
      </c>
      <c r="AY252" s="5" t="s">
        <v>573</v>
      </c>
      <c r="AZ252" s="1">
        <f>AH252*AY252</f>
        <v>0</v>
      </c>
      <c r="BA252" s="5" t="s">
        <v>573</v>
      </c>
      <c r="BB252" s="1">
        <f t="shared" si="32"/>
        <v>0</v>
      </c>
      <c r="BC252" s="5" t="s">
        <v>573</v>
      </c>
      <c r="BD252" s="144">
        <f t="shared" ref="BD252:BD286" si="35">AJ252*BC252</f>
        <v>0</v>
      </c>
      <c r="BE252" s="150" t="s">
        <v>573</v>
      </c>
      <c r="BF252" s="1">
        <f t="shared" si="26"/>
        <v>0</v>
      </c>
      <c r="BG252" s="150" t="s">
        <v>573</v>
      </c>
      <c r="BH252" s="1">
        <f t="shared" si="29"/>
        <v>0</v>
      </c>
      <c r="BI252" s="150" t="s">
        <v>573</v>
      </c>
      <c r="BJ252" s="1">
        <f t="shared" si="27"/>
        <v>0</v>
      </c>
      <c r="BK252" s="156" t="s">
        <v>573</v>
      </c>
      <c r="BL252" s="1">
        <f t="shared" si="31"/>
        <v>0</v>
      </c>
      <c r="BM252" s="142" t="s">
        <v>639</v>
      </c>
      <c r="BN252" s="136" t="s">
        <v>17</v>
      </c>
      <c r="BO252" s="139" t="s">
        <v>1314</v>
      </c>
      <c r="BP252" s="137">
        <v>46053</v>
      </c>
    </row>
    <row r="253" spans="1:68" ht="15.75" customHeight="1">
      <c r="A253" s="109" t="s">
        <v>751</v>
      </c>
      <c r="B253" s="122" t="s">
        <v>184</v>
      </c>
      <c r="C253" s="301"/>
      <c r="D253" s="304"/>
      <c r="E253" s="304"/>
      <c r="F253" s="297"/>
      <c r="G253" s="78">
        <v>2023</v>
      </c>
      <c r="H253" s="105" t="s">
        <v>735</v>
      </c>
      <c r="I253" s="103" t="s">
        <v>196</v>
      </c>
      <c r="J253" s="102" t="s">
        <v>197</v>
      </c>
      <c r="K253" s="105" t="s">
        <v>221</v>
      </c>
      <c r="L253" s="105" t="s">
        <v>192</v>
      </c>
      <c r="M253" s="13" t="s">
        <v>193</v>
      </c>
      <c r="N253" s="13">
        <v>5.4</v>
      </c>
      <c r="O253" s="13">
        <v>5.4</v>
      </c>
      <c r="P253" s="13">
        <v>5.4</v>
      </c>
      <c r="Q253" s="13">
        <v>5.4</v>
      </c>
      <c r="R253" s="13">
        <v>5.4</v>
      </c>
      <c r="S253" s="13">
        <v>5.4</v>
      </c>
      <c r="T253" s="13">
        <v>5.4</v>
      </c>
      <c r="U253" s="13">
        <v>5.4</v>
      </c>
      <c r="V253" s="13">
        <v>5.4</v>
      </c>
      <c r="W253" s="13">
        <v>5.4</v>
      </c>
      <c r="X253" s="13">
        <v>5.4</v>
      </c>
      <c r="Y253" s="13">
        <v>5.4</v>
      </c>
      <c r="Z253" s="13">
        <v>5.4</v>
      </c>
      <c r="AA253" s="13">
        <v>5.4</v>
      </c>
      <c r="AB253" s="40">
        <v>0</v>
      </c>
      <c r="AC253" s="40">
        <v>0</v>
      </c>
      <c r="AD253" s="40">
        <v>0</v>
      </c>
      <c r="AE253" s="40">
        <v>0</v>
      </c>
      <c r="AF253" s="40">
        <v>0</v>
      </c>
      <c r="AG253" s="40">
        <v>0</v>
      </c>
      <c r="AH253" s="40">
        <v>0</v>
      </c>
      <c r="AI253" s="40">
        <v>0</v>
      </c>
      <c r="AJ253" s="40">
        <v>0</v>
      </c>
      <c r="AK253" s="40">
        <v>0</v>
      </c>
      <c r="AL253" s="40">
        <v>0</v>
      </c>
      <c r="AM253" s="40">
        <v>0</v>
      </c>
      <c r="AN253" s="40">
        <v>0</v>
      </c>
      <c r="AO253" s="116">
        <v>0</v>
      </c>
      <c r="AP253" s="6">
        <f t="shared" si="33"/>
        <v>0</v>
      </c>
      <c r="AQ253" s="115">
        <v>3200</v>
      </c>
      <c r="AR253" s="6">
        <f t="shared" si="34"/>
        <v>0</v>
      </c>
      <c r="AS253" s="115">
        <v>3200</v>
      </c>
      <c r="AT253" s="6">
        <f t="shared" si="25"/>
        <v>0</v>
      </c>
      <c r="AU253" s="115">
        <v>0</v>
      </c>
      <c r="AV253" s="1">
        <f>AF253*AU253</f>
        <v>0</v>
      </c>
      <c r="AW253" s="115">
        <v>6400</v>
      </c>
      <c r="AX253" s="1">
        <f t="shared" si="30"/>
        <v>0</v>
      </c>
      <c r="AY253" s="5">
        <v>3200</v>
      </c>
      <c r="AZ253" s="1">
        <f>AH253*AY253</f>
        <v>0</v>
      </c>
      <c r="BA253" s="5">
        <v>6400</v>
      </c>
      <c r="BB253" s="1">
        <f t="shared" si="32"/>
        <v>0</v>
      </c>
      <c r="BC253" s="5" t="s">
        <v>573</v>
      </c>
      <c r="BD253" s="144">
        <f t="shared" si="35"/>
        <v>0</v>
      </c>
      <c r="BE253" s="150" t="s">
        <v>573</v>
      </c>
      <c r="BF253" s="1">
        <f t="shared" si="26"/>
        <v>0</v>
      </c>
      <c r="BG253" s="150" t="s">
        <v>573</v>
      </c>
      <c r="BH253" s="1">
        <f t="shared" si="29"/>
        <v>0</v>
      </c>
      <c r="BI253" s="150" t="s">
        <v>573</v>
      </c>
      <c r="BJ253" s="1">
        <f t="shared" si="27"/>
        <v>0</v>
      </c>
      <c r="BK253" s="156" t="s">
        <v>573</v>
      </c>
      <c r="BL253" s="1">
        <f t="shared" si="31"/>
        <v>0</v>
      </c>
      <c r="BM253" s="142" t="s">
        <v>640</v>
      </c>
      <c r="BN253" s="136" t="s">
        <v>494</v>
      </c>
      <c r="BO253" s="139" t="s">
        <v>763</v>
      </c>
      <c r="BP253" s="137">
        <v>46053</v>
      </c>
    </row>
    <row r="254" spans="1:68" ht="15.75" customHeight="1">
      <c r="A254" s="109" t="s">
        <v>751</v>
      </c>
      <c r="B254" s="122" t="s">
        <v>184</v>
      </c>
      <c r="C254" s="301"/>
      <c r="D254" s="304"/>
      <c r="E254" s="304"/>
      <c r="F254" s="297"/>
      <c r="G254" s="78">
        <v>2023</v>
      </c>
      <c r="H254" s="105" t="str">
        <f>_xlfn.XLOOKUP(BM254,'[5]Package breakdown0503'!$F:$F,'[5]Package breakdown0503'!$B:$B)</f>
        <v>Sochi</v>
      </c>
      <c r="I254" s="103" t="s">
        <v>196</v>
      </c>
      <c r="J254" s="103" t="s">
        <v>197</v>
      </c>
      <c r="K254" s="105" t="s">
        <v>221</v>
      </c>
      <c r="L254" s="105" t="s">
        <v>192</v>
      </c>
      <c r="M254" s="13" t="s">
        <v>193</v>
      </c>
      <c r="N254" s="13">
        <v>5.4</v>
      </c>
      <c r="O254" s="13">
        <v>5.4</v>
      </c>
      <c r="P254" s="13">
        <v>5.4</v>
      </c>
      <c r="Q254" s="13">
        <v>5.4</v>
      </c>
      <c r="R254" s="13">
        <v>5.4</v>
      </c>
      <c r="S254" s="13">
        <v>5.4</v>
      </c>
      <c r="T254" s="13">
        <v>5.4</v>
      </c>
      <c r="U254" s="13">
        <v>5.4</v>
      </c>
      <c r="V254" s="13">
        <v>5.4</v>
      </c>
      <c r="W254" s="13">
        <v>5.4</v>
      </c>
      <c r="X254" s="13">
        <v>5.4</v>
      </c>
      <c r="Y254" s="13">
        <v>5.4</v>
      </c>
      <c r="Z254" s="13">
        <v>5.4</v>
      </c>
      <c r="AA254" s="13">
        <v>5.4</v>
      </c>
      <c r="AB254" s="40">
        <v>0</v>
      </c>
      <c r="AC254" s="40">
        <v>0</v>
      </c>
      <c r="AD254" s="40">
        <v>0</v>
      </c>
      <c r="AE254" s="40">
        <v>0</v>
      </c>
      <c r="AF254" s="40">
        <v>0</v>
      </c>
      <c r="AG254" s="40">
        <v>0</v>
      </c>
      <c r="AH254" s="40">
        <v>0</v>
      </c>
      <c r="AI254" s="40">
        <v>0</v>
      </c>
      <c r="AJ254" s="40">
        <v>0</v>
      </c>
      <c r="AK254" s="40">
        <v>0</v>
      </c>
      <c r="AL254" s="40">
        <v>0</v>
      </c>
      <c r="AM254" s="40">
        <v>0</v>
      </c>
      <c r="AN254" s="40">
        <v>0</v>
      </c>
      <c r="AO254" s="116">
        <v>0</v>
      </c>
      <c r="AP254" s="6">
        <f t="shared" si="33"/>
        <v>0</v>
      </c>
      <c r="AQ254" s="115">
        <v>0</v>
      </c>
      <c r="AR254" s="6">
        <f t="shared" si="34"/>
        <v>0</v>
      </c>
      <c r="AS254" s="115" t="s">
        <v>573</v>
      </c>
      <c r="AT254" s="6">
        <f t="shared" si="25"/>
        <v>0</v>
      </c>
      <c r="AU254" s="115">
        <v>0</v>
      </c>
      <c r="AV254" s="1">
        <f t="shared" ref="AV254:AV260" si="36">AF254*AU254</f>
        <v>0</v>
      </c>
      <c r="AW254" s="115">
        <v>0</v>
      </c>
      <c r="AX254" s="1">
        <f t="shared" si="30"/>
        <v>0</v>
      </c>
      <c r="AY254" s="5" t="s">
        <v>573</v>
      </c>
      <c r="AZ254" s="1">
        <f t="shared" ref="AZ254:AZ286" si="37">AH254*AY254</f>
        <v>0</v>
      </c>
      <c r="BA254" s="5" t="s">
        <v>573</v>
      </c>
      <c r="BB254" s="1">
        <f t="shared" si="32"/>
        <v>0</v>
      </c>
      <c r="BC254" s="5" t="s">
        <v>573</v>
      </c>
      <c r="BD254" s="144">
        <f t="shared" si="35"/>
        <v>0</v>
      </c>
      <c r="BE254" s="150" t="s">
        <v>573</v>
      </c>
      <c r="BF254" s="1">
        <f t="shared" si="26"/>
        <v>0</v>
      </c>
      <c r="BG254" s="150" t="s">
        <v>573</v>
      </c>
      <c r="BH254" s="1">
        <f t="shared" si="29"/>
        <v>0</v>
      </c>
      <c r="BI254" s="150" t="s">
        <v>573</v>
      </c>
      <c r="BJ254" s="1">
        <f t="shared" si="27"/>
        <v>0</v>
      </c>
      <c r="BK254" s="156" t="s">
        <v>573</v>
      </c>
      <c r="BL254" s="1">
        <f t="shared" si="31"/>
        <v>0</v>
      </c>
      <c r="BM254" s="142" t="s">
        <v>1324</v>
      </c>
      <c r="BN254" s="136" t="s">
        <v>495</v>
      </c>
      <c r="BO254" s="139" t="s">
        <v>1322</v>
      </c>
      <c r="BP254" s="137">
        <v>46053</v>
      </c>
    </row>
    <row r="255" spans="1:68" ht="15.75" customHeight="1">
      <c r="A255" s="109" t="s">
        <v>751</v>
      </c>
      <c r="B255" s="122" t="s">
        <v>184</v>
      </c>
      <c r="C255" s="301"/>
      <c r="D255" s="304"/>
      <c r="E255" s="304"/>
      <c r="F255" s="297"/>
      <c r="G255" s="78">
        <v>2023</v>
      </c>
      <c r="H255" s="105" t="s">
        <v>735</v>
      </c>
      <c r="I255" s="103" t="s">
        <v>196</v>
      </c>
      <c r="J255" s="102" t="s">
        <v>197</v>
      </c>
      <c r="K255" s="105" t="s">
        <v>753</v>
      </c>
      <c r="L255" s="105" t="s">
        <v>192</v>
      </c>
      <c r="M255" s="13" t="s">
        <v>193</v>
      </c>
      <c r="N255" s="13">
        <v>5.4</v>
      </c>
      <c r="O255" s="13">
        <v>5.4</v>
      </c>
      <c r="P255" s="13">
        <v>5.4</v>
      </c>
      <c r="Q255" s="13">
        <v>5.4</v>
      </c>
      <c r="R255" s="13">
        <v>5.4</v>
      </c>
      <c r="S255" s="13">
        <v>5.4</v>
      </c>
      <c r="T255" s="13">
        <v>5.4</v>
      </c>
      <c r="U255" s="13">
        <v>5.4</v>
      </c>
      <c r="V255" s="13">
        <v>5.4</v>
      </c>
      <c r="W255" s="13">
        <v>5.4</v>
      </c>
      <c r="X255" s="13">
        <v>5.4</v>
      </c>
      <c r="Y255" s="13">
        <v>5.4</v>
      </c>
      <c r="Z255" s="13">
        <v>5.4</v>
      </c>
      <c r="AA255" s="13">
        <v>5.4</v>
      </c>
      <c r="AB255" s="40">
        <v>0</v>
      </c>
      <c r="AC255" s="40">
        <v>0</v>
      </c>
      <c r="AD255" s="40">
        <v>0</v>
      </c>
      <c r="AE255" s="40">
        <v>0</v>
      </c>
      <c r="AF255" s="40">
        <v>0</v>
      </c>
      <c r="AG255" s="40">
        <v>0</v>
      </c>
      <c r="AH255" s="40">
        <v>0</v>
      </c>
      <c r="AI255" s="40">
        <v>0</v>
      </c>
      <c r="AJ255" s="40">
        <v>0</v>
      </c>
      <c r="AK255" s="40">
        <v>0</v>
      </c>
      <c r="AL255" s="40">
        <v>0</v>
      </c>
      <c r="AM255" s="40">
        <v>0</v>
      </c>
      <c r="AN255" s="40">
        <v>0</v>
      </c>
      <c r="AO255" s="116">
        <v>0</v>
      </c>
      <c r="AP255" s="6">
        <f t="shared" si="33"/>
        <v>0</v>
      </c>
      <c r="AQ255" s="115">
        <v>6400</v>
      </c>
      <c r="AR255" s="6">
        <f t="shared" si="34"/>
        <v>0</v>
      </c>
      <c r="AS255" s="115" t="s">
        <v>573</v>
      </c>
      <c r="AT255" s="6">
        <f t="shared" si="25"/>
        <v>0</v>
      </c>
      <c r="AU255" s="115">
        <v>0</v>
      </c>
      <c r="AV255" s="1">
        <f t="shared" si="36"/>
        <v>0</v>
      </c>
      <c r="AW255" s="115">
        <v>0</v>
      </c>
      <c r="AX255" s="1">
        <f t="shared" si="30"/>
        <v>0</v>
      </c>
      <c r="AY255" s="5" t="s">
        <v>573</v>
      </c>
      <c r="AZ255" s="1">
        <f t="shared" si="37"/>
        <v>0</v>
      </c>
      <c r="BA255" s="5" t="s">
        <v>573</v>
      </c>
      <c r="BB255" s="1">
        <f t="shared" si="32"/>
        <v>0</v>
      </c>
      <c r="BC255" s="5" t="s">
        <v>573</v>
      </c>
      <c r="BD255" s="144">
        <f t="shared" si="35"/>
        <v>0</v>
      </c>
      <c r="BE255" s="150" t="s">
        <v>573</v>
      </c>
      <c r="BF255" s="1">
        <f t="shared" si="26"/>
        <v>0</v>
      </c>
      <c r="BG255" s="150" t="s">
        <v>573</v>
      </c>
      <c r="BH255" s="1">
        <f t="shared" si="29"/>
        <v>0</v>
      </c>
      <c r="BI255" s="150" t="s">
        <v>573</v>
      </c>
      <c r="BJ255" s="1">
        <f t="shared" si="27"/>
        <v>0</v>
      </c>
      <c r="BK255" s="156" t="s">
        <v>573</v>
      </c>
      <c r="BL255" s="1">
        <f t="shared" si="31"/>
        <v>0</v>
      </c>
      <c r="BM255" s="142" t="s">
        <v>642</v>
      </c>
      <c r="BN255" s="136" t="s">
        <v>17</v>
      </c>
      <c r="BO255" s="139" t="s">
        <v>754</v>
      </c>
      <c r="BP255" s="137">
        <v>46053</v>
      </c>
    </row>
    <row r="256" spans="1:68" ht="15.75" customHeight="1">
      <c r="A256" s="109" t="s">
        <v>751</v>
      </c>
      <c r="B256" s="122" t="s">
        <v>184</v>
      </c>
      <c r="C256" s="301"/>
      <c r="D256" s="304"/>
      <c r="E256" s="304"/>
      <c r="F256" s="297"/>
      <c r="G256" s="78">
        <v>2023</v>
      </c>
      <c r="H256" s="105" t="s">
        <v>735</v>
      </c>
      <c r="I256" s="103" t="s">
        <v>196</v>
      </c>
      <c r="J256" s="102" t="s">
        <v>197</v>
      </c>
      <c r="K256" s="105" t="s">
        <v>753</v>
      </c>
      <c r="L256" s="105" t="s">
        <v>192</v>
      </c>
      <c r="M256" s="13" t="s">
        <v>193</v>
      </c>
      <c r="N256" s="13"/>
      <c r="O256" s="13"/>
      <c r="P256" s="13">
        <v>5.4</v>
      </c>
      <c r="Q256" s="13">
        <v>5.4</v>
      </c>
      <c r="R256" s="13">
        <v>5.4</v>
      </c>
      <c r="S256" s="13">
        <v>5.4</v>
      </c>
      <c r="T256" s="13">
        <v>5.4</v>
      </c>
      <c r="U256" s="13">
        <v>5.4</v>
      </c>
      <c r="V256" s="13">
        <v>5.4</v>
      </c>
      <c r="W256" s="13">
        <v>5.4</v>
      </c>
      <c r="X256" s="13">
        <v>5.4</v>
      </c>
      <c r="Y256" s="13">
        <v>5.4</v>
      </c>
      <c r="Z256" s="13">
        <v>5.4</v>
      </c>
      <c r="AA256" s="13">
        <v>5.4</v>
      </c>
      <c r="AB256" s="40">
        <v>0</v>
      </c>
      <c r="AC256" s="40">
        <v>0</v>
      </c>
      <c r="AD256" s="40">
        <v>0</v>
      </c>
      <c r="AE256" s="40">
        <v>0</v>
      </c>
      <c r="AF256" s="40">
        <v>0</v>
      </c>
      <c r="AG256" s="40">
        <v>0</v>
      </c>
      <c r="AH256" s="40">
        <v>0</v>
      </c>
      <c r="AI256" s="40">
        <v>0</v>
      </c>
      <c r="AJ256" s="40">
        <v>0</v>
      </c>
      <c r="AK256" s="40">
        <v>0</v>
      </c>
      <c r="AL256" s="40">
        <v>0</v>
      </c>
      <c r="AM256" s="40">
        <v>0</v>
      </c>
      <c r="AN256" s="40">
        <v>0</v>
      </c>
      <c r="AO256" s="116">
        <v>0</v>
      </c>
      <c r="AP256" s="6">
        <f t="shared" si="33"/>
        <v>0</v>
      </c>
      <c r="AQ256" s="115">
        <v>0</v>
      </c>
      <c r="AR256" s="6">
        <f t="shared" si="34"/>
        <v>0</v>
      </c>
      <c r="AS256" s="115" t="s">
        <v>573</v>
      </c>
      <c r="AT256" s="6">
        <f t="shared" si="25"/>
        <v>0</v>
      </c>
      <c r="AU256" s="115">
        <v>0</v>
      </c>
      <c r="AV256" s="1">
        <f t="shared" si="36"/>
        <v>0</v>
      </c>
      <c r="AW256" s="115">
        <v>0</v>
      </c>
      <c r="AX256" s="1">
        <f t="shared" si="30"/>
        <v>0</v>
      </c>
      <c r="AY256" s="5" t="s">
        <v>573</v>
      </c>
      <c r="AZ256" s="1">
        <f t="shared" si="37"/>
        <v>0</v>
      </c>
      <c r="BA256" s="5" t="s">
        <v>573</v>
      </c>
      <c r="BB256" s="1">
        <f t="shared" si="32"/>
        <v>0</v>
      </c>
      <c r="BC256" s="5" t="s">
        <v>573</v>
      </c>
      <c r="BD256" s="144">
        <f t="shared" si="35"/>
        <v>0</v>
      </c>
      <c r="BE256" s="150">
        <v>0</v>
      </c>
      <c r="BF256" s="1">
        <f t="shared" si="26"/>
        <v>0</v>
      </c>
      <c r="BG256" s="150">
        <v>3200</v>
      </c>
      <c r="BH256" s="1">
        <f t="shared" si="29"/>
        <v>0</v>
      </c>
      <c r="BI256" s="150" t="s">
        <v>573</v>
      </c>
      <c r="BJ256" s="1">
        <f t="shared" si="27"/>
        <v>0</v>
      </c>
      <c r="BK256" s="156" t="s">
        <v>573</v>
      </c>
      <c r="BL256" s="1">
        <f t="shared" si="31"/>
        <v>0</v>
      </c>
      <c r="BM256" s="142" t="s">
        <v>643</v>
      </c>
      <c r="BN256" s="136" t="s">
        <v>17</v>
      </c>
      <c r="BO256" s="139" t="s">
        <v>1314</v>
      </c>
      <c r="BP256" s="137"/>
    </row>
    <row r="257" spans="1:68" ht="15.75" customHeight="1">
      <c r="A257" s="109" t="s">
        <v>751</v>
      </c>
      <c r="B257" s="122" t="s">
        <v>184</v>
      </c>
      <c r="C257" s="301"/>
      <c r="D257" s="304"/>
      <c r="E257" s="304"/>
      <c r="F257" s="297"/>
      <c r="G257" s="78">
        <v>2023</v>
      </c>
      <c r="H257" s="105" t="s">
        <v>735</v>
      </c>
      <c r="I257" s="103" t="s">
        <v>196</v>
      </c>
      <c r="J257" s="102" t="s">
        <v>197</v>
      </c>
      <c r="K257" s="105" t="s">
        <v>753</v>
      </c>
      <c r="L257" s="105" t="s">
        <v>192</v>
      </c>
      <c r="M257" s="13" t="s">
        <v>193</v>
      </c>
      <c r="N257" s="13"/>
      <c r="O257" s="13"/>
      <c r="P257" s="13">
        <v>5.4</v>
      </c>
      <c r="Q257" s="13">
        <v>5.4</v>
      </c>
      <c r="R257" s="13">
        <v>5.4</v>
      </c>
      <c r="S257" s="13">
        <v>5.4</v>
      </c>
      <c r="T257" s="13">
        <v>5.4</v>
      </c>
      <c r="U257" s="13">
        <v>5.4</v>
      </c>
      <c r="V257" s="13">
        <v>5.4</v>
      </c>
      <c r="W257" s="13">
        <v>5.4</v>
      </c>
      <c r="X257" s="13">
        <v>5.4</v>
      </c>
      <c r="Y257" s="13">
        <v>5.4</v>
      </c>
      <c r="Z257" s="13">
        <v>5.4</v>
      </c>
      <c r="AA257" s="13">
        <v>5.4</v>
      </c>
      <c r="AB257" s="40">
        <v>0</v>
      </c>
      <c r="AC257" s="40">
        <v>0</v>
      </c>
      <c r="AD257" s="40">
        <v>0</v>
      </c>
      <c r="AE257" s="40">
        <v>0</v>
      </c>
      <c r="AF257" s="40">
        <v>0</v>
      </c>
      <c r="AG257" s="40">
        <v>0</v>
      </c>
      <c r="AH257" s="40">
        <v>0</v>
      </c>
      <c r="AI257" s="40">
        <v>0</v>
      </c>
      <c r="AJ257" s="40">
        <v>0</v>
      </c>
      <c r="AK257" s="40">
        <v>0</v>
      </c>
      <c r="AL257" s="40">
        <v>0</v>
      </c>
      <c r="AM257" s="40">
        <v>0</v>
      </c>
      <c r="AN257" s="40">
        <v>0</v>
      </c>
      <c r="AO257" s="116">
        <v>0</v>
      </c>
      <c r="AP257" s="6">
        <f t="shared" si="33"/>
        <v>0</v>
      </c>
      <c r="AQ257" s="115">
        <v>0</v>
      </c>
      <c r="AR257" s="6">
        <f t="shared" si="34"/>
        <v>0</v>
      </c>
      <c r="AS257" s="115" t="s">
        <v>573</v>
      </c>
      <c r="AT257" s="6">
        <f t="shared" si="25"/>
        <v>0</v>
      </c>
      <c r="AU257" s="115">
        <v>0</v>
      </c>
      <c r="AV257" s="1">
        <f t="shared" si="36"/>
        <v>0</v>
      </c>
      <c r="AW257" s="115">
        <v>0</v>
      </c>
      <c r="AX257" s="1">
        <f t="shared" si="30"/>
        <v>0</v>
      </c>
      <c r="AY257" s="5" t="s">
        <v>573</v>
      </c>
      <c r="AZ257" s="1">
        <f t="shared" si="37"/>
        <v>0</v>
      </c>
      <c r="BA257" s="5" t="s">
        <v>573</v>
      </c>
      <c r="BB257" s="1">
        <f t="shared" si="32"/>
        <v>0</v>
      </c>
      <c r="BC257" s="5" t="s">
        <v>573</v>
      </c>
      <c r="BD257" s="144">
        <f t="shared" si="35"/>
        <v>0</v>
      </c>
      <c r="BE257" s="150">
        <v>0</v>
      </c>
      <c r="BF257" s="1">
        <f t="shared" si="26"/>
        <v>0</v>
      </c>
      <c r="BG257" s="150">
        <v>0</v>
      </c>
      <c r="BH257" s="1">
        <f t="shared" si="29"/>
        <v>0</v>
      </c>
      <c r="BI257" s="150">
        <v>3200</v>
      </c>
      <c r="BJ257" s="1">
        <f t="shared" si="27"/>
        <v>0</v>
      </c>
      <c r="BK257" s="156">
        <v>3200</v>
      </c>
      <c r="BL257" s="1">
        <f t="shared" si="31"/>
        <v>0</v>
      </c>
      <c r="BM257" s="142" t="s">
        <v>644</v>
      </c>
      <c r="BN257" s="136" t="s">
        <v>494</v>
      </c>
      <c r="BO257" s="139" t="s">
        <v>763</v>
      </c>
      <c r="BP257" s="137"/>
    </row>
    <row r="258" spans="1:68" ht="15.75" customHeight="1">
      <c r="A258" s="109" t="s">
        <v>751</v>
      </c>
      <c r="B258" s="122" t="s">
        <v>184</v>
      </c>
      <c r="C258" s="301"/>
      <c r="D258" s="304"/>
      <c r="E258" s="304"/>
      <c r="F258" s="297"/>
      <c r="G258" s="78">
        <v>2020</v>
      </c>
      <c r="H258" s="105" t="str">
        <f>_xlfn.XLOOKUP(BM258,'[5]Package breakdown0503'!$F:$F,'[5]Package breakdown0503'!$B:$B)</f>
        <v>Jaipur</v>
      </c>
      <c r="I258" s="103" t="s">
        <v>196</v>
      </c>
      <c r="J258" s="102" t="s">
        <v>197</v>
      </c>
      <c r="K258" s="105" t="s">
        <v>753</v>
      </c>
      <c r="L258" s="105" t="s">
        <v>192</v>
      </c>
      <c r="M258" s="13" t="s">
        <v>193</v>
      </c>
      <c r="N258" s="13">
        <v>2.0670000000000002</v>
      </c>
      <c r="O258" s="13">
        <v>2.0670000000000002</v>
      </c>
      <c r="P258" s="13">
        <v>2.0670000000000002</v>
      </c>
      <c r="Q258" s="13">
        <v>2.0670000000000002</v>
      </c>
      <c r="R258" s="13">
        <v>2.0670000000000002</v>
      </c>
      <c r="S258" s="13">
        <v>2.0670000000000002</v>
      </c>
      <c r="T258" s="13">
        <v>2.0670000000000002</v>
      </c>
      <c r="U258" s="13">
        <v>2.0670000000000002</v>
      </c>
      <c r="V258" s="13">
        <v>2.0670000000000002</v>
      </c>
      <c r="W258" s="13">
        <v>2.0670000000000002</v>
      </c>
      <c r="X258" s="13">
        <v>2.0670000000000002</v>
      </c>
      <c r="Y258" s="13">
        <v>2.0670000000000002</v>
      </c>
      <c r="Z258" s="13">
        <v>2.0670000000000002</v>
      </c>
      <c r="AA258" s="13">
        <v>2.0670000000000002</v>
      </c>
      <c r="AB258" s="40">
        <v>0</v>
      </c>
      <c r="AC258" s="40">
        <v>0</v>
      </c>
      <c r="AD258" s="40">
        <v>0</v>
      </c>
      <c r="AE258" s="40">
        <v>0</v>
      </c>
      <c r="AF258" s="40">
        <v>0</v>
      </c>
      <c r="AG258" s="40">
        <v>0</v>
      </c>
      <c r="AH258" s="40">
        <v>0</v>
      </c>
      <c r="AI258" s="40">
        <v>0</v>
      </c>
      <c r="AJ258" s="40">
        <v>0</v>
      </c>
      <c r="AK258" s="40">
        <v>0</v>
      </c>
      <c r="AL258" s="40">
        <v>0</v>
      </c>
      <c r="AM258" s="40">
        <v>0</v>
      </c>
      <c r="AN258" s="40">
        <v>0</v>
      </c>
      <c r="AO258" s="116">
        <v>0</v>
      </c>
      <c r="AP258" s="6">
        <f t="shared" si="33"/>
        <v>0</v>
      </c>
      <c r="AQ258" s="115">
        <v>0</v>
      </c>
      <c r="AR258" s="6">
        <f t="shared" si="34"/>
        <v>0</v>
      </c>
      <c r="AS258" s="115" t="s">
        <v>573</v>
      </c>
      <c r="AT258" s="6">
        <f t="shared" si="25"/>
        <v>0</v>
      </c>
      <c r="AU258" s="115">
        <v>0</v>
      </c>
      <c r="AV258" s="1">
        <f t="shared" si="36"/>
        <v>0</v>
      </c>
      <c r="AW258" s="115">
        <v>0</v>
      </c>
      <c r="AX258" s="1">
        <f t="shared" si="30"/>
        <v>0</v>
      </c>
      <c r="AY258" s="5" t="s">
        <v>573</v>
      </c>
      <c r="AZ258" s="1">
        <f t="shared" si="37"/>
        <v>0</v>
      </c>
      <c r="BA258" s="5" t="s">
        <v>573</v>
      </c>
      <c r="BB258" s="1">
        <f t="shared" si="32"/>
        <v>0</v>
      </c>
      <c r="BC258" s="5" t="s">
        <v>573</v>
      </c>
      <c r="BD258" s="144">
        <f t="shared" si="35"/>
        <v>0</v>
      </c>
      <c r="BE258" s="150" t="s">
        <v>573</v>
      </c>
      <c r="BF258" s="1">
        <f t="shared" si="26"/>
        <v>0</v>
      </c>
      <c r="BG258" s="150" t="s">
        <v>573</v>
      </c>
      <c r="BH258" s="1">
        <f t="shared" si="29"/>
        <v>0</v>
      </c>
      <c r="BI258" s="150" t="s">
        <v>573</v>
      </c>
      <c r="BJ258" s="1">
        <f t="shared" si="27"/>
        <v>0</v>
      </c>
      <c r="BK258" s="156" t="s">
        <v>573</v>
      </c>
      <c r="BL258" s="1">
        <f t="shared" si="31"/>
        <v>0</v>
      </c>
      <c r="BM258" s="142" t="s">
        <v>638</v>
      </c>
      <c r="BN258" s="136" t="s">
        <v>777</v>
      </c>
      <c r="BO258" s="139" t="s">
        <v>760</v>
      </c>
      <c r="BP258" s="137"/>
    </row>
    <row r="259" spans="1:68" ht="15.75" customHeight="1">
      <c r="A259" s="109" t="s">
        <v>751</v>
      </c>
      <c r="B259" s="124" t="s">
        <v>766</v>
      </c>
      <c r="C259" s="301"/>
      <c r="D259" s="304"/>
      <c r="E259" s="304"/>
      <c r="F259" s="297"/>
      <c r="G259" s="78">
        <v>2018</v>
      </c>
      <c r="H259" s="105" t="s">
        <v>732</v>
      </c>
      <c r="I259" s="103" t="s">
        <v>212</v>
      </c>
      <c r="J259" s="102" t="s">
        <v>197</v>
      </c>
      <c r="K259" s="105" t="s">
        <v>753</v>
      </c>
      <c r="L259" s="105" t="s">
        <v>192</v>
      </c>
      <c r="M259" s="13" t="s">
        <v>193</v>
      </c>
      <c r="N259" s="13">
        <v>3.88</v>
      </c>
      <c r="O259" s="13">
        <v>3.88</v>
      </c>
      <c r="P259" s="13">
        <v>3.88</v>
      </c>
      <c r="Q259" s="13">
        <v>3.88</v>
      </c>
      <c r="R259" s="13">
        <v>3.88</v>
      </c>
      <c r="S259" s="13">
        <v>3.88</v>
      </c>
      <c r="T259" s="13">
        <v>3.88</v>
      </c>
      <c r="U259" s="13">
        <v>3.88</v>
      </c>
      <c r="V259" s="13">
        <v>3.88</v>
      </c>
      <c r="W259" s="13">
        <v>3.88</v>
      </c>
      <c r="X259" s="13">
        <v>3.88</v>
      </c>
      <c r="Y259" s="13">
        <v>3.88</v>
      </c>
      <c r="Z259" s="13">
        <v>3.88</v>
      </c>
      <c r="AA259" s="13">
        <v>3.88</v>
      </c>
      <c r="AB259" s="40">
        <v>0</v>
      </c>
      <c r="AC259" s="40">
        <v>0</v>
      </c>
      <c r="AD259" s="40">
        <v>0</v>
      </c>
      <c r="AE259" s="40">
        <v>0</v>
      </c>
      <c r="AF259" s="40">
        <v>0</v>
      </c>
      <c r="AG259" s="40">
        <v>0</v>
      </c>
      <c r="AH259" s="40">
        <v>0</v>
      </c>
      <c r="AI259" s="40">
        <v>0</v>
      </c>
      <c r="AJ259" s="40">
        <v>0</v>
      </c>
      <c r="AK259" s="40">
        <v>0</v>
      </c>
      <c r="AL259" s="40">
        <v>0</v>
      </c>
      <c r="AM259" s="40">
        <v>0</v>
      </c>
      <c r="AN259" s="40">
        <v>0</v>
      </c>
      <c r="AO259" s="116">
        <v>0</v>
      </c>
      <c r="AP259" s="6">
        <f t="shared" si="33"/>
        <v>0</v>
      </c>
      <c r="AQ259" s="115">
        <v>0</v>
      </c>
      <c r="AR259" s="6">
        <f t="shared" si="34"/>
        <v>0</v>
      </c>
      <c r="AS259" s="115" t="s">
        <v>573</v>
      </c>
      <c r="AT259" s="6">
        <f t="shared" ref="AT259:AT286" si="38">AE259*AS259</f>
        <v>0</v>
      </c>
      <c r="AU259" s="115">
        <v>0</v>
      </c>
      <c r="AV259" s="1">
        <f t="shared" si="36"/>
        <v>0</v>
      </c>
      <c r="AW259" s="115">
        <v>0</v>
      </c>
      <c r="AX259" s="1">
        <f t="shared" si="30"/>
        <v>0</v>
      </c>
      <c r="AY259" s="5" t="s">
        <v>573</v>
      </c>
      <c r="AZ259" s="1">
        <f t="shared" si="37"/>
        <v>0</v>
      </c>
      <c r="BA259" s="5" t="s">
        <v>573</v>
      </c>
      <c r="BB259" s="1">
        <f t="shared" si="32"/>
        <v>0</v>
      </c>
      <c r="BC259" s="5" t="s">
        <v>573</v>
      </c>
      <c r="BD259" s="144">
        <f t="shared" si="35"/>
        <v>0</v>
      </c>
      <c r="BE259" s="150" t="s">
        <v>573</v>
      </c>
      <c r="BF259" s="1">
        <f t="shared" ref="BF259:BF286" si="39">AK259*BE259</f>
        <v>0</v>
      </c>
      <c r="BG259" s="150" t="s">
        <v>573</v>
      </c>
      <c r="BH259" s="1">
        <f t="shared" si="29"/>
        <v>0</v>
      </c>
      <c r="BI259" s="150" t="s">
        <v>573</v>
      </c>
      <c r="BJ259" s="1">
        <f t="shared" ref="BJ259:BJ286" si="40">AM259*BI259</f>
        <v>0</v>
      </c>
      <c r="BK259" s="156" t="s">
        <v>573</v>
      </c>
      <c r="BL259" s="1">
        <f t="shared" si="31"/>
        <v>0</v>
      </c>
      <c r="BM259" s="142" t="s">
        <v>670</v>
      </c>
      <c r="BN259" s="136" t="s">
        <v>777</v>
      </c>
      <c r="BO259" s="139" t="s">
        <v>760</v>
      </c>
      <c r="BP259" s="137"/>
    </row>
    <row r="260" spans="1:68" ht="15.75" customHeight="1">
      <c r="A260" s="109" t="s">
        <v>751</v>
      </c>
      <c r="B260" s="124"/>
      <c r="C260" s="301"/>
      <c r="D260" s="304"/>
      <c r="E260" s="304"/>
      <c r="F260" s="297"/>
      <c r="G260" s="78">
        <v>2021</v>
      </c>
      <c r="H260" s="105" t="s">
        <v>723</v>
      </c>
      <c r="I260" s="103" t="s">
        <v>778</v>
      </c>
      <c r="J260" s="102" t="s">
        <v>197</v>
      </c>
      <c r="K260" s="105" t="s">
        <v>779</v>
      </c>
      <c r="L260" s="105" t="s">
        <v>192</v>
      </c>
      <c r="M260" s="13" t="s">
        <v>193</v>
      </c>
      <c r="N260" s="13">
        <v>3.37</v>
      </c>
      <c r="O260" s="13">
        <v>3.37</v>
      </c>
      <c r="P260" s="13">
        <v>3.37</v>
      </c>
      <c r="Q260" s="13">
        <v>3.37</v>
      </c>
      <c r="R260" s="13">
        <v>3.37</v>
      </c>
      <c r="S260" s="13">
        <v>3.37</v>
      </c>
      <c r="T260" s="13">
        <v>3.37</v>
      </c>
      <c r="U260" s="13">
        <v>3.37</v>
      </c>
      <c r="V260" s="13">
        <v>3.37</v>
      </c>
      <c r="W260" s="13">
        <v>3.37</v>
      </c>
      <c r="X260" s="13">
        <v>3.37</v>
      </c>
      <c r="Y260" s="13">
        <v>3.37</v>
      </c>
      <c r="Z260" s="13">
        <v>3.37</v>
      </c>
      <c r="AA260" s="13">
        <v>3.37</v>
      </c>
      <c r="AB260" s="40">
        <v>0</v>
      </c>
      <c r="AC260" s="40">
        <v>0</v>
      </c>
      <c r="AD260" s="40">
        <v>0</v>
      </c>
      <c r="AE260" s="40">
        <v>0</v>
      </c>
      <c r="AF260" s="40">
        <v>0</v>
      </c>
      <c r="AG260" s="40">
        <v>0</v>
      </c>
      <c r="AH260" s="40">
        <v>0</v>
      </c>
      <c r="AI260" s="40">
        <v>0</v>
      </c>
      <c r="AJ260" s="40">
        <v>0</v>
      </c>
      <c r="AK260" s="40">
        <v>0</v>
      </c>
      <c r="AL260" s="40">
        <v>0</v>
      </c>
      <c r="AM260" s="40">
        <v>0</v>
      </c>
      <c r="AN260" s="40">
        <v>0</v>
      </c>
      <c r="AO260" s="116">
        <v>0</v>
      </c>
      <c r="AP260" s="6">
        <f t="shared" si="33"/>
        <v>0</v>
      </c>
      <c r="AQ260" s="115">
        <v>0</v>
      </c>
      <c r="AR260" s="6">
        <f t="shared" si="34"/>
        <v>0</v>
      </c>
      <c r="AS260" s="115" t="s">
        <v>573</v>
      </c>
      <c r="AT260" s="6">
        <f t="shared" si="38"/>
        <v>0</v>
      </c>
      <c r="AU260" s="115">
        <v>0</v>
      </c>
      <c r="AV260" s="1">
        <f t="shared" si="36"/>
        <v>0</v>
      </c>
      <c r="AW260" s="116">
        <v>0</v>
      </c>
      <c r="AX260" s="1">
        <f t="shared" si="30"/>
        <v>0</v>
      </c>
      <c r="AY260" s="5" t="s">
        <v>573</v>
      </c>
      <c r="AZ260" s="1">
        <f t="shared" si="37"/>
        <v>0</v>
      </c>
      <c r="BA260" s="5" t="s">
        <v>573</v>
      </c>
      <c r="BB260" s="1">
        <f>AI260*BA260</f>
        <v>0</v>
      </c>
      <c r="BC260" s="5" t="s">
        <v>573</v>
      </c>
      <c r="BD260" s="144">
        <f t="shared" si="35"/>
        <v>0</v>
      </c>
      <c r="BE260" s="150" t="s">
        <v>573</v>
      </c>
      <c r="BF260" s="1">
        <f t="shared" si="39"/>
        <v>0</v>
      </c>
      <c r="BG260" s="150" t="s">
        <v>573</v>
      </c>
      <c r="BH260" s="1">
        <f t="shared" ref="BH260:BH286" si="41">BG260*AL260</f>
        <v>0</v>
      </c>
      <c r="BI260" s="150" t="s">
        <v>573</v>
      </c>
      <c r="BJ260" s="1">
        <f t="shared" si="40"/>
        <v>0</v>
      </c>
      <c r="BK260" s="156" t="s">
        <v>573</v>
      </c>
      <c r="BL260" s="1">
        <f t="shared" si="31"/>
        <v>0</v>
      </c>
      <c r="BM260" s="142" t="s">
        <v>592</v>
      </c>
      <c r="BN260" s="136" t="s">
        <v>104</v>
      </c>
      <c r="BO260" s="139" t="s">
        <v>760</v>
      </c>
      <c r="BP260" s="137"/>
    </row>
    <row r="261" spans="1:68" ht="15.75" customHeight="1">
      <c r="A261" s="109" t="s">
        <v>751</v>
      </c>
      <c r="B261" s="124"/>
      <c r="C261" s="301"/>
      <c r="D261" s="304"/>
      <c r="E261" s="304"/>
      <c r="F261" s="297"/>
      <c r="G261" s="78">
        <v>2021</v>
      </c>
      <c r="H261" s="105" t="s">
        <v>723</v>
      </c>
      <c r="I261" s="103" t="s">
        <v>778</v>
      </c>
      <c r="J261" s="102" t="s">
        <v>756</v>
      </c>
      <c r="K261" s="105" t="s">
        <v>779</v>
      </c>
      <c r="L261" s="105" t="s">
        <v>192</v>
      </c>
      <c r="M261" s="13" t="s">
        <v>193</v>
      </c>
      <c r="N261" s="13">
        <v>3.26</v>
      </c>
      <c r="O261" s="13">
        <v>3.26</v>
      </c>
      <c r="P261" s="13">
        <v>3.26</v>
      </c>
      <c r="Q261" s="13">
        <v>3.26</v>
      </c>
      <c r="R261" s="13">
        <v>3.26</v>
      </c>
      <c r="S261" s="13">
        <v>3.26</v>
      </c>
      <c r="T261" s="13">
        <v>3.26</v>
      </c>
      <c r="U261" s="13">
        <v>3.26</v>
      </c>
      <c r="V261" s="13">
        <v>3.26</v>
      </c>
      <c r="W261" s="13">
        <v>3.26</v>
      </c>
      <c r="X261" s="13">
        <v>3.26</v>
      </c>
      <c r="Y261" s="13">
        <v>3.26</v>
      </c>
      <c r="Z261" s="13">
        <v>3.26</v>
      </c>
      <c r="AA261" s="13">
        <v>3.26</v>
      </c>
      <c r="AB261" s="40">
        <v>0</v>
      </c>
      <c r="AC261" s="40">
        <v>0</v>
      </c>
      <c r="AD261" s="40">
        <v>0</v>
      </c>
      <c r="AE261" s="40">
        <v>0</v>
      </c>
      <c r="AF261" s="40">
        <v>0</v>
      </c>
      <c r="AG261" s="40">
        <v>0</v>
      </c>
      <c r="AH261" s="40">
        <v>0</v>
      </c>
      <c r="AI261" s="40">
        <v>0</v>
      </c>
      <c r="AJ261" s="40">
        <v>0</v>
      </c>
      <c r="AK261" s="40">
        <v>0</v>
      </c>
      <c r="AL261" s="40">
        <v>0</v>
      </c>
      <c r="AM261" s="40">
        <v>0</v>
      </c>
      <c r="AN261" s="40">
        <v>0</v>
      </c>
      <c r="AO261" s="116">
        <v>2000</v>
      </c>
      <c r="AP261" s="6">
        <v>0</v>
      </c>
      <c r="AQ261" s="115">
        <v>0</v>
      </c>
      <c r="AR261" s="6">
        <v>0</v>
      </c>
      <c r="AS261" s="115" t="s">
        <v>573</v>
      </c>
      <c r="AT261" s="6">
        <f t="shared" si="38"/>
        <v>0</v>
      </c>
      <c r="AU261" s="115">
        <v>0</v>
      </c>
      <c r="AV261" s="1">
        <v>0</v>
      </c>
      <c r="AW261" s="116">
        <v>1000</v>
      </c>
      <c r="AX261" s="1">
        <f t="shared" si="30"/>
        <v>0</v>
      </c>
      <c r="AY261" s="5" t="s">
        <v>573</v>
      </c>
      <c r="AZ261" s="1">
        <f t="shared" si="37"/>
        <v>0</v>
      </c>
      <c r="BA261" s="5" t="s">
        <v>573</v>
      </c>
      <c r="BB261" s="1">
        <v>0</v>
      </c>
      <c r="BC261" s="5" t="s">
        <v>573</v>
      </c>
      <c r="BD261" s="144">
        <f t="shared" si="35"/>
        <v>0</v>
      </c>
      <c r="BE261" s="150" t="s">
        <v>573</v>
      </c>
      <c r="BF261" s="1">
        <f t="shared" si="39"/>
        <v>0</v>
      </c>
      <c r="BG261" s="150" t="s">
        <v>573</v>
      </c>
      <c r="BH261" s="1">
        <f t="shared" si="41"/>
        <v>0</v>
      </c>
      <c r="BI261" s="150" t="s">
        <v>573</v>
      </c>
      <c r="BJ261" s="1">
        <f t="shared" si="40"/>
        <v>0</v>
      </c>
      <c r="BK261" s="156" t="s">
        <v>573</v>
      </c>
      <c r="BL261" s="1">
        <f t="shared" si="31"/>
        <v>0</v>
      </c>
      <c r="BM261" s="142" t="s">
        <v>591</v>
      </c>
      <c r="BN261" s="136" t="s">
        <v>104</v>
      </c>
      <c r="BO261" s="139" t="s">
        <v>760</v>
      </c>
      <c r="BP261" s="137"/>
    </row>
    <row r="262" spans="1:68" ht="15.75" customHeight="1">
      <c r="A262" s="123" t="s">
        <v>751</v>
      </c>
      <c r="B262" s="124" t="s">
        <v>766</v>
      </c>
      <c r="C262" s="301"/>
      <c r="D262" s="304"/>
      <c r="E262" s="304"/>
      <c r="F262" s="297"/>
      <c r="G262" s="78">
        <v>2018</v>
      </c>
      <c r="H262" s="105" t="s">
        <v>732</v>
      </c>
      <c r="I262" s="76" t="s">
        <v>780</v>
      </c>
      <c r="J262" s="103" t="s">
        <v>756</v>
      </c>
      <c r="K262" s="105" t="s">
        <v>753</v>
      </c>
      <c r="L262" s="105" t="s">
        <v>192</v>
      </c>
      <c r="M262" s="13" t="s">
        <v>193</v>
      </c>
      <c r="N262" s="13">
        <v>3.65</v>
      </c>
      <c r="O262" s="13">
        <v>3.65</v>
      </c>
      <c r="P262" s="13">
        <v>3.65</v>
      </c>
      <c r="Q262" s="13">
        <v>3.65</v>
      </c>
      <c r="R262" s="13">
        <v>3.65</v>
      </c>
      <c r="S262" s="13">
        <v>3.65</v>
      </c>
      <c r="T262" s="13">
        <v>3.65</v>
      </c>
      <c r="U262" s="13">
        <v>3.65</v>
      </c>
      <c r="V262" s="13">
        <v>3.65</v>
      </c>
      <c r="W262" s="13">
        <v>3.65</v>
      </c>
      <c r="X262" s="13">
        <v>3.65</v>
      </c>
      <c r="Y262" s="13">
        <v>3.65</v>
      </c>
      <c r="Z262" s="13">
        <v>3.65</v>
      </c>
      <c r="AA262" s="13">
        <v>3.65</v>
      </c>
      <c r="AB262" s="40">
        <v>0</v>
      </c>
      <c r="AC262" s="40">
        <v>0</v>
      </c>
      <c r="AD262" s="40">
        <v>0</v>
      </c>
      <c r="AE262" s="40">
        <v>0</v>
      </c>
      <c r="AF262" s="40">
        <v>0</v>
      </c>
      <c r="AG262" s="40">
        <v>0</v>
      </c>
      <c r="AH262" s="40">
        <v>0</v>
      </c>
      <c r="AI262" s="40">
        <v>0</v>
      </c>
      <c r="AJ262" s="40">
        <v>0</v>
      </c>
      <c r="AK262" s="40">
        <v>0</v>
      </c>
      <c r="AL262" s="40">
        <v>0</v>
      </c>
      <c r="AM262" s="40">
        <v>0</v>
      </c>
      <c r="AN262" s="40">
        <v>0</v>
      </c>
      <c r="AO262" s="116">
        <v>0</v>
      </c>
      <c r="AP262" s="6">
        <f t="shared" ref="AP262:AP286" si="42">AC262*AO262</f>
        <v>0</v>
      </c>
      <c r="AQ262" s="115">
        <v>0</v>
      </c>
      <c r="AR262" s="6">
        <f t="shared" ref="AR262:AR286" si="43">AD262*AQ262</f>
        <v>0</v>
      </c>
      <c r="AS262" s="115" t="s">
        <v>573</v>
      </c>
      <c r="AT262" s="6">
        <f t="shared" si="38"/>
        <v>0</v>
      </c>
      <c r="AU262" s="116">
        <v>1890</v>
      </c>
      <c r="AV262" s="1">
        <f t="shared" ref="AV262:AV286" si="44">AF262*AU262</f>
        <v>0</v>
      </c>
      <c r="AW262" s="116">
        <v>1890</v>
      </c>
      <c r="AX262" s="1">
        <f t="shared" si="30"/>
        <v>0</v>
      </c>
      <c r="AY262" s="5">
        <v>7560</v>
      </c>
      <c r="AZ262" s="1">
        <f t="shared" si="37"/>
        <v>0</v>
      </c>
      <c r="BA262" s="5" t="s">
        <v>573</v>
      </c>
      <c r="BB262" s="1">
        <f t="shared" ref="BB262:BB286" si="45">AI262*BA262</f>
        <v>0</v>
      </c>
      <c r="BC262" s="5" t="s">
        <v>573</v>
      </c>
      <c r="BD262" s="144">
        <f t="shared" si="35"/>
        <v>0</v>
      </c>
      <c r="BE262" s="150">
        <v>1890</v>
      </c>
      <c r="BF262" s="1">
        <f t="shared" si="39"/>
        <v>0</v>
      </c>
      <c r="BG262" s="150">
        <v>1890</v>
      </c>
      <c r="BH262" s="1">
        <f t="shared" si="41"/>
        <v>0</v>
      </c>
      <c r="BI262" s="150">
        <v>1890</v>
      </c>
      <c r="BJ262" s="1">
        <f t="shared" si="40"/>
        <v>0</v>
      </c>
      <c r="BK262" s="156" t="s">
        <v>573</v>
      </c>
      <c r="BL262" s="1">
        <f t="shared" si="31"/>
        <v>0</v>
      </c>
      <c r="BM262" s="142" t="s">
        <v>535</v>
      </c>
      <c r="BN262" s="136" t="s">
        <v>498</v>
      </c>
      <c r="BO262" s="139" t="s">
        <v>754</v>
      </c>
      <c r="BP262" s="137"/>
    </row>
    <row r="263" spans="1:68" ht="15.75" customHeight="1">
      <c r="A263" s="109" t="s">
        <v>751</v>
      </c>
      <c r="B263" s="122" t="s">
        <v>184</v>
      </c>
      <c r="C263" s="301"/>
      <c r="D263" s="304"/>
      <c r="E263" s="304"/>
      <c r="F263" s="297"/>
      <c r="G263" s="78">
        <v>2023</v>
      </c>
      <c r="H263" s="105" t="s">
        <v>715</v>
      </c>
      <c r="I263" s="103" t="s">
        <v>196</v>
      </c>
      <c r="J263" s="102" t="s">
        <v>756</v>
      </c>
      <c r="K263" s="105" t="s">
        <v>753</v>
      </c>
      <c r="L263" s="105" t="s">
        <v>192</v>
      </c>
      <c r="M263" s="13" t="s">
        <v>193</v>
      </c>
      <c r="N263" s="40"/>
      <c r="O263" s="40"/>
      <c r="P263" s="13">
        <v>11.2</v>
      </c>
      <c r="Q263" s="13">
        <v>11.2</v>
      </c>
      <c r="R263" s="13">
        <v>11.2</v>
      </c>
      <c r="S263" s="13">
        <v>11.2</v>
      </c>
      <c r="T263" s="13">
        <v>11.2</v>
      </c>
      <c r="U263" s="13">
        <v>11.2</v>
      </c>
      <c r="V263" s="13">
        <v>11.2</v>
      </c>
      <c r="W263" s="13">
        <v>11.2</v>
      </c>
      <c r="X263" s="13">
        <v>11.2</v>
      </c>
      <c r="Y263" s="13">
        <v>11.2</v>
      </c>
      <c r="Z263" s="13">
        <v>11.2</v>
      </c>
      <c r="AA263" s="13">
        <v>11.2</v>
      </c>
      <c r="AB263" s="40">
        <v>0</v>
      </c>
      <c r="AC263" s="40">
        <v>0</v>
      </c>
      <c r="AD263" s="40">
        <v>0</v>
      </c>
      <c r="AE263" s="40">
        <v>0</v>
      </c>
      <c r="AF263" s="40">
        <v>0</v>
      </c>
      <c r="AG263" s="40">
        <v>0</v>
      </c>
      <c r="AH263" s="40">
        <v>0</v>
      </c>
      <c r="AI263" s="40">
        <v>0</v>
      </c>
      <c r="AJ263" s="40">
        <v>0</v>
      </c>
      <c r="AK263" s="40">
        <v>0</v>
      </c>
      <c r="AL263" s="40">
        <v>0</v>
      </c>
      <c r="AM263" s="40">
        <v>0.45</v>
      </c>
      <c r="AN263" s="40">
        <v>0.45</v>
      </c>
      <c r="AO263" s="116">
        <v>0</v>
      </c>
      <c r="AP263" s="6">
        <f t="shared" si="42"/>
        <v>0</v>
      </c>
      <c r="AQ263" s="115">
        <v>0</v>
      </c>
      <c r="AR263" s="6">
        <f t="shared" si="43"/>
        <v>0</v>
      </c>
      <c r="AS263" s="115" t="s">
        <v>573</v>
      </c>
      <c r="AT263" s="6">
        <f t="shared" si="38"/>
        <v>0</v>
      </c>
      <c r="AU263" s="116">
        <v>0</v>
      </c>
      <c r="AV263" s="1">
        <f t="shared" si="44"/>
        <v>0</v>
      </c>
      <c r="AW263" s="116">
        <v>0</v>
      </c>
      <c r="AX263" s="1">
        <f t="shared" si="30"/>
        <v>0</v>
      </c>
      <c r="AY263" s="5" t="s">
        <v>573</v>
      </c>
      <c r="AZ263" s="1">
        <f t="shared" si="37"/>
        <v>0</v>
      </c>
      <c r="BA263" s="5" t="s">
        <v>573</v>
      </c>
      <c r="BB263" s="1">
        <f t="shared" si="45"/>
        <v>0</v>
      </c>
      <c r="BC263" s="5" t="s">
        <v>573</v>
      </c>
      <c r="BD263" s="144">
        <f t="shared" si="35"/>
        <v>0</v>
      </c>
      <c r="BE263" s="150">
        <v>2880</v>
      </c>
      <c r="BF263" s="1">
        <f t="shared" si="39"/>
        <v>0</v>
      </c>
      <c r="BG263" s="150">
        <v>1440</v>
      </c>
      <c r="BH263" s="1">
        <f t="shared" si="41"/>
        <v>0</v>
      </c>
      <c r="BI263" s="150">
        <v>1440</v>
      </c>
      <c r="BJ263" s="1">
        <f t="shared" si="40"/>
        <v>648</v>
      </c>
      <c r="BK263" s="156" t="s">
        <v>573</v>
      </c>
      <c r="BL263" s="1">
        <f t="shared" si="31"/>
        <v>0</v>
      </c>
      <c r="BM263" s="1" t="s">
        <v>645</v>
      </c>
      <c r="BN263" s="136" t="s">
        <v>17</v>
      </c>
      <c r="BO263" s="139" t="s">
        <v>1314</v>
      </c>
      <c r="BP263" s="137">
        <v>46965</v>
      </c>
    </row>
    <row r="264" spans="1:68" ht="15.75" customHeight="1">
      <c r="A264" s="109" t="s">
        <v>751</v>
      </c>
      <c r="B264" s="122" t="s">
        <v>184</v>
      </c>
      <c r="C264" s="301"/>
      <c r="D264" s="304"/>
      <c r="E264" s="304"/>
      <c r="F264" s="297"/>
      <c r="G264" s="78">
        <v>2023</v>
      </c>
      <c r="H264" s="105" t="s">
        <v>715</v>
      </c>
      <c r="I264" s="103" t="s">
        <v>196</v>
      </c>
      <c r="J264" s="102" t="s">
        <v>756</v>
      </c>
      <c r="K264" s="105" t="s">
        <v>753</v>
      </c>
      <c r="L264" s="105" t="s">
        <v>192</v>
      </c>
      <c r="M264" s="13" t="s">
        <v>193</v>
      </c>
      <c r="N264" s="40"/>
      <c r="O264" s="40"/>
      <c r="P264" s="13">
        <v>11.2</v>
      </c>
      <c r="Q264" s="13">
        <v>11.2</v>
      </c>
      <c r="R264" s="13">
        <v>11.2</v>
      </c>
      <c r="S264" s="13">
        <v>11.2</v>
      </c>
      <c r="T264" s="13">
        <v>11.2</v>
      </c>
      <c r="U264" s="13">
        <v>11.2</v>
      </c>
      <c r="V264" s="13">
        <v>11.2</v>
      </c>
      <c r="W264" s="13">
        <v>11.2</v>
      </c>
      <c r="X264" s="13">
        <v>11.2</v>
      </c>
      <c r="Y264" s="13">
        <v>11.2</v>
      </c>
      <c r="Z264" s="13">
        <v>11.2</v>
      </c>
      <c r="AA264" s="13">
        <v>11.2</v>
      </c>
      <c r="AB264" s="40">
        <v>0</v>
      </c>
      <c r="AC264" s="40">
        <v>0</v>
      </c>
      <c r="AD264" s="40">
        <v>0</v>
      </c>
      <c r="AE264" s="40">
        <v>0</v>
      </c>
      <c r="AF264" s="40">
        <v>0</v>
      </c>
      <c r="AG264" s="40">
        <v>0</v>
      </c>
      <c r="AH264" s="40">
        <v>0</v>
      </c>
      <c r="AI264" s="40">
        <v>0</v>
      </c>
      <c r="AJ264" s="40">
        <v>0</v>
      </c>
      <c r="AK264" s="40">
        <v>0</v>
      </c>
      <c r="AL264" s="40">
        <v>0</v>
      </c>
      <c r="AM264" s="40">
        <v>0.45</v>
      </c>
      <c r="AN264" s="40">
        <v>0.45</v>
      </c>
      <c r="AO264" s="116">
        <v>0</v>
      </c>
      <c r="AP264" s="6">
        <f t="shared" si="42"/>
        <v>0</v>
      </c>
      <c r="AQ264" s="115">
        <v>0</v>
      </c>
      <c r="AR264" s="6">
        <f t="shared" si="43"/>
        <v>0</v>
      </c>
      <c r="AS264" s="115" t="s">
        <v>573</v>
      </c>
      <c r="AT264" s="6">
        <f t="shared" si="38"/>
        <v>0</v>
      </c>
      <c r="AU264" s="116">
        <v>0</v>
      </c>
      <c r="AV264" s="1">
        <f t="shared" si="44"/>
        <v>0</v>
      </c>
      <c r="AW264" s="116">
        <v>0</v>
      </c>
      <c r="AX264" s="1">
        <f t="shared" si="30"/>
        <v>0</v>
      </c>
      <c r="AY264" s="5" t="s">
        <v>573</v>
      </c>
      <c r="AZ264" s="1">
        <f t="shared" si="37"/>
        <v>0</v>
      </c>
      <c r="BA264" s="5" t="s">
        <v>573</v>
      </c>
      <c r="BB264" s="1">
        <f t="shared" si="45"/>
        <v>0</v>
      </c>
      <c r="BC264" s="5" t="s">
        <v>573</v>
      </c>
      <c r="BD264" s="144">
        <f t="shared" si="35"/>
        <v>0</v>
      </c>
      <c r="BE264" s="150">
        <v>1440</v>
      </c>
      <c r="BF264" s="1">
        <f t="shared" si="39"/>
        <v>0</v>
      </c>
      <c r="BG264" s="150" t="s">
        <v>573</v>
      </c>
      <c r="BH264" s="1">
        <f t="shared" si="41"/>
        <v>0</v>
      </c>
      <c r="BI264" s="150">
        <v>1440</v>
      </c>
      <c r="BJ264" s="1">
        <f t="shared" si="40"/>
        <v>648</v>
      </c>
      <c r="BK264" s="156" t="s">
        <v>573</v>
      </c>
      <c r="BL264" s="1">
        <f t="shared" si="31"/>
        <v>0</v>
      </c>
      <c r="BM264" s="1" t="s">
        <v>646</v>
      </c>
      <c r="BN264" s="136" t="s">
        <v>494</v>
      </c>
      <c r="BO264" s="139" t="s">
        <v>763</v>
      </c>
      <c r="BP264" s="137">
        <v>46965</v>
      </c>
    </row>
    <row r="265" spans="1:68" ht="15.75" customHeight="1">
      <c r="A265" s="109" t="s">
        <v>751</v>
      </c>
      <c r="B265" s="122" t="s">
        <v>184</v>
      </c>
      <c r="C265" s="301"/>
      <c r="D265" s="304"/>
      <c r="E265" s="304"/>
      <c r="F265" s="297"/>
      <c r="G265" s="78">
        <v>2023</v>
      </c>
      <c r="H265" s="105" t="s">
        <v>715</v>
      </c>
      <c r="I265" s="103" t="s">
        <v>196</v>
      </c>
      <c r="J265" s="102" t="s">
        <v>756</v>
      </c>
      <c r="K265" s="105" t="s">
        <v>753</v>
      </c>
      <c r="L265" s="105" t="s">
        <v>192</v>
      </c>
      <c r="M265" s="13" t="s">
        <v>193</v>
      </c>
      <c r="N265" s="40"/>
      <c r="O265" s="40"/>
      <c r="P265" s="13">
        <v>11.2</v>
      </c>
      <c r="Q265" s="13">
        <v>11.2</v>
      </c>
      <c r="R265" s="13">
        <v>11.2</v>
      </c>
      <c r="S265" s="13">
        <v>11.2</v>
      </c>
      <c r="T265" s="13">
        <v>11.2</v>
      </c>
      <c r="U265" s="13">
        <v>11.2</v>
      </c>
      <c r="V265" s="13">
        <v>11.2</v>
      </c>
      <c r="W265" s="13">
        <v>11.2</v>
      </c>
      <c r="X265" s="13">
        <v>11.2</v>
      </c>
      <c r="Y265" s="13">
        <v>11.2</v>
      </c>
      <c r="Z265" s="13">
        <v>11.2</v>
      </c>
      <c r="AA265" s="13">
        <v>11.2</v>
      </c>
      <c r="AB265" s="40">
        <v>0</v>
      </c>
      <c r="AC265" s="40">
        <v>0</v>
      </c>
      <c r="AD265" s="40">
        <v>0</v>
      </c>
      <c r="AE265" s="40">
        <v>0</v>
      </c>
      <c r="AF265" s="40">
        <v>0</v>
      </c>
      <c r="AG265" s="40">
        <v>0</v>
      </c>
      <c r="AH265" s="40">
        <v>0</v>
      </c>
      <c r="AI265" s="40">
        <v>0</v>
      </c>
      <c r="AJ265" s="40">
        <v>0</v>
      </c>
      <c r="AK265" s="40">
        <v>0</v>
      </c>
      <c r="AL265" s="40">
        <v>0</v>
      </c>
      <c r="AM265" s="40">
        <v>0.45</v>
      </c>
      <c r="AN265" s="40">
        <v>0.45</v>
      </c>
      <c r="AO265" s="116">
        <v>0</v>
      </c>
      <c r="AP265" s="6">
        <f t="shared" si="42"/>
        <v>0</v>
      </c>
      <c r="AQ265" s="115">
        <v>0</v>
      </c>
      <c r="AR265" s="6">
        <f t="shared" si="43"/>
        <v>0</v>
      </c>
      <c r="AS265" s="115" t="s">
        <v>573</v>
      </c>
      <c r="AT265" s="6">
        <f t="shared" si="38"/>
        <v>0</v>
      </c>
      <c r="AU265" s="116">
        <v>0</v>
      </c>
      <c r="AV265" s="1">
        <f t="shared" si="44"/>
        <v>0</v>
      </c>
      <c r="AW265" s="116">
        <v>0</v>
      </c>
      <c r="AX265" s="1">
        <f t="shared" si="30"/>
        <v>0</v>
      </c>
      <c r="AY265" s="5" t="s">
        <v>573</v>
      </c>
      <c r="AZ265" s="1">
        <f t="shared" si="37"/>
        <v>0</v>
      </c>
      <c r="BA265" s="5" t="s">
        <v>573</v>
      </c>
      <c r="BB265" s="1">
        <f t="shared" si="45"/>
        <v>0</v>
      </c>
      <c r="BC265" s="5" t="s">
        <v>573</v>
      </c>
      <c r="BD265" s="144">
        <f t="shared" si="35"/>
        <v>0</v>
      </c>
      <c r="BE265" s="150" t="s">
        <v>573</v>
      </c>
      <c r="BF265" s="1">
        <f t="shared" si="39"/>
        <v>0</v>
      </c>
      <c r="BG265" s="150">
        <v>1440</v>
      </c>
      <c r="BH265" s="1">
        <f t="shared" si="41"/>
        <v>0</v>
      </c>
      <c r="BI265" s="150" t="s">
        <v>573</v>
      </c>
      <c r="BJ265" s="1">
        <f t="shared" si="40"/>
        <v>0</v>
      </c>
      <c r="BK265" s="156" t="s">
        <v>573</v>
      </c>
      <c r="BL265" s="1">
        <f t="shared" si="31"/>
        <v>0</v>
      </c>
      <c r="BM265" s="1" t="s">
        <v>647</v>
      </c>
      <c r="BN265" s="136" t="s">
        <v>17</v>
      </c>
      <c r="BO265" s="139" t="s">
        <v>754</v>
      </c>
      <c r="BP265" s="137">
        <v>46965</v>
      </c>
    </row>
    <row r="266" spans="1:68" ht="15.75" customHeight="1">
      <c r="A266" s="109" t="s">
        <v>751</v>
      </c>
      <c r="B266" s="122" t="s">
        <v>184</v>
      </c>
      <c r="C266" s="301"/>
      <c r="D266" s="304"/>
      <c r="E266" s="304"/>
      <c r="F266" s="297"/>
      <c r="G266" s="78">
        <v>2023</v>
      </c>
      <c r="H266" s="105" t="s">
        <v>715</v>
      </c>
      <c r="I266" s="103" t="s">
        <v>196</v>
      </c>
      <c r="J266" s="102" t="s">
        <v>756</v>
      </c>
      <c r="K266" s="105" t="s">
        <v>753</v>
      </c>
      <c r="L266" s="105" t="s">
        <v>192</v>
      </c>
      <c r="M266" s="13" t="s">
        <v>193</v>
      </c>
      <c r="N266" s="40"/>
      <c r="O266" s="40"/>
      <c r="P266" s="13">
        <v>11.22</v>
      </c>
      <c r="Q266" s="13">
        <v>11.22</v>
      </c>
      <c r="R266" s="13">
        <v>11.22</v>
      </c>
      <c r="S266" s="13">
        <v>11.22</v>
      </c>
      <c r="T266" s="13">
        <v>11.22</v>
      </c>
      <c r="U266" s="13">
        <v>11.22</v>
      </c>
      <c r="V266" s="13">
        <v>11.22</v>
      </c>
      <c r="W266" s="13">
        <v>11.22</v>
      </c>
      <c r="X266" s="13">
        <v>11.22</v>
      </c>
      <c r="Y266" s="13">
        <v>11.22</v>
      </c>
      <c r="Z266" s="13">
        <v>11.22</v>
      </c>
      <c r="AA266" s="13">
        <v>11.22</v>
      </c>
      <c r="AB266" s="40">
        <v>0</v>
      </c>
      <c r="AC266" s="40">
        <v>0</v>
      </c>
      <c r="AD266" s="40">
        <v>0</v>
      </c>
      <c r="AE266" s="40">
        <v>0</v>
      </c>
      <c r="AF266" s="40">
        <v>0</v>
      </c>
      <c r="AG266" s="40">
        <v>0</v>
      </c>
      <c r="AH266" s="40">
        <v>0</v>
      </c>
      <c r="AI266" s="40">
        <v>0</v>
      </c>
      <c r="AJ266" s="40">
        <v>0</v>
      </c>
      <c r="AK266" s="40">
        <v>0</v>
      </c>
      <c r="AL266" s="40">
        <v>0</v>
      </c>
      <c r="AM266" s="40">
        <v>0.45</v>
      </c>
      <c r="AN266" s="40">
        <v>0.45</v>
      </c>
      <c r="AO266" s="116">
        <v>0</v>
      </c>
      <c r="AP266" s="6">
        <f t="shared" si="42"/>
        <v>0</v>
      </c>
      <c r="AQ266" s="115">
        <v>0</v>
      </c>
      <c r="AR266" s="6">
        <f t="shared" si="43"/>
        <v>0</v>
      </c>
      <c r="AS266" s="115" t="s">
        <v>573</v>
      </c>
      <c r="AT266" s="6">
        <f t="shared" si="38"/>
        <v>0</v>
      </c>
      <c r="AU266" s="116">
        <v>0</v>
      </c>
      <c r="AV266" s="1">
        <f t="shared" si="44"/>
        <v>0</v>
      </c>
      <c r="AW266" s="116">
        <v>0</v>
      </c>
      <c r="AX266" s="1">
        <f t="shared" si="30"/>
        <v>0</v>
      </c>
      <c r="AY266" s="5" t="s">
        <v>573</v>
      </c>
      <c r="AZ266" s="1">
        <f t="shared" si="37"/>
        <v>0</v>
      </c>
      <c r="BA266" s="5" t="s">
        <v>573</v>
      </c>
      <c r="BB266" s="1">
        <f t="shared" si="45"/>
        <v>0</v>
      </c>
      <c r="BC266" s="5" t="s">
        <v>573</v>
      </c>
      <c r="BD266" s="144">
        <f t="shared" si="35"/>
        <v>0</v>
      </c>
      <c r="BE266" s="150" t="s">
        <v>573</v>
      </c>
      <c r="BF266" s="1">
        <f t="shared" si="39"/>
        <v>0</v>
      </c>
      <c r="BG266" s="150">
        <v>1440</v>
      </c>
      <c r="BH266" s="1">
        <f t="shared" si="41"/>
        <v>0</v>
      </c>
      <c r="BI266" s="150" t="s">
        <v>573</v>
      </c>
      <c r="BJ266" s="1">
        <f t="shared" si="40"/>
        <v>0</v>
      </c>
      <c r="BK266" s="156" t="s">
        <v>573</v>
      </c>
      <c r="BL266" s="1">
        <f t="shared" si="31"/>
        <v>0</v>
      </c>
      <c r="BM266" s="1" t="s">
        <v>648</v>
      </c>
      <c r="BN266" s="136" t="s">
        <v>17</v>
      </c>
      <c r="BO266" s="139" t="s">
        <v>1314</v>
      </c>
      <c r="BP266" s="137">
        <v>46965</v>
      </c>
    </row>
    <row r="267" spans="1:68" ht="15.75" customHeight="1">
      <c r="A267" s="109" t="s">
        <v>751</v>
      </c>
      <c r="B267" s="122" t="s">
        <v>184</v>
      </c>
      <c r="C267" s="301"/>
      <c r="D267" s="304"/>
      <c r="E267" s="304"/>
      <c r="F267" s="297"/>
      <c r="G267" s="78">
        <v>2023</v>
      </c>
      <c r="H267" s="105" t="s">
        <v>715</v>
      </c>
      <c r="I267" s="103" t="s">
        <v>196</v>
      </c>
      <c r="J267" s="102" t="s">
        <v>756</v>
      </c>
      <c r="K267" s="105" t="s">
        <v>753</v>
      </c>
      <c r="L267" s="105" t="s">
        <v>192</v>
      </c>
      <c r="M267" s="13" t="s">
        <v>193</v>
      </c>
      <c r="N267" s="40"/>
      <c r="O267" s="40"/>
      <c r="P267" s="13">
        <v>11.22</v>
      </c>
      <c r="Q267" s="13">
        <v>11.22</v>
      </c>
      <c r="R267" s="13">
        <v>11.22</v>
      </c>
      <c r="S267" s="13">
        <v>11.22</v>
      </c>
      <c r="T267" s="13">
        <v>11.22</v>
      </c>
      <c r="U267" s="13">
        <v>11.22</v>
      </c>
      <c r="V267" s="13">
        <v>11.22</v>
      </c>
      <c r="W267" s="13">
        <v>11.22</v>
      </c>
      <c r="X267" s="13">
        <v>11.22</v>
      </c>
      <c r="Y267" s="13">
        <v>11.22</v>
      </c>
      <c r="Z267" s="13">
        <v>11.22</v>
      </c>
      <c r="AA267" s="13">
        <v>11.22</v>
      </c>
      <c r="AB267" s="40">
        <v>0</v>
      </c>
      <c r="AC267" s="40">
        <v>0</v>
      </c>
      <c r="AD267" s="40">
        <v>0</v>
      </c>
      <c r="AE267" s="40">
        <v>0</v>
      </c>
      <c r="AF267" s="40">
        <v>0</v>
      </c>
      <c r="AG267" s="40">
        <v>0</v>
      </c>
      <c r="AH267" s="40">
        <v>0</v>
      </c>
      <c r="AI267" s="40">
        <v>0</v>
      </c>
      <c r="AJ267" s="40">
        <v>0</v>
      </c>
      <c r="AK267" s="40">
        <v>0</v>
      </c>
      <c r="AL267" s="40">
        <v>0</v>
      </c>
      <c r="AM267" s="40">
        <v>0.45</v>
      </c>
      <c r="AN267" s="40">
        <v>0.45</v>
      </c>
      <c r="AO267" s="116">
        <v>0</v>
      </c>
      <c r="AP267" s="6">
        <f t="shared" si="42"/>
        <v>0</v>
      </c>
      <c r="AQ267" s="115">
        <v>0</v>
      </c>
      <c r="AR267" s="6">
        <f t="shared" si="43"/>
        <v>0</v>
      </c>
      <c r="AS267" s="115" t="s">
        <v>573</v>
      </c>
      <c r="AT267" s="6">
        <f t="shared" si="38"/>
        <v>0</v>
      </c>
      <c r="AU267" s="116">
        <v>0</v>
      </c>
      <c r="AV267" s="1">
        <f t="shared" si="44"/>
        <v>0</v>
      </c>
      <c r="AW267" s="116">
        <v>0</v>
      </c>
      <c r="AX267" s="1">
        <f t="shared" si="30"/>
        <v>0</v>
      </c>
      <c r="AY267" s="5" t="s">
        <v>573</v>
      </c>
      <c r="AZ267" s="1">
        <f t="shared" si="37"/>
        <v>0</v>
      </c>
      <c r="BA267" s="5" t="s">
        <v>573</v>
      </c>
      <c r="BB267" s="1">
        <f t="shared" si="45"/>
        <v>0</v>
      </c>
      <c r="BC267" s="5" t="s">
        <v>573</v>
      </c>
      <c r="BD267" s="144">
        <f t="shared" si="35"/>
        <v>0</v>
      </c>
      <c r="BE267" s="150">
        <v>1440</v>
      </c>
      <c r="BF267" s="1">
        <f t="shared" si="39"/>
        <v>0</v>
      </c>
      <c r="BG267" s="150">
        <v>14400</v>
      </c>
      <c r="BH267" s="1">
        <f t="shared" si="41"/>
        <v>0</v>
      </c>
      <c r="BI267" s="150" t="s">
        <v>573</v>
      </c>
      <c r="BJ267" s="1">
        <f t="shared" si="40"/>
        <v>0</v>
      </c>
      <c r="BK267" s="156" t="s">
        <v>573</v>
      </c>
      <c r="BL267" s="1">
        <f t="shared" si="31"/>
        <v>0</v>
      </c>
      <c r="BM267" s="1" t="s">
        <v>649</v>
      </c>
      <c r="BN267" s="136" t="s">
        <v>494</v>
      </c>
      <c r="BO267" s="139" t="s">
        <v>763</v>
      </c>
      <c r="BP267" s="137">
        <v>46965</v>
      </c>
    </row>
    <row r="268" spans="1:68" ht="15.75" customHeight="1">
      <c r="A268" s="123" t="s">
        <v>751</v>
      </c>
      <c r="B268" s="124" t="s">
        <v>184</v>
      </c>
      <c r="C268" s="301"/>
      <c r="D268" s="304"/>
      <c r="E268" s="304"/>
      <c r="F268" s="297"/>
      <c r="G268" s="78">
        <v>2023</v>
      </c>
      <c r="H268" s="105" t="s">
        <v>715</v>
      </c>
      <c r="I268" s="103" t="s">
        <v>196</v>
      </c>
      <c r="J268" s="102" t="s">
        <v>756</v>
      </c>
      <c r="K268" s="105" t="s">
        <v>753</v>
      </c>
      <c r="L268" s="105" t="s">
        <v>192</v>
      </c>
      <c r="M268" s="13" t="s">
        <v>193</v>
      </c>
      <c r="N268" s="40"/>
      <c r="O268" s="40"/>
      <c r="P268" s="13">
        <v>11.22</v>
      </c>
      <c r="Q268" s="13">
        <v>11.22</v>
      </c>
      <c r="R268" s="13">
        <v>11.22</v>
      </c>
      <c r="S268" s="13">
        <v>11.22</v>
      </c>
      <c r="T268" s="13">
        <v>11.22</v>
      </c>
      <c r="U268" s="13">
        <v>11.22</v>
      </c>
      <c r="V268" s="13">
        <v>11.22</v>
      </c>
      <c r="W268" s="13">
        <v>11.22</v>
      </c>
      <c r="X268" s="13">
        <v>11.22</v>
      </c>
      <c r="Y268" s="13">
        <v>11.22</v>
      </c>
      <c r="Z268" s="13">
        <v>11.22</v>
      </c>
      <c r="AA268" s="13">
        <v>11.22</v>
      </c>
      <c r="AB268" s="40">
        <v>0</v>
      </c>
      <c r="AC268" s="40">
        <v>0</v>
      </c>
      <c r="AD268" s="40">
        <v>0</v>
      </c>
      <c r="AE268" s="40">
        <v>0</v>
      </c>
      <c r="AF268" s="40">
        <v>0</v>
      </c>
      <c r="AG268" s="40">
        <v>0</v>
      </c>
      <c r="AH268" s="40">
        <v>0</v>
      </c>
      <c r="AI268" s="40">
        <v>0</v>
      </c>
      <c r="AJ268" s="40">
        <v>0</v>
      </c>
      <c r="AK268" s="40">
        <v>0</v>
      </c>
      <c r="AL268" s="40">
        <v>0</v>
      </c>
      <c r="AM268" s="40">
        <v>0.45</v>
      </c>
      <c r="AN268" s="40">
        <v>0.45</v>
      </c>
      <c r="AO268" s="116">
        <v>0</v>
      </c>
      <c r="AP268" s="6">
        <f t="shared" si="42"/>
        <v>0</v>
      </c>
      <c r="AQ268" s="115">
        <v>0</v>
      </c>
      <c r="AR268" s="6">
        <f t="shared" si="43"/>
        <v>0</v>
      </c>
      <c r="AS268" s="115" t="s">
        <v>573</v>
      </c>
      <c r="AT268" s="6">
        <f t="shared" si="38"/>
        <v>0</v>
      </c>
      <c r="AU268" s="116">
        <v>0</v>
      </c>
      <c r="AV268" s="1">
        <f t="shared" si="44"/>
        <v>0</v>
      </c>
      <c r="AW268" s="116">
        <v>0</v>
      </c>
      <c r="AX268" s="1">
        <f t="shared" si="30"/>
        <v>0</v>
      </c>
      <c r="AY268" s="5" t="s">
        <v>573</v>
      </c>
      <c r="AZ268" s="1">
        <f t="shared" si="37"/>
        <v>0</v>
      </c>
      <c r="BA268" s="5" t="s">
        <v>573</v>
      </c>
      <c r="BB268" s="1">
        <f t="shared" si="45"/>
        <v>0</v>
      </c>
      <c r="BC268" s="5" t="s">
        <v>573</v>
      </c>
      <c r="BD268" s="144">
        <f t="shared" si="35"/>
        <v>0</v>
      </c>
      <c r="BE268" s="150" t="s">
        <v>573</v>
      </c>
      <c r="BF268" s="1">
        <f t="shared" si="39"/>
        <v>0</v>
      </c>
      <c r="BG268" s="150">
        <v>1440</v>
      </c>
      <c r="BH268" s="1">
        <f t="shared" si="41"/>
        <v>0</v>
      </c>
      <c r="BI268" s="150" t="s">
        <v>573</v>
      </c>
      <c r="BJ268" s="1">
        <f t="shared" si="40"/>
        <v>0</v>
      </c>
      <c r="BK268" s="156" t="s">
        <v>573</v>
      </c>
      <c r="BL268" s="1">
        <f t="shared" si="31"/>
        <v>0</v>
      </c>
      <c r="BM268" s="1" t="s">
        <v>650</v>
      </c>
      <c r="BN268" s="136" t="s">
        <v>17</v>
      </c>
      <c r="BO268" s="139" t="s">
        <v>754</v>
      </c>
      <c r="BP268" s="137">
        <v>46965</v>
      </c>
    </row>
    <row r="269" spans="1:68" ht="15.75" customHeight="1">
      <c r="A269" s="123" t="s">
        <v>751</v>
      </c>
      <c r="B269" s="124" t="s">
        <v>184</v>
      </c>
      <c r="C269" s="301"/>
      <c r="D269" s="304"/>
      <c r="E269" s="304"/>
      <c r="F269" s="297"/>
      <c r="G269" s="78">
        <v>2023</v>
      </c>
      <c r="H269" s="105" t="s">
        <v>725</v>
      </c>
      <c r="I269" s="102" t="s">
        <v>781</v>
      </c>
      <c r="J269" s="102" t="s">
        <v>756</v>
      </c>
      <c r="K269" s="105" t="s">
        <v>753</v>
      </c>
      <c r="L269" s="105" t="s">
        <v>192</v>
      </c>
      <c r="M269" s="13" t="s">
        <v>193</v>
      </c>
      <c r="N269" s="40"/>
      <c r="O269" s="40"/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29.21</v>
      </c>
      <c r="AA269" s="13">
        <v>29.21</v>
      </c>
      <c r="AB269" s="40">
        <v>0</v>
      </c>
      <c r="AC269" s="40">
        <v>0</v>
      </c>
      <c r="AD269" s="40">
        <v>0</v>
      </c>
      <c r="AE269" s="40">
        <v>0</v>
      </c>
      <c r="AF269" s="40">
        <v>0</v>
      </c>
      <c r="AG269" s="40">
        <v>0</v>
      </c>
      <c r="AH269" s="40">
        <v>0</v>
      </c>
      <c r="AI269" s="40">
        <v>0</v>
      </c>
      <c r="AJ269" s="40">
        <v>0</v>
      </c>
      <c r="AK269" s="40">
        <v>0</v>
      </c>
      <c r="AL269" s="40">
        <v>0</v>
      </c>
      <c r="AM269" s="40">
        <v>1.36</v>
      </c>
      <c r="AN269" s="40">
        <v>1.36</v>
      </c>
      <c r="AO269" s="116">
        <v>0</v>
      </c>
      <c r="AP269" s="6">
        <f t="shared" si="42"/>
        <v>0</v>
      </c>
      <c r="AQ269" s="115">
        <v>0</v>
      </c>
      <c r="AR269" s="6">
        <f t="shared" si="43"/>
        <v>0</v>
      </c>
      <c r="AS269" s="115" t="s">
        <v>573</v>
      </c>
      <c r="AT269" s="6">
        <f t="shared" si="38"/>
        <v>0</v>
      </c>
      <c r="AU269" s="116">
        <v>0</v>
      </c>
      <c r="AV269" s="1">
        <f t="shared" si="44"/>
        <v>0</v>
      </c>
      <c r="AW269" s="116">
        <v>0</v>
      </c>
      <c r="AX269" s="1">
        <f t="shared" si="30"/>
        <v>0</v>
      </c>
      <c r="AY269" s="5" t="s">
        <v>573</v>
      </c>
      <c r="AZ269" s="1">
        <f t="shared" si="37"/>
        <v>0</v>
      </c>
      <c r="BA269" s="5" t="s">
        <v>573</v>
      </c>
      <c r="BB269" s="1">
        <f t="shared" si="45"/>
        <v>0</v>
      </c>
      <c r="BC269" s="5" t="s">
        <v>573</v>
      </c>
      <c r="BD269" s="144">
        <f t="shared" si="35"/>
        <v>0</v>
      </c>
      <c r="BE269" s="150" t="s">
        <v>573</v>
      </c>
      <c r="BF269" s="1">
        <f t="shared" si="39"/>
        <v>0</v>
      </c>
      <c r="BG269" s="150" t="s">
        <v>573</v>
      </c>
      <c r="BH269" s="1">
        <f t="shared" si="41"/>
        <v>0</v>
      </c>
      <c r="BI269" s="150">
        <v>1040</v>
      </c>
      <c r="BJ269" s="1">
        <f t="shared" si="40"/>
        <v>1414.4</v>
      </c>
      <c r="BK269" s="156" t="s">
        <v>573</v>
      </c>
      <c r="BL269" s="1">
        <f t="shared" si="31"/>
        <v>0</v>
      </c>
      <c r="BM269" s="1" t="s">
        <v>654</v>
      </c>
      <c r="BN269" s="136" t="s">
        <v>17</v>
      </c>
      <c r="BO269" s="139" t="s">
        <v>197</v>
      </c>
      <c r="BP269" s="137">
        <v>47057</v>
      </c>
    </row>
    <row r="270" spans="1:68" ht="15.75" customHeight="1">
      <c r="A270" s="123" t="s">
        <v>751</v>
      </c>
      <c r="B270" s="124" t="s">
        <v>184</v>
      </c>
      <c r="C270" s="301"/>
      <c r="D270" s="304"/>
      <c r="E270" s="304"/>
      <c r="F270" s="297"/>
      <c r="G270" s="78">
        <v>2023</v>
      </c>
      <c r="H270" s="105" t="s">
        <v>725</v>
      </c>
      <c r="I270" s="76" t="s">
        <v>201</v>
      </c>
      <c r="J270" s="102" t="s">
        <v>756</v>
      </c>
      <c r="K270" s="105" t="s">
        <v>753</v>
      </c>
      <c r="L270" s="105" t="s">
        <v>192</v>
      </c>
      <c r="M270" s="13" t="s">
        <v>193</v>
      </c>
      <c r="N270" s="40"/>
      <c r="O270" s="40"/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29.21</v>
      </c>
      <c r="AA270" s="13">
        <v>29.21</v>
      </c>
      <c r="AB270" s="40">
        <v>0</v>
      </c>
      <c r="AC270" s="40">
        <v>0</v>
      </c>
      <c r="AD270" s="40">
        <v>0</v>
      </c>
      <c r="AE270" s="40">
        <v>0</v>
      </c>
      <c r="AF270" s="40">
        <v>0</v>
      </c>
      <c r="AG270" s="40">
        <v>0</v>
      </c>
      <c r="AH270" s="40">
        <v>0</v>
      </c>
      <c r="AI270" s="40">
        <v>0</v>
      </c>
      <c r="AJ270" s="40">
        <v>0</v>
      </c>
      <c r="AK270" s="40">
        <v>0</v>
      </c>
      <c r="AL270" s="40">
        <v>0</v>
      </c>
      <c r="AM270" s="40">
        <v>1.36</v>
      </c>
      <c r="AN270" s="40">
        <v>1.36</v>
      </c>
      <c r="AO270" s="116">
        <v>0</v>
      </c>
      <c r="AP270" s="6">
        <f t="shared" si="42"/>
        <v>0</v>
      </c>
      <c r="AQ270" s="115">
        <v>0</v>
      </c>
      <c r="AR270" s="6">
        <f t="shared" si="43"/>
        <v>0</v>
      </c>
      <c r="AS270" s="115" t="s">
        <v>573</v>
      </c>
      <c r="AT270" s="6">
        <f t="shared" si="38"/>
        <v>0</v>
      </c>
      <c r="AU270" s="116">
        <v>0</v>
      </c>
      <c r="AV270" s="1">
        <f t="shared" si="44"/>
        <v>0</v>
      </c>
      <c r="AW270" s="116">
        <v>0</v>
      </c>
      <c r="AX270" s="1">
        <f t="shared" si="30"/>
        <v>0</v>
      </c>
      <c r="AY270" s="5" t="s">
        <v>573</v>
      </c>
      <c r="AZ270" s="1">
        <f t="shared" si="37"/>
        <v>0</v>
      </c>
      <c r="BA270" s="5" t="s">
        <v>573</v>
      </c>
      <c r="BB270" s="1">
        <f t="shared" si="45"/>
        <v>0</v>
      </c>
      <c r="BC270" s="5" t="s">
        <v>573</v>
      </c>
      <c r="BD270" s="144">
        <f t="shared" si="35"/>
        <v>0</v>
      </c>
      <c r="BE270" s="150" t="s">
        <v>573</v>
      </c>
      <c r="BF270" s="1">
        <f t="shared" si="39"/>
        <v>0</v>
      </c>
      <c r="BG270" s="150" t="s">
        <v>573</v>
      </c>
      <c r="BH270" s="1">
        <f t="shared" si="41"/>
        <v>0</v>
      </c>
      <c r="BI270" s="150" t="s">
        <v>573</v>
      </c>
      <c r="BJ270" s="1">
        <f t="shared" si="40"/>
        <v>0</v>
      </c>
      <c r="BK270" s="156" t="s">
        <v>573</v>
      </c>
      <c r="BL270" s="1">
        <f t="shared" si="31"/>
        <v>0</v>
      </c>
      <c r="BM270" s="1" t="s">
        <v>655</v>
      </c>
      <c r="BN270" s="136" t="s">
        <v>17</v>
      </c>
      <c r="BO270" s="139" t="s">
        <v>754</v>
      </c>
      <c r="BP270" s="137">
        <v>47057</v>
      </c>
    </row>
    <row r="271" spans="1:68" ht="15.75" customHeight="1">
      <c r="A271" s="123" t="s">
        <v>751</v>
      </c>
      <c r="B271" s="124" t="s">
        <v>184</v>
      </c>
      <c r="C271" s="301"/>
      <c r="D271" s="304"/>
      <c r="E271" s="304"/>
      <c r="F271" s="297"/>
      <c r="G271" s="78">
        <v>2023</v>
      </c>
      <c r="H271" s="105" t="s">
        <v>725</v>
      </c>
      <c r="I271" s="76" t="s">
        <v>201</v>
      </c>
      <c r="J271" s="102" t="s">
        <v>756</v>
      </c>
      <c r="K271" s="105" t="s">
        <v>753</v>
      </c>
      <c r="L271" s="105" t="s">
        <v>192</v>
      </c>
      <c r="M271" s="13" t="s">
        <v>193</v>
      </c>
      <c r="N271" s="40"/>
      <c r="O271" s="40"/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29.21</v>
      </c>
      <c r="AA271" s="13">
        <v>29.21</v>
      </c>
      <c r="AB271" s="40">
        <v>0</v>
      </c>
      <c r="AC271" s="40">
        <v>0</v>
      </c>
      <c r="AD271" s="40">
        <v>0</v>
      </c>
      <c r="AE271" s="40">
        <v>0</v>
      </c>
      <c r="AF271" s="40">
        <v>0</v>
      </c>
      <c r="AG271" s="40">
        <v>0</v>
      </c>
      <c r="AH271" s="40">
        <v>0</v>
      </c>
      <c r="AI271" s="40">
        <v>0</v>
      </c>
      <c r="AJ271" s="40">
        <v>0</v>
      </c>
      <c r="AK271" s="40">
        <v>0</v>
      </c>
      <c r="AL271" s="40">
        <v>0</v>
      </c>
      <c r="AM271" s="40">
        <v>1.36</v>
      </c>
      <c r="AN271" s="40">
        <v>1.36</v>
      </c>
      <c r="AO271" s="116">
        <v>0</v>
      </c>
      <c r="AP271" s="6">
        <f t="shared" si="42"/>
        <v>0</v>
      </c>
      <c r="AQ271" s="115">
        <v>0</v>
      </c>
      <c r="AR271" s="6">
        <f t="shared" si="43"/>
        <v>0</v>
      </c>
      <c r="AS271" s="115" t="s">
        <v>573</v>
      </c>
      <c r="AT271" s="6">
        <f t="shared" si="38"/>
        <v>0</v>
      </c>
      <c r="AU271" s="116">
        <v>0</v>
      </c>
      <c r="AV271" s="1">
        <f t="shared" si="44"/>
        <v>0</v>
      </c>
      <c r="AW271" s="116">
        <v>0</v>
      </c>
      <c r="AX271" s="1">
        <f t="shared" si="30"/>
        <v>0</v>
      </c>
      <c r="AY271" s="5" t="s">
        <v>573</v>
      </c>
      <c r="AZ271" s="1">
        <f t="shared" si="37"/>
        <v>0</v>
      </c>
      <c r="BA271" s="5" t="s">
        <v>573</v>
      </c>
      <c r="BB271" s="1">
        <f t="shared" si="45"/>
        <v>0</v>
      </c>
      <c r="BC271" s="5" t="s">
        <v>573</v>
      </c>
      <c r="BD271" s="144">
        <f t="shared" si="35"/>
        <v>0</v>
      </c>
      <c r="BE271" s="150" t="s">
        <v>573</v>
      </c>
      <c r="BF271" s="1">
        <f t="shared" si="39"/>
        <v>0</v>
      </c>
      <c r="BG271" s="150" t="s">
        <v>573</v>
      </c>
      <c r="BH271" s="1">
        <f t="shared" si="41"/>
        <v>0</v>
      </c>
      <c r="BI271" s="150" t="s">
        <v>573</v>
      </c>
      <c r="BJ271" s="1">
        <f t="shared" si="40"/>
        <v>0</v>
      </c>
      <c r="BK271" s="156">
        <v>2080</v>
      </c>
      <c r="BL271" s="1">
        <f t="shared" si="31"/>
        <v>2828.8</v>
      </c>
      <c r="BM271" s="1" t="s">
        <v>656</v>
      </c>
      <c r="BN271" s="136" t="s">
        <v>6</v>
      </c>
      <c r="BO271" s="139" t="s">
        <v>763</v>
      </c>
      <c r="BP271" s="137">
        <v>47057</v>
      </c>
    </row>
    <row r="272" spans="1:68" ht="15.75" customHeight="1">
      <c r="A272" s="123" t="s">
        <v>751</v>
      </c>
      <c r="B272" s="124" t="s">
        <v>184</v>
      </c>
      <c r="C272" s="301"/>
      <c r="D272" s="304"/>
      <c r="E272" s="304"/>
      <c r="F272" s="297"/>
      <c r="G272" s="78">
        <v>2023</v>
      </c>
      <c r="H272" s="105" t="s">
        <v>725</v>
      </c>
      <c r="I272" s="76" t="s">
        <v>201</v>
      </c>
      <c r="J272" s="102" t="s">
        <v>756</v>
      </c>
      <c r="K272" s="105" t="s">
        <v>753</v>
      </c>
      <c r="L272" s="105" t="s">
        <v>192</v>
      </c>
      <c r="M272" s="13" t="s">
        <v>193</v>
      </c>
      <c r="N272" s="40"/>
      <c r="O272" s="40"/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29.21</v>
      </c>
      <c r="AA272" s="13">
        <v>29.21</v>
      </c>
      <c r="AB272" s="40">
        <v>0</v>
      </c>
      <c r="AC272" s="40">
        <v>0</v>
      </c>
      <c r="AD272" s="40">
        <v>0</v>
      </c>
      <c r="AE272" s="40">
        <v>0</v>
      </c>
      <c r="AF272" s="40">
        <v>0</v>
      </c>
      <c r="AG272" s="40">
        <v>0</v>
      </c>
      <c r="AH272" s="40">
        <v>0</v>
      </c>
      <c r="AI272" s="40">
        <v>0</v>
      </c>
      <c r="AJ272" s="40">
        <v>0</v>
      </c>
      <c r="AK272" s="40">
        <v>0</v>
      </c>
      <c r="AL272" s="40">
        <v>0</v>
      </c>
      <c r="AM272" s="40">
        <v>1.36</v>
      </c>
      <c r="AN272" s="40">
        <v>1.36</v>
      </c>
      <c r="AO272" s="116">
        <v>0</v>
      </c>
      <c r="AP272" s="6">
        <f t="shared" si="42"/>
        <v>0</v>
      </c>
      <c r="AQ272" s="115">
        <v>0</v>
      </c>
      <c r="AR272" s="6">
        <f t="shared" si="43"/>
        <v>0</v>
      </c>
      <c r="AS272" s="115" t="s">
        <v>573</v>
      </c>
      <c r="AT272" s="6">
        <f t="shared" si="38"/>
        <v>0</v>
      </c>
      <c r="AU272" s="116">
        <v>0</v>
      </c>
      <c r="AV272" s="1">
        <f t="shared" si="44"/>
        <v>0</v>
      </c>
      <c r="AW272" s="116">
        <v>0</v>
      </c>
      <c r="AX272" s="1">
        <f t="shared" si="30"/>
        <v>0</v>
      </c>
      <c r="AY272" s="5" t="s">
        <v>573</v>
      </c>
      <c r="AZ272" s="1">
        <f t="shared" si="37"/>
        <v>0</v>
      </c>
      <c r="BA272" s="5" t="s">
        <v>573</v>
      </c>
      <c r="BB272" s="1">
        <f t="shared" si="45"/>
        <v>0</v>
      </c>
      <c r="BC272" s="5" t="s">
        <v>573</v>
      </c>
      <c r="BD272" s="144">
        <f t="shared" si="35"/>
        <v>0</v>
      </c>
      <c r="BE272" s="150" t="s">
        <v>573</v>
      </c>
      <c r="BF272" s="1">
        <f t="shared" si="39"/>
        <v>0</v>
      </c>
      <c r="BG272" s="150" t="s">
        <v>573</v>
      </c>
      <c r="BH272" s="1">
        <f t="shared" si="41"/>
        <v>0</v>
      </c>
      <c r="BI272" s="150" t="s">
        <v>573</v>
      </c>
      <c r="BJ272" s="1">
        <f t="shared" si="40"/>
        <v>0</v>
      </c>
      <c r="BK272" s="156">
        <v>1040</v>
      </c>
      <c r="BL272" s="1">
        <f t="shared" si="31"/>
        <v>1414.4</v>
      </c>
      <c r="BM272" s="1" t="s">
        <v>657</v>
      </c>
      <c r="BN272" s="136" t="s">
        <v>17</v>
      </c>
      <c r="BO272" s="139" t="s">
        <v>754</v>
      </c>
      <c r="BP272" s="137">
        <v>47057</v>
      </c>
    </row>
    <row r="273" spans="1:68" ht="15.75" customHeight="1">
      <c r="A273" s="123" t="s">
        <v>751</v>
      </c>
      <c r="B273" s="124" t="s">
        <v>184</v>
      </c>
      <c r="C273" s="301"/>
      <c r="D273" s="304"/>
      <c r="E273" s="304"/>
      <c r="F273" s="297"/>
      <c r="G273" s="78">
        <v>2023</v>
      </c>
      <c r="H273" s="105" t="s">
        <v>725</v>
      </c>
      <c r="I273" s="76" t="s">
        <v>201</v>
      </c>
      <c r="J273" s="102" t="s">
        <v>756</v>
      </c>
      <c r="K273" s="105" t="s">
        <v>753</v>
      </c>
      <c r="L273" s="105" t="s">
        <v>192</v>
      </c>
      <c r="M273" s="13" t="s">
        <v>193</v>
      </c>
      <c r="N273" s="40"/>
      <c r="O273" s="40"/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29.26</v>
      </c>
      <c r="AA273" s="13">
        <v>29.26</v>
      </c>
      <c r="AB273" s="40">
        <v>0</v>
      </c>
      <c r="AC273" s="40">
        <v>0</v>
      </c>
      <c r="AD273" s="40">
        <v>0</v>
      </c>
      <c r="AE273" s="40">
        <v>0</v>
      </c>
      <c r="AF273" s="40">
        <v>0</v>
      </c>
      <c r="AG273" s="40">
        <v>0</v>
      </c>
      <c r="AH273" s="40">
        <v>0</v>
      </c>
      <c r="AI273" s="40">
        <v>0</v>
      </c>
      <c r="AJ273" s="40">
        <v>0</v>
      </c>
      <c r="AK273" s="40">
        <v>0</v>
      </c>
      <c r="AL273" s="40">
        <v>0</v>
      </c>
      <c r="AM273" s="40">
        <v>1.36</v>
      </c>
      <c r="AN273" s="40">
        <v>1.36</v>
      </c>
      <c r="AO273" s="116">
        <v>0</v>
      </c>
      <c r="AP273" s="6">
        <f t="shared" si="42"/>
        <v>0</v>
      </c>
      <c r="AQ273" s="115">
        <v>0</v>
      </c>
      <c r="AR273" s="6">
        <f t="shared" si="43"/>
        <v>0</v>
      </c>
      <c r="AS273" s="115" t="s">
        <v>573</v>
      </c>
      <c r="AT273" s="6">
        <f t="shared" si="38"/>
        <v>0</v>
      </c>
      <c r="AU273" s="116">
        <v>0</v>
      </c>
      <c r="AV273" s="1">
        <f t="shared" si="44"/>
        <v>0</v>
      </c>
      <c r="AW273" s="116">
        <v>0</v>
      </c>
      <c r="AX273" s="1">
        <f t="shared" si="30"/>
        <v>0</v>
      </c>
      <c r="AY273" s="5" t="s">
        <v>573</v>
      </c>
      <c r="AZ273" s="1">
        <f t="shared" si="37"/>
        <v>0</v>
      </c>
      <c r="BA273" s="5" t="s">
        <v>573</v>
      </c>
      <c r="BB273" s="1">
        <f t="shared" si="45"/>
        <v>0</v>
      </c>
      <c r="BC273" s="5" t="s">
        <v>573</v>
      </c>
      <c r="BD273" s="144">
        <f t="shared" si="35"/>
        <v>0</v>
      </c>
      <c r="BE273" s="150" t="s">
        <v>573</v>
      </c>
      <c r="BF273" s="1">
        <f t="shared" si="39"/>
        <v>0</v>
      </c>
      <c r="BG273" s="150" t="s">
        <v>573</v>
      </c>
      <c r="BH273" s="1">
        <f t="shared" si="41"/>
        <v>0</v>
      </c>
      <c r="BI273" s="150">
        <v>1040</v>
      </c>
      <c r="BJ273" s="1">
        <f t="shared" si="40"/>
        <v>1414.4</v>
      </c>
      <c r="BK273" s="156" t="s">
        <v>573</v>
      </c>
      <c r="BL273" s="1">
        <f t="shared" si="31"/>
        <v>0</v>
      </c>
      <c r="BM273" s="1" t="s">
        <v>782</v>
      </c>
      <c r="BN273" s="136" t="s">
        <v>17</v>
      </c>
      <c r="BO273" s="139" t="s">
        <v>197</v>
      </c>
      <c r="BP273" s="137">
        <v>47057</v>
      </c>
    </row>
    <row r="274" spans="1:68" ht="15.75" customHeight="1">
      <c r="A274" s="123" t="s">
        <v>751</v>
      </c>
      <c r="B274" s="124" t="s">
        <v>184</v>
      </c>
      <c r="C274" s="301"/>
      <c r="D274" s="304"/>
      <c r="E274" s="304"/>
      <c r="F274" s="297"/>
      <c r="G274" s="78">
        <v>2023</v>
      </c>
      <c r="H274" s="105" t="s">
        <v>725</v>
      </c>
      <c r="I274" s="76" t="s">
        <v>201</v>
      </c>
      <c r="J274" s="102" t="s">
        <v>756</v>
      </c>
      <c r="K274" s="105" t="s">
        <v>753</v>
      </c>
      <c r="L274" s="105" t="s">
        <v>192</v>
      </c>
      <c r="M274" s="13" t="s">
        <v>193</v>
      </c>
      <c r="N274" s="40"/>
      <c r="O274" s="40"/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29.26</v>
      </c>
      <c r="AA274" s="13">
        <v>29.26</v>
      </c>
      <c r="AB274" s="40">
        <v>0</v>
      </c>
      <c r="AC274" s="40">
        <v>0</v>
      </c>
      <c r="AD274" s="40">
        <v>0</v>
      </c>
      <c r="AE274" s="40">
        <v>0</v>
      </c>
      <c r="AF274" s="40">
        <v>0</v>
      </c>
      <c r="AG274" s="40">
        <v>0</v>
      </c>
      <c r="AH274" s="40">
        <v>0</v>
      </c>
      <c r="AI274" s="40">
        <v>0</v>
      </c>
      <c r="AJ274" s="40">
        <v>0</v>
      </c>
      <c r="AK274" s="40">
        <v>0</v>
      </c>
      <c r="AL274" s="40">
        <v>0</v>
      </c>
      <c r="AM274" s="40">
        <v>1.36</v>
      </c>
      <c r="AN274" s="40">
        <v>1.36</v>
      </c>
      <c r="AO274" s="116">
        <v>0</v>
      </c>
      <c r="AP274" s="6">
        <f t="shared" si="42"/>
        <v>0</v>
      </c>
      <c r="AQ274" s="115">
        <v>0</v>
      </c>
      <c r="AR274" s="6">
        <f t="shared" si="43"/>
        <v>0</v>
      </c>
      <c r="AS274" s="115" t="s">
        <v>573</v>
      </c>
      <c r="AT274" s="6">
        <f t="shared" si="38"/>
        <v>0</v>
      </c>
      <c r="AU274" s="116">
        <v>0</v>
      </c>
      <c r="AV274" s="1">
        <f t="shared" si="44"/>
        <v>0</v>
      </c>
      <c r="AW274" s="116">
        <v>0</v>
      </c>
      <c r="AX274" s="1">
        <f t="shared" si="30"/>
        <v>0</v>
      </c>
      <c r="AY274" s="5" t="s">
        <v>573</v>
      </c>
      <c r="AZ274" s="1">
        <f t="shared" si="37"/>
        <v>0</v>
      </c>
      <c r="BA274" s="5" t="s">
        <v>573</v>
      </c>
      <c r="BB274" s="1">
        <f t="shared" si="45"/>
        <v>0</v>
      </c>
      <c r="BC274" s="5" t="s">
        <v>573</v>
      </c>
      <c r="BD274" s="144">
        <f t="shared" si="35"/>
        <v>0</v>
      </c>
      <c r="BE274" s="150" t="s">
        <v>573</v>
      </c>
      <c r="BF274" s="1">
        <f t="shared" si="39"/>
        <v>0</v>
      </c>
      <c r="BG274" s="150" t="s">
        <v>573</v>
      </c>
      <c r="BH274" s="1">
        <f t="shared" si="41"/>
        <v>0</v>
      </c>
      <c r="BI274" s="150" t="s">
        <v>573</v>
      </c>
      <c r="BJ274" s="1">
        <f t="shared" si="40"/>
        <v>0</v>
      </c>
      <c r="BK274" s="156" t="s">
        <v>573</v>
      </c>
      <c r="BL274" s="1">
        <f t="shared" si="31"/>
        <v>0</v>
      </c>
      <c r="BM274" s="1" t="s">
        <v>783</v>
      </c>
      <c r="BN274" s="136" t="s">
        <v>17</v>
      </c>
      <c r="BO274" s="139" t="s">
        <v>754</v>
      </c>
      <c r="BP274" s="137">
        <v>47057</v>
      </c>
    </row>
    <row r="275" spans="1:68" ht="15.75" customHeight="1">
      <c r="A275" s="123" t="s">
        <v>751</v>
      </c>
      <c r="B275" s="124" t="s">
        <v>184</v>
      </c>
      <c r="C275" s="301"/>
      <c r="D275" s="304"/>
      <c r="E275" s="304"/>
      <c r="F275" s="297"/>
      <c r="G275" s="78">
        <v>2023</v>
      </c>
      <c r="H275" s="105" t="s">
        <v>725</v>
      </c>
      <c r="I275" s="76" t="s">
        <v>201</v>
      </c>
      <c r="J275" s="102" t="s">
        <v>756</v>
      </c>
      <c r="K275" s="105" t="s">
        <v>753</v>
      </c>
      <c r="L275" s="105" t="s">
        <v>192</v>
      </c>
      <c r="M275" s="13" t="s">
        <v>193</v>
      </c>
      <c r="N275" s="40"/>
      <c r="O275" s="40"/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29.26</v>
      </c>
      <c r="AA275" s="13">
        <v>29.26</v>
      </c>
      <c r="AB275" s="40">
        <v>0</v>
      </c>
      <c r="AC275" s="40">
        <v>0</v>
      </c>
      <c r="AD275" s="40">
        <v>0</v>
      </c>
      <c r="AE275" s="40">
        <v>0</v>
      </c>
      <c r="AF275" s="40">
        <v>0</v>
      </c>
      <c r="AG275" s="40">
        <v>0</v>
      </c>
      <c r="AH275" s="40">
        <v>0</v>
      </c>
      <c r="AI275" s="40">
        <v>0</v>
      </c>
      <c r="AJ275" s="40">
        <v>0</v>
      </c>
      <c r="AK275" s="40">
        <v>0</v>
      </c>
      <c r="AL275" s="40">
        <v>0</v>
      </c>
      <c r="AM275" s="40">
        <v>1.36</v>
      </c>
      <c r="AN275" s="40">
        <v>1.36</v>
      </c>
      <c r="AO275" s="116">
        <v>0</v>
      </c>
      <c r="AP275" s="6">
        <f t="shared" si="42"/>
        <v>0</v>
      </c>
      <c r="AQ275" s="115">
        <v>0</v>
      </c>
      <c r="AR275" s="6">
        <f t="shared" si="43"/>
        <v>0</v>
      </c>
      <c r="AS275" s="115" t="s">
        <v>573</v>
      </c>
      <c r="AT275" s="6">
        <f t="shared" si="38"/>
        <v>0</v>
      </c>
      <c r="AU275" s="116">
        <v>0</v>
      </c>
      <c r="AV275" s="1">
        <f t="shared" si="44"/>
        <v>0</v>
      </c>
      <c r="AW275" s="116">
        <v>0</v>
      </c>
      <c r="AX275" s="1">
        <f t="shared" si="30"/>
        <v>0</v>
      </c>
      <c r="AY275" s="5" t="s">
        <v>573</v>
      </c>
      <c r="AZ275" s="1">
        <f t="shared" si="37"/>
        <v>0</v>
      </c>
      <c r="BA275" s="5" t="s">
        <v>573</v>
      </c>
      <c r="BB275" s="1">
        <f t="shared" si="45"/>
        <v>0</v>
      </c>
      <c r="BC275" s="5" t="s">
        <v>573</v>
      </c>
      <c r="BD275" s="144">
        <f t="shared" si="35"/>
        <v>0</v>
      </c>
      <c r="BE275" s="150" t="s">
        <v>573</v>
      </c>
      <c r="BF275" s="1">
        <f t="shared" si="39"/>
        <v>0</v>
      </c>
      <c r="BG275" s="150" t="s">
        <v>573</v>
      </c>
      <c r="BH275" s="1">
        <f t="shared" si="41"/>
        <v>0</v>
      </c>
      <c r="BI275" s="150" t="s">
        <v>573</v>
      </c>
      <c r="BJ275" s="1">
        <f t="shared" si="40"/>
        <v>0</v>
      </c>
      <c r="BK275" s="156">
        <v>6240</v>
      </c>
      <c r="BL275" s="1">
        <f t="shared" si="31"/>
        <v>8486.4000000000015</v>
      </c>
      <c r="BM275" s="1" t="s">
        <v>784</v>
      </c>
      <c r="BN275" s="136" t="s">
        <v>6</v>
      </c>
      <c r="BO275" s="139" t="s">
        <v>763</v>
      </c>
      <c r="BP275" s="137">
        <v>47057</v>
      </c>
    </row>
    <row r="276" spans="1:68" ht="15.75" customHeight="1">
      <c r="A276" s="123" t="s">
        <v>751</v>
      </c>
      <c r="B276" s="124" t="s">
        <v>184</v>
      </c>
      <c r="C276" s="301"/>
      <c r="D276" s="304"/>
      <c r="E276" s="304"/>
      <c r="F276" s="297"/>
      <c r="G276" s="78">
        <v>2023</v>
      </c>
      <c r="H276" s="105" t="s">
        <v>725</v>
      </c>
      <c r="I276" s="76" t="s">
        <v>201</v>
      </c>
      <c r="J276" s="102" t="s">
        <v>756</v>
      </c>
      <c r="K276" s="105" t="s">
        <v>753</v>
      </c>
      <c r="L276" s="105" t="s">
        <v>192</v>
      </c>
      <c r="M276" s="13" t="s">
        <v>193</v>
      </c>
      <c r="N276" s="40"/>
      <c r="O276" s="40"/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29.26</v>
      </c>
      <c r="AA276" s="13">
        <v>29.26</v>
      </c>
      <c r="AB276" s="40">
        <v>0</v>
      </c>
      <c r="AC276" s="40">
        <v>0</v>
      </c>
      <c r="AD276" s="40">
        <v>0</v>
      </c>
      <c r="AE276" s="40">
        <v>0</v>
      </c>
      <c r="AF276" s="40">
        <v>0</v>
      </c>
      <c r="AG276" s="40">
        <v>0</v>
      </c>
      <c r="AH276" s="40">
        <v>0</v>
      </c>
      <c r="AI276" s="40">
        <v>0</v>
      </c>
      <c r="AJ276" s="40">
        <v>0</v>
      </c>
      <c r="AK276" s="40">
        <v>0</v>
      </c>
      <c r="AL276" s="40">
        <v>0</v>
      </c>
      <c r="AM276" s="40">
        <v>1.36</v>
      </c>
      <c r="AN276" s="40">
        <v>1.36</v>
      </c>
      <c r="AO276" s="116">
        <v>0</v>
      </c>
      <c r="AP276" s="6">
        <f t="shared" si="42"/>
        <v>0</v>
      </c>
      <c r="AQ276" s="115">
        <v>0</v>
      </c>
      <c r="AR276" s="6">
        <f t="shared" si="43"/>
        <v>0</v>
      </c>
      <c r="AS276" s="115" t="s">
        <v>573</v>
      </c>
      <c r="AT276" s="6">
        <f t="shared" si="38"/>
        <v>0</v>
      </c>
      <c r="AU276" s="116">
        <v>0</v>
      </c>
      <c r="AV276" s="1">
        <f t="shared" si="44"/>
        <v>0</v>
      </c>
      <c r="AW276" s="116">
        <v>0</v>
      </c>
      <c r="AX276" s="1">
        <f t="shared" si="30"/>
        <v>0</v>
      </c>
      <c r="AY276" s="5" t="s">
        <v>573</v>
      </c>
      <c r="AZ276" s="1">
        <f t="shared" si="37"/>
        <v>0</v>
      </c>
      <c r="BA276" s="5" t="s">
        <v>573</v>
      </c>
      <c r="BB276" s="1">
        <f t="shared" si="45"/>
        <v>0</v>
      </c>
      <c r="BC276" s="5" t="s">
        <v>573</v>
      </c>
      <c r="BD276" s="144">
        <f t="shared" si="35"/>
        <v>0</v>
      </c>
      <c r="BE276" s="150" t="s">
        <v>573</v>
      </c>
      <c r="BF276" s="1">
        <f t="shared" si="39"/>
        <v>0</v>
      </c>
      <c r="BG276" s="150" t="s">
        <v>573</v>
      </c>
      <c r="BH276" s="1">
        <f t="shared" si="41"/>
        <v>0</v>
      </c>
      <c r="BI276" s="150" t="s">
        <v>573</v>
      </c>
      <c r="BJ276" s="1">
        <f t="shared" si="40"/>
        <v>0</v>
      </c>
      <c r="BK276" s="156">
        <v>1040</v>
      </c>
      <c r="BL276" s="1">
        <f t="shared" si="31"/>
        <v>1414.4</v>
      </c>
      <c r="BM276" s="1" t="s">
        <v>785</v>
      </c>
      <c r="BN276" s="136" t="s">
        <v>17</v>
      </c>
      <c r="BO276" s="139" t="s">
        <v>754</v>
      </c>
      <c r="BP276" s="137">
        <v>47057</v>
      </c>
    </row>
    <row r="277" spans="1:68" ht="15.75" customHeight="1">
      <c r="A277" s="123" t="s">
        <v>751</v>
      </c>
      <c r="B277" s="124" t="s">
        <v>184</v>
      </c>
      <c r="C277" s="301"/>
      <c r="D277" s="304"/>
      <c r="E277" s="304"/>
      <c r="F277" s="297"/>
      <c r="G277" s="78">
        <v>2023</v>
      </c>
      <c r="H277" s="105" t="s">
        <v>726</v>
      </c>
      <c r="I277" s="76" t="s">
        <v>780</v>
      </c>
      <c r="J277" s="102" t="s">
        <v>756</v>
      </c>
      <c r="K277" s="105" t="s">
        <v>753</v>
      </c>
      <c r="L277" s="105" t="s">
        <v>192</v>
      </c>
      <c r="M277" s="13" t="s">
        <v>193</v>
      </c>
      <c r="N277" s="40"/>
      <c r="O277" s="40"/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20.91</v>
      </c>
      <c r="AA277" s="13">
        <v>20.91</v>
      </c>
      <c r="AB277" s="40">
        <v>0</v>
      </c>
      <c r="AC277" s="40">
        <v>0</v>
      </c>
      <c r="AD277" s="40">
        <v>0</v>
      </c>
      <c r="AE277" s="40">
        <v>0</v>
      </c>
      <c r="AF277" s="40">
        <v>0</v>
      </c>
      <c r="AG277" s="40">
        <v>0</v>
      </c>
      <c r="AH277" s="40">
        <v>0</v>
      </c>
      <c r="AI277" s="40">
        <v>0</v>
      </c>
      <c r="AJ277" s="40">
        <v>0</v>
      </c>
      <c r="AK277" s="40">
        <v>0</v>
      </c>
      <c r="AL277" s="40">
        <v>0</v>
      </c>
      <c r="AM277" s="40">
        <v>0.94</v>
      </c>
      <c r="AN277" s="40">
        <v>0.94</v>
      </c>
      <c r="AO277" s="116">
        <v>0</v>
      </c>
      <c r="AP277" s="6">
        <f t="shared" si="42"/>
        <v>0</v>
      </c>
      <c r="AQ277" s="115">
        <v>0</v>
      </c>
      <c r="AR277" s="6">
        <f t="shared" si="43"/>
        <v>0</v>
      </c>
      <c r="AS277" s="115" t="s">
        <v>573</v>
      </c>
      <c r="AT277" s="6">
        <f t="shared" si="38"/>
        <v>0</v>
      </c>
      <c r="AU277" s="116">
        <v>0</v>
      </c>
      <c r="AV277" s="1">
        <f t="shared" si="44"/>
        <v>0</v>
      </c>
      <c r="AW277" s="116">
        <v>0</v>
      </c>
      <c r="AX277" s="1">
        <f t="shared" si="30"/>
        <v>0</v>
      </c>
      <c r="AY277" s="5" t="s">
        <v>573</v>
      </c>
      <c r="AZ277" s="1">
        <f t="shared" si="37"/>
        <v>0</v>
      </c>
      <c r="BA277" s="5" t="s">
        <v>573</v>
      </c>
      <c r="BB277" s="1">
        <f t="shared" si="45"/>
        <v>0</v>
      </c>
      <c r="BC277" s="5" t="s">
        <v>573</v>
      </c>
      <c r="BD277" s="144">
        <f t="shared" si="35"/>
        <v>0</v>
      </c>
      <c r="BE277" s="150" t="s">
        <v>573</v>
      </c>
      <c r="BF277" s="1">
        <f t="shared" si="39"/>
        <v>0</v>
      </c>
      <c r="BG277" s="150" t="s">
        <v>573</v>
      </c>
      <c r="BH277" s="1">
        <f t="shared" si="41"/>
        <v>0</v>
      </c>
      <c r="BI277" s="150" t="s">
        <v>573</v>
      </c>
      <c r="BJ277" s="1">
        <f t="shared" si="40"/>
        <v>0</v>
      </c>
      <c r="BK277" s="156">
        <v>1200</v>
      </c>
      <c r="BL277" s="1">
        <f t="shared" si="31"/>
        <v>1128</v>
      </c>
      <c r="BM277" s="1" t="s">
        <v>658</v>
      </c>
      <c r="BN277" s="136" t="s">
        <v>17</v>
      </c>
      <c r="BO277" s="139" t="s">
        <v>197</v>
      </c>
      <c r="BP277" s="137">
        <v>47057</v>
      </c>
    </row>
    <row r="278" spans="1:68" ht="15.75" customHeight="1">
      <c r="A278" s="123" t="s">
        <v>751</v>
      </c>
      <c r="B278" s="124" t="s">
        <v>184</v>
      </c>
      <c r="C278" s="301"/>
      <c r="D278" s="304"/>
      <c r="E278" s="304"/>
      <c r="F278" s="297"/>
      <c r="G278" s="78">
        <v>2023</v>
      </c>
      <c r="H278" s="105" t="s">
        <v>726</v>
      </c>
      <c r="I278" s="76" t="s">
        <v>780</v>
      </c>
      <c r="J278" s="102" t="s">
        <v>756</v>
      </c>
      <c r="K278" s="105" t="s">
        <v>753</v>
      </c>
      <c r="L278" s="105" t="s">
        <v>192</v>
      </c>
      <c r="M278" s="13" t="s">
        <v>193</v>
      </c>
      <c r="N278" s="40"/>
      <c r="O278" s="40"/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20.91</v>
      </c>
      <c r="AA278" s="13">
        <v>20.91</v>
      </c>
      <c r="AB278" s="40">
        <v>0</v>
      </c>
      <c r="AC278" s="40">
        <v>0</v>
      </c>
      <c r="AD278" s="40">
        <v>0</v>
      </c>
      <c r="AE278" s="40">
        <v>0</v>
      </c>
      <c r="AF278" s="40">
        <v>0</v>
      </c>
      <c r="AG278" s="40">
        <v>0</v>
      </c>
      <c r="AH278" s="40">
        <v>0</v>
      </c>
      <c r="AI278" s="40">
        <v>0</v>
      </c>
      <c r="AJ278" s="40">
        <v>0</v>
      </c>
      <c r="AK278" s="40">
        <v>0</v>
      </c>
      <c r="AL278" s="40">
        <v>0</v>
      </c>
      <c r="AM278" s="40">
        <v>0.94</v>
      </c>
      <c r="AN278" s="40">
        <v>0.94</v>
      </c>
      <c r="AO278" s="116">
        <v>0</v>
      </c>
      <c r="AP278" s="6">
        <f t="shared" si="42"/>
        <v>0</v>
      </c>
      <c r="AQ278" s="115">
        <v>0</v>
      </c>
      <c r="AR278" s="6">
        <f t="shared" si="43"/>
        <v>0</v>
      </c>
      <c r="AS278" s="115" t="s">
        <v>573</v>
      </c>
      <c r="AT278" s="6">
        <f t="shared" si="38"/>
        <v>0</v>
      </c>
      <c r="AU278" s="116">
        <v>0</v>
      </c>
      <c r="AV278" s="1">
        <f t="shared" si="44"/>
        <v>0</v>
      </c>
      <c r="AW278" s="116">
        <v>0</v>
      </c>
      <c r="AX278" s="1">
        <f t="shared" ref="AX278:AX286" si="46">AG278*AW278</f>
        <v>0</v>
      </c>
      <c r="AY278" s="5" t="s">
        <v>573</v>
      </c>
      <c r="AZ278" s="1">
        <f t="shared" si="37"/>
        <v>0</v>
      </c>
      <c r="BA278" s="5" t="s">
        <v>573</v>
      </c>
      <c r="BB278" s="1">
        <f t="shared" si="45"/>
        <v>0</v>
      </c>
      <c r="BC278" s="5" t="s">
        <v>573</v>
      </c>
      <c r="BD278" s="144">
        <f t="shared" si="35"/>
        <v>0</v>
      </c>
      <c r="BE278" s="150" t="s">
        <v>573</v>
      </c>
      <c r="BF278" s="1">
        <f t="shared" si="39"/>
        <v>0</v>
      </c>
      <c r="BG278" s="150" t="s">
        <v>573</v>
      </c>
      <c r="BH278" s="1">
        <f t="shared" si="41"/>
        <v>0</v>
      </c>
      <c r="BI278" s="150" t="s">
        <v>573</v>
      </c>
      <c r="BJ278" s="1">
        <f t="shared" si="40"/>
        <v>0</v>
      </c>
      <c r="BK278" s="156" t="s">
        <v>573</v>
      </c>
      <c r="BL278" s="1">
        <f t="shared" si="31"/>
        <v>0</v>
      </c>
      <c r="BM278" s="1" t="s">
        <v>659</v>
      </c>
      <c r="BN278" s="136" t="s">
        <v>17</v>
      </c>
      <c r="BO278" s="139" t="s">
        <v>754</v>
      </c>
      <c r="BP278" s="137">
        <v>47057</v>
      </c>
    </row>
    <row r="279" spans="1:68" ht="15.75" customHeight="1">
      <c r="A279" s="123" t="s">
        <v>751</v>
      </c>
      <c r="B279" s="124" t="s">
        <v>184</v>
      </c>
      <c r="C279" s="301"/>
      <c r="D279" s="304"/>
      <c r="E279" s="304"/>
      <c r="F279" s="297"/>
      <c r="G279" s="78">
        <v>2023</v>
      </c>
      <c r="H279" s="105" t="s">
        <v>726</v>
      </c>
      <c r="I279" s="76" t="s">
        <v>780</v>
      </c>
      <c r="J279" s="102" t="s">
        <v>756</v>
      </c>
      <c r="K279" s="105" t="s">
        <v>753</v>
      </c>
      <c r="L279" s="105" t="s">
        <v>192</v>
      </c>
      <c r="M279" s="13" t="s">
        <v>193</v>
      </c>
      <c r="N279" s="40"/>
      <c r="O279" s="40"/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20.91</v>
      </c>
      <c r="AA279" s="13">
        <v>20.91</v>
      </c>
      <c r="AB279" s="40">
        <v>0</v>
      </c>
      <c r="AC279" s="40">
        <v>0</v>
      </c>
      <c r="AD279" s="40">
        <v>0</v>
      </c>
      <c r="AE279" s="40">
        <v>0</v>
      </c>
      <c r="AF279" s="40">
        <v>0</v>
      </c>
      <c r="AG279" s="40">
        <v>0</v>
      </c>
      <c r="AH279" s="40">
        <v>0</v>
      </c>
      <c r="AI279" s="40">
        <v>0</v>
      </c>
      <c r="AJ279" s="40">
        <v>0</v>
      </c>
      <c r="AK279" s="40">
        <v>0</v>
      </c>
      <c r="AL279" s="40">
        <v>0</v>
      </c>
      <c r="AM279" s="40">
        <v>0.94</v>
      </c>
      <c r="AN279" s="40">
        <v>0.94</v>
      </c>
      <c r="AO279" s="116">
        <v>0</v>
      </c>
      <c r="AP279" s="6">
        <f t="shared" si="42"/>
        <v>0</v>
      </c>
      <c r="AQ279" s="115">
        <v>0</v>
      </c>
      <c r="AR279" s="6">
        <f t="shared" si="43"/>
        <v>0</v>
      </c>
      <c r="AS279" s="115" t="s">
        <v>573</v>
      </c>
      <c r="AT279" s="6">
        <f t="shared" si="38"/>
        <v>0</v>
      </c>
      <c r="AU279" s="116">
        <v>0</v>
      </c>
      <c r="AV279" s="1">
        <f t="shared" si="44"/>
        <v>0</v>
      </c>
      <c r="AW279" s="116">
        <v>0</v>
      </c>
      <c r="AX279" s="1">
        <f t="shared" si="46"/>
        <v>0</v>
      </c>
      <c r="AY279" s="5" t="s">
        <v>573</v>
      </c>
      <c r="AZ279" s="1">
        <f t="shared" si="37"/>
        <v>0</v>
      </c>
      <c r="BA279" s="5" t="s">
        <v>573</v>
      </c>
      <c r="BB279" s="1">
        <f t="shared" si="45"/>
        <v>0</v>
      </c>
      <c r="BC279" s="5" t="s">
        <v>573</v>
      </c>
      <c r="BD279" s="144">
        <f t="shared" si="35"/>
        <v>0</v>
      </c>
      <c r="BE279" s="150" t="s">
        <v>573</v>
      </c>
      <c r="BF279" s="1">
        <f t="shared" si="39"/>
        <v>0</v>
      </c>
      <c r="BG279" s="150" t="s">
        <v>573</v>
      </c>
      <c r="BH279" s="1">
        <f t="shared" si="41"/>
        <v>0</v>
      </c>
      <c r="BI279" s="150" t="s">
        <v>573</v>
      </c>
      <c r="BJ279" s="1">
        <f t="shared" si="40"/>
        <v>0</v>
      </c>
      <c r="BK279" s="156" t="s">
        <v>573</v>
      </c>
      <c r="BL279" s="1">
        <f t="shared" ref="BL279:BL286" si="47">BK279*AN279</f>
        <v>0</v>
      </c>
      <c r="BM279" s="1" t="s">
        <v>660</v>
      </c>
      <c r="BN279" s="136" t="s">
        <v>17</v>
      </c>
      <c r="BO279" s="139" t="s">
        <v>1310</v>
      </c>
      <c r="BP279" s="137">
        <v>47057</v>
      </c>
    </row>
    <row r="280" spans="1:68" ht="15.75" customHeight="1">
      <c r="A280" s="123" t="s">
        <v>751</v>
      </c>
      <c r="B280" s="124" t="s">
        <v>184</v>
      </c>
      <c r="C280" s="301"/>
      <c r="D280" s="304"/>
      <c r="E280" s="304"/>
      <c r="F280" s="297"/>
      <c r="G280" s="78">
        <v>2023</v>
      </c>
      <c r="H280" s="105" t="s">
        <v>726</v>
      </c>
      <c r="I280" s="76" t="s">
        <v>780</v>
      </c>
      <c r="J280" s="102" t="s">
        <v>756</v>
      </c>
      <c r="K280" s="105" t="s">
        <v>753</v>
      </c>
      <c r="L280" s="105" t="s">
        <v>192</v>
      </c>
      <c r="M280" s="13" t="s">
        <v>193</v>
      </c>
      <c r="N280" s="40"/>
      <c r="O280" s="40"/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20.91</v>
      </c>
      <c r="AA280" s="13">
        <v>20.91</v>
      </c>
      <c r="AB280" s="40">
        <v>0</v>
      </c>
      <c r="AC280" s="40">
        <v>0</v>
      </c>
      <c r="AD280" s="40">
        <v>0</v>
      </c>
      <c r="AE280" s="40">
        <v>0</v>
      </c>
      <c r="AF280" s="40">
        <v>0</v>
      </c>
      <c r="AG280" s="40">
        <v>0</v>
      </c>
      <c r="AH280" s="40">
        <v>0</v>
      </c>
      <c r="AI280" s="40">
        <v>0</v>
      </c>
      <c r="AJ280" s="40">
        <v>0</v>
      </c>
      <c r="AK280" s="40">
        <v>0</v>
      </c>
      <c r="AL280" s="40">
        <v>0</v>
      </c>
      <c r="AM280" s="40">
        <v>0.94</v>
      </c>
      <c r="AN280" s="40">
        <v>0.94</v>
      </c>
      <c r="AO280" s="116">
        <v>0</v>
      </c>
      <c r="AP280" s="6">
        <f t="shared" si="42"/>
        <v>0</v>
      </c>
      <c r="AQ280" s="115">
        <v>0</v>
      </c>
      <c r="AR280" s="6">
        <f t="shared" si="43"/>
        <v>0</v>
      </c>
      <c r="AS280" s="115" t="s">
        <v>573</v>
      </c>
      <c r="AT280" s="6">
        <f t="shared" si="38"/>
        <v>0</v>
      </c>
      <c r="AU280" s="116">
        <v>0</v>
      </c>
      <c r="AV280" s="1">
        <f t="shared" si="44"/>
        <v>0</v>
      </c>
      <c r="AW280" s="116">
        <v>0</v>
      </c>
      <c r="AX280" s="1">
        <f t="shared" si="46"/>
        <v>0</v>
      </c>
      <c r="AY280" s="5" t="s">
        <v>573</v>
      </c>
      <c r="AZ280" s="1">
        <f t="shared" si="37"/>
        <v>0</v>
      </c>
      <c r="BA280" s="5" t="s">
        <v>573</v>
      </c>
      <c r="BB280" s="1">
        <f t="shared" si="45"/>
        <v>0</v>
      </c>
      <c r="BC280" s="5" t="s">
        <v>573</v>
      </c>
      <c r="BD280" s="144">
        <f t="shared" si="35"/>
        <v>0</v>
      </c>
      <c r="BE280" s="150" t="s">
        <v>573</v>
      </c>
      <c r="BF280" s="1">
        <f t="shared" si="39"/>
        <v>0</v>
      </c>
      <c r="BG280" s="150" t="s">
        <v>573</v>
      </c>
      <c r="BH280" s="1">
        <f t="shared" si="41"/>
        <v>0</v>
      </c>
      <c r="BI280" s="150">
        <v>1200</v>
      </c>
      <c r="BJ280" s="1">
        <f t="shared" si="40"/>
        <v>1128</v>
      </c>
      <c r="BK280" s="156">
        <v>1200</v>
      </c>
      <c r="BL280" s="1">
        <f t="shared" si="47"/>
        <v>1128</v>
      </c>
      <c r="BM280" s="1" t="s">
        <v>661</v>
      </c>
      <c r="BN280" s="136" t="s">
        <v>6</v>
      </c>
      <c r="BO280" s="139" t="s">
        <v>763</v>
      </c>
      <c r="BP280" s="137">
        <v>47057</v>
      </c>
    </row>
    <row r="281" spans="1:68" ht="15.75" customHeight="1">
      <c r="A281" s="123" t="s">
        <v>751</v>
      </c>
      <c r="B281" s="124" t="s">
        <v>184</v>
      </c>
      <c r="C281" s="301"/>
      <c r="D281" s="304"/>
      <c r="E281" s="304"/>
      <c r="F281" s="297"/>
      <c r="G281" s="78">
        <v>2023</v>
      </c>
      <c r="H281" s="105" t="s">
        <v>726</v>
      </c>
      <c r="I281" s="76" t="s">
        <v>780</v>
      </c>
      <c r="J281" s="102" t="s">
        <v>756</v>
      </c>
      <c r="K281" s="105" t="s">
        <v>753</v>
      </c>
      <c r="L281" s="105" t="s">
        <v>192</v>
      </c>
      <c r="M281" s="13" t="s">
        <v>193</v>
      </c>
      <c r="N281" s="40"/>
      <c r="O281" s="40"/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20.91</v>
      </c>
      <c r="AA281" s="13">
        <v>20.91</v>
      </c>
      <c r="AB281" s="40">
        <v>0</v>
      </c>
      <c r="AC281" s="40">
        <v>0</v>
      </c>
      <c r="AD281" s="40">
        <v>0</v>
      </c>
      <c r="AE281" s="40">
        <v>0</v>
      </c>
      <c r="AF281" s="40">
        <v>0</v>
      </c>
      <c r="AG281" s="40">
        <v>0</v>
      </c>
      <c r="AH281" s="40">
        <v>0</v>
      </c>
      <c r="AI281" s="40">
        <v>0</v>
      </c>
      <c r="AJ281" s="40">
        <v>0</v>
      </c>
      <c r="AK281" s="40">
        <v>0</v>
      </c>
      <c r="AL281" s="40">
        <v>0</v>
      </c>
      <c r="AM281" s="40">
        <v>0.94</v>
      </c>
      <c r="AN281" s="40">
        <v>0.94</v>
      </c>
      <c r="AO281" s="116">
        <v>0</v>
      </c>
      <c r="AP281" s="6">
        <f t="shared" si="42"/>
        <v>0</v>
      </c>
      <c r="AQ281" s="115">
        <v>0</v>
      </c>
      <c r="AR281" s="6">
        <f t="shared" si="43"/>
        <v>0</v>
      </c>
      <c r="AS281" s="115" t="s">
        <v>573</v>
      </c>
      <c r="AT281" s="6">
        <f t="shared" si="38"/>
        <v>0</v>
      </c>
      <c r="AU281" s="116">
        <v>0</v>
      </c>
      <c r="AV281" s="1">
        <f t="shared" si="44"/>
        <v>0</v>
      </c>
      <c r="AW281" s="116">
        <v>0</v>
      </c>
      <c r="AX281" s="1">
        <f t="shared" si="46"/>
        <v>0</v>
      </c>
      <c r="AY281" s="5" t="s">
        <v>573</v>
      </c>
      <c r="AZ281" s="1">
        <f t="shared" si="37"/>
        <v>0</v>
      </c>
      <c r="BA281" s="5" t="s">
        <v>573</v>
      </c>
      <c r="BB281" s="1">
        <f t="shared" si="45"/>
        <v>0</v>
      </c>
      <c r="BC281" s="5" t="s">
        <v>573</v>
      </c>
      <c r="BD281" s="144">
        <f t="shared" si="35"/>
        <v>0</v>
      </c>
      <c r="BE281" s="150" t="s">
        <v>573</v>
      </c>
      <c r="BF281" s="1">
        <f t="shared" si="39"/>
        <v>0</v>
      </c>
      <c r="BG281" s="150" t="s">
        <v>573</v>
      </c>
      <c r="BH281" s="1">
        <f t="shared" si="41"/>
        <v>0</v>
      </c>
      <c r="BI281" s="150" t="s">
        <v>573</v>
      </c>
      <c r="BJ281" s="1">
        <f t="shared" si="40"/>
        <v>0</v>
      </c>
      <c r="BK281" s="156">
        <v>1200</v>
      </c>
      <c r="BL281" s="1">
        <f t="shared" si="47"/>
        <v>1128</v>
      </c>
      <c r="BM281" s="1" t="s">
        <v>662</v>
      </c>
      <c r="BN281" s="136" t="s">
        <v>17</v>
      </c>
      <c r="BO281" s="139" t="s">
        <v>754</v>
      </c>
      <c r="BP281" s="137">
        <v>47057</v>
      </c>
    </row>
    <row r="282" spans="1:68" ht="15.75" customHeight="1">
      <c r="A282" s="123" t="s">
        <v>751</v>
      </c>
      <c r="B282" s="124" t="s">
        <v>184</v>
      </c>
      <c r="C282" s="301"/>
      <c r="D282" s="304"/>
      <c r="E282" s="304"/>
      <c r="F282" s="297"/>
      <c r="G282" s="78">
        <v>2023</v>
      </c>
      <c r="H282" s="105" t="s">
        <v>726</v>
      </c>
      <c r="I282" s="76" t="s">
        <v>780</v>
      </c>
      <c r="J282" s="102" t="s">
        <v>756</v>
      </c>
      <c r="K282" s="105" t="s">
        <v>753</v>
      </c>
      <c r="L282" s="105" t="s">
        <v>192</v>
      </c>
      <c r="M282" s="13" t="s">
        <v>193</v>
      </c>
      <c r="N282" s="40"/>
      <c r="O282" s="40"/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20.96</v>
      </c>
      <c r="AA282" s="13">
        <v>20.96</v>
      </c>
      <c r="AB282" s="40">
        <v>0</v>
      </c>
      <c r="AC282" s="40">
        <v>0</v>
      </c>
      <c r="AD282" s="40">
        <v>0</v>
      </c>
      <c r="AE282" s="40">
        <v>0</v>
      </c>
      <c r="AF282" s="40">
        <v>0</v>
      </c>
      <c r="AG282" s="40">
        <v>0</v>
      </c>
      <c r="AH282" s="40">
        <v>0</v>
      </c>
      <c r="AI282" s="40">
        <v>0</v>
      </c>
      <c r="AJ282" s="40">
        <v>0</v>
      </c>
      <c r="AK282" s="40">
        <v>0</v>
      </c>
      <c r="AL282" s="40">
        <v>0</v>
      </c>
      <c r="AM282" s="40">
        <v>0.94</v>
      </c>
      <c r="AN282" s="40">
        <v>0.94</v>
      </c>
      <c r="AO282" s="116">
        <v>0</v>
      </c>
      <c r="AP282" s="6">
        <f t="shared" si="42"/>
        <v>0</v>
      </c>
      <c r="AQ282" s="115">
        <v>0</v>
      </c>
      <c r="AR282" s="6">
        <f t="shared" si="43"/>
        <v>0</v>
      </c>
      <c r="AS282" s="115" t="s">
        <v>573</v>
      </c>
      <c r="AT282" s="6">
        <f t="shared" si="38"/>
        <v>0</v>
      </c>
      <c r="AU282" s="116">
        <v>0</v>
      </c>
      <c r="AV282" s="1">
        <f t="shared" si="44"/>
        <v>0</v>
      </c>
      <c r="AW282" s="116">
        <v>0</v>
      </c>
      <c r="AX282" s="1">
        <f t="shared" si="46"/>
        <v>0</v>
      </c>
      <c r="AY282" s="5" t="s">
        <v>573</v>
      </c>
      <c r="AZ282" s="1">
        <f t="shared" si="37"/>
        <v>0</v>
      </c>
      <c r="BA282" s="5" t="s">
        <v>573</v>
      </c>
      <c r="BB282" s="1">
        <f t="shared" si="45"/>
        <v>0</v>
      </c>
      <c r="BC282" s="5" t="s">
        <v>573</v>
      </c>
      <c r="BD282" s="144">
        <f t="shared" si="35"/>
        <v>0</v>
      </c>
      <c r="BE282" s="150" t="s">
        <v>573</v>
      </c>
      <c r="BF282" s="1">
        <f t="shared" si="39"/>
        <v>0</v>
      </c>
      <c r="BG282" s="150" t="s">
        <v>573</v>
      </c>
      <c r="BH282" s="1">
        <f t="shared" si="41"/>
        <v>0</v>
      </c>
      <c r="BI282" s="150">
        <v>1200</v>
      </c>
      <c r="BJ282" s="1">
        <f t="shared" si="40"/>
        <v>1128</v>
      </c>
      <c r="BK282" s="156" t="s">
        <v>573</v>
      </c>
      <c r="BL282" s="1">
        <f t="shared" si="47"/>
        <v>0</v>
      </c>
      <c r="BM282" s="1" t="s">
        <v>663</v>
      </c>
      <c r="BN282" s="136" t="s">
        <v>17</v>
      </c>
      <c r="BO282" s="139" t="s">
        <v>197</v>
      </c>
      <c r="BP282" s="137">
        <v>47057</v>
      </c>
    </row>
    <row r="283" spans="1:68" ht="15.75" customHeight="1">
      <c r="A283" s="123" t="s">
        <v>751</v>
      </c>
      <c r="B283" s="124" t="s">
        <v>184</v>
      </c>
      <c r="C283" s="301"/>
      <c r="D283" s="304"/>
      <c r="E283" s="304"/>
      <c r="F283" s="297"/>
      <c r="G283" s="78">
        <v>2023</v>
      </c>
      <c r="H283" s="105" t="s">
        <v>726</v>
      </c>
      <c r="I283" s="76" t="s">
        <v>780</v>
      </c>
      <c r="J283" s="102" t="s">
        <v>756</v>
      </c>
      <c r="K283" s="105" t="s">
        <v>753</v>
      </c>
      <c r="L283" s="105" t="s">
        <v>192</v>
      </c>
      <c r="M283" s="13" t="s">
        <v>193</v>
      </c>
      <c r="N283" s="40"/>
      <c r="O283" s="40"/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20.96</v>
      </c>
      <c r="AA283" s="13">
        <v>20.96</v>
      </c>
      <c r="AB283" s="40">
        <v>0</v>
      </c>
      <c r="AC283" s="40">
        <v>0</v>
      </c>
      <c r="AD283" s="40">
        <v>0</v>
      </c>
      <c r="AE283" s="40">
        <v>0</v>
      </c>
      <c r="AF283" s="40">
        <v>0</v>
      </c>
      <c r="AG283" s="40">
        <v>0</v>
      </c>
      <c r="AH283" s="40">
        <v>0</v>
      </c>
      <c r="AI283" s="40">
        <v>0</v>
      </c>
      <c r="AJ283" s="40">
        <v>0</v>
      </c>
      <c r="AK283" s="40">
        <v>0</v>
      </c>
      <c r="AL283" s="40">
        <v>0</v>
      </c>
      <c r="AM283" s="40">
        <v>0.94</v>
      </c>
      <c r="AN283" s="40">
        <v>0.94</v>
      </c>
      <c r="AO283" s="116">
        <v>0</v>
      </c>
      <c r="AP283" s="6">
        <f t="shared" si="42"/>
        <v>0</v>
      </c>
      <c r="AQ283" s="115">
        <v>0</v>
      </c>
      <c r="AR283" s="6">
        <f t="shared" si="43"/>
        <v>0</v>
      </c>
      <c r="AS283" s="115" t="s">
        <v>573</v>
      </c>
      <c r="AT283" s="6">
        <f t="shared" si="38"/>
        <v>0</v>
      </c>
      <c r="AU283" s="116">
        <v>0</v>
      </c>
      <c r="AV283" s="1">
        <f t="shared" si="44"/>
        <v>0</v>
      </c>
      <c r="AW283" s="116">
        <v>0</v>
      </c>
      <c r="AX283" s="1">
        <f t="shared" si="46"/>
        <v>0</v>
      </c>
      <c r="AY283" s="5" t="s">
        <v>573</v>
      </c>
      <c r="AZ283" s="1">
        <f t="shared" si="37"/>
        <v>0</v>
      </c>
      <c r="BA283" s="5" t="s">
        <v>573</v>
      </c>
      <c r="BB283" s="1">
        <f t="shared" si="45"/>
        <v>0</v>
      </c>
      <c r="BC283" s="5" t="s">
        <v>573</v>
      </c>
      <c r="BD283" s="144">
        <f t="shared" si="35"/>
        <v>0</v>
      </c>
      <c r="BE283" s="150" t="s">
        <v>573</v>
      </c>
      <c r="BF283" s="1">
        <f t="shared" si="39"/>
        <v>0</v>
      </c>
      <c r="BG283" s="150" t="s">
        <v>573</v>
      </c>
      <c r="BH283" s="1">
        <f t="shared" si="41"/>
        <v>0</v>
      </c>
      <c r="BI283" s="150" t="s">
        <v>573</v>
      </c>
      <c r="BJ283" s="1">
        <f t="shared" si="40"/>
        <v>0</v>
      </c>
      <c r="BK283" s="156" t="s">
        <v>573</v>
      </c>
      <c r="BL283" s="1">
        <f t="shared" si="47"/>
        <v>0</v>
      </c>
      <c r="BM283" s="1" t="s">
        <v>664</v>
      </c>
      <c r="BN283" s="136" t="s">
        <v>17</v>
      </c>
      <c r="BO283" s="139" t="s">
        <v>754</v>
      </c>
      <c r="BP283" s="137">
        <v>47057</v>
      </c>
    </row>
    <row r="284" spans="1:68" ht="15.75" customHeight="1">
      <c r="A284" s="123" t="s">
        <v>751</v>
      </c>
      <c r="B284" s="124" t="s">
        <v>184</v>
      </c>
      <c r="C284" s="301"/>
      <c r="D284" s="304"/>
      <c r="E284" s="304"/>
      <c r="F284" s="297"/>
      <c r="G284" s="78">
        <v>2023</v>
      </c>
      <c r="H284" s="105" t="s">
        <v>726</v>
      </c>
      <c r="I284" s="76" t="s">
        <v>780</v>
      </c>
      <c r="J284" s="102" t="s">
        <v>756</v>
      </c>
      <c r="K284" s="105" t="s">
        <v>753</v>
      </c>
      <c r="L284" s="105" t="s">
        <v>192</v>
      </c>
      <c r="M284" s="13" t="s">
        <v>193</v>
      </c>
      <c r="N284" s="40"/>
      <c r="O284" s="40"/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20.96</v>
      </c>
      <c r="AA284" s="13">
        <v>20.96</v>
      </c>
      <c r="AB284" s="40">
        <v>0</v>
      </c>
      <c r="AC284" s="40">
        <v>0</v>
      </c>
      <c r="AD284" s="40">
        <v>0</v>
      </c>
      <c r="AE284" s="40">
        <v>0</v>
      </c>
      <c r="AF284" s="40">
        <v>0</v>
      </c>
      <c r="AG284" s="40">
        <v>0</v>
      </c>
      <c r="AH284" s="40">
        <v>0</v>
      </c>
      <c r="AI284" s="40">
        <v>0</v>
      </c>
      <c r="AJ284" s="40">
        <v>0</v>
      </c>
      <c r="AK284" s="40">
        <v>0</v>
      </c>
      <c r="AL284" s="40">
        <v>0</v>
      </c>
      <c r="AM284" s="40">
        <v>0.94</v>
      </c>
      <c r="AN284" s="40">
        <v>0.94</v>
      </c>
      <c r="AO284" s="116">
        <v>0</v>
      </c>
      <c r="AP284" s="6">
        <f t="shared" si="42"/>
        <v>0</v>
      </c>
      <c r="AQ284" s="115">
        <v>0</v>
      </c>
      <c r="AR284" s="6">
        <f t="shared" si="43"/>
        <v>0</v>
      </c>
      <c r="AS284" s="115" t="s">
        <v>573</v>
      </c>
      <c r="AT284" s="6">
        <f t="shared" si="38"/>
        <v>0</v>
      </c>
      <c r="AU284" s="116">
        <v>0</v>
      </c>
      <c r="AV284" s="1">
        <f t="shared" si="44"/>
        <v>0</v>
      </c>
      <c r="AW284" s="116">
        <v>0</v>
      </c>
      <c r="AX284" s="1">
        <f t="shared" si="46"/>
        <v>0</v>
      </c>
      <c r="AY284" s="5" t="s">
        <v>573</v>
      </c>
      <c r="AZ284" s="1">
        <f t="shared" si="37"/>
        <v>0</v>
      </c>
      <c r="BA284" s="5" t="s">
        <v>573</v>
      </c>
      <c r="BB284" s="1">
        <f t="shared" si="45"/>
        <v>0</v>
      </c>
      <c r="BC284" s="5" t="s">
        <v>573</v>
      </c>
      <c r="BD284" s="144">
        <f t="shared" si="35"/>
        <v>0</v>
      </c>
      <c r="BE284" s="150" t="s">
        <v>573</v>
      </c>
      <c r="BF284" s="1">
        <f t="shared" si="39"/>
        <v>0</v>
      </c>
      <c r="BG284" s="150" t="s">
        <v>573</v>
      </c>
      <c r="BH284" s="1">
        <f t="shared" si="41"/>
        <v>0</v>
      </c>
      <c r="BI284" s="150" t="s">
        <v>573</v>
      </c>
      <c r="BJ284" s="1">
        <f t="shared" si="40"/>
        <v>0</v>
      </c>
      <c r="BK284" s="156" t="s">
        <v>573</v>
      </c>
      <c r="BL284" s="1">
        <f t="shared" si="47"/>
        <v>0</v>
      </c>
      <c r="BM284" s="1" t="s">
        <v>665</v>
      </c>
      <c r="BN284" s="136" t="s">
        <v>17</v>
      </c>
      <c r="BO284" s="139" t="s">
        <v>1310</v>
      </c>
      <c r="BP284" s="137">
        <v>47057</v>
      </c>
    </row>
    <row r="285" spans="1:68" ht="15.75" customHeight="1">
      <c r="A285" s="123" t="s">
        <v>751</v>
      </c>
      <c r="B285" s="124" t="s">
        <v>184</v>
      </c>
      <c r="C285" s="301"/>
      <c r="D285" s="304"/>
      <c r="E285" s="304"/>
      <c r="F285" s="297"/>
      <c r="G285" s="78">
        <v>2023</v>
      </c>
      <c r="H285" s="105" t="s">
        <v>726</v>
      </c>
      <c r="I285" s="76" t="s">
        <v>780</v>
      </c>
      <c r="J285" s="102" t="s">
        <v>756</v>
      </c>
      <c r="K285" s="105" t="s">
        <v>753</v>
      </c>
      <c r="L285" s="105" t="s">
        <v>192</v>
      </c>
      <c r="M285" s="13" t="s">
        <v>193</v>
      </c>
      <c r="N285" s="40"/>
      <c r="O285" s="40"/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20.96</v>
      </c>
      <c r="AA285" s="13">
        <v>20.96</v>
      </c>
      <c r="AB285" s="40">
        <v>0</v>
      </c>
      <c r="AC285" s="40">
        <v>0</v>
      </c>
      <c r="AD285" s="40">
        <v>0</v>
      </c>
      <c r="AE285" s="40">
        <v>0</v>
      </c>
      <c r="AF285" s="40">
        <v>0</v>
      </c>
      <c r="AG285" s="40">
        <v>0</v>
      </c>
      <c r="AH285" s="40">
        <v>0</v>
      </c>
      <c r="AI285" s="40">
        <v>0</v>
      </c>
      <c r="AJ285" s="40">
        <v>0</v>
      </c>
      <c r="AK285" s="40">
        <v>0</v>
      </c>
      <c r="AL285" s="40">
        <v>0</v>
      </c>
      <c r="AM285" s="40">
        <v>0.94</v>
      </c>
      <c r="AN285" s="40">
        <v>0.94</v>
      </c>
      <c r="AO285" s="116">
        <v>0</v>
      </c>
      <c r="AP285" s="6">
        <f t="shared" si="42"/>
        <v>0</v>
      </c>
      <c r="AQ285" s="115">
        <v>0</v>
      </c>
      <c r="AR285" s="6">
        <f t="shared" si="43"/>
        <v>0</v>
      </c>
      <c r="AS285" s="115" t="s">
        <v>573</v>
      </c>
      <c r="AT285" s="6">
        <f t="shared" si="38"/>
        <v>0</v>
      </c>
      <c r="AU285" s="116">
        <v>0</v>
      </c>
      <c r="AV285" s="1">
        <f t="shared" si="44"/>
        <v>0</v>
      </c>
      <c r="AW285" s="116">
        <v>0</v>
      </c>
      <c r="AX285" s="1">
        <f t="shared" si="46"/>
        <v>0</v>
      </c>
      <c r="AY285" s="5" t="s">
        <v>573</v>
      </c>
      <c r="AZ285" s="1">
        <f t="shared" si="37"/>
        <v>0</v>
      </c>
      <c r="BA285" s="5" t="s">
        <v>573</v>
      </c>
      <c r="BB285" s="1">
        <f t="shared" si="45"/>
        <v>0</v>
      </c>
      <c r="BC285" s="5" t="s">
        <v>573</v>
      </c>
      <c r="BD285" s="144">
        <f t="shared" si="35"/>
        <v>0</v>
      </c>
      <c r="BE285" s="150" t="s">
        <v>573</v>
      </c>
      <c r="BF285" s="1">
        <f t="shared" si="39"/>
        <v>0</v>
      </c>
      <c r="BG285" s="150" t="s">
        <v>573</v>
      </c>
      <c r="BH285" s="1">
        <f t="shared" si="41"/>
        <v>0</v>
      </c>
      <c r="BI285" s="150" t="s">
        <v>573</v>
      </c>
      <c r="BJ285" s="1">
        <f t="shared" si="40"/>
        <v>0</v>
      </c>
      <c r="BK285" s="156">
        <v>4800</v>
      </c>
      <c r="BL285" s="1">
        <f t="shared" si="47"/>
        <v>4512</v>
      </c>
      <c r="BM285" s="1" t="s">
        <v>666</v>
      </c>
      <c r="BN285" s="136" t="s">
        <v>6</v>
      </c>
      <c r="BO285" s="139" t="s">
        <v>763</v>
      </c>
      <c r="BP285" s="137">
        <v>47057</v>
      </c>
    </row>
    <row r="286" spans="1:68" ht="15.75" customHeight="1" thickBot="1">
      <c r="A286" s="123" t="s">
        <v>751</v>
      </c>
      <c r="B286" s="124" t="s">
        <v>184</v>
      </c>
      <c r="C286" s="302"/>
      <c r="D286" s="305"/>
      <c r="E286" s="305"/>
      <c r="F286" s="306"/>
      <c r="G286" s="78">
        <v>2023</v>
      </c>
      <c r="H286" s="105" t="s">
        <v>726</v>
      </c>
      <c r="I286" s="76" t="s">
        <v>780</v>
      </c>
      <c r="J286" s="102" t="s">
        <v>756</v>
      </c>
      <c r="K286" s="105" t="s">
        <v>753</v>
      </c>
      <c r="L286" s="105" t="s">
        <v>192</v>
      </c>
      <c r="M286" s="13" t="s">
        <v>193</v>
      </c>
      <c r="N286" s="40"/>
      <c r="O286" s="40"/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20.96</v>
      </c>
      <c r="AA286" s="13">
        <v>20.96</v>
      </c>
      <c r="AB286" s="40">
        <v>0</v>
      </c>
      <c r="AC286" s="40">
        <v>0</v>
      </c>
      <c r="AD286" s="40">
        <v>0</v>
      </c>
      <c r="AE286" s="40">
        <v>0</v>
      </c>
      <c r="AF286" s="40">
        <v>0</v>
      </c>
      <c r="AG286" s="40">
        <v>0</v>
      </c>
      <c r="AH286" s="40">
        <v>0</v>
      </c>
      <c r="AI286" s="40">
        <v>0</v>
      </c>
      <c r="AJ286" s="40">
        <v>0</v>
      </c>
      <c r="AK286" s="40">
        <v>0</v>
      </c>
      <c r="AL286" s="40">
        <v>0</v>
      </c>
      <c r="AM286" s="40">
        <v>0.94</v>
      </c>
      <c r="AN286" s="40">
        <v>0.94</v>
      </c>
      <c r="AO286" s="116">
        <v>0</v>
      </c>
      <c r="AP286" s="6">
        <f t="shared" si="42"/>
        <v>0</v>
      </c>
      <c r="AQ286" s="115">
        <v>0</v>
      </c>
      <c r="AR286" s="6">
        <f t="shared" si="43"/>
        <v>0</v>
      </c>
      <c r="AS286" s="160" t="s">
        <v>573</v>
      </c>
      <c r="AT286" s="158">
        <f t="shared" si="38"/>
        <v>0</v>
      </c>
      <c r="AU286" s="116">
        <v>0</v>
      </c>
      <c r="AV286" s="1">
        <f t="shared" si="44"/>
        <v>0</v>
      </c>
      <c r="AW286" s="116">
        <v>0</v>
      </c>
      <c r="AX286" s="1">
        <f t="shared" si="46"/>
        <v>0</v>
      </c>
      <c r="AY286" s="159" t="s">
        <v>573</v>
      </c>
      <c r="AZ286" s="1">
        <f t="shared" si="37"/>
        <v>0</v>
      </c>
      <c r="BA286" s="5" t="s">
        <v>573</v>
      </c>
      <c r="BB286" s="1">
        <f t="shared" si="45"/>
        <v>0</v>
      </c>
      <c r="BC286" s="5" t="s">
        <v>573</v>
      </c>
      <c r="BD286" s="144">
        <f t="shared" si="35"/>
        <v>0</v>
      </c>
      <c r="BE286" s="150" t="s">
        <v>573</v>
      </c>
      <c r="BF286" s="1">
        <f t="shared" si="39"/>
        <v>0</v>
      </c>
      <c r="BG286" s="150" t="s">
        <v>573</v>
      </c>
      <c r="BH286" s="1">
        <f t="shared" si="41"/>
        <v>0</v>
      </c>
      <c r="BI286" s="150" t="s">
        <v>573</v>
      </c>
      <c r="BJ286" s="1">
        <f t="shared" si="40"/>
        <v>0</v>
      </c>
      <c r="BK286" s="165">
        <v>1200</v>
      </c>
      <c r="BL286" s="1">
        <f t="shared" si="47"/>
        <v>1128</v>
      </c>
      <c r="BM286" s="1" t="s">
        <v>667</v>
      </c>
      <c r="BN286" s="136" t="s">
        <v>17</v>
      </c>
      <c r="BO286" s="139" t="s">
        <v>754</v>
      </c>
      <c r="BP286" s="137">
        <v>47057</v>
      </c>
    </row>
    <row r="287" spans="1:68" ht="15" customHeight="1" thickBot="1">
      <c r="A287" s="125"/>
      <c r="B287" s="107"/>
      <c r="C287" s="17"/>
      <c r="D287" s="126"/>
      <c r="E287" s="126"/>
      <c r="F287" s="10"/>
      <c r="G287" s="17"/>
      <c r="H287" s="17"/>
      <c r="I287" s="17"/>
      <c r="J287" s="106"/>
      <c r="K287" s="107"/>
      <c r="L287" s="107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74">
        <f>SUMPRODUCT(AO3:AO286,P3:P286)</f>
        <v>2637784.5600000005</v>
      </c>
      <c r="AP287" s="175"/>
      <c r="AQ287" s="174">
        <f>SUMPRODUCT(AQ3:AQ286,Q3:Q286)</f>
        <v>2786280.96</v>
      </c>
      <c r="AR287" s="175"/>
      <c r="AS287" s="176">
        <f>SUMPRODUCT(AS3:AS286,R3:R286)</f>
        <v>3925223.959999999</v>
      </c>
      <c r="AT287" s="176"/>
      <c r="AU287" s="174">
        <f>SUMPRODUCT(AU3:AU286,S3:S286)</f>
        <v>1008146.66</v>
      </c>
      <c r="AV287" s="177"/>
      <c r="AW287" s="174">
        <f>SUMPRODUCT(AW3:AW286,T3:T286)</f>
        <v>3558601.1</v>
      </c>
      <c r="AX287" s="177"/>
      <c r="AY287" s="174">
        <f>SUMPRODUCT(AY3:AY286,U3:U286)</f>
        <v>4370145.4000000004</v>
      </c>
      <c r="AZ287" s="177"/>
      <c r="BA287" s="174">
        <f>SUMPRODUCT(BA3:BA286,V3:V286)</f>
        <v>3967566.36</v>
      </c>
      <c r="BB287" s="177"/>
      <c r="BC287" s="174">
        <f>SUMPRODUCT(BC3:BC286,W3:W286)</f>
        <v>3511636.439999999</v>
      </c>
      <c r="BD287" s="178"/>
      <c r="BE287" s="174">
        <f>SUMPRODUCT(BE3:BE286,X3:X286)</f>
        <v>2750885.94</v>
      </c>
      <c r="BF287" s="177"/>
      <c r="BG287" s="174">
        <f>SUMPRODUCT(BG3:BG286,Y3:Y286)</f>
        <v>3071729.0999999992</v>
      </c>
      <c r="BH287" s="177"/>
      <c r="BI287" s="174">
        <f>SUMPRODUCT(BI3:BI286,Z3:Z286)</f>
        <v>4225467.5</v>
      </c>
      <c r="BJ287" s="177"/>
      <c r="BK287" s="176">
        <f>SUMPRODUCT(BK3:BK286,AA3:AA286)</f>
        <v>3052487.3599999989</v>
      </c>
      <c r="BL287" s="178"/>
      <c r="BM287" s="179">
        <f>SUM(AO287:BK287)</f>
        <v>38865955.339999996</v>
      </c>
      <c r="BP287" s="137"/>
    </row>
    <row r="288" spans="1:68">
      <c r="A288" s="93"/>
      <c r="AO288" s="172"/>
      <c r="AR288" s="5"/>
      <c r="AT288" s="5"/>
    </row>
    <row r="289" spans="1:68">
      <c r="A289" s="93"/>
      <c r="AU289" s="3"/>
    </row>
    <row r="292" spans="1:68">
      <c r="BL292" s="242"/>
    </row>
    <row r="295" spans="1:68">
      <c r="AR295" s="3"/>
    </row>
    <row r="296" spans="1:68">
      <c r="BP296" s="136" t="s">
        <v>786</v>
      </c>
    </row>
    <row r="297" spans="1:68">
      <c r="AN297" s="114"/>
    </row>
    <row r="298" spans="1:68">
      <c r="AN298" s="114"/>
    </row>
    <row r="299" spans="1:68">
      <c r="AN299" s="114"/>
    </row>
    <row r="300" spans="1:68">
      <c r="AN300" s="114"/>
    </row>
    <row r="301" spans="1:68">
      <c r="AN301" s="114"/>
    </row>
    <row r="302" spans="1:68">
      <c r="AN302" s="114"/>
    </row>
    <row r="303" spans="1:68">
      <c r="AN303" s="114"/>
    </row>
    <row r="304" spans="1:68">
      <c r="AN304" s="114"/>
    </row>
    <row r="305" spans="40:40">
      <c r="AN305" s="114"/>
    </row>
    <row r="306" spans="40:40">
      <c r="AN306" s="114"/>
    </row>
    <row r="307" spans="40:40">
      <c r="AN307" s="114"/>
    </row>
    <row r="308" spans="40:40">
      <c r="AN308" s="114"/>
    </row>
    <row r="309" spans="40:40">
      <c r="AN309" s="114"/>
    </row>
    <row r="310" spans="40:40">
      <c r="AN310" s="114"/>
    </row>
    <row r="311" spans="40:40">
      <c r="AN311" s="114"/>
    </row>
    <row r="312" spans="40:40">
      <c r="AN312" s="114"/>
    </row>
    <row r="313" spans="40:40">
      <c r="AN313" s="114"/>
    </row>
    <row r="314" spans="40:40">
      <c r="AN314" s="114"/>
    </row>
    <row r="315" spans="40:40">
      <c r="AN315" s="114"/>
    </row>
    <row r="316" spans="40:40">
      <c r="AN316" s="114"/>
    </row>
    <row r="317" spans="40:40">
      <c r="AN317" s="114"/>
    </row>
    <row r="318" spans="40:40">
      <c r="AN318" s="114"/>
    </row>
  </sheetData>
  <mergeCells count="4">
    <mergeCell ref="C3:C286"/>
    <mergeCell ref="D3:D286"/>
    <mergeCell ref="E3:E286"/>
    <mergeCell ref="F3:F286"/>
  </mergeCells>
  <phoneticPr fontId="4" type="noConversion"/>
  <pageMargins left="0.15748031496062992" right="0.15748031496062992" top="0.74803149606299213" bottom="0.74803149606299213" header="0.31496062992125984" footer="0.31496062992125984"/>
  <pageSetup paperSize="8" scale="42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DFB4-9E94-4EA2-934A-4DD07991A5F2}">
  <dimension ref="A1:BQ373"/>
  <sheetViews>
    <sheetView topLeftCell="AB1" zoomScale="85" zoomScaleNormal="85" workbookViewId="0">
      <pane ySplit="2" topLeftCell="A12" activePane="bottomLeft" state="frozen"/>
      <selection activeCell="C5" sqref="C5"/>
      <selection pane="bottomLeft" activeCell="AL16" sqref="AL16:AL99"/>
    </sheetView>
  </sheetViews>
  <sheetFormatPr defaultColWidth="9" defaultRowHeight="14.4"/>
  <cols>
    <col min="1" max="1" width="11.77734375" style="2" customWidth="1"/>
    <col min="2" max="2" width="11.6640625" style="2" customWidth="1"/>
    <col min="3" max="3" width="7.44140625" style="2" customWidth="1"/>
    <col min="4" max="4" width="12.109375" style="2" customWidth="1"/>
    <col min="5" max="6" width="11.77734375" style="2" customWidth="1"/>
    <col min="7" max="7" width="19.77734375" style="2" customWidth="1"/>
    <col min="8" max="8" width="18.33203125" style="2" customWidth="1"/>
    <col min="9" max="9" width="16.21875" style="2" customWidth="1"/>
    <col min="10" max="10" width="8.33203125" style="211" customWidth="1"/>
    <col min="11" max="11" width="14.33203125" style="2" customWidth="1"/>
    <col min="12" max="12" width="17.77734375" style="2" customWidth="1"/>
    <col min="13" max="13" width="22.33203125" style="16" customWidth="1"/>
    <col min="14" max="25" width="11.33203125" style="16" customWidth="1"/>
    <col min="26" max="26" width="8.33203125" style="16" customWidth="1"/>
    <col min="27" max="27" width="9.33203125" style="16" customWidth="1"/>
    <col min="28" max="28" width="11.21875" style="16" customWidth="1"/>
    <col min="29" max="31" width="9.33203125" style="16" customWidth="1"/>
    <col min="32" max="32" width="8.77734375" style="16" customWidth="1"/>
    <col min="33" max="33" width="9.33203125" style="16" customWidth="1"/>
    <col min="34" max="34" width="11" style="16" customWidth="1"/>
    <col min="35" max="35" width="10.109375" style="16" customWidth="1"/>
    <col min="36" max="36" width="12.33203125" style="16" customWidth="1"/>
    <col min="37" max="37" width="8.33203125" style="16" customWidth="1"/>
    <col min="38" max="38" width="15.77734375" style="203" customWidth="1"/>
    <col min="39" max="39" width="15.33203125" style="40" customWidth="1"/>
    <col min="40" max="40" width="15.33203125" style="203" customWidth="1"/>
    <col min="41" max="41" width="11.21875" style="40" customWidth="1"/>
    <col min="42" max="42" width="17" style="204" customWidth="1"/>
    <col min="43" max="43" width="11.21875" style="40" customWidth="1"/>
    <col min="44" max="44" width="17" style="2" customWidth="1"/>
    <col min="45" max="45" width="11.21875" style="2" customWidth="1"/>
    <col min="46" max="46" width="17" style="2" customWidth="1"/>
    <col min="47" max="47" width="11.21875" style="2" customWidth="1"/>
    <col min="48" max="48" width="17" style="2" customWidth="1"/>
    <col min="49" max="49" width="11.21875" style="2" customWidth="1"/>
    <col min="50" max="50" width="17" style="2" customWidth="1"/>
    <col min="51" max="51" width="11.21875" style="2" customWidth="1"/>
    <col min="52" max="52" width="17" style="2" customWidth="1"/>
    <col min="53" max="53" width="16" style="2" customWidth="1"/>
    <col min="54" max="54" width="17" style="2" customWidth="1"/>
    <col min="55" max="55" width="15.21875" style="2" customWidth="1"/>
    <col min="56" max="56" width="17" style="2" customWidth="1"/>
    <col min="57" max="57" width="16.33203125" style="2" customWidth="1"/>
    <col min="58" max="58" width="17" style="2" customWidth="1"/>
    <col min="59" max="59" width="16.21875" style="2" customWidth="1"/>
    <col min="60" max="60" width="17" style="2" customWidth="1"/>
    <col min="61" max="63" width="16.109375" style="2" customWidth="1"/>
    <col min="64" max="64" width="19.33203125" style="2" customWidth="1"/>
    <col min="65" max="65" width="16.77734375" style="2" customWidth="1"/>
    <col min="66" max="66" width="12.33203125" style="2" customWidth="1"/>
    <col min="67" max="67" width="14.77734375" style="2" bestFit="1" customWidth="1"/>
    <col min="68" max="68" width="11.21875" style="2" hidden="1" customWidth="1"/>
    <col min="69" max="69" width="11.33203125" style="2" customWidth="1"/>
    <col min="70" max="16384" width="9" style="2"/>
  </cols>
  <sheetData>
    <row r="1" spans="1:69" ht="57.6">
      <c r="A1" s="224"/>
      <c r="B1" s="37"/>
      <c r="C1" s="37"/>
      <c r="D1" s="37" t="s">
        <v>115</v>
      </c>
      <c r="E1" s="23" t="s">
        <v>116</v>
      </c>
      <c r="F1" s="8"/>
      <c r="G1" s="18" t="s">
        <v>856</v>
      </c>
      <c r="H1" s="18" t="s">
        <v>857</v>
      </c>
      <c r="I1" s="22" t="s">
        <v>858</v>
      </c>
      <c r="J1" s="22" t="s">
        <v>867</v>
      </c>
      <c r="K1" s="22" t="s">
        <v>868</v>
      </c>
      <c r="L1" s="22" t="s">
        <v>859</v>
      </c>
      <c r="M1" s="22" t="s">
        <v>1345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M1" s="4">
        <f>SUM(AM3:AM1123)</f>
        <v>74615.319999999992</v>
      </c>
      <c r="AN1" s="238"/>
      <c r="AO1" s="4">
        <f>SUM(AO3:AO1131)</f>
        <v>63833.840000000004</v>
      </c>
      <c r="AP1" s="4"/>
      <c r="AQ1" s="4">
        <f>SUM(AQ3:AQ308)</f>
        <v>64307.239999999991</v>
      </c>
      <c r="AS1" s="2">
        <f>SUM(AS3:AS308)</f>
        <v>39786</v>
      </c>
      <c r="AU1" s="2">
        <f>SUM(AU3:AU308)</f>
        <v>56274.5</v>
      </c>
      <c r="AW1" s="2">
        <f>SUM(AW3:AW324)</f>
        <v>71609.2</v>
      </c>
      <c r="AY1" s="2">
        <f>SUM(AY3:AY324)</f>
        <v>37898.039999999994</v>
      </c>
      <c r="BA1" s="2">
        <f>SUM(BA3:BA339)</f>
        <v>81459.400000000009</v>
      </c>
      <c r="BC1" s="2">
        <f>SUM(BC3:BC339)</f>
        <v>90405.6</v>
      </c>
      <c r="BE1" s="2">
        <f>SUM(BE3:BE339)</f>
        <v>75666.899999999994</v>
      </c>
      <c r="BG1" s="2">
        <f>SUM(BG3:BG339)</f>
        <v>105555.91999999998</v>
      </c>
      <c r="BI1" s="2">
        <f>SUM(BI3:BI339)</f>
        <v>60563.079999999987</v>
      </c>
      <c r="BL1" s="22" t="s">
        <v>860</v>
      </c>
      <c r="BM1" s="22" t="s">
        <v>861</v>
      </c>
      <c r="BN1" s="22" t="s">
        <v>862</v>
      </c>
      <c r="BO1" s="22" t="s">
        <v>863</v>
      </c>
    </row>
    <row r="2" spans="1:69" s="7" customFormat="1" ht="61.95" customHeight="1">
      <c r="A2" s="59" t="s">
        <v>787</v>
      </c>
      <c r="B2" s="225" t="s">
        <v>124</v>
      </c>
      <c r="C2" s="226" t="s">
        <v>125</v>
      </c>
      <c r="D2" s="215" t="s">
        <v>126</v>
      </c>
      <c r="E2" s="215" t="s">
        <v>78</v>
      </c>
      <c r="F2" s="215" t="s">
        <v>127</v>
      </c>
      <c r="G2" s="66" t="s">
        <v>128</v>
      </c>
      <c r="H2" s="215" t="s">
        <v>0</v>
      </c>
      <c r="I2" s="66" t="s">
        <v>129</v>
      </c>
      <c r="J2" s="67" t="s">
        <v>130</v>
      </c>
      <c r="K2" s="66" t="s">
        <v>131</v>
      </c>
      <c r="L2" s="66" t="s">
        <v>132</v>
      </c>
      <c r="M2" s="227" t="s">
        <v>133</v>
      </c>
      <c r="N2" s="118" t="s">
        <v>135</v>
      </c>
      <c r="O2" s="118" t="s">
        <v>136</v>
      </c>
      <c r="P2" s="118" t="s">
        <v>137</v>
      </c>
      <c r="Q2" s="118" t="s">
        <v>138</v>
      </c>
      <c r="R2" s="118" t="s">
        <v>139</v>
      </c>
      <c r="S2" s="118" t="s">
        <v>140</v>
      </c>
      <c r="T2" s="118" t="s">
        <v>141</v>
      </c>
      <c r="U2" s="118" t="s">
        <v>142</v>
      </c>
      <c r="V2" s="118" t="s">
        <v>143</v>
      </c>
      <c r="W2" s="118" t="s">
        <v>3</v>
      </c>
      <c r="X2" s="118" t="s">
        <v>144</v>
      </c>
      <c r="Y2" s="118" t="s">
        <v>145</v>
      </c>
      <c r="Z2" s="46" t="s">
        <v>147</v>
      </c>
      <c r="AA2" s="46" t="s">
        <v>148</v>
      </c>
      <c r="AB2" s="46" t="s">
        <v>149</v>
      </c>
      <c r="AC2" s="46" t="s">
        <v>150</v>
      </c>
      <c r="AD2" s="46" t="s">
        <v>151</v>
      </c>
      <c r="AE2" s="46" t="s">
        <v>152</v>
      </c>
      <c r="AF2" s="46" t="s">
        <v>153</v>
      </c>
      <c r="AG2" s="46" t="s">
        <v>154</v>
      </c>
      <c r="AH2" s="46" t="s">
        <v>155</v>
      </c>
      <c r="AI2" s="46" t="s">
        <v>156</v>
      </c>
      <c r="AJ2" s="46" t="s">
        <v>157</v>
      </c>
      <c r="AK2" s="46" t="s">
        <v>158</v>
      </c>
      <c r="AL2" s="228" t="s">
        <v>159</v>
      </c>
      <c r="AM2" s="44" t="s">
        <v>160</v>
      </c>
      <c r="AN2" s="228" t="s">
        <v>161</v>
      </c>
      <c r="AO2" s="44" t="s">
        <v>162</v>
      </c>
      <c r="AP2" s="44" t="s">
        <v>163</v>
      </c>
      <c r="AQ2" s="44" t="s">
        <v>164</v>
      </c>
      <c r="AR2" s="62" t="s">
        <v>165</v>
      </c>
      <c r="AS2" s="47" t="s">
        <v>166</v>
      </c>
      <c r="AT2" s="62" t="s">
        <v>167</v>
      </c>
      <c r="AU2" s="47" t="s">
        <v>168</v>
      </c>
      <c r="AV2" s="47" t="s">
        <v>169</v>
      </c>
      <c r="AW2" s="47" t="s">
        <v>170</v>
      </c>
      <c r="AX2" s="64" t="s">
        <v>171</v>
      </c>
      <c r="AY2" s="48" t="s">
        <v>172</v>
      </c>
      <c r="AZ2" s="64" t="s">
        <v>173</v>
      </c>
      <c r="BA2" s="48" t="s">
        <v>174</v>
      </c>
      <c r="BB2" s="64" t="s">
        <v>748</v>
      </c>
      <c r="BC2" s="48" t="s">
        <v>176</v>
      </c>
      <c r="BD2" s="65" t="s">
        <v>177</v>
      </c>
      <c r="BE2" s="45" t="s">
        <v>178</v>
      </c>
      <c r="BF2" s="65" t="s">
        <v>179</v>
      </c>
      <c r="BG2" s="45" t="s">
        <v>180</v>
      </c>
      <c r="BH2" s="45" t="s">
        <v>181</v>
      </c>
      <c r="BI2" s="45" t="s">
        <v>182</v>
      </c>
      <c r="BJ2" s="252" t="s">
        <v>1440</v>
      </c>
      <c r="BK2" s="252" t="s">
        <v>1441</v>
      </c>
      <c r="BL2" s="119" t="s">
        <v>2</v>
      </c>
      <c r="BM2" s="119" t="s">
        <v>1403</v>
      </c>
      <c r="BN2" s="119" t="s">
        <v>749</v>
      </c>
      <c r="BO2" s="119" t="s">
        <v>864</v>
      </c>
      <c r="BP2" s="7" t="s">
        <v>750</v>
      </c>
      <c r="BQ2" s="7" t="s">
        <v>1385</v>
      </c>
    </row>
    <row r="3" spans="1:69">
      <c r="A3" s="213" t="s">
        <v>788</v>
      </c>
      <c r="B3" s="58" t="s">
        <v>184</v>
      </c>
      <c r="C3" s="58" t="s">
        <v>752</v>
      </c>
      <c r="D3" s="214" t="s">
        <v>789</v>
      </c>
      <c r="E3" s="214" t="s">
        <v>789</v>
      </c>
      <c r="F3" s="215" t="s">
        <v>186</v>
      </c>
      <c r="G3" s="216">
        <v>2018</v>
      </c>
      <c r="H3" s="213" t="s">
        <v>790</v>
      </c>
      <c r="I3" s="213" t="s">
        <v>196</v>
      </c>
      <c r="J3" s="217" t="s">
        <v>890</v>
      </c>
      <c r="K3" s="213" t="s">
        <v>753</v>
      </c>
      <c r="L3" s="218" t="s">
        <v>192</v>
      </c>
      <c r="M3" s="219" t="s">
        <v>1388</v>
      </c>
      <c r="N3" s="219">
        <v>2</v>
      </c>
      <c r="O3" s="219">
        <v>2</v>
      </c>
      <c r="P3" s="219">
        <v>2</v>
      </c>
      <c r="Q3" s="219">
        <v>2</v>
      </c>
      <c r="R3" s="219">
        <v>2</v>
      </c>
      <c r="S3" s="219">
        <v>2</v>
      </c>
      <c r="T3" s="219">
        <v>2</v>
      </c>
      <c r="U3" s="219">
        <v>2</v>
      </c>
      <c r="V3" s="219">
        <v>2</v>
      </c>
      <c r="W3" s="219">
        <v>2</v>
      </c>
      <c r="X3" s="219">
        <v>2</v>
      </c>
      <c r="Y3" s="219">
        <v>2</v>
      </c>
      <c r="Z3" s="219">
        <v>0</v>
      </c>
      <c r="AA3" s="219">
        <v>0</v>
      </c>
      <c r="AB3" s="219">
        <v>0</v>
      </c>
      <c r="AC3" s="219">
        <v>0</v>
      </c>
      <c r="AD3" s="219">
        <v>0</v>
      </c>
      <c r="AE3" s="219">
        <v>0</v>
      </c>
      <c r="AF3" s="219">
        <v>0</v>
      </c>
      <c r="AG3" s="219">
        <v>0</v>
      </c>
      <c r="AH3" s="219">
        <v>0</v>
      </c>
      <c r="AI3" s="219">
        <v>0</v>
      </c>
      <c r="AJ3" s="219">
        <v>0</v>
      </c>
      <c r="AK3" s="219">
        <v>0</v>
      </c>
      <c r="AL3" s="229" t="s">
        <v>573</v>
      </c>
      <c r="AM3" s="219">
        <f>Z3*AL3</f>
        <v>0</v>
      </c>
      <c r="AN3" s="229" t="s">
        <v>573</v>
      </c>
      <c r="AO3" s="221">
        <f>AN3*AA3</f>
        <v>0</v>
      </c>
      <c r="AP3" s="222" t="s">
        <v>573</v>
      </c>
      <c r="AQ3" s="221">
        <f>AP3*AB3</f>
        <v>0</v>
      </c>
      <c r="AR3" s="222" t="s">
        <v>573</v>
      </c>
      <c r="AS3" s="58">
        <f>AR3*AC3</f>
        <v>0</v>
      </c>
      <c r="AT3" s="222" t="s">
        <v>573</v>
      </c>
      <c r="AU3" s="58">
        <f>AT3*AD3</f>
        <v>0</v>
      </c>
      <c r="AV3" s="222">
        <v>2880</v>
      </c>
      <c r="AW3" s="58">
        <f>AV3*AE3</f>
        <v>0</v>
      </c>
      <c r="AX3" s="251" t="s">
        <v>573</v>
      </c>
      <c r="AY3" s="58">
        <f>AX3*AF3</f>
        <v>0</v>
      </c>
      <c r="AZ3" s="222" t="s">
        <v>573</v>
      </c>
      <c r="BA3" s="58">
        <f t="shared" ref="BA3:BA62" si="0">AZ3*AG3</f>
        <v>0</v>
      </c>
      <c r="BB3" s="222" t="s">
        <v>573</v>
      </c>
      <c r="BC3" s="58">
        <f t="shared" ref="BC3:BC62" si="1">BB3*AH3</f>
        <v>0</v>
      </c>
      <c r="BD3" s="222">
        <v>2880</v>
      </c>
      <c r="BE3" s="58">
        <f t="shared" ref="BE3:BE62" si="2">BD3*AI3</f>
        <v>0</v>
      </c>
      <c r="BF3" s="222">
        <v>2880</v>
      </c>
      <c r="BG3" s="58">
        <f t="shared" ref="BG3:BG62" si="3">BF3*AJ3</f>
        <v>0</v>
      </c>
      <c r="BH3" s="223" t="s">
        <v>573</v>
      </c>
      <c r="BI3" s="58">
        <f t="shared" ref="BI3:BI62" si="4">BH3*AK3</f>
        <v>0</v>
      </c>
      <c r="BJ3" s="220">
        <f>BH3+BF3+BD3+BB3+AZ3+AX3+AV3+AT3+AR3+AP3+AN3+AL3</f>
        <v>8640</v>
      </c>
      <c r="BK3" s="58"/>
      <c r="BL3" s="58" t="s">
        <v>1325</v>
      </c>
      <c r="BM3" s="220" t="s">
        <v>1405</v>
      </c>
      <c r="BN3" s="213" t="s">
        <v>754</v>
      </c>
      <c r="BO3" s="58" t="s">
        <v>1209</v>
      </c>
      <c r="BP3" s="199">
        <v>45596</v>
      </c>
      <c r="BQ3" s="2" t="s">
        <v>1386</v>
      </c>
    </row>
    <row r="4" spans="1:69" ht="15.75" customHeight="1">
      <c r="A4" s="213" t="s">
        <v>788</v>
      </c>
      <c r="B4" s="58" t="s">
        <v>184</v>
      </c>
      <c r="C4" s="58" t="s">
        <v>752</v>
      </c>
      <c r="D4" s="214" t="s">
        <v>789</v>
      </c>
      <c r="E4" s="214" t="s">
        <v>789</v>
      </c>
      <c r="F4" s="215" t="s">
        <v>186</v>
      </c>
      <c r="G4" s="216">
        <v>2018</v>
      </c>
      <c r="H4" s="213" t="s">
        <v>791</v>
      </c>
      <c r="I4" s="213" t="s">
        <v>196</v>
      </c>
      <c r="J4" s="217" t="s">
        <v>890</v>
      </c>
      <c r="K4" s="213" t="s">
        <v>191</v>
      </c>
      <c r="L4" s="218" t="s">
        <v>192</v>
      </c>
      <c r="M4" s="219" t="s">
        <v>1389</v>
      </c>
      <c r="N4" s="219">
        <v>1.79</v>
      </c>
      <c r="O4" s="219">
        <v>1.79</v>
      </c>
      <c r="P4" s="219">
        <v>1.79</v>
      </c>
      <c r="Q4" s="219">
        <v>1.79</v>
      </c>
      <c r="R4" s="219">
        <v>1.79</v>
      </c>
      <c r="S4" s="219">
        <v>1.79</v>
      </c>
      <c r="T4" s="219">
        <v>1.79</v>
      </c>
      <c r="U4" s="219">
        <v>1.79</v>
      </c>
      <c r="V4" s="219">
        <v>1.79</v>
      </c>
      <c r="W4" s="219">
        <v>1.79</v>
      </c>
      <c r="X4" s="219">
        <v>1.79</v>
      </c>
      <c r="Y4" s="219">
        <v>1.79</v>
      </c>
      <c r="Z4" s="219">
        <v>0</v>
      </c>
      <c r="AA4" s="219">
        <v>0</v>
      </c>
      <c r="AB4" s="219">
        <v>0</v>
      </c>
      <c r="AC4" s="219">
        <v>0</v>
      </c>
      <c r="AD4" s="219">
        <v>0</v>
      </c>
      <c r="AE4" s="219">
        <v>0</v>
      </c>
      <c r="AF4" s="219">
        <v>0</v>
      </c>
      <c r="AG4" s="219">
        <v>0</v>
      </c>
      <c r="AH4" s="219">
        <v>0</v>
      </c>
      <c r="AI4" s="219">
        <v>0</v>
      </c>
      <c r="AJ4" s="219">
        <v>0</v>
      </c>
      <c r="AK4" s="219">
        <v>0</v>
      </c>
      <c r="AL4" s="229">
        <v>6720</v>
      </c>
      <c r="AM4" s="219">
        <f t="shared" ref="AM4:AM68" si="5">Z4*AL4</f>
        <v>0</v>
      </c>
      <c r="AN4" s="229">
        <v>6720</v>
      </c>
      <c r="AO4" s="221">
        <f t="shared" ref="AO4:AO68" si="6">AN4*AA4</f>
        <v>0</v>
      </c>
      <c r="AP4" s="222">
        <v>11520</v>
      </c>
      <c r="AQ4" s="221">
        <f t="shared" ref="AQ4:AQ68" si="7">AP4*AB4</f>
        <v>0</v>
      </c>
      <c r="AR4" s="222">
        <v>13440</v>
      </c>
      <c r="AS4" s="58">
        <f t="shared" ref="AS4:AS68" si="8">AR4*AC4</f>
        <v>0</v>
      </c>
      <c r="AT4" s="222">
        <v>40320</v>
      </c>
      <c r="AU4" s="58">
        <f t="shared" ref="AU4:AU68" si="9">AT4*AD4</f>
        <v>0</v>
      </c>
      <c r="AV4" s="222" t="s">
        <v>573</v>
      </c>
      <c r="AW4" s="58">
        <f t="shared" ref="AW4:AW68" si="10">AV4*AE4</f>
        <v>0</v>
      </c>
      <c r="AX4" s="251" t="s">
        <v>573</v>
      </c>
      <c r="AY4" s="58">
        <f t="shared" ref="AY4:AY68" si="11">AX4*AF4</f>
        <v>0</v>
      </c>
      <c r="AZ4" s="222">
        <v>26880</v>
      </c>
      <c r="BA4" s="58">
        <f t="shared" si="0"/>
        <v>0</v>
      </c>
      <c r="BB4" s="222">
        <v>13440</v>
      </c>
      <c r="BC4" s="58">
        <f t="shared" si="1"/>
        <v>0</v>
      </c>
      <c r="BD4" s="222">
        <v>20160</v>
      </c>
      <c r="BE4" s="58">
        <f t="shared" si="2"/>
        <v>0</v>
      </c>
      <c r="BF4" s="222">
        <v>6720</v>
      </c>
      <c r="BG4" s="58">
        <f t="shared" si="3"/>
        <v>0</v>
      </c>
      <c r="BH4" s="223">
        <v>26880</v>
      </c>
      <c r="BI4" s="58">
        <f t="shared" si="4"/>
        <v>0</v>
      </c>
      <c r="BJ4" s="220">
        <f t="shared" ref="BJ4:BJ69" si="12">BH4+BF4+BD4+BB4+AZ4+AX4+AV4+AT4+AR4+AP4+AN4+AL4</f>
        <v>172800</v>
      </c>
      <c r="BK4" s="58"/>
      <c r="BL4" s="58" t="s">
        <v>896</v>
      </c>
      <c r="BM4" s="220" t="s">
        <v>1389</v>
      </c>
      <c r="BN4" s="213" t="s">
        <v>763</v>
      </c>
      <c r="BO4" s="58" t="s">
        <v>1210</v>
      </c>
      <c r="BP4" s="199">
        <v>45596</v>
      </c>
      <c r="BQ4" s="2" t="s">
        <v>1386</v>
      </c>
    </row>
    <row r="5" spans="1:69" ht="15.75" customHeight="1">
      <c r="A5" s="213" t="s">
        <v>788</v>
      </c>
      <c r="B5" s="58" t="s">
        <v>184</v>
      </c>
      <c r="C5" s="58" t="s">
        <v>752</v>
      </c>
      <c r="D5" s="214" t="s">
        <v>789</v>
      </c>
      <c r="E5" s="214" t="s">
        <v>789</v>
      </c>
      <c r="F5" s="215" t="s">
        <v>186</v>
      </c>
      <c r="G5" s="216">
        <v>2018</v>
      </c>
      <c r="H5" s="213" t="s">
        <v>791</v>
      </c>
      <c r="I5" s="213" t="s">
        <v>196</v>
      </c>
      <c r="J5" s="217" t="s">
        <v>890</v>
      </c>
      <c r="K5" s="213" t="s">
        <v>191</v>
      </c>
      <c r="L5" s="218" t="s">
        <v>192</v>
      </c>
      <c r="M5" s="219" t="s">
        <v>1388</v>
      </c>
      <c r="N5" s="219">
        <v>2.04</v>
      </c>
      <c r="O5" s="219">
        <v>2.04</v>
      </c>
      <c r="P5" s="219">
        <v>2.04</v>
      </c>
      <c r="Q5" s="219">
        <v>2.04</v>
      </c>
      <c r="R5" s="219">
        <v>2.04</v>
      </c>
      <c r="S5" s="219">
        <v>2.04</v>
      </c>
      <c r="T5" s="219">
        <v>2.04</v>
      </c>
      <c r="U5" s="219">
        <v>2.04</v>
      </c>
      <c r="V5" s="219">
        <v>2.04</v>
      </c>
      <c r="W5" s="219">
        <v>2.04</v>
      </c>
      <c r="X5" s="219">
        <v>2.04</v>
      </c>
      <c r="Y5" s="219">
        <v>2.04</v>
      </c>
      <c r="Z5" s="219">
        <v>0</v>
      </c>
      <c r="AA5" s="219">
        <v>0</v>
      </c>
      <c r="AB5" s="219">
        <v>0</v>
      </c>
      <c r="AC5" s="219">
        <v>0</v>
      </c>
      <c r="AD5" s="219">
        <v>0</v>
      </c>
      <c r="AE5" s="219">
        <v>0</v>
      </c>
      <c r="AF5" s="219">
        <v>0</v>
      </c>
      <c r="AG5" s="219">
        <v>0</v>
      </c>
      <c r="AH5" s="219">
        <v>0</v>
      </c>
      <c r="AI5" s="219">
        <v>0</v>
      </c>
      <c r="AJ5" s="219">
        <v>0</v>
      </c>
      <c r="AK5" s="219">
        <v>0</v>
      </c>
      <c r="AL5" s="229" t="s">
        <v>573</v>
      </c>
      <c r="AM5" s="219">
        <f t="shared" si="5"/>
        <v>0</v>
      </c>
      <c r="AN5" s="229">
        <v>2880</v>
      </c>
      <c r="AO5" s="221">
        <f t="shared" si="6"/>
        <v>0</v>
      </c>
      <c r="AP5" s="222" t="s">
        <v>573</v>
      </c>
      <c r="AQ5" s="221">
        <f t="shared" si="7"/>
        <v>0</v>
      </c>
      <c r="AR5" s="222" t="s">
        <v>573</v>
      </c>
      <c r="AS5" s="58">
        <f t="shared" si="8"/>
        <v>0</v>
      </c>
      <c r="AT5" s="222" t="s">
        <v>573</v>
      </c>
      <c r="AU5" s="58">
        <f t="shared" si="9"/>
        <v>0</v>
      </c>
      <c r="AV5" s="222">
        <v>2880</v>
      </c>
      <c r="AW5" s="58">
        <f t="shared" si="10"/>
        <v>0</v>
      </c>
      <c r="AX5" s="251" t="s">
        <v>573</v>
      </c>
      <c r="AY5" s="58">
        <f t="shared" si="11"/>
        <v>0</v>
      </c>
      <c r="AZ5" s="222" t="s">
        <v>573</v>
      </c>
      <c r="BA5" s="58">
        <f t="shared" si="0"/>
        <v>0</v>
      </c>
      <c r="BB5" s="222">
        <v>2880</v>
      </c>
      <c r="BC5" s="58">
        <f t="shared" si="1"/>
        <v>0</v>
      </c>
      <c r="BD5" s="222">
        <v>2880</v>
      </c>
      <c r="BE5" s="58">
        <f t="shared" si="2"/>
        <v>0</v>
      </c>
      <c r="BF5" s="222" t="s">
        <v>573</v>
      </c>
      <c r="BG5" s="58">
        <f t="shared" si="3"/>
        <v>0</v>
      </c>
      <c r="BH5" s="223">
        <v>2880</v>
      </c>
      <c r="BI5" s="58">
        <f t="shared" si="4"/>
        <v>0</v>
      </c>
      <c r="BJ5" s="220">
        <f t="shared" si="12"/>
        <v>14400</v>
      </c>
      <c r="BK5" s="58"/>
      <c r="BL5" s="58" t="s">
        <v>897</v>
      </c>
      <c r="BM5" s="220" t="s">
        <v>1388</v>
      </c>
      <c r="BN5" s="213" t="s">
        <v>807</v>
      </c>
      <c r="BO5" s="58" t="s">
        <v>1211</v>
      </c>
      <c r="BP5" s="199">
        <v>45596</v>
      </c>
      <c r="BQ5" s="2" t="s">
        <v>1386</v>
      </c>
    </row>
    <row r="6" spans="1:69" ht="15" customHeight="1">
      <c r="A6" s="213" t="s">
        <v>788</v>
      </c>
      <c r="B6" s="58" t="s">
        <v>199</v>
      </c>
      <c r="C6" s="58" t="s">
        <v>752</v>
      </c>
      <c r="D6" s="214" t="s">
        <v>789</v>
      </c>
      <c r="E6" s="214" t="s">
        <v>789</v>
      </c>
      <c r="F6" s="215" t="s">
        <v>186</v>
      </c>
      <c r="G6" s="216">
        <v>2020</v>
      </c>
      <c r="H6" s="218" t="s">
        <v>200</v>
      </c>
      <c r="I6" s="218" t="s">
        <v>201</v>
      </c>
      <c r="J6" s="217" t="s">
        <v>890</v>
      </c>
      <c r="K6" s="213" t="s">
        <v>753</v>
      </c>
      <c r="L6" s="213" t="s">
        <v>192</v>
      </c>
      <c r="M6" s="219" t="s">
        <v>1388</v>
      </c>
      <c r="N6" s="219">
        <v>9</v>
      </c>
      <c r="O6" s="219">
        <v>9</v>
      </c>
      <c r="P6" s="219">
        <v>9</v>
      </c>
      <c r="Q6" s="219">
        <v>9</v>
      </c>
      <c r="R6" s="219">
        <v>9</v>
      </c>
      <c r="S6" s="219">
        <v>9</v>
      </c>
      <c r="T6" s="219">
        <v>9</v>
      </c>
      <c r="U6" s="219">
        <v>9</v>
      </c>
      <c r="V6" s="219">
        <v>9</v>
      </c>
      <c r="W6" s="219">
        <v>9</v>
      </c>
      <c r="X6" s="219">
        <v>9</v>
      </c>
      <c r="Y6" s="219">
        <v>9</v>
      </c>
      <c r="Z6" s="219">
        <v>0.18</v>
      </c>
      <c r="AA6" s="219">
        <v>0.18</v>
      </c>
      <c r="AB6" s="219">
        <v>0.18</v>
      </c>
      <c r="AC6" s="219">
        <v>0.18</v>
      </c>
      <c r="AD6" s="219">
        <v>0.18</v>
      </c>
      <c r="AE6" s="219">
        <v>0.18</v>
      </c>
      <c r="AF6" s="219">
        <v>0.18</v>
      </c>
      <c r="AG6" s="219">
        <v>0.18</v>
      </c>
      <c r="AH6" s="219">
        <v>0.18</v>
      </c>
      <c r="AI6" s="219">
        <v>0.18</v>
      </c>
      <c r="AJ6" s="219">
        <v>0.18</v>
      </c>
      <c r="AK6" s="219">
        <v>0.18</v>
      </c>
      <c r="AL6" s="229">
        <v>2560</v>
      </c>
      <c r="AM6" s="219">
        <f t="shared" si="5"/>
        <v>460.79999999999995</v>
      </c>
      <c r="AN6" s="229" t="s">
        <v>573</v>
      </c>
      <c r="AO6" s="221">
        <f t="shared" si="6"/>
        <v>0</v>
      </c>
      <c r="AP6" s="222">
        <v>1280</v>
      </c>
      <c r="AQ6" s="221">
        <f t="shared" si="7"/>
        <v>230.39999999999998</v>
      </c>
      <c r="AR6" s="222" t="s">
        <v>573</v>
      </c>
      <c r="AS6" s="58">
        <f t="shared" si="8"/>
        <v>0</v>
      </c>
      <c r="AT6" s="222" t="s">
        <v>573</v>
      </c>
      <c r="AU6" s="58">
        <f t="shared" si="9"/>
        <v>0</v>
      </c>
      <c r="AV6" s="222">
        <v>1280</v>
      </c>
      <c r="AW6" s="58">
        <f t="shared" si="10"/>
        <v>230.39999999999998</v>
      </c>
      <c r="AX6" s="251" t="s">
        <v>573</v>
      </c>
      <c r="AY6" s="58">
        <f t="shared" si="11"/>
        <v>0</v>
      </c>
      <c r="AZ6" s="222" t="s">
        <v>573</v>
      </c>
      <c r="BA6" s="58">
        <f t="shared" si="0"/>
        <v>0</v>
      </c>
      <c r="BB6" s="222">
        <v>1280</v>
      </c>
      <c r="BC6" s="58">
        <f t="shared" si="1"/>
        <v>230.39999999999998</v>
      </c>
      <c r="BD6" s="222" t="s">
        <v>573</v>
      </c>
      <c r="BE6" s="58">
        <f t="shared" si="2"/>
        <v>0</v>
      </c>
      <c r="BF6" s="222">
        <v>1280</v>
      </c>
      <c r="BG6" s="58">
        <f t="shared" si="3"/>
        <v>230.39999999999998</v>
      </c>
      <c r="BH6" s="223" t="s">
        <v>573</v>
      </c>
      <c r="BI6" s="58">
        <f t="shared" si="4"/>
        <v>0</v>
      </c>
      <c r="BJ6" s="220">
        <f t="shared" si="12"/>
        <v>7680</v>
      </c>
      <c r="BK6" s="58"/>
      <c r="BL6" s="58" t="s">
        <v>898</v>
      </c>
      <c r="BM6" s="220" t="s">
        <v>1388</v>
      </c>
      <c r="BN6" s="213" t="s">
        <v>754</v>
      </c>
      <c r="BO6" s="58" t="s">
        <v>1131</v>
      </c>
      <c r="BP6" s="199"/>
      <c r="BQ6" s="2" t="s">
        <v>1386</v>
      </c>
    </row>
    <row r="7" spans="1:69" ht="15.75" customHeight="1">
      <c r="A7" s="213" t="s">
        <v>788</v>
      </c>
      <c r="B7" s="58" t="s">
        <v>199</v>
      </c>
      <c r="C7" s="58" t="s">
        <v>752</v>
      </c>
      <c r="D7" s="214" t="s">
        <v>789</v>
      </c>
      <c r="E7" s="214" t="s">
        <v>789</v>
      </c>
      <c r="F7" s="215" t="s">
        <v>186</v>
      </c>
      <c r="G7" s="216">
        <v>2020</v>
      </c>
      <c r="H7" s="218" t="s">
        <v>200</v>
      </c>
      <c r="I7" s="218" t="s">
        <v>201</v>
      </c>
      <c r="J7" s="217" t="s">
        <v>890</v>
      </c>
      <c r="K7" s="213" t="s">
        <v>753</v>
      </c>
      <c r="L7" s="213" t="s">
        <v>192</v>
      </c>
      <c r="M7" s="219" t="s">
        <v>1390</v>
      </c>
      <c r="N7" s="219">
        <v>9.01</v>
      </c>
      <c r="O7" s="219">
        <v>9.01</v>
      </c>
      <c r="P7" s="219">
        <v>9.01</v>
      </c>
      <c r="Q7" s="219">
        <v>9.01</v>
      </c>
      <c r="R7" s="219">
        <v>9.01</v>
      </c>
      <c r="S7" s="219">
        <v>9.01</v>
      </c>
      <c r="T7" s="219">
        <v>9.01</v>
      </c>
      <c r="U7" s="219">
        <v>9.01</v>
      </c>
      <c r="V7" s="219">
        <v>9.01</v>
      </c>
      <c r="W7" s="219">
        <v>9.01</v>
      </c>
      <c r="X7" s="219">
        <v>9.01</v>
      </c>
      <c r="Y7" s="219">
        <v>9.01</v>
      </c>
      <c r="Z7" s="219">
        <v>0.18</v>
      </c>
      <c r="AA7" s="219">
        <v>0.18</v>
      </c>
      <c r="AB7" s="219">
        <v>0.18</v>
      </c>
      <c r="AC7" s="219">
        <v>0.18</v>
      </c>
      <c r="AD7" s="219">
        <v>0.18</v>
      </c>
      <c r="AE7" s="219">
        <v>0.18</v>
      </c>
      <c r="AF7" s="219">
        <v>0.18</v>
      </c>
      <c r="AG7" s="219">
        <v>0.18</v>
      </c>
      <c r="AH7" s="219">
        <v>0.18</v>
      </c>
      <c r="AI7" s="219">
        <v>0.18</v>
      </c>
      <c r="AJ7" s="219">
        <v>0.18</v>
      </c>
      <c r="AK7" s="219">
        <v>0.18</v>
      </c>
      <c r="AL7" s="229">
        <v>69000</v>
      </c>
      <c r="AM7" s="219">
        <f t="shared" si="5"/>
        <v>12420</v>
      </c>
      <c r="AN7" s="229">
        <v>29000</v>
      </c>
      <c r="AO7" s="221">
        <f t="shared" si="6"/>
        <v>5220</v>
      </c>
      <c r="AP7" s="222">
        <v>16000</v>
      </c>
      <c r="AQ7" s="221">
        <f t="shared" si="7"/>
        <v>2880</v>
      </c>
      <c r="AR7" s="222">
        <v>19000</v>
      </c>
      <c r="AS7" s="58">
        <f t="shared" si="8"/>
        <v>3420</v>
      </c>
      <c r="AT7" s="222">
        <v>34580</v>
      </c>
      <c r="AU7" s="58">
        <f t="shared" si="9"/>
        <v>6224.4</v>
      </c>
      <c r="AV7" s="222">
        <v>22100</v>
      </c>
      <c r="AW7" s="58">
        <f t="shared" si="10"/>
        <v>3978</v>
      </c>
      <c r="AX7" s="251">
        <v>20500</v>
      </c>
      <c r="AY7" s="58">
        <f t="shared" si="11"/>
        <v>3690</v>
      </c>
      <c r="AZ7" s="222">
        <v>19000</v>
      </c>
      <c r="BA7" s="58">
        <f t="shared" si="0"/>
        <v>3420</v>
      </c>
      <c r="BB7" s="222">
        <v>20500</v>
      </c>
      <c r="BC7" s="58">
        <f t="shared" si="1"/>
        <v>3690</v>
      </c>
      <c r="BD7" s="222">
        <v>29880</v>
      </c>
      <c r="BE7" s="58">
        <f t="shared" si="2"/>
        <v>5378.4</v>
      </c>
      <c r="BF7" s="222">
        <v>32100</v>
      </c>
      <c r="BG7" s="58">
        <f t="shared" si="3"/>
        <v>5778</v>
      </c>
      <c r="BH7" s="223">
        <v>21000</v>
      </c>
      <c r="BI7" s="58">
        <f t="shared" si="4"/>
        <v>3780</v>
      </c>
      <c r="BJ7" s="220">
        <f t="shared" si="12"/>
        <v>332660</v>
      </c>
      <c r="BK7" s="58"/>
      <c r="BL7" s="58" t="s">
        <v>1132</v>
      </c>
      <c r="BM7" s="220" t="s">
        <v>1390</v>
      </c>
      <c r="BN7" s="213" t="s">
        <v>763</v>
      </c>
      <c r="BO7" s="58" t="s">
        <v>1133</v>
      </c>
      <c r="BP7" s="199">
        <v>45961</v>
      </c>
      <c r="BQ7" s="2" t="s">
        <v>1386</v>
      </c>
    </row>
    <row r="8" spans="1:69" ht="14.85" customHeight="1">
      <c r="A8" s="213" t="s">
        <v>788</v>
      </c>
      <c r="B8" s="58" t="s">
        <v>199</v>
      </c>
      <c r="C8" s="58" t="s">
        <v>752</v>
      </c>
      <c r="D8" s="214" t="s">
        <v>789</v>
      </c>
      <c r="E8" s="214" t="s">
        <v>789</v>
      </c>
      <c r="F8" s="215" t="s">
        <v>186</v>
      </c>
      <c r="G8" s="216">
        <v>2020</v>
      </c>
      <c r="H8" s="218" t="s">
        <v>208</v>
      </c>
      <c r="I8" s="218" t="s">
        <v>201</v>
      </c>
      <c r="J8" s="217" t="s">
        <v>890</v>
      </c>
      <c r="K8" s="213" t="s">
        <v>755</v>
      </c>
      <c r="L8" s="213" t="s">
        <v>192</v>
      </c>
      <c r="M8" s="219" t="s">
        <v>1390</v>
      </c>
      <c r="N8" s="219">
        <v>10.92</v>
      </c>
      <c r="O8" s="219">
        <v>10.92</v>
      </c>
      <c r="P8" s="219">
        <v>10.92</v>
      </c>
      <c r="Q8" s="219">
        <v>10.92</v>
      </c>
      <c r="R8" s="219">
        <v>10.92</v>
      </c>
      <c r="S8" s="219">
        <v>10.92</v>
      </c>
      <c r="T8" s="219">
        <v>10.92</v>
      </c>
      <c r="U8" s="219">
        <v>10.92</v>
      </c>
      <c r="V8" s="219">
        <v>10.92</v>
      </c>
      <c r="W8" s="219">
        <v>10.92</v>
      </c>
      <c r="X8" s="219">
        <v>10.92</v>
      </c>
      <c r="Y8" s="219">
        <v>10.92</v>
      </c>
      <c r="Z8" s="219">
        <v>0.21</v>
      </c>
      <c r="AA8" s="219">
        <v>0.21</v>
      </c>
      <c r="AB8" s="219">
        <v>0.21</v>
      </c>
      <c r="AC8" s="219">
        <v>0.21</v>
      </c>
      <c r="AD8" s="219">
        <v>0.21</v>
      </c>
      <c r="AE8" s="219">
        <v>0.21</v>
      </c>
      <c r="AF8" s="219">
        <v>0.21</v>
      </c>
      <c r="AG8" s="219">
        <v>0.21</v>
      </c>
      <c r="AH8" s="219">
        <v>0.21</v>
      </c>
      <c r="AI8" s="219">
        <v>0.21</v>
      </c>
      <c r="AJ8" s="219">
        <v>0.21</v>
      </c>
      <c r="AK8" s="219">
        <v>0.21</v>
      </c>
      <c r="AL8" s="229">
        <v>8640</v>
      </c>
      <c r="AM8" s="219">
        <f t="shared" si="5"/>
        <v>1814.3999999999999</v>
      </c>
      <c r="AN8" s="229">
        <v>9760</v>
      </c>
      <c r="AO8" s="221">
        <f t="shared" si="6"/>
        <v>2049.6</v>
      </c>
      <c r="AP8" s="222">
        <v>14880</v>
      </c>
      <c r="AQ8" s="221">
        <f t="shared" si="7"/>
        <v>3124.7999999999997</v>
      </c>
      <c r="AR8" s="222">
        <v>23500</v>
      </c>
      <c r="AS8" s="58">
        <f t="shared" si="8"/>
        <v>4935</v>
      </c>
      <c r="AT8" s="222">
        <v>2880</v>
      </c>
      <c r="AU8" s="58">
        <f t="shared" si="9"/>
        <v>604.79999999999995</v>
      </c>
      <c r="AV8" s="222" t="s">
        <v>573</v>
      </c>
      <c r="AW8" s="58">
        <f t="shared" si="10"/>
        <v>0</v>
      </c>
      <c r="AX8" s="251">
        <v>11060</v>
      </c>
      <c r="AY8" s="58">
        <f t="shared" si="11"/>
        <v>2322.6</v>
      </c>
      <c r="AZ8" s="222" t="s">
        <v>573</v>
      </c>
      <c r="BA8" s="58">
        <f t="shared" si="0"/>
        <v>0</v>
      </c>
      <c r="BB8" s="222">
        <v>5760</v>
      </c>
      <c r="BC8" s="58">
        <f t="shared" si="1"/>
        <v>1209.5999999999999</v>
      </c>
      <c r="BD8" s="222" t="s">
        <v>573</v>
      </c>
      <c r="BE8" s="58">
        <f t="shared" si="2"/>
        <v>0</v>
      </c>
      <c r="BF8" s="222" t="s">
        <v>573</v>
      </c>
      <c r="BG8" s="58">
        <f t="shared" si="3"/>
        <v>0</v>
      </c>
      <c r="BH8" s="223" t="s">
        <v>573</v>
      </c>
      <c r="BI8" s="58">
        <f t="shared" si="4"/>
        <v>0</v>
      </c>
      <c r="BJ8" s="220">
        <f t="shared" si="12"/>
        <v>76480</v>
      </c>
      <c r="BK8" s="58"/>
      <c r="BL8" s="58" t="s">
        <v>1135</v>
      </c>
      <c r="BM8" s="220" t="s">
        <v>1390</v>
      </c>
      <c r="BN8" s="213" t="s">
        <v>763</v>
      </c>
      <c r="BO8" s="58" t="s">
        <v>1134</v>
      </c>
      <c r="BP8" s="199">
        <v>45961</v>
      </c>
      <c r="BQ8" s="2" t="s">
        <v>1386</v>
      </c>
    </row>
    <row r="9" spans="1:69" ht="15.75" customHeight="1">
      <c r="A9" s="213" t="s">
        <v>788</v>
      </c>
      <c r="B9" s="58" t="s">
        <v>199</v>
      </c>
      <c r="C9" s="58" t="s">
        <v>752</v>
      </c>
      <c r="D9" s="214" t="s">
        <v>789</v>
      </c>
      <c r="E9" s="214" t="s">
        <v>789</v>
      </c>
      <c r="F9" s="215" t="s">
        <v>186</v>
      </c>
      <c r="G9" s="216">
        <v>2021</v>
      </c>
      <c r="H9" s="218" t="s">
        <v>891</v>
      </c>
      <c r="I9" s="218" t="s">
        <v>212</v>
      </c>
      <c r="J9" s="217" t="s">
        <v>890</v>
      </c>
      <c r="K9" s="213" t="s">
        <v>753</v>
      </c>
      <c r="L9" s="218" t="s">
        <v>192</v>
      </c>
      <c r="M9" s="219" t="s">
        <v>1390</v>
      </c>
      <c r="N9" s="219">
        <v>7.58</v>
      </c>
      <c r="O9" s="219">
        <v>7.58</v>
      </c>
      <c r="P9" s="219">
        <v>7.58</v>
      </c>
      <c r="Q9" s="219">
        <v>7.58</v>
      </c>
      <c r="R9" s="219">
        <v>7.58</v>
      </c>
      <c r="S9" s="219">
        <v>7.58</v>
      </c>
      <c r="T9" s="219">
        <v>7.58</v>
      </c>
      <c r="U9" s="219">
        <v>7.58</v>
      </c>
      <c r="V9" s="219">
        <v>7.58</v>
      </c>
      <c r="W9" s="219">
        <v>7.58</v>
      </c>
      <c r="X9" s="219">
        <v>7.58</v>
      </c>
      <c r="Y9" s="219">
        <v>7.58</v>
      </c>
      <c r="Z9" s="219">
        <v>0.15</v>
      </c>
      <c r="AA9" s="219">
        <v>0.15</v>
      </c>
      <c r="AB9" s="219">
        <v>0.15</v>
      </c>
      <c r="AC9" s="219">
        <v>0.15</v>
      </c>
      <c r="AD9" s="219">
        <v>0.15</v>
      </c>
      <c r="AE9" s="219">
        <v>0.15</v>
      </c>
      <c r="AF9" s="219">
        <v>0.15</v>
      </c>
      <c r="AG9" s="219">
        <v>0.15</v>
      </c>
      <c r="AH9" s="219">
        <v>0.15</v>
      </c>
      <c r="AI9" s="219">
        <v>0.15</v>
      </c>
      <c r="AJ9" s="219">
        <v>0.15</v>
      </c>
      <c r="AK9" s="219">
        <v>0.15</v>
      </c>
      <c r="AL9" s="229">
        <v>3840</v>
      </c>
      <c r="AM9" s="219">
        <f t="shared" si="5"/>
        <v>576</v>
      </c>
      <c r="AN9" s="229">
        <v>3840</v>
      </c>
      <c r="AO9" s="221">
        <f t="shared" si="6"/>
        <v>576</v>
      </c>
      <c r="AP9" s="222">
        <v>5560</v>
      </c>
      <c r="AQ9" s="221">
        <f t="shared" si="7"/>
        <v>834</v>
      </c>
      <c r="AR9" s="222">
        <v>5280</v>
      </c>
      <c r="AS9" s="58">
        <f t="shared" si="8"/>
        <v>792</v>
      </c>
      <c r="AT9" s="222">
        <v>2680</v>
      </c>
      <c r="AU9" s="58">
        <f t="shared" si="9"/>
        <v>402</v>
      </c>
      <c r="AV9" s="222">
        <v>5760</v>
      </c>
      <c r="AW9" s="58">
        <f t="shared" si="10"/>
        <v>864</v>
      </c>
      <c r="AX9" s="251">
        <v>3860</v>
      </c>
      <c r="AY9" s="58">
        <f t="shared" si="11"/>
        <v>579</v>
      </c>
      <c r="AZ9" s="222">
        <v>2000</v>
      </c>
      <c r="BA9" s="58">
        <f t="shared" si="0"/>
        <v>300</v>
      </c>
      <c r="BB9" s="222">
        <v>3840</v>
      </c>
      <c r="BC9" s="58">
        <f t="shared" si="1"/>
        <v>576</v>
      </c>
      <c r="BD9" s="222">
        <v>1280</v>
      </c>
      <c r="BE9" s="58">
        <f t="shared" si="2"/>
        <v>192</v>
      </c>
      <c r="BF9" s="222">
        <v>4980</v>
      </c>
      <c r="BG9" s="58">
        <f t="shared" si="3"/>
        <v>747</v>
      </c>
      <c r="BH9" s="223" t="s">
        <v>573</v>
      </c>
      <c r="BI9" s="58">
        <f t="shared" si="4"/>
        <v>0</v>
      </c>
      <c r="BJ9" s="220">
        <f t="shared" si="12"/>
        <v>42920</v>
      </c>
      <c r="BK9" s="58"/>
      <c r="BL9" s="58" t="s">
        <v>1136</v>
      </c>
      <c r="BM9" s="220" t="s">
        <v>1390</v>
      </c>
      <c r="BN9" s="213" t="s">
        <v>763</v>
      </c>
      <c r="BO9" s="58" t="s">
        <v>892</v>
      </c>
      <c r="BP9" s="199">
        <v>45961</v>
      </c>
      <c r="BQ9" s="2" t="s">
        <v>1386</v>
      </c>
    </row>
    <row r="10" spans="1:69" ht="15.75" customHeight="1">
      <c r="A10" s="213" t="s">
        <v>788</v>
      </c>
      <c r="B10" s="58" t="s">
        <v>184</v>
      </c>
      <c r="C10" s="58" t="s">
        <v>752</v>
      </c>
      <c r="D10" s="214" t="s">
        <v>789</v>
      </c>
      <c r="E10" s="214" t="s">
        <v>789</v>
      </c>
      <c r="F10" s="215" t="s">
        <v>186</v>
      </c>
      <c r="G10" s="216">
        <v>2020</v>
      </c>
      <c r="H10" s="218" t="s">
        <v>215</v>
      </c>
      <c r="I10" s="218" t="s">
        <v>196</v>
      </c>
      <c r="J10" s="217" t="s">
        <v>890</v>
      </c>
      <c r="K10" s="213" t="s">
        <v>218</v>
      </c>
      <c r="L10" s="213" t="s">
        <v>192</v>
      </c>
      <c r="M10" s="219" t="s">
        <v>1389</v>
      </c>
      <c r="N10" s="219">
        <v>30.45</v>
      </c>
      <c r="O10" s="219">
        <v>30.45</v>
      </c>
      <c r="P10" s="219">
        <v>30.45</v>
      </c>
      <c r="Q10" s="219">
        <v>30.45</v>
      </c>
      <c r="R10" s="219">
        <v>30.45</v>
      </c>
      <c r="S10" s="219">
        <v>30.45</v>
      </c>
      <c r="T10" s="219">
        <v>30.45</v>
      </c>
      <c r="U10" s="219">
        <v>30.45</v>
      </c>
      <c r="V10" s="219">
        <v>30.45</v>
      </c>
      <c r="W10" s="219">
        <v>30.45</v>
      </c>
      <c r="X10" s="219">
        <v>30.45</v>
      </c>
      <c r="Y10" s="219">
        <v>30.45</v>
      </c>
      <c r="Z10" s="219">
        <v>7.0000000000000007E-2</v>
      </c>
      <c r="AA10" s="219">
        <v>7.0000000000000007E-2</v>
      </c>
      <c r="AB10" s="219">
        <v>7.0000000000000007E-2</v>
      </c>
      <c r="AC10" s="219">
        <v>7.0000000000000007E-2</v>
      </c>
      <c r="AD10" s="219">
        <v>7.0000000000000007E-2</v>
      </c>
      <c r="AE10" s="219">
        <v>7.0000000000000007E-2</v>
      </c>
      <c r="AF10" s="219">
        <v>7.0000000000000007E-2</v>
      </c>
      <c r="AG10" s="219">
        <v>7.0000000000000007E-2</v>
      </c>
      <c r="AH10" s="219">
        <v>7.0000000000000007E-2</v>
      </c>
      <c r="AI10" s="219">
        <v>7.0000000000000007E-2</v>
      </c>
      <c r="AJ10" s="219">
        <v>7.0000000000000007E-2</v>
      </c>
      <c r="AK10" s="219">
        <v>7.0000000000000007E-2</v>
      </c>
      <c r="AL10" s="229" t="s">
        <v>573</v>
      </c>
      <c r="AM10" s="219">
        <f t="shared" si="5"/>
        <v>0</v>
      </c>
      <c r="AN10" s="229" t="s">
        <v>573</v>
      </c>
      <c r="AO10" s="221">
        <f t="shared" si="6"/>
        <v>0</v>
      </c>
      <c r="AP10" s="222" t="s">
        <v>573</v>
      </c>
      <c r="AQ10" s="221">
        <f t="shared" si="7"/>
        <v>0</v>
      </c>
      <c r="AR10" s="222" t="s">
        <v>573</v>
      </c>
      <c r="AS10" s="58">
        <f t="shared" si="8"/>
        <v>0</v>
      </c>
      <c r="AT10" s="222" t="s">
        <v>573</v>
      </c>
      <c r="AU10" s="58">
        <f t="shared" si="9"/>
        <v>0</v>
      </c>
      <c r="AV10" s="222" t="s">
        <v>573</v>
      </c>
      <c r="AW10" s="58">
        <f t="shared" si="10"/>
        <v>0</v>
      </c>
      <c r="AX10" s="251" t="s">
        <v>573</v>
      </c>
      <c r="AY10" s="58">
        <f t="shared" si="11"/>
        <v>0</v>
      </c>
      <c r="AZ10" s="222" t="s">
        <v>573</v>
      </c>
      <c r="BA10" s="58">
        <f t="shared" si="0"/>
        <v>0</v>
      </c>
      <c r="BB10" s="222" t="s">
        <v>573</v>
      </c>
      <c r="BC10" s="58">
        <f t="shared" si="1"/>
        <v>0</v>
      </c>
      <c r="BD10" s="222" t="s">
        <v>573</v>
      </c>
      <c r="BE10" s="58">
        <f t="shared" si="2"/>
        <v>0</v>
      </c>
      <c r="BF10" s="222" t="s">
        <v>573</v>
      </c>
      <c r="BG10" s="58">
        <f t="shared" si="3"/>
        <v>0</v>
      </c>
      <c r="BH10" s="223" t="s">
        <v>573</v>
      </c>
      <c r="BI10" s="58">
        <f t="shared" si="4"/>
        <v>0</v>
      </c>
      <c r="BJ10" s="220">
        <f t="shared" si="12"/>
        <v>0</v>
      </c>
      <c r="BK10" s="58"/>
      <c r="BL10" s="58" t="s">
        <v>899</v>
      </c>
      <c r="BM10" s="220" t="s">
        <v>1389</v>
      </c>
      <c r="BN10" s="213" t="s">
        <v>763</v>
      </c>
      <c r="BO10" s="58" t="s">
        <v>1212</v>
      </c>
      <c r="BP10" s="199">
        <v>45838</v>
      </c>
      <c r="BQ10" s="2" t="s">
        <v>1386</v>
      </c>
    </row>
    <row r="11" spans="1:69" ht="15.75" customHeight="1">
      <c r="A11" s="213" t="s">
        <v>788</v>
      </c>
      <c r="B11" s="58" t="s">
        <v>184</v>
      </c>
      <c r="C11" s="58" t="s">
        <v>752</v>
      </c>
      <c r="D11" s="214" t="s">
        <v>789</v>
      </c>
      <c r="E11" s="214" t="s">
        <v>789</v>
      </c>
      <c r="F11" s="215" t="s">
        <v>186</v>
      </c>
      <c r="G11" s="216">
        <v>2020</v>
      </c>
      <c r="H11" s="218" t="s">
        <v>215</v>
      </c>
      <c r="I11" s="218" t="s">
        <v>196</v>
      </c>
      <c r="J11" s="217" t="s">
        <v>890</v>
      </c>
      <c r="K11" s="213" t="s">
        <v>216</v>
      </c>
      <c r="L11" s="213" t="s">
        <v>192</v>
      </c>
      <c r="M11" s="219" t="s">
        <v>1389</v>
      </c>
      <c r="N11" s="219">
        <v>30.35</v>
      </c>
      <c r="O11" s="219">
        <v>30.35</v>
      </c>
      <c r="P11" s="219">
        <v>30.35</v>
      </c>
      <c r="Q11" s="219">
        <v>30.35</v>
      </c>
      <c r="R11" s="219">
        <v>30.35</v>
      </c>
      <c r="S11" s="219">
        <v>30.35</v>
      </c>
      <c r="T11" s="219">
        <v>30.35</v>
      </c>
      <c r="U11" s="219">
        <v>30.35</v>
      </c>
      <c r="V11" s="219">
        <v>30.35</v>
      </c>
      <c r="W11" s="219">
        <v>30.35</v>
      </c>
      <c r="X11" s="219">
        <v>30.35</v>
      </c>
      <c r="Y11" s="219">
        <v>30.35</v>
      </c>
      <c r="Z11" s="219">
        <v>7.0000000000000007E-2</v>
      </c>
      <c r="AA11" s="219">
        <v>7.0000000000000007E-2</v>
      </c>
      <c r="AB11" s="219">
        <v>7.0000000000000007E-2</v>
      </c>
      <c r="AC11" s="219">
        <v>7.0000000000000007E-2</v>
      </c>
      <c r="AD11" s="219">
        <v>7.0000000000000007E-2</v>
      </c>
      <c r="AE11" s="219">
        <v>7.0000000000000007E-2</v>
      </c>
      <c r="AF11" s="219">
        <v>7.0000000000000007E-2</v>
      </c>
      <c r="AG11" s="219">
        <v>7.0000000000000007E-2</v>
      </c>
      <c r="AH11" s="219">
        <v>7.0000000000000007E-2</v>
      </c>
      <c r="AI11" s="219">
        <v>7.0000000000000007E-2</v>
      </c>
      <c r="AJ11" s="219">
        <v>7.0000000000000007E-2</v>
      </c>
      <c r="AK11" s="219">
        <v>7.0000000000000007E-2</v>
      </c>
      <c r="AL11" s="229">
        <v>1008</v>
      </c>
      <c r="AM11" s="219">
        <f t="shared" si="5"/>
        <v>70.56</v>
      </c>
      <c r="AN11" s="229" t="s">
        <v>573</v>
      </c>
      <c r="AO11" s="221">
        <f t="shared" si="6"/>
        <v>0</v>
      </c>
      <c r="AP11" s="222">
        <v>1008</v>
      </c>
      <c r="AQ11" s="221">
        <f t="shared" si="7"/>
        <v>70.56</v>
      </c>
      <c r="AR11" s="222" t="s">
        <v>573</v>
      </c>
      <c r="AS11" s="58">
        <f t="shared" si="8"/>
        <v>0</v>
      </c>
      <c r="AT11" s="222">
        <v>1008</v>
      </c>
      <c r="AU11" s="58">
        <f t="shared" si="9"/>
        <v>70.56</v>
      </c>
      <c r="AV11" s="222" t="s">
        <v>573</v>
      </c>
      <c r="AW11" s="58">
        <f t="shared" si="10"/>
        <v>0</v>
      </c>
      <c r="AX11" s="251">
        <v>1008</v>
      </c>
      <c r="AY11" s="58">
        <f t="shared" si="11"/>
        <v>70.56</v>
      </c>
      <c r="AZ11" s="222" t="s">
        <v>573</v>
      </c>
      <c r="BA11" s="58">
        <f t="shared" si="0"/>
        <v>0</v>
      </c>
      <c r="BB11" s="222" t="s">
        <v>573</v>
      </c>
      <c r="BC11" s="58">
        <f t="shared" si="1"/>
        <v>0</v>
      </c>
      <c r="BD11" s="222" t="s">
        <v>573</v>
      </c>
      <c r="BE11" s="58">
        <f t="shared" si="2"/>
        <v>0</v>
      </c>
      <c r="BF11" s="222" t="s">
        <v>573</v>
      </c>
      <c r="BG11" s="58">
        <f t="shared" si="3"/>
        <v>0</v>
      </c>
      <c r="BH11" s="223" t="s">
        <v>573</v>
      </c>
      <c r="BI11" s="58">
        <f t="shared" si="4"/>
        <v>0</v>
      </c>
      <c r="BJ11" s="220">
        <f t="shared" si="12"/>
        <v>4032</v>
      </c>
      <c r="BK11" s="58"/>
      <c r="BL11" s="58" t="s">
        <v>900</v>
      </c>
      <c r="BM11" s="220" t="s">
        <v>1389</v>
      </c>
      <c r="BN11" s="213" t="s">
        <v>763</v>
      </c>
      <c r="BO11" s="58" t="s">
        <v>1213</v>
      </c>
      <c r="BP11" s="199">
        <v>45838</v>
      </c>
      <c r="BQ11" s="2" t="s">
        <v>1386</v>
      </c>
    </row>
    <row r="12" spans="1:69" ht="15.75" customHeight="1">
      <c r="A12" s="213" t="s">
        <v>788</v>
      </c>
      <c r="B12" s="58" t="s">
        <v>184</v>
      </c>
      <c r="C12" s="58" t="s">
        <v>752</v>
      </c>
      <c r="D12" s="214" t="s">
        <v>789</v>
      </c>
      <c r="E12" s="214" t="s">
        <v>789</v>
      </c>
      <c r="F12" s="215" t="s">
        <v>186</v>
      </c>
      <c r="G12" s="216">
        <v>2020</v>
      </c>
      <c r="H12" s="218" t="s">
        <v>215</v>
      </c>
      <c r="I12" s="218" t="s">
        <v>196</v>
      </c>
      <c r="J12" s="217" t="s">
        <v>890</v>
      </c>
      <c r="K12" s="213" t="s">
        <v>218</v>
      </c>
      <c r="L12" s="213" t="s">
        <v>192</v>
      </c>
      <c r="M12" s="219" t="s">
        <v>1391</v>
      </c>
      <c r="N12" s="219">
        <v>30.45</v>
      </c>
      <c r="O12" s="219">
        <v>30.45</v>
      </c>
      <c r="P12" s="219">
        <v>30.45</v>
      </c>
      <c r="Q12" s="219">
        <v>30.45</v>
      </c>
      <c r="R12" s="219">
        <v>30.45</v>
      </c>
      <c r="S12" s="219">
        <v>30.45</v>
      </c>
      <c r="T12" s="219">
        <v>30.45</v>
      </c>
      <c r="U12" s="219">
        <v>30.45</v>
      </c>
      <c r="V12" s="219">
        <v>30.45</v>
      </c>
      <c r="W12" s="219">
        <v>30.45</v>
      </c>
      <c r="X12" s="219">
        <v>30.45</v>
      </c>
      <c r="Y12" s="219">
        <v>30.45</v>
      </c>
      <c r="Z12" s="219">
        <v>7.0000000000000007E-2</v>
      </c>
      <c r="AA12" s="219">
        <v>7.0000000000000007E-2</v>
      </c>
      <c r="AB12" s="219">
        <v>7.0000000000000007E-2</v>
      </c>
      <c r="AC12" s="219">
        <v>7.0000000000000007E-2</v>
      </c>
      <c r="AD12" s="219">
        <v>7.0000000000000007E-2</v>
      </c>
      <c r="AE12" s="219">
        <v>7.0000000000000007E-2</v>
      </c>
      <c r="AF12" s="219">
        <v>7.0000000000000007E-2</v>
      </c>
      <c r="AG12" s="219">
        <v>7.0000000000000007E-2</v>
      </c>
      <c r="AH12" s="219">
        <v>7.0000000000000007E-2</v>
      </c>
      <c r="AI12" s="219">
        <v>7.0000000000000007E-2</v>
      </c>
      <c r="AJ12" s="219">
        <v>7.0000000000000007E-2</v>
      </c>
      <c r="AK12" s="219">
        <v>7.0000000000000007E-2</v>
      </c>
      <c r="AL12" s="229" t="s">
        <v>573</v>
      </c>
      <c r="AM12" s="219">
        <f t="shared" si="5"/>
        <v>0</v>
      </c>
      <c r="AN12" s="229" t="s">
        <v>573</v>
      </c>
      <c r="AO12" s="221">
        <f t="shared" si="6"/>
        <v>0</v>
      </c>
      <c r="AP12" s="222" t="s">
        <v>573</v>
      </c>
      <c r="AQ12" s="221">
        <f t="shared" si="7"/>
        <v>0</v>
      </c>
      <c r="AR12" s="222" t="s">
        <v>573</v>
      </c>
      <c r="AS12" s="58">
        <f t="shared" si="8"/>
        <v>0</v>
      </c>
      <c r="AT12" s="222" t="s">
        <v>573</v>
      </c>
      <c r="AU12" s="58">
        <f t="shared" si="9"/>
        <v>0</v>
      </c>
      <c r="AV12" s="222" t="s">
        <v>573</v>
      </c>
      <c r="AW12" s="58">
        <f t="shared" si="10"/>
        <v>0</v>
      </c>
      <c r="AX12" s="251" t="s">
        <v>573</v>
      </c>
      <c r="AY12" s="58">
        <f t="shared" si="11"/>
        <v>0</v>
      </c>
      <c r="AZ12" s="222" t="s">
        <v>573</v>
      </c>
      <c r="BA12" s="58">
        <f t="shared" si="0"/>
        <v>0</v>
      </c>
      <c r="BB12" s="222" t="s">
        <v>573</v>
      </c>
      <c r="BC12" s="58">
        <f t="shared" si="1"/>
        <v>0</v>
      </c>
      <c r="BD12" s="222" t="s">
        <v>573</v>
      </c>
      <c r="BE12" s="58">
        <f t="shared" si="2"/>
        <v>0</v>
      </c>
      <c r="BF12" s="222" t="s">
        <v>573</v>
      </c>
      <c r="BG12" s="58">
        <f t="shared" si="3"/>
        <v>0</v>
      </c>
      <c r="BH12" s="223" t="s">
        <v>573</v>
      </c>
      <c r="BI12" s="58">
        <f t="shared" si="4"/>
        <v>0</v>
      </c>
      <c r="BJ12" s="220">
        <f t="shared" si="12"/>
        <v>0</v>
      </c>
      <c r="BK12" s="58"/>
      <c r="BL12" s="58" t="s">
        <v>901</v>
      </c>
      <c r="BM12" s="220" t="s">
        <v>1391</v>
      </c>
      <c r="BN12" s="213" t="s">
        <v>807</v>
      </c>
      <c r="BO12" s="58" t="s">
        <v>1214</v>
      </c>
      <c r="BP12" s="199">
        <v>45838</v>
      </c>
      <c r="BQ12" s="2" t="s">
        <v>1386</v>
      </c>
    </row>
    <row r="13" spans="1:69" ht="15.75" customHeight="1">
      <c r="A13" s="213" t="s">
        <v>788</v>
      </c>
      <c r="B13" s="58" t="s">
        <v>199</v>
      </c>
      <c r="C13" s="58" t="s">
        <v>752</v>
      </c>
      <c r="D13" s="214" t="s">
        <v>789</v>
      </c>
      <c r="E13" s="214" t="s">
        <v>789</v>
      </c>
      <c r="F13" s="215" t="s">
        <v>186</v>
      </c>
      <c r="G13" s="216">
        <v>2020</v>
      </c>
      <c r="H13" s="218" t="s">
        <v>792</v>
      </c>
      <c r="I13" s="218" t="s">
        <v>201</v>
      </c>
      <c r="J13" s="217" t="s">
        <v>890</v>
      </c>
      <c r="K13" s="213" t="s">
        <v>221</v>
      </c>
      <c r="L13" s="213" t="s">
        <v>192</v>
      </c>
      <c r="M13" s="219" t="s">
        <v>1390</v>
      </c>
      <c r="N13" s="219">
        <v>5.14</v>
      </c>
      <c r="O13" s="219">
        <v>5.14</v>
      </c>
      <c r="P13" s="219">
        <v>5.14</v>
      </c>
      <c r="Q13" s="219">
        <v>5.14</v>
      </c>
      <c r="R13" s="219">
        <v>5.14</v>
      </c>
      <c r="S13" s="219">
        <v>5.14</v>
      </c>
      <c r="T13" s="219">
        <v>5.14</v>
      </c>
      <c r="U13" s="219">
        <v>5.14</v>
      </c>
      <c r="V13" s="219">
        <v>5.14</v>
      </c>
      <c r="W13" s="219">
        <v>5.14</v>
      </c>
      <c r="X13" s="219">
        <v>5.14</v>
      </c>
      <c r="Y13" s="219">
        <v>5.14</v>
      </c>
      <c r="Z13" s="219">
        <v>0</v>
      </c>
      <c r="AA13" s="219">
        <v>0</v>
      </c>
      <c r="AB13" s="219">
        <v>0</v>
      </c>
      <c r="AC13" s="219">
        <v>0</v>
      </c>
      <c r="AD13" s="219">
        <v>0</v>
      </c>
      <c r="AE13" s="219">
        <v>0</v>
      </c>
      <c r="AF13" s="219">
        <v>0</v>
      </c>
      <c r="AG13" s="219">
        <v>0</v>
      </c>
      <c r="AH13" s="219">
        <v>0</v>
      </c>
      <c r="AI13" s="219">
        <v>0</v>
      </c>
      <c r="AJ13" s="219">
        <v>0</v>
      </c>
      <c r="AK13" s="219">
        <v>0</v>
      </c>
      <c r="AL13" s="229">
        <v>10400</v>
      </c>
      <c r="AM13" s="219">
        <f t="shared" si="5"/>
        <v>0</v>
      </c>
      <c r="AN13" s="229">
        <v>10400</v>
      </c>
      <c r="AO13" s="221">
        <f t="shared" si="6"/>
        <v>0</v>
      </c>
      <c r="AP13" s="222">
        <v>14600</v>
      </c>
      <c r="AQ13" s="221">
        <f t="shared" si="7"/>
        <v>0</v>
      </c>
      <c r="AR13" s="222">
        <v>7200</v>
      </c>
      <c r="AS13" s="58">
        <f t="shared" si="8"/>
        <v>0</v>
      </c>
      <c r="AT13" s="222">
        <v>26600</v>
      </c>
      <c r="AU13" s="58">
        <f t="shared" si="9"/>
        <v>0</v>
      </c>
      <c r="AV13" s="222">
        <v>7800</v>
      </c>
      <c r="AW13" s="58">
        <f t="shared" si="10"/>
        <v>0</v>
      </c>
      <c r="AX13" s="251">
        <v>6900</v>
      </c>
      <c r="AY13" s="58">
        <f t="shared" si="11"/>
        <v>0</v>
      </c>
      <c r="AZ13" s="222">
        <v>15600</v>
      </c>
      <c r="BA13" s="58">
        <f t="shared" si="0"/>
        <v>0</v>
      </c>
      <c r="BB13" s="222">
        <v>8800</v>
      </c>
      <c r="BC13" s="58">
        <f t="shared" si="1"/>
        <v>0</v>
      </c>
      <c r="BD13" s="222">
        <v>10800</v>
      </c>
      <c r="BE13" s="58">
        <f t="shared" si="2"/>
        <v>0</v>
      </c>
      <c r="BF13" s="222" t="s">
        <v>573</v>
      </c>
      <c r="BG13" s="58">
        <f t="shared" si="3"/>
        <v>0</v>
      </c>
      <c r="BH13" s="223" t="s">
        <v>573</v>
      </c>
      <c r="BI13" s="58">
        <f t="shared" si="4"/>
        <v>0</v>
      </c>
      <c r="BJ13" s="220">
        <f t="shared" si="12"/>
        <v>119100</v>
      </c>
      <c r="BK13" s="58"/>
      <c r="BL13" s="58" t="s">
        <v>1138</v>
      </c>
      <c r="BM13" s="220" t="s">
        <v>1390</v>
      </c>
      <c r="BN13" s="213" t="s">
        <v>763</v>
      </c>
      <c r="BO13" s="58" t="s">
        <v>1137</v>
      </c>
      <c r="BP13" s="199">
        <v>45961</v>
      </c>
      <c r="BQ13" s="2" t="s">
        <v>1386</v>
      </c>
    </row>
    <row r="14" spans="1:69" s="201" customFormat="1" ht="15.75" customHeight="1">
      <c r="A14" s="213" t="s">
        <v>788</v>
      </c>
      <c r="B14" s="58" t="s">
        <v>199</v>
      </c>
      <c r="C14" s="58" t="s">
        <v>752</v>
      </c>
      <c r="D14" s="214" t="s">
        <v>789</v>
      </c>
      <c r="E14" s="214" t="s">
        <v>789</v>
      </c>
      <c r="F14" s="215" t="s">
        <v>186</v>
      </c>
      <c r="G14" s="216">
        <v>2022</v>
      </c>
      <c r="H14" s="218" t="s">
        <v>793</v>
      </c>
      <c r="I14" s="218" t="s">
        <v>212</v>
      </c>
      <c r="J14" s="217" t="s">
        <v>890</v>
      </c>
      <c r="K14" s="213" t="s">
        <v>221</v>
      </c>
      <c r="L14" s="213" t="s">
        <v>192</v>
      </c>
      <c r="M14" s="219" t="s">
        <v>1390</v>
      </c>
      <c r="N14" s="219">
        <v>3.9</v>
      </c>
      <c r="O14" s="219">
        <v>3.9</v>
      </c>
      <c r="P14" s="219">
        <v>3.9</v>
      </c>
      <c r="Q14" s="219">
        <v>3.9</v>
      </c>
      <c r="R14" s="219">
        <v>3.9</v>
      </c>
      <c r="S14" s="219">
        <v>3.9</v>
      </c>
      <c r="T14" s="219">
        <v>3.9</v>
      </c>
      <c r="U14" s="219">
        <v>3.9</v>
      </c>
      <c r="V14" s="219">
        <v>3.9</v>
      </c>
      <c r="W14" s="219">
        <v>3.9</v>
      </c>
      <c r="X14" s="219">
        <v>3.9</v>
      </c>
      <c r="Y14" s="219">
        <v>3.9</v>
      </c>
      <c r="Z14" s="219">
        <v>0.21</v>
      </c>
      <c r="AA14" s="219">
        <v>0.21</v>
      </c>
      <c r="AB14" s="219">
        <v>0.21</v>
      </c>
      <c r="AC14" s="219">
        <v>0.21</v>
      </c>
      <c r="AD14" s="219">
        <v>0.21</v>
      </c>
      <c r="AE14" s="219">
        <v>0.21</v>
      </c>
      <c r="AF14" s="219">
        <v>0.21</v>
      </c>
      <c r="AG14" s="219">
        <v>0.21</v>
      </c>
      <c r="AH14" s="219">
        <v>0.21</v>
      </c>
      <c r="AI14" s="219">
        <v>0.21</v>
      </c>
      <c r="AJ14" s="219">
        <v>0.21</v>
      </c>
      <c r="AK14" s="219">
        <v>0.21</v>
      </c>
      <c r="AL14" s="229">
        <v>14000</v>
      </c>
      <c r="AM14" s="219">
        <f t="shared" si="5"/>
        <v>2940</v>
      </c>
      <c r="AN14" s="229">
        <v>2800</v>
      </c>
      <c r="AO14" s="221">
        <f t="shared" si="6"/>
        <v>588</v>
      </c>
      <c r="AP14" s="222">
        <v>8400</v>
      </c>
      <c r="AQ14" s="221">
        <f t="shared" si="7"/>
        <v>1764</v>
      </c>
      <c r="AR14" s="222">
        <v>5800</v>
      </c>
      <c r="AS14" s="58">
        <f t="shared" si="8"/>
        <v>1218</v>
      </c>
      <c r="AT14" s="222">
        <v>2800</v>
      </c>
      <c r="AU14" s="58">
        <f t="shared" si="9"/>
        <v>588</v>
      </c>
      <c r="AV14" s="222">
        <v>11600</v>
      </c>
      <c r="AW14" s="58">
        <f t="shared" si="10"/>
        <v>2436</v>
      </c>
      <c r="AX14" s="251">
        <v>2800</v>
      </c>
      <c r="AY14" s="58">
        <f t="shared" si="11"/>
        <v>588</v>
      </c>
      <c r="AZ14" s="222">
        <v>8400</v>
      </c>
      <c r="BA14" s="58">
        <f t="shared" si="0"/>
        <v>1764</v>
      </c>
      <c r="BB14" s="222">
        <v>2800</v>
      </c>
      <c r="BC14" s="58">
        <f t="shared" si="1"/>
        <v>588</v>
      </c>
      <c r="BD14" s="222">
        <v>8400</v>
      </c>
      <c r="BE14" s="58">
        <f t="shared" si="2"/>
        <v>1764</v>
      </c>
      <c r="BF14" s="222">
        <v>6200</v>
      </c>
      <c r="BG14" s="58">
        <f t="shared" si="3"/>
        <v>1302</v>
      </c>
      <c r="BH14" s="223" t="s">
        <v>573</v>
      </c>
      <c r="BI14" s="58">
        <f t="shared" si="4"/>
        <v>0</v>
      </c>
      <c r="BJ14" s="220">
        <f t="shared" si="12"/>
        <v>74000</v>
      </c>
      <c r="BK14" s="58"/>
      <c r="BL14" s="58" t="s">
        <v>1140</v>
      </c>
      <c r="BM14" s="220" t="s">
        <v>1390</v>
      </c>
      <c r="BN14" s="213" t="s">
        <v>763</v>
      </c>
      <c r="BO14" s="58" t="s">
        <v>1139</v>
      </c>
      <c r="BP14" s="200">
        <v>45961</v>
      </c>
      <c r="BQ14" s="2" t="s">
        <v>1386</v>
      </c>
    </row>
    <row r="15" spans="1:69" ht="15.75" customHeight="1">
      <c r="A15" s="213" t="s">
        <v>788</v>
      </c>
      <c r="B15" s="58" t="s">
        <v>184</v>
      </c>
      <c r="C15" s="58" t="s">
        <v>752</v>
      </c>
      <c r="D15" s="214" t="s">
        <v>789</v>
      </c>
      <c r="E15" s="214" t="s">
        <v>789</v>
      </c>
      <c r="F15" s="215" t="s">
        <v>186</v>
      </c>
      <c r="G15" s="216">
        <v>2016</v>
      </c>
      <c r="H15" s="218" t="s">
        <v>794</v>
      </c>
      <c r="I15" s="218" t="s">
        <v>196</v>
      </c>
      <c r="J15" s="217" t="s">
        <v>890</v>
      </c>
      <c r="K15" s="213" t="s">
        <v>221</v>
      </c>
      <c r="L15" s="213" t="s">
        <v>192</v>
      </c>
      <c r="M15" s="219" t="s">
        <v>1389</v>
      </c>
      <c r="N15" s="219">
        <v>4.79</v>
      </c>
      <c r="O15" s="219">
        <v>4.79</v>
      </c>
      <c r="P15" s="219">
        <v>4.79</v>
      </c>
      <c r="Q15" s="219">
        <v>4.79</v>
      </c>
      <c r="R15" s="219">
        <v>4.79</v>
      </c>
      <c r="S15" s="219">
        <v>4.79</v>
      </c>
      <c r="T15" s="219">
        <v>4.79</v>
      </c>
      <c r="U15" s="219">
        <v>4.79</v>
      </c>
      <c r="V15" s="219">
        <v>4.79</v>
      </c>
      <c r="W15" s="219">
        <v>4.79</v>
      </c>
      <c r="X15" s="219">
        <v>4.79</v>
      </c>
      <c r="Y15" s="219">
        <v>4.79</v>
      </c>
      <c r="Z15" s="219">
        <v>0.05</v>
      </c>
      <c r="AA15" s="219">
        <v>0.05</v>
      </c>
      <c r="AB15" s="219">
        <v>0.05</v>
      </c>
      <c r="AC15" s="219">
        <v>0.05</v>
      </c>
      <c r="AD15" s="219">
        <v>0.05</v>
      </c>
      <c r="AE15" s="219">
        <v>0.05</v>
      </c>
      <c r="AF15" s="219">
        <v>0.05</v>
      </c>
      <c r="AG15" s="219">
        <v>0.05</v>
      </c>
      <c r="AH15" s="219">
        <v>0.05</v>
      </c>
      <c r="AI15" s="219">
        <v>0.05</v>
      </c>
      <c r="AJ15" s="219">
        <v>0.05</v>
      </c>
      <c r="AK15" s="219">
        <v>0.05</v>
      </c>
      <c r="AL15" s="229">
        <v>8640</v>
      </c>
      <c r="AM15" s="219">
        <f t="shared" si="5"/>
        <v>432</v>
      </c>
      <c r="AN15" s="229">
        <v>8640</v>
      </c>
      <c r="AO15" s="221">
        <f t="shared" si="6"/>
        <v>432</v>
      </c>
      <c r="AP15" s="222">
        <v>8640</v>
      </c>
      <c r="AQ15" s="221">
        <f t="shared" si="7"/>
        <v>432</v>
      </c>
      <c r="AR15" s="222" t="s">
        <v>573</v>
      </c>
      <c r="AS15" s="58">
        <f t="shared" si="8"/>
        <v>0</v>
      </c>
      <c r="AT15" s="222" t="s">
        <v>573</v>
      </c>
      <c r="AU15" s="58">
        <f t="shared" si="9"/>
        <v>0</v>
      </c>
      <c r="AV15" s="222">
        <v>4320</v>
      </c>
      <c r="AW15" s="58">
        <f t="shared" si="10"/>
        <v>216</v>
      </c>
      <c r="AX15" s="251">
        <v>4320</v>
      </c>
      <c r="AY15" s="58">
        <f t="shared" si="11"/>
        <v>216</v>
      </c>
      <c r="AZ15" s="222">
        <v>8640</v>
      </c>
      <c r="BA15" s="58">
        <f t="shared" si="0"/>
        <v>432</v>
      </c>
      <c r="BB15" s="222">
        <v>4320</v>
      </c>
      <c r="BC15" s="58">
        <f t="shared" si="1"/>
        <v>216</v>
      </c>
      <c r="BD15" s="222" t="s">
        <v>573</v>
      </c>
      <c r="BE15" s="58">
        <f t="shared" si="2"/>
        <v>0</v>
      </c>
      <c r="BF15" s="222">
        <v>4320</v>
      </c>
      <c r="BG15" s="58">
        <f t="shared" si="3"/>
        <v>216</v>
      </c>
      <c r="BH15" s="223">
        <v>4320</v>
      </c>
      <c r="BI15" s="58">
        <f t="shared" si="4"/>
        <v>216</v>
      </c>
      <c r="BJ15" s="229">
        <f>BH15+BF15+BD15+BB15+AZ15+AX15+AV15+AT15+AR15+AP15+AN15+AL15</f>
        <v>56160</v>
      </c>
      <c r="BK15" s="58"/>
      <c r="BL15" s="58" t="s">
        <v>902</v>
      </c>
      <c r="BM15" s="220" t="s">
        <v>1389</v>
      </c>
      <c r="BN15" s="213" t="s">
        <v>763</v>
      </c>
      <c r="BO15" s="58" t="s">
        <v>1215</v>
      </c>
      <c r="BP15" s="199">
        <v>45291</v>
      </c>
      <c r="BQ15" s="2" t="s">
        <v>1386</v>
      </c>
    </row>
    <row r="16" spans="1:69" ht="15.75" customHeight="1">
      <c r="A16" s="213" t="s">
        <v>788</v>
      </c>
      <c r="B16" s="58" t="s">
        <v>184</v>
      </c>
      <c r="C16" s="58" t="s">
        <v>752</v>
      </c>
      <c r="D16" s="214" t="s">
        <v>789</v>
      </c>
      <c r="E16" s="214" t="s">
        <v>789</v>
      </c>
      <c r="F16" s="215" t="s">
        <v>186</v>
      </c>
      <c r="G16" s="216">
        <v>2019</v>
      </c>
      <c r="H16" s="218" t="s">
        <v>795</v>
      </c>
      <c r="I16" s="218" t="s">
        <v>196</v>
      </c>
      <c r="J16" s="217" t="s">
        <v>890</v>
      </c>
      <c r="K16" s="213" t="s">
        <v>753</v>
      </c>
      <c r="L16" s="213" t="s">
        <v>192</v>
      </c>
      <c r="M16" s="219" t="s">
        <v>1389</v>
      </c>
      <c r="N16" s="219">
        <v>1.8</v>
      </c>
      <c r="O16" s="219">
        <v>1.8</v>
      </c>
      <c r="P16" s="219">
        <v>1.8</v>
      </c>
      <c r="Q16" s="219">
        <v>1.8</v>
      </c>
      <c r="R16" s="219">
        <v>1.8</v>
      </c>
      <c r="S16" s="219">
        <v>1.8</v>
      </c>
      <c r="T16" s="219">
        <v>1.8</v>
      </c>
      <c r="U16" s="219">
        <v>1.8</v>
      </c>
      <c r="V16" s="219">
        <v>1.8</v>
      </c>
      <c r="W16" s="219">
        <v>1.8</v>
      </c>
      <c r="X16" s="219">
        <v>1.8</v>
      </c>
      <c r="Y16" s="219">
        <v>1.8</v>
      </c>
      <c r="Z16" s="219">
        <v>0</v>
      </c>
      <c r="AA16" s="219">
        <v>0</v>
      </c>
      <c r="AB16" s="219">
        <v>0</v>
      </c>
      <c r="AC16" s="219">
        <v>0</v>
      </c>
      <c r="AD16" s="219">
        <v>0</v>
      </c>
      <c r="AE16" s="219">
        <v>0</v>
      </c>
      <c r="AF16" s="219">
        <v>0</v>
      </c>
      <c r="AG16" s="219">
        <v>0</v>
      </c>
      <c r="AH16" s="219">
        <v>0</v>
      </c>
      <c r="AI16" s="219">
        <v>0</v>
      </c>
      <c r="AJ16" s="219">
        <v>0</v>
      </c>
      <c r="AK16" s="219">
        <v>0</v>
      </c>
      <c r="AL16" s="229">
        <v>66240</v>
      </c>
      <c r="AM16" s="219">
        <f t="shared" si="5"/>
        <v>0</v>
      </c>
      <c r="AN16" s="229">
        <v>14400</v>
      </c>
      <c r="AO16" s="221">
        <f t="shared" si="6"/>
        <v>0</v>
      </c>
      <c r="AP16" s="222">
        <v>8640</v>
      </c>
      <c r="AQ16" s="221">
        <f t="shared" si="7"/>
        <v>0</v>
      </c>
      <c r="AR16" s="222">
        <v>17280</v>
      </c>
      <c r="AS16" s="58">
        <f t="shared" si="8"/>
        <v>0</v>
      </c>
      <c r="AT16" s="222">
        <v>14400</v>
      </c>
      <c r="AU16" s="58">
        <f t="shared" si="9"/>
        <v>0</v>
      </c>
      <c r="AV16" s="222">
        <v>2880</v>
      </c>
      <c r="AW16" s="58">
        <f t="shared" si="10"/>
        <v>0</v>
      </c>
      <c r="AX16" s="251">
        <v>20160</v>
      </c>
      <c r="AY16" s="58">
        <f t="shared" si="11"/>
        <v>0</v>
      </c>
      <c r="AZ16" s="222">
        <v>23040</v>
      </c>
      <c r="BA16" s="58">
        <f t="shared" si="0"/>
        <v>0</v>
      </c>
      <c r="BB16" s="222">
        <v>8640</v>
      </c>
      <c r="BC16" s="58">
        <f t="shared" si="1"/>
        <v>0</v>
      </c>
      <c r="BD16" s="222">
        <v>25920</v>
      </c>
      <c r="BE16" s="58">
        <f t="shared" si="2"/>
        <v>0</v>
      </c>
      <c r="BF16" s="222">
        <v>2880</v>
      </c>
      <c r="BG16" s="58">
        <f t="shared" si="3"/>
        <v>0</v>
      </c>
      <c r="BH16" s="223">
        <v>31680</v>
      </c>
      <c r="BI16" s="58">
        <f t="shared" si="4"/>
        <v>0</v>
      </c>
      <c r="BJ16" s="220">
        <f t="shared" si="12"/>
        <v>236160</v>
      </c>
      <c r="BK16" s="58"/>
      <c r="BL16" s="58" t="s">
        <v>903</v>
      </c>
      <c r="BM16" s="220" t="s">
        <v>1389</v>
      </c>
      <c r="BN16" s="213" t="s">
        <v>763</v>
      </c>
      <c r="BO16" s="58" t="s">
        <v>608</v>
      </c>
      <c r="BP16" s="199">
        <v>45596</v>
      </c>
      <c r="BQ16" s="2" t="s">
        <v>1386</v>
      </c>
    </row>
    <row r="17" spans="1:69" ht="15.75" customHeight="1">
      <c r="A17" s="213" t="s">
        <v>788</v>
      </c>
      <c r="B17" s="58" t="s">
        <v>199</v>
      </c>
      <c r="C17" s="58" t="s">
        <v>752</v>
      </c>
      <c r="D17" s="214" t="s">
        <v>789</v>
      </c>
      <c r="E17" s="214" t="s">
        <v>789</v>
      </c>
      <c r="F17" s="215" t="s">
        <v>186</v>
      </c>
      <c r="G17" s="216">
        <v>2020</v>
      </c>
      <c r="H17" s="218" t="s">
        <v>796</v>
      </c>
      <c r="I17" s="218" t="s">
        <v>201</v>
      </c>
      <c r="J17" s="217" t="s">
        <v>890</v>
      </c>
      <c r="K17" s="213" t="s">
        <v>221</v>
      </c>
      <c r="L17" s="213" t="s">
        <v>192</v>
      </c>
      <c r="M17" s="219" t="s">
        <v>1390</v>
      </c>
      <c r="N17" s="219">
        <v>8.0500000000000007</v>
      </c>
      <c r="O17" s="219">
        <v>8.0500000000000007</v>
      </c>
      <c r="P17" s="219">
        <v>8.0500000000000007</v>
      </c>
      <c r="Q17" s="219">
        <v>8.0500000000000007</v>
      </c>
      <c r="R17" s="219">
        <v>8.0500000000000007</v>
      </c>
      <c r="S17" s="219">
        <v>8.0500000000000007</v>
      </c>
      <c r="T17" s="219">
        <v>8.0500000000000007</v>
      </c>
      <c r="U17" s="219">
        <v>8.0500000000000007</v>
      </c>
      <c r="V17" s="219">
        <v>8.0500000000000007</v>
      </c>
      <c r="W17" s="219">
        <v>8.0500000000000007</v>
      </c>
      <c r="X17" s="219">
        <v>8.0500000000000007</v>
      </c>
      <c r="Y17" s="219">
        <v>8.0500000000000007</v>
      </c>
      <c r="Z17" s="219">
        <v>0.08</v>
      </c>
      <c r="AA17" s="219">
        <v>0.08</v>
      </c>
      <c r="AB17" s="219">
        <v>0.08</v>
      </c>
      <c r="AC17" s="219">
        <v>0.08</v>
      </c>
      <c r="AD17" s="219">
        <v>0.08</v>
      </c>
      <c r="AE17" s="219">
        <v>0.08</v>
      </c>
      <c r="AF17" s="219">
        <v>0.08</v>
      </c>
      <c r="AG17" s="219">
        <v>0.08</v>
      </c>
      <c r="AH17" s="219">
        <v>0.08</v>
      </c>
      <c r="AI17" s="219">
        <v>0.08</v>
      </c>
      <c r="AJ17" s="219">
        <v>0.08</v>
      </c>
      <c r="AK17" s="219">
        <v>0.08</v>
      </c>
      <c r="AL17" s="229">
        <v>24560</v>
      </c>
      <c r="AM17" s="219">
        <f t="shared" si="5"/>
        <v>1964.8</v>
      </c>
      <c r="AN17" s="229">
        <v>7980</v>
      </c>
      <c r="AO17" s="221">
        <f t="shared" si="6"/>
        <v>638.4</v>
      </c>
      <c r="AP17" s="222">
        <v>2700</v>
      </c>
      <c r="AQ17" s="221">
        <f t="shared" si="7"/>
        <v>216</v>
      </c>
      <c r="AR17" s="222">
        <v>2700</v>
      </c>
      <c r="AS17" s="58">
        <f t="shared" si="8"/>
        <v>216</v>
      </c>
      <c r="AT17" s="222">
        <v>2700</v>
      </c>
      <c r="AU17" s="58">
        <f t="shared" si="9"/>
        <v>216</v>
      </c>
      <c r="AV17" s="222">
        <v>14000</v>
      </c>
      <c r="AW17" s="58">
        <f t="shared" si="10"/>
        <v>1120</v>
      </c>
      <c r="AX17" s="251">
        <v>9700</v>
      </c>
      <c r="AY17" s="58">
        <f t="shared" si="11"/>
        <v>776</v>
      </c>
      <c r="AZ17" s="222">
        <v>7700</v>
      </c>
      <c r="BA17" s="58">
        <f t="shared" si="0"/>
        <v>616</v>
      </c>
      <c r="BB17" s="222">
        <v>4000</v>
      </c>
      <c r="BC17" s="58">
        <f t="shared" si="1"/>
        <v>320</v>
      </c>
      <c r="BD17" s="222">
        <v>5400</v>
      </c>
      <c r="BE17" s="58">
        <f t="shared" si="2"/>
        <v>432</v>
      </c>
      <c r="BF17" s="222">
        <v>10200</v>
      </c>
      <c r="BG17" s="58">
        <f t="shared" si="3"/>
        <v>816</v>
      </c>
      <c r="BH17" s="223" t="s">
        <v>573</v>
      </c>
      <c r="BI17" s="58">
        <f t="shared" si="4"/>
        <v>0</v>
      </c>
      <c r="BJ17" s="220">
        <f t="shared" si="12"/>
        <v>91640</v>
      </c>
      <c r="BK17" s="58"/>
      <c r="BL17" s="58" t="s">
        <v>1142</v>
      </c>
      <c r="BM17" s="220" t="s">
        <v>1390</v>
      </c>
      <c r="BN17" s="213" t="s">
        <v>763</v>
      </c>
      <c r="BO17" s="58" t="s">
        <v>1141</v>
      </c>
      <c r="BP17" s="199">
        <v>45443</v>
      </c>
      <c r="BQ17" s="2" t="s">
        <v>1386</v>
      </c>
    </row>
    <row r="18" spans="1:69" ht="15.75" customHeight="1">
      <c r="A18" s="213" t="s">
        <v>788</v>
      </c>
      <c r="B18" s="58" t="s">
        <v>184</v>
      </c>
      <c r="C18" s="58" t="s">
        <v>752</v>
      </c>
      <c r="D18" s="214" t="s">
        <v>789</v>
      </c>
      <c r="E18" s="214" t="s">
        <v>789</v>
      </c>
      <c r="F18" s="215" t="s">
        <v>186</v>
      </c>
      <c r="G18" s="216">
        <v>2020</v>
      </c>
      <c r="H18" s="218" t="s">
        <v>797</v>
      </c>
      <c r="I18" s="218" t="s">
        <v>196</v>
      </c>
      <c r="J18" s="217" t="s">
        <v>890</v>
      </c>
      <c r="K18" s="213" t="s">
        <v>216</v>
      </c>
      <c r="L18" s="213" t="s">
        <v>192</v>
      </c>
      <c r="M18" s="219" t="s">
        <v>1389</v>
      </c>
      <c r="N18" s="219">
        <v>22.72</v>
      </c>
      <c r="O18" s="219">
        <v>22.72</v>
      </c>
      <c r="P18" s="219">
        <v>22.72</v>
      </c>
      <c r="Q18" s="219">
        <v>22.72</v>
      </c>
      <c r="R18" s="219">
        <v>22.72</v>
      </c>
      <c r="S18" s="219">
        <v>22.72</v>
      </c>
      <c r="T18" s="219">
        <v>22.72</v>
      </c>
      <c r="U18" s="219">
        <v>22.72</v>
      </c>
      <c r="V18" s="219">
        <v>22.72</v>
      </c>
      <c r="W18" s="219">
        <v>22.72</v>
      </c>
      <c r="X18" s="219">
        <v>22.72</v>
      </c>
      <c r="Y18" s="219">
        <v>22.72</v>
      </c>
      <c r="Z18" s="219">
        <v>0.06</v>
      </c>
      <c r="AA18" s="219">
        <v>0.06</v>
      </c>
      <c r="AB18" s="219">
        <v>0.06</v>
      </c>
      <c r="AC18" s="219">
        <v>0.06</v>
      </c>
      <c r="AD18" s="219">
        <v>0.06</v>
      </c>
      <c r="AE18" s="219">
        <v>0.06</v>
      </c>
      <c r="AF18" s="219">
        <v>0.06</v>
      </c>
      <c r="AG18" s="219">
        <v>0.06</v>
      </c>
      <c r="AH18" s="219">
        <v>0.06</v>
      </c>
      <c r="AI18" s="219">
        <v>0.06</v>
      </c>
      <c r="AJ18" s="219">
        <v>0.06</v>
      </c>
      <c r="AK18" s="219">
        <v>0.06</v>
      </c>
      <c r="AL18" s="229" t="s">
        <v>573</v>
      </c>
      <c r="AM18" s="219">
        <f t="shared" si="5"/>
        <v>0</v>
      </c>
      <c r="AN18" s="229">
        <v>1008</v>
      </c>
      <c r="AO18" s="221">
        <f t="shared" si="6"/>
        <v>60.48</v>
      </c>
      <c r="AP18" s="222" t="s">
        <v>573</v>
      </c>
      <c r="AQ18" s="221">
        <f t="shared" si="7"/>
        <v>0</v>
      </c>
      <c r="AR18" s="222" t="s">
        <v>573</v>
      </c>
      <c r="AS18" s="58">
        <f t="shared" si="8"/>
        <v>0</v>
      </c>
      <c r="AT18" s="222" t="s">
        <v>573</v>
      </c>
      <c r="AU18" s="58">
        <f t="shared" si="9"/>
        <v>0</v>
      </c>
      <c r="AV18" s="222" t="s">
        <v>573</v>
      </c>
      <c r="AW18" s="58">
        <f t="shared" si="10"/>
        <v>0</v>
      </c>
      <c r="AX18" s="251" t="s">
        <v>573</v>
      </c>
      <c r="AY18" s="58">
        <f t="shared" si="11"/>
        <v>0</v>
      </c>
      <c r="AZ18" s="222" t="s">
        <v>573</v>
      </c>
      <c r="BA18" s="58">
        <f t="shared" si="0"/>
        <v>0</v>
      </c>
      <c r="BB18" s="222" t="s">
        <v>573</v>
      </c>
      <c r="BC18" s="58">
        <f t="shared" si="1"/>
        <v>0</v>
      </c>
      <c r="BD18" s="222" t="s">
        <v>573</v>
      </c>
      <c r="BE18" s="58">
        <f t="shared" si="2"/>
        <v>0</v>
      </c>
      <c r="BF18" s="222" t="s">
        <v>573</v>
      </c>
      <c r="BG18" s="58">
        <f t="shared" si="3"/>
        <v>0</v>
      </c>
      <c r="BH18" s="223" t="s">
        <v>573</v>
      </c>
      <c r="BI18" s="58">
        <f t="shared" si="4"/>
        <v>0</v>
      </c>
      <c r="BJ18" s="220">
        <f t="shared" si="12"/>
        <v>1008</v>
      </c>
      <c r="BK18" s="58"/>
      <c r="BL18" s="58" t="s">
        <v>904</v>
      </c>
      <c r="BM18" s="220" t="s">
        <v>1389</v>
      </c>
      <c r="BN18" s="213" t="s">
        <v>763</v>
      </c>
      <c r="BO18" s="58" t="s">
        <v>1216</v>
      </c>
      <c r="BP18" s="199">
        <v>45838</v>
      </c>
      <c r="BQ18" s="2" t="s">
        <v>1386</v>
      </c>
    </row>
    <row r="19" spans="1:69" s="201" customFormat="1" ht="14.85" customHeight="1">
      <c r="A19" s="213" t="s">
        <v>788</v>
      </c>
      <c r="B19" s="58" t="s">
        <v>199</v>
      </c>
      <c r="C19" s="58" t="s">
        <v>752</v>
      </c>
      <c r="D19" s="214" t="s">
        <v>789</v>
      </c>
      <c r="E19" s="214" t="s">
        <v>789</v>
      </c>
      <c r="F19" s="215" t="s">
        <v>186</v>
      </c>
      <c r="G19" s="216">
        <v>2019</v>
      </c>
      <c r="H19" s="218" t="s">
        <v>798</v>
      </c>
      <c r="I19" s="218" t="s">
        <v>201</v>
      </c>
      <c r="J19" s="217" t="s">
        <v>890</v>
      </c>
      <c r="K19" s="213" t="s">
        <v>753</v>
      </c>
      <c r="L19" s="213" t="s">
        <v>192</v>
      </c>
      <c r="M19" s="219" t="s">
        <v>1390</v>
      </c>
      <c r="N19" s="219">
        <v>10.31</v>
      </c>
      <c r="O19" s="219">
        <v>10.31</v>
      </c>
      <c r="P19" s="219">
        <v>10.31</v>
      </c>
      <c r="Q19" s="219">
        <v>10.31</v>
      </c>
      <c r="R19" s="219">
        <v>10.31</v>
      </c>
      <c r="S19" s="219">
        <v>10.31</v>
      </c>
      <c r="T19" s="219">
        <v>10.31</v>
      </c>
      <c r="U19" s="219">
        <v>10.31</v>
      </c>
      <c r="V19" s="219">
        <v>10.31</v>
      </c>
      <c r="W19" s="219">
        <v>10.31</v>
      </c>
      <c r="X19" s="219">
        <v>10.31</v>
      </c>
      <c r="Y19" s="219">
        <v>10.31</v>
      </c>
      <c r="Z19" s="219">
        <v>0</v>
      </c>
      <c r="AA19" s="219">
        <v>0</v>
      </c>
      <c r="AB19" s="219">
        <v>0</v>
      </c>
      <c r="AC19" s="219">
        <v>0</v>
      </c>
      <c r="AD19" s="219">
        <v>0</v>
      </c>
      <c r="AE19" s="219">
        <v>0</v>
      </c>
      <c r="AF19" s="219">
        <v>0</v>
      </c>
      <c r="AG19" s="219">
        <v>0</v>
      </c>
      <c r="AH19" s="219">
        <v>0</v>
      </c>
      <c r="AI19" s="219">
        <v>0</v>
      </c>
      <c r="AJ19" s="219">
        <v>0</v>
      </c>
      <c r="AK19" s="219">
        <v>0</v>
      </c>
      <c r="AL19" s="229" t="s">
        <v>573</v>
      </c>
      <c r="AM19" s="219">
        <f t="shared" si="5"/>
        <v>0</v>
      </c>
      <c r="AN19" s="229" t="s">
        <v>573</v>
      </c>
      <c r="AO19" s="221">
        <f t="shared" si="6"/>
        <v>0</v>
      </c>
      <c r="AP19" s="222" t="s">
        <v>573</v>
      </c>
      <c r="AQ19" s="221">
        <f t="shared" si="7"/>
        <v>0</v>
      </c>
      <c r="AR19" s="222" t="s">
        <v>573</v>
      </c>
      <c r="AS19" s="58">
        <f t="shared" si="8"/>
        <v>0</v>
      </c>
      <c r="AT19" s="222" t="s">
        <v>573</v>
      </c>
      <c r="AU19" s="58">
        <f t="shared" si="9"/>
        <v>0</v>
      </c>
      <c r="AV19" s="222" t="s">
        <v>573</v>
      </c>
      <c r="AW19" s="58">
        <f t="shared" si="10"/>
        <v>0</v>
      </c>
      <c r="AX19" s="251" t="s">
        <v>573</v>
      </c>
      <c r="AY19" s="58">
        <f t="shared" si="11"/>
        <v>0</v>
      </c>
      <c r="AZ19" s="222" t="s">
        <v>573</v>
      </c>
      <c r="BA19" s="58">
        <f t="shared" si="0"/>
        <v>0</v>
      </c>
      <c r="BB19" s="222" t="s">
        <v>573</v>
      </c>
      <c r="BC19" s="58">
        <f t="shared" si="1"/>
        <v>0</v>
      </c>
      <c r="BD19" s="222" t="s">
        <v>573</v>
      </c>
      <c r="BE19" s="58">
        <f t="shared" si="2"/>
        <v>0</v>
      </c>
      <c r="BF19" s="222" t="s">
        <v>573</v>
      </c>
      <c r="BG19" s="58">
        <f t="shared" si="3"/>
        <v>0</v>
      </c>
      <c r="BH19" s="223" t="s">
        <v>573</v>
      </c>
      <c r="BI19" s="58">
        <f t="shared" si="4"/>
        <v>0</v>
      </c>
      <c r="BJ19" s="220">
        <f t="shared" si="12"/>
        <v>0</v>
      </c>
      <c r="BK19" s="58"/>
      <c r="BL19" s="58" t="s">
        <v>1144</v>
      </c>
      <c r="BM19" s="220" t="s">
        <v>1390</v>
      </c>
      <c r="BN19" s="213" t="s">
        <v>763</v>
      </c>
      <c r="BO19" s="58" t="s">
        <v>1143</v>
      </c>
      <c r="BP19" s="200">
        <v>45961</v>
      </c>
      <c r="BQ19" s="2" t="s">
        <v>1386</v>
      </c>
    </row>
    <row r="20" spans="1:69" ht="15.75" customHeight="1">
      <c r="A20" s="213" t="s">
        <v>788</v>
      </c>
      <c r="B20" s="58" t="s">
        <v>184</v>
      </c>
      <c r="C20" s="58" t="s">
        <v>752</v>
      </c>
      <c r="D20" s="214" t="s">
        <v>789</v>
      </c>
      <c r="E20" s="214" t="s">
        <v>789</v>
      </c>
      <c r="F20" s="215" t="s">
        <v>186</v>
      </c>
      <c r="G20" s="216">
        <v>2020</v>
      </c>
      <c r="H20" s="213" t="s">
        <v>799</v>
      </c>
      <c r="I20" s="213" t="s">
        <v>196</v>
      </c>
      <c r="J20" s="217" t="s">
        <v>890</v>
      </c>
      <c r="K20" s="213" t="s">
        <v>221</v>
      </c>
      <c r="L20" s="213" t="s">
        <v>192</v>
      </c>
      <c r="M20" s="219" t="s">
        <v>1389</v>
      </c>
      <c r="N20" s="219">
        <v>3.28</v>
      </c>
      <c r="O20" s="219">
        <v>3.28</v>
      </c>
      <c r="P20" s="219">
        <v>3.28</v>
      </c>
      <c r="Q20" s="219">
        <v>3.28</v>
      </c>
      <c r="R20" s="219">
        <v>3.28</v>
      </c>
      <c r="S20" s="219">
        <v>3.28</v>
      </c>
      <c r="T20" s="219">
        <v>3.28</v>
      </c>
      <c r="U20" s="219">
        <v>3.28</v>
      </c>
      <c r="V20" s="219">
        <v>3.28</v>
      </c>
      <c r="W20" s="219">
        <v>3.28</v>
      </c>
      <c r="X20" s="219">
        <v>3.28</v>
      </c>
      <c r="Y20" s="219">
        <v>3.28</v>
      </c>
      <c r="Z20" s="219">
        <v>0</v>
      </c>
      <c r="AA20" s="219">
        <v>0</v>
      </c>
      <c r="AB20" s="219">
        <v>0</v>
      </c>
      <c r="AC20" s="219">
        <v>0</v>
      </c>
      <c r="AD20" s="219">
        <v>0</v>
      </c>
      <c r="AE20" s="219">
        <v>0</v>
      </c>
      <c r="AF20" s="219">
        <v>0</v>
      </c>
      <c r="AG20" s="219">
        <v>0</v>
      </c>
      <c r="AH20" s="219">
        <v>0</v>
      </c>
      <c r="AI20" s="219">
        <v>0</v>
      </c>
      <c r="AJ20" s="219">
        <v>0</v>
      </c>
      <c r="AK20" s="219">
        <v>0</v>
      </c>
      <c r="AL20" s="229">
        <v>20160</v>
      </c>
      <c r="AM20" s="219">
        <f t="shared" si="5"/>
        <v>0</v>
      </c>
      <c r="AN20" s="229">
        <v>33600</v>
      </c>
      <c r="AO20" s="221">
        <f t="shared" si="6"/>
        <v>0</v>
      </c>
      <c r="AP20" s="222">
        <v>26880</v>
      </c>
      <c r="AQ20" s="221">
        <f t="shared" si="7"/>
        <v>0</v>
      </c>
      <c r="AR20" s="222">
        <v>6720</v>
      </c>
      <c r="AS20" s="58">
        <f t="shared" si="8"/>
        <v>0</v>
      </c>
      <c r="AT20" s="222">
        <v>13440</v>
      </c>
      <c r="AU20" s="58">
        <f t="shared" si="9"/>
        <v>0</v>
      </c>
      <c r="AV20" s="222">
        <v>20160</v>
      </c>
      <c r="AW20" s="58">
        <f t="shared" si="10"/>
        <v>0</v>
      </c>
      <c r="AX20" s="251">
        <v>13440</v>
      </c>
      <c r="AY20" s="58">
        <f t="shared" si="11"/>
        <v>0</v>
      </c>
      <c r="AZ20" s="222">
        <v>47040</v>
      </c>
      <c r="BA20" s="58">
        <f t="shared" si="0"/>
        <v>0</v>
      </c>
      <c r="BB20" s="222" t="s">
        <v>573</v>
      </c>
      <c r="BC20" s="58">
        <f t="shared" si="1"/>
        <v>0</v>
      </c>
      <c r="BD20" s="222">
        <v>33600</v>
      </c>
      <c r="BE20" s="58">
        <f t="shared" si="2"/>
        <v>0</v>
      </c>
      <c r="BF20" s="222">
        <v>13440</v>
      </c>
      <c r="BG20" s="58">
        <f t="shared" si="3"/>
        <v>0</v>
      </c>
      <c r="BH20" s="223">
        <v>13440</v>
      </c>
      <c r="BI20" s="58">
        <f t="shared" si="4"/>
        <v>0</v>
      </c>
      <c r="BJ20" s="220">
        <f t="shared" si="12"/>
        <v>241920</v>
      </c>
      <c r="BK20" s="58"/>
      <c r="BL20" s="58" t="s">
        <v>905</v>
      </c>
      <c r="BM20" s="220" t="s">
        <v>1389</v>
      </c>
      <c r="BN20" s="213" t="s">
        <v>763</v>
      </c>
      <c r="BO20" s="58" t="s">
        <v>530</v>
      </c>
      <c r="BP20" s="199">
        <v>45961</v>
      </c>
      <c r="BQ20" s="2" t="s">
        <v>1386</v>
      </c>
    </row>
    <row r="21" spans="1:69" ht="15.75" customHeight="1">
      <c r="A21" s="213" t="s">
        <v>788</v>
      </c>
      <c r="B21" s="58" t="s">
        <v>184</v>
      </c>
      <c r="C21" s="58" t="s">
        <v>752</v>
      </c>
      <c r="D21" s="214" t="s">
        <v>789</v>
      </c>
      <c r="E21" s="214" t="s">
        <v>789</v>
      </c>
      <c r="F21" s="215" t="s">
        <v>186</v>
      </c>
      <c r="G21" s="216">
        <v>2023</v>
      </c>
      <c r="H21" s="218" t="s">
        <v>800</v>
      </c>
      <c r="I21" s="218" t="s">
        <v>196</v>
      </c>
      <c r="J21" s="217" t="s">
        <v>890</v>
      </c>
      <c r="K21" s="213" t="s">
        <v>221</v>
      </c>
      <c r="L21" s="213" t="s">
        <v>192</v>
      </c>
      <c r="M21" s="219" t="s">
        <v>1389</v>
      </c>
      <c r="N21" s="219">
        <v>24.21</v>
      </c>
      <c r="O21" s="219">
        <v>24.21</v>
      </c>
      <c r="P21" s="219">
        <v>24.21</v>
      </c>
      <c r="Q21" s="219">
        <v>24.21</v>
      </c>
      <c r="R21" s="219">
        <v>24.21</v>
      </c>
      <c r="S21" s="219">
        <v>24.21</v>
      </c>
      <c r="T21" s="219">
        <v>24.21</v>
      </c>
      <c r="U21" s="219">
        <v>24.21</v>
      </c>
      <c r="V21" s="219">
        <v>24.21</v>
      </c>
      <c r="W21" s="219">
        <v>24.21</v>
      </c>
      <c r="X21" s="219">
        <v>24.21</v>
      </c>
      <c r="Y21" s="219">
        <v>24.21</v>
      </c>
      <c r="Z21" s="219">
        <v>0.83</v>
      </c>
      <c r="AA21" s="219">
        <v>0.83</v>
      </c>
      <c r="AB21" s="219">
        <v>0.83</v>
      </c>
      <c r="AC21" s="219">
        <v>0.83</v>
      </c>
      <c r="AD21" s="219">
        <v>0.83</v>
      </c>
      <c r="AE21" s="219">
        <v>0.83</v>
      </c>
      <c r="AF21" s="219">
        <v>0.83</v>
      </c>
      <c r="AG21" s="219">
        <v>0.83</v>
      </c>
      <c r="AH21" s="219">
        <v>0.83</v>
      </c>
      <c r="AI21" s="219">
        <v>0.83</v>
      </c>
      <c r="AJ21" s="219">
        <v>0.83</v>
      </c>
      <c r="AK21" s="219">
        <v>0.83</v>
      </c>
      <c r="AL21" s="229" t="s">
        <v>573</v>
      </c>
      <c r="AM21" s="219">
        <f t="shared" si="5"/>
        <v>0</v>
      </c>
      <c r="AN21" s="229" t="s">
        <v>573</v>
      </c>
      <c r="AO21" s="221">
        <f t="shared" si="6"/>
        <v>0</v>
      </c>
      <c r="AP21" s="222">
        <v>1200</v>
      </c>
      <c r="AQ21" s="221">
        <f t="shared" si="7"/>
        <v>996</v>
      </c>
      <c r="AR21" s="222">
        <v>1200</v>
      </c>
      <c r="AS21" s="58">
        <f t="shared" si="8"/>
        <v>996</v>
      </c>
      <c r="AT21" s="222">
        <v>1200</v>
      </c>
      <c r="AU21" s="58">
        <f t="shared" si="9"/>
        <v>996</v>
      </c>
      <c r="AV21" s="222" t="s">
        <v>573</v>
      </c>
      <c r="AW21" s="58">
        <f t="shared" si="10"/>
        <v>0</v>
      </c>
      <c r="AX21" s="251">
        <v>2400</v>
      </c>
      <c r="AY21" s="58">
        <f t="shared" si="11"/>
        <v>1992</v>
      </c>
      <c r="AZ21" s="222">
        <v>1200</v>
      </c>
      <c r="BA21" s="58">
        <f t="shared" si="0"/>
        <v>996</v>
      </c>
      <c r="BB21" s="222">
        <v>4800</v>
      </c>
      <c r="BC21" s="58">
        <f t="shared" si="1"/>
        <v>3984</v>
      </c>
      <c r="BD21" s="222">
        <v>2400</v>
      </c>
      <c r="BE21" s="58">
        <f t="shared" si="2"/>
        <v>1992</v>
      </c>
      <c r="BF21" s="222" t="s">
        <v>573</v>
      </c>
      <c r="BG21" s="58">
        <f t="shared" si="3"/>
        <v>0</v>
      </c>
      <c r="BH21" s="223" t="s">
        <v>573</v>
      </c>
      <c r="BI21" s="58">
        <f t="shared" si="4"/>
        <v>0</v>
      </c>
      <c r="BJ21" s="220">
        <f t="shared" si="12"/>
        <v>14400</v>
      </c>
      <c r="BK21" s="58"/>
      <c r="BL21" s="58" t="s">
        <v>906</v>
      </c>
      <c r="BM21" s="220" t="s">
        <v>1389</v>
      </c>
      <c r="BN21" s="213" t="s">
        <v>763</v>
      </c>
      <c r="BO21" s="58" t="s">
        <v>1217</v>
      </c>
      <c r="BP21" s="199">
        <v>46022</v>
      </c>
      <c r="BQ21" s="2" t="s">
        <v>1386</v>
      </c>
    </row>
    <row r="22" spans="1:69" ht="15.75" customHeight="1">
      <c r="A22" s="213" t="s">
        <v>788</v>
      </c>
      <c r="B22" s="58" t="s">
        <v>184</v>
      </c>
      <c r="C22" s="58" t="s">
        <v>752</v>
      </c>
      <c r="D22" s="214" t="s">
        <v>789</v>
      </c>
      <c r="E22" s="214" t="s">
        <v>789</v>
      </c>
      <c r="F22" s="215" t="s">
        <v>186</v>
      </c>
      <c r="G22" s="216">
        <v>2021</v>
      </c>
      <c r="H22" s="218" t="s">
        <v>801</v>
      </c>
      <c r="I22" s="218" t="s">
        <v>196</v>
      </c>
      <c r="J22" s="217" t="s">
        <v>890</v>
      </c>
      <c r="K22" s="213" t="s">
        <v>281</v>
      </c>
      <c r="L22" s="213" t="s">
        <v>192</v>
      </c>
      <c r="M22" s="219" t="s">
        <v>1389</v>
      </c>
      <c r="N22" s="219">
        <v>4.6100000000000003</v>
      </c>
      <c r="O22" s="219">
        <v>4.6100000000000003</v>
      </c>
      <c r="P22" s="219">
        <v>4.6100000000000003</v>
      </c>
      <c r="Q22" s="219">
        <v>4.6100000000000003</v>
      </c>
      <c r="R22" s="219">
        <v>4.6100000000000003</v>
      </c>
      <c r="S22" s="219">
        <v>4.6100000000000003</v>
      </c>
      <c r="T22" s="219">
        <v>4.6100000000000003</v>
      </c>
      <c r="U22" s="219">
        <v>4.6100000000000003</v>
      </c>
      <c r="V22" s="219">
        <v>4.6100000000000003</v>
      </c>
      <c r="W22" s="219">
        <v>4.6100000000000003</v>
      </c>
      <c r="X22" s="219">
        <v>4.6100000000000003</v>
      </c>
      <c r="Y22" s="219">
        <v>4.6100000000000003</v>
      </c>
      <c r="Z22" s="219">
        <v>7.0000000000000007E-2</v>
      </c>
      <c r="AA22" s="219">
        <v>7.0000000000000007E-2</v>
      </c>
      <c r="AB22" s="219">
        <v>7.0000000000000007E-2</v>
      </c>
      <c r="AC22" s="219">
        <v>7.0000000000000007E-2</v>
      </c>
      <c r="AD22" s="219">
        <v>7.0000000000000007E-2</v>
      </c>
      <c r="AE22" s="219">
        <v>7.0000000000000007E-2</v>
      </c>
      <c r="AF22" s="219">
        <v>7.0000000000000007E-2</v>
      </c>
      <c r="AG22" s="219">
        <v>7.0000000000000007E-2</v>
      </c>
      <c r="AH22" s="219">
        <v>7.0000000000000007E-2</v>
      </c>
      <c r="AI22" s="219">
        <v>7.0000000000000007E-2</v>
      </c>
      <c r="AJ22" s="219">
        <v>7.0000000000000007E-2</v>
      </c>
      <c r="AK22" s="219">
        <v>7.0000000000000007E-2</v>
      </c>
      <c r="AL22" s="229">
        <v>2880</v>
      </c>
      <c r="AM22" s="219">
        <f t="shared" si="5"/>
        <v>201.60000000000002</v>
      </c>
      <c r="AN22" s="229">
        <v>8640</v>
      </c>
      <c r="AO22" s="221">
        <f t="shared" si="6"/>
        <v>604.80000000000007</v>
      </c>
      <c r="AP22" s="222" t="s">
        <v>573</v>
      </c>
      <c r="AQ22" s="221">
        <f t="shared" si="7"/>
        <v>0</v>
      </c>
      <c r="AR22" s="222">
        <v>5760</v>
      </c>
      <c r="AS22" s="58">
        <f t="shared" si="8"/>
        <v>403.20000000000005</v>
      </c>
      <c r="AT22" s="222" t="s">
        <v>573</v>
      </c>
      <c r="AU22" s="58">
        <f t="shared" si="9"/>
        <v>0</v>
      </c>
      <c r="AV22" s="222">
        <v>2880</v>
      </c>
      <c r="AW22" s="58">
        <f t="shared" si="10"/>
        <v>201.60000000000002</v>
      </c>
      <c r="AX22" s="251" t="s">
        <v>573</v>
      </c>
      <c r="AY22" s="58">
        <f t="shared" si="11"/>
        <v>0</v>
      </c>
      <c r="AZ22" s="222">
        <v>5760</v>
      </c>
      <c r="BA22" s="58">
        <f t="shared" si="0"/>
        <v>403.20000000000005</v>
      </c>
      <c r="BB22" s="222">
        <v>2880</v>
      </c>
      <c r="BC22" s="58">
        <f t="shared" si="1"/>
        <v>201.60000000000002</v>
      </c>
      <c r="BD22" s="222">
        <v>5760</v>
      </c>
      <c r="BE22" s="58">
        <f t="shared" si="2"/>
        <v>403.20000000000005</v>
      </c>
      <c r="BF22" s="222">
        <v>2880</v>
      </c>
      <c r="BG22" s="58">
        <f t="shared" si="3"/>
        <v>201.60000000000002</v>
      </c>
      <c r="BH22" s="223">
        <v>8640</v>
      </c>
      <c r="BI22" s="58">
        <f t="shared" si="4"/>
        <v>604.80000000000007</v>
      </c>
      <c r="BJ22" s="220">
        <f t="shared" si="12"/>
        <v>46080</v>
      </c>
      <c r="BK22" s="58"/>
      <c r="BL22" s="58" t="s">
        <v>907</v>
      </c>
      <c r="BM22" s="220" t="s">
        <v>1389</v>
      </c>
      <c r="BN22" s="213" t="s">
        <v>763</v>
      </c>
      <c r="BO22" s="58" t="s">
        <v>1218</v>
      </c>
      <c r="BP22" s="199">
        <v>45596</v>
      </c>
      <c r="BQ22" s="2" t="s">
        <v>1386</v>
      </c>
    </row>
    <row r="23" spans="1:69" ht="15.75" customHeight="1">
      <c r="A23" s="213" t="s">
        <v>788</v>
      </c>
      <c r="B23" s="58" t="s">
        <v>184</v>
      </c>
      <c r="C23" s="58" t="s">
        <v>752</v>
      </c>
      <c r="D23" s="214" t="s">
        <v>789</v>
      </c>
      <c r="E23" s="214" t="s">
        <v>789</v>
      </c>
      <c r="F23" s="215" t="s">
        <v>186</v>
      </c>
      <c r="G23" s="216">
        <v>2018</v>
      </c>
      <c r="H23" s="218" t="s">
        <v>802</v>
      </c>
      <c r="I23" s="218" t="s">
        <v>196</v>
      </c>
      <c r="J23" s="217" t="s">
        <v>890</v>
      </c>
      <c r="K23" s="213" t="s">
        <v>221</v>
      </c>
      <c r="L23" s="213" t="s">
        <v>869</v>
      </c>
      <c r="M23" s="219" t="s">
        <v>1391</v>
      </c>
      <c r="N23" s="219">
        <v>4.82</v>
      </c>
      <c r="O23" s="219">
        <v>4.82</v>
      </c>
      <c r="P23" s="219">
        <v>4.82</v>
      </c>
      <c r="Q23" s="219">
        <v>4.82</v>
      </c>
      <c r="R23" s="219">
        <v>4.82</v>
      </c>
      <c r="S23" s="219">
        <v>4.82</v>
      </c>
      <c r="T23" s="219">
        <v>4.82</v>
      </c>
      <c r="U23" s="219">
        <v>4.82</v>
      </c>
      <c r="V23" s="219">
        <v>4.82</v>
      </c>
      <c r="W23" s="219">
        <v>4.82</v>
      </c>
      <c r="X23" s="219">
        <v>4.82</v>
      </c>
      <c r="Y23" s="219">
        <v>4.82</v>
      </c>
      <c r="Z23" s="219">
        <v>0.05</v>
      </c>
      <c r="AA23" s="219">
        <v>0.05</v>
      </c>
      <c r="AB23" s="219">
        <v>0.05</v>
      </c>
      <c r="AC23" s="219">
        <v>0.05</v>
      </c>
      <c r="AD23" s="219">
        <v>0.05</v>
      </c>
      <c r="AE23" s="219">
        <v>0.05</v>
      </c>
      <c r="AF23" s="219">
        <v>0.05</v>
      </c>
      <c r="AG23" s="219">
        <v>0.05</v>
      </c>
      <c r="AH23" s="219">
        <v>0.05</v>
      </c>
      <c r="AI23" s="219">
        <v>0.05</v>
      </c>
      <c r="AJ23" s="219">
        <v>0.05</v>
      </c>
      <c r="AK23" s="219">
        <v>0.05</v>
      </c>
      <c r="AL23" s="229" t="s">
        <v>573</v>
      </c>
      <c r="AM23" s="219">
        <f t="shared" si="5"/>
        <v>0</v>
      </c>
      <c r="AN23" s="229" t="s">
        <v>573</v>
      </c>
      <c r="AO23" s="221">
        <f t="shared" si="6"/>
        <v>0</v>
      </c>
      <c r="AP23" s="222" t="s">
        <v>573</v>
      </c>
      <c r="AQ23" s="221">
        <f t="shared" si="7"/>
        <v>0</v>
      </c>
      <c r="AR23" s="222" t="s">
        <v>573</v>
      </c>
      <c r="AS23" s="58">
        <f t="shared" si="8"/>
        <v>0</v>
      </c>
      <c r="AT23" s="222" t="s">
        <v>573</v>
      </c>
      <c r="AU23" s="58">
        <f t="shared" si="9"/>
        <v>0</v>
      </c>
      <c r="AV23" s="222">
        <v>34560</v>
      </c>
      <c r="AW23" s="58">
        <f t="shared" si="10"/>
        <v>1728</v>
      </c>
      <c r="AX23" s="251" t="s">
        <v>573</v>
      </c>
      <c r="AY23" s="58">
        <f t="shared" si="11"/>
        <v>0</v>
      </c>
      <c r="AZ23" s="222" t="s">
        <v>573</v>
      </c>
      <c r="BA23" s="58">
        <f t="shared" si="0"/>
        <v>0</v>
      </c>
      <c r="BB23" s="222">
        <v>93480</v>
      </c>
      <c r="BC23" s="58">
        <f t="shared" si="1"/>
        <v>4674</v>
      </c>
      <c r="BD23" s="222">
        <v>69120</v>
      </c>
      <c r="BE23" s="58">
        <f t="shared" si="2"/>
        <v>3456</v>
      </c>
      <c r="BF23" s="222">
        <v>43200</v>
      </c>
      <c r="BG23" s="58">
        <f t="shared" si="3"/>
        <v>2160</v>
      </c>
      <c r="BH23" s="223">
        <v>43200</v>
      </c>
      <c r="BI23" s="58">
        <f t="shared" si="4"/>
        <v>2160</v>
      </c>
      <c r="BJ23" s="220">
        <f t="shared" si="12"/>
        <v>283560</v>
      </c>
      <c r="BK23" s="58"/>
      <c r="BL23" s="58" t="s">
        <v>908</v>
      </c>
      <c r="BM23" s="220" t="s">
        <v>1391</v>
      </c>
      <c r="BN23" s="213" t="s">
        <v>197</v>
      </c>
      <c r="BO23" s="58" t="s">
        <v>588</v>
      </c>
      <c r="BP23" s="199">
        <v>46022</v>
      </c>
      <c r="BQ23" s="2" t="s">
        <v>1404</v>
      </c>
    </row>
    <row r="24" spans="1:69" ht="15.75" customHeight="1">
      <c r="A24" s="213" t="s">
        <v>788</v>
      </c>
      <c r="B24" s="58" t="s">
        <v>184</v>
      </c>
      <c r="C24" s="58" t="s">
        <v>752</v>
      </c>
      <c r="D24" s="214" t="s">
        <v>789</v>
      </c>
      <c r="E24" s="214" t="s">
        <v>789</v>
      </c>
      <c r="F24" s="215" t="s">
        <v>186</v>
      </c>
      <c r="G24" s="216">
        <v>2018</v>
      </c>
      <c r="H24" s="218" t="s">
        <v>802</v>
      </c>
      <c r="I24" s="218" t="s">
        <v>196</v>
      </c>
      <c r="J24" s="217" t="s">
        <v>890</v>
      </c>
      <c r="K24" s="213" t="s">
        <v>245</v>
      </c>
      <c r="L24" s="213" t="s">
        <v>869</v>
      </c>
      <c r="M24" s="219" t="s">
        <v>1391</v>
      </c>
      <c r="N24" s="219">
        <v>5.05</v>
      </c>
      <c r="O24" s="219">
        <v>5.05</v>
      </c>
      <c r="P24" s="219">
        <v>5.05</v>
      </c>
      <c r="Q24" s="219">
        <v>5.05</v>
      </c>
      <c r="R24" s="219">
        <v>5.05</v>
      </c>
      <c r="S24" s="219">
        <v>5.05</v>
      </c>
      <c r="T24" s="219">
        <v>5.05</v>
      </c>
      <c r="U24" s="219">
        <v>5.05</v>
      </c>
      <c r="V24" s="219">
        <v>5.05</v>
      </c>
      <c r="W24" s="219">
        <v>5.05</v>
      </c>
      <c r="X24" s="219">
        <v>5.05</v>
      </c>
      <c r="Y24" s="219">
        <v>5.05</v>
      </c>
      <c r="Z24" s="219">
        <v>0.05</v>
      </c>
      <c r="AA24" s="219">
        <v>0.05</v>
      </c>
      <c r="AB24" s="219">
        <v>0.05</v>
      </c>
      <c r="AC24" s="219">
        <v>0.05</v>
      </c>
      <c r="AD24" s="219">
        <v>0.05</v>
      </c>
      <c r="AE24" s="219">
        <v>0.05</v>
      </c>
      <c r="AF24" s="219">
        <v>0.05</v>
      </c>
      <c r="AG24" s="219">
        <v>0.05</v>
      </c>
      <c r="AH24" s="219">
        <v>0.05</v>
      </c>
      <c r="AI24" s="219">
        <v>0.05</v>
      </c>
      <c r="AJ24" s="219">
        <v>0.05</v>
      </c>
      <c r="AK24" s="219">
        <v>0.05</v>
      </c>
      <c r="AL24" s="229" t="s">
        <v>573</v>
      </c>
      <c r="AM24" s="219">
        <f t="shared" si="5"/>
        <v>0</v>
      </c>
      <c r="AN24" s="229" t="s">
        <v>573</v>
      </c>
      <c r="AO24" s="221">
        <f t="shared" si="6"/>
        <v>0</v>
      </c>
      <c r="AP24" s="222" t="s">
        <v>573</v>
      </c>
      <c r="AQ24" s="221">
        <f t="shared" si="7"/>
        <v>0</v>
      </c>
      <c r="AR24" s="222" t="s">
        <v>573</v>
      </c>
      <c r="AS24" s="58">
        <f t="shared" si="8"/>
        <v>0</v>
      </c>
      <c r="AT24" s="222" t="s">
        <v>573</v>
      </c>
      <c r="AU24" s="58">
        <f t="shared" si="9"/>
        <v>0</v>
      </c>
      <c r="AV24" s="222">
        <v>4320</v>
      </c>
      <c r="AW24" s="58">
        <f t="shared" si="10"/>
        <v>216</v>
      </c>
      <c r="AX24" s="251">
        <v>4320</v>
      </c>
      <c r="AY24" s="58">
        <f t="shared" si="11"/>
        <v>216</v>
      </c>
      <c r="AZ24" s="222">
        <v>4320</v>
      </c>
      <c r="BA24" s="58">
        <f t="shared" si="0"/>
        <v>216</v>
      </c>
      <c r="BB24" s="222">
        <v>8640</v>
      </c>
      <c r="BC24" s="58">
        <f t="shared" si="1"/>
        <v>432</v>
      </c>
      <c r="BD24" s="222">
        <v>4320</v>
      </c>
      <c r="BE24" s="58">
        <f t="shared" si="2"/>
        <v>216</v>
      </c>
      <c r="BF24" s="222" t="s">
        <v>573</v>
      </c>
      <c r="BG24" s="58">
        <f t="shared" si="3"/>
        <v>0</v>
      </c>
      <c r="BH24" s="223" t="s">
        <v>573</v>
      </c>
      <c r="BI24" s="58">
        <f t="shared" si="4"/>
        <v>0</v>
      </c>
      <c r="BJ24" s="220">
        <f t="shared" si="12"/>
        <v>25920</v>
      </c>
      <c r="BK24" s="58"/>
      <c r="BL24" s="58" t="s">
        <v>909</v>
      </c>
      <c r="BM24" s="220" t="s">
        <v>1391</v>
      </c>
      <c r="BN24" s="213" t="s">
        <v>197</v>
      </c>
      <c r="BO24" s="58" t="s">
        <v>589</v>
      </c>
      <c r="BP24" s="199">
        <v>46022</v>
      </c>
      <c r="BQ24" s="2" t="s">
        <v>1404</v>
      </c>
    </row>
    <row r="25" spans="1:69" ht="15.75" customHeight="1">
      <c r="A25" s="213" t="s">
        <v>788</v>
      </c>
      <c r="B25" s="58" t="s">
        <v>184</v>
      </c>
      <c r="C25" s="58" t="s">
        <v>752</v>
      </c>
      <c r="D25" s="214" t="s">
        <v>789</v>
      </c>
      <c r="E25" s="214" t="s">
        <v>789</v>
      </c>
      <c r="F25" s="215" t="s">
        <v>186</v>
      </c>
      <c r="G25" s="216">
        <v>2018</v>
      </c>
      <c r="H25" s="218" t="s">
        <v>802</v>
      </c>
      <c r="I25" s="218" t="s">
        <v>196</v>
      </c>
      <c r="J25" s="217" t="s">
        <v>890</v>
      </c>
      <c r="K25" s="213" t="s">
        <v>281</v>
      </c>
      <c r="L25" s="213" t="s">
        <v>869</v>
      </c>
      <c r="M25" s="219" t="s">
        <v>1391</v>
      </c>
      <c r="N25" s="219">
        <v>5.64</v>
      </c>
      <c r="O25" s="219">
        <v>5.64</v>
      </c>
      <c r="P25" s="219">
        <v>5.64</v>
      </c>
      <c r="Q25" s="219">
        <v>5.64</v>
      </c>
      <c r="R25" s="219">
        <v>5.64</v>
      </c>
      <c r="S25" s="219">
        <v>5.64</v>
      </c>
      <c r="T25" s="219">
        <v>5.64</v>
      </c>
      <c r="U25" s="219">
        <v>5.64</v>
      </c>
      <c r="V25" s="219">
        <v>5.64</v>
      </c>
      <c r="W25" s="219">
        <v>5.64</v>
      </c>
      <c r="X25" s="219">
        <v>5.64</v>
      </c>
      <c r="Y25" s="219">
        <v>5.64</v>
      </c>
      <c r="Z25" s="219">
        <v>0.05</v>
      </c>
      <c r="AA25" s="219">
        <v>0.05</v>
      </c>
      <c r="AB25" s="219">
        <v>0.05</v>
      </c>
      <c r="AC25" s="219">
        <v>0.05</v>
      </c>
      <c r="AD25" s="219">
        <v>0.05</v>
      </c>
      <c r="AE25" s="219">
        <v>0.05</v>
      </c>
      <c r="AF25" s="219">
        <v>0.05</v>
      </c>
      <c r="AG25" s="219">
        <v>0.05</v>
      </c>
      <c r="AH25" s="219">
        <v>0.05</v>
      </c>
      <c r="AI25" s="219">
        <v>0.05</v>
      </c>
      <c r="AJ25" s="219">
        <v>0.05</v>
      </c>
      <c r="AK25" s="219">
        <v>0.05</v>
      </c>
      <c r="AL25" s="229" t="s">
        <v>573</v>
      </c>
      <c r="AM25" s="219">
        <f t="shared" si="5"/>
        <v>0</v>
      </c>
      <c r="AN25" s="229">
        <v>4320</v>
      </c>
      <c r="AO25" s="221">
        <f t="shared" si="6"/>
        <v>216</v>
      </c>
      <c r="AP25" s="222" t="s">
        <v>573</v>
      </c>
      <c r="AQ25" s="221">
        <f t="shared" si="7"/>
        <v>0</v>
      </c>
      <c r="AR25" s="222">
        <v>4320</v>
      </c>
      <c r="AS25" s="58">
        <f t="shared" si="8"/>
        <v>216</v>
      </c>
      <c r="AT25" s="222" t="s">
        <v>573</v>
      </c>
      <c r="AU25" s="58">
        <f t="shared" si="9"/>
        <v>0</v>
      </c>
      <c r="AV25" s="222">
        <v>8640</v>
      </c>
      <c r="AW25" s="58">
        <f t="shared" si="10"/>
        <v>432</v>
      </c>
      <c r="AX25" s="251" t="s">
        <v>573</v>
      </c>
      <c r="AY25" s="58">
        <f t="shared" si="11"/>
        <v>0</v>
      </c>
      <c r="AZ25" s="222" t="s">
        <v>573</v>
      </c>
      <c r="BA25" s="58">
        <f t="shared" si="0"/>
        <v>0</v>
      </c>
      <c r="BB25" s="222">
        <v>17280</v>
      </c>
      <c r="BC25" s="58">
        <f t="shared" si="1"/>
        <v>864</v>
      </c>
      <c r="BD25" s="222" t="s">
        <v>573</v>
      </c>
      <c r="BE25" s="58">
        <f t="shared" si="2"/>
        <v>0</v>
      </c>
      <c r="BF25" s="222" t="s">
        <v>573</v>
      </c>
      <c r="BG25" s="58">
        <f t="shared" si="3"/>
        <v>0</v>
      </c>
      <c r="BH25" s="223" t="s">
        <v>573</v>
      </c>
      <c r="BI25" s="58">
        <f t="shared" si="4"/>
        <v>0</v>
      </c>
      <c r="BJ25" s="220">
        <f t="shared" si="12"/>
        <v>34560</v>
      </c>
      <c r="BK25" s="58"/>
      <c r="BL25" s="58" t="s">
        <v>910</v>
      </c>
      <c r="BM25" s="220" t="s">
        <v>1391</v>
      </c>
      <c r="BN25" s="213" t="s">
        <v>197</v>
      </c>
      <c r="BO25" s="58" t="s">
        <v>590</v>
      </c>
      <c r="BP25" s="199">
        <v>46022</v>
      </c>
      <c r="BQ25" s="2" t="s">
        <v>1404</v>
      </c>
    </row>
    <row r="26" spans="1:69" ht="15.75" customHeight="1">
      <c r="A26" s="213" t="s">
        <v>788</v>
      </c>
      <c r="B26" s="58" t="s">
        <v>184</v>
      </c>
      <c r="C26" s="58" t="s">
        <v>752</v>
      </c>
      <c r="D26" s="214" t="s">
        <v>789</v>
      </c>
      <c r="E26" s="214" t="s">
        <v>789</v>
      </c>
      <c r="F26" s="215" t="s">
        <v>186</v>
      </c>
      <c r="G26" s="216">
        <v>2016</v>
      </c>
      <c r="H26" s="218" t="s">
        <v>803</v>
      </c>
      <c r="I26" s="218" t="s">
        <v>196</v>
      </c>
      <c r="J26" s="217" t="s">
        <v>890</v>
      </c>
      <c r="K26" s="213" t="s">
        <v>306</v>
      </c>
      <c r="L26" s="213" t="s">
        <v>192</v>
      </c>
      <c r="M26" s="219" t="s">
        <v>1389</v>
      </c>
      <c r="N26" s="219">
        <v>4.04</v>
      </c>
      <c r="O26" s="219">
        <v>4.04</v>
      </c>
      <c r="P26" s="219">
        <v>4.04</v>
      </c>
      <c r="Q26" s="219">
        <v>4.04</v>
      </c>
      <c r="R26" s="219">
        <v>4.04</v>
      </c>
      <c r="S26" s="219">
        <v>4.04</v>
      </c>
      <c r="T26" s="219">
        <v>4.04</v>
      </c>
      <c r="U26" s="219">
        <v>4.04</v>
      </c>
      <c r="V26" s="219">
        <v>4.04</v>
      </c>
      <c r="W26" s="219">
        <v>4.04</v>
      </c>
      <c r="X26" s="219">
        <v>4.04</v>
      </c>
      <c r="Y26" s="219">
        <v>4.04</v>
      </c>
      <c r="Z26" s="219">
        <v>0.04</v>
      </c>
      <c r="AA26" s="219">
        <v>0.04</v>
      </c>
      <c r="AB26" s="219">
        <v>0.04</v>
      </c>
      <c r="AC26" s="219">
        <v>0.04</v>
      </c>
      <c r="AD26" s="219">
        <v>0.04</v>
      </c>
      <c r="AE26" s="219">
        <v>0.04</v>
      </c>
      <c r="AF26" s="219">
        <v>0.04</v>
      </c>
      <c r="AG26" s="219">
        <v>0.04</v>
      </c>
      <c r="AH26" s="219">
        <v>0.04</v>
      </c>
      <c r="AI26" s="219">
        <v>0.04</v>
      </c>
      <c r="AJ26" s="219">
        <v>0.04</v>
      </c>
      <c r="AK26" s="219">
        <v>0.04</v>
      </c>
      <c r="AL26" s="229" t="s">
        <v>573</v>
      </c>
      <c r="AM26" s="219">
        <f t="shared" si="5"/>
        <v>0</v>
      </c>
      <c r="AN26" s="229" t="s">
        <v>573</v>
      </c>
      <c r="AO26" s="221">
        <f t="shared" si="6"/>
        <v>0</v>
      </c>
      <c r="AP26" s="222" t="s">
        <v>573</v>
      </c>
      <c r="AQ26" s="221">
        <f t="shared" si="7"/>
        <v>0</v>
      </c>
      <c r="AR26" s="222" t="s">
        <v>573</v>
      </c>
      <c r="AS26" s="58">
        <f t="shared" si="8"/>
        <v>0</v>
      </c>
      <c r="AT26" s="222" t="s">
        <v>573</v>
      </c>
      <c r="AU26" s="58">
        <f t="shared" si="9"/>
        <v>0</v>
      </c>
      <c r="AV26" s="222" t="s">
        <v>573</v>
      </c>
      <c r="AW26" s="58">
        <f t="shared" si="10"/>
        <v>0</v>
      </c>
      <c r="AX26" s="251">
        <v>4320</v>
      </c>
      <c r="AY26" s="58">
        <f t="shared" si="11"/>
        <v>172.8</v>
      </c>
      <c r="AZ26" s="222" t="s">
        <v>573</v>
      </c>
      <c r="BA26" s="58">
        <f t="shared" si="0"/>
        <v>0</v>
      </c>
      <c r="BB26" s="222" t="s">
        <v>573</v>
      </c>
      <c r="BC26" s="58">
        <f t="shared" si="1"/>
        <v>0</v>
      </c>
      <c r="BD26" s="222" t="s">
        <v>573</v>
      </c>
      <c r="BE26" s="58">
        <f t="shared" si="2"/>
        <v>0</v>
      </c>
      <c r="BF26" s="222" t="s">
        <v>573</v>
      </c>
      <c r="BG26" s="58">
        <f t="shared" si="3"/>
        <v>0</v>
      </c>
      <c r="BH26" s="223" t="s">
        <v>573</v>
      </c>
      <c r="BI26" s="58">
        <f t="shared" si="4"/>
        <v>0</v>
      </c>
      <c r="BJ26" s="220">
        <f t="shared" si="12"/>
        <v>4320</v>
      </c>
      <c r="BK26" s="58"/>
      <c r="BL26" s="58" t="s">
        <v>911</v>
      </c>
      <c r="BM26" s="220" t="s">
        <v>1389</v>
      </c>
      <c r="BN26" s="213" t="s">
        <v>763</v>
      </c>
      <c r="BO26" s="58" t="s">
        <v>520</v>
      </c>
      <c r="BP26" s="199">
        <v>46022</v>
      </c>
      <c r="BQ26" s="2" t="s">
        <v>1386</v>
      </c>
    </row>
    <row r="27" spans="1:69" ht="15.75" customHeight="1">
      <c r="A27" s="213" t="s">
        <v>788</v>
      </c>
      <c r="B27" s="58" t="s">
        <v>184</v>
      </c>
      <c r="C27" s="58" t="s">
        <v>752</v>
      </c>
      <c r="D27" s="214" t="s">
        <v>789</v>
      </c>
      <c r="E27" s="214" t="s">
        <v>789</v>
      </c>
      <c r="F27" s="215" t="s">
        <v>186</v>
      </c>
      <c r="G27" s="216">
        <v>2018</v>
      </c>
      <c r="H27" s="218" t="s">
        <v>802</v>
      </c>
      <c r="I27" s="218" t="s">
        <v>196</v>
      </c>
      <c r="J27" s="217" t="s">
        <v>890</v>
      </c>
      <c r="K27" s="213" t="s">
        <v>221</v>
      </c>
      <c r="L27" s="213" t="s">
        <v>192</v>
      </c>
      <c r="M27" s="219" t="s">
        <v>1389</v>
      </c>
      <c r="N27" s="219">
        <v>4.54</v>
      </c>
      <c r="O27" s="219">
        <v>4.54</v>
      </c>
      <c r="P27" s="219">
        <v>4.54</v>
      </c>
      <c r="Q27" s="219">
        <v>4.54</v>
      </c>
      <c r="R27" s="219">
        <v>4.54</v>
      </c>
      <c r="S27" s="219">
        <v>4.54</v>
      </c>
      <c r="T27" s="219">
        <v>4.54</v>
      </c>
      <c r="U27" s="219">
        <v>4.54</v>
      </c>
      <c r="V27" s="219">
        <v>4.54</v>
      </c>
      <c r="W27" s="219">
        <v>4.54</v>
      </c>
      <c r="X27" s="219">
        <v>4.54</v>
      </c>
      <c r="Y27" s="219">
        <v>4.54</v>
      </c>
      <c r="Z27" s="219">
        <v>0.05</v>
      </c>
      <c r="AA27" s="219">
        <v>0.05</v>
      </c>
      <c r="AB27" s="219">
        <v>0.05</v>
      </c>
      <c r="AC27" s="219">
        <v>0.05</v>
      </c>
      <c r="AD27" s="219">
        <v>0.05</v>
      </c>
      <c r="AE27" s="219">
        <v>0.05</v>
      </c>
      <c r="AF27" s="219">
        <v>0.05</v>
      </c>
      <c r="AG27" s="219">
        <v>0.05</v>
      </c>
      <c r="AH27" s="219">
        <v>0.05</v>
      </c>
      <c r="AI27" s="219">
        <v>0.05</v>
      </c>
      <c r="AJ27" s="219">
        <v>0.05</v>
      </c>
      <c r="AK27" s="219">
        <v>0.05</v>
      </c>
      <c r="AL27" s="229">
        <v>12960</v>
      </c>
      <c r="AM27" s="219">
        <f t="shared" si="5"/>
        <v>648</v>
      </c>
      <c r="AN27" s="229">
        <v>4320</v>
      </c>
      <c r="AO27" s="221">
        <f t="shared" si="6"/>
        <v>216</v>
      </c>
      <c r="AP27" s="222">
        <v>4320</v>
      </c>
      <c r="AQ27" s="221">
        <f t="shared" si="7"/>
        <v>216</v>
      </c>
      <c r="AR27" s="222">
        <v>8640</v>
      </c>
      <c r="AS27" s="58">
        <f t="shared" si="8"/>
        <v>432</v>
      </c>
      <c r="AT27" s="222">
        <v>12960</v>
      </c>
      <c r="AU27" s="58">
        <f t="shared" si="9"/>
        <v>648</v>
      </c>
      <c r="AV27" s="222" t="s">
        <v>573</v>
      </c>
      <c r="AW27" s="58">
        <f t="shared" si="10"/>
        <v>0</v>
      </c>
      <c r="AX27" s="251" t="s">
        <v>573</v>
      </c>
      <c r="AY27" s="58">
        <f t="shared" si="11"/>
        <v>0</v>
      </c>
      <c r="AZ27" s="222">
        <v>8640</v>
      </c>
      <c r="BA27" s="58">
        <f t="shared" si="0"/>
        <v>432</v>
      </c>
      <c r="BB27" s="222" t="s">
        <v>573</v>
      </c>
      <c r="BC27" s="58">
        <f t="shared" si="1"/>
        <v>0</v>
      </c>
      <c r="BD27" s="222" t="s">
        <v>573</v>
      </c>
      <c r="BE27" s="58">
        <f t="shared" si="2"/>
        <v>0</v>
      </c>
      <c r="BF27" s="222" t="s">
        <v>573</v>
      </c>
      <c r="BG27" s="58">
        <f t="shared" si="3"/>
        <v>0</v>
      </c>
      <c r="BH27" s="223">
        <v>4320</v>
      </c>
      <c r="BI27" s="58">
        <f t="shared" si="4"/>
        <v>216</v>
      </c>
      <c r="BJ27" s="220">
        <f t="shared" si="12"/>
        <v>56160</v>
      </c>
      <c r="BK27" s="58"/>
      <c r="BL27" s="58" t="s">
        <v>912</v>
      </c>
      <c r="BM27" s="220" t="s">
        <v>1389</v>
      </c>
      <c r="BN27" s="213" t="s">
        <v>763</v>
      </c>
      <c r="BO27" s="58" t="s">
        <v>1363</v>
      </c>
      <c r="BP27" s="199">
        <v>46022</v>
      </c>
      <c r="BQ27" s="2" t="s">
        <v>1386</v>
      </c>
    </row>
    <row r="28" spans="1:69" ht="14.85" customHeight="1">
      <c r="A28" s="213" t="s">
        <v>788</v>
      </c>
      <c r="B28" s="58" t="s">
        <v>184</v>
      </c>
      <c r="C28" s="58" t="s">
        <v>752</v>
      </c>
      <c r="D28" s="214" t="s">
        <v>789</v>
      </c>
      <c r="E28" s="214" t="s">
        <v>789</v>
      </c>
      <c r="F28" s="215" t="s">
        <v>186</v>
      </c>
      <c r="G28" s="216">
        <v>2018</v>
      </c>
      <c r="H28" s="218" t="s">
        <v>802</v>
      </c>
      <c r="I28" s="218" t="s">
        <v>196</v>
      </c>
      <c r="J28" s="217" t="s">
        <v>890</v>
      </c>
      <c r="K28" s="213" t="s">
        <v>221</v>
      </c>
      <c r="L28" s="213" t="s">
        <v>192</v>
      </c>
      <c r="M28" s="219" t="s">
        <v>1388</v>
      </c>
      <c r="N28" s="219">
        <v>5.14</v>
      </c>
      <c r="O28" s="219">
        <v>5.14</v>
      </c>
      <c r="P28" s="219">
        <v>5.14</v>
      </c>
      <c r="Q28" s="219">
        <v>5.14</v>
      </c>
      <c r="R28" s="219">
        <v>5.14</v>
      </c>
      <c r="S28" s="219">
        <v>5.14</v>
      </c>
      <c r="T28" s="219">
        <v>5.14</v>
      </c>
      <c r="U28" s="219">
        <v>5.14</v>
      </c>
      <c r="V28" s="219">
        <v>5.14</v>
      </c>
      <c r="W28" s="219">
        <v>5.14</v>
      </c>
      <c r="X28" s="219">
        <v>5.14</v>
      </c>
      <c r="Y28" s="219">
        <v>5.14</v>
      </c>
      <c r="Z28" s="219">
        <v>0.14000000000000001</v>
      </c>
      <c r="AA28" s="219">
        <v>0.14000000000000001</v>
      </c>
      <c r="AB28" s="219">
        <v>0.14000000000000001</v>
      </c>
      <c r="AC28" s="219">
        <v>0.14000000000000001</v>
      </c>
      <c r="AD28" s="219">
        <v>0.14000000000000001</v>
      </c>
      <c r="AE28" s="219">
        <v>0.14000000000000001</v>
      </c>
      <c r="AF28" s="219">
        <v>0.14000000000000001</v>
      </c>
      <c r="AG28" s="219">
        <v>0.14000000000000001</v>
      </c>
      <c r="AH28" s="219">
        <v>0.14000000000000001</v>
      </c>
      <c r="AI28" s="219">
        <v>0.14000000000000001</v>
      </c>
      <c r="AJ28" s="219">
        <v>0.14000000000000001</v>
      </c>
      <c r="AK28" s="219">
        <v>0.14000000000000001</v>
      </c>
      <c r="AL28" s="229">
        <v>1380</v>
      </c>
      <c r="AM28" s="219">
        <f t="shared" si="5"/>
        <v>193.20000000000002</v>
      </c>
      <c r="AN28" s="229" t="s">
        <v>573</v>
      </c>
      <c r="AO28" s="221">
        <f t="shared" si="6"/>
        <v>0</v>
      </c>
      <c r="AP28" s="222" t="s">
        <v>573</v>
      </c>
      <c r="AQ28" s="221">
        <f t="shared" si="7"/>
        <v>0</v>
      </c>
      <c r="AR28" s="222" t="s">
        <v>573</v>
      </c>
      <c r="AS28" s="58">
        <f t="shared" si="8"/>
        <v>0</v>
      </c>
      <c r="AT28" s="222" t="s">
        <v>573</v>
      </c>
      <c r="AU28" s="58">
        <f t="shared" si="9"/>
        <v>0</v>
      </c>
      <c r="AV28" s="222" t="s">
        <v>573</v>
      </c>
      <c r="AW28" s="58">
        <f t="shared" si="10"/>
        <v>0</v>
      </c>
      <c r="AX28" s="251" t="s">
        <v>573</v>
      </c>
      <c r="AY28" s="58">
        <f t="shared" si="11"/>
        <v>0</v>
      </c>
      <c r="AZ28" s="222" t="s">
        <v>573</v>
      </c>
      <c r="BA28" s="58">
        <f t="shared" si="0"/>
        <v>0</v>
      </c>
      <c r="BB28" s="222" t="s">
        <v>573</v>
      </c>
      <c r="BC28" s="58">
        <f t="shared" si="1"/>
        <v>0</v>
      </c>
      <c r="BD28" s="222" t="s">
        <v>573</v>
      </c>
      <c r="BE28" s="58">
        <f t="shared" si="2"/>
        <v>0</v>
      </c>
      <c r="BF28" s="222" t="s">
        <v>573</v>
      </c>
      <c r="BG28" s="58">
        <f t="shared" si="3"/>
        <v>0</v>
      </c>
      <c r="BH28" s="223" t="s">
        <v>573</v>
      </c>
      <c r="BI28" s="58">
        <f t="shared" si="4"/>
        <v>0</v>
      </c>
      <c r="BJ28" s="220">
        <f t="shared" si="12"/>
        <v>1380</v>
      </c>
      <c r="BK28" s="58"/>
      <c r="BL28" s="58" t="s">
        <v>913</v>
      </c>
      <c r="BM28" s="220" t="s">
        <v>1388</v>
      </c>
      <c r="BN28" s="213" t="s">
        <v>754</v>
      </c>
      <c r="BO28" s="58" t="s">
        <v>1219</v>
      </c>
      <c r="BP28" s="199">
        <v>46022</v>
      </c>
      <c r="BQ28" s="2" t="s">
        <v>1386</v>
      </c>
    </row>
    <row r="29" spans="1:69" ht="15.75" customHeight="1">
      <c r="A29" s="213" t="s">
        <v>788</v>
      </c>
      <c r="B29" s="58" t="s">
        <v>184</v>
      </c>
      <c r="C29" s="58" t="s">
        <v>752</v>
      </c>
      <c r="D29" s="214" t="s">
        <v>789</v>
      </c>
      <c r="E29" s="214" t="s">
        <v>789</v>
      </c>
      <c r="F29" s="215" t="s">
        <v>186</v>
      </c>
      <c r="G29" s="216">
        <v>2018</v>
      </c>
      <c r="H29" s="218" t="s">
        <v>802</v>
      </c>
      <c r="I29" s="218" t="s">
        <v>196</v>
      </c>
      <c r="J29" s="217" t="s">
        <v>890</v>
      </c>
      <c r="K29" s="213" t="s">
        <v>291</v>
      </c>
      <c r="L29" s="213" t="s">
        <v>192</v>
      </c>
      <c r="M29" s="219" t="s">
        <v>1389</v>
      </c>
      <c r="N29" s="219">
        <v>5.14</v>
      </c>
      <c r="O29" s="219">
        <v>5.14</v>
      </c>
      <c r="P29" s="219">
        <v>5.14</v>
      </c>
      <c r="Q29" s="219">
        <v>5.14</v>
      </c>
      <c r="R29" s="219">
        <v>5.14</v>
      </c>
      <c r="S29" s="219">
        <v>5.14</v>
      </c>
      <c r="T29" s="219">
        <v>5.14</v>
      </c>
      <c r="U29" s="219">
        <v>5.14</v>
      </c>
      <c r="V29" s="219">
        <v>5.14</v>
      </c>
      <c r="W29" s="219">
        <v>5.14</v>
      </c>
      <c r="X29" s="219">
        <v>5.14</v>
      </c>
      <c r="Y29" s="219">
        <v>5.14</v>
      </c>
      <c r="Z29" s="219">
        <v>0.05</v>
      </c>
      <c r="AA29" s="219">
        <v>0.05</v>
      </c>
      <c r="AB29" s="219">
        <v>0.05</v>
      </c>
      <c r="AC29" s="219">
        <v>0.05</v>
      </c>
      <c r="AD29" s="219">
        <v>0.05</v>
      </c>
      <c r="AE29" s="219">
        <v>0.05</v>
      </c>
      <c r="AF29" s="219">
        <v>0.05</v>
      </c>
      <c r="AG29" s="219">
        <v>0.05</v>
      </c>
      <c r="AH29" s="219">
        <v>0.05</v>
      </c>
      <c r="AI29" s="219">
        <v>0.05</v>
      </c>
      <c r="AJ29" s="219">
        <v>0.05</v>
      </c>
      <c r="AK29" s="219">
        <v>0.05</v>
      </c>
      <c r="AL29" s="229">
        <v>2760</v>
      </c>
      <c r="AM29" s="219">
        <f t="shared" si="5"/>
        <v>138</v>
      </c>
      <c r="AN29" s="229" t="s">
        <v>573</v>
      </c>
      <c r="AO29" s="221">
        <f t="shared" si="6"/>
        <v>0</v>
      </c>
      <c r="AP29" s="222" t="s">
        <v>573</v>
      </c>
      <c r="AQ29" s="221">
        <f t="shared" si="7"/>
        <v>0</v>
      </c>
      <c r="AR29" s="222">
        <v>1380</v>
      </c>
      <c r="AS29" s="58">
        <f t="shared" si="8"/>
        <v>69</v>
      </c>
      <c r="AT29" s="222">
        <v>1380</v>
      </c>
      <c r="AU29" s="58">
        <f t="shared" si="9"/>
        <v>69</v>
      </c>
      <c r="AV29" s="222" t="s">
        <v>573</v>
      </c>
      <c r="AW29" s="58">
        <f t="shared" si="10"/>
        <v>0</v>
      </c>
      <c r="AX29" s="251" t="s">
        <v>573</v>
      </c>
      <c r="AY29" s="58">
        <f t="shared" si="11"/>
        <v>0</v>
      </c>
      <c r="AZ29" s="222">
        <v>1380</v>
      </c>
      <c r="BA29" s="58">
        <f t="shared" si="0"/>
        <v>69</v>
      </c>
      <c r="BB29" s="222" t="s">
        <v>573</v>
      </c>
      <c r="BC29" s="58">
        <f t="shared" si="1"/>
        <v>0</v>
      </c>
      <c r="BD29" s="222" t="s">
        <v>573</v>
      </c>
      <c r="BE29" s="58">
        <f t="shared" si="2"/>
        <v>0</v>
      </c>
      <c r="BF29" s="222">
        <v>2760</v>
      </c>
      <c r="BG29" s="58">
        <f t="shared" si="3"/>
        <v>138</v>
      </c>
      <c r="BH29" s="223" t="s">
        <v>573</v>
      </c>
      <c r="BI29" s="58">
        <f t="shared" si="4"/>
        <v>0</v>
      </c>
      <c r="BJ29" s="220">
        <f t="shared" si="12"/>
        <v>9660</v>
      </c>
      <c r="BK29" s="58"/>
      <c r="BL29" s="58" t="s">
        <v>914</v>
      </c>
      <c r="BM29" s="220" t="s">
        <v>1389</v>
      </c>
      <c r="BN29" s="213" t="s">
        <v>763</v>
      </c>
      <c r="BO29" s="58" t="s">
        <v>1220</v>
      </c>
      <c r="BP29" s="199">
        <v>46022</v>
      </c>
      <c r="BQ29" s="2" t="s">
        <v>1386</v>
      </c>
    </row>
    <row r="30" spans="1:69" ht="15.75" customHeight="1">
      <c r="A30" s="213" t="s">
        <v>788</v>
      </c>
      <c r="B30" s="58" t="s">
        <v>184</v>
      </c>
      <c r="C30" s="58" t="s">
        <v>752</v>
      </c>
      <c r="D30" s="214" t="s">
        <v>789</v>
      </c>
      <c r="E30" s="214" t="s">
        <v>789</v>
      </c>
      <c r="F30" s="215" t="s">
        <v>186</v>
      </c>
      <c r="G30" s="216">
        <v>2018</v>
      </c>
      <c r="H30" s="218" t="s">
        <v>802</v>
      </c>
      <c r="I30" s="218" t="s">
        <v>196</v>
      </c>
      <c r="J30" s="217" t="s">
        <v>890</v>
      </c>
      <c r="K30" s="213" t="s">
        <v>245</v>
      </c>
      <c r="L30" s="213" t="s">
        <v>192</v>
      </c>
      <c r="M30" s="219" t="s">
        <v>1389</v>
      </c>
      <c r="N30" s="219">
        <v>5.14</v>
      </c>
      <c r="O30" s="219">
        <v>5.14</v>
      </c>
      <c r="P30" s="219">
        <v>5.14</v>
      </c>
      <c r="Q30" s="219">
        <v>5.14</v>
      </c>
      <c r="R30" s="219">
        <v>5.14</v>
      </c>
      <c r="S30" s="219">
        <v>5.14</v>
      </c>
      <c r="T30" s="219">
        <v>5.14</v>
      </c>
      <c r="U30" s="219">
        <v>5.14</v>
      </c>
      <c r="V30" s="219">
        <v>5.14</v>
      </c>
      <c r="W30" s="219">
        <v>5.14</v>
      </c>
      <c r="X30" s="219">
        <v>5.14</v>
      </c>
      <c r="Y30" s="219">
        <v>5.14</v>
      </c>
      <c r="Z30" s="219">
        <v>0.05</v>
      </c>
      <c r="AA30" s="219">
        <v>0.05</v>
      </c>
      <c r="AB30" s="219">
        <v>0.05</v>
      </c>
      <c r="AC30" s="219">
        <v>0.05</v>
      </c>
      <c r="AD30" s="219">
        <v>0.05</v>
      </c>
      <c r="AE30" s="219">
        <v>0.05</v>
      </c>
      <c r="AF30" s="219">
        <v>0.05</v>
      </c>
      <c r="AG30" s="219">
        <v>0.05</v>
      </c>
      <c r="AH30" s="219">
        <v>0.05</v>
      </c>
      <c r="AI30" s="219">
        <v>0.05</v>
      </c>
      <c r="AJ30" s="219">
        <v>0.05</v>
      </c>
      <c r="AK30" s="219">
        <v>0.05</v>
      </c>
      <c r="AL30" s="229" t="s">
        <v>573</v>
      </c>
      <c r="AM30" s="219">
        <f t="shared" si="5"/>
        <v>0</v>
      </c>
      <c r="AN30" s="229">
        <v>1380</v>
      </c>
      <c r="AO30" s="221">
        <f t="shared" si="6"/>
        <v>69</v>
      </c>
      <c r="AP30" s="222">
        <v>1380</v>
      </c>
      <c r="AQ30" s="221">
        <f t="shared" si="7"/>
        <v>69</v>
      </c>
      <c r="AR30" s="222" t="s">
        <v>573</v>
      </c>
      <c r="AS30" s="58">
        <f t="shared" si="8"/>
        <v>0</v>
      </c>
      <c r="AT30" s="222">
        <v>4140</v>
      </c>
      <c r="AU30" s="58">
        <f t="shared" si="9"/>
        <v>207</v>
      </c>
      <c r="AV30" s="222" t="s">
        <v>573</v>
      </c>
      <c r="AW30" s="58">
        <f t="shared" si="10"/>
        <v>0</v>
      </c>
      <c r="AX30" s="251" t="s">
        <v>573</v>
      </c>
      <c r="AY30" s="58">
        <f t="shared" si="11"/>
        <v>0</v>
      </c>
      <c r="AZ30" s="222">
        <v>1380</v>
      </c>
      <c r="BA30" s="58">
        <f t="shared" si="0"/>
        <v>69</v>
      </c>
      <c r="BB30" s="222" t="s">
        <v>573</v>
      </c>
      <c r="BC30" s="58">
        <f t="shared" si="1"/>
        <v>0</v>
      </c>
      <c r="BD30" s="222" t="s">
        <v>573</v>
      </c>
      <c r="BE30" s="58">
        <f t="shared" si="2"/>
        <v>0</v>
      </c>
      <c r="BF30" s="222">
        <v>2760</v>
      </c>
      <c r="BG30" s="58">
        <f t="shared" si="3"/>
        <v>138</v>
      </c>
      <c r="BH30" s="223">
        <v>2760</v>
      </c>
      <c r="BI30" s="58">
        <f t="shared" si="4"/>
        <v>138</v>
      </c>
      <c r="BJ30" s="220">
        <f t="shared" si="12"/>
        <v>13800</v>
      </c>
      <c r="BK30" s="58"/>
      <c r="BL30" s="58" t="s">
        <v>915</v>
      </c>
      <c r="BM30" s="220" t="s">
        <v>1389</v>
      </c>
      <c r="BN30" s="213" t="s">
        <v>763</v>
      </c>
      <c r="BO30" s="58" t="s">
        <v>1221</v>
      </c>
      <c r="BP30" s="199">
        <v>46022</v>
      </c>
      <c r="BQ30" s="2" t="s">
        <v>1386</v>
      </c>
    </row>
    <row r="31" spans="1:69" ht="15.75" customHeight="1">
      <c r="A31" s="213" t="s">
        <v>788</v>
      </c>
      <c r="B31" s="58" t="s">
        <v>184</v>
      </c>
      <c r="C31" s="58" t="s">
        <v>752</v>
      </c>
      <c r="D31" s="214" t="s">
        <v>789</v>
      </c>
      <c r="E31" s="214" t="s">
        <v>789</v>
      </c>
      <c r="F31" s="215" t="s">
        <v>186</v>
      </c>
      <c r="G31" s="216">
        <v>2018</v>
      </c>
      <c r="H31" s="218" t="s">
        <v>802</v>
      </c>
      <c r="I31" s="218" t="s">
        <v>196</v>
      </c>
      <c r="J31" s="217" t="s">
        <v>890</v>
      </c>
      <c r="K31" s="213" t="s">
        <v>294</v>
      </c>
      <c r="L31" s="213" t="s">
        <v>192</v>
      </c>
      <c r="M31" s="219" t="s">
        <v>1389</v>
      </c>
      <c r="N31" s="219">
        <v>5.14</v>
      </c>
      <c r="O31" s="219">
        <v>5.14</v>
      </c>
      <c r="P31" s="219">
        <v>5.14</v>
      </c>
      <c r="Q31" s="219">
        <v>5.14</v>
      </c>
      <c r="R31" s="219">
        <v>5.14</v>
      </c>
      <c r="S31" s="219">
        <v>5.14</v>
      </c>
      <c r="T31" s="219">
        <v>5.14</v>
      </c>
      <c r="U31" s="219">
        <v>5.14</v>
      </c>
      <c r="V31" s="219">
        <v>5.14</v>
      </c>
      <c r="W31" s="219">
        <v>5.14</v>
      </c>
      <c r="X31" s="219">
        <v>5.14</v>
      </c>
      <c r="Y31" s="219">
        <v>5.14</v>
      </c>
      <c r="Z31" s="219">
        <v>0.05</v>
      </c>
      <c r="AA31" s="219">
        <v>0.05</v>
      </c>
      <c r="AB31" s="219">
        <v>0.05</v>
      </c>
      <c r="AC31" s="219">
        <v>0.05</v>
      </c>
      <c r="AD31" s="219">
        <v>0.05</v>
      </c>
      <c r="AE31" s="219">
        <v>0.05</v>
      </c>
      <c r="AF31" s="219">
        <v>0.05</v>
      </c>
      <c r="AG31" s="219">
        <v>0.05</v>
      </c>
      <c r="AH31" s="219">
        <v>0.05</v>
      </c>
      <c r="AI31" s="219">
        <v>0.05</v>
      </c>
      <c r="AJ31" s="219">
        <v>0.05</v>
      </c>
      <c r="AK31" s="219">
        <v>0.05</v>
      </c>
      <c r="AL31" s="229">
        <v>2760</v>
      </c>
      <c r="AM31" s="219">
        <f t="shared" si="5"/>
        <v>138</v>
      </c>
      <c r="AN31" s="229">
        <v>1380</v>
      </c>
      <c r="AO31" s="221">
        <f t="shared" si="6"/>
        <v>69</v>
      </c>
      <c r="AP31" s="222">
        <v>2760</v>
      </c>
      <c r="AQ31" s="221">
        <f t="shared" si="7"/>
        <v>138</v>
      </c>
      <c r="AR31" s="222">
        <v>1380</v>
      </c>
      <c r="AS31" s="58">
        <f t="shared" si="8"/>
        <v>69</v>
      </c>
      <c r="AT31" s="222" t="s">
        <v>573</v>
      </c>
      <c r="AU31" s="58">
        <f t="shared" si="9"/>
        <v>0</v>
      </c>
      <c r="AV31" s="222" t="s">
        <v>573</v>
      </c>
      <c r="AW31" s="58">
        <f t="shared" si="10"/>
        <v>0</v>
      </c>
      <c r="AX31" s="251">
        <v>1380</v>
      </c>
      <c r="AY31" s="58">
        <f t="shared" si="11"/>
        <v>69</v>
      </c>
      <c r="AZ31" s="222" t="s">
        <v>573</v>
      </c>
      <c r="BA31" s="58">
        <f t="shared" si="0"/>
        <v>0</v>
      </c>
      <c r="BB31" s="222" t="s">
        <v>573</v>
      </c>
      <c r="BC31" s="58">
        <f t="shared" si="1"/>
        <v>0</v>
      </c>
      <c r="BD31" s="222">
        <v>1320</v>
      </c>
      <c r="BE31" s="58">
        <f t="shared" si="2"/>
        <v>66</v>
      </c>
      <c r="BF31" s="222">
        <v>4140</v>
      </c>
      <c r="BG31" s="58">
        <f t="shared" si="3"/>
        <v>207</v>
      </c>
      <c r="BH31" s="223">
        <v>5520</v>
      </c>
      <c r="BI31" s="58">
        <f t="shared" si="4"/>
        <v>276</v>
      </c>
      <c r="BJ31" s="220">
        <f t="shared" si="12"/>
        <v>20640</v>
      </c>
      <c r="BK31" s="58"/>
      <c r="BL31" s="58" t="s">
        <v>916</v>
      </c>
      <c r="BM31" s="220" t="s">
        <v>1389</v>
      </c>
      <c r="BN31" s="213" t="s">
        <v>763</v>
      </c>
      <c r="BO31" s="58" t="s">
        <v>1222</v>
      </c>
      <c r="BP31" s="199">
        <v>46022</v>
      </c>
      <c r="BQ31" s="2" t="s">
        <v>1386</v>
      </c>
    </row>
    <row r="32" spans="1:69" ht="15.75" customHeight="1">
      <c r="A32" s="213" t="s">
        <v>788</v>
      </c>
      <c r="B32" s="58" t="s">
        <v>184</v>
      </c>
      <c r="C32" s="58" t="s">
        <v>752</v>
      </c>
      <c r="D32" s="214" t="s">
        <v>789</v>
      </c>
      <c r="E32" s="214" t="s">
        <v>789</v>
      </c>
      <c r="F32" s="215" t="s">
        <v>186</v>
      </c>
      <c r="G32" s="216">
        <v>2023</v>
      </c>
      <c r="H32" s="213" t="s">
        <v>1317</v>
      </c>
      <c r="I32" s="218" t="s">
        <v>196</v>
      </c>
      <c r="J32" s="217" t="s">
        <v>890</v>
      </c>
      <c r="K32" s="213" t="s">
        <v>221</v>
      </c>
      <c r="L32" s="213" t="s">
        <v>192</v>
      </c>
      <c r="M32" s="219" t="s">
        <v>1388</v>
      </c>
      <c r="N32" s="219">
        <v>6.27</v>
      </c>
      <c r="O32" s="219">
        <v>6.27</v>
      </c>
      <c r="P32" s="219">
        <v>6.27</v>
      </c>
      <c r="Q32" s="219">
        <v>6.27</v>
      </c>
      <c r="R32" s="219">
        <v>6.27</v>
      </c>
      <c r="S32" s="219">
        <v>6.27</v>
      </c>
      <c r="T32" s="219">
        <v>6.27</v>
      </c>
      <c r="U32" s="219">
        <v>6.27</v>
      </c>
      <c r="V32" s="219">
        <v>6.27</v>
      </c>
      <c r="W32" s="219">
        <v>6.27</v>
      </c>
      <c r="X32" s="219">
        <v>6.27</v>
      </c>
      <c r="Y32" s="219">
        <v>6.27</v>
      </c>
      <c r="Z32" s="219">
        <v>0.3</v>
      </c>
      <c r="AA32" s="219">
        <v>0.3</v>
      </c>
      <c r="AB32" s="219">
        <v>0.3</v>
      </c>
      <c r="AC32" s="219">
        <v>0.3</v>
      </c>
      <c r="AD32" s="219">
        <v>0.3</v>
      </c>
      <c r="AE32" s="219">
        <v>0.3</v>
      </c>
      <c r="AF32" s="219">
        <v>0.3</v>
      </c>
      <c r="AG32" s="219">
        <v>0.3</v>
      </c>
      <c r="AH32" s="219">
        <v>0.3</v>
      </c>
      <c r="AI32" s="219">
        <v>0.3</v>
      </c>
      <c r="AJ32" s="219">
        <v>0.3</v>
      </c>
      <c r="AK32" s="219">
        <v>0.3</v>
      </c>
      <c r="AL32" s="229" t="s">
        <v>573</v>
      </c>
      <c r="AM32" s="219">
        <f t="shared" si="5"/>
        <v>0</v>
      </c>
      <c r="AN32" s="229">
        <v>1020</v>
      </c>
      <c r="AO32" s="221">
        <f t="shared" si="6"/>
        <v>306</v>
      </c>
      <c r="AP32" s="222">
        <v>5100</v>
      </c>
      <c r="AQ32" s="221">
        <f t="shared" si="7"/>
        <v>1530</v>
      </c>
      <c r="AR32" s="222" t="s">
        <v>573</v>
      </c>
      <c r="AS32" s="58">
        <f t="shared" si="8"/>
        <v>0</v>
      </c>
      <c r="AT32" s="222">
        <v>2040</v>
      </c>
      <c r="AU32" s="58">
        <f t="shared" si="9"/>
        <v>612</v>
      </c>
      <c r="AV32" s="222" t="s">
        <v>573</v>
      </c>
      <c r="AW32" s="58">
        <f t="shared" si="10"/>
        <v>0</v>
      </c>
      <c r="AX32" s="251" t="s">
        <v>573</v>
      </c>
      <c r="AY32" s="58">
        <f t="shared" si="11"/>
        <v>0</v>
      </c>
      <c r="AZ32" s="222">
        <v>2040</v>
      </c>
      <c r="BA32" s="58">
        <f t="shared" si="0"/>
        <v>612</v>
      </c>
      <c r="BB32" s="222">
        <v>3060</v>
      </c>
      <c r="BC32" s="58">
        <f t="shared" si="1"/>
        <v>918</v>
      </c>
      <c r="BD32" s="222" t="s">
        <v>573</v>
      </c>
      <c r="BE32" s="58">
        <f t="shared" si="2"/>
        <v>0</v>
      </c>
      <c r="BF32" s="222">
        <v>1020</v>
      </c>
      <c r="BG32" s="58">
        <f t="shared" si="3"/>
        <v>306</v>
      </c>
      <c r="BH32" s="223" t="s">
        <v>573</v>
      </c>
      <c r="BI32" s="58">
        <f t="shared" si="4"/>
        <v>0</v>
      </c>
      <c r="BJ32" s="220">
        <f t="shared" si="12"/>
        <v>14280</v>
      </c>
      <c r="BK32" s="58"/>
      <c r="BL32" s="58" t="s">
        <v>917</v>
      </c>
      <c r="BM32" s="220" t="s">
        <v>1388</v>
      </c>
      <c r="BN32" s="213" t="s">
        <v>807</v>
      </c>
      <c r="BO32" s="58" t="s">
        <v>612</v>
      </c>
      <c r="BP32" s="199"/>
      <c r="BQ32" s="2" t="s">
        <v>1386</v>
      </c>
    </row>
    <row r="33" spans="1:69" ht="15.75" customHeight="1">
      <c r="A33" s="213" t="s">
        <v>788</v>
      </c>
      <c r="B33" s="58" t="s">
        <v>184</v>
      </c>
      <c r="C33" s="58" t="s">
        <v>752</v>
      </c>
      <c r="D33" s="214" t="s">
        <v>789</v>
      </c>
      <c r="E33" s="214" t="s">
        <v>789</v>
      </c>
      <c r="F33" s="215" t="s">
        <v>186</v>
      </c>
      <c r="G33" s="216">
        <v>2023</v>
      </c>
      <c r="H33" s="213" t="s">
        <v>1317</v>
      </c>
      <c r="I33" s="218" t="s">
        <v>196</v>
      </c>
      <c r="J33" s="217" t="s">
        <v>890</v>
      </c>
      <c r="K33" s="213" t="s">
        <v>221</v>
      </c>
      <c r="L33" s="213" t="s">
        <v>192</v>
      </c>
      <c r="M33" s="219" t="s">
        <v>1389</v>
      </c>
      <c r="N33" s="219">
        <v>6.31</v>
      </c>
      <c r="O33" s="219">
        <v>6.31</v>
      </c>
      <c r="P33" s="219">
        <v>6.31</v>
      </c>
      <c r="Q33" s="219">
        <v>6.31</v>
      </c>
      <c r="R33" s="219">
        <v>6.31</v>
      </c>
      <c r="S33" s="219">
        <v>6.31</v>
      </c>
      <c r="T33" s="219">
        <v>6.31</v>
      </c>
      <c r="U33" s="219">
        <v>6.31</v>
      </c>
      <c r="V33" s="219">
        <v>6.31</v>
      </c>
      <c r="W33" s="219">
        <v>6.31</v>
      </c>
      <c r="X33" s="219">
        <v>6.31</v>
      </c>
      <c r="Y33" s="219">
        <v>6.31</v>
      </c>
      <c r="Z33" s="219">
        <v>0.3</v>
      </c>
      <c r="AA33" s="219">
        <v>0.3</v>
      </c>
      <c r="AB33" s="219">
        <v>0.3</v>
      </c>
      <c r="AC33" s="219">
        <v>0.3</v>
      </c>
      <c r="AD33" s="219">
        <v>0.3</v>
      </c>
      <c r="AE33" s="219">
        <v>0.3</v>
      </c>
      <c r="AF33" s="219">
        <v>0.3</v>
      </c>
      <c r="AG33" s="219">
        <v>0.3</v>
      </c>
      <c r="AH33" s="219">
        <v>0.3</v>
      </c>
      <c r="AI33" s="219">
        <v>0.3</v>
      </c>
      <c r="AJ33" s="219">
        <v>0.3</v>
      </c>
      <c r="AK33" s="219">
        <v>0.3</v>
      </c>
      <c r="AL33" s="229">
        <v>1020</v>
      </c>
      <c r="AM33" s="219">
        <f t="shared" si="5"/>
        <v>306</v>
      </c>
      <c r="AN33" s="229">
        <v>5100</v>
      </c>
      <c r="AO33" s="221">
        <f t="shared" si="6"/>
        <v>1530</v>
      </c>
      <c r="AP33" s="222">
        <v>2040</v>
      </c>
      <c r="AQ33" s="221">
        <f t="shared" si="7"/>
        <v>612</v>
      </c>
      <c r="AR33" s="222" t="s">
        <v>573</v>
      </c>
      <c r="AS33" s="58">
        <f t="shared" si="8"/>
        <v>0</v>
      </c>
      <c r="AT33" s="222">
        <v>3060</v>
      </c>
      <c r="AU33" s="58">
        <f t="shared" si="9"/>
        <v>918</v>
      </c>
      <c r="AV33" s="222">
        <v>5100</v>
      </c>
      <c r="AW33" s="58">
        <f t="shared" si="10"/>
        <v>1530</v>
      </c>
      <c r="AX33" s="251">
        <v>1020</v>
      </c>
      <c r="AY33" s="58">
        <f t="shared" si="11"/>
        <v>306</v>
      </c>
      <c r="AZ33" s="222">
        <v>3060</v>
      </c>
      <c r="BA33" s="58">
        <f t="shared" si="0"/>
        <v>918</v>
      </c>
      <c r="BB33" s="222">
        <v>3060</v>
      </c>
      <c r="BC33" s="58">
        <f t="shared" si="1"/>
        <v>918</v>
      </c>
      <c r="BD33" s="222">
        <v>6120</v>
      </c>
      <c r="BE33" s="58">
        <f t="shared" si="2"/>
        <v>1836</v>
      </c>
      <c r="BF33" s="222">
        <v>1020</v>
      </c>
      <c r="BG33" s="58">
        <f t="shared" si="3"/>
        <v>306</v>
      </c>
      <c r="BH33" s="223">
        <v>1020</v>
      </c>
      <c r="BI33" s="58">
        <f t="shared" si="4"/>
        <v>306</v>
      </c>
      <c r="BJ33" s="220">
        <f t="shared" si="12"/>
        <v>31620</v>
      </c>
      <c r="BK33" s="58"/>
      <c r="BL33" s="58" t="s">
        <v>918</v>
      </c>
      <c r="BM33" s="220" t="s">
        <v>1389</v>
      </c>
      <c r="BN33" s="213" t="s">
        <v>763</v>
      </c>
      <c r="BO33" s="58" t="s">
        <v>613</v>
      </c>
      <c r="BP33" s="199">
        <v>46053</v>
      </c>
      <c r="BQ33" s="2" t="s">
        <v>1386</v>
      </c>
    </row>
    <row r="34" spans="1:69" ht="15.75" customHeight="1">
      <c r="A34" s="213" t="s">
        <v>788</v>
      </c>
      <c r="B34" s="58" t="s">
        <v>184</v>
      </c>
      <c r="C34" s="58" t="s">
        <v>752</v>
      </c>
      <c r="D34" s="214" t="s">
        <v>789</v>
      </c>
      <c r="E34" s="214" t="s">
        <v>789</v>
      </c>
      <c r="F34" s="215" t="s">
        <v>186</v>
      </c>
      <c r="G34" s="216">
        <v>2023</v>
      </c>
      <c r="H34" s="213" t="s">
        <v>1317</v>
      </c>
      <c r="I34" s="218" t="s">
        <v>196</v>
      </c>
      <c r="J34" s="217" t="s">
        <v>890</v>
      </c>
      <c r="K34" s="213" t="s">
        <v>221</v>
      </c>
      <c r="L34" s="213" t="s">
        <v>192</v>
      </c>
      <c r="M34" s="219" t="s">
        <v>1388</v>
      </c>
      <c r="N34" s="219">
        <v>6.27</v>
      </c>
      <c r="O34" s="219">
        <v>6.27</v>
      </c>
      <c r="P34" s="219">
        <v>6.27</v>
      </c>
      <c r="Q34" s="219">
        <v>6.27</v>
      </c>
      <c r="R34" s="219">
        <v>6.27</v>
      </c>
      <c r="S34" s="219">
        <v>6.27</v>
      </c>
      <c r="T34" s="219">
        <v>6.27</v>
      </c>
      <c r="U34" s="219">
        <v>6.27</v>
      </c>
      <c r="V34" s="219">
        <v>6.27</v>
      </c>
      <c r="W34" s="219">
        <v>6.27</v>
      </c>
      <c r="X34" s="219">
        <v>6.27</v>
      </c>
      <c r="Y34" s="219">
        <v>6.27</v>
      </c>
      <c r="Z34" s="219">
        <v>0.3</v>
      </c>
      <c r="AA34" s="219">
        <v>0.3</v>
      </c>
      <c r="AB34" s="219">
        <v>0.3</v>
      </c>
      <c r="AC34" s="219">
        <v>0.3</v>
      </c>
      <c r="AD34" s="219">
        <v>0.3</v>
      </c>
      <c r="AE34" s="219">
        <v>0.3</v>
      </c>
      <c r="AF34" s="219">
        <v>0.3</v>
      </c>
      <c r="AG34" s="219">
        <v>0.3</v>
      </c>
      <c r="AH34" s="219">
        <v>0.3</v>
      </c>
      <c r="AI34" s="219">
        <v>0.3</v>
      </c>
      <c r="AJ34" s="219">
        <v>0.3</v>
      </c>
      <c r="AK34" s="219">
        <v>0.3</v>
      </c>
      <c r="AL34" s="229" t="s">
        <v>573</v>
      </c>
      <c r="AM34" s="219">
        <f t="shared" si="5"/>
        <v>0</v>
      </c>
      <c r="AN34" s="229" t="s">
        <v>573</v>
      </c>
      <c r="AO34" s="221">
        <f t="shared" si="6"/>
        <v>0</v>
      </c>
      <c r="AP34" s="222">
        <v>1020</v>
      </c>
      <c r="AQ34" s="221">
        <f t="shared" si="7"/>
        <v>306</v>
      </c>
      <c r="AR34" s="222">
        <v>3060</v>
      </c>
      <c r="AS34" s="58">
        <f t="shared" si="8"/>
        <v>918</v>
      </c>
      <c r="AT34" s="222">
        <v>2040</v>
      </c>
      <c r="AU34" s="58">
        <f t="shared" si="9"/>
        <v>612</v>
      </c>
      <c r="AV34" s="222">
        <v>3060</v>
      </c>
      <c r="AW34" s="58">
        <f t="shared" si="10"/>
        <v>918</v>
      </c>
      <c r="AX34" s="251">
        <v>1020</v>
      </c>
      <c r="AY34" s="58">
        <f t="shared" si="11"/>
        <v>306</v>
      </c>
      <c r="AZ34" s="222">
        <v>2040</v>
      </c>
      <c r="BA34" s="58">
        <f t="shared" si="0"/>
        <v>612</v>
      </c>
      <c r="BB34" s="222">
        <v>1020</v>
      </c>
      <c r="BC34" s="58">
        <f t="shared" si="1"/>
        <v>306</v>
      </c>
      <c r="BD34" s="222">
        <v>1020</v>
      </c>
      <c r="BE34" s="58">
        <f t="shared" si="2"/>
        <v>306</v>
      </c>
      <c r="BF34" s="222">
        <v>1020</v>
      </c>
      <c r="BG34" s="58">
        <f t="shared" si="3"/>
        <v>306</v>
      </c>
      <c r="BH34" s="223" t="s">
        <v>573</v>
      </c>
      <c r="BI34" s="58">
        <f t="shared" si="4"/>
        <v>0</v>
      </c>
      <c r="BJ34" s="220">
        <f t="shared" si="12"/>
        <v>15300</v>
      </c>
      <c r="BK34" s="58"/>
      <c r="BL34" s="58" t="s">
        <v>919</v>
      </c>
      <c r="BM34" s="220" t="s">
        <v>1388</v>
      </c>
      <c r="BN34" s="213" t="s">
        <v>754</v>
      </c>
      <c r="BO34" s="58" t="s">
        <v>614</v>
      </c>
      <c r="BP34" s="199">
        <v>46053</v>
      </c>
      <c r="BQ34" s="2" t="s">
        <v>1386</v>
      </c>
    </row>
    <row r="35" spans="1:69" ht="15.75" customHeight="1">
      <c r="A35" s="213" t="s">
        <v>788</v>
      </c>
      <c r="B35" s="58" t="s">
        <v>184</v>
      </c>
      <c r="C35" s="58" t="s">
        <v>752</v>
      </c>
      <c r="D35" s="214" t="s">
        <v>789</v>
      </c>
      <c r="E35" s="214" t="s">
        <v>789</v>
      </c>
      <c r="F35" s="215" t="s">
        <v>186</v>
      </c>
      <c r="G35" s="216">
        <v>2023</v>
      </c>
      <c r="H35" s="213" t="s">
        <v>1317</v>
      </c>
      <c r="I35" s="218" t="s">
        <v>196</v>
      </c>
      <c r="J35" s="217" t="s">
        <v>890</v>
      </c>
      <c r="K35" s="213" t="s">
        <v>330</v>
      </c>
      <c r="L35" s="213" t="s">
        <v>192</v>
      </c>
      <c r="M35" s="219" t="s">
        <v>1388</v>
      </c>
      <c r="N35" s="219">
        <v>6.27</v>
      </c>
      <c r="O35" s="219">
        <v>6.27</v>
      </c>
      <c r="P35" s="219">
        <v>6.27</v>
      </c>
      <c r="Q35" s="219">
        <v>6.27</v>
      </c>
      <c r="R35" s="219">
        <v>6.27</v>
      </c>
      <c r="S35" s="219">
        <v>6.27</v>
      </c>
      <c r="T35" s="219">
        <v>6.27</v>
      </c>
      <c r="U35" s="219">
        <v>6.27</v>
      </c>
      <c r="V35" s="219">
        <v>6.27</v>
      </c>
      <c r="W35" s="219">
        <v>6.27</v>
      </c>
      <c r="X35" s="219">
        <v>6.27</v>
      </c>
      <c r="Y35" s="219">
        <v>6.27</v>
      </c>
      <c r="Z35" s="219">
        <v>0.3</v>
      </c>
      <c r="AA35" s="219">
        <v>0.3</v>
      </c>
      <c r="AB35" s="219">
        <v>0.3</v>
      </c>
      <c r="AC35" s="219">
        <v>0.3</v>
      </c>
      <c r="AD35" s="219">
        <v>0.3</v>
      </c>
      <c r="AE35" s="219">
        <v>0.3</v>
      </c>
      <c r="AF35" s="219">
        <v>0.3</v>
      </c>
      <c r="AG35" s="219">
        <v>0.3</v>
      </c>
      <c r="AH35" s="219">
        <v>0.3</v>
      </c>
      <c r="AI35" s="219">
        <v>0.3</v>
      </c>
      <c r="AJ35" s="219">
        <v>0.3</v>
      </c>
      <c r="AK35" s="219">
        <v>0.3</v>
      </c>
      <c r="AL35" s="229">
        <v>3060</v>
      </c>
      <c r="AM35" s="219">
        <f t="shared" si="5"/>
        <v>918</v>
      </c>
      <c r="AN35" s="229">
        <v>1020</v>
      </c>
      <c r="AO35" s="221">
        <f t="shared" si="6"/>
        <v>306</v>
      </c>
      <c r="AP35" s="222">
        <v>1020</v>
      </c>
      <c r="AQ35" s="221">
        <f t="shared" si="7"/>
        <v>306</v>
      </c>
      <c r="AR35" s="222" t="s">
        <v>573</v>
      </c>
      <c r="AS35" s="58">
        <f t="shared" si="8"/>
        <v>0</v>
      </c>
      <c r="AT35" s="222" t="s">
        <v>573</v>
      </c>
      <c r="AU35" s="58">
        <f t="shared" si="9"/>
        <v>0</v>
      </c>
      <c r="AV35" s="222" t="s">
        <v>573</v>
      </c>
      <c r="AW35" s="58">
        <f t="shared" si="10"/>
        <v>0</v>
      </c>
      <c r="AX35" s="251">
        <v>1020</v>
      </c>
      <c r="AY35" s="58">
        <f t="shared" si="11"/>
        <v>306</v>
      </c>
      <c r="AZ35" s="222">
        <v>3060</v>
      </c>
      <c r="BA35" s="58">
        <f t="shared" si="0"/>
        <v>918</v>
      </c>
      <c r="BB35" s="222">
        <v>1020</v>
      </c>
      <c r="BC35" s="58">
        <f t="shared" si="1"/>
        <v>306</v>
      </c>
      <c r="BD35" s="222">
        <v>1020</v>
      </c>
      <c r="BE35" s="58">
        <f t="shared" si="2"/>
        <v>306</v>
      </c>
      <c r="BF35" s="222">
        <v>2040</v>
      </c>
      <c r="BG35" s="58">
        <f t="shared" si="3"/>
        <v>612</v>
      </c>
      <c r="BH35" s="223" t="s">
        <v>573</v>
      </c>
      <c r="BI35" s="58">
        <f t="shared" si="4"/>
        <v>0</v>
      </c>
      <c r="BJ35" s="220">
        <f t="shared" si="12"/>
        <v>13260</v>
      </c>
      <c r="BK35" s="58"/>
      <c r="BL35" s="58" t="s">
        <v>920</v>
      </c>
      <c r="BM35" s="220" t="s">
        <v>1388</v>
      </c>
      <c r="BN35" s="213" t="s">
        <v>807</v>
      </c>
      <c r="BO35" s="213" t="s">
        <v>1365</v>
      </c>
      <c r="BP35" s="199">
        <v>46053</v>
      </c>
      <c r="BQ35" s="2" t="s">
        <v>1386</v>
      </c>
    </row>
    <row r="36" spans="1:69" ht="15.75" customHeight="1">
      <c r="A36" s="213" t="s">
        <v>788</v>
      </c>
      <c r="B36" s="58" t="s">
        <v>184</v>
      </c>
      <c r="C36" s="58" t="s">
        <v>752</v>
      </c>
      <c r="D36" s="214" t="s">
        <v>789</v>
      </c>
      <c r="E36" s="214" t="s">
        <v>789</v>
      </c>
      <c r="F36" s="215" t="s">
        <v>186</v>
      </c>
      <c r="G36" s="216">
        <v>2023</v>
      </c>
      <c r="H36" s="213" t="s">
        <v>1317</v>
      </c>
      <c r="I36" s="218" t="s">
        <v>196</v>
      </c>
      <c r="J36" s="217" t="s">
        <v>890</v>
      </c>
      <c r="K36" s="213" t="s">
        <v>330</v>
      </c>
      <c r="L36" s="213" t="s">
        <v>192</v>
      </c>
      <c r="M36" s="219" t="s">
        <v>1389</v>
      </c>
      <c r="N36" s="219">
        <v>6.31</v>
      </c>
      <c r="O36" s="219">
        <v>6.31</v>
      </c>
      <c r="P36" s="219">
        <v>6.31</v>
      </c>
      <c r="Q36" s="219">
        <v>6.31</v>
      </c>
      <c r="R36" s="219">
        <v>6.31</v>
      </c>
      <c r="S36" s="219">
        <v>6.31</v>
      </c>
      <c r="T36" s="219">
        <v>6.31</v>
      </c>
      <c r="U36" s="219">
        <v>6.31</v>
      </c>
      <c r="V36" s="219">
        <v>6.31</v>
      </c>
      <c r="W36" s="219">
        <v>6.31</v>
      </c>
      <c r="X36" s="219">
        <v>6.31</v>
      </c>
      <c r="Y36" s="219">
        <v>6.31</v>
      </c>
      <c r="Z36" s="219">
        <v>0.3</v>
      </c>
      <c r="AA36" s="219">
        <v>0.3</v>
      </c>
      <c r="AB36" s="219">
        <v>0.3</v>
      </c>
      <c r="AC36" s="219">
        <v>0.3</v>
      </c>
      <c r="AD36" s="219">
        <v>0.3</v>
      </c>
      <c r="AE36" s="219">
        <v>0.3</v>
      </c>
      <c r="AF36" s="219">
        <v>0.3</v>
      </c>
      <c r="AG36" s="219">
        <v>0.3</v>
      </c>
      <c r="AH36" s="219">
        <v>0.3</v>
      </c>
      <c r="AI36" s="219">
        <v>0.3</v>
      </c>
      <c r="AJ36" s="219">
        <v>0.3</v>
      </c>
      <c r="AK36" s="219">
        <v>0.3</v>
      </c>
      <c r="AL36" s="229">
        <v>3060</v>
      </c>
      <c r="AM36" s="219">
        <f t="shared" si="5"/>
        <v>918</v>
      </c>
      <c r="AN36" s="229">
        <v>1020</v>
      </c>
      <c r="AO36" s="221">
        <f t="shared" si="6"/>
        <v>306</v>
      </c>
      <c r="AP36" s="222">
        <v>2220</v>
      </c>
      <c r="AQ36" s="221">
        <f t="shared" si="7"/>
        <v>666</v>
      </c>
      <c r="AR36" s="222" t="s">
        <v>573</v>
      </c>
      <c r="AS36" s="58">
        <f t="shared" si="8"/>
        <v>0</v>
      </c>
      <c r="AT36" s="222">
        <v>2040</v>
      </c>
      <c r="AU36" s="58">
        <f t="shared" si="9"/>
        <v>612</v>
      </c>
      <c r="AV36" s="222">
        <v>2040</v>
      </c>
      <c r="AW36" s="58">
        <f t="shared" si="10"/>
        <v>612</v>
      </c>
      <c r="AX36" s="251" t="s">
        <v>573</v>
      </c>
      <c r="AY36" s="58">
        <f t="shared" si="11"/>
        <v>0</v>
      </c>
      <c r="AZ36" s="222">
        <v>2040</v>
      </c>
      <c r="BA36" s="58">
        <f t="shared" si="0"/>
        <v>612</v>
      </c>
      <c r="BB36" s="222">
        <v>1020</v>
      </c>
      <c r="BC36" s="58">
        <f t="shared" si="1"/>
        <v>306</v>
      </c>
      <c r="BD36" s="222">
        <v>2040</v>
      </c>
      <c r="BE36" s="58">
        <f t="shared" si="2"/>
        <v>612</v>
      </c>
      <c r="BF36" s="222" t="s">
        <v>573</v>
      </c>
      <c r="BG36" s="58">
        <f t="shared" si="3"/>
        <v>0</v>
      </c>
      <c r="BH36" s="223">
        <v>2040</v>
      </c>
      <c r="BI36" s="58">
        <f t="shared" si="4"/>
        <v>612</v>
      </c>
      <c r="BJ36" s="220">
        <f t="shared" si="12"/>
        <v>17520</v>
      </c>
      <c r="BK36" s="58"/>
      <c r="BL36" s="58" t="s">
        <v>921</v>
      </c>
      <c r="BM36" s="220" t="s">
        <v>1389</v>
      </c>
      <c r="BN36" s="213" t="s">
        <v>763</v>
      </c>
      <c r="BO36" s="213" t="s">
        <v>616</v>
      </c>
      <c r="BP36" s="199">
        <v>46053</v>
      </c>
      <c r="BQ36" s="2" t="s">
        <v>1386</v>
      </c>
    </row>
    <row r="37" spans="1:69" ht="15.75" customHeight="1">
      <c r="A37" s="213" t="s">
        <v>788</v>
      </c>
      <c r="B37" s="58" t="s">
        <v>184</v>
      </c>
      <c r="C37" s="58" t="s">
        <v>752</v>
      </c>
      <c r="D37" s="214" t="s">
        <v>789</v>
      </c>
      <c r="E37" s="214" t="s">
        <v>789</v>
      </c>
      <c r="F37" s="215" t="s">
        <v>186</v>
      </c>
      <c r="G37" s="216">
        <v>2023</v>
      </c>
      <c r="H37" s="213" t="s">
        <v>1317</v>
      </c>
      <c r="I37" s="218" t="s">
        <v>196</v>
      </c>
      <c r="J37" s="217" t="s">
        <v>890</v>
      </c>
      <c r="K37" s="213" t="s">
        <v>330</v>
      </c>
      <c r="L37" s="213" t="s">
        <v>192</v>
      </c>
      <c r="M37" s="219" t="s">
        <v>1388</v>
      </c>
      <c r="N37" s="219">
        <v>6.27</v>
      </c>
      <c r="O37" s="219">
        <v>6.27</v>
      </c>
      <c r="P37" s="219">
        <v>6.27</v>
      </c>
      <c r="Q37" s="219">
        <v>6.27</v>
      </c>
      <c r="R37" s="219">
        <v>6.27</v>
      </c>
      <c r="S37" s="219">
        <v>6.27</v>
      </c>
      <c r="T37" s="219">
        <v>6.27</v>
      </c>
      <c r="U37" s="219">
        <v>6.27</v>
      </c>
      <c r="V37" s="219">
        <v>6.27</v>
      </c>
      <c r="W37" s="219">
        <v>6.27</v>
      </c>
      <c r="X37" s="219">
        <v>6.27</v>
      </c>
      <c r="Y37" s="219">
        <v>6.27</v>
      </c>
      <c r="Z37" s="219">
        <v>0.3</v>
      </c>
      <c r="AA37" s="219">
        <v>0.3</v>
      </c>
      <c r="AB37" s="219">
        <v>0.3</v>
      </c>
      <c r="AC37" s="219">
        <v>0.3</v>
      </c>
      <c r="AD37" s="219">
        <v>0.3</v>
      </c>
      <c r="AE37" s="219">
        <v>0.3</v>
      </c>
      <c r="AF37" s="219">
        <v>0.3</v>
      </c>
      <c r="AG37" s="219">
        <v>0.3</v>
      </c>
      <c r="AH37" s="219">
        <v>0.3</v>
      </c>
      <c r="AI37" s="219">
        <v>0.3</v>
      </c>
      <c r="AJ37" s="219">
        <v>0.3</v>
      </c>
      <c r="AK37" s="219">
        <v>0.3</v>
      </c>
      <c r="AL37" s="229">
        <v>2040</v>
      </c>
      <c r="AM37" s="219">
        <f t="shared" si="5"/>
        <v>612</v>
      </c>
      <c r="AN37" s="229" t="s">
        <v>573</v>
      </c>
      <c r="AO37" s="221">
        <f t="shared" si="6"/>
        <v>0</v>
      </c>
      <c r="AP37" s="222">
        <v>1020</v>
      </c>
      <c r="AQ37" s="221">
        <f t="shared" si="7"/>
        <v>306</v>
      </c>
      <c r="AR37" s="222">
        <v>2040</v>
      </c>
      <c r="AS37" s="58">
        <f t="shared" si="8"/>
        <v>612</v>
      </c>
      <c r="AT37" s="222">
        <v>1020</v>
      </c>
      <c r="AU37" s="58">
        <f t="shared" si="9"/>
        <v>306</v>
      </c>
      <c r="AV37" s="222">
        <v>3060</v>
      </c>
      <c r="AW37" s="58">
        <f t="shared" si="10"/>
        <v>918</v>
      </c>
      <c r="AX37" s="251">
        <v>2040</v>
      </c>
      <c r="AY37" s="58">
        <f t="shared" si="11"/>
        <v>612</v>
      </c>
      <c r="AZ37" s="222">
        <v>1020</v>
      </c>
      <c r="BA37" s="58">
        <f t="shared" si="0"/>
        <v>306</v>
      </c>
      <c r="BB37" s="222" t="s">
        <v>573</v>
      </c>
      <c r="BC37" s="58">
        <f t="shared" si="1"/>
        <v>0</v>
      </c>
      <c r="BD37" s="222">
        <v>1020</v>
      </c>
      <c r="BE37" s="58">
        <f t="shared" si="2"/>
        <v>306</v>
      </c>
      <c r="BF37" s="222">
        <v>1020</v>
      </c>
      <c r="BG37" s="58">
        <f t="shared" si="3"/>
        <v>306</v>
      </c>
      <c r="BH37" s="223" t="s">
        <v>573</v>
      </c>
      <c r="BI37" s="58">
        <f t="shared" si="4"/>
        <v>0</v>
      </c>
      <c r="BJ37" s="220">
        <f t="shared" si="12"/>
        <v>14280</v>
      </c>
      <c r="BK37" s="58"/>
      <c r="BL37" s="58" t="s">
        <v>922</v>
      </c>
      <c r="BM37" s="220" t="s">
        <v>1388</v>
      </c>
      <c r="BN37" s="213" t="s">
        <v>754</v>
      </c>
      <c r="BO37" s="213" t="s">
        <v>617</v>
      </c>
      <c r="BP37" s="199">
        <v>46053</v>
      </c>
      <c r="BQ37" s="2" t="s">
        <v>1386</v>
      </c>
    </row>
    <row r="38" spans="1:69" ht="15.75" customHeight="1">
      <c r="A38" s="213" t="s">
        <v>788</v>
      </c>
      <c r="B38" s="58" t="s">
        <v>184</v>
      </c>
      <c r="C38" s="58" t="s">
        <v>752</v>
      </c>
      <c r="D38" s="214" t="s">
        <v>789</v>
      </c>
      <c r="E38" s="214" t="s">
        <v>789</v>
      </c>
      <c r="F38" s="215" t="s">
        <v>186</v>
      </c>
      <c r="G38" s="216">
        <v>2023</v>
      </c>
      <c r="H38" s="213" t="s">
        <v>1317</v>
      </c>
      <c r="I38" s="218" t="s">
        <v>196</v>
      </c>
      <c r="J38" s="217" t="s">
        <v>890</v>
      </c>
      <c r="K38" s="213" t="s">
        <v>758</v>
      </c>
      <c r="L38" s="213" t="s">
        <v>192</v>
      </c>
      <c r="M38" s="219" t="s">
        <v>1392</v>
      </c>
      <c r="N38" s="219">
        <v>6.75</v>
      </c>
      <c r="O38" s="219">
        <v>6.75</v>
      </c>
      <c r="P38" s="219">
        <v>6.75</v>
      </c>
      <c r="Q38" s="219">
        <v>6.75</v>
      </c>
      <c r="R38" s="219">
        <v>6.75</v>
      </c>
      <c r="S38" s="219">
        <v>6.75</v>
      </c>
      <c r="T38" s="219">
        <v>6.75</v>
      </c>
      <c r="U38" s="219">
        <v>6.75</v>
      </c>
      <c r="V38" s="219">
        <v>6.75</v>
      </c>
      <c r="W38" s="219">
        <v>6.75</v>
      </c>
      <c r="X38" s="219">
        <v>6.75</v>
      </c>
      <c r="Y38" s="219">
        <v>6.75</v>
      </c>
      <c r="Z38" s="219">
        <v>0.3</v>
      </c>
      <c r="AA38" s="219">
        <v>0.3</v>
      </c>
      <c r="AB38" s="219">
        <v>0.3</v>
      </c>
      <c r="AC38" s="219">
        <v>0.3</v>
      </c>
      <c r="AD38" s="219">
        <v>0.3</v>
      </c>
      <c r="AE38" s="219">
        <v>0.3</v>
      </c>
      <c r="AF38" s="219">
        <v>0.3</v>
      </c>
      <c r="AG38" s="219">
        <v>0.3</v>
      </c>
      <c r="AH38" s="219">
        <v>0.3</v>
      </c>
      <c r="AI38" s="219">
        <v>0.3</v>
      </c>
      <c r="AJ38" s="219">
        <v>0.3</v>
      </c>
      <c r="AK38" s="219">
        <v>0.3</v>
      </c>
      <c r="AL38" s="229" t="s">
        <v>573</v>
      </c>
      <c r="AM38" s="219">
        <f t="shared" si="5"/>
        <v>0</v>
      </c>
      <c r="AN38" s="229" t="s">
        <v>573</v>
      </c>
      <c r="AO38" s="221">
        <f t="shared" si="6"/>
        <v>0</v>
      </c>
      <c r="AP38" s="222" t="s">
        <v>573</v>
      </c>
      <c r="AQ38" s="221">
        <f t="shared" si="7"/>
        <v>0</v>
      </c>
      <c r="AR38" s="222" t="s">
        <v>573</v>
      </c>
      <c r="AS38" s="58">
        <f t="shared" si="8"/>
        <v>0</v>
      </c>
      <c r="AT38" s="222" t="s">
        <v>573</v>
      </c>
      <c r="AU38" s="58">
        <f t="shared" si="9"/>
        <v>0</v>
      </c>
      <c r="AV38" s="222" t="s">
        <v>573</v>
      </c>
      <c r="AW38" s="58">
        <f t="shared" si="10"/>
        <v>0</v>
      </c>
      <c r="AX38" s="251" t="s">
        <v>573</v>
      </c>
      <c r="AY38" s="58">
        <f t="shared" si="11"/>
        <v>0</v>
      </c>
      <c r="AZ38" s="222" t="s">
        <v>573</v>
      </c>
      <c r="BA38" s="58">
        <f t="shared" si="0"/>
        <v>0</v>
      </c>
      <c r="BB38" s="222" t="s">
        <v>573</v>
      </c>
      <c r="BC38" s="58">
        <f t="shared" si="1"/>
        <v>0</v>
      </c>
      <c r="BD38" s="222" t="s">
        <v>573</v>
      </c>
      <c r="BE38" s="58">
        <f t="shared" si="2"/>
        <v>0</v>
      </c>
      <c r="BF38" s="222" t="s">
        <v>573</v>
      </c>
      <c r="BG38" s="58">
        <f t="shared" si="3"/>
        <v>0</v>
      </c>
      <c r="BH38" s="223" t="s">
        <v>573</v>
      </c>
      <c r="BI38" s="58">
        <f t="shared" si="4"/>
        <v>0</v>
      </c>
      <c r="BJ38" s="220">
        <f t="shared" si="12"/>
        <v>0</v>
      </c>
      <c r="BK38" s="58"/>
      <c r="BL38" s="58" t="s">
        <v>923</v>
      </c>
      <c r="BM38" s="220" t="s">
        <v>1392</v>
      </c>
      <c r="BN38" s="213" t="s">
        <v>1347</v>
      </c>
      <c r="BO38" s="213" t="s">
        <v>695</v>
      </c>
      <c r="BP38" s="199">
        <v>45838</v>
      </c>
      <c r="BQ38" s="2" t="s">
        <v>1386</v>
      </c>
    </row>
    <row r="39" spans="1:69" ht="15.75" customHeight="1">
      <c r="A39" s="213" t="s">
        <v>788</v>
      </c>
      <c r="B39" s="58" t="s">
        <v>184</v>
      </c>
      <c r="C39" s="58" t="s">
        <v>752</v>
      </c>
      <c r="D39" s="214" t="s">
        <v>789</v>
      </c>
      <c r="E39" s="214" t="s">
        <v>789</v>
      </c>
      <c r="F39" s="215" t="s">
        <v>186</v>
      </c>
      <c r="G39" s="216">
        <v>2023</v>
      </c>
      <c r="H39" s="213" t="s">
        <v>1317</v>
      </c>
      <c r="I39" s="218" t="s">
        <v>196</v>
      </c>
      <c r="J39" s="217" t="s">
        <v>890</v>
      </c>
      <c r="K39" s="213" t="s">
        <v>758</v>
      </c>
      <c r="L39" s="213" t="s">
        <v>192</v>
      </c>
      <c r="M39" s="219" t="s">
        <v>1393</v>
      </c>
      <c r="N39" s="219">
        <v>6.75</v>
      </c>
      <c r="O39" s="219">
        <v>6.75</v>
      </c>
      <c r="P39" s="219">
        <v>6.75</v>
      </c>
      <c r="Q39" s="219">
        <v>6.75</v>
      </c>
      <c r="R39" s="219">
        <v>6.75</v>
      </c>
      <c r="S39" s="219">
        <v>6.75</v>
      </c>
      <c r="T39" s="219">
        <v>6.75</v>
      </c>
      <c r="U39" s="219">
        <v>6.75</v>
      </c>
      <c r="V39" s="219">
        <v>6.75</v>
      </c>
      <c r="W39" s="219">
        <v>6.75</v>
      </c>
      <c r="X39" s="219">
        <v>6.75</v>
      </c>
      <c r="Y39" s="219">
        <v>6.75</v>
      </c>
      <c r="Z39" s="219">
        <v>0.3</v>
      </c>
      <c r="AA39" s="219">
        <v>0.3</v>
      </c>
      <c r="AB39" s="219">
        <v>0.3</v>
      </c>
      <c r="AC39" s="219">
        <v>0.3</v>
      </c>
      <c r="AD39" s="219">
        <v>0.3</v>
      </c>
      <c r="AE39" s="219">
        <v>0.3</v>
      </c>
      <c r="AF39" s="219">
        <v>0.3</v>
      </c>
      <c r="AG39" s="219">
        <v>0.3</v>
      </c>
      <c r="AH39" s="219">
        <v>0.3</v>
      </c>
      <c r="AI39" s="219">
        <v>0.3</v>
      </c>
      <c r="AJ39" s="219">
        <v>0.3</v>
      </c>
      <c r="AK39" s="219">
        <v>0.3</v>
      </c>
      <c r="AL39" s="229" t="s">
        <v>573</v>
      </c>
      <c r="AM39" s="219">
        <f t="shared" si="5"/>
        <v>0</v>
      </c>
      <c r="AN39" s="229" t="s">
        <v>573</v>
      </c>
      <c r="AO39" s="221">
        <f t="shared" si="6"/>
        <v>0</v>
      </c>
      <c r="AP39" s="222" t="s">
        <v>573</v>
      </c>
      <c r="AQ39" s="221">
        <f t="shared" si="7"/>
        <v>0</v>
      </c>
      <c r="AR39" s="222" t="s">
        <v>573</v>
      </c>
      <c r="AS39" s="58">
        <f t="shared" si="8"/>
        <v>0</v>
      </c>
      <c r="AT39" s="222" t="s">
        <v>573</v>
      </c>
      <c r="AU39" s="58">
        <f t="shared" si="9"/>
        <v>0</v>
      </c>
      <c r="AV39" s="222" t="s">
        <v>573</v>
      </c>
      <c r="AW39" s="58">
        <f t="shared" si="10"/>
        <v>0</v>
      </c>
      <c r="AX39" s="251" t="s">
        <v>573</v>
      </c>
      <c r="AY39" s="58">
        <f t="shared" si="11"/>
        <v>0</v>
      </c>
      <c r="AZ39" s="222" t="s">
        <v>573</v>
      </c>
      <c r="BA39" s="58">
        <f t="shared" si="0"/>
        <v>0</v>
      </c>
      <c r="BB39" s="222" t="s">
        <v>573</v>
      </c>
      <c r="BC39" s="58">
        <f t="shared" si="1"/>
        <v>0</v>
      </c>
      <c r="BD39" s="222" t="s">
        <v>573</v>
      </c>
      <c r="BE39" s="58">
        <f t="shared" si="2"/>
        <v>0</v>
      </c>
      <c r="BF39" s="222" t="s">
        <v>573</v>
      </c>
      <c r="BG39" s="58">
        <f t="shared" si="3"/>
        <v>0</v>
      </c>
      <c r="BH39" s="223" t="s">
        <v>573</v>
      </c>
      <c r="BI39" s="58">
        <f t="shared" si="4"/>
        <v>0</v>
      </c>
      <c r="BJ39" s="220">
        <f t="shared" si="12"/>
        <v>0</v>
      </c>
      <c r="BK39" s="58"/>
      <c r="BL39" s="58" t="s">
        <v>924</v>
      </c>
      <c r="BM39" s="220" t="s">
        <v>1393</v>
      </c>
      <c r="BN39" s="213" t="s">
        <v>1347</v>
      </c>
      <c r="BO39" s="213" t="s">
        <v>695</v>
      </c>
      <c r="BP39" s="199">
        <v>45838</v>
      </c>
      <c r="BQ39" s="2" t="s">
        <v>1386</v>
      </c>
    </row>
    <row r="40" spans="1:69" ht="15.75" customHeight="1">
      <c r="A40" s="213" t="s">
        <v>788</v>
      </c>
      <c r="B40" s="58" t="s">
        <v>184</v>
      </c>
      <c r="C40" s="58" t="s">
        <v>752</v>
      </c>
      <c r="D40" s="214" t="s">
        <v>789</v>
      </c>
      <c r="E40" s="214" t="s">
        <v>789</v>
      </c>
      <c r="F40" s="215" t="s">
        <v>186</v>
      </c>
      <c r="G40" s="216">
        <v>2023</v>
      </c>
      <c r="H40" s="213" t="s">
        <v>1317</v>
      </c>
      <c r="I40" s="218" t="s">
        <v>196</v>
      </c>
      <c r="J40" s="217" t="s">
        <v>890</v>
      </c>
      <c r="K40" s="213" t="s">
        <v>758</v>
      </c>
      <c r="L40" s="213" t="s">
        <v>192</v>
      </c>
      <c r="M40" s="219" t="s">
        <v>1394</v>
      </c>
      <c r="N40" s="219">
        <v>6.75</v>
      </c>
      <c r="O40" s="219">
        <v>6.75</v>
      </c>
      <c r="P40" s="219">
        <v>6.75</v>
      </c>
      <c r="Q40" s="219">
        <v>6.75</v>
      </c>
      <c r="R40" s="219">
        <v>6.75</v>
      </c>
      <c r="S40" s="219">
        <v>6.75</v>
      </c>
      <c r="T40" s="219">
        <v>6.75</v>
      </c>
      <c r="U40" s="219">
        <v>6.75</v>
      </c>
      <c r="V40" s="219">
        <v>6.75</v>
      </c>
      <c r="W40" s="219">
        <v>6.75</v>
      </c>
      <c r="X40" s="219">
        <v>6.75</v>
      </c>
      <c r="Y40" s="219">
        <v>6.75</v>
      </c>
      <c r="Z40" s="219">
        <v>0.3</v>
      </c>
      <c r="AA40" s="219">
        <v>0.3</v>
      </c>
      <c r="AB40" s="219">
        <v>0.3</v>
      </c>
      <c r="AC40" s="219">
        <v>0.3</v>
      </c>
      <c r="AD40" s="219">
        <v>0.3</v>
      </c>
      <c r="AE40" s="219">
        <v>0.3</v>
      </c>
      <c r="AF40" s="219">
        <v>0.3</v>
      </c>
      <c r="AG40" s="219">
        <v>0.3</v>
      </c>
      <c r="AH40" s="219">
        <v>0.3</v>
      </c>
      <c r="AI40" s="219">
        <v>0.3</v>
      </c>
      <c r="AJ40" s="219">
        <v>0.3</v>
      </c>
      <c r="AK40" s="219">
        <v>0.3</v>
      </c>
      <c r="AL40" s="229" t="s">
        <v>573</v>
      </c>
      <c r="AM40" s="219">
        <f t="shared" si="5"/>
        <v>0</v>
      </c>
      <c r="AN40" s="229" t="s">
        <v>573</v>
      </c>
      <c r="AO40" s="221">
        <f t="shared" si="6"/>
        <v>0</v>
      </c>
      <c r="AP40" s="222" t="s">
        <v>573</v>
      </c>
      <c r="AQ40" s="221">
        <f t="shared" si="7"/>
        <v>0</v>
      </c>
      <c r="AR40" s="222" t="s">
        <v>573</v>
      </c>
      <c r="AS40" s="58">
        <f t="shared" si="8"/>
        <v>0</v>
      </c>
      <c r="AT40" s="222" t="s">
        <v>573</v>
      </c>
      <c r="AU40" s="58">
        <f t="shared" si="9"/>
        <v>0</v>
      </c>
      <c r="AV40" s="222" t="s">
        <v>573</v>
      </c>
      <c r="AW40" s="58">
        <f t="shared" si="10"/>
        <v>0</v>
      </c>
      <c r="AX40" s="251" t="s">
        <v>573</v>
      </c>
      <c r="AY40" s="58">
        <f t="shared" si="11"/>
        <v>0</v>
      </c>
      <c r="AZ40" s="222" t="s">
        <v>573</v>
      </c>
      <c r="BA40" s="58">
        <f t="shared" si="0"/>
        <v>0</v>
      </c>
      <c r="BB40" s="222" t="s">
        <v>573</v>
      </c>
      <c r="BC40" s="58">
        <f t="shared" si="1"/>
        <v>0</v>
      </c>
      <c r="BD40" s="222" t="s">
        <v>573</v>
      </c>
      <c r="BE40" s="58">
        <f t="shared" si="2"/>
        <v>0</v>
      </c>
      <c r="BF40" s="222" t="s">
        <v>573</v>
      </c>
      <c r="BG40" s="58">
        <f t="shared" si="3"/>
        <v>0</v>
      </c>
      <c r="BH40" s="223" t="s">
        <v>573</v>
      </c>
      <c r="BI40" s="58">
        <f t="shared" si="4"/>
        <v>0</v>
      </c>
      <c r="BJ40" s="220">
        <f t="shared" si="12"/>
        <v>0</v>
      </c>
      <c r="BK40" s="58"/>
      <c r="BL40" s="58" t="s">
        <v>925</v>
      </c>
      <c r="BM40" s="220" t="s">
        <v>1394</v>
      </c>
      <c r="BN40" s="213" t="s">
        <v>1347</v>
      </c>
      <c r="BO40" s="213" t="s">
        <v>1149</v>
      </c>
      <c r="BP40" s="199"/>
      <c r="BQ40" s="2" t="s">
        <v>1386</v>
      </c>
    </row>
    <row r="41" spans="1:69" ht="15.75" customHeight="1">
      <c r="A41" s="213" t="s">
        <v>788</v>
      </c>
      <c r="B41" s="58" t="s">
        <v>184</v>
      </c>
      <c r="C41" s="58" t="s">
        <v>752</v>
      </c>
      <c r="D41" s="214" t="s">
        <v>789</v>
      </c>
      <c r="E41" s="214" t="s">
        <v>789</v>
      </c>
      <c r="F41" s="215" t="s">
        <v>186</v>
      </c>
      <c r="G41" s="216">
        <v>2023</v>
      </c>
      <c r="H41" s="213" t="s">
        <v>1317</v>
      </c>
      <c r="I41" s="218" t="s">
        <v>196</v>
      </c>
      <c r="J41" s="217" t="s">
        <v>890</v>
      </c>
      <c r="K41" s="213" t="s">
        <v>758</v>
      </c>
      <c r="L41" s="213" t="s">
        <v>192</v>
      </c>
      <c r="M41" s="219" t="s">
        <v>1395</v>
      </c>
      <c r="N41" s="219">
        <v>6.75</v>
      </c>
      <c r="O41" s="219">
        <v>6.75</v>
      </c>
      <c r="P41" s="219">
        <v>6.75</v>
      </c>
      <c r="Q41" s="219">
        <v>6.75</v>
      </c>
      <c r="R41" s="219">
        <v>6.75</v>
      </c>
      <c r="S41" s="219">
        <v>6.75</v>
      </c>
      <c r="T41" s="219">
        <v>6.75</v>
      </c>
      <c r="U41" s="219">
        <v>6.75</v>
      </c>
      <c r="V41" s="219">
        <v>6.75</v>
      </c>
      <c r="W41" s="219">
        <v>6.75</v>
      </c>
      <c r="X41" s="219">
        <v>6.75</v>
      </c>
      <c r="Y41" s="219">
        <v>6.75</v>
      </c>
      <c r="Z41" s="219">
        <v>0.3</v>
      </c>
      <c r="AA41" s="219">
        <v>0.3</v>
      </c>
      <c r="AB41" s="219">
        <v>0.3</v>
      </c>
      <c r="AC41" s="219">
        <v>0.3</v>
      </c>
      <c r="AD41" s="219">
        <v>0.3</v>
      </c>
      <c r="AE41" s="219">
        <v>0.3</v>
      </c>
      <c r="AF41" s="219">
        <v>0.3</v>
      </c>
      <c r="AG41" s="219">
        <v>0.3</v>
      </c>
      <c r="AH41" s="219">
        <v>0.3</v>
      </c>
      <c r="AI41" s="219">
        <v>0.3</v>
      </c>
      <c r="AJ41" s="219">
        <v>0.3</v>
      </c>
      <c r="AK41" s="219">
        <v>0.3</v>
      </c>
      <c r="AL41" s="229" t="s">
        <v>573</v>
      </c>
      <c r="AM41" s="219">
        <f t="shared" si="5"/>
        <v>0</v>
      </c>
      <c r="AN41" s="229" t="s">
        <v>573</v>
      </c>
      <c r="AO41" s="221">
        <f t="shared" si="6"/>
        <v>0</v>
      </c>
      <c r="AP41" s="222" t="s">
        <v>573</v>
      </c>
      <c r="AQ41" s="221">
        <f t="shared" si="7"/>
        <v>0</v>
      </c>
      <c r="AR41" s="222" t="s">
        <v>573</v>
      </c>
      <c r="AS41" s="58">
        <f t="shared" si="8"/>
        <v>0</v>
      </c>
      <c r="AT41" s="222" t="s">
        <v>573</v>
      </c>
      <c r="AU41" s="58">
        <f t="shared" si="9"/>
        <v>0</v>
      </c>
      <c r="AV41" s="222" t="s">
        <v>573</v>
      </c>
      <c r="AW41" s="58">
        <f t="shared" si="10"/>
        <v>0</v>
      </c>
      <c r="AX41" s="251" t="s">
        <v>573</v>
      </c>
      <c r="AY41" s="58">
        <f t="shared" si="11"/>
        <v>0</v>
      </c>
      <c r="AZ41" s="222" t="s">
        <v>573</v>
      </c>
      <c r="BA41" s="58">
        <f t="shared" si="0"/>
        <v>0</v>
      </c>
      <c r="BB41" s="222" t="s">
        <v>573</v>
      </c>
      <c r="BC41" s="58">
        <f t="shared" si="1"/>
        <v>0</v>
      </c>
      <c r="BD41" s="222" t="s">
        <v>573</v>
      </c>
      <c r="BE41" s="58">
        <f t="shared" si="2"/>
        <v>0</v>
      </c>
      <c r="BF41" s="222" t="s">
        <v>573</v>
      </c>
      <c r="BG41" s="58">
        <f t="shared" si="3"/>
        <v>0</v>
      </c>
      <c r="BH41" s="223" t="s">
        <v>573</v>
      </c>
      <c r="BI41" s="58">
        <f t="shared" si="4"/>
        <v>0</v>
      </c>
      <c r="BJ41" s="220">
        <f t="shared" si="12"/>
        <v>0</v>
      </c>
      <c r="BK41" s="58"/>
      <c r="BL41" s="58" t="s">
        <v>890</v>
      </c>
      <c r="BM41" s="220" t="s">
        <v>1395</v>
      </c>
      <c r="BN41" s="213" t="s">
        <v>1347</v>
      </c>
      <c r="BO41" s="213" t="s">
        <v>1149</v>
      </c>
      <c r="BP41" s="199"/>
      <c r="BQ41" s="2" t="s">
        <v>1386</v>
      </c>
    </row>
    <row r="42" spans="1:69" ht="15.75" customHeight="1">
      <c r="A42" s="213" t="s">
        <v>788</v>
      </c>
      <c r="B42" s="58" t="s">
        <v>184</v>
      </c>
      <c r="C42" s="58" t="s">
        <v>752</v>
      </c>
      <c r="D42" s="214" t="s">
        <v>789</v>
      </c>
      <c r="E42" s="214" t="s">
        <v>789</v>
      </c>
      <c r="F42" s="215" t="s">
        <v>186</v>
      </c>
      <c r="G42" s="216">
        <v>2023</v>
      </c>
      <c r="H42" s="213" t="s">
        <v>1317</v>
      </c>
      <c r="I42" s="218" t="s">
        <v>196</v>
      </c>
      <c r="J42" s="217" t="s">
        <v>890</v>
      </c>
      <c r="K42" s="213" t="s">
        <v>758</v>
      </c>
      <c r="L42" s="213" t="s">
        <v>192</v>
      </c>
      <c r="M42" s="219" t="s">
        <v>1392</v>
      </c>
      <c r="N42" s="219">
        <v>6.75</v>
      </c>
      <c r="O42" s="219">
        <v>6.75</v>
      </c>
      <c r="P42" s="219">
        <v>6.75</v>
      </c>
      <c r="Q42" s="219">
        <v>6.75</v>
      </c>
      <c r="R42" s="219">
        <v>6.75</v>
      </c>
      <c r="S42" s="219">
        <v>6.75</v>
      </c>
      <c r="T42" s="219">
        <v>6.75</v>
      </c>
      <c r="U42" s="219">
        <v>6.75</v>
      </c>
      <c r="V42" s="219">
        <v>6.75</v>
      </c>
      <c r="W42" s="219">
        <v>6.75</v>
      </c>
      <c r="X42" s="219">
        <v>6.75</v>
      </c>
      <c r="Y42" s="219">
        <v>6.75</v>
      </c>
      <c r="Z42" s="219">
        <v>0.3</v>
      </c>
      <c r="AA42" s="219">
        <v>0.3</v>
      </c>
      <c r="AB42" s="219">
        <v>0.3</v>
      </c>
      <c r="AC42" s="219">
        <v>0.3</v>
      </c>
      <c r="AD42" s="219">
        <v>0.3</v>
      </c>
      <c r="AE42" s="219">
        <v>0.3</v>
      </c>
      <c r="AF42" s="219">
        <v>0.3</v>
      </c>
      <c r="AG42" s="219">
        <v>0.3</v>
      </c>
      <c r="AH42" s="219">
        <v>0.3</v>
      </c>
      <c r="AI42" s="219">
        <v>0.3</v>
      </c>
      <c r="AJ42" s="219">
        <v>0.3</v>
      </c>
      <c r="AK42" s="219">
        <v>0.3</v>
      </c>
      <c r="AL42" s="229" t="s">
        <v>573</v>
      </c>
      <c r="AM42" s="219">
        <f t="shared" si="5"/>
        <v>0</v>
      </c>
      <c r="AN42" s="229" t="s">
        <v>573</v>
      </c>
      <c r="AO42" s="221">
        <f t="shared" si="6"/>
        <v>0</v>
      </c>
      <c r="AP42" s="222" t="s">
        <v>573</v>
      </c>
      <c r="AQ42" s="221">
        <f t="shared" si="7"/>
        <v>0</v>
      </c>
      <c r="AR42" s="222" t="s">
        <v>573</v>
      </c>
      <c r="AS42" s="58">
        <f t="shared" si="8"/>
        <v>0</v>
      </c>
      <c r="AT42" s="222" t="s">
        <v>573</v>
      </c>
      <c r="AU42" s="58">
        <f t="shared" si="9"/>
        <v>0</v>
      </c>
      <c r="AV42" s="222" t="s">
        <v>573</v>
      </c>
      <c r="AW42" s="58">
        <f t="shared" si="10"/>
        <v>0</v>
      </c>
      <c r="AX42" s="251" t="s">
        <v>573</v>
      </c>
      <c r="AY42" s="58">
        <f t="shared" si="11"/>
        <v>0</v>
      </c>
      <c r="AZ42" s="222" t="s">
        <v>573</v>
      </c>
      <c r="BA42" s="58">
        <f t="shared" si="0"/>
        <v>0</v>
      </c>
      <c r="BB42" s="222" t="s">
        <v>573</v>
      </c>
      <c r="BC42" s="58">
        <f t="shared" si="1"/>
        <v>0</v>
      </c>
      <c r="BD42" s="222" t="s">
        <v>573</v>
      </c>
      <c r="BE42" s="58">
        <f t="shared" si="2"/>
        <v>0</v>
      </c>
      <c r="BF42" s="222" t="s">
        <v>573</v>
      </c>
      <c r="BG42" s="58">
        <f t="shared" si="3"/>
        <v>0</v>
      </c>
      <c r="BH42" s="223" t="s">
        <v>573</v>
      </c>
      <c r="BI42" s="58">
        <f t="shared" si="4"/>
        <v>0</v>
      </c>
      <c r="BJ42" s="220">
        <f t="shared" si="12"/>
        <v>0</v>
      </c>
      <c r="BK42" s="58"/>
      <c r="BL42" s="58" t="s">
        <v>926</v>
      </c>
      <c r="BM42" s="220" t="s">
        <v>1392</v>
      </c>
      <c r="BN42" s="213" t="s">
        <v>1347</v>
      </c>
      <c r="BO42" s="213" t="s">
        <v>694</v>
      </c>
      <c r="BP42" s="199">
        <v>45838</v>
      </c>
      <c r="BQ42" s="2" t="s">
        <v>1386</v>
      </c>
    </row>
    <row r="43" spans="1:69" ht="15.75" customHeight="1">
      <c r="A43" s="213" t="s">
        <v>788</v>
      </c>
      <c r="B43" s="58" t="s">
        <v>184</v>
      </c>
      <c r="C43" s="58" t="s">
        <v>752</v>
      </c>
      <c r="D43" s="214" t="s">
        <v>789</v>
      </c>
      <c r="E43" s="214" t="s">
        <v>789</v>
      </c>
      <c r="F43" s="215" t="s">
        <v>186</v>
      </c>
      <c r="G43" s="216">
        <v>2023</v>
      </c>
      <c r="H43" s="213" t="s">
        <v>1317</v>
      </c>
      <c r="I43" s="218" t="s">
        <v>196</v>
      </c>
      <c r="J43" s="217" t="s">
        <v>890</v>
      </c>
      <c r="K43" s="213" t="s">
        <v>758</v>
      </c>
      <c r="L43" s="213" t="s">
        <v>192</v>
      </c>
      <c r="M43" s="219" t="s">
        <v>1393</v>
      </c>
      <c r="N43" s="219">
        <v>6.75</v>
      </c>
      <c r="O43" s="219">
        <v>6.75</v>
      </c>
      <c r="P43" s="219">
        <v>6.75</v>
      </c>
      <c r="Q43" s="219">
        <v>6.75</v>
      </c>
      <c r="R43" s="219">
        <v>6.75</v>
      </c>
      <c r="S43" s="219">
        <v>6.75</v>
      </c>
      <c r="T43" s="219">
        <v>6.75</v>
      </c>
      <c r="U43" s="219">
        <v>6.75</v>
      </c>
      <c r="V43" s="219">
        <v>6.75</v>
      </c>
      <c r="W43" s="219">
        <v>6.75</v>
      </c>
      <c r="X43" s="219">
        <v>6.75</v>
      </c>
      <c r="Y43" s="219">
        <v>6.75</v>
      </c>
      <c r="Z43" s="219">
        <v>0.3</v>
      </c>
      <c r="AA43" s="219">
        <v>0.3</v>
      </c>
      <c r="AB43" s="219">
        <v>0.3</v>
      </c>
      <c r="AC43" s="219">
        <v>0.3</v>
      </c>
      <c r="AD43" s="219">
        <v>0.3</v>
      </c>
      <c r="AE43" s="219">
        <v>0.3</v>
      </c>
      <c r="AF43" s="219">
        <v>0.3</v>
      </c>
      <c r="AG43" s="219">
        <v>0.3</v>
      </c>
      <c r="AH43" s="219">
        <v>0.3</v>
      </c>
      <c r="AI43" s="219">
        <v>0.3</v>
      </c>
      <c r="AJ43" s="219">
        <v>0.3</v>
      </c>
      <c r="AK43" s="219">
        <v>0.3</v>
      </c>
      <c r="AL43" s="229" t="s">
        <v>573</v>
      </c>
      <c r="AM43" s="219">
        <f t="shared" si="5"/>
        <v>0</v>
      </c>
      <c r="AN43" s="229" t="s">
        <v>573</v>
      </c>
      <c r="AO43" s="221">
        <f t="shared" si="6"/>
        <v>0</v>
      </c>
      <c r="AP43" s="222" t="s">
        <v>573</v>
      </c>
      <c r="AQ43" s="221">
        <f t="shared" si="7"/>
        <v>0</v>
      </c>
      <c r="AR43" s="222" t="s">
        <v>573</v>
      </c>
      <c r="AS43" s="58">
        <f t="shared" si="8"/>
        <v>0</v>
      </c>
      <c r="AT43" s="222" t="s">
        <v>573</v>
      </c>
      <c r="AU43" s="58">
        <f t="shared" si="9"/>
        <v>0</v>
      </c>
      <c r="AV43" s="222" t="s">
        <v>573</v>
      </c>
      <c r="AW43" s="58">
        <f t="shared" si="10"/>
        <v>0</v>
      </c>
      <c r="AX43" s="251" t="s">
        <v>573</v>
      </c>
      <c r="AY43" s="58">
        <f t="shared" si="11"/>
        <v>0</v>
      </c>
      <c r="AZ43" s="222" t="s">
        <v>573</v>
      </c>
      <c r="BA43" s="58">
        <f t="shared" si="0"/>
        <v>0</v>
      </c>
      <c r="BB43" s="222" t="s">
        <v>573</v>
      </c>
      <c r="BC43" s="58">
        <f t="shared" si="1"/>
        <v>0</v>
      </c>
      <c r="BD43" s="222" t="s">
        <v>573</v>
      </c>
      <c r="BE43" s="58">
        <f t="shared" si="2"/>
        <v>0</v>
      </c>
      <c r="BF43" s="222" t="s">
        <v>573</v>
      </c>
      <c r="BG43" s="58">
        <f t="shared" si="3"/>
        <v>0</v>
      </c>
      <c r="BH43" s="223" t="s">
        <v>573</v>
      </c>
      <c r="BI43" s="58">
        <f t="shared" si="4"/>
        <v>0</v>
      </c>
      <c r="BJ43" s="220">
        <f t="shared" si="12"/>
        <v>0</v>
      </c>
      <c r="BK43" s="58"/>
      <c r="BL43" s="58" t="s">
        <v>927</v>
      </c>
      <c r="BM43" s="220" t="s">
        <v>1393</v>
      </c>
      <c r="BN43" s="213" t="s">
        <v>1347</v>
      </c>
      <c r="BO43" s="213" t="s">
        <v>694</v>
      </c>
      <c r="BP43" s="199">
        <v>45838</v>
      </c>
      <c r="BQ43" s="2" t="s">
        <v>1386</v>
      </c>
    </row>
    <row r="44" spans="1:69" ht="15.75" customHeight="1">
      <c r="A44" s="213" t="s">
        <v>788</v>
      </c>
      <c r="B44" s="58" t="s">
        <v>184</v>
      </c>
      <c r="C44" s="58" t="s">
        <v>752</v>
      </c>
      <c r="D44" s="214" t="s">
        <v>789</v>
      </c>
      <c r="E44" s="214" t="s">
        <v>789</v>
      </c>
      <c r="F44" s="215" t="s">
        <v>186</v>
      </c>
      <c r="G44" s="216">
        <v>2023</v>
      </c>
      <c r="H44" s="213" t="s">
        <v>1317</v>
      </c>
      <c r="I44" s="218" t="s">
        <v>196</v>
      </c>
      <c r="J44" s="217" t="s">
        <v>890</v>
      </c>
      <c r="K44" s="213" t="s">
        <v>758</v>
      </c>
      <c r="L44" s="213" t="s">
        <v>192</v>
      </c>
      <c r="M44" s="219" t="s">
        <v>1394</v>
      </c>
      <c r="N44" s="219">
        <v>6.75</v>
      </c>
      <c r="O44" s="219">
        <v>6.75</v>
      </c>
      <c r="P44" s="219">
        <v>6.75</v>
      </c>
      <c r="Q44" s="219">
        <v>6.75</v>
      </c>
      <c r="R44" s="219">
        <v>6.75</v>
      </c>
      <c r="S44" s="219">
        <v>6.75</v>
      </c>
      <c r="T44" s="219">
        <v>6.75</v>
      </c>
      <c r="U44" s="219">
        <v>6.75</v>
      </c>
      <c r="V44" s="219">
        <v>6.75</v>
      </c>
      <c r="W44" s="219">
        <v>6.75</v>
      </c>
      <c r="X44" s="219">
        <v>6.75</v>
      </c>
      <c r="Y44" s="219">
        <v>6.75</v>
      </c>
      <c r="Z44" s="219">
        <v>0.3</v>
      </c>
      <c r="AA44" s="219">
        <v>0.3</v>
      </c>
      <c r="AB44" s="219">
        <v>0.3</v>
      </c>
      <c r="AC44" s="219">
        <v>0.3</v>
      </c>
      <c r="AD44" s="219">
        <v>0.3</v>
      </c>
      <c r="AE44" s="219">
        <v>0.3</v>
      </c>
      <c r="AF44" s="219">
        <v>0.3</v>
      </c>
      <c r="AG44" s="219">
        <v>0.3</v>
      </c>
      <c r="AH44" s="219">
        <v>0.3</v>
      </c>
      <c r="AI44" s="219">
        <v>0.3</v>
      </c>
      <c r="AJ44" s="219">
        <v>0.3</v>
      </c>
      <c r="AK44" s="219">
        <v>0.3</v>
      </c>
      <c r="AL44" s="229" t="s">
        <v>573</v>
      </c>
      <c r="AM44" s="219">
        <f t="shared" si="5"/>
        <v>0</v>
      </c>
      <c r="AN44" s="229" t="s">
        <v>573</v>
      </c>
      <c r="AO44" s="221">
        <f t="shared" si="6"/>
        <v>0</v>
      </c>
      <c r="AP44" s="222" t="s">
        <v>573</v>
      </c>
      <c r="AQ44" s="221">
        <f t="shared" si="7"/>
        <v>0</v>
      </c>
      <c r="AR44" s="222" t="s">
        <v>573</v>
      </c>
      <c r="AS44" s="58">
        <f t="shared" si="8"/>
        <v>0</v>
      </c>
      <c r="AT44" s="222" t="s">
        <v>573</v>
      </c>
      <c r="AU44" s="58">
        <f t="shared" si="9"/>
        <v>0</v>
      </c>
      <c r="AV44" s="222" t="s">
        <v>573</v>
      </c>
      <c r="AW44" s="58">
        <f t="shared" si="10"/>
        <v>0</v>
      </c>
      <c r="AX44" s="251" t="s">
        <v>573</v>
      </c>
      <c r="AY44" s="58">
        <f t="shared" si="11"/>
        <v>0</v>
      </c>
      <c r="AZ44" s="222" t="s">
        <v>573</v>
      </c>
      <c r="BA44" s="58">
        <f t="shared" si="0"/>
        <v>0</v>
      </c>
      <c r="BB44" s="222" t="s">
        <v>573</v>
      </c>
      <c r="BC44" s="58">
        <f t="shared" si="1"/>
        <v>0</v>
      </c>
      <c r="BD44" s="222" t="s">
        <v>573</v>
      </c>
      <c r="BE44" s="58">
        <f t="shared" si="2"/>
        <v>0</v>
      </c>
      <c r="BF44" s="222" t="s">
        <v>573</v>
      </c>
      <c r="BG44" s="58">
        <f t="shared" si="3"/>
        <v>0</v>
      </c>
      <c r="BH44" s="223" t="s">
        <v>573</v>
      </c>
      <c r="BI44" s="58">
        <f t="shared" si="4"/>
        <v>0</v>
      </c>
      <c r="BJ44" s="220">
        <f t="shared" si="12"/>
        <v>0</v>
      </c>
      <c r="BK44" s="58"/>
      <c r="BL44" s="58" t="s">
        <v>928</v>
      </c>
      <c r="BM44" s="220" t="s">
        <v>1394</v>
      </c>
      <c r="BN44" s="213" t="s">
        <v>1347</v>
      </c>
      <c r="BO44" s="213" t="s">
        <v>1145</v>
      </c>
      <c r="BP44" s="199"/>
      <c r="BQ44" s="2" t="s">
        <v>1386</v>
      </c>
    </row>
    <row r="45" spans="1:69" ht="15.75" customHeight="1">
      <c r="A45" s="213" t="s">
        <v>788</v>
      </c>
      <c r="B45" s="58" t="s">
        <v>184</v>
      </c>
      <c r="C45" s="58" t="s">
        <v>752</v>
      </c>
      <c r="D45" s="214" t="s">
        <v>789</v>
      </c>
      <c r="E45" s="214" t="s">
        <v>789</v>
      </c>
      <c r="F45" s="215" t="s">
        <v>186</v>
      </c>
      <c r="G45" s="216">
        <v>2023</v>
      </c>
      <c r="H45" s="213" t="s">
        <v>1317</v>
      </c>
      <c r="I45" s="218" t="s">
        <v>196</v>
      </c>
      <c r="J45" s="217" t="s">
        <v>890</v>
      </c>
      <c r="K45" s="213" t="s">
        <v>758</v>
      </c>
      <c r="L45" s="213" t="s">
        <v>192</v>
      </c>
      <c r="M45" s="219" t="s">
        <v>1395</v>
      </c>
      <c r="N45" s="219">
        <v>6.75</v>
      </c>
      <c r="O45" s="219">
        <v>6.75</v>
      </c>
      <c r="P45" s="219">
        <v>6.75</v>
      </c>
      <c r="Q45" s="219">
        <v>6.75</v>
      </c>
      <c r="R45" s="219">
        <v>6.75</v>
      </c>
      <c r="S45" s="219">
        <v>6.75</v>
      </c>
      <c r="T45" s="219">
        <v>6.75</v>
      </c>
      <c r="U45" s="219">
        <v>6.75</v>
      </c>
      <c r="V45" s="219">
        <v>6.75</v>
      </c>
      <c r="W45" s="219">
        <v>6.75</v>
      </c>
      <c r="X45" s="219">
        <v>6.75</v>
      </c>
      <c r="Y45" s="219">
        <v>6.75</v>
      </c>
      <c r="Z45" s="219">
        <v>0.3</v>
      </c>
      <c r="AA45" s="219">
        <v>0.3</v>
      </c>
      <c r="AB45" s="219">
        <v>0.3</v>
      </c>
      <c r="AC45" s="219">
        <v>0.3</v>
      </c>
      <c r="AD45" s="219">
        <v>0.3</v>
      </c>
      <c r="AE45" s="219">
        <v>0.3</v>
      </c>
      <c r="AF45" s="219">
        <v>0.3</v>
      </c>
      <c r="AG45" s="219">
        <v>0.3</v>
      </c>
      <c r="AH45" s="219">
        <v>0.3</v>
      </c>
      <c r="AI45" s="219">
        <v>0.3</v>
      </c>
      <c r="AJ45" s="219">
        <v>0.3</v>
      </c>
      <c r="AK45" s="219">
        <v>0.3</v>
      </c>
      <c r="AL45" s="229" t="s">
        <v>573</v>
      </c>
      <c r="AM45" s="219">
        <f t="shared" si="5"/>
        <v>0</v>
      </c>
      <c r="AN45" s="229" t="s">
        <v>573</v>
      </c>
      <c r="AO45" s="221">
        <f t="shared" si="6"/>
        <v>0</v>
      </c>
      <c r="AP45" s="222" t="s">
        <v>573</v>
      </c>
      <c r="AQ45" s="221">
        <f t="shared" si="7"/>
        <v>0</v>
      </c>
      <c r="AR45" s="222" t="s">
        <v>573</v>
      </c>
      <c r="AS45" s="58">
        <f t="shared" si="8"/>
        <v>0</v>
      </c>
      <c r="AT45" s="222" t="s">
        <v>573</v>
      </c>
      <c r="AU45" s="58">
        <f t="shared" si="9"/>
        <v>0</v>
      </c>
      <c r="AV45" s="222" t="s">
        <v>573</v>
      </c>
      <c r="AW45" s="58">
        <f t="shared" si="10"/>
        <v>0</v>
      </c>
      <c r="AX45" s="251" t="s">
        <v>573</v>
      </c>
      <c r="AY45" s="58">
        <f t="shared" si="11"/>
        <v>0</v>
      </c>
      <c r="AZ45" s="222" t="s">
        <v>573</v>
      </c>
      <c r="BA45" s="58">
        <f t="shared" si="0"/>
        <v>0</v>
      </c>
      <c r="BB45" s="222" t="s">
        <v>573</v>
      </c>
      <c r="BC45" s="58">
        <f t="shared" si="1"/>
        <v>0</v>
      </c>
      <c r="BD45" s="222" t="s">
        <v>573</v>
      </c>
      <c r="BE45" s="58">
        <f t="shared" si="2"/>
        <v>0</v>
      </c>
      <c r="BF45" s="222" t="s">
        <v>573</v>
      </c>
      <c r="BG45" s="58">
        <f t="shared" si="3"/>
        <v>0</v>
      </c>
      <c r="BH45" s="223" t="s">
        <v>573</v>
      </c>
      <c r="BI45" s="58">
        <f t="shared" si="4"/>
        <v>0</v>
      </c>
      <c r="BJ45" s="220">
        <f t="shared" si="12"/>
        <v>0</v>
      </c>
      <c r="BK45" s="58"/>
      <c r="BL45" s="58" t="s">
        <v>890</v>
      </c>
      <c r="BM45" s="220" t="s">
        <v>1395</v>
      </c>
      <c r="BN45" s="213" t="s">
        <v>1347</v>
      </c>
      <c r="BO45" s="213" t="s">
        <v>1145</v>
      </c>
      <c r="BP45" s="199"/>
      <c r="BQ45" s="2" t="s">
        <v>1386</v>
      </c>
    </row>
    <row r="46" spans="1:69" ht="15.75" customHeight="1">
      <c r="A46" s="213" t="s">
        <v>788</v>
      </c>
      <c r="B46" s="58" t="s">
        <v>184</v>
      </c>
      <c r="C46" s="58" t="s">
        <v>752</v>
      </c>
      <c r="D46" s="214" t="s">
        <v>789</v>
      </c>
      <c r="E46" s="214" t="s">
        <v>789</v>
      </c>
      <c r="F46" s="215" t="s">
        <v>186</v>
      </c>
      <c r="G46" s="216">
        <v>2023</v>
      </c>
      <c r="H46" s="213" t="s">
        <v>1317</v>
      </c>
      <c r="I46" s="218" t="s">
        <v>196</v>
      </c>
      <c r="J46" s="217" t="s">
        <v>890</v>
      </c>
      <c r="K46" s="213" t="s">
        <v>758</v>
      </c>
      <c r="L46" s="213" t="s">
        <v>192</v>
      </c>
      <c r="M46" s="219" t="s">
        <v>1392</v>
      </c>
      <c r="N46" s="219">
        <v>6.75</v>
      </c>
      <c r="O46" s="219">
        <v>6.75</v>
      </c>
      <c r="P46" s="219">
        <v>6.75</v>
      </c>
      <c r="Q46" s="219">
        <v>6.75</v>
      </c>
      <c r="R46" s="219">
        <v>6.75</v>
      </c>
      <c r="S46" s="219">
        <v>6.75</v>
      </c>
      <c r="T46" s="219">
        <v>6.75</v>
      </c>
      <c r="U46" s="219">
        <v>6.75</v>
      </c>
      <c r="V46" s="219">
        <v>6.75</v>
      </c>
      <c r="W46" s="219">
        <v>6.75</v>
      </c>
      <c r="X46" s="219">
        <v>6.75</v>
      </c>
      <c r="Y46" s="219">
        <v>6.75</v>
      </c>
      <c r="Z46" s="219">
        <v>0.3</v>
      </c>
      <c r="AA46" s="219">
        <v>0.3</v>
      </c>
      <c r="AB46" s="219">
        <v>0.3</v>
      </c>
      <c r="AC46" s="219">
        <v>0.3</v>
      </c>
      <c r="AD46" s="219">
        <v>0.3</v>
      </c>
      <c r="AE46" s="219">
        <v>0.3</v>
      </c>
      <c r="AF46" s="219">
        <v>0.3</v>
      </c>
      <c r="AG46" s="219">
        <v>0.3</v>
      </c>
      <c r="AH46" s="219">
        <v>0.3</v>
      </c>
      <c r="AI46" s="219">
        <v>0.3</v>
      </c>
      <c r="AJ46" s="219">
        <v>0.3</v>
      </c>
      <c r="AK46" s="219">
        <v>0.3</v>
      </c>
      <c r="AL46" s="229" t="s">
        <v>573</v>
      </c>
      <c r="AM46" s="219">
        <f t="shared" si="5"/>
        <v>0</v>
      </c>
      <c r="AN46" s="229" t="s">
        <v>573</v>
      </c>
      <c r="AO46" s="221">
        <f t="shared" si="6"/>
        <v>0</v>
      </c>
      <c r="AP46" s="222" t="s">
        <v>573</v>
      </c>
      <c r="AQ46" s="221">
        <f t="shared" si="7"/>
        <v>0</v>
      </c>
      <c r="AR46" s="222" t="s">
        <v>573</v>
      </c>
      <c r="AS46" s="58">
        <f t="shared" si="8"/>
        <v>0</v>
      </c>
      <c r="AT46" s="222" t="s">
        <v>573</v>
      </c>
      <c r="AU46" s="58">
        <f t="shared" si="9"/>
        <v>0</v>
      </c>
      <c r="AV46" s="222" t="s">
        <v>573</v>
      </c>
      <c r="AW46" s="58">
        <f t="shared" si="10"/>
        <v>0</v>
      </c>
      <c r="AX46" s="251" t="s">
        <v>573</v>
      </c>
      <c r="AY46" s="58">
        <f t="shared" si="11"/>
        <v>0</v>
      </c>
      <c r="AZ46" s="222" t="s">
        <v>573</v>
      </c>
      <c r="BA46" s="58">
        <f t="shared" si="0"/>
        <v>0</v>
      </c>
      <c r="BB46" s="222" t="s">
        <v>573</v>
      </c>
      <c r="BC46" s="58">
        <f t="shared" si="1"/>
        <v>0</v>
      </c>
      <c r="BD46" s="222" t="s">
        <v>573</v>
      </c>
      <c r="BE46" s="58">
        <f t="shared" si="2"/>
        <v>0</v>
      </c>
      <c r="BF46" s="222" t="s">
        <v>573</v>
      </c>
      <c r="BG46" s="58">
        <f t="shared" si="3"/>
        <v>0</v>
      </c>
      <c r="BH46" s="223" t="s">
        <v>573</v>
      </c>
      <c r="BI46" s="58">
        <f t="shared" si="4"/>
        <v>0</v>
      </c>
      <c r="BJ46" s="220">
        <f t="shared" si="12"/>
        <v>0</v>
      </c>
      <c r="BK46" s="58"/>
      <c r="BL46" s="58" t="s">
        <v>929</v>
      </c>
      <c r="BM46" s="220" t="s">
        <v>1392</v>
      </c>
      <c r="BN46" s="213" t="s">
        <v>1347</v>
      </c>
      <c r="BO46" s="213" t="s">
        <v>693</v>
      </c>
      <c r="BP46" s="199">
        <v>45838</v>
      </c>
      <c r="BQ46" s="2" t="s">
        <v>1386</v>
      </c>
    </row>
    <row r="47" spans="1:69" ht="15.75" customHeight="1">
      <c r="A47" s="213" t="s">
        <v>788</v>
      </c>
      <c r="B47" s="58" t="s">
        <v>184</v>
      </c>
      <c r="C47" s="58" t="s">
        <v>752</v>
      </c>
      <c r="D47" s="214" t="s">
        <v>789</v>
      </c>
      <c r="E47" s="214" t="s">
        <v>789</v>
      </c>
      <c r="F47" s="215" t="s">
        <v>186</v>
      </c>
      <c r="G47" s="216">
        <v>2023</v>
      </c>
      <c r="H47" s="213" t="s">
        <v>1317</v>
      </c>
      <c r="I47" s="218" t="s">
        <v>196</v>
      </c>
      <c r="J47" s="217" t="s">
        <v>890</v>
      </c>
      <c r="K47" s="213" t="s">
        <v>330</v>
      </c>
      <c r="L47" s="213" t="s">
        <v>192</v>
      </c>
      <c r="M47" s="219" t="s">
        <v>1393</v>
      </c>
      <c r="N47" s="219">
        <v>6.75</v>
      </c>
      <c r="O47" s="219">
        <v>6.75</v>
      </c>
      <c r="P47" s="219">
        <v>6.75</v>
      </c>
      <c r="Q47" s="219">
        <v>6.75</v>
      </c>
      <c r="R47" s="219">
        <v>6.75</v>
      </c>
      <c r="S47" s="219">
        <v>6.75</v>
      </c>
      <c r="T47" s="219">
        <v>6.75</v>
      </c>
      <c r="U47" s="219">
        <v>6.75</v>
      </c>
      <c r="V47" s="219">
        <v>6.75</v>
      </c>
      <c r="W47" s="219">
        <v>6.75</v>
      </c>
      <c r="X47" s="219">
        <v>6.75</v>
      </c>
      <c r="Y47" s="219">
        <v>6.75</v>
      </c>
      <c r="Z47" s="219">
        <v>0.3</v>
      </c>
      <c r="AA47" s="219">
        <v>0.3</v>
      </c>
      <c r="AB47" s="219">
        <v>0.3</v>
      </c>
      <c r="AC47" s="219">
        <v>0.3</v>
      </c>
      <c r="AD47" s="219">
        <v>0.3</v>
      </c>
      <c r="AE47" s="219">
        <v>0.3</v>
      </c>
      <c r="AF47" s="219">
        <v>0.3</v>
      </c>
      <c r="AG47" s="219">
        <v>0.3</v>
      </c>
      <c r="AH47" s="219">
        <v>0.3</v>
      </c>
      <c r="AI47" s="219">
        <v>0.3</v>
      </c>
      <c r="AJ47" s="219">
        <v>0.3</v>
      </c>
      <c r="AK47" s="219">
        <v>0.3</v>
      </c>
      <c r="AL47" s="229" t="s">
        <v>573</v>
      </c>
      <c r="AM47" s="219">
        <f t="shared" si="5"/>
        <v>0</v>
      </c>
      <c r="AN47" s="229" t="s">
        <v>573</v>
      </c>
      <c r="AO47" s="221">
        <f t="shared" si="6"/>
        <v>0</v>
      </c>
      <c r="AP47" s="222" t="s">
        <v>573</v>
      </c>
      <c r="AQ47" s="221">
        <f t="shared" si="7"/>
        <v>0</v>
      </c>
      <c r="AR47" s="222" t="s">
        <v>573</v>
      </c>
      <c r="AS47" s="58">
        <f t="shared" si="8"/>
        <v>0</v>
      </c>
      <c r="AT47" s="222" t="s">
        <v>573</v>
      </c>
      <c r="AU47" s="58">
        <f t="shared" si="9"/>
        <v>0</v>
      </c>
      <c r="AV47" s="222" t="s">
        <v>573</v>
      </c>
      <c r="AW47" s="58">
        <f t="shared" si="10"/>
        <v>0</v>
      </c>
      <c r="AX47" s="251" t="s">
        <v>573</v>
      </c>
      <c r="AY47" s="58">
        <f t="shared" si="11"/>
        <v>0</v>
      </c>
      <c r="AZ47" s="222" t="s">
        <v>573</v>
      </c>
      <c r="BA47" s="58">
        <f t="shared" si="0"/>
        <v>0</v>
      </c>
      <c r="BB47" s="222" t="s">
        <v>573</v>
      </c>
      <c r="BC47" s="58">
        <f t="shared" si="1"/>
        <v>0</v>
      </c>
      <c r="BD47" s="222" t="s">
        <v>573</v>
      </c>
      <c r="BE47" s="58">
        <f t="shared" si="2"/>
        <v>0</v>
      </c>
      <c r="BF47" s="222" t="s">
        <v>573</v>
      </c>
      <c r="BG47" s="58">
        <f t="shared" si="3"/>
        <v>0</v>
      </c>
      <c r="BH47" s="223" t="s">
        <v>573</v>
      </c>
      <c r="BI47" s="58">
        <f t="shared" si="4"/>
        <v>0</v>
      </c>
      <c r="BJ47" s="220">
        <f t="shared" si="12"/>
        <v>0</v>
      </c>
      <c r="BK47" s="58"/>
      <c r="BL47" s="58" t="s">
        <v>930</v>
      </c>
      <c r="BM47" s="220" t="s">
        <v>1393</v>
      </c>
      <c r="BN47" s="213" t="s">
        <v>1347</v>
      </c>
      <c r="BO47" s="213" t="s">
        <v>693</v>
      </c>
      <c r="BP47" s="199">
        <v>45838</v>
      </c>
      <c r="BQ47" s="2" t="s">
        <v>1386</v>
      </c>
    </row>
    <row r="48" spans="1:69" ht="15.75" customHeight="1">
      <c r="A48" s="213" t="s">
        <v>788</v>
      </c>
      <c r="B48" s="58" t="s">
        <v>184</v>
      </c>
      <c r="C48" s="58" t="s">
        <v>752</v>
      </c>
      <c r="D48" s="214" t="s">
        <v>789</v>
      </c>
      <c r="E48" s="214" t="s">
        <v>789</v>
      </c>
      <c r="F48" s="215" t="s">
        <v>186</v>
      </c>
      <c r="G48" s="216">
        <v>2023</v>
      </c>
      <c r="H48" s="213" t="s">
        <v>1317</v>
      </c>
      <c r="I48" s="218" t="s">
        <v>196</v>
      </c>
      <c r="J48" s="217" t="s">
        <v>890</v>
      </c>
      <c r="K48" s="213" t="s">
        <v>330</v>
      </c>
      <c r="L48" s="213" t="s">
        <v>192</v>
      </c>
      <c r="M48" s="219" t="s">
        <v>1394</v>
      </c>
      <c r="N48" s="219">
        <v>6.75</v>
      </c>
      <c r="O48" s="219">
        <v>6.75</v>
      </c>
      <c r="P48" s="219">
        <v>6.75</v>
      </c>
      <c r="Q48" s="219">
        <v>6.75</v>
      </c>
      <c r="R48" s="219">
        <v>6.75</v>
      </c>
      <c r="S48" s="219">
        <v>6.75</v>
      </c>
      <c r="T48" s="219">
        <v>6.75</v>
      </c>
      <c r="U48" s="219">
        <v>6.75</v>
      </c>
      <c r="V48" s="219">
        <v>6.75</v>
      </c>
      <c r="W48" s="219">
        <v>6.75</v>
      </c>
      <c r="X48" s="219">
        <v>6.75</v>
      </c>
      <c r="Y48" s="219">
        <v>6.75</v>
      </c>
      <c r="Z48" s="219">
        <v>0.3</v>
      </c>
      <c r="AA48" s="219">
        <v>0.3</v>
      </c>
      <c r="AB48" s="219">
        <v>0.3</v>
      </c>
      <c r="AC48" s="219">
        <v>0.3</v>
      </c>
      <c r="AD48" s="219">
        <v>0.3</v>
      </c>
      <c r="AE48" s="219">
        <v>0.3</v>
      </c>
      <c r="AF48" s="219">
        <v>0.3</v>
      </c>
      <c r="AG48" s="219">
        <v>0.3</v>
      </c>
      <c r="AH48" s="219">
        <v>0.3</v>
      </c>
      <c r="AI48" s="219">
        <v>0.3</v>
      </c>
      <c r="AJ48" s="219">
        <v>0.3</v>
      </c>
      <c r="AK48" s="219">
        <v>0.3</v>
      </c>
      <c r="AL48" s="229" t="s">
        <v>573</v>
      </c>
      <c r="AM48" s="219">
        <f t="shared" si="5"/>
        <v>0</v>
      </c>
      <c r="AN48" s="229" t="s">
        <v>573</v>
      </c>
      <c r="AO48" s="221">
        <f t="shared" si="6"/>
        <v>0</v>
      </c>
      <c r="AP48" s="222" t="s">
        <v>573</v>
      </c>
      <c r="AQ48" s="221">
        <f t="shared" si="7"/>
        <v>0</v>
      </c>
      <c r="AR48" s="222" t="s">
        <v>573</v>
      </c>
      <c r="AS48" s="58">
        <f t="shared" si="8"/>
        <v>0</v>
      </c>
      <c r="AT48" s="222" t="s">
        <v>573</v>
      </c>
      <c r="AU48" s="58">
        <f t="shared" si="9"/>
        <v>0</v>
      </c>
      <c r="AV48" s="222" t="s">
        <v>573</v>
      </c>
      <c r="AW48" s="58">
        <f t="shared" si="10"/>
        <v>0</v>
      </c>
      <c r="AX48" s="251" t="s">
        <v>573</v>
      </c>
      <c r="AY48" s="58">
        <f t="shared" si="11"/>
        <v>0</v>
      </c>
      <c r="AZ48" s="222">
        <v>1020</v>
      </c>
      <c r="BA48" s="58">
        <f t="shared" si="0"/>
        <v>306</v>
      </c>
      <c r="BB48" s="222" t="s">
        <v>573</v>
      </c>
      <c r="BC48" s="58">
        <f t="shared" si="1"/>
        <v>0</v>
      </c>
      <c r="BD48" s="222">
        <v>1020</v>
      </c>
      <c r="BE48" s="58">
        <f t="shared" si="2"/>
        <v>306</v>
      </c>
      <c r="BF48" s="222" t="s">
        <v>573</v>
      </c>
      <c r="BG48" s="58">
        <f t="shared" si="3"/>
        <v>0</v>
      </c>
      <c r="BH48" s="223" t="s">
        <v>573</v>
      </c>
      <c r="BI48" s="58">
        <f t="shared" si="4"/>
        <v>0</v>
      </c>
      <c r="BJ48" s="220">
        <f t="shared" si="12"/>
        <v>2040</v>
      </c>
      <c r="BK48" s="58"/>
      <c r="BL48" s="58" t="s">
        <v>931</v>
      </c>
      <c r="BM48" s="220" t="s">
        <v>1394</v>
      </c>
      <c r="BN48" s="213" t="s">
        <v>1347</v>
      </c>
      <c r="BO48" s="213" t="s">
        <v>693</v>
      </c>
      <c r="BP48" s="199">
        <v>45747</v>
      </c>
      <c r="BQ48" s="2" t="s">
        <v>1386</v>
      </c>
    </row>
    <row r="49" spans="1:69" ht="15.75" customHeight="1">
      <c r="A49" s="213" t="s">
        <v>788</v>
      </c>
      <c r="B49" s="58" t="s">
        <v>184</v>
      </c>
      <c r="C49" s="58" t="s">
        <v>752</v>
      </c>
      <c r="D49" s="214" t="s">
        <v>789</v>
      </c>
      <c r="E49" s="214" t="s">
        <v>789</v>
      </c>
      <c r="F49" s="215" t="s">
        <v>186</v>
      </c>
      <c r="G49" s="216">
        <v>2023</v>
      </c>
      <c r="H49" s="213" t="s">
        <v>328</v>
      </c>
      <c r="I49" s="218" t="s">
        <v>196</v>
      </c>
      <c r="J49" s="217" t="s">
        <v>890</v>
      </c>
      <c r="K49" s="213" t="s">
        <v>330</v>
      </c>
      <c r="L49" s="213" t="s">
        <v>192</v>
      </c>
      <c r="M49" s="219" t="s">
        <v>1395</v>
      </c>
      <c r="N49" s="219">
        <v>6.75</v>
      </c>
      <c r="O49" s="219">
        <v>6.75</v>
      </c>
      <c r="P49" s="219">
        <v>6.75</v>
      </c>
      <c r="Q49" s="219">
        <v>6.75</v>
      </c>
      <c r="R49" s="219">
        <v>6.75</v>
      </c>
      <c r="S49" s="219">
        <v>6.75</v>
      </c>
      <c r="T49" s="219">
        <v>6.75</v>
      </c>
      <c r="U49" s="219">
        <v>6.75</v>
      </c>
      <c r="V49" s="219">
        <v>6.75</v>
      </c>
      <c r="W49" s="219">
        <v>6.75</v>
      </c>
      <c r="X49" s="219">
        <v>6.75</v>
      </c>
      <c r="Y49" s="219">
        <v>6.75</v>
      </c>
      <c r="Z49" s="219">
        <v>0.3</v>
      </c>
      <c r="AA49" s="219">
        <v>0.3</v>
      </c>
      <c r="AB49" s="219">
        <v>0.3</v>
      </c>
      <c r="AC49" s="219">
        <v>0.3</v>
      </c>
      <c r="AD49" s="219">
        <v>0.3</v>
      </c>
      <c r="AE49" s="219">
        <v>0.3</v>
      </c>
      <c r="AF49" s="219">
        <v>0.3</v>
      </c>
      <c r="AG49" s="219">
        <v>0.3</v>
      </c>
      <c r="AH49" s="219">
        <v>0.3</v>
      </c>
      <c r="AI49" s="219">
        <v>0.3</v>
      </c>
      <c r="AJ49" s="219">
        <v>0.3</v>
      </c>
      <c r="AK49" s="219">
        <v>0.3</v>
      </c>
      <c r="AL49" s="229" t="s">
        <v>573</v>
      </c>
      <c r="AM49" s="219">
        <f t="shared" si="5"/>
        <v>0</v>
      </c>
      <c r="AN49" s="229" t="s">
        <v>573</v>
      </c>
      <c r="AO49" s="221">
        <f t="shared" si="6"/>
        <v>0</v>
      </c>
      <c r="AP49" s="222" t="s">
        <v>573</v>
      </c>
      <c r="AQ49" s="221">
        <f t="shared" si="7"/>
        <v>0</v>
      </c>
      <c r="AR49" s="222" t="s">
        <v>573</v>
      </c>
      <c r="AS49" s="58">
        <f t="shared" si="8"/>
        <v>0</v>
      </c>
      <c r="AT49" s="222" t="s">
        <v>573</v>
      </c>
      <c r="AU49" s="58">
        <f t="shared" si="9"/>
        <v>0</v>
      </c>
      <c r="AV49" s="222" t="s">
        <v>573</v>
      </c>
      <c r="AW49" s="58">
        <f t="shared" si="10"/>
        <v>0</v>
      </c>
      <c r="AX49" s="251" t="s">
        <v>573</v>
      </c>
      <c r="AY49" s="58">
        <f t="shared" si="11"/>
        <v>0</v>
      </c>
      <c r="AZ49" s="222" t="s">
        <v>573</v>
      </c>
      <c r="BA49" s="58">
        <f t="shared" si="0"/>
        <v>0</v>
      </c>
      <c r="BB49" s="222" t="s">
        <v>573</v>
      </c>
      <c r="BC49" s="58">
        <f t="shared" si="1"/>
        <v>0</v>
      </c>
      <c r="BD49" s="222" t="s">
        <v>573</v>
      </c>
      <c r="BE49" s="58">
        <f t="shared" si="2"/>
        <v>0</v>
      </c>
      <c r="BF49" s="222" t="s">
        <v>573</v>
      </c>
      <c r="BG49" s="58">
        <f t="shared" si="3"/>
        <v>0</v>
      </c>
      <c r="BH49" s="223" t="s">
        <v>573</v>
      </c>
      <c r="BI49" s="58">
        <f t="shared" si="4"/>
        <v>0</v>
      </c>
      <c r="BJ49" s="220">
        <f t="shared" si="12"/>
        <v>0</v>
      </c>
      <c r="BK49" s="58"/>
      <c r="BL49" s="58" t="s">
        <v>932</v>
      </c>
      <c r="BM49" s="220" t="s">
        <v>1395</v>
      </c>
      <c r="BN49" s="213" t="s">
        <v>1347</v>
      </c>
      <c r="BO49" s="213" t="s">
        <v>693</v>
      </c>
      <c r="BP49" s="199"/>
      <c r="BQ49" s="2" t="s">
        <v>1386</v>
      </c>
    </row>
    <row r="50" spans="1:69" ht="15.75" customHeight="1">
      <c r="A50" s="213" t="s">
        <v>788</v>
      </c>
      <c r="B50" s="58" t="s">
        <v>184</v>
      </c>
      <c r="C50" s="58" t="s">
        <v>752</v>
      </c>
      <c r="D50" s="214" t="s">
        <v>789</v>
      </c>
      <c r="E50" s="214" t="s">
        <v>789</v>
      </c>
      <c r="F50" s="215" t="s">
        <v>186</v>
      </c>
      <c r="G50" s="216">
        <v>2023</v>
      </c>
      <c r="H50" s="213" t="s">
        <v>328</v>
      </c>
      <c r="I50" s="218" t="s">
        <v>196</v>
      </c>
      <c r="J50" s="217" t="s">
        <v>890</v>
      </c>
      <c r="K50" s="240" t="s">
        <v>1296</v>
      </c>
      <c r="L50" s="213" t="s">
        <v>192</v>
      </c>
      <c r="M50" s="219" t="s">
        <v>1396</v>
      </c>
      <c r="N50" s="219"/>
      <c r="O50" s="219"/>
      <c r="P50" s="219"/>
      <c r="Q50" s="219"/>
      <c r="R50" s="219">
        <v>6.07</v>
      </c>
      <c r="S50" s="219">
        <v>6.07</v>
      </c>
      <c r="T50" s="219">
        <v>6.07</v>
      </c>
      <c r="U50" s="219">
        <v>6.07</v>
      </c>
      <c r="V50" s="219">
        <v>6.07</v>
      </c>
      <c r="W50" s="219">
        <v>6.07</v>
      </c>
      <c r="X50" s="219">
        <v>6.07</v>
      </c>
      <c r="Y50" s="219">
        <v>6.07</v>
      </c>
      <c r="Z50" s="219">
        <v>0.3</v>
      </c>
      <c r="AA50" s="219">
        <v>0.3</v>
      </c>
      <c r="AB50" s="219">
        <v>0.3</v>
      </c>
      <c r="AC50" s="219">
        <v>0.3</v>
      </c>
      <c r="AD50" s="219">
        <v>0.3</v>
      </c>
      <c r="AE50" s="219">
        <v>0.3</v>
      </c>
      <c r="AF50" s="219">
        <v>0.3</v>
      </c>
      <c r="AG50" s="219">
        <v>0.3</v>
      </c>
      <c r="AH50" s="219">
        <v>0.3</v>
      </c>
      <c r="AI50" s="219">
        <v>0.3</v>
      </c>
      <c r="AJ50" s="219">
        <v>0.3</v>
      </c>
      <c r="AK50" s="219">
        <v>0.3</v>
      </c>
      <c r="AL50" s="229" t="s">
        <v>573</v>
      </c>
      <c r="AM50" s="219">
        <f t="shared" si="5"/>
        <v>0</v>
      </c>
      <c r="AN50" s="229" t="s">
        <v>573</v>
      </c>
      <c r="AO50" s="221">
        <f t="shared" si="6"/>
        <v>0</v>
      </c>
      <c r="AP50" s="222" t="s">
        <v>573</v>
      </c>
      <c r="AQ50" s="221">
        <f t="shared" si="7"/>
        <v>0</v>
      </c>
      <c r="AR50" s="222" t="s">
        <v>573</v>
      </c>
      <c r="AS50" s="58">
        <f t="shared" si="8"/>
        <v>0</v>
      </c>
      <c r="AT50" s="222" t="s">
        <v>573</v>
      </c>
      <c r="AU50" s="58">
        <f t="shared" si="9"/>
        <v>0</v>
      </c>
      <c r="AV50" s="222">
        <v>9000</v>
      </c>
      <c r="AW50" s="58">
        <f t="shared" si="10"/>
        <v>2700</v>
      </c>
      <c r="AX50" s="251">
        <v>3000</v>
      </c>
      <c r="AY50" s="58">
        <f t="shared" si="11"/>
        <v>900</v>
      </c>
      <c r="AZ50" s="222">
        <v>6000</v>
      </c>
      <c r="BA50" s="58">
        <f t="shared" si="0"/>
        <v>1800</v>
      </c>
      <c r="BB50" s="222">
        <v>18000</v>
      </c>
      <c r="BC50" s="58">
        <f t="shared" si="1"/>
        <v>5400</v>
      </c>
      <c r="BD50" s="222">
        <v>3000</v>
      </c>
      <c r="BE50" s="58">
        <f t="shared" si="2"/>
        <v>900</v>
      </c>
      <c r="BF50" s="222">
        <v>24000</v>
      </c>
      <c r="BG50" s="58">
        <f t="shared" si="3"/>
        <v>7200</v>
      </c>
      <c r="BH50" s="223">
        <v>3000</v>
      </c>
      <c r="BI50" s="58">
        <f t="shared" si="4"/>
        <v>900</v>
      </c>
      <c r="BJ50" s="220">
        <f t="shared" si="12"/>
        <v>66000</v>
      </c>
      <c r="BK50" s="58"/>
      <c r="BL50" s="58" t="s">
        <v>890</v>
      </c>
      <c r="BM50" s="220" t="s">
        <v>1396</v>
      </c>
      <c r="BN50" s="213" t="s">
        <v>1347</v>
      </c>
      <c r="BO50" s="213" t="s">
        <v>1302</v>
      </c>
      <c r="BP50" s="199"/>
      <c r="BQ50" s="2" t="s">
        <v>1386</v>
      </c>
    </row>
    <row r="51" spans="1:69" ht="15.75" customHeight="1">
      <c r="A51" s="213" t="s">
        <v>788</v>
      </c>
      <c r="B51" s="58" t="s">
        <v>184</v>
      </c>
      <c r="C51" s="58" t="s">
        <v>752</v>
      </c>
      <c r="D51" s="214" t="s">
        <v>789</v>
      </c>
      <c r="E51" s="214" t="s">
        <v>789</v>
      </c>
      <c r="F51" s="215" t="s">
        <v>186</v>
      </c>
      <c r="G51" s="216">
        <v>2023</v>
      </c>
      <c r="H51" s="213" t="s">
        <v>328</v>
      </c>
      <c r="I51" s="218" t="s">
        <v>196</v>
      </c>
      <c r="J51" s="217" t="s">
        <v>890</v>
      </c>
      <c r="K51" s="240" t="s">
        <v>1297</v>
      </c>
      <c r="L51" s="213" t="s">
        <v>192</v>
      </c>
      <c r="M51" s="219" t="s">
        <v>1396</v>
      </c>
      <c r="N51" s="219"/>
      <c r="O51" s="219"/>
      <c r="P51" s="219"/>
      <c r="Q51" s="219"/>
      <c r="R51" s="219">
        <v>6.07</v>
      </c>
      <c r="S51" s="219">
        <v>6.07</v>
      </c>
      <c r="T51" s="219">
        <v>6.07</v>
      </c>
      <c r="U51" s="219">
        <v>6.07</v>
      </c>
      <c r="V51" s="219">
        <v>6.07</v>
      </c>
      <c r="W51" s="219">
        <v>6.07</v>
      </c>
      <c r="X51" s="219">
        <v>6.07</v>
      </c>
      <c r="Y51" s="219">
        <v>6.07</v>
      </c>
      <c r="Z51" s="219">
        <v>0.3</v>
      </c>
      <c r="AA51" s="219">
        <v>0.3</v>
      </c>
      <c r="AB51" s="219">
        <v>0.3</v>
      </c>
      <c r="AC51" s="219">
        <v>0.3</v>
      </c>
      <c r="AD51" s="219">
        <v>0.3</v>
      </c>
      <c r="AE51" s="219">
        <v>0.3</v>
      </c>
      <c r="AF51" s="219">
        <v>0.3</v>
      </c>
      <c r="AG51" s="219">
        <v>0.3</v>
      </c>
      <c r="AH51" s="219">
        <v>0.3</v>
      </c>
      <c r="AI51" s="219">
        <v>0.3</v>
      </c>
      <c r="AJ51" s="219">
        <v>0.3</v>
      </c>
      <c r="AK51" s="219">
        <v>0.3</v>
      </c>
      <c r="AL51" s="229" t="s">
        <v>573</v>
      </c>
      <c r="AM51" s="219">
        <f t="shared" si="5"/>
        <v>0</v>
      </c>
      <c r="AN51" s="229" t="s">
        <v>573</v>
      </c>
      <c r="AO51" s="221">
        <f t="shared" si="6"/>
        <v>0</v>
      </c>
      <c r="AP51" s="222" t="s">
        <v>573</v>
      </c>
      <c r="AQ51" s="221">
        <f t="shared" si="7"/>
        <v>0</v>
      </c>
      <c r="AR51" s="222" t="s">
        <v>573</v>
      </c>
      <c r="AS51" s="58">
        <f t="shared" si="8"/>
        <v>0</v>
      </c>
      <c r="AT51" s="222" t="s">
        <v>573</v>
      </c>
      <c r="AU51" s="58">
        <f t="shared" si="9"/>
        <v>0</v>
      </c>
      <c r="AV51" s="222">
        <v>3000</v>
      </c>
      <c r="AW51" s="58">
        <f t="shared" si="10"/>
        <v>900</v>
      </c>
      <c r="AX51" s="251" t="s">
        <v>573</v>
      </c>
      <c r="AY51" s="58">
        <f t="shared" si="11"/>
        <v>0</v>
      </c>
      <c r="AZ51" s="222">
        <v>3000</v>
      </c>
      <c r="BA51" s="58">
        <f t="shared" si="0"/>
        <v>900</v>
      </c>
      <c r="BB51" s="222">
        <v>3000</v>
      </c>
      <c r="BC51" s="58">
        <f t="shared" si="1"/>
        <v>900</v>
      </c>
      <c r="BD51" s="222" t="s">
        <v>573</v>
      </c>
      <c r="BE51" s="58">
        <f t="shared" si="2"/>
        <v>0</v>
      </c>
      <c r="BF51" s="222">
        <v>3000</v>
      </c>
      <c r="BG51" s="58">
        <f t="shared" si="3"/>
        <v>900</v>
      </c>
      <c r="BH51" s="223" t="s">
        <v>573</v>
      </c>
      <c r="BI51" s="58">
        <f t="shared" si="4"/>
        <v>0</v>
      </c>
      <c r="BJ51" s="220">
        <f t="shared" si="12"/>
        <v>12000</v>
      </c>
      <c r="BK51" s="58"/>
      <c r="BL51" s="58" t="s">
        <v>890</v>
      </c>
      <c r="BM51" s="220" t="s">
        <v>1396</v>
      </c>
      <c r="BN51" s="213" t="s">
        <v>1347</v>
      </c>
      <c r="BO51" s="213" t="s">
        <v>1298</v>
      </c>
      <c r="BP51" s="199"/>
      <c r="BQ51" s="2" t="s">
        <v>1386</v>
      </c>
    </row>
    <row r="52" spans="1:69" ht="15.75" customHeight="1">
      <c r="A52" s="213" t="s">
        <v>788</v>
      </c>
      <c r="B52" s="58" t="s">
        <v>184</v>
      </c>
      <c r="C52" s="58" t="s">
        <v>752</v>
      </c>
      <c r="D52" s="214" t="s">
        <v>789</v>
      </c>
      <c r="E52" s="214" t="s">
        <v>789</v>
      </c>
      <c r="F52" s="215" t="s">
        <v>186</v>
      </c>
      <c r="G52" s="216">
        <v>2023</v>
      </c>
      <c r="H52" s="213" t="s">
        <v>328</v>
      </c>
      <c r="I52" s="218" t="s">
        <v>196</v>
      </c>
      <c r="J52" s="217" t="s">
        <v>890</v>
      </c>
      <c r="K52" s="240" t="s">
        <v>1299</v>
      </c>
      <c r="L52" s="213" t="s">
        <v>192</v>
      </c>
      <c r="M52" s="219" t="s">
        <v>1396</v>
      </c>
      <c r="N52" s="219"/>
      <c r="O52" s="219"/>
      <c r="P52" s="219"/>
      <c r="Q52" s="219"/>
      <c r="R52" s="219">
        <v>6.07</v>
      </c>
      <c r="S52" s="219">
        <v>6.07</v>
      </c>
      <c r="T52" s="219">
        <v>6.07</v>
      </c>
      <c r="U52" s="219">
        <v>6.07</v>
      </c>
      <c r="V52" s="219">
        <v>6.07</v>
      </c>
      <c r="W52" s="219">
        <v>6.07</v>
      </c>
      <c r="X52" s="219">
        <v>6.07</v>
      </c>
      <c r="Y52" s="219">
        <v>6.07</v>
      </c>
      <c r="Z52" s="219">
        <v>0.3</v>
      </c>
      <c r="AA52" s="219">
        <v>0.3</v>
      </c>
      <c r="AB52" s="219">
        <v>0.3</v>
      </c>
      <c r="AC52" s="219">
        <v>0.3</v>
      </c>
      <c r="AD52" s="219">
        <v>0.3</v>
      </c>
      <c r="AE52" s="219">
        <v>0.3</v>
      </c>
      <c r="AF52" s="219">
        <v>0.3</v>
      </c>
      <c r="AG52" s="219">
        <v>0.3</v>
      </c>
      <c r="AH52" s="219">
        <v>0.3</v>
      </c>
      <c r="AI52" s="219">
        <v>0.3</v>
      </c>
      <c r="AJ52" s="219">
        <v>0.3</v>
      </c>
      <c r="AK52" s="219">
        <v>0.3</v>
      </c>
      <c r="AL52" s="229" t="s">
        <v>573</v>
      </c>
      <c r="AM52" s="219">
        <f t="shared" si="5"/>
        <v>0</v>
      </c>
      <c r="AN52" s="229" t="s">
        <v>573</v>
      </c>
      <c r="AO52" s="221">
        <f t="shared" si="6"/>
        <v>0</v>
      </c>
      <c r="AP52" s="222" t="s">
        <v>573</v>
      </c>
      <c r="AQ52" s="221">
        <f t="shared" si="7"/>
        <v>0</v>
      </c>
      <c r="AR52" s="222" t="s">
        <v>573</v>
      </c>
      <c r="AS52" s="58">
        <f t="shared" si="8"/>
        <v>0</v>
      </c>
      <c r="AT52" s="222" t="s">
        <v>573</v>
      </c>
      <c r="AU52" s="58">
        <f t="shared" si="9"/>
        <v>0</v>
      </c>
      <c r="AV52" s="222">
        <v>9000</v>
      </c>
      <c r="AW52" s="58">
        <f t="shared" si="10"/>
        <v>2700</v>
      </c>
      <c r="AX52" s="251" t="s">
        <v>573</v>
      </c>
      <c r="AY52" s="58">
        <f t="shared" si="11"/>
        <v>0</v>
      </c>
      <c r="AZ52" s="222">
        <v>3000</v>
      </c>
      <c r="BA52" s="58">
        <f t="shared" si="0"/>
        <v>900</v>
      </c>
      <c r="BB52" s="222">
        <v>18000</v>
      </c>
      <c r="BC52" s="58">
        <f t="shared" si="1"/>
        <v>5400</v>
      </c>
      <c r="BD52" s="222" t="s">
        <v>573</v>
      </c>
      <c r="BE52" s="58">
        <f t="shared" si="2"/>
        <v>0</v>
      </c>
      <c r="BF52" s="222">
        <v>3000</v>
      </c>
      <c r="BG52" s="58">
        <f t="shared" si="3"/>
        <v>900</v>
      </c>
      <c r="BH52" s="223">
        <v>15000</v>
      </c>
      <c r="BI52" s="58">
        <f t="shared" si="4"/>
        <v>4500</v>
      </c>
      <c r="BJ52" s="220">
        <f t="shared" si="12"/>
        <v>48000</v>
      </c>
      <c r="BK52" s="58"/>
      <c r="BL52" s="58" t="s">
        <v>890</v>
      </c>
      <c r="BM52" s="220" t="s">
        <v>1396</v>
      </c>
      <c r="BN52" s="213" t="s">
        <v>1347</v>
      </c>
      <c r="BO52" s="213" t="s">
        <v>1303</v>
      </c>
      <c r="BP52" s="199"/>
      <c r="BQ52" s="2" t="s">
        <v>1386</v>
      </c>
    </row>
    <row r="53" spans="1:69" ht="15.75" customHeight="1">
      <c r="A53" s="213" t="s">
        <v>788</v>
      </c>
      <c r="B53" s="58" t="s">
        <v>184</v>
      </c>
      <c r="C53" s="58" t="s">
        <v>752</v>
      </c>
      <c r="D53" s="214" t="s">
        <v>789</v>
      </c>
      <c r="E53" s="214" t="s">
        <v>789</v>
      </c>
      <c r="F53" s="215" t="s">
        <v>186</v>
      </c>
      <c r="G53" s="216">
        <v>2023</v>
      </c>
      <c r="H53" s="213" t="s">
        <v>328</v>
      </c>
      <c r="I53" s="218" t="s">
        <v>196</v>
      </c>
      <c r="J53" s="217" t="s">
        <v>890</v>
      </c>
      <c r="K53" s="240" t="s">
        <v>1300</v>
      </c>
      <c r="L53" s="213" t="s">
        <v>192</v>
      </c>
      <c r="M53" s="219" t="s">
        <v>1396</v>
      </c>
      <c r="N53" s="219"/>
      <c r="O53" s="219"/>
      <c r="P53" s="219"/>
      <c r="Q53" s="219"/>
      <c r="R53" s="219">
        <v>6.07</v>
      </c>
      <c r="S53" s="219">
        <v>6.07</v>
      </c>
      <c r="T53" s="219">
        <v>6.07</v>
      </c>
      <c r="U53" s="219">
        <v>6.07</v>
      </c>
      <c r="V53" s="219">
        <v>6.07</v>
      </c>
      <c r="W53" s="219">
        <v>6.07</v>
      </c>
      <c r="X53" s="219">
        <v>6.07</v>
      </c>
      <c r="Y53" s="219">
        <v>6.07</v>
      </c>
      <c r="Z53" s="219">
        <v>0.3</v>
      </c>
      <c r="AA53" s="219">
        <v>0.3</v>
      </c>
      <c r="AB53" s="219">
        <v>0.3</v>
      </c>
      <c r="AC53" s="219">
        <v>0.3</v>
      </c>
      <c r="AD53" s="219">
        <v>0.3</v>
      </c>
      <c r="AE53" s="219">
        <v>0.3</v>
      </c>
      <c r="AF53" s="219">
        <v>0.3</v>
      </c>
      <c r="AG53" s="219">
        <v>0.3</v>
      </c>
      <c r="AH53" s="219">
        <v>0.3</v>
      </c>
      <c r="AI53" s="219">
        <v>0.3</v>
      </c>
      <c r="AJ53" s="219">
        <v>0.3</v>
      </c>
      <c r="AK53" s="219">
        <v>0.3</v>
      </c>
      <c r="AL53" s="229" t="s">
        <v>573</v>
      </c>
      <c r="AM53" s="219">
        <f t="shared" si="5"/>
        <v>0</v>
      </c>
      <c r="AN53" s="229" t="s">
        <v>573</v>
      </c>
      <c r="AO53" s="221">
        <f t="shared" si="6"/>
        <v>0</v>
      </c>
      <c r="AP53" s="222" t="s">
        <v>573</v>
      </c>
      <c r="AQ53" s="221">
        <f t="shared" si="7"/>
        <v>0</v>
      </c>
      <c r="AR53" s="222" t="s">
        <v>573</v>
      </c>
      <c r="AS53" s="58">
        <f t="shared" si="8"/>
        <v>0</v>
      </c>
      <c r="AT53" s="222" t="s">
        <v>573</v>
      </c>
      <c r="AU53" s="58">
        <f t="shared" si="9"/>
        <v>0</v>
      </c>
      <c r="AV53" s="222">
        <v>3000</v>
      </c>
      <c r="AW53" s="58">
        <f t="shared" si="10"/>
        <v>900</v>
      </c>
      <c r="AX53" s="251" t="s">
        <v>573</v>
      </c>
      <c r="AY53" s="58">
        <f t="shared" si="11"/>
        <v>0</v>
      </c>
      <c r="AZ53" s="222" t="s">
        <v>573</v>
      </c>
      <c r="BA53" s="58">
        <f t="shared" si="0"/>
        <v>0</v>
      </c>
      <c r="BB53" s="222">
        <v>6000</v>
      </c>
      <c r="BC53" s="58">
        <f t="shared" si="1"/>
        <v>1800</v>
      </c>
      <c r="BD53" s="222" t="s">
        <v>573</v>
      </c>
      <c r="BE53" s="58">
        <f t="shared" si="2"/>
        <v>0</v>
      </c>
      <c r="BF53" s="222" t="s">
        <v>573</v>
      </c>
      <c r="BG53" s="58">
        <f t="shared" si="3"/>
        <v>0</v>
      </c>
      <c r="BH53" s="223" t="s">
        <v>573</v>
      </c>
      <c r="BI53" s="58">
        <f t="shared" si="4"/>
        <v>0</v>
      </c>
      <c r="BJ53" s="220">
        <f t="shared" si="12"/>
        <v>9000</v>
      </c>
      <c r="BK53" s="58"/>
      <c r="BL53" s="58" t="s">
        <v>890</v>
      </c>
      <c r="BM53" s="220" t="s">
        <v>1396</v>
      </c>
      <c r="BN53" s="213" t="s">
        <v>1347</v>
      </c>
      <c r="BO53" s="213" t="s">
        <v>1304</v>
      </c>
      <c r="BP53" s="199"/>
      <c r="BQ53" s="2" t="s">
        <v>1386</v>
      </c>
    </row>
    <row r="54" spans="1:69" ht="15.75" customHeight="1">
      <c r="A54" s="213" t="s">
        <v>788</v>
      </c>
      <c r="B54" s="58" t="s">
        <v>184</v>
      </c>
      <c r="C54" s="58" t="s">
        <v>752</v>
      </c>
      <c r="D54" s="214" t="s">
        <v>789</v>
      </c>
      <c r="E54" s="214" t="s">
        <v>789</v>
      </c>
      <c r="F54" s="215" t="s">
        <v>186</v>
      </c>
      <c r="G54" s="216">
        <v>2023</v>
      </c>
      <c r="H54" s="213" t="s">
        <v>328</v>
      </c>
      <c r="I54" s="218" t="s">
        <v>196</v>
      </c>
      <c r="J54" s="217" t="s">
        <v>890</v>
      </c>
      <c r="K54" s="240" t="s">
        <v>1331</v>
      </c>
      <c r="L54" s="213" t="s">
        <v>192</v>
      </c>
      <c r="M54" s="219" t="s">
        <v>1396</v>
      </c>
      <c r="N54" s="219"/>
      <c r="O54" s="219"/>
      <c r="P54" s="219"/>
      <c r="Q54" s="219"/>
      <c r="R54" s="219">
        <v>8.2799999999999994</v>
      </c>
      <c r="S54" s="219">
        <v>8.2799999999999994</v>
      </c>
      <c r="T54" s="219">
        <v>8.2799999999999994</v>
      </c>
      <c r="U54" s="219">
        <v>8.2799999999999994</v>
      </c>
      <c r="V54" s="219">
        <v>8.2799999999999994</v>
      </c>
      <c r="W54" s="219">
        <v>8.2799999999999994</v>
      </c>
      <c r="X54" s="219">
        <v>8.2799999999999994</v>
      </c>
      <c r="Y54" s="219">
        <v>8.2799999999999994</v>
      </c>
      <c r="Z54" s="219">
        <v>0.3</v>
      </c>
      <c r="AA54" s="219">
        <v>0.3</v>
      </c>
      <c r="AB54" s="219">
        <v>0.3</v>
      </c>
      <c r="AC54" s="219">
        <v>0.3</v>
      </c>
      <c r="AD54" s="219">
        <v>0.3</v>
      </c>
      <c r="AE54" s="219">
        <v>0.3</v>
      </c>
      <c r="AF54" s="219">
        <v>0.3</v>
      </c>
      <c r="AG54" s="219">
        <v>0.3</v>
      </c>
      <c r="AH54" s="219">
        <v>0.3</v>
      </c>
      <c r="AI54" s="219">
        <v>0.3</v>
      </c>
      <c r="AJ54" s="219">
        <v>0.3</v>
      </c>
      <c r="AK54" s="219">
        <v>0.3</v>
      </c>
      <c r="AL54" s="229" t="s">
        <v>573</v>
      </c>
      <c r="AM54" s="219">
        <f t="shared" ref="AM54" si="13">Z54*AL54</f>
        <v>0</v>
      </c>
      <c r="AN54" s="229" t="s">
        <v>573</v>
      </c>
      <c r="AO54" s="221">
        <f t="shared" ref="AO54" si="14">AN54*AA54</f>
        <v>0</v>
      </c>
      <c r="AP54" s="222" t="s">
        <v>573</v>
      </c>
      <c r="AQ54" s="221">
        <f t="shared" ref="AQ54" si="15">AP54*AB54</f>
        <v>0</v>
      </c>
      <c r="AR54" s="222" t="s">
        <v>573</v>
      </c>
      <c r="AS54" s="58">
        <f t="shared" ref="AS54" si="16">AR54*AC54</f>
        <v>0</v>
      </c>
      <c r="AT54" s="222" t="s">
        <v>573</v>
      </c>
      <c r="AU54" s="58">
        <f t="shared" ref="AU54" si="17">AT54*AD54</f>
        <v>0</v>
      </c>
      <c r="AV54" s="222">
        <v>0</v>
      </c>
      <c r="AW54" s="58">
        <f t="shared" ref="AW54" si="18">AV54*AE54</f>
        <v>0</v>
      </c>
      <c r="AX54" s="251">
        <v>9000</v>
      </c>
      <c r="AY54" s="58">
        <f t="shared" ref="AY54" si="19">AX54*AF54</f>
        <v>2700</v>
      </c>
      <c r="AZ54" s="222">
        <v>6000</v>
      </c>
      <c r="BA54" s="58">
        <f t="shared" si="0"/>
        <v>1800</v>
      </c>
      <c r="BB54" s="222">
        <v>9000</v>
      </c>
      <c r="BC54" s="58">
        <f t="shared" si="1"/>
        <v>2700</v>
      </c>
      <c r="BD54" s="222" t="s">
        <v>573</v>
      </c>
      <c r="BE54" s="58">
        <f t="shared" si="2"/>
        <v>0</v>
      </c>
      <c r="BF54" s="222">
        <v>24000</v>
      </c>
      <c r="BG54" s="58">
        <f t="shared" si="3"/>
        <v>7200</v>
      </c>
      <c r="BH54" s="223">
        <v>15000</v>
      </c>
      <c r="BI54" s="58">
        <f t="shared" si="4"/>
        <v>4500</v>
      </c>
      <c r="BJ54" s="220">
        <f t="shared" si="12"/>
        <v>63000</v>
      </c>
      <c r="BK54" s="58"/>
      <c r="BL54" s="58" t="s">
        <v>890</v>
      </c>
      <c r="BM54" s="220" t="s">
        <v>1396</v>
      </c>
      <c r="BN54" s="213" t="s">
        <v>1347</v>
      </c>
      <c r="BO54" s="213" t="s">
        <v>1332</v>
      </c>
      <c r="BP54" s="199"/>
      <c r="BQ54" s="2" t="s">
        <v>1386</v>
      </c>
    </row>
    <row r="55" spans="1:69" ht="15.75" customHeight="1">
      <c r="A55" s="213" t="s">
        <v>788</v>
      </c>
      <c r="B55" s="58" t="s">
        <v>184</v>
      </c>
      <c r="C55" s="58" t="s">
        <v>752</v>
      </c>
      <c r="D55" s="214" t="s">
        <v>789</v>
      </c>
      <c r="E55" s="214" t="s">
        <v>789</v>
      </c>
      <c r="F55" s="215" t="s">
        <v>186</v>
      </c>
      <c r="G55" s="216">
        <v>2023</v>
      </c>
      <c r="H55" s="213" t="s">
        <v>328</v>
      </c>
      <c r="I55" s="218" t="s">
        <v>196</v>
      </c>
      <c r="J55" s="217" t="s">
        <v>890</v>
      </c>
      <c r="K55" s="240" t="s">
        <v>1333</v>
      </c>
      <c r="L55" s="213" t="s">
        <v>192</v>
      </c>
      <c r="M55" s="219" t="s">
        <v>1396</v>
      </c>
      <c r="N55" s="219"/>
      <c r="O55" s="219"/>
      <c r="P55" s="219"/>
      <c r="Q55" s="219"/>
      <c r="R55" s="219">
        <v>8.2799999999999994</v>
      </c>
      <c r="S55" s="219">
        <v>8.2799999999999994</v>
      </c>
      <c r="T55" s="219">
        <v>8.2799999999999994</v>
      </c>
      <c r="U55" s="219">
        <v>8.2799999999999994</v>
      </c>
      <c r="V55" s="219">
        <v>8.2799999999999994</v>
      </c>
      <c r="W55" s="219">
        <v>8.2799999999999994</v>
      </c>
      <c r="X55" s="219">
        <v>8.2799999999999994</v>
      </c>
      <c r="Y55" s="219">
        <v>8.2799999999999994</v>
      </c>
      <c r="Z55" s="219">
        <v>0.3</v>
      </c>
      <c r="AA55" s="219">
        <v>0.3</v>
      </c>
      <c r="AB55" s="219">
        <v>0.3</v>
      </c>
      <c r="AC55" s="219">
        <v>0.3</v>
      </c>
      <c r="AD55" s="219">
        <v>0.3</v>
      </c>
      <c r="AE55" s="219">
        <v>0.3</v>
      </c>
      <c r="AF55" s="219">
        <v>0.3</v>
      </c>
      <c r="AG55" s="219">
        <v>0.3</v>
      </c>
      <c r="AH55" s="219">
        <v>0.3</v>
      </c>
      <c r="AI55" s="219">
        <v>0.3</v>
      </c>
      <c r="AJ55" s="219">
        <v>0.3</v>
      </c>
      <c r="AK55" s="219">
        <v>0.3</v>
      </c>
      <c r="AL55" s="229" t="s">
        <v>573</v>
      </c>
      <c r="AM55" s="219">
        <f t="shared" ref="AM55" si="20">Z55*AL55</f>
        <v>0</v>
      </c>
      <c r="AN55" s="229" t="s">
        <v>573</v>
      </c>
      <c r="AO55" s="221">
        <f t="shared" ref="AO55" si="21">AN55*AA55</f>
        <v>0</v>
      </c>
      <c r="AP55" s="222" t="s">
        <v>573</v>
      </c>
      <c r="AQ55" s="221">
        <f t="shared" ref="AQ55" si="22">AP55*AB55</f>
        <v>0</v>
      </c>
      <c r="AR55" s="222" t="s">
        <v>573</v>
      </c>
      <c r="AS55" s="58">
        <f t="shared" ref="AS55" si="23">AR55*AC55</f>
        <v>0</v>
      </c>
      <c r="AT55" s="222" t="s">
        <v>573</v>
      </c>
      <c r="AU55" s="58">
        <f t="shared" ref="AU55" si="24">AT55*AD55</f>
        <v>0</v>
      </c>
      <c r="AV55" s="222">
        <v>0</v>
      </c>
      <c r="AW55" s="58">
        <f t="shared" ref="AW55" si="25">AV55*AE55</f>
        <v>0</v>
      </c>
      <c r="AX55" s="251">
        <v>9000</v>
      </c>
      <c r="AY55" s="58">
        <f t="shared" ref="AY55" si="26">AX55*AF55</f>
        <v>2700</v>
      </c>
      <c r="AZ55" s="222">
        <v>6000</v>
      </c>
      <c r="BA55" s="58">
        <f t="shared" si="0"/>
        <v>1800</v>
      </c>
      <c r="BB55" s="222" t="s">
        <v>573</v>
      </c>
      <c r="BC55" s="58">
        <f t="shared" si="1"/>
        <v>0</v>
      </c>
      <c r="BD55" s="222">
        <v>3000</v>
      </c>
      <c r="BE55" s="58">
        <f t="shared" si="2"/>
        <v>900</v>
      </c>
      <c r="BF55" s="222">
        <v>3000</v>
      </c>
      <c r="BG55" s="58">
        <f t="shared" si="3"/>
        <v>900</v>
      </c>
      <c r="BH55" s="223">
        <v>24000</v>
      </c>
      <c r="BI55" s="58">
        <f t="shared" si="4"/>
        <v>7200</v>
      </c>
      <c r="BJ55" s="220">
        <f t="shared" si="12"/>
        <v>45000</v>
      </c>
      <c r="BK55" s="58"/>
      <c r="BL55" s="58" t="s">
        <v>890</v>
      </c>
      <c r="BM55" s="220" t="s">
        <v>1396</v>
      </c>
      <c r="BN55" s="213" t="s">
        <v>1347</v>
      </c>
      <c r="BO55" s="213" t="s">
        <v>1334</v>
      </c>
      <c r="BP55" s="199"/>
      <c r="BQ55" s="2" t="s">
        <v>1386</v>
      </c>
    </row>
    <row r="56" spans="1:69" ht="15.75" customHeight="1">
      <c r="A56" s="213" t="s">
        <v>788</v>
      </c>
      <c r="B56" s="58" t="s">
        <v>184</v>
      </c>
      <c r="C56" s="58" t="s">
        <v>752</v>
      </c>
      <c r="D56" s="214" t="s">
        <v>789</v>
      </c>
      <c r="E56" s="214" t="s">
        <v>789</v>
      </c>
      <c r="F56" s="215" t="s">
        <v>186</v>
      </c>
      <c r="G56" s="216">
        <v>2023</v>
      </c>
      <c r="H56" s="218" t="s">
        <v>1318</v>
      </c>
      <c r="I56" s="218" t="s">
        <v>196</v>
      </c>
      <c r="J56" s="217" t="s">
        <v>890</v>
      </c>
      <c r="K56" s="213" t="s">
        <v>753</v>
      </c>
      <c r="L56" s="213" t="s">
        <v>192</v>
      </c>
      <c r="M56" s="219" t="s">
        <v>1388</v>
      </c>
      <c r="N56" s="219">
        <v>5.51</v>
      </c>
      <c r="O56" s="219">
        <v>5.51</v>
      </c>
      <c r="P56" s="219">
        <v>5.51</v>
      </c>
      <c r="Q56" s="219">
        <v>5.51</v>
      </c>
      <c r="R56" s="219">
        <v>5.51</v>
      </c>
      <c r="S56" s="219">
        <v>5.51</v>
      </c>
      <c r="T56" s="219">
        <v>5.51</v>
      </c>
      <c r="U56" s="219">
        <v>5.51</v>
      </c>
      <c r="V56" s="219">
        <v>5.51</v>
      </c>
      <c r="W56" s="219">
        <v>5.51</v>
      </c>
      <c r="X56" s="219">
        <v>5.51</v>
      </c>
      <c r="Y56" s="219">
        <v>5.51</v>
      </c>
      <c r="Z56" s="219">
        <v>0</v>
      </c>
      <c r="AA56" s="219">
        <v>0</v>
      </c>
      <c r="AB56" s="219">
        <v>0</v>
      </c>
      <c r="AC56" s="219">
        <v>0</v>
      </c>
      <c r="AD56" s="219">
        <v>0</v>
      </c>
      <c r="AE56" s="219">
        <v>0</v>
      </c>
      <c r="AF56" s="219">
        <v>0</v>
      </c>
      <c r="AG56" s="219">
        <v>0</v>
      </c>
      <c r="AH56" s="219">
        <v>0</v>
      </c>
      <c r="AI56" s="219">
        <v>0</v>
      </c>
      <c r="AJ56" s="219">
        <v>0</v>
      </c>
      <c r="AK56" s="219">
        <v>0</v>
      </c>
      <c r="AL56" s="229" t="s">
        <v>573</v>
      </c>
      <c r="AM56" s="219">
        <f t="shared" si="5"/>
        <v>0</v>
      </c>
      <c r="AN56" s="229" t="s">
        <v>573</v>
      </c>
      <c r="AO56" s="221">
        <f t="shared" si="6"/>
        <v>0</v>
      </c>
      <c r="AP56" s="222" t="s">
        <v>573</v>
      </c>
      <c r="AQ56" s="221">
        <f t="shared" si="7"/>
        <v>0</v>
      </c>
      <c r="AR56" s="222" t="s">
        <v>573</v>
      </c>
      <c r="AS56" s="58">
        <f t="shared" si="8"/>
        <v>0</v>
      </c>
      <c r="AT56" s="222" t="s">
        <v>573</v>
      </c>
      <c r="AU56" s="58">
        <f t="shared" si="9"/>
        <v>0</v>
      </c>
      <c r="AV56" s="222" t="s">
        <v>573</v>
      </c>
      <c r="AW56" s="58">
        <f t="shared" si="10"/>
        <v>0</v>
      </c>
      <c r="AX56" s="251" t="s">
        <v>573</v>
      </c>
      <c r="AY56" s="58">
        <f t="shared" si="11"/>
        <v>0</v>
      </c>
      <c r="AZ56" s="222" t="s">
        <v>573</v>
      </c>
      <c r="BA56" s="58">
        <f t="shared" si="0"/>
        <v>0</v>
      </c>
      <c r="BB56" s="222" t="s">
        <v>573</v>
      </c>
      <c r="BC56" s="58">
        <f t="shared" si="1"/>
        <v>0</v>
      </c>
      <c r="BD56" s="222" t="s">
        <v>573</v>
      </c>
      <c r="BE56" s="58">
        <f t="shared" si="2"/>
        <v>0</v>
      </c>
      <c r="BF56" s="222" t="s">
        <v>573</v>
      </c>
      <c r="BG56" s="58">
        <f t="shared" si="3"/>
        <v>0</v>
      </c>
      <c r="BH56" s="223">
        <v>7280</v>
      </c>
      <c r="BI56" s="58">
        <f t="shared" si="4"/>
        <v>0</v>
      </c>
      <c r="BJ56" s="220">
        <f t="shared" si="12"/>
        <v>7280</v>
      </c>
      <c r="BK56" s="58"/>
      <c r="BL56" s="58" t="s">
        <v>933</v>
      </c>
      <c r="BM56" s="220" t="s">
        <v>1388</v>
      </c>
      <c r="BN56" s="213" t="s">
        <v>807</v>
      </c>
      <c r="BO56" s="213" t="s">
        <v>602</v>
      </c>
      <c r="BP56" s="199">
        <v>46053</v>
      </c>
      <c r="BQ56" s="2" t="s">
        <v>1386</v>
      </c>
    </row>
    <row r="57" spans="1:69" ht="15.75" customHeight="1">
      <c r="A57" s="213" t="s">
        <v>788</v>
      </c>
      <c r="B57" s="58" t="s">
        <v>184</v>
      </c>
      <c r="C57" s="58" t="s">
        <v>752</v>
      </c>
      <c r="D57" s="214" t="s">
        <v>789</v>
      </c>
      <c r="E57" s="214" t="s">
        <v>789</v>
      </c>
      <c r="F57" s="215" t="s">
        <v>186</v>
      </c>
      <c r="G57" s="216">
        <v>2023</v>
      </c>
      <c r="H57" s="218" t="s">
        <v>1318</v>
      </c>
      <c r="I57" s="218" t="s">
        <v>196</v>
      </c>
      <c r="J57" s="217" t="s">
        <v>890</v>
      </c>
      <c r="K57" s="213" t="s">
        <v>753</v>
      </c>
      <c r="L57" s="213" t="s">
        <v>192</v>
      </c>
      <c r="M57" s="219" t="s">
        <v>1389</v>
      </c>
      <c r="N57" s="219">
        <v>5.18</v>
      </c>
      <c r="O57" s="219">
        <v>5.18</v>
      </c>
      <c r="P57" s="219">
        <v>5.18</v>
      </c>
      <c r="Q57" s="219">
        <v>5.18</v>
      </c>
      <c r="R57" s="219">
        <v>5.18</v>
      </c>
      <c r="S57" s="219">
        <v>5.18</v>
      </c>
      <c r="T57" s="219">
        <v>5.18</v>
      </c>
      <c r="U57" s="219">
        <v>5.18</v>
      </c>
      <c r="V57" s="219">
        <v>5.18</v>
      </c>
      <c r="W57" s="219">
        <v>5.18</v>
      </c>
      <c r="X57" s="219">
        <v>5.18</v>
      </c>
      <c r="Y57" s="219">
        <v>5.18</v>
      </c>
      <c r="Z57" s="219">
        <v>0</v>
      </c>
      <c r="AA57" s="219">
        <v>0</v>
      </c>
      <c r="AB57" s="219">
        <v>0</v>
      </c>
      <c r="AC57" s="219">
        <v>0</v>
      </c>
      <c r="AD57" s="219">
        <v>0</v>
      </c>
      <c r="AE57" s="219">
        <v>0</v>
      </c>
      <c r="AF57" s="219">
        <v>0</v>
      </c>
      <c r="AG57" s="219">
        <v>0</v>
      </c>
      <c r="AH57" s="219">
        <v>0</v>
      </c>
      <c r="AI57" s="219">
        <v>0</v>
      </c>
      <c r="AJ57" s="219">
        <v>0</v>
      </c>
      <c r="AK57" s="219">
        <v>0</v>
      </c>
      <c r="AL57" s="229" t="s">
        <v>573</v>
      </c>
      <c r="AM57" s="219">
        <f t="shared" si="5"/>
        <v>0</v>
      </c>
      <c r="AN57" s="229">
        <v>10920</v>
      </c>
      <c r="AO57" s="221">
        <f t="shared" si="6"/>
        <v>0</v>
      </c>
      <c r="AP57" s="222">
        <v>10000</v>
      </c>
      <c r="AQ57" s="221">
        <f t="shared" si="7"/>
        <v>0</v>
      </c>
      <c r="AR57" s="222">
        <v>11840</v>
      </c>
      <c r="AS57" s="58">
        <f t="shared" si="8"/>
        <v>0</v>
      </c>
      <c r="AT57" s="222">
        <v>3640</v>
      </c>
      <c r="AU57" s="58">
        <f t="shared" si="9"/>
        <v>0</v>
      </c>
      <c r="AV57" s="222">
        <v>3640</v>
      </c>
      <c r="AW57" s="58">
        <f t="shared" si="10"/>
        <v>0</v>
      </c>
      <c r="AX57" s="251">
        <v>7280</v>
      </c>
      <c r="AY57" s="58">
        <f t="shared" si="11"/>
        <v>0</v>
      </c>
      <c r="AZ57" s="222">
        <v>13960</v>
      </c>
      <c r="BA57" s="58">
        <f t="shared" si="0"/>
        <v>0</v>
      </c>
      <c r="BB57" s="222">
        <v>7280</v>
      </c>
      <c r="BC57" s="58">
        <f t="shared" si="1"/>
        <v>0</v>
      </c>
      <c r="BD57" s="222">
        <v>14560</v>
      </c>
      <c r="BE57" s="58">
        <f t="shared" si="2"/>
        <v>0</v>
      </c>
      <c r="BF57" s="222" t="s">
        <v>573</v>
      </c>
      <c r="BG57" s="58">
        <f t="shared" si="3"/>
        <v>0</v>
      </c>
      <c r="BH57" s="223">
        <v>7280</v>
      </c>
      <c r="BI57" s="58">
        <f t="shared" si="4"/>
        <v>0</v>
      </c>
      <c r="BJ57" s="220">
        <f t="shared" si="12"/>
        <v>90400</v>
      </c>
      <c r="BK57" s="58"/>
      <c r="BL57" s="58" t="s">
        <v>934</v>
      </c>
      <c r="BM57" s="220" t="s">
        <v>1389</v>
      </c>
      <c r="BN57" s="213" t="s">
        <v>763</v>
      </c>
      <c r="BO57" s="213" t="s">
        <v>804</v>
      </c>
      <c r="BP57" s="199">
        <v>46053</v>
      </c>
      <c r="BQ57" s="2" t="s">
        <v>1386</v>
      </c>
    </row>
    <row r="58" spans="1:69" ht="15.75" customHeight="1">
      <c r="A58" s="213" t="s">
        <v>788</v>
      </c>
      <c r="B58" s="58" t="s">
        <v>184</v>
      </c>
      <c r="C58" s="58" t="s">
        <v>752</v>
      </c>
      <c r="D58" s="214" t="s">
        <v>789</v>
      </c>
      <c r="E58" s="214" t="s">
        <v>789</v>
      </c>
      <c r="F58" s="215" t="s">
        <v>186</v>
      </c>
      <c r="G58" s="216">
        <v>2023</v>
      </c>
      <c r="H58" s="218" t="s">
        <v>1318</v>
      </c>
      <c r="I58" s="218" t="s">
        <v>196</v>
      </c>
      <c r="J58" s="217" t="s">
        <v>890</v>
      </c>
      <c r="K58" s="213" t="s">
        <v>753</v>
      </c>
      <c r="L58" s="213" t="s">
        <v>192</v>
      </c>
      <c r="M58" s="219" t="s">
        <v>1388</v>
      </c>
      <c r="N58" s="219">
        <v>5.45</v>
      </c>
      <c r="O58" s="219">
        <v>5.45</v>
      </c>
      <c r="P58" s="219">
        <v>5.45</v>
      </c>
      <c r="Q58" s="219">
        <v>5.45</v>
      </c>
      <c r="R58" s="219">
        <v>5.45</v>
      </c>
      <c r="S58" s="219">
        <v>5.45</v>
      </c>
      <c r="T58" s="219">
        <v>5.45</v>
      </c>
      <c r="U58" s="219">
        <v>5.45</v>
      </c>
      <c r="V58" s="219">
        <v>5.45</v>
      </c>
      <c r="W58" s="219">
        <v>5.45</v>
      </c>
      <c r="X58" s="219">
        <v>5.45</v>
      </c>
      <c r="Y58" s="219">
        <v>5.45</v>
      </c>
      <c r="Z58" s="219">
        <v>0</v>
      </c>
      <c r="AA58" s="219">
        <v>0</v>
      </c>
      <c r="AB58" s="219">
        <v>0</v>
      </c>
      <c r="AC58" s="219">
        <v>0</v>
      </c>
      <c r="AD58" s="219">
        <v>0</v>
      </c>
      <c r="AE58" s="219">
        <v>0</v>
      </c>
      <c r="AF58" s="219">
        <v>0</v>
      </c>
      <c r="AG58" s="219">
        <v>0</v>
      </c>
      <c r="AH58" s="219">
        <v>0</v>
      </c>
      <c r="AI58" s="219">
        <v>0</v>
      </c>
      <c r="AJ58" s="219">
        <v>0</v>
      </c>
      <c r="AK58" s="219">
        <v>0</v>
      </c>
      <c r="AL58" s="229" t="s">
        <v>573</v>
      </c>
      <c r="AM58" s="219">
        <f t="shared" si="5"/>
        <v>0</v>
      </c>
      <c r="AN58" s="229" t="s">
        <v>573</v>
      </c>
      <c r="AO58" s="221">
        <f t="shared" si="6"/>
        <v>0</v>
      </c>
      <c r="AP58" s="222">
        <v>3640</v>
      </c>
      <c r="AQ58" s="221">
        <f t="shared" si="7"/>
        <v>0</v>
      </c>
      <c r="AR58" s="222" t="s">
        <v>573</v>
      </c>
      <c r="AS58" s="58">
        <f t="shared" si="8"/>
        <v>0</v>
      </c>
      <c r="AT58" s="222" t="s">
        <v>573</v>
      </c>
      <c r="AU58" s="58">
        <f t="shared" si="9"/>
        <v>0</v>
      </c>
      <c r="AV58" s="222" t="s">
        <v>573</v>
      </c>
      <c r="AW58" s="58">
        <f t="shared" si="10"/>
        <v>0</v>
      </c>
      <c r="AX58" s="251">
        <v>3640</v>
      </c>
      <c r="AY58" s="58">
        <f t="shared" si="11"/>
        <v>0</v>
      </c>
      <c r="AZ58" s="222">
        <v>3640</v>
      </c>
      <c r="BA58" s="58">
        <f t="shared" si="0"/>
        <v>0</v>
      </c>
      <c r="BB58" s="222" t="s">
        <v>573</v>
      </c>
      <c r="BC58" s="58">
        <f t="shared" si="1"/>
        <v>0</v>
      </c>
      <c r="BD58" s="222" t="s">
        <v>573</v>
      </c>
      <c r="BE58" s="58">
        <f t="shared" si="2"/>
        <v>0</v>
      </c>
      <c r="BF58" s="222" t="s">
        <v>573</v>
      </c>
      <c r="BG58" s="58">
        <f t="shared" si="3"/>
        <v>0</v>
      </c>
      <c r="BH58" s="223" t="s">
        <v>573</v>
      </c>
      <c r="BI58" s="58">
        <f t="shared" si="4"/>
        <v>0</v>
      </c>
      <c r="BJ58" s="220">
        <f t="shared" si="12"/>
        <v>10920</v>
      </c>
      <c r="BK58" s="58"/>
      <c r="BL58" s="58" t="s">
        <v>935</v>
      </c>
      <c r="BM58" s="220" t="s">
        <v>1388</v>
      </c>
      <c r="BN58" s="213" t="s">
        <v>754</v>
      </c>
      <c r="BO58" s="58" t="s">
        <v>604</v>
      </c>
      <c r="BP58" s="199">
        <v>46053</v>
      </c>
      <c r="BQ58" s="2" t="s">
        <v>1386</v>
      </c>
    </row>
    <row r="59" spans="1:69" ht="15.75" customHeight="1">
      <c r="A59" s="213" t="s">
        <v>788</v>
      </c>
      <c r="B59" s="58" t="s">
        <v>184</v>
      </c>
      <c r="C59" s="58" t="s">
        <v>752</v>
      </c>
      <c r="D59" s="214" t="s">
        <v>789</v>
      </c>
      <c r="E59" s="214" t="s">
        <v>789</v>
      </c>
      <c r="F59" s="215" t="s">
        <v>186</v>
      </c>
      <c r="G59" s="216">
        <v>2023</v>
      </c>
      <c r="H59" s="218" t="s">
        <v>1318</v>
      </c>
      <c r="I59" s="218" t="s">
        <v>196</v>
      </c>
      <c r="J59" s="217" t="s">
        <v>890</v>
      </c>
      <c r="K59" s="213" t="s">
        <v>753</v>
      </c>
      <c r="L59" s="213" t="s">
        <v>192</v>
      </c>
      <c r="M59" s="219" t="s">
        <v>1397</v>
      </c>
      <c r="N59" s="219">
        <v>5</v>
      </c>
      <c r="O59" s="219">
        <v>5</v>
      </c>
      <c r="P59" s="219">
        <v>5</v>
      </c>
      <c r="Q59" s="219">
        <v>5</v>
      </c>
      <c r="R59" s="219">
        <v>5</v>
      </c>
      <c r="S59" s="219">
        <v>5</v>
      </c>
      <c r="T59" s="219">
        <v>5</v>
      </c>
      <c r="U59" s="219">
        <v>5</v>
      </c>
      <c r="V59" s="219">
        <v>5</v>
      </c>
      <c r="W59" s="219">
        <v>5</v>
      </c>
      <c r="X59" s="219">
        <v>5</v>
      </c>
      <c r="Y59" s="219">
        <v>5</v>
      </c>
      <c r="Z59" s="219">
        <v>0</v>
      </c>
      <c r="AA59" s="219">
        <v>0</v>
      </c>
      <c r="AB59" s="219">
        <v>0</v>
      </c>
      <c r="AC59" s="219">
        <v>0</v>
      </c>
      <c r="AD59" s="219">
        <v>0</v>
      </c>
      <c r="AE59" s="219">
        <v>0</v>
      </c>
      <c r="AF59" s="219">
        <v>0</v>
      </c>
      <c r="AG59" s="219">
        <v>0</v>
      </c>
      <c r="AH59" s="219">
        <v>0</v>
      </c>
      <c r="AI59" s="219">
        <v>0</v>
      </c>
      <c r="AJ59" s="219">
        <v>0</v>
      </c>
      <c r="AK59" s="219">
        <v>0</v>
      </c>
      <c r="AL59" s="229" t="s">
        <v>573</v>
      </c>
      <c r="AM59" s="219">
        <f t="shared" si="5"/>
        <v>0</v>
      </c>
      <c r="AN59" s="229" t="s">
        <v>573</v>
      </c>
      <c r="AO59" s="221">
        <f t="shared" si="6"/>
        <v>0</v>
      </c>
      <c r="AP59" s="222" t="s">
        <v>573</v>
      </c>
      <c r="AQ59" s="221">
        <f t="shared" si="7"/>
        <v>0</v>
      </c>
      <c r="AR59" s="222" t="s">
        <v>573</v>
      </c>
      <c r="AS59" s="58">
        <f t="shared" si="8"/>
        <v>0</v>
      </c>
      <c r="AT59" s="222" t="s">
        <v>573</v>
      </c>
      <c r="AU59" s="58">
        <f t="shared" si="9"/>
        <v>0</v>
      </c>
      <c r="AV59" s="222" t="s">
        <v>573</v>
      </c>
      <c r="AW59" s="58">
        <f t="shared" si="10"/>
        <v>0</v>
      </c>
      <c r="AX59" s="251" t="s">
        <v>573</v>
      </c>
      <c r="AY59" s="58">
        <f t="shared" si="11"/>
        <v>0</v>
      </c>
      <c r="AZ59" s="222" t="s">
        <v>573</v>
      </c>
      <c r="BA59" s="58">
        <f t="shared" si="0"/>
        <v>0</v>
      </c>
      <c r="BB59" s="222" t="s">
        <v>573</v>
      </c>
      <c r="BC59" s="58">
        <f t="shared" si="1"/>
        <v>0</v>
      </c>
      <c r="BD59" s="222" t="s">
        <v>573</v>
      </c>
      <c r="BE59" s="58">
        <f t="shared" si="2"/>
        <v>0</v>
      </c>
      <c r="BF59" s="222" t="s">
        <v>573</v>
      </c>
      <c r="BG59" s="58">
        <f t="shared" si="3"/>
        <v>0</v>
      </c>
      <c r="BH59" s="223" t="s">
        <v>573</v>
      </c>
      <c r="BI59" s="58">
        <f t="shared" si="4"/>
        <v>0</v>
      </c>
      <c r="BJ59" s="220">
        <f t="shared" si="12"/>
        <v>0</v>
      </c>
      <c r="BK59" s="58"/>
      <c r="BL59" s="58" t="s">
        <v>936</v>
      </c>
      <c r="BM59" s="220" t="s">
        <v>1397</v>
      </c>
      <c r="BN59" s="213" t="s">
        <v>754</v>
      </c>
      <c r="BO59" s="58" t="s">
        <v>603</v>
      </c>
      <c r="BP59" s="199">
        <v>46053</v>
      </c>
      <c r="BQ59" s="2" t="s">
        <v>1386</v>
      </c>
    </row>
    <row r="60" spans="1:69" ht="15.75" customHeight="1">
      <c r="A60" s="213" t="s">
        <v>788</v>
      </c>
      <c r="B60" s="58" t="s">
        <v>184</v>
      </c>
      <c r="C60" s="58" t="s">
        <v>752</v>
      </c>
      <c r="D60" s="214" t="s">
        <v>789</v>
      </c>
      <c r="E60" s="214" t="s">
        <v>789</v>
      </c>
      <c r="F60" s="215" t="s">
        <v>186</v>
      </c>
      <c r="G60" s="216">
        <v>2022</v>
      </c>
      <c r="H60" s="218" t="s">
        <v>800</v>
      </c>
      <c r="I60" s="218" t="s">
        <v>196</v>
      </c>
      <c r="J60" s="217" t="s">
        <v>890</v>
      </c>
      <c r="K60" s="213" t="s">
        <v>221</v>
      </c>
      <c r="L60" s="213" t="s">
        <v>192</v>
      </c>
      <c r="M60" s="219" t="s">
        <v>1388</v>
      </c>
      <c r="N60" s="219">
        <v>24.21</v>
      </c>
      <c r="O60" s="219">
        <v>24.21</v>
      </c>
      <c r="P60" s="219">
        <v>24.21</v>
      </c>
      <c r="Q60" s="219">
        <v>24.21</v>
      </c>
      <c r="R60" s="219">
        <v>24.21</v>
      </c>
      <c r="S60" s="219">
        <v>24.21</v>
      </c>
      <c r="T60" s="219">
        <v>24.21</v>
      </c>
      <c r="U60" s="219">
        <v>24.21</v>
      </c>
      <c r="V60" s="219">
        <v>24.21</v>
      </c>
      <c r="W60" s="219">
        <v>24.21</v>
      </c>
      <c r="X60" s="219">
        <v>24.21</v>
      </c>
      <c r="Y60" s="219">
        <v>24.21</v>
      </c>
      <c r="Z60" s="219">
        <v>0.83</v>
      </c>
      <c r="AA60" s="219">
        <v>0.83</v>
      </c>
      <c r="AB60" s="219">
        <v>0.83</v>
      </c>
      <c r="AC60" s="219">
        <v>0.83</v>
      </c>
      <c r="AD60" s="219">
        <v>0.83</v>
      </c>
      <c r="AE60" s="219">
        <v>0.83</v>
      </c>
      <c r="AF60" s="219">
        <v>0.83</v>
      </c>
      <c r="AG60" s="219">
        <v>0.83</v>
      </c>
      <c r="AH60" s="219">
        <v>0.83</v>
      </c>
      <c r="AI60" s="219">
        <v>0.83</v>
      </c>
      <c r="AJ60" s="219">
        <v>0.83</v>
      </c>
      <c r="AK60" s="219">
        <v>0.83</v>
      </c>
      <c r="AL60" s="229" t="s">
        <v>573</v>
      </c>
      <c r="AM60" s="219">
        <f t="shared" si="5"/>
        <v>0</v>
      </c>
      <c r="AN60" s="229">
        <v>3600</v>
      </c>
      <c r="AO60" s="221">
        <f t="shared" si="6"/>
        <v>2988</v>
      </c>
      <c r="AP60" s="222" t="s">
        <v>573</v>
      </c>
      <c r="AQ60" s="221">
        <f t="shared" si="7"/>
        <v>0</v>
      </c>
      <c r="AR60" s="222" t="s">
        <v>573</v>
      </c>
      <c r="AS60" s="58">
        <f t="shared" si="8"/>
        <v>0</v>
      </c>
      <c r="AT60" s="222" t="s">
        <v>573</v>
      </c>
      <c r="AU60" s="58">
        <f t="shared" si="9"/>
        <v>0</v>
      </c>
      <c r="AV60" s="222" t="s">
        <v>573</v>
      </c>
      <c r="AW60" s="58">
        <f t="shared" si="10"/>
        <v>0</v>
      </c>
      <c r="AX60" s="251" t="s">
        <v>573</v>
      </c>
      <c r="AY60" s="58">
        <f t="shared" si="11"/>
        <v>0</v>
      </c>
      <c r="AZ60" s="222" t="s">
        <v>573</v>
      </c>
      <c r="BA60" s="58">
        <f t="shared" si="0"/>
        <v>0</v>
      </c>
      <c r="BB60" s="222" t="s">
        <v>573</v>
      </c>
      <c r="BC60" s="58">
        <f t="shared" si="1"/>
        <v>0</v>
      </c>
      <c r="BD60" s="222" t="s">
        <v>573</v>
      </c>
      <c r="BE60" s="58">
        <f t="shared" si="2"/>
        <v>0</v>
      </c>
      <c r="BF60" s="222" t="s">
        <v>573</v>
      </c>
      <c r="BG60" s="58">
        <f t="shared" si="3"/>
        <v>0</v>
      </c>
      <c r="BH60" s="223" t="s">
        <v>573</v>
      </c>
      <c r="BI60" s="58">
        <f t="shared" si="4"/>
        <v>0</v>
      </c>
      <c r="BJ60" s="220">
        <f t="shared" si="12"/>
        <v>3600</v>
      </c>
      <c r="BK60" s="58"/>
      <c r="BL60" s="58" t="s">
        <v>937</v>
      </c>
      <c r="BM60" s="220" t="s">
        <v>1388</v>
      </c>
      <c r="BN60" s="213" t="s">
        <v>807</v>
      </c>
      <c r="BO60" s="58" t="s">
        <v>1223</v>
      </c>
      <c r="BP60" s="199">
        <v>46022</v>
      </c>
      <c r="BQ60" s="2" t="s">
        <v>1386</v>
      </c>
    </row>
    <row r="61" spans="1:69" ht="15.75" customHeight="1">
      <c r="A61" s="213" t="s">
        <v>788</v>
      </c>
      <c r="B61" s="58" t="s">
        <v>184</v>
      </c>
      <c r="C61" s="58" t="s">
        <v>752</v>
      </c>
      <c r="D61" s="214" t="s">
        <v>789</v>
      </c>
      <c r="E61" s="214" t="s">
        <v>789</v>
      </c>
      <c r="F61" s="215" t="s">
        <v>186</v>
      </c>
      <c r="G61" s="216">
        <v>2023</v>
      </c>
      <c r="H61" s="218" t="s">
        <v>800</v>
      </c>
      <c r="I61" s="218" t="s">
        <v>196</v>
      </c>
      <c r="J61" s="217" t="s">
        <v>890</v>
      </c>
      <c r="K61" s="213" t="s">
        <v>221</v>
      </c>
      <c r="L61" s="213" t="s">
        <v>192</v>
      </c>
      <c r="M61" s="219" t="s">
        <v>1388</v>
      </c>
      <c r="N61" s="219">
        <v>24.21</v>
      </c>
      <c r="O61" s="219">
        <v>24.21</v>
      </c>
      <c r="P61" s="219">
        <v>24.21</v>
      </c>
      <c r="Q61" s="219">
        <v>24.21</v>
      </c>
      <c r="R61" s="219">
        <v>24.21</v>
      </c>
      <c r="S61" s="219">
        <v>24.21</v>
      </c>
      <c r="T61" s="219">
        <v>24.21</v>
      </c>
      <c r="U61" s="219">
        <v>24.21</v>
      </c>
      <c r="V61" s="219">
        <v>24.21</v>
      </c>
      <c r="W61" s="219">
        <v>24.21</v>
      </c>
      <c r="X61" s="219">
        <v>24.21</v>
      </c>
      <c r="Y61" s="219">
        <v>24.21</v>
      </c>
      <c r="Z61" s="219">
        <v>0.83</v>
      </c>
      <c r="AA61" s="219">
        <v>0.83</v>
      </c>
      <c r="AB61" s="219">
        <v>0.83</v>
      </c>
      <c r="AC61" s="219">
        <v>0.83</v>
      </c>
      <c r="AD61" s="219">
        <v>0.83</v>
      </c>
      <c r="AE61" s="219">
        <v>0.83</v>
      </c>
      <c r="AF61" s="219">
        <v>0.83</v>
      </c>
      <c r="AG61" s="219">
        <v>0.83</v>
      </c>
      <c r="AH61" s="219">
        <v>0.83</v>
      </c>
      <c r="AI61" s="219">
        <v>0.83</v>
      </c>
      <c r="AJ61" s="219">
        <v>0.83</v>
      </c>
      <c r="AK61" s="219">
        <v>0.83</v>
      </c>
      <c r="AL61" s="229" t="s">
        <v>573</v>
      </c>
      <c r="AM61" s="219">
        <f t="shared" si="5"/>
        <v>0</v>
      </c>
      <c r="AN61" s="229">
        <v>1200</v>
      </c>
      <c r="AO61" s="221">
        <f t="shared" si="6"/>
        <v>996</v>
      </c>
      <c r="AP61" s="222" t="s">
        <v>573</v>
      </c>
      <c r="AQ61" s="221">
        <f t="shared" si="7"/>
        <v>0</v>
      </c>
      <c r="AR61" s="222" t="s">
        <v>573</v>
      </c>
      <c r="AS61" s="58">
        <f t="shared" si="8"/>
        <v>0</v>
      </c>
      <c r="AT61" s="222">
        <v>1200</v>
      </c>
      <c r="AU61" s="58">
        <f t="shared" si="9"/>
        <v>996</v>
      </c>
      <c r="AV61" s="222">
        <v>1200</v>
      </c>
      <c r="AW61" s="58">
        <f t="shared" si="10"/>
        <v>996</v>
      </c>
      <c r="AX61" s="251" t="s">
        <v>573</v>
      </c>
      <c r="AY61" s="58">
        <f t="shared" si="11"/>
        <v>0</v>
      </c>
      <c r="AZ61" s="222">
        <v>1200</v>
      </c>
      <c r="BA61" s="58">
        <f t="shared" si="0"/>
        <v>996</v>
      </c>
      <c r="BB61" s="222">
        <v>1200</v>
      </c>
      <c r="BC61" s="58">
        <f t="shared" si="1"/>
        <v>996</v>
      </c>
      <c r="BD61" s="222">
        <v>1200</v>
      </c>
      <c r="BE61" s="58">
        <f t="shared" si="2"/>
        <v>996</v>
      </c>
      <c r="BF61" s="222" t="s">
        <v>573</v>
      </c>
      <c r="BG61" s="58">
        <f t="shared" si="3"/>
        <v>0</v>
      </c>
      <c r="BH61" s="223" t="s">
        <v>573</v>
      </c>
      <c r="BI61" s="58">
        <f t="shared" si="4"/>
        <v>0</v>
      </c>
      <c r="BJ61" s="220">
        <f t="shared" si="12"/>
        <v>7200</v>
      </c>
      <c r="BK61" s="58"/>
      <c r="BL61" s="58" t="s">
        <v>938</v>
      </c>
      <c r="BM61" s="220" t="s">
        <v>1388</v>
      </c>
      <c r="BN61" s="213" t="s">
        <v>754</v>
      </c>
      <c r="BO61" s="58" t="s">
        <v>1224</v>
      </c>
      <c r="BP61" s="199">
        <v>46022</v>
      </c>
      <c r="BQ61" s="2" t="s">
        <v>1386</v>
      </c>
    </row>
    <row r="62" spans="1:69" ht="15.75" customHeight="1">
      <c r="A62" s="213" t="s">
        <v>788</v>
      </c>
      <c r="B62" s="58" t="s">
        <v>184</v>
      </c>
      <c r="C62" s="58" t="s">
        <v>752</v>
      </c>
      <c r="D62" s="214" t="s">
        <v>789</v>
      </c>
      <c r="E62" s="214" t="s">
        <v>789</v>
      </c>
      <c r="F62" s="215" t="s">
        <v>186</v>
      </c>
      <c r="G62" s="216">
        <v>2023</v>
      </c>
      <c r="H62" s="218" t="s">
        <v>800</v>
      </c>
      <c r="I62" s="218" t="s">
        <v>196</v>
      </c>
      <c r="J62" s="217" t="s">
        <v>890</v>
      </c>
      <c r="K62" s="213" t="s">
        <v>330</v>
      </c>
      <c r="L62" s="213" t="s">
        <v>192</v>
      </c>
      <c r="M62" s="219" t="s">
        <v>1388</v>
      </c>
      <c r="N62" s="219">
        <v>25.16</v>
      </c>
      <c r="O62" s="219">
        <v>25.16</v>
      </c>
      <c r="P62" s="219">
        <v>25.16</v>
      </c>
      <c r="Q62" s="219">
        <v>25.16</v>
      </c>
      <c r="R62" s="219">
        <v>25.16</v>
      </c>
      <c r="S62" s="219">
        <v>25.16</v>
      </c>
      <c r="T62" s="219">
        <v>25.16</v>
      </c>
      <c r="U62" s="219">
        <v>25.16</v>
      </c>
      <c r="V62" s="219">
        <v>25.16</v>
      </c>
      <c r="W62" s="219">
        <v>25.16</v>
      </c>
      <c r="X62" s="219">
        <v>25.16</v>
      </c>
      <c r="Y62" s="219">
        <v>25.16</v>
      </c>
      <c r="Z62" s="219">
        <v>0.83</v>
      </c>
      <c r="AA62" s="219">
        <v>0.83</v>
      </c>
      <c r="AB62" s="219">
        <v>0.83</v>
      </c>
      <c r="AC62" s="219">
        <v>0.83</v>
      </c>
      <c r="AD62" s="219">
        <v>0.83</v>
      </c>
      <c r="AE62" s="219">
        <v>0.83</v>
      </c>
      <c r="AF62" s="219">
        <v>0.83</v>
      </c>
      <c r="AG62" s="219">
        <v>0.83</v>
      </c>
      <c r="AH62" s="219">
        <v>0.83</v>
      </c>
      <c r="AI62" s="219">
        <v>0.83</v>
      </c>
      <c r="AJ62" s="219">
        <v>0.83</v>
      </c>
      <c r="AK62" s="219">
        <v>0.83</v>
      </c>
      <c r="AL62" s="229" t="s">
        <v>573</v>
      </c>
      <c r="AM62" s="219">
        <f t="shared" si="5"/>
        <v>0</v>
      </c>
      <c r="AN62" s="229" t="s">
        <v>573</v>
      </c>
      <c r="AO62" s="221">
        <f t="shared" si="6"/>
        <v>0</v>
      </c>
      <c r="AP62" s="222" t="s">
        <v>573</v>
      </c>
      <c r="AQ62" s="221">
        <f t="shared" si="7"/>
        <v>0</v>
      </c>
      <c r="AR62" s="222" t="s">
        <v>573</v>
      </c>
      <c r="AS62" s="58">
        <f t="shared" si="8"/>
        <v>0</v>
      </c>
      <c r="AT62" s="222" t="s">
        <v>573</v>
      </c>
      <c r="AU62" s="58">
        <f t="shared" si="9"/>
        <v>0</v>
      </c>
      <c r="AV62" s="222" t="s">
        <v>573</v>
      </c>
      <c r="AW62" s="58">
        <f t="shared" si="10"/>
        <v>0</v>
      </c>
      <c r="AX62" s="251" t="s">
        <v>573</v>
      </c>
      <c r="AY62" s="58">
        <f t="shared" si="11"/>
        <v>0</v>
      </c>
      <c r="AZ62" s="222" t="s">
        <v>573</v>
      </c>
      <c r="BA62" s="58">
        <f t="shared" si="0"/>
        <v>0</v>
      </c>
      <c r="BB62" s="222" t="s">
        <v>573</v>
      </c>
      <c r="BC62" s="58">
        <f t="shared" si="1"/>
        <v>0</v>
      </c>
      <c r="BD62" s="222" t="s">
        <v>573</v>
      </c>
      <c r="BE62" s="58">
        <f t="shared" si="2"/>
        <v>0</v>
      </c>
      <c r="BF62" s="222" t="s">
        <v>573</v>
      </c>
      <c r="BG62" s="58">
        <f t="shared" si="3"/>
        <v>0</v>
      </c>
      <c r="BH62" s="223" t="s">
        <v>573</v>
      </c>
      <c r="BI62" s="58">
        <f t="shared" si="4"/>
        <v>0</v>
      </c>
      <c r="BJ62" s="220">
        <f t="shared" si="12"/>
        <v>0</v>
      </c>
      <c r="BK62" s="58"/>
      <c r="BL62" s="58" t="s">
        <v>939</v>
      </c>
      <c r="BM62" s="220" t="s">
        <v>1388</v>
      </c>
      <c r="BN62" s="213" t="s">
        <v>807</v>
      </c>
      <c r="BO62" s="58" t="s">
        <v>1225</v>
      </c>
      <c r="BP62" s="199">
        <v>46022</v>
      </c>
      <c r="BQ62" s="2" t="s">
        <v>1386</v>
      </c>
    </row>
    <row r="63" spans="1:69" ht="15.75" customHeight="1">
      <c r="A63" s="213" t="s">
        <v>788</v>
      </c>
      <c r="B63" s="58" t="s">
        <v>184</v>
      </c>
      <c r="C63" s="58" t="s">
        <v>752</v>
      </c>
      <c r="D63" s="214" t="s">
        <v>789</v>
      </c>
      <c r="E63" s="214" t="s">
        <v>789</v>
      </c>
      <c r="F63" s="215" t="s">
        <v>186</v>
      </c>
      <c r="G63" s="216">
        <v>2023</v>
      </c>
      <c r="H63" s="218" t="s">
        <v>800</v>
      </c>
      <c r="I63" s="218" t="s">
        <v>196</v>
      </c>
      <c r="J63" s="217" t="s">
        <v>890</v>
      </c>
      <c r="K63" s="213" t="s">
        <v>330</v>
      </c>
      <c r="L63" s="213" t="s">
        <v>192</v>
      </c>
      <c r="M63" s="219" t="s">
        <v>1388</v>
      </c>
      <c r="N63" s="219">
        <v>25.16</v>
      </c>
      <c r="O63" s="219">
        <v>25.16</v>
      </c>
      <c r="P63" s="219">
        <v>25.16</v>
      </c>
      <c r="Q63" s="219">
        <v>25.16</v>
      </c>
      <c r="R63" s="219">
        <v>25.16</v>
      </c>
      <c r="S63" s="219">
        <v>25.16</v>
      </c>
      <c r="T63" s="219">
        <v>25.16</v>
      </c>
      <c r="U63" s="219">
        <v>25.16</v>
      </c>
      <c r="V63" s="219">
        <v>25.16</v>
      </c>
      <c r="W63" s="219">
        <v>25.16</v>
      </c>
      <c r="X63" s="219">
        <v>25.16</v>
      </c>
      <c r="Y63" s="219">
        <v>25.16</v>
      </c>
      <c r="Z63" s="219">
        <v>0.83</v>
      </c>
      <c r="AA63" s="219">
        <v>0.83</v>
      </c>
      <c r="AB63" s="219">
        <v>0.83</v>
      </c>
      <c r="AC63" s="219">
        <v>0.83</v>
      </c>
      <c r="AD63" s="219">
        <v>0.83</v>
      </c>
      <c r="AE63" s="219">
        <v>0.83</v>
      </c>
      <c r="AF63" s="219">
        <v>0.83</v>
      </c>
      <c r="AG63" s="219">
        <v>0.83</v>
      </c>
      <c r="AH63" s="219">
        <v>0.83</v>
      </c>
      <c r="AI63" s="219">
        <v>0.83</v>
      </c>
      <c r="AJ63" s="219">
        <v>0.83</v>
      </c>
      <c r="AK63" s="219">
        <v>0.83</v>
      </c>
      <c r="AL63" s="229" t="s">
        <v>573</v>
      </c>
      <c r="AM63" s="219">
        <f t="shared" si="5"/>
        <v>0</v>
      </c>
      <c r="AN63" s="229" t="s">
        <v>573</v>
      </c>
      <c r="AO63" s="221">
        <f t="shared" si="6"/>
        <v>0</v>
      </c>
      <c r="AP63" s="222" t="s">
        <v>573</v>
      </c>
      <c r="AQ63" s="221">
        <f t="shared" si="7"/>
        <v>0</v>
      </c>
      <c r="AR63" s="222" t="s">
        <v>573</v>
      </c>
      <c r="AS63" s="58">
        <f t="shared" si="8"/>
        <v>0</v>
      </c>
      <c r="AT63" s="222" t="s">
        <v>573</v>
      </c>
      <c r="AU63" s="58">
        <f t="shared" si="9"/>
        <v>0</v>
      </c>
      <c r="AV63" s="222" t="s">
        <v>573</v>
      </c>
      <c r="AW63" s="58">
        <f t="shared" si="10"/>
        <v>0</v>
      </c>
      <c r="AX63" s="251" t="s">
        <v>573</v>
      </c>
      <c r="AY63" s="58">
        <f t="shared" si="11"/>
        <v>0</v>
      </c>
      <c r="AZ63" s="222" t="s">
        <v>573</v>
      </c>
      <c r="BA63" s="58">
        <f t="shared" ref="BA63:BA123" si="27">AZ63*AG63</f>
        <v>0</v>
      </c>
      <c r="BB63" s="222" t="s">
        <v>573</v>
      </c>
      <c r="BC63" s="58">
        <f t="shared" ref="BC63:BC123" si="28">BB63*AH63</f>
        <v>0</v>
      </c>
      <c r="BD63" s="222" t="s">
        <v>573</v>
      </c>
      <c r="BE63" s="58">
        <f t="shared" ref="BE63:BE123" si="29">BD63*AI63</f>
        <v>0</v>
      </c>
      <c r="BF63" s="222" t="s">
        <v>573</v>
      </c>
      <c r="BG63" s="58">
        <f t="shared" ref="BG63:BG123" si="30">BF63*AJ63</f>
        <v>0</v>
      </c>
      <c r="BH63" s="223" t="s">
        <v>573</v>
      </c>
      <c r="BI63" s="58">
        <f t="shared" ref="BI63:BI123" si="31">BH63*AK63</f>
        <v>0</v>
      </c>
      <c r="BJ63" s="220">
        <f t="shared" si="12"/>
        <v>0</v>
      </c>
      <c r="BK63" s="58"/>
      <c r="BL63" s="58" t="s">
        <v>940</v>
      </c>
      <c r="BM63" s="220" t="s">
        <v>1388</v>
      </c>
      <c r="BN63" s="213" t="s">
        <v>754</v>
      </c>
      <c r="BO63" s="213" t="s">
        <v>1226</v>
      </c>
      <c r="BP63" s="199">
        <v>46022</v>
      </c>
      <c r="BQ63" s="2" t="s">
        <v>1386</v>
      </c>
    </row>
    <row r="64" spans="1:69" ht="15.75" customHeight="1">
      <c r="A64" s="213" t="s">
        <v>788</v>
      </c>
      <c r="B64" s="58" t="s">
        <v>184</v>
      </c>
      <c r="C64" s="58" t="s">
        <v>752</v>
      </c>
      <c r="D64" s="214" t="s">
        <v>789</v>
      </c>
      <c r="E64" s="214" t="s">
        <v>789</v>
      </c>
      <c r="F64" s="215" t="s">
        <v>186</v>
      </c>
      <c r="G64" s="216">
        <v>2022</v>
      </c>
      <c r="H64" s="218" t="s">
        <v>800</v>
      </c>
      <c r="I64" s="218" t="s">
        <v>196</v>
      </c>
      <c r="J64" s="217" t="s">
        <v>890</v>
      </c>
      <c r="K64" s="213" t="s">
        <v>221</v>
      </c>
      <c r="L64" s="213" t="s">
        <v>192</v>
      </c>
      <c r="M64" s="219" t="s">
        <v>1388</v>
      </c>
      <c r="N64" s="219">
        <v>24.21</v>
      </c>
      <c r="O64" s="219">
        <v>24.21</v>
      </c>
      <c r="P64" s="219">
        <v>24.21</v>
      </c>
      <c r="Q64" s="219">
        <v>24.21</v>
      </c>
      <c r="R64" s="219">
        <v>24.21</v>
      </c>
      <c r="S64" s="219">
        <v>24.21</v>
      </c>
      <c r="T64" s="219">
        <v>24.21</v>
      </c>
      <c r="U64" s="219">
        <v>24.21</v>
      </c>
      <c r="V64" s="219">
        <v>24.21</v>
      </c>
      <c r="W64" s="219">
        <v>24.31</v>
      </c>
      <c r="X64" s="219">
        <v>24.31</v>
      </c>
      <c r="Y64" s="219">
        <v>24.31</v>
      </c>
      <c r="Z64" s="219">
        <v>0.83</v>
      </c>
      <c r="AA64" s="219">
        <v>0.83</v>
      </c>
      <c r="AB64" s="219">
        <v>0.83</v>
      </c>
      <c r="AC64" s="219">
        <v>0.83</v>
      </c>
      <c r="AD64" s="219">
        <v>0.83</v>
      </c>
      <c r="AE64" s="219">
        <v>0.83</v>
      </c>
      <c r="AF64" s="219">
        <v>0.83</v>
      </c>
      <c r="AG64" s="219">
        <v>0.83</v>
      </c>
      <c r="AH64" s="219">
        <v>0.83</v>
      </c>
      <c r="AI64" s="219">
        <v>0.83</v>
      </c>
      <c r="AJ64" s="219">
        <v>0.83</v>
      </c>
      <c r="AK64" s="219">
        <v>0.83</v>
      </c>
      <c r="AL64" s="229" t="s">
        <v>573</v>
      </c>
      <c r="AM64" s="219">
        <f t="shared" si="5"/>
        <v>0</v>
      </c>
      <c r="AN64" s="229" t="s">
        <v>573</v>
      </c>
      <c r="AO64" s="221">
        <f t="shared" si="6"/>
        <v>0</v>
      </c>
      <c r="AP64" s="222" t="s">
        <v>573</v>
      </c>
      <c r="AQ64" s="221">
        <f t="shared" si="7"/>
        <v>0</v>
      </c>
      <c r="AR64" s="222" t="s">
        <v>573</v>
      </c>
      <c r="AS64" s="58">
        <f t="shared" si="8"/>
        <v>0</v>
      </c>
      <c r="AT64" s="222" t="s">
        <v>573</v>
      </c>
      <c r="AU64" s="58">
        <f t="shared" si="9"/>
        <v>0</v>
      </c>
      <c r="AV64" s="222" t="s">
        <v>573</v>
      </c>
      <c r="AW64" s="58">
        <f t="shared" si="10"/>
        <v>0</v>
      </c>
      <c r="AX64" s="251" t="s">
        <v>573</v>
      </c>
      <c r="AY64" s="58">
        <f t="shared" si="11"/>
        <v>0</v>
      </c>
      <c r="AZ64" s="222" t="s">
        <v>573</v>
      </c>
      <c r="BA64" s="58">
        <f t="shared" si="27"/>
        <v>0</v>
      </c>
      <c r="BB64" s="222" t="s">
        <v>573</v>
      </c>
      <c r="BC64" s="58">
        <f t="shared" si="28"/>
        <v>0</v>
      </c>
      <c r="BD64" s="222">
        <v>240</v>
      </c>
      <c r="BE64" s="58">
        <f t="shared" si="29"/>
        <v>199.2</v>
      </c>
      <c r="BF64" s="222">
        <v>120</v>
      </c>
      <c r="BG64" s="58">
        <f t="shared" si="30"/>
        <v>99.6</v>
      </c>
      <c r="BH64" s="223">
        <v>840</v>
      </c>
      <c r="BI64" s="58">
        <f t="shared" si="31"/>
        <v>697.19999999999993</v>
      </c>
      <c r="BJ64" s="220">
        <f t="shared" si="12"/>
        <v>1200</v>
      </c>
      <c r="BK64" s="58"/>
      <c r="BL64" s="58" t="s">
        <v>941</v>
      </c>
      <c r="BM64" s="220" t="s">
        <v>1388</v>
      </c>
      <c r="BN64" s="213" t="s">
        <v>807</v>
      </c>
      <c r="BO64" s="213" t="s">
        <v>1227</v>
      </c>
      <c r="BP64" s="199">
        <v>46022</v>
      </c>
      <c r="BQ64" s="2" t="s">
        <v>1386</v>
      </c>
    </row>
    <row r="65" spans="1:69" ht="15.75" customHeight="1">
      <c r="A65" s="213" t="s">
        <v>788</v>
      </c>
      <c r="B65" s="58" t="s">
        <v>184</v>
      </c>
      <c r="C65" s="58" t="s">
        <v>752</v>
      </c>
      <c r="D65" s="214" t="s">
        <v>789</v>
      </c>
      <c r="E65" s="214" t="s">
        <v>789</v>
      </c>
      <c r="F65" s="215" t="s">
        <v>186</v>
      </c>
      <c r="G65" s="216">
        <v>2023</v>
      </c>
      <c r="H65" s="218" t="s">
        <v>800</v>
      </c>
      <c r="I65" s="218" t="s">
        <v>196</v>
      </c>
      <c r="J65" s="217" t="s">
        <v>890</v>
      </c>
      <c r="K65" s="213" t="s">
        <v>221</v>
      </c>
      <c r="L65" s="213" t="s">
        <v>192</v>
      </c>
      <c r="M65" s="219" t="s">
        <v>1389</v>
      </c>
      <c r="N65" s="219">
        <v>24.21</v>
      </c>
      <c r="O65" s="219">
        <v>24.21</v>
      </c>
      <c r="P65" s="219">
        <v>24.21</v>
      </c>
      <c r="Q65" s="219">
        <v>24.21</v>
      </c>
      <c r="R65" s="219">
        <v>24.21</v>
      </c>
      <c r="S65" s="219">
        <v>24.21</v>
      </c>
      <c r="T65" s="219">
        <v>24.21</v>
      </c>
      <c r="U65" s="219">
        <v>24.21</v>
      </c>
      <c r="V65" s="219">
        <v>24.21</v>
      </c>
      <c r="W65" s="219">
        <v>24.21</v>
      </c>
      <c r="X65" s="219">
        <v>24.21</v>
      </c>
      <c r="Y65" s="219">
        <v>24.21</v>
      </c>
      <c r="Z65" s="219">
        <v>0.83</v>
      </c>
      <c r="AA65" s="219">
        <v>0.83</v>
      </c>
      <c r="AB65" s="219">
        <v>0.83</v>
      </c>
      <c r="AC65" s="219">
        <v>0.83</v>
      </c>
      <c r="AD65" s="219">
        <v>0.83</v>
      </c>
      <c r="AE65" s="219">
        <v>0.83</v>
      </c>
      <c r="AF65" s="219">
        <v>0.83</v>
      </c>
      <c r="AG65" s="219">
        <v>0.83</v>
      </c>
      <c r="AH65" s="219">
        <v>0.83</v>
      </c>
      <c r="AI65" s="219">
        <v>0.83</v>
      </c>
      <c r="AJ65" s="219">
        <v>0.83</v>
      </c>
      <c r="AK65" s="219">
        <v>0.83</v>
      </c>
      <c r="AL65" s="229" t="s">
        <v>573</v>
      </c>
      <c r="AM65" s="219">
        <f t="shared" si="5"/>
        <v>0</v>
      </c>
      <c r="AN65" s="229" t="s">
        <v>573</v>
      </c>
      <c r="AO65" s="221">
        <f t="shared" si="6"/>
        <v>0</v>
      </c>
      <c r="AP65" s="222" t="s">
        <v>573</v>
      </c>
      <c r="AQ65" s="221">
        <f t="shared" si="7"/>
        <v>0</v>
      </c>
      <c r="AR65" s="222" t="s">
        <v>573</v>
      </c>
      <c r="AS65" s="58">
        <f t="shared" si="8"/>
        <v>0</v>
      </c>
      <c r="AT65" s="222" t="s">
        <v>573</v>
      </c>
      <c r="AU65" s="58">
        <f t="shared" si="9"/>
        <v>0</v>
      </c>
      <c r="AV65" s="222" t="s">
        <v>573</v>
      </c>
      <c r="AW65" s="58">
        <f t="shared" si="10"/>
        <v>0</v>
      </c>
      <c r="AX65" s="251" t="s">
        <v>573</v>
      </c>
      <c r="AY65" s="58">
        <f t="shared" si="11"/>
        <v>0</v>
      </c>
      <c r="AZ65" s="222" t="s">
        <v>573</v>
      </c>
      <c r="BA65" s="58">
        <f t="shared" si="27"/>
        <v>0</v>
      </c>
      <c r="BB65" s="222">
        <v>1200</v>
      </c>
      <c r="BC65" s="58">
        <f t="shared" si="28"/>
        <v>996</v>
      </c>
      <c r="BD65" s="222">
        <v>1200</v>
      </c>
      <c r="BE65" s="58">
        <f t="shared" si="29"/>
        <v>996</v>
      </c>
      <c r="BF65" s="222" t="s">
        <v>573</v>
      </c>
      <c r="BG65" s="58">
        <f t="shared" si="30"/>
        <v>0</v>
      </c>
      <c r="BH65" s="223" t="s">
        <v>573</v>
      </c>
      <c r="BI65" s="58">
        <f t="shared" si="31"/>
        <v>0</v>
      </c>
      <c r="BJ65" s="220">
        <f t="shared" si="12"/>
        <v>2400</v>
      </c>
      <c r="BK65" s="58"/>
      <c r="BL65" s="58" t="s">
        <v>942</v>
      </c>
      <c r="BM65" s="220" t="s">
        <v>1389</v>
      </c>
      <c r="BN65" s="213" t="s">
        <v>763</v>
      </c>
      <c r="BO65" s="213" t="s">
        <v>1228</v>
      </c>
      <c r="BP65" s="199">
        <v>46022</v>
      </c>
      <c r="BQ65" s="2" t="s">
        <v>1386</v>
      </c>
    </row>
    <row r="66" spans="1:69" ht="15.75" customHeight="1">
      <c r="A66" s="213" t="s">
        <v>788</v>
      </c>
      <c r="B66" s="58" t="s">
        <v>184</v>
      </c>
      <c r="C66" s="58" t="s">
        <v>752</v>
      </c>
      <c r="D66" s="214" t="s">
        <v>789</v>
      </c>
      <c r="E66" s="214" t="s">
        <v>789</v>
      </c>
      <c r="F66" s="215" t="s">
        <v>186</v>
      </c>
      <c r="G66" s="216">
        <v>2023</v>
      </c>
      <c r="H66" s="218" t="s">
        <v>800</v>
      </c>
      <c r="I66" s="218" t="s">
        <v>196</v>
      </c>
      <c r="J66" s="217" t="s">
        <v>890</v>
      </c>
      <c r="K66" s="213" t="s">
        <v>221</v>
      </c>
      <c r="L66" s="213" t="s">
        <v>192</v>
      </c>
      <c r="M66" s="219" t="s">
        <v>1407</v>
      </c>
      <c r="N66" s="219">
        <v>23.97</v>
      </c>
      <c r="O66" s="219">
        <v>23.97</v>
      </c>
      <c r="P66" s="219">
        <v>23.97</v>
      </c>
      <c r="Q66" s="219">
        <v>23.97</v>
      </c>
      <c r="R66" s="219">
        <v>23.97</v>
      </c>
      <c r="S66" s="219">
        <v>23.97</v>
      </c>
      <c r="T66" s="219">
        <v>23.97</v>
      </c>
      <c r="U66" s="219">
        <v>23.97</v>
      </c>
      <c r="V66" s="219">
        <v>23.97</v>
      </c>
      <c r="W66" s="219">
        <v>23.97</v>
      </c>
      <c r="X66" s="219">
        <v>23.97</v>
      </c>
      <c r="Y66" s="219">
        <v>23.97</v>
      </c>
      <c r="Z66" s="219">
        <v>0.83</v>
      </c>
      <c r="AA66" s="219">
        <v>0.83</v>
      </c>
      <c r="AB66" s="219">
        <v>0.83</v>
      </c>
      <c r="AC66" s="219">
        <v>0.83</v>
      </c>
      <c r="AD66" s="219">
        <v>0.83</v>
      </c>
      <c r="AE66" s="219">
        <v>0.83</v>
      </c>
      <c r="AF66" s="219">
        <v>0.83</v>
      </c>
      <c r="AG66" s="219">
        <v>0.83</v>
      </c>
      <c r="AH66" s="219">
        <v>0.83</v>
      </c>
      <c r="AI66" s="219">
        <v>0.83</v>
      </c>
      <c r="AJ66" s="219">
        <v>0.83</v>
      </c>
      <c r="AK66" s="219">
        <v>0.83</v>
      </c>
      <c r="AL66" s="229" t="s">
        <v>573</v>
      </c>
      <c r="AM66" s="219">
        <f t="shared" ref="AM66" si="32">Z66*AL66</f>
        <v>0</v>
      </c>
      <c r="AN66" s="229" t="s">
        <v>573</v>
      </c>
      <c r="AO66" s="221">
        <f t="shared" ref="AO66" si="33">AN66*AA66</f>
        <v>0</v>
      </c>
      <c r="AP66" s="222" t="s">
        <v>573</v>
      </c>
      <c r="AQ66" s="221">
        <f t="shared" ref="AQ66" si="34">AP66*AB66</f>
        <v>0</v>
      </c>
      <c r="AR66" s="222" t="s">
        <v>573</v>
      </c>
      <c r="AS66" s="58">
        <f t="shared" ref="AS66" si="35">AR66*AC66</f>
        <v>0</v>
      </c>
      <c r="AT66" s="222" t="s">
        <v>573</v>
      </c>
      <c r="AU66" s="58">
        <f t="shared" ref="AU66" si="36">AT66*AD66</f>
        <v>0</v>
      </c>
      <c r="AV66" s="222" t="s">
        <v>573</v>
      </c>
      <c r="AW66" s="58">
        <f t="shared" ref="AW66" si="37">AV66*AE66</f>
        <v>0</v>
      </c>
      <c r="AX66" s="251" t="s">
        <v>573</v>
      </c>
      <c r="AY66" s="58">
        <f t="shared" ref="AY66" si="38">AX66*AF66</f>
        <v>0</v>
      </c>
      <c r="AZ66" s="222" t="s">
        <v>573</v>
      </c>
      <c r="BA66" s="58">
        <f t="shared" ref="BA66" si="39">AZ66*AG66</f>
        <v>0</v>
      </c>
      <c r="BB66" s="222">
        <v>0</v>
      </c>
      <c r="BC66" s="58">
        <f t="shared" ref="BC66" si="40">BB66*AH66</f>
        <v>0</v>
      </c>
      <c r="BD66" s="222">
        <v>0</v>
      </c>
      <c r="BE66" s="58">
        <f t="shared" ref="BE66" si="41">BD66*AI66</f>
        <v>0</v>
      </c>
      <c r="BF66" s="222">
        <v>24</v>
      </c>
      <c r="BG66" s="58">
        <f t="shared" ref="BG66" si="42">BF66*AJ66</f>
        <v>19.919999999999998</v>
      </c>
      <c r="BH66" s="223" t="s">
        <v>573</v>
      </c>
      <c r="BI66" s="58">
        <f t="shared" ref="BI66" si="43">BH66*AK66</f>
        <v>0</v>
      </c>
      <c r="BJ66" s="220">
        <f t="shared" ref="BJ66" si="44">BH66+BF66+BD66+BB66+AZ66+AX66+AV66+AT66+AR66+AP66+AN66+AL66</f>
        <v>24</v>
      </c>
      <c r="BK66" s="58"/>
      <c r="BL66" s="58" t="s">
        <v>1442</v>
      </c>
      <c r="BM66" s="220" t="s">
        <v>1407</v>
      </c>
      <c r="BN66" s="213" t="s">
        <v>1347</v>
      </c>
      <c r="BO66" s="213" t="s">
        <v>1443</v>
      </c>
      <c r="BP66" s="199">
        <v>46022</v>
      </c>
      <c r="BQ66" s="2" t="s">
        <v>1386</v>
      </c>
    </row>
    <row r="67" spans="1:69" ht="15.75" customHeight="1">
      <c r="A67" s="213" t="s">
        <v>788</v>
      </c>
      <c r="B67" s="58" t="s">
        <v>184</v>
      </c>
      <c r="C67" s="58" t="s">
        <v>752</v>
      </c>
      <c r="D67" s="214" t="s">
        <v>789</v>
      </c>
      <c r="E67" s="214" t="s">
        <v>789</v>
      </c>
      <c r="F67" s="215" t="s">
        <v>186</v>
      </c>
      <c r="G67" s="216">
        <v>2023</v>
      </c>
      <c r="H67" s="218" t="s">
        <v>800</v>
      </c>
      <c r="I67" s="218" t="s">
        <v>196</v>
      </c>
      <c r="J67" s="217" t="s">
        <v>890</v>
      </c>
      <c r="K67" s="213" t="s">
        <v>221</v>
      </c>
      <c r="L67" s="213" t="s">
        <v>192</v>
      </c>
      <c r="M67" s="219" t="s">
        <v>1408</v>
      </c>
      <c r="N67" s="219">
        <v>23.97</v>
      </c>
      <c r="O67" s="219">
        <v>23.97</v>
      </c>
      <c r="P67" s="219">
        <v>23.97</v>
      </c>
      <c r="Q67" s="219">
        <v>23.97</v>
      </c>
      <c r="R67" s="219">
        <v>23.97</v>
      </c>
      <c r="S67" s="219">
        <v>23.97</v>
      </c>
      <c r="T67" s="219">
        <v>23.97</v>
      </c>
      <c r="U67" s="219">
        <v>23.97</v>
      </c>
      <c r="V67" s="219">
        <v>23.97</v>
      </c>
      <c r="W67" s="219">
        <v>23.97</v>
      </c>
      <c r="X67" s="219">
        <v>23.97</v>
      </c>
      <c r="Y67" s="219">
        <v>23.97</v>
      </c>
      <c r="Z67" s="219">
        <v>0.83</v>
      </c>
      <c r="AA67" s="219">
        <v>0.83</v>
      </c>
      <c r="AB67" s="219">
        <v>0.83</v>
      </c>
      <c r="AC67" s="219">
        <v>0.83</v>
      </c>
      <c r="AD67" s="219">
        <v>0.83</v>
      </c>
      <c r="AE67" s="219">
        <v>0.83</v>
      </c>
      <c r="AF67" s="219">
        <v>0.83</v>
      </c>
      <c r="AG67" s="219">
        <v>0.83</v>
      </c>
      <c r="AH67" s="219">
        <v>0.83</v>
      </c>
      <c r="AI67" s="219">
        <v>0.83</v>
      </c>
      <c r="AJ67" s="219">
        <v>0.83</v>
      </c>
      <c r="AK67" s="219">
        <v>0.83</v>
      </c>
      <c r="AL67" s="229" t="s">
        <v>573</v>
      </c>
      <c r="AM67" s="219">
        <f t="shared" ref="AM67" si="45">Z67*AL67</f>
        <v>0</v>
      </c>
      <c r="AN67" s="229" t="s">
        <v>573</v>
      </c>
      <c r="AO67" s="221">
        <f t="shared" ref="AO67" si="46">AN67*AA67</f>
        <v>0</v>
      </c>
      <c r="AP67" s="222" t="s">
        <v>573</v>
      </c>
      <c r="AQ67" s="221">
        <f t="shared" ref="AQ67" si="47">AP67*AB67</f>
        <v>0</v>
      </c>
      <c r="AR67" s="222" t="s">
        <v>573</v>
      </c>
      <c r="AS67" s="58">
        <f t="shared" ref="AS67" si="48">AR67*AC67</f>
        <v>0</v>
      </c>
      <c r="AT67" s="222" t="s">
        <v>573</v>
      </c>
      <c r="AU67" s="58">
        <f t="shared" ref="AU67" si="49">AT67*AD67</f>
        <v>0</v>
      </c>
      <c r="AV67" s="222" t="s">
        <v>573</v>
      </c>
      <c r="AW67" s="58">
        <f t="shared" ref="AW67" si="50">AV67*AE67</f>
        <v>0</v>
      </c>
      <c r="AX67" s="251" t="s">
        <v>573</v>
      </c>
      <c r="AY67" s="58">
        <f t="shared" ref="AY67" si="51">AX67*AF67</f>
        <v>0</v>
      </c>
      <c r="AZ67" s="222" t="s">
        <v>573</v>
      </c>
      <c r="BA67" s="58">
        <f t="shared" ref="BA67" si="52">AZ67*AG67</f>
        <v>0</v>
      </c>
      <c r="BB67" s="222">
        <v>0</v>
      </c>
      <c r="BC67" s="58">
        <f t="shared" ref="BC67" si="53">BB67*AH67</f>
        <v>0</v>
      </c>
      <c r="BD67" s="222">
        <v>0</v>
      </c>
      <c r="BE67" s="58">
        <f t="shared" ref="BE67" si="54">BD67*AI67</f>
        <v>0</v>
      </c>
      <c r="BF67" s="222">
        <v>0</v>
      </c>
      <c r="BG67" s="58">
        <f t="shared" ref="BG67" si="55">BF67*AJ67</f>
        <v>0</v>
      </c>
      <c r="BH67" s="223">
        <v>6</v>
      </c>
      <c r="BI67" s="58">
        <f t="shared" ref="BI67" si="56">BH67*AK67</f>
        <v>4.9799999999999995</v>
      </c>
      <c r="BJ67" s="220">
        <f t="shared" ref="BJ67" si="57">BH67+BF67+BD67+BB67+AZ67+AX67+AV67+AT67+AR67+AP67+AN67+AL67</f>
        <v>6</v>
      </c>
      <c r="BK67" s="58"/>
      <c r="BL67" s="58" t="s">
        <v>890</v>
      </c>
      <c r="BM67" s="220" t="s">
        <v>1408</v>
      </c>
      <c r="BN67" s="213" t="s">
        <v>1347</v>
      </c>
      <c r="BO67" s="213" t="s">
        <v>1450</v>
      </c>
      <c r="BP67" s="199">
        <v>46022</v>
      </c>
      <c r="BQ67" s="2" t="s">
        <v>1386</v>
      </c>
    </row>
    <row r="68" spans="1:69" ht="15.75" customHeight="1">
      <c r="A68" s="213" t="s">
        <v>788</v>
      </c>
      <c r="B68" s="58" t="s">
        <v>184</v>
      </c>
      <c r="C68" s="58" t="s">
        <v>752</v>
      </c>
      <c r="D68" s="214" t="s">
        <v>789</v>
      </c>
      <c r="E68" s="214" t="s">
        <v>789</v>
      </c>
      <c r="F68" s="215" t="s">
        <v>186</v>
      </c>
      <c r="G68" s="216">
        <v>2023</v>
      </c>
      <c r="H68" s="218" t="s">
        <v>800</v>
      </c>
      <c r="I68" s="218" t="s">
        <v>196</v>
      </c>
      <c r="J68" s="217" t="s">
        <v>890</v>
      </c>
      <c r="K68" s="213" t="s">
        <v>221</v>
      </c>
      <c r="L68" s="213" t="s">
        <v>192</v>
      </c>
      <c r="M68" s="219" t="s">
        <v>1388</v>
      </c>
      <c r="N68" s="219">
        <v>24.21</v>
      </c>
      <c r="O68" s="219">
        <v>24.21</v>
      </c>
      <c r="P68" s="219">
        <v>24.21</v>
      </c>
      <c r="Q68" s="219">
        <v>24.21</v>
      </c>
      <c r="R68" s="219">
        <v>24.21</v>
      </c>
      <c r="S68" s="219">
        <v>24.21</v>
      </c>
      <c r="T68" s="219">
        <v>24.21</v>
      </c>
      <c r="U68" s="219">
        <v>24.21</v>
      </c>
      <c r="V68" s="219">
        <v>24.21</v>
      </c>
      <c r="W68" s="219">
        <v>24.21</v>
      </c>
      <c r="X68" s="219">
        <v>24.21</v>
      </c>
      <c r="Y68" s="219">
        <v>24.21</v>
      </c>
      <c r="Z68" s="219">
        <v>0.83</v>
      </c>
      <c r="AA68" s="219">
        <v>0.83</v>
      </c>
      <c r="AB68" s="219">
        <v>0.83</v>
      </c>
      <c r="AC68" s="219">
        <v>0.83</v>
      </c>
      <c r="AD68" s="219">
        <v>0.83</v>
      </c>
      <c r="AE68" s="219">
        <v>0.83</v>
      </c>
      <c r="AF68" s="219">
        <v>0.83</v>
      </c>
      <c r="AG68" s="219">
        <v>0.83</v>
      </c>
      <c r="AH68" s="219">
        <v>0.83</v>
      </c>
      <c r="AI68" s="219">
        <v>0.83</v>
      </c>
      <c r="AJ68" s="219">
        <v>0.83</v>
      </c>
      <c r="AK68" s="219">
        <v>0.83</v>
      </c>
      <c r="AL68" s="229" t="s">
        <v>573</v>
      </c>
      <c r="AM68" s="219">
        <f t="shared" si="5"/>
        <v>0</v>
      </c>
      <c r="AN68" s="229" t="s">
        <v>573</v>
      </c>
      <c r="AO68" s="221">
        <f t="shared" si="6"/>
        <v>0</v>
      </c>
      <c r="AP68" s="222">
        <v>1200</v>
      </c>
      <c r="AQ68" s="221">
        <f t="shared" si="7"/>
        <v>996</v>
      </c>
      <c r="AR68" s="222" t="s">
        <v>573</v>
      </c>
      <c r="AS68" s="58">
        <f t="shared" si="8"/>
        <v>0</v>
      </c>
      <c r="AT68" s="222" t="s">
        <v>573</v>
      </c>
      <c r="AU68" s="58">
        <f t="shared" si="9"/>
        <v>0</v>
      </c>
      <c r="AV68" s="222">
        <v>1200</v>
      </c>
      <c r="AW68" s="58">
        <f t="shared" si="10"/>
        <v>996</v>
      </c>
      <c r="AX68" s="251" t="s">
        <v>573</v>
      </c>
      <c r="AY68" s="58">
        <f t="shared" si="11"/>
        <v>0</v>
      </c>
      <c r="AZ68" s="222" t="s">
        <v>573</v>
      </c>
      <c r="BA68" s="58">
        <f t="shared" si="27"/>
        <v>0</v>
      </c>
      <c r="BB68" s="222" t="s">
        <v>573</v>
      </c>
      <c r="BC68" s="58">
        <f t="shared" si="28"/>
        <v>0</v>
      </c>
      <c r="BD68" s="222" t="s">
        <v>573</v>
      </c>
      <c r="BE68" s="58">
        <f t="shared" si="29"/>
        <v>0</v>
      </c>
      <c r="BF68" s="222" t="s">
        <v>573</v>
      </c>
      <c r="BG68" s="58">
        <f t="shared" si="30"/>
        <v>0</v>
      </c>
      <c r="BH68" s="223" t="s">
        <v>573</v>
      </c>
      <c r="BI68" s="58">
        <f t="shared" si="31"/>
        <v>0</v>
      </c>
      <c r="BJ68" s="220">
        <f t="shared" si="12"/>
        <v>2400</v>
      </c>
      <c r="BK68" s="58"/>
      <c r="BL68" s="58" t="s">
        <v>943</v>
      </c>
      <c r="BM68" s="220" t="s">
        <v>1388</v>
      </c>
      <c r="BN68" s="213" t="s">
        <v>754</v>
      </c>
      <c r="BO68" s="213" t="s">
        <v>1229</v>
      </c>
      <c r="BP68" s="199">
        <v>46022</v>
      </c>
      <c r="BQ68" s="2" t="s">
        <v>1386</v>
      </c>
    </row>
    <row r="69" spans="1:69" ht="15.75" customHeight="1">
      <c r="A69" s="213" t="s">
        <v>788</v>
      </c>
      <c r="B69" s="58" t="s">
        <v>184</v>
      </c>
      <c r="C69" s="58" t="s">
        <v>752</v>
      </c>
      <c r="D69" s="214" t="s">
        <v>789</v>
      </c>
      <c r="E69" s="214" t="s">
        <v>789</v>
      </c>
      <c r="F69" s="215" t="s">
        <v>186</v>
      </c>
      <c r="G69" s="216">
        <v>2016</v>
      </c>
      <c r="H69" s="218" t="s">
        <v>794</v>
      </c>
      <c r="I69" s="218" t="s">
        <v>196</v>
      </c>
      <c r="J69" s="217" t="s">
        <v>890</v>
      </c>
      <c r="K69" s="213" t="s">
        <v>221</v>
      </c>
      <c r="L69" s="213" t="s">
        <v>192</v>
      </c>
      <c r="M69" s="219" t="s">
        <v>1388</v>
      </c>
      <c r="N69" s="219">
        <v>5.24</v>
      </c>
      <c r="O69" s="219">
        <v>5.24</v>
      </c>
      <c r="P69" s="219">
        <v>5.24</v>
      </c>
      <c r="Q69" s="219">
        <v>5.24</v>
      </c>
      <c r="R69" s="219">
        <v>5.24</v>
      </c>
      <c r="S69" s="219">
        <v>5.24</v>
      </c>
      <c r="T69" s="219">
        <v>5.24</v>
      </c>
      <c r="U69" s="219">
        <v>5.24</v>
      </c>
      <c r="V69" s="219">
        <v>5.24</v>
      </c>
      <c r="W69" s="219">
        <v>5.24</v>
      </c>
      <c r="X69" s="219">
        <v>5.24</v>
      </c>
      <c r="Y69" s="219">
        <v>5.24</v>
      </c>
      <c r="Z69" s="219">
        <v>0.14000000000000001</v>
      </c>
      <c r="AA69" s="219">
        <v>0.14000000000000001</v>
      </c>
      <c r="AB69" s="219">
        <v>0.14000000000000001</v>
      </c>
      <c r="AC69" s="219">
        <v>0.14000000000000001</v>
      </c>
      <c r="AD69" s="219">
        <v>0.14000000000000001</v>
      </c>
      <c r="AE69" s="219">
        <v>0.14000000000000001</v>
      </c>
      <c r="AF69" s="219">
        <v>0.14000000000000001</v>
      </c>
      <c r="AG69" s="219">
        <v>0.14000000000000001</v>
      </c>
      <c r="AH69" s="219">
        <v>0.14000000000000001</v>
      </c>
      <c r="AI69" s="219">
        <v>0.14000000000000001</v>
      </c>
      <c r="AJ69" s="219">
        <v>0.14000000000000001</v>
      </c>
      <c r="AK69" s="219">
        <v>0.14000000000000001</v>
      </c>
      <c r="AL69" s="229">
        <v>1560</v>
      </c>
      <c r="AM69" s="219">
        <f t="shared" ref="AM69:AM130" si="58">Z69*AL69</f>
        <v>218.40000000000003</v>
      </c>
      <c r="AN69" s="229">
        <v>1560</v>
      </c>
      <c r="AO69" s="221">
        <f t="shared" ref="AO69:AO130" si="59">AN69*AA69</f>
        <v>218.40000000000003</v>
      </c>
      <c r="AP69" s="222" t="s">
        <v>573</v>
      </c>
      <c r="AQ69" s="221">
        <f t="shared" ref="AQ69:AQ130" si="60">AP69*AB69</f>
        <v>0</v>
      </c>
      <c r="AR69" s="222">
        <v>1560</v>
      </c>
      <c r="AS69" s="58">
        <f t="shared" ref="AS69:AS130" si="61">AR69*AC69</f>
        <v>218.40000000000003</v>
      </c>
      <c r="AT69" s="222" t="s">
        <v>573</v>
      </c>
      <c r="AU69" s="58">
        <f t="shared" ref="AU69:AU130" si="62">AT69*AD69</f>
        <v>0</v>
      </c>
      <c r="AV69" s="222">
        <v>3120</v>
      </c>
      <c r="AW69" s="58">
        <f t="shared" ref="AW69:AW130" si="63">AV69*AE69</f>
        <v>436.80000000000007</v>
      </c>
      <c r="AX69" s="251">
        <v>1560</v>
      </c>
      <c r="AY69" s="58">
        <f t="shared" ref="AY69:AY130" si="64">AX69*AF69</f>
        <v>218.40000000000003</v>
      </c>
      <c r="AZ69" s="222">
        <v>1560</v>
      </c>
      <c r="BA69" s="58">
        <f t="shared" si="27"/>
        <v>218.40000000000003</v>
      </c>
      <c r="BB69" s="222">
        <v>1560</v>
      </c>
      <c r="BC69" s="58">
        <f t="shared" si="28"/>
        <v>218.40000000000003</v>
      </c>
      <c r="BD69" s="222">
        <v>1560</v>
      </c>
      <c r="BE69" s="58">
        <f t="shared" si="29"/>
        <v>218.40000000000003</v>
      </c>
      <c r="BF69" s="222" t="s">
        <v>573</v>
      </c>
      <c r="BG69" s="58">
        <f t="shared" si="30"/>
        <v>0</v>
      </c>
      <c r="BH69" s="223" t="s">
        <v>573</v>
      </c>
      <c r="BI69" s="58">
        <f t="shared" si="31"/>
        <v>0</v>
      </c>
      <c r="BJ69" s="220">
        <f t="shared" si="12"/>
        <v>14040</v>
      </c>
      <c r="BK69" s="58"/>
      <c r="BL69" s="58" t="s">
        <v>944</v>
      </c>
      <c r="BM69" s="220" t="s">
        <v>1388</v>
      </c>
      <c r="BN69" s="213" t="s">
        <v>754</v>
      </c>
      <c r="BO69" s="213" t="s">
        <v>1230</v>
      </c>
      <c r="BP69" s="199">
        <v>45291</v>
      </c>
      <c r="BQ69" s="2" t="s">
        <v>1386</v>
      </c>
    </row>
    <row r="70" spans="1:69" ht="15.75" customHeight="1">
      <c r="A70" s="213" t="s">
        <v>788</v>
      </c>
      <c r="B70" s="58" t="s">
        <v>184</v>
      </c>
      <c r="C70" s="58" t="s">
        <v>752</v>
      </c>
      <c r="D70" s="214" t="s">
        <v>789</v>
      </c>
      <c r="E70" s="214" t="s">
        <v>789</v>
      </c>
      <c r="F70" s="215" t="s">
        <v>186</v>
      </c>
      <c r="G70" s="216">
        <v>2016</v>
      </c>
      <c r="H70" s="218" t="s">
        <v>794</v>
      </c>
      <c r="I70" s="218" t="s">
        <v>196</v>
      </c>
      <c r="J70" s="217" t="s">
        <v>890</v>
      </c>
      <c r="K70" s="213" t="s">
        <v>235</v>
      </c>
      <c r="L70" s="213" t="s">
        <v>192</v>
      </c>
      <c r="M70" s="219" t="s">
        <v>1389</v>
      </c>
      <c r="N70" s="219">
        <v>4.87</v>
      </c>
      <c r="O70" s="219">
        <v>4.87</v>
      </c>
      <c r="P70" s="219">
        <v>4.87</v>
      </c>
      <c r="Q70" s="219">
        <v>4.87</v>
      </c>
      <c r="R70" s="219">
        <v>4.87</v>
      </c>
      <c r="S70" s="219">
        <v>4.87</v>
      </c>
      <c r="T70" s="219">
        <v>4.87</v>
      </c>
      <c r="U70" s="219">
        <v>4.87</v>
      </c>
      <c r="V70" s="219">
        <v>4.87</v>
      </c>
      <c r="W70" s="219">
        <v>4.87</v>
      </c>
      <c r="X70" s="219">
        <v>4.87</v>
      </c>
      <c r="Y70" s="219">
        <v>4.87</v>
      </c>
      <c r="Z70" s="219">
        <v>0.05</v>
      </c>
      <c r="AA70" s="219">
        <v>0.05</v>
      </c>
      <c r="AB70" s="219">
        <v>0.05</v>
      </c>
      <c r="AC70" s="219">
        <v>0.05</v>
      </c>
      <c r="AD70" s="219">
        <v>0.05</v>
      </c>
      <c r="AE70" s="219">
        <v>0.05</v>
      </c>
      <c r="AF70" s="219">
        <v>0.05</v>
      </c>
      <c r="AG70" s="219">
        <v>0.05</v>
      </c>
      <c r="AH70" s="219">
        <v>0.05</v>
      </c>
      <c r="AI70" s="219">
        <v>0.05</v>
      </c>
      <c r="AJ70" s="219">
        <v>0.05</v>
      </c>
      <c r="AK70" s="219">
        <v>0.05</v>
      </c>
      <c r="AL70" s="229">
        <v>4320</v>
      </c>
      <c r="AM70" s="219">
        <f t="shared" si="58"/>
        <v>216</v>
      </c>
      <c r="AN70" s="229">
        <v>4320</v>
      </c>
      <c r="AO70" s="221">
        <f t="shared" si="59"/>
        <v>216</v>
      </c>
      <c r="AP70" s="222" t="s">
        <v>573</v>
      </c>
      <c r="AQ70" s="221">
        <f t="shared" si="60"/>
        <v>0</v>
      </c>
      <c r="AR70" s="222" t="s">
        <v>573</v>
      </c>
      <c r="AS70" s="58">
        <f t="shared" si="61"/>
        <v>0</v>
      </c>
      <c r="AT70" s="222">
        <v>4320</v>
      </c>
      <c r="AU70" s="58">
        <f t="shared" si="62"/>
        <v>216</v>
      </c>
      <c r="AV70" s="222" t="s">
        <v>573</v>
      </c>
      <c r="AW70" s="58">
        <f t="shared" si="63"/>
        <v>0</v>
      </c>
      <c r="AX70" s="251" t="s">
        <v>573</v>
      </c>
      <c r="AY70" s="58">
        <f t="shared" si="64"/>
        <v>0</v>
      </c>
      <c r="AZ70" s="222">
        <v>4320</v>
      </c>
      <c r="BA70" s="58">
        <f t="shared" si="27"/>
        <v>216</v>
      </c>
      <c r="BB70" s="222" t="s">
        <v>573</v>
      </c>
      <c r="BC70" s="58">
        <f t="shared" si="28"/>
        <v>0</v>
      </c>
      <c r="BD70" s="222">
        <v>4320</v>
      </c>
      <c r="BE70" s="58">
        <f t="shared" si="29"/>
        <v>216</v>
      </c>
      <c r="BF70" s="222" t="s">
        <v>573</v>
      </c>
      <c r="BG70" s="58">
        <f t="shared" si="30"/>
        <v>0</v>
      </c>
      <c r="BH70" s="223" t="s">
        <v>573</v>
      </c>
      <c r="BI70" s="58">
        <f t="shared" si="31"/>
        <v>0</v>
      </c>
      <c r="BJ70" s="220">
        <f t="shared" ref="BJ70:BJ134" si="65">BH70+BF70+BD70+BB70+AZ70+AX70+AV70+AT70+AR70+AP70+AN70+AL70</f>
        <v>21600</v>
      </c>
      <c r="BK70" s="58"/>
      <c r="BL70" s="58" t="s">
        <v>945</v>
      </c>
      <c r="BM70" s="220" t="s">
        <v>1389</v>
      </c>
      <c r="BN70" s="213" t="s">
        <v>763</v>
      </c>
      <c r="BO70" s="213" t="s">
        <v>1231</v>
      </c>
      <c r="BP70" s="199">
        <v>45291</v>
      </c>
      <c r="BQ70" s="2" t="s">
        <v>1386</v>
      </c>
    </row>
    <row r="71" spans="1:69" ht="15.75" customHeight="1">
      <c r="A71" s="213" t="s">
        <v>788</v>
      </c>
      <c r="B71" s="58" t="s">
        <v>184</v>
      </c>
      <c r="C71" s="58" t="s">
        <v>752</v>
      </c>
      <c r="D71" s="214" t="s">
        <v>789</v>
      </c>
      <c r="E71" s="214" t="s">
        <v>789</v>
      </c>
      <c r="F71" s="215" t="s">
        <v>186</v>
      </c>
      <c r="G71" s="216">
        <v>2016</v>
      </c>
      <c r="H71" s="218" t="s">
        <v>794</v>
      </c>
      <c r="I71" s="218" t="s">
        <v>196</v>
      </c>
      <c r="J71" s="217" t="s">
        <v>890</v>
      </c>
      <c r="K71" s="213" t="s">
        <v>235</v>
      </c>
      <c r="L71" s="213" t="s">
        <v>192</v>
      </c>
      <c r="M71" s="219" t="s">
        <v>1388</v>
      </c>
      <c r="N71" s="219">
        <v>5.32</v>
      </c>
      <c r="O71" s="219">
        <v>5.32</v>
      </c>
      <c r="P71" s="219">
        <v>5.32</v>
      </c>
      <c r="Q71" s="219">
        <v>5.32</v>
      </c>
      <c r="R71" s="219">
        <v>5.32</v>
      </c>
      <c r="S71" s="219">
        <v>5.32</v>
      </c>
      <c r="T71" s="219">
        <v>5.32</v>
      </c>
      <c r="U71" s="219">
        <v>5.32</v>
      </c>
      <c r="V71" s="219">
        <v>5.32</v>
      </c>
      <c r="W71" s="219">
        <v>5.32</v>
      </c>
      <c r="X71" s="219">
        <v>5.32</v>
      </c>
      <c r="Y71" s="219">
        <v>5.32</v>
      </c>
      <c r="Z71" s="219">
        <v>0.14000000000000001</v>
      </c>
      <c r="AA71" s="219">
        <v>0.14000000000000001</v>
      </c>
      <c r="AB71" s="219">
        <v>0.14000000000000001</v>
      </c>
      <c r="AC71" s="219">
        <v>0.14000000000000001</v>
      </c>
      <c r="AD71" s="219">
        <v>0.14000000000000001</v>
      </c>
      <c r="AE71" s="219">
        <v>0.14000000000000001</v>
      </c>
      <c r="AF71" s="219">
        <v>0.14000000000000001</v>
      </c>
      <c r="AG71" s="219">
        <v>0.14000000000000001</v>
      </c>
      <c r="AH71" s="219">
        <v>0.14000000000000001</v>
      </c>
      <c r="AI71" s="219">
        <v>0.14000000000000001</v>
      </c>
      <c r="AJ71" s="219">
        <v>0.14000000000000001</v>
      </c>
      <c r="AK71" s="219">
        <v>0.14000000000000001</v>
      </c>
      <c r="AL71" s="229" t="s">
        <v>573</v>
      </c>
      <c r="AM71" s="219">
        <f t="shared" si="58"/>
        <v>0</v>
      </c>
      <c r="AN71" s="229" t="s">
        <v>573</v>
      </c>
      <c r="AO71" s="221">
        <f t="shared" si="59"/>
        <v>0</v>
      </c>
      <c r="AP71" s="222" t="s">
        <v>573</v>
      </c>
      <c r="AQ71" s="221">
        <f t="shared" si="60"/>
        <v>0</v>
      </c>
      <c r="AR71" s="222" t="s">
        <v>573</v>
      </c>
      <c r="AS71" s="58">
        <f t="shared" si="61"/>
        <v>0</v>
      </c>
      <c r="AT71" s="222" t="s">
        <v>573</v>
      </c>
      <c r="AU71" s="58">
        <f t="shared" si="62"/>
        <v>0</v>
      </c>
      <c r="AV71" s="222" t="s">
        <v>573</v>
      </c>
      <c r="AW71" s="58">
        <f t="shared" si="63"/>
        <v>0</v>
      </c>
      <c r="AX71" s="251" t="s">
        <v>573</v>
      </c>
      <c r="AY71" s="58">
        <f t="shared" si="64"/>
        <v>0</v>
      </c>
      <c r="AZ71" s="222" t="s">
        <v>573</v>
      </c>
      <c r="BA71" s="58">
        <f t="shared" si="27"/>
        <v>0</v>
      </c>
      <c r="BB71" s="222" t="s">
        <v>573</v>
      </c>
      <c r="BC71" s="58">
        <f t="shared" si="28"/>
        <v>0</v>
      </c>
      <c r="BD71" s="222" t="s">
        <v>573</v>
      </c>
      <c r="BE71" s="58">
        <f t="shared" si="29"/>
        <v>0</v>
      </c>
      <c r="BF71" s="222">
        <v>1560</v>
      </c>
      <c r="BG71" s="58">
        <f t="shared" si="30"/>
        <v>218.40000000000003</v>
      </c>
      <c r="BH71" s="223" t="s">
        <v>573</v>
      </c>
      <c r="BI71" s="58">
        <f t="shared" si="31"/>
        <v>0</v>
      </c>
      <c r="BJ71" s="220">
        <f t="shared" si="65"/>
        <v>1560</v>
      </c>
      <c r="BK71" s="58"/>
      <c r="BL71" s="58" t="s">
        <v>946</v>
      </c>
      <c r="BM71" s="220" t="s">
        <v>1388</v>
      </c>
      <c r="BN71" s="213" t="s">
        <v>754</v>
      </c>
      <c r="BO71" s="213" t="s">
        <v>1232</v>
      </c>
      <c r="BP71" s="199">
        <v>45291</v>
      </c>
      <c r="BQ71" s="2" t="s">
        <v>1386</v>
      </c>
    </row>
    <row r="72" spans="1:69" ht="15.75" customHeight="1">
      <c r="A72" s="213" t="s">
        <v>788</v>
      </c>
      <c r="B72" s="58" t="s">
        <v>184</v>
      </c>
      <c r="C72" s="58" t="s">
        <v>752</v>
      </c>
      <c r="D72" s="214" t="s">
        <v>789</v>
      </c>
      <c r="E72" s="214" t="s">
        <v>789</v>
      </c>
      <c r="F72" s="215" t="s">
        <v>186</v>
      </c>
      <c r="G72" s="216">
        <v>2016</v>
      </c>
      <c r="H72" s="218" t="s">
        <v>794</v>
      </c>
      <c r="I72" s="218" t="s">
        <v>196</v>
      </c>
      <c r="J72" s="217" t="s">
        <v>890</v>
      </c>
      <c r="K72" s="213" t="s">
        <v>245</v>
      </c>
      <c r="L72" s="213" t="s">
        <v>192</v>
      </c>
      <c r="M72" s="219" t="s">
        <v>1389</v>
      </c>
      <c r="N72" s="219">
        <v>4.87</v>
      </c>
      <c r="O72" s="219">
        <v>4.87</v>
      </c>
      <c r="P72" s="219">
        <v>4.87</v>
      </c>
      <c r="Q72" s="219">
        <v>4.87</v>
      </c>
      <c r="R72" s="219">
        <v>4.87</v>
      </c>
      <c r="S72" s="219">
        <v>4.87</v>
      </c>
      <c r="T72" s="219">
        <v>4.87</v>
      </c>
      <c r="U72" s="219">
        <v>4.87</v>
      </c>
      <c r="V72" s="219">
        <v>4.87</v>
      </c>
      <c r="W72" s="219">
        <v>4.87</v>
      </c>
      <c r="X72" s="219">
        <v>4.87</v>
      </c>
      <c r="Y72" s="219">
        <v>4.87</v>
      </c>
      <c r="Z72" s="219">
        <v>0.05</v>
      </c>
      <c r="AA72" s="219">
        <v>0.05</v>
      </c>
      <c r="AB72" s="219">
        <v>0.05</v>
      </c>
      <c r="AC72" s="219">
        <v>0.05</v>
      </c>
      <c r="AD72" s="219">
        <v>0.05</v>
      </c>
      <c r="AE72" s="219">
        <v>0.05</v>
      </c>
      <c r="AF72" s="219">
        <v>0.05</v>
      </c>
      <c r="AG72" s="219">
        <v>0.05</v>
      </c>
      <c r="AH72" s="219">
        <v>0.05</v>
      </c>
      <c r="AI72" s="219">
        <v>0.05</v>
      </c>
      <c r="AJ72" s="219">
        <v>0.05</v>
      </c>
      <c r="AK72" s="219">
        <v>0.05</v>
      </c>
      <c r="AL72" s="229" t="s">
        <v>573</v>
      </c>
      <c r="AM72" s="219">
        <f t="shared" si="58"/>
        <v>0</v>
      </c>
      <c r="AN72" s="229" t="s">
        <v>573</v>
      </c>
      <c r="AO72" s="221">
        <f t="shared" si="59"/>
        <v>0</v>
      </c>
      <c r="AP72" s="222" t="s">
        <v>573</v>
      </c>
      <c r="AQ72" s="221">
        <f t="shared" si="60"/>
        <v>0</v>
      </c>
      <c r="AR72" s="222" t="s">
        <v>573</v>
      </c>
      <c r="AS72" s="58">
        <f t="shared" si="61"/>
        <v>0</v>
      </c>
      <c r="AT72" s="222" t="s">
        <v>573</v>
      </c>
      <c r="AU72" s="58">
        <f t="shared" si="62"/>
        <v>0</v>
      </c>
      <c r="AV72" s="222" t="s">
        <v>573</v>
      </c>
      <c r="AW72" s="58">
        <f t="shared" si="63"/>
        <v>0</v>
      </c>
      <c r="AX72" s="251" t="s">
        <v>573</v>
      </c>
      <c r="AY72" s="58">
        <f t="shared" si="64"/>
        <v>0</v>
      </c>
      <c r="AZ72" s="222" t="s">
        <v>573</v>
      </c>
      <c r="BA72" s="58">
        <f t="shared" si="27"/>
        <v>0</v>
      </c>
      <c r="BB72" s="222" t="s">
        <v>573</v>
      </c>
      <c r="BC72" s="58">
        <f t="shared" si="28"/>
        <v>0</v>
      </c>
      <c r="BD72" s="222">
        <v>4320</v>
      </c>
      <c r="BE72" s="58">
        <f t="shared" si="29"/>
        <v>216</v>
      </c>
      <c r="BF72" s="222" t="s">
        <v>573</v>
      </c>
      <c r="BG72" s="58">
        <f t="shared" si="30"/>
        <v>0</v>
      </c>
      <c r="BH72" s="223" t="s">
        <v>573</v>
      </c>
      <c r="BI72" s="58">
        <f t="shared" si="31"/>
        <v>0</v>
      </c>
      <c r="BJ72" s="220">
        <f t="shared" si="65"/>
        <v>4320</v>
      </c>
      <c r="BK72" s="58"/>
      <c r="BL72" s="58" t="s">
        <v>947</v>
      </c>
      <c r="BM72" s="220" t="s">
        <v>1389</v>
      </c>
      <c r="BN72" s="213" t="s">
        <v>763</v>
      </c>
      <c r="BO72" s="58" t="s">
        <v>1233</v>
      </c>
      <c r="BP72" s="199">
        <v>45291</v>
      </c>
      <c r="BQ72" s="2" t="s">
        <v>1386</v>
      </c>
    </row>
    <row r="73" spans="1:69" ht="15.75" customHeight="1">
      <c r="A73" s="213" t="s">
        <v>788</v>
      </c>
      <c r="B73" s="58" t="s">
        <v>184</v>
      </c>
      <c r="C73" s="58" t="s">
        <v>752</v>
      </c>
      <c r="D73" s="214" t="s">
        <v>789</v>
      </c>
      <c r="E73" s="214" t="s">
        <v>789</v>
      </c>
      <c r="F73" s="215" t="s">
        <v>186</v>
      </c>
      <c r="G73" s="216">
        <v>2016</v>
      </c>
      <c r="H73" s="218" t="s">
        <v>794</v>
      </c>
      <c r="I73" s="218" t="s">
        <v>196</v>
      </c>
      <c r="J73" s="217" t="s">
        <v>890</v>
      </c>
      <c r="K73" s="213" t="s">
        <v>384</v>
      </c>
      <c r="L73" s="213" t="s">
        <v>192</v>
      </c>
      <c r="M73" s="219" t="s">
        <v>1389</v>
      </c>
      <c r="N73" s="219">
        <v>4.87</v>
      </c>
      <c r="O73" s="219">
        <v>4.87</v>
      </c>
      <c r="P73" s="219">
        <v>4.87</v>
      </c>
      <c r="Q73" s="219">
        <v>4.87</v>
      </c>
      <c r="R73" s="219">
        <v>4.87</v>
      </c>
      <c r="S73" s="219">
        <v>4.87</v>
      </c>
      <c r="T73" s="219">
        <v>4.87</v>
      </c>
      <c r="U73" s="219">
        <v>4.87</v>
      </c>
      <c r="V73" s="219">
        <v>4.87</v>
      </c>
      <c r="W73" s="219">
        <v>4.87</v>
      </c>
      <c r="X73" s="219">
        <v>4.87</v>
      </c>
      <c r="Y73" s="219">
        <v>4.87</v>
      </c>
      <c r="Z73" s="219">
        <v>0.05</v>
      </c>
      <c r="AA73" s="219">
        <v>0.05</v>
      </c>
      <c r="AB73" s="219">
        <v>0.05</v>
      </c>
      <c r="AC73" s="219">
        <v>0.05</v>
      </c>
      <c r="AD73" s="219">
        <v>0.05</v>
      </c>
      <c r="AE73" s="219">
        <v>0.05</v>
      </c>
      <c r="AF73" s="219">
        <v>0.05</v>
      </c>
      <c r="AG73" s="219">
        <v>0.05</v>
      </c>
      <c r="AH73" s="219">
        <v>0.05</v>
      </c>
      <c r="AI73" s="219">
        <v>0.05</v>
      </c>
      <c r="AJ73" s="219">
        <v>0.05</v>
      </c>
      <c r="AK73" s="219">
        <v>0.05</v>
      </c>
      <c r="AL73" s="229" t="s">
        <v>573</v>
      </c>
      <c r="AM73" s="219">
        <f t="shared" si="58"/>
        <v>0</v>
      </c>
      <c r="AN73" s="229" t="s">
        <v>573</v>
      </c>
      <c r="AO73" s="221">
        <f t="shared" si="59"/>
        <v>0</v>
      </c>
      <c r="AP73" s="222" t="s">
        <v>573</v>
      </c>
      <c r="AQ73" s="221">
        <f t="shared" si="60"/>
        <v>0</v>
      </c>
      <c r="AR73" s="222" t="s">
        <v>573</v>
      </c>
      <c r="AS73" s="58">
        <f t="shared" si="61"/>
        <v>0</v>
      </c>
      <c r="AT73" s="222" t="s">
        <v>573</v>
      </c>
      <c r="AU73" s="58">
        <f t="shared" si="62"/>
        <v>0</v>
      </c>
      <c r="AV73" s="222">
        <v>4320</v>
      </c>
      <c r="AW73" s="58">
        <f t="shared" si="63"/>
        <v>216</v>
      </c>
      <c r="AX73" s="251" t="s">
        <v>573</v>
      </c>
      <c r="AY73" s="58">
        <f t="shared" si="64"/>
        <v>0</v>
      </c>
      <c r="AZ73" s="222" t="s">
        <v>573</v>
      </c>
      <c r="BA73" s="58">
        <f t="shared" si="27"/>
        <v>0</v>
      </c>
      <c r="BB73" s="222" t="s">
        <v>573</v>
      </c>
      <c r="BC73" s="58">
        <f t="shared" si="28"/>
        <v>0</v>
      </c>
      <c r="BD73" s="222" t="s">
        <v>573</v>
      </c>
      <c r="BE73" s="58">
        <f t="shared" si="29"/>
        <v>0</v>
      </c>
      <c r="BF73" s="222" t="s">
        <v>573</v>
      </c>
      <c r="BG73" s="58">
        <f t="shared" si="30"/>
        <v>0</v>
      </c>
      <c r="BH73" s="223" t="s">
        <v>573</v>
      </c>
      <c r="BI73" s="58">
        <f t="shared" si="31"/>
        <v>0</v>
      </c>
      <c r="BJ73" s="220">
        <f t="shared" si="65"/>
        <v>4320</v>
      </c>
      <c r="BK73" s="58"/>
      <c r="BL73" s="58" t="s">
        <v>948</v>
      </c>
      <c r="BM73" s="220" t="s">
        <v>1389</v>
      </c>
      <c r="BN73" s="213" t="s">
        <v>763</v>
      </c>
      <c r="BO73" s="58" t="s">
        <v>1234</v>
      </c>
      <c r="BP73" s="199">
        <v>45291</v>
      </c>
      <c r="BQ73" s="2" t="s">
        <v>1386</v>
      </c>
    </row>
    <row r="74" spans="1:69" ht="15.75" customHeight="1">
      <c r="A74" s="213" t="s">
        <v>788</v>
      </c>
      <c r="B74" s="58" t="s">
        <v>184</v>
      </c>
      <c r="C74" s="58" t="s">
        <v>752</v>
      </c>
      <c r="D74" s="214" t="s">
        <v>789</v>
      </c>
      <c r="E74" s="214" t="s">
        <v>789</v>
      </c>
      <c r="F74" s="215" t="s">
        <v>186</v>
      </c>
      <c r="G74" s="216">
        <v>2016</v>
      </c>
      <c r="H74" s="218" t="s">
        <v>794</v>
      </c>
      <c r="I74" s="218" t="s">
        <v>196</v>
      </c>
      <c r="J74" s="217" t="s">
        <v>890</v>
      </c>
      <c r="K74" s="213" t="s">
        <v>247</v>
      </c>
      <c r="L74" s="213" t="s">
        <v>192</v>
      </c>
      <c r="M74" s="219" t="s">
        <v>1389</v>
      </c>
      <c r="N74" s="219">
        <v>5.17</v>
      </c>
      <c r="O74" s="219">
        <v>5.17</v>
      </c>
      <c r="P74" s="219">
        <v>5.17</v>
      </c>
      <c r="Q74" s="219">
        <v>5.17</v>
      </c>
      <c r="R74" s="219">
        <v>5.17</v>
      </c>
      <c r="S74" s="219">
        <v>5.17</v>
      </c>
      <c r="T74" s="219">
        <v>5.17</v>
      </c>
      <c r="U74" s="219">
        <v>5.17</v>
      </c>
      <c r="V74" s="219">
        <v>5.17</v>
      </c>
      <c r="W74" s="219">
        <v>5.17</v>
      </c>
      <c r="X74" s="219">
        <v>5.17</v>
      </c>
      <c r="Y74" s="219">
        <v>5.17</v>
      </c>
      <c r="Z74" s="219">
        <v>0.05</v>
      </c>
      <c r="AA74" s="219">
        <v>0.05</v>
      </c>
      <c r="AB74" s="219">
        <v>0.05</v>
      </c>
      <c r="AC74" s="219">
        <v>0.05</v>
      </c>
      <c r="AD74" s="219">
        <v>0.05</v>
      </c>
      <c r="AE74" s="219">
        <v>0.05</v>
      </c>
      <c r="AF74" s="219">
        <v>0.05</v>
      </c>
      <c r="AG74" s="219">
        <v>0.05</v>
      </c>
      <c r="AH74" s="219">
        <v>0.05</v>
      </c>
      <c r="AI74" s="219">
        <v>0.05</v>
      </c>
      <c r="AJ74" s="219">
        <v>0.05</v>
      </c>
      <c r="AK74" s="219">
        <v>0.05</v>
      </c>
      <c r="AL74" s="229" t="s">
        <v>573</v>
      </c>
      <c r="AM74" s="219">
        <f t="shared" si="58"/>
        <v>0</v>
      </c>
      <c r="AN74" s="229" t="s">
        <v>573</v>
      </c>
      <c r="AO74" s="221">
        <f t="shared" si="59"/>
        <v>0</v>
      </c>
      <c r="AP74" s="222" t="s">
        <v>573</v>
      </c>
      <c r="AQ74" s="221">
        <f t="shared" si="60"/>
        <v>0</v>
      </c>
      <c r="AR74" s="222" t="s">
        <v>573</v>
      </c>
      <c r="AS74" s="58">
        <f t="shared" si="61"/>
        <v>0</v>
      </c>
      <c r="AT74" s="222" t="s">
        <v>573</v>
      </c>
      <c r="AU74" s="58">
        <f t="shared" si="62"/>
        <v>0</v>
      </c>
      <c r="AV74" s="222" t="s">
        <v>573</v>
      </c>
      <c r="AW74" s="58">
        <f t="shared" si="63"/>
        <v>0</v>
      </c>
      <c r="AX74" s="251" t="s">
        <v>573</v>
      </c>
      <c r="AY74" s="58">
        <f t="shared" si="64"/>
        <v>0</v>
      </c>
      <c r="AZ74" s="222">
        <v>4320</v>
      </c>
      <c r="BA74" s="58">
        <f t="shared" si="27"/>
        <v>216</v>
      </c>
      <c r="BB74" s="222" t="s">
        <v>573</v>
      </c>
      <c r="BC74" s="58">
        <f t="shared" si="28"/>
        <v>0</v>
      </c>
      <c r="BD74" s="222" t="s">
        <v>573</v>
      </c>
      <c r="BE74" s="58">
        <f t="shared" si="29"/>
        <v>0</v>
      </c>
      <c r="BF74" s="222" t="s">
        <v>573</v>
      </c>
      <c r="BG74" s="58">
        <f t="shared" si="30"/>
        <v>0</v>
      </c>
      <c r="BH74" s="223" t="s">
        <v>573</v>
      </c>
      <c r="BI74" s="58">
        <f t="shared" si="31"/>
        <v>0</v>
      </c>
      <c r="BJ74" s="220">
        <f t="shared" si="65"/>
        <v>4320</v>
      </c>
      <c r="BK74" s="58"/>
      <c r="BL74" s="58" t="s">
        <v>949</v>
      </c>
      <c r="BM74" s="220" t="s">
        <v>1389</v>
      </c>
      <c r="BN74" s="213" t="s">
        <v>763</v>
      </c>
      <c r="BO74" s="58" t="s">
        <v>1235</v>
      </c>
      <c r="BP74" s="199">
        <v>46022</v>
      </c>
      <c r="BQ74" s="2" t="s">
        <v>1386</v>
      </c>
    </row>
    <row r="75" spans="1:69" ht="15.75" customHeight="1">
      <c r="A75" s="213" t="s">
        <v>788</v>
      </c>
      <c r="B75" s="58" t="s">
        <v>184</v>
      </c>
      <c r="C75" s="58" t="s">
        <v>752</v>
      </c>
      <c r="D75" s="214" t="s">
        <v>789</v>
      </c>
      <c r="E75" s="214" t="s">
        <v>789</v>
      </c>
      <c r="F75" s="215" t="s">
        <v>186</v>
      </c>
      <c r="G75" s="216">
        <v>2016</v>
      </c>
      <c r="H75" s="218" t="s">
        <v>794</v>
      </c>
      <c r="I75" s="218" t="s">
        <v>196</v>
      </c>
      <c r="J75" s="217" t="s">
        <v>890</v>
      </c>
      <c r="K75" s="213" t="s">
        <v>247</v>
      </c>
      <c r="L75" s="213" t="s">
        <v>192</v>
      </c>
      <c r="M75" s="219" t="s">
        <v>1388</v>
      </c>
      <c r="N75" s="219">
        <v>5.62</v>
      </c>
      <c r="O75" s="219">
        <v>5.62</v>
      </c>
      <c r="P75" s="219">
        <v>5.62</v>
      </c>
      <c r="Q75" s="219">
        <v>5.62</v>
      </c>
      <c r="R75" s="219">
        <v>5.62</v>
      </c>
      <c r="S75" s="219">
        <v>5.62</v>
      </c>
      <c r="T75" s="219">
        <v>5.62</v>
      </c>
      <c r="U75" s="219">
        <v>5.62</v>
      </c>
      <c r="V75" s="219">
        <v>5.62</v>
      </c>
      <c r="W75" s="219">
        <v>5.62</v>
      </c>
      <c r="X75" s="219">
        <v>5.62</v>
      </c>
      <c r="Y75" s="219">
        <v>5.62</v>
      </c>
      <c r="Z75" s="219">
        <v>0.14000000000000001</v>
      </c>
      <c r="AA75" s="219">
        <v>0.14000000000000001</v>
      </c>
      <c r="AB75" s="219">
        <v>0.14000000000000001</v>
      </c>
      <c r="AC75" s="219">
        <v>0.14000000000000001</v>
      </c>
      <c r="AD75" s="219">
        <v>0.14000000000000001</v>
      </c>
      <c r="AE75" s="219">
        <v>0.14000000000000001</v>
      </c>
      <c r="AF75" s="219">
        <v>0.14000000000000001</v>
      </c>
      <c r="AG75" s="219">
        <v>0.14000000000000001</v>
      </c>
      <c r="AH75" s="219">
        <v>0.14000000000000001</v>
      </c>
      <c r="AI75" s="219">
        <v>0.14000000000000001</v>
      </c>
      <c r="AJ75" s="219">
        <v>0.14000000000000001</v>
      </c>
      <c r="AK75" s="219">
        <v>0.14000000000000001</v>
      </c>
      <c r="AL75" s="229" t="s">
        <v>573</v>
      </c>
      <c r="AM75" s="219">
        <f t="shared" si="58"/>
        <v>0</v>
      </c>
      <c r="AN75" s="229">
        <v>1560</v>
      </c>
      <c r="AO75" s="221">
        <f t="shared" si="59"/>
        <v>218.40000000000003</v>
      </c>
      <c r="AP75" s="222" t="s">
        <v>573</v>
      </c>
      <c r="AQ75" s="221">
        <f t="shared" si="60"/>
        <v>0</v>
      </c>
      <c r="AR75" s="222">
        <v>1560</v>
      </c>
      <c r="AS75" s="58">
        <f t="shared" si="61"/>
        <v>218.40000000000003</v>
      </c>
      <c r="AT75" s="222" t="s">
        <v>573</v>
      </c>
      <c r="AU75" s="58">
        <f t="shared" si="62"/>
        <v>0</v>
      </c>
      <c r="AV75" s="222">
        <v>1560</v>
      </c>
      <c r="AW75" s="58">
        <f t="shared" si="63"/>
        <v>218.40000000000003</v>
      </c>
      <c r="AX75" s="251">
        <v>3120</v>
      </c>
      <c r="AY75" s="58">
        <f t="shared" si="64"/>
        <v>436.80000000000007</v>
      </c>
      <c r="AZ75" s="222" t="s">
        <v>573</v>
      </c>
      <c r="BA75" s="58">
        <f t="shared" si="27"/>
        <v>0</v>
      </c>
      <c r="BB75" s="222">
        <v>1560</v>
      </c>
      <c r="BC75" s="58">
        <f t="shared" si="28"/>
        <v>218.40000000000003</v>
      </c>
      <c r="BD75" s="222" t="s">
        <v>573</v>
      </c>
      <c r="BE75" s="58">
        <f t="shared" si="29"/>
        <v>0</v>
      </c>
      <c r="BF75" s="222">
        <v>1560</v>
      </c>
      <c r="BG75" s="58">
        <f t="shared" si="30"/>
        <v>218.40000000000003</v>
      </c>
      <c r="BH75" s="223" t="s">
        <v>573</v>
      </c>
      <c r="BI75" s="58">
        <f t="shared" si="31"/>
        <v>0</v>
      </c>
      <c r="BJ75" s="220">
        <f t="shared" si="65"/>
        <v>10920</v>
      </c>
      <c r="BK75" s="58"/>
      <c r="BL75" s="58" t="s">
        <v>950</v>
      </c>
      <c r="BM75" s="220" t="s">
        <v>1388</v>
      </c>
      <c r="BN75" s="213" t="s">
        <v>754</v>
      </c>
      <c r="BO75" s="58" t="s">
        <v>1236</v>
      </c>
      <c r="BP75" s="199">
        <v>46022</v>
      </c>
      <c r="BQ75" s="2" t="s">
        <v>1386</v>
      </c>
    </row>
    <row r="76" spans="1:69" ht="15.75" customHeight="1">
      <c r="A76" s="213" t="s">
        <v>788</v>
      </c>
      <c r="B76" s="58" t="s">
        <v>184</v>
      </c>
      <c r="C76" s="58" t="s">
        <v>752</v>
      </c>
      <c r="D76" s="214" t="s">
        <v>789</v>
      </c>
      <c r="E76" s="214" t="s">
        <v>789</v>
      </c>
      <c r="F76" s="215" t="s">
        <v>186</v>
      </c>
      <c r="G76" s="216">
        <v>2016</v>
      </c>
      <c r="H76" s="218" t="s">
        <v>794</v>
      </c>
      <c r="I76" s="218" t="s">
        <v>196</v>
      </c>
      <c r="J76" s="217" t="s">
        <v>890</v>
      </c>
      <c r="K76" s="213" t="s">
        <v>251</v>
      </c>
      <c r="L76" s="213" t="s">
        <v>192</v>
      </c>
      <c r="M76" s="219" t="s">
        <v>1389</v>
      </c>
      <c r="N76" s="219">
        <v>5.17</v>
      </c>
      <c r="O76" s="219">
        <v>5.17</v>
      </c>
      <c r="P76" s="219">
        <v>5.17</v>
      </c>
      <c r="Q76" s="219">
        <v>5.17</v>
      </c>
      <c r="R76" s="219">
        <v>5.17</v>
      </c>
      <c r="S76" s="219">
        <v>5.17</v>
      </c>
      <c r="T76" s="219">
        <v>5.17</v>
      </c>
      <c r="U76" s="219">
        <v>5.17</v>
      </c>
      <c r="V76" s="219">
        <v>5.17</v>
      </c>
      <c r="W76" s="219">
        <v>5.17</v>
      </c>
      <c r="X76" s="219">
        <v>5.17</v>
      </c>
      <c r="Y76" s="219">
        <v>5.17</v>
      </c>
      <c r="Z76" s="219">
        <v>0.05</v>
      </c>
      <c r="AA76" s="219">
        <v>0.05</v>
      </c>
      <c r="AB76" s="219">
        <v>0.05</v>
      </c>
      <c r="AC76" s="219">
        <v>0.05</v>
      </c>
      <c r="AD76" s="219">
        <v>0.05</v>
      </c>
      <c r="AE76" s="219">
        <v>0.05</v>
      </c>
      <c r="AF76" s="219">
        <v>0.05</v>
      </c>
      <c r="AG76" s="219">
        <v>0.05</v>
      </c>
      <c r="AH76" s="219">
        <v>0.05</v>
      </c>
      <c r="AI76" s="219">
        <v>0.05</v>
      </c>
      <c r="AJ76" s="219">
        <v>0.05</v>
      </c>
      <c r="AK76" s="219">
        <v>0.05</v>
      </c>
      <c r="AL76" s="229">
        <v>8640</v>
      </c>
      <c r="AM76" s="219">
        <f t="shared" si="58"/>
        <v>432</v>
      </c>
      <c r="AN76" s="229" t="s">
        <v>573</v>
      </c>
      <c r="AO76" s="221">
        <f t="shared" si="59"/>
        <v>0</v>
      </c>
      <c r="AP76" s="222">
        <v>8640</v>
      </c>
      <c r="AQ76" s="221">
        <f t="shared" si="60"/>
        <v>432</v>
      </c>
      <c r="AR76" s="222" t="s">
        <v>573</v>
      </c>
      <c r="AS76" s="58">
        <f t="shared" si="61"/>
        <v>0</v>
      </c>
      <c r="AT76" s="222" t="s">
        <v>573</v>
      </c>
      <c r="AU76" s="58">
        <f t="shared" si="62"/>
        <v>0</v>
      </c>
      <c r="AV76" s="222" t="s">
        <v>573</v>
      </c>
      <c r="AW76" s="58">
        <f t="shared" si="63"/>
        <v>0</v>
      </c>
      <c r="AX76" s="251" t="s">
        <v>573</v>
      </c>
      <c r="AY76" s="58">
        <f t="shared" si="64"/>
        <v>0</v>
      </c>
      <c r="AZ76" s="222">
        <v>4320</v>
      </c>
      <c r="BA76" s="58">
        <f t="shared" si="27"/>
        <v>216</v>
      </c>
      <c r="BB76" s="222">
        <v>4320</v>
      </c>
      <c r="BC76" s="58">
        <f t="shared" si="28"/>
        <v>216</v>
      </c>
      <c r="BD76" s="222">
        <v>4320</v>
      </c>
      <c r="BE76" s="58">
        <f t="shared" si="29"/>
        <v>216</v>
      </c>
      <c r="BF76" s="222" t="s">
        <v>573</v>
      </c>
      <c r="BG76" s="58">
        <f t="shared" si="30"/>
        <v>0</v>
      </c>
      <c r="BH76" s="223">
        <v>4320</v>
      </c>
      <c r="BI76" s="58">
        <f t="shared" si="31"/>
        <v>216</v>
      </c>
      <c r="BJ76" s="220">
        <f t="shared" si="65"/>
        <v>34560</v>
      </c>
      <c r="BK76" s="58"/>
      <c r="BL76" s="58" t="s">
        <v>951</v>
      </c>
      <c r="BM76" s="220" t="s">
        <v>1389</v>
      </c>
      <c r="BN76" s="213" t="s">
        <v>763</v>
      </c>
      <c r="BO76" s="58" t="s">
        <v>1237</v>
      </c>
      <c r="BP76" s="199">
        <v>46022</v>
      </c>
      <c r="BQ76" s="2" t="s">
        <v>1386</v>
      </c>
    </row>
    <row r="77" spans="1:69" ht="15.75" customHeight="1">
      <c r="A77" s="213" t="s">
        <v>788</v>
      </c>
      <c r="B77" s="58" t="s">
        <v>184</v>
      </c>
      <c r="C77" s="58" t="s">
        <v>752</v>
      </c>
      <c r="D77" s="214" t="s">
        <v>789</v>
      </c>
      <c r="E77" s="214" t="s">
        <v>789</v>
      </c>
      <c r="F77" s="215" t="s">
        <v>186</v>
      </c>
      <c r="G77" s="216">
        <v>2016</v>
      </c>
      <c r="H77" s="218" t="s">
        <v>794</v>
      </c>
      <c r="I77" s="218" t="s">
        <v>196</v>
      </c>
      <c r="J77" s="217" t="s">
        <v>890</v>
      </c>
      <c r="K77" s="213" t="s">
        <v>251</v>
      </c>
      <c r="L77" s="213" t="s">
        <v>192</v>
      </c>
      <c r="M77" s="219" t="s">
        <v>1388</v>
      </c>
      <c r="N77" s="219">
        <v>5.62</v>
      </c>
      <c r="O77" s="219">
        <v>5.62</v>
      </c>
      <c r="P77" s="219">
        <v>5.62</v>
      </c>
      <c r="Q77" s="219">
        <v>5.62</v>
      </c>
      <c r="R77" s="219">
        <v>5.62</v>
      </c>
      <c r="S77" s="219">
        <v>5.62</v>
      </c>
      <c r="T77" s="219">
        <v>5.62</v>
      </c>
      <c r="U77" s="219">
        <v>5.62</v>
      </c>
      <c r="V77" s="219">
        <v>5.62</v>
      </c>
      <c r="W77" s="219">
        <v>5.62</v>
      </c>
      <c r="X77" s="219">
        <v>5.62</v>
      </c>
      <c r="Y77" s="219">
        <v>5.62</v>
      </c>
      <c r="Z77" s="219">
        <v>0.14000000000000001</v>
      </c>
      <c r="AA77" s="219">
        <v>0.14000000000000001</v>
      </c>
      <c r="AB77" s="219">
        <v>0.14000000000000001</v>
      </c>
      <c r="AC77" s="219">
        <v>0.14000000000000001</v>
      </c>
      <c r="AD77" s="219">
        <v>0.14000000000000001</v>
      </c>
      <c r="AE77" s="219">
        <v>0.14000000000000001</v>
      </c>
      <c r="AF77" s="219">
        <v>0.14000000000000001</v>
      </c>
      <c r="AG77" s="219">
        <v>0.14000000000000001</v>
      </c>
      <c r="AH77" s="219">
        <v>0.14000000000000001</v>
      </c>
      <c r="AI77" s="219">
        <v>0.14000000000000001</v>
      </c>
      <c r="AJ77" s="219">
        <v>0.14000000000000001</v>
      </c>
      <c r="AK77" s="219">
        <v>0.14000000000000001</v>
      </c>
      <c r="AL77" s="229" t="s">
        <v>573</v>
      </c>
      <c r="AM77" s="219">
        <f t="shared" si="58"/>
        <v>0</v>
      </c>
      <c r="AN77" s="229">
        <v>1560</v>
      </c>
      <c r="AO77" s="221">
        <f t="shared" si="59"/>
        <v>218.40000000000003</v>
      </c>
      <c r="AP77" s="222">
        <v>1560</v>
      </c>
      <c r="AQ77" s="221">
        <f t="shared" si="60"/>
        <v>218.40000000000003</v>
      </c>
      <c r="AR77" s="222">
        <v>1560</v>
      </c>
      <c r="AS77" s="58">
        <f t="shared" si="61"/>
        <v>218.40000000000003</v>
      </c>
      <c r="AT77" s="222" t="s">
        <v>573</v>
      </c>
      <c r="AU77" s="58">
        <f t="shared" si="62"/>
        <v>0</v>
      </c>
      <c r="AV77" s="222">
        <v>4680</v>
      </c>
      <c r="AW77" s="58">
        <f t="shared" si="63"/>
        <v>655.20000000000005</v>
      </c>
      <c r="AX77" s="251" t="s">
        <v>573</v>
      </c>
      <c r="AY77" s="58">
        <f t="shared" si="64"/>
        <v>0</v>
      </c>
      <c r="AZ77" s="222">
        <v>3120</v>
      </c>
      <c r="BA77" s="58">
        <f t="shared" si="27"/>
        <v>436.80000000000007</v>
      </c>
      <c r="BB77" s="222">
        <v>1560</v>
      </c>
      <c r="BC77" s="58">
        <f t="shared" si="28"/>
        <v>218.40000000000003</v>
      </c>
      <c r="BD77" s="222" t="s">
        <v>573</v>
      </c>
      <c r="BE77" s="58">
        <f t="shared" si="29"/>
        <v>0</v>
      </c>
      <c r="BF77" s="222">
        <v>3120</v>
      </c>
      <c r="BG77" s="58">
        <f t="shared" si="30"/>
        <v>436.80000000000007</v>
      </c>
      <c r="BH77" s="223" t="s">
        <v>573</v>
      </c>
      <c r="BI77" s="58">
        <f t="shared" si="31"/>
        <v>0</v>
      </c>
      <c r="BJ77" s="220">
        <f t="shared" si="65"/>
        <v>17160</v>
      </c>
      <c r="BK77" s="58"/>
      <c r="BL77" s="58" t="s">
        <v>952</v>
      </c>
      <c r="BM77" s="220" t="s">
        <v>1388</v>
      </c>
      <c r="BN77" s="213" t="s">
        <v>754</v>
      </c>
      <c r="BO77" s="58" t="s">
        <v>1238</v>
      </c>
      <c r="BP77" s="199">
        <v>46022</v>
      </c>
      <c r="BQ77" s="2" t="s">
        <v>1386</v>
      </c>
    </row>
    <row r="78" spans="1:69" ht="15.75" customHeight="1">
      <c r="A78" s="213" t="s">
        <v>788</v>
      </c>
      <c r="B78" s="58" t="s">
        <v>184</v>
      </c>
      <c r="C78" s="58" t="s">
        <v>752</v>
      </c>
      <c r="D78" s="214" t="s">
        <v>789</v>
      </c>
      <c r="E78" s="214" t="s">
        <v>789</v>
      </c>
      <c r="F78" s="215" t="s">
        <v>186</v>
      </c>
      <c r="G78" s="216">
        <v>2016</v>
      </c>
      <c r="H78" s="218" t="s">
        <v>794</v>
      </c>
      <c r="I78" s="218" t="s">
        <v>196</v>
      </c>
      <c r="J78" s="217" t="s">
        <v>890</v>
      </c>
      <c r="K78" s="213" t="s">
        <v>893</v>
      </c>
      <c r="L78" s="213" t="s">
        <v>192</v>
      </c>
      <c r="M78" s="219" t="s">
        <v>1389</v>
      </c>
      <c r="N78" s="219">
        <v>5.59</v>
      </c>
      <c r="O78" s="219">
        <v>5.59</v>
      </c>
      <c r="P78" s="219">
        <v>5.59</v>
      </c>
      <c r="Q78" s="219">
        <v>5.59</v>
      </c>
      <c r="R78" s="219">
        <v>5.59</v>
      </c>
      <c r="S78" s="219">
        <v>5.59</v>
      </c>
      <c r="T78" s="219">
        <v>5.59</v>
      </c>
      <c r="U78" s="219">
        <v>5.59</v>
      </c>
      <c r="V78" s="219">
        <v>5.59</v>
      </c>
      <c r="W78" s="219">
        <v>5.59</v>
      </c>
      <c r="X78" s="219">
        <v>5.59</v>
      </c>
      <c r="Y78" s="219">
        <v>5.59</v>
      </c>
      <c r="Z78" s="219">
        <v>0.05</v>
      </c>
      <c r="AA78" s="219">
        <v>0.05</v>
      </c>
      <c r="AB78" s="219">
        <v>0.05</v>
      </c>
      <c r="AC78" s="219">
        <v>0.05</v>
      </c>
      <c r="AD78" s="219">
        <v>0.05</v>
      </c>
      <c r="AE78" s="219">
        <v>0.05</v>
      </c>
      <c r="AF78" s="219">
        <v>0.05</v>
      </c>
      <c r="AG78" s="219">
        <v>0.05</v>
      </c>
      <c r="AH78" s="219">
        <v>0.05</v>
      </c>
      <c r="AI78" s="219">
        <v>0.05</v>
      </c>
      <c r="AJ78" s="219">
        <v>0.05</v>
      </c>
      <c r="AK78" s="219">
        <v>0.05</v>
      </c>
      <c r="AL78" s="229" t="s">
        <v>573</v>
      </c>
      <c r="AM78" s="219">
        <f t="shared" si="58"/>
        <v>0</v>
      </c>
      <c r="AN78" s="229" t="s">
        <v>573</v>
      </c>
      <c r="AO78" s="221">
        <f t="shared" si="59"/>
        <v>0</v>
      </c>
      <c r="AP78" s="222" t="s">
        <v>573</v>
      </c>
      <c r="AQ78" s="221">
        <f t="shared" si="60"/>
        <v>0</v>
      </c>
      <c r="AR78" s="222" t="s">
        <v>573</v>
      </c>
      <c r="AS78" s="58">
        <f t="shared" si="61"/>
        <v>0</v>
      </c>
      <c r="AT78" s="222">
        <v>4320</v>
      </c>
      <c r="AU78" s="58">
        <f t="shared" si="62"/>
        <v>216</v>
      </c>
      <c r="AV78" s="222" t="s">
        <v>573</v>
      </c>
      <c r="AW78" s="58">
        <f t="shared" si="63"/>
        <v>0</v>
      </c>
      <c r="AX78" s="251" t="s">
        <v>573</v>
      </c>
      <c r="AY78" s="58">
        <f t="shared" si="64"/>
        <v>0</v>
      </c>
      <c r="AZ78" s="222" t="s">
        <v>573</v>
      </c>
      <c r="BA78" s="58">
        <f t="shared" si="27"/>
        <v>0</v>
      </c>
      <c r="BB78" s="222" t="s">
        <v>573</v>
      </c>
      <c r="BC78" s="58">
        <f t="shared" si="28"/>
        <v>0</v>
      </c>
      <c r="BD78" s="222" t="s">
        <v>573</v>
      </c>
      <c r="BE78" s="58">
        <f t="shared" si="29"/>
        <v>0</v>
      </c>
      <c r="BF78" s="222" t="s">
        <v>573</v>
      </c>
      <c r="BG78" s="58">
        <f t="shared" si="30"/>
        <v>0</v>
      </c>
      <c r="BH78" s="223" t="s">
        <v>573</v>
      </c>
      <c r="BI78" s="58">
        <f t="shared" si="31"/>
        <v>0</v>
      </c>
      <c r="BJ78" s="220">
        <f t="shared" si="65"/>
        <v>4320</v>
      </c>
      <c r="BK78" s="58"/>
      <c r="BL78" s="58" t="s">
        <v>953</v>
      </c>
      <c r="BM78" s="220" t="s">
        <v>1389</v>
      </c>
      <c r="BN78" s="213" t="s">
        <v>763</v>
      </c>
      <c r="BO78" s="58" t="s">
        <v>1239</v>
      </c>
      <c r="BP78" s="199">
        <v>46022</v>
      </c>
      <c r="BQ78" s="2" t="s">
        <v>1386</v>
      </c>
    </row>
    <row r="79" spans="1:69" ht="15.75" customHeight="1">
      <c r="A79" s="213" t="s">
        <v>788</v>
      </c>
      <c r="B79" s="58" t="s">
        <v>184</v>
      </c>
      <c r="C79" s="58" t="s">
        <v>752</v>
      </c>
      <c r="D79" s="214" t="s">
        <v>789</v>
      </c>
      <c r="E79" s="214" t="s">
        <v>789</v>
      </c>
      <c r="F79" s="215" t="s">
        <v>186</v>
      </c>
      <c r="G79" s="216">
        <v>2016</v>
      </c>
      <c r="H79" s="218" t="s">
        <v>794</v>
      </c>
      <c r="I79" s="218" t="s">
        <v>196</v>
      </c>
      <c r="J79" s="217" t="s">
        <v>890</v>
      </c>
      <c r="K79" s="213" t="s">
        <v>387</v>
      </c>
      <c r="L79" s="213" t="s">
        <v>192</v>
      </c>
      <c r="M79" s="219" t="s">
        <v>1389</v>
      </c>
      <c r="N79" s="219">
        <v>4.87</v>
      </c>
      <c r="O79" s="219">
        <v>4.87</v>
      </c>
      <c r="P79" s="219">
        <v>4.87</v>
      </c>
      <c r="Q79" s="219">
        <v>4.87</v>
      </c>
      <c r="R79" s="219">
        <v>4.87</v>
      </c>
      <c r="S79" s="219">
        <v>4.87</v>
      </c>
      <c r="T79" s="219">
        <v>4.87</v>
      </c>
      <c r="U79" s="219">
        <v>4.87</v>
      </c>
      <c r="V79" s="219">
        <v>4.87</v>
      </c>
      <c r="W79" s="219">
        <v>4.87</v>
      </c>
      <c r="X79" s="219">
        <v>4.87</v>
      </c>
      <c r="Y79" s="219">
        <v>4.87</v>
      </c>
      <c r="Z79" s="219">
        <v>0.05</v>
      </c>
      <c r="AA79" s="219">
        <v>0.05</v>
      </c>
      <c r="AB79" s="219">
        <v>0.05</v>
      </c>
      <c r="AC79" s="219">
        <v>0.05</v>
      </c>
      <c r="AD79" s="219">
        <v>0.05</v>
      </c>
      <c r="AE79" s="219">
        <v>0.05</v>
      </c>
      <c r="AF79" s="219">
        <v>0.05</v>
      </c>
      <c r="AG79" s="219">
        <v>0.05</v>
      </c>
      <c r="AH79" s="219">
        <v>0.05</v>
      </c>
      <c r="AI79" s="219">
        <v>0.05</v>
      </c>
      <c r="AJ79" s="219">
        <v>0.05</v>
      </c>
      <c r="AK79" s="219">
        <v>0.05</v>
      </c>
      <c r="AL79" s="229">
        <v>4320</v>
      </c>
      <c r="AM79" s="219">
        <f t="shared" si="58"/>
        <v>216</v>
      </c>
      <c r="AN79" s="229" t="s">
        <v>573</v>
      </c>
      <c r="AO79" s="221">
        <f t="shared" si="59"/>
        <v>0</v>
      </c>
      <c r="AP79" s="222" t="s">
        <v>573</v>
      </c>
      <c r="AQ79" s="221">
        <f t="shared" si="60"/>
        <v>0</v>
      </c>
      <c r="AR79" s="222" t="s">
        <v>573</v>
      </c>
      <c r="AS79" s="58">
        <f t="shared" si="61"/>
        <v>0</v>
      </c>
      <c r="AT79" s="222" t="s">
        <v>573</v>
      </c>
      <c r="AU79" s="58">
        <f t="shared" si="62"/>
        <v>0</v>
      </c>
      <c r="AV79" s="222" t="s">
        <v>573</v>
      </c>
      <c r="AW79" s="58">
        <f t="shared" si="63"/>
        <v>0</v>
      </c>
      <c r="AX79" s="251" t="s">
        <v>573</v>
      </c>
      <c r="AY79" s="58">
        <f t="shared" si="64"/>
        <v>0</v>
      </c>
      <c r="AZ79" s="222" t="s">
        <v>573</v>
      </c>
      <c r="BA79" s="58">
        <f t="shared" si="27"/>
        <v>0</v>
      </c>
      <c r="BB79" s="222">
        <v>4320</v>
      </c>
      <c r="BC79" s="58">
        <f t="shared" si="28"/>
        <v>216</v>
      </c>
      <c r="BD79" s="222" t="s">
        <v>573</v>
      </c>
      <c r="BE79" s="58">
        <f t="shared" si="29"/>
        <v>0</v>
      </c>
      <c r="BF79" s="222" t="s">
        <v>573</v>
      </c>
      <c r="BG79" s="58">
        <f t="shared" si="30"/>
        <v>0</v>
      </c>
      <c r="BH79" s="223" t="s">
        <v>573</v>
      </c>
      <c r="BI79" s="58">
        <f t="shared" si="31"/>
        <v>0</v>
      </c>
      <c r="BJ79" s="220">
        <f t="shared" si="65"/>
        <v>8640</v>
      </c>
      <c r="BK79" s="58"/>
      <c r="BL79" s="58" t="s">
        <v>954</v>
      </c>
      <c r="BM79" s="220" t="s">
        <v>1389</v>
      </c>
      <c r="BN79" s="213" t="s">
        <v>763</v>
      </c>
      <c r="BO79" s="58" t="s">
        <v>1240</v>
      </c>
      <c r="BP79" s="199">
        <v>46022</v>
      </c>
      <c r="BQ79" s="2" t="s">
        <v>1386</v>
      </c>
    </row>
    <row r="80" spans="1:69" ht="15.75" customHeight="1">
      <c r="A80" s="213" t="s">
        <v>788</v>
      </c>
      <c r="B80" s="58" t="s">
        <v>184</v>
      </c>
      <c r="C80" s="58" t="s">
        <v>752</v>
      </c>
      <c r="D80" s="214" t="s">
        <v>789</v>
      </c>
      <c r="E80" s="214" t="s">
        <v>789</v>
      </c>
      <c r="F80" s="215" t="s">
        <v>186</v>
      </c>
      <c r="G80" s="216">
        <v>2016</v>
      </c>
      <c r="H80" s="218" t="s">
        <v>794</v>
      </c>
      <c r="I80" s="218" t="s">
        <v>196</v>
      </c>
      <c r="J80" s="217" t="s">
        <v>890</v>
      </c>
      <c r="K80" s="213" t="s">
        <v>761</v>
      </c>
      <c r="L80" s="213" t="s">
        <v>192</v>
      </c>
      <c r="M80" s="219" t="s">
        <v>1389</v>
      </c>
      <c r="N80" s="219">
        <v>5.81</v>
      </c>
      <c r="O80" s="219">
        <v>5.81</v>
      </c>
      <c r="P80" s="219">
        <v>5.81</v>
      </c>
      <c r="Q80" s="219">
        <v>5.81</v>
      </c>
      <c r="R80" s="219">
        <v>5.81</v>
      </c>
      <c r="S80" s="219">
        <v>5.81</v>
      </c>
      <c r="T80" s="219">
        <v>5.81</v>
      </c>
      <c r="U80" s="219">
        <v>5.81</v>
      </c>
      <c r="V80" s="219">
        <v>5.81</v>
      </c>
      <c r="W80" s="219">
        <v>5.81</v>
      </c>
      <c r="X80" s="219">
        <v>5.81</v>
      </c>
      <c r="Y80" s="219">
        <v>5.81</v>
      </c>
      <c r="Z80" s="219">
        <v>0.05</v>
      </c>
      <c r="AA80" s="219">
        <v>0.05</v>
      </c>
      <c r="AB80" s="219">
        <v>0.05</v>
      </c>
      <c r="AC80" s="219">
        <v>0.05</v>
      </c>
      <c r="AD80" s="219">
        <v>0.05</v>
      </c>
      <c r="AE80" s="219">
        <v>0.05</v>
      </c>
      <c r="AF80" s="219">
        <v>0.05</v>
      </c>
      <c r="AG80" s="219">
        <v>0.05</v>
      </c>
      <c r="AH80" s="219">
        <v>0.05</v>
      </c>
      <c r="AI80" s="219">
        <v>0.05</v>
      </c>
      <c r="AJ80" s="219">
        <v>0.05</v>
      </c>
      <c r="AK80" s="219">
        <v>0.05</v>
      </c>
      <c r="AL80" s="229" t="s">
        <v>573</v>
      </c>
      <c r="AM80" s="219">
        <f t="shared" si="58"/>
        <v>0</v>
      </c>
      <c r="AN80" s="229">
        <v>4320</v>
      </c>
      <c r="AO80" s="221">
        <f t="shared" si="59"/>
        <v>216</v>
      </c>
      <c r="AP80" s="222" t="s">
        <v>573</v>
      </c>
      <c r="AQ80" s="221">
        <f t="shared" si="60"/>
        <v>0</v>
      </c>
      <c r="AR80" s="222" t="s">
        <v>573</v>
      </c>
      <c r="AS80" s="58">
        <f t="shared" si="61"/>
        <v>0</v>
      </c>
      <c r="AT80" s="222">
        <v>4320</v>
      </c>
      <c r="AU80" s="58">
        <f t="shared" si="62"/>
        <v>216</v>
      </c>
      <c r="AV80" s="222" t="s">
        <v>573</v>
      </c>
      <c r="AW80" s="58">
        <f t="shared" si="63"/>
        <v>0</v>
      </c>
      <c r="AX80" s="251" t="s">
        <v>573</v>
      </c>
      <c r="AY80" s="58">
        <f t="shared" si="64"/>
        <v>0</v>
      </c>
      <c r="AZ80" s="222">
        <v>4320</v>
      </c>
      <c r="BA80" s="58">
        <f t="shared" si="27"/>
        <v>216</v>
      </c>
      <c r="BB80" s="222" t="s">
        <v>573</v>
      </c>
      <c r="BC80" s="58">
        <f t="shared" si="28"/>
        <v>0</v>
      </c>
      <c r="BD80" s="222" t="s">
        <v>573</v>
      </c>
      <c r="BE80" s="58">
        <f t="shared" si="29"/>
        <v>0</v>
      </c>
      <c r="BF80" s="222" t="s">
        <v>573</v>
      </c>
      <c r="BG80" s="58">
        <f t="shared" si="30"/>
        <v>0</v>
      </c>
      <c r="BH80" s="223">
        <v>4320</v>
      </c>
      <c r="BI80" s="58">
        <f t="shared" si="31"/>
        <v>216</v>
      </c>
      <c r="BJ80" s="220">
        <f t="shared" si="65"/>
        <v>17280</v>
      </c>
      <c r="BK80" s="58"/>
      <c r="BL80" s="58" t="s">
        <v>955</v>
      </c>
      <c r="BM80" s="220" t="s">
        <v>1389</v>
      </c>
      <c r="BN80" s="213" t="s">
        <v>763</v>
      </c>
      <c r="BO80" s="58" t="s">
        <v>1241</v>
      </c>
      <c r="BP80" s="199">
        <v>46022</v>
      </c>
      <c r="BQ80" s="2" t="s">
        <v>1386</v>
      </c>
    </row>
    <row r="81" spans="1:69" ht="15.75" customHeight="1">
      <c r="A81" s="213" t="s">
        <v>788</v>
      </c>
      <c r="B81" s="58" t="s">
        <v>184</v>
      </c>
      <c r="C81" s="58" t="s">
        <v>752</v>
      </c>
      <c r="D81" s="214" t="s">
        <v>789</v>
      </c>
      <c r="E81" s="214" t="s">
        <v>789</v>
      </c>
      <c r="F81" s="215" t="s">
        <v>186</v>
      </c>
      <c r="G81" s="216">
        <v>2016</v>
      </c>
      <c r="H81" s="218" t="s">
        <v>803</v>
      </c>
      <c r="I81" s="218" t="s">
        <v>196</v>
      </c>
      <c r="J81" s="217" t="s">
        <v>890</v>
      </c>
      <c r="K81" s="213" t="s">
        <v>221</v>
      </c>
      <c r="L81" s="213" t="s">
        <v>192</v>
      </c>
      <c r="M81" s="219" t="s">
        <v>1388</v>
      </c>
      <c r="N81" s="219">
        <v>3.75</v>
      </c>
      <c r="O81" s="219">
        <v>3.75</v>
      </c>
      <c r="P81" s="219">
        <v>3.75</v>
      </c>
      <c r="Q81" s="219">
        <v>3.75</v>
      </c>
      <c r="R81" s="219">
        <v>3.75</v>
      </c>
      <c r="S81" s="219">
        <v>3.75</v>
      </c>
      <c r="T81" s="219">
        <v>3.75</v>
      </c>
      <c r="U81" s="219">
        <v>3.75</v>
      </c>
      <c r="V81" s="219">
        <v>3.75</v>
      </c>
      <c r="W81" s="219">
        <v>3.75</v>
      </c>
      <c r="X81" s="219">
        <v>3.75</v>
      </c>
      <c r="Y81" s="219">
        <v>3.75</v>
      </c>
      <c r="Z81" s="219">
        <v>0.04</v>
      </c>
      <c r="AA81" s="219">
        <v>0.04</v>
      </c>
      <c r="AB81" s="219">
        <v>0.04</v>
      </c>
      <c r="AC81" s="219">
        <v>0.04</v>
      </c>
      <c r="AD81" s="219">
        <v>0.04</v>
      </c>
      <c r="AE81" s="219">
        <v>0.04</v>
      </c>
      <c r="AF81" s="219">
        <v>0.04</v>
      </c>
      <c r="AG81" s="219">
        <v>0.04</v>
      </c>
      <c r="AH81" s="219">
        <v>0.04</v>
      </c>
      <c r="AI81" s="219">
        <v>0.04</v>
      </c>
      <c r="AJ81" s="219">
        <v>0.04</v>
      </c>
      <c r="AK81" s="219">
        <v>0.04</v>
      </c>
      <c r="AL81" s="229">
        <v>8640</v>
      </c>
      <c r="AM81" s="219">
        <f t="shared" si="58"/>
        <v>345.6</v>
      </c>
      <c r="AN81" s="229">
        <v>25920</v>
      </c>
      <c r="AO81" s="221">
        <f t="shared" si="59"/>
        <v>1036.8</v>
      </c>
      <c r="AP81" s="222">
        <v>4320</v>
      </c>
      <c r="AQ81" s="221">
        <f t="shared" si="60"/>
        <v>172.8</v>
      </c>
      <c r="AR81" s="222" t="s">
        <v>573</v>
      </c>
      <c r="AS81" s="58">
        <f t="shared" si="61"/>
        <v>0</v>
      </c>
      <c r="AT81" s="222" t="s">
        <v>573</v>
      </c>
      <c r="AU81" s="58">
        <f t="shared" si="62"/>
        <v>0</v>
      </c>
      <c r="AV81" s="222">
        <v>4320</v>
      </c>
      <c r="AW81" s="58">
        <f t="shared" si="63"/>
        <v>172.8</v>
      </c>
      <c r="AX81" s="251" t="s">
        <v>573</v>
      </c>
      <c r="AY81" s="58">
        <f t="shared" si="64"/>
        <v>0</v>
      </c>
      <c r="AZ81" s="222">
        <v>4320</v>
      </c>
      <c r="BA81" s="58">
        <f t="shared" si="27"/>
        <v>172.8</v>
      </c>
      <c r="BB81" s="222">
        <v>4320</v>
      </c>
      <c r="BC81" s="58">
        <f t="shared" si="28"/>
        <v>172.8</v>
      </c>
      <c r="BD81" s="222">
        <v>4320</v>
      </c>
      <c r="BE81" s="58">
        <f t="shared" si="29"/>
        <v>172.8</v>
      </c>
      <c r="BF81" s="222">
        <v>17280</v>
      </c>
      <c r="BG81" s="58">
        <f t="shared" si="30"/>
        <v>691.2</v>
      </c>
      <c r="BH81" s="223">
        <v>4320</v>
      </c>
      <c r="BI81" s="58">
        <f t="shared" si="31"/>
        <v>172.8</v>
      </c>
      <c r="BJ81" s="220">
        <f t="shared" si="65"/>
        <v>77760</v>
      </c>
      <c r="BK81" s="58"/>
      <c r="BL81" s="58" t="s">
        <v>956</v>
      </c>
      <c r="BM81" s="220" t="s">
        <v>1388</v>
      </c>
      <c r="BN81" s="213" t="s">
        <v>807</v>
      </c>
      <c r="BO81" s="58" t="s">
        <v>705</v>
      </c>
      <c r="BP81" s="199">
        <v>46022</v>
      </c>
      <c r="BQ81" s="2" t="s">
        <v>1386</v>
      </c>
    </row>
    <row r="82" spans="1:69" ht="15.75" customHeight="1">
      <c r="A82" s="213" t="s">
        <v>788</v>
      </c>
      <c r="B82" s="58" t="s">
        <v>184</v>
      </c>
      <c r="C82" s="58" t="s">
        <v>752</v>
      </c>
      <c r="D82" s="214" t="s">
        <v>789</v>
      </c>
      <c r="E82" s="214" t="s">
        <v>789</v>
      </c>
      <c r="F82" s="215" t="s">
        <v>186</v>
      </c>
      <c r="G82" s="216">
        <v>2016</v>
      </c>
      <c r="H82" s="218" t="s">
        <v>803</v>
      </c>
      <c r="I82" s="218" t="s">
        <v>196</v>
      </c>
      <c r="J82" s="217" t="s">
        <v>890</v>
      </c>
      <c r="K82" s="213" t="s">
        <v>221</v>
      </c>
      <c r="L82" s="213" t="s">
        <v>192</v>
      </c>
      <c r="M82" s="219" t="s">
        <v>1389</v>
      </c>
      <c r="N82" s="219">
        <v>3.88</v>
      </c>
      <c r="O82" s="219">
        <v>3.88</v>
      </c>
      <c r="P82" s="219">
        <v>3.88</v>
      </c>
      <c r="Q82" s="219">
        <v>3.88</v>
      </c>
      <c r="R82" s="219">
        <v>3.88</v>
      </c>
      <c r="S82" s="219">
        <v>3.88</v>
      </c>
      <c r="T82" s="219">
        <v>3.88</v>
      </c>
      <c r="U82" s="219">
        <v>3.88</v>
      </c>
      <c r="V82" s="219">
        <v>3.88</v>
      </c>
      <c r="W82" s="219">
        <v>3.88</v>
      </c>
      <c r="X82" s="219">
        <v>3.88</v>
      </c>
      <c r="Y82" s="219">
        <v>3.88</v>
      </c>
      <c r="Z82" s="219">
        <v>0.04</v>
      </c>
      <c r="AA82" s="219">
        <v>0.04</v>
      </c>
      <c r="AB82" s="219">
        <v>0.04</v>
      </c>
      <c r="AC82" s="219">
        <v>0.04</v>
      </c>
      <c r="AD82" s="219">
        <v>0.04</v>
      </c>
      <c r="AE82" s="219">
        <v>0.04</v>
      </c>
      <c r="AF82" s="219">
        <v>0.04</v>
      </c>
      <c r="AG82" s="219">
        <v>0.04</v>
      </c>
      <c r="AH82" s="219">
        <v>0.04</v>
      </c>
      <c r="AI82" s="219">
        <v>0.04</v>
      </c>
      <c r="AJ82" s="219">
        <v>0.04</v>
      </c>
      <c r="AK82" s="219">
        <v>0.04</v>
      </c>
      <c r="AL82" s="229" t="s">
        <v>573</v>
      </c>
      <c r="AM82" s="219">
        <f t="shared" si="58"/>
        <v>0</v>
      </c>
      <c r="AN82" s="229">
        <v>8640</v>
      </c>
      <c r="AO82" s="221">
        <f t="shared" si="59"/>
        <v>345.6</v>
      </c>
      <c r="AP82" s="222">
        <v>8640</v>
      </c>
      <c r="AQ82" s="221">
        <f t="shared" si="60"/>
        <v>345.6</v>
      </c>
      <c r="AR82" s="222">
        <v>17280</v>
      </c>
      <c r="AS82" s="58">
        <f t="shared" si="61"/>
        <v>691.2</v>
      </c>
      <c r="AT82" s="222" t="s">
        <v>573</v>
      </c>
      <c r="AU82" s="58">
        <f t="shared" si="62"/>
        <v>0</v>
      </c>
      <c r="AV82" s="222">
        <v>4320</v>
      </c>
      <c r="AW82" s="58">
        <f t="shared" si="63"/>
        <v>172.8</v>
      </c>
      <c r="AX82" s="251">
        <v>4320</v>
      </c>
      <c r="AY82" s="58">
        <f t="shared" si="64"/>
        <v>172.8</v>
      </c>
      <c r="AZ82" s="222">
        <v>12960</v>
      </c>
      <c r="BA82" s="58">
        <f t="shared" si="27"/>
        <v>518.4</v>
      </c>
      <c r="BB82" s="222">
        <v>4320</v>
      </c>
      <c r="BC82" s="58">
        <f t="shared" si="28"/>
        <v>172.8</v>
      </c>
      <c r="BD82" s="222">
        <v>18420</v>
      </c>
      <c r="BE82" s="58">
        <f t="shared" si="29"/>
        <v>736.80000000000007</v>
      </c>
      <c r="BF82" s="222">
        <v>17280</v>
      </c>
      <c r="BG82" s="58">
        <f t="shared" si="30"/>
        <v>691.2</v>
      </c>
      <c r="BH82" s="223">
        <v>17280</v>
      </c>
      <c r="BI82" s="58">
        <f t="shared" si="31"/>
        <v>691.2</v>
      </c>
      <c r="BJ82" s="220">
        <f t="shared" si="65"/>
        <v>113460</v>
      </c>
      <c r="BK82" s="58"/>
      <c r="BL82" s="58" t="s">
        <v>957</v>
      </c>
      <c r="BM82" s="220" t="s">
        <v>1389</v>
      </c>
      <c r="BN82" s="213" t="s">
        <v>763</v>
      </c>
      <c r="BO82" s="58" t="s">
        <v>704</v>
      </c>
      <c r="BP82" s="199">
        <v>46022</v>
      </c>
      <c r="BQ82" s="2" t="s">
        <v>1386</v>
      </c>
    </row>
    <row r="83" spans="1:69" ht="15.75" customHeight="1">
      <c r="A83" s="213" t="s">
        <v>788</v>
      </c>
      <c r="B83" s="58" t="s">
        <v>184</v>
      </c>
      <c r="C83" s="58" t="s">
        <v>752</v>
      </c>
      <c r="D83" s="214" t="s">
        <v>789</v>
      </c>
      <c r="E83" s="214" t="s">
        <v>789</v>
      </c>
      <c r="F83" s="215" t="s">
        <v>186</v>
      </c>
      <c r="G83" s="216">
        <v>2016</v>
      </c>
      <c r="H83" s="218" t="s">
        <v>803</v>
      </c>
      <c r="I83" s="218" t="s">
        <v>196</v>
      </c>
      <c r="J83" s="217" t="s">
        <v>890</v>
      </c>
      <c r="K83" s="213" t="s">
        <v>221</v>
      </c>
      <c r="L83" s="213" t="s">
        <v>192</v>
      </c>
      <c r="M83" s="219" t="s">
        <v>1388</v>
      </c>
      <c r="N83" s="219">
        <v>4.04</v>
      </c>
      <c r="O83" s="219">
        <v>4.04</v>
      </c>
      <c r="P83" s="219">
        <v>4.04</v>
      </c>
      <c r="Q83" s="219">
        <v>4.04</v>
      </c>
      <c r="R83" s="219">
        <v>4.04</v>
      </c>
      <c r="S83" s="219">
        <v>4.04</v>
      </c>
      <c r="T83" s="219">
        <v>4.04</v>
      </c>
      <c r="U83" s="219">
        <v>4.04</v>
      </c>
      <c r="V83" s="219">
        <v>4.04</v>
      </c>
      <c r="W83" s="219">
        <v>4.04</v>
      </c>
      <c r="X83" s="219">
        <v>4.04</v>
      </c>
      <c r="Y83" s="219">
        <v>4.04</v>
      </c>
      <c r="Z83" s="219">
        <v>0.12</v>
      </c>
      <c r="AA83" s="219">
        <v>0.12</v>
      </c>
      <c r="AB83" s="219">
        <v>0.12</v>
      </c>
      <c r="AC83" s="219">
        <v>0.12</v>
      </c>
      <c r="AD83" s="219">
        <v>0.12</v>
      </c>
      <c r="AE83" s="219">
        <v>0.12</v>
      </c>
      <c r="AF83" s="219">
        <v>0.12</v>
      </c>
      <c r="AG83" s="219">
        <v>0.12</v>
      </c>
      <c r="AH83" s="219">
        <v>0.12</v>
      </c>
      <c r="AI83" s="219">
        <v>0.12</v>
      </c>
      <c r="AJ83" s="219">
        <v>0.12</v>
      </c>
      <c r="AK83" s="219">
        <v>0.12</v>
      </c>
      <c r="AL83" s="229">
        <v>2880</v>
      </c>
      <c r="AM83" s="219">
        <f t="shared" si="58"/>
        <v>345.59999999999997</v>
      </c>
      <c r="AN83" s="229" t="s">
        <v>573</v>
      </c>
      <c r="AO83" s="221">
        <f t="shared" si="59"/>
        <v>0</v>
      </c>
      <c r="AP83" s="222">
        <v>5760</v>
      </c>
      <c r="AQ83" s="221">
        <f t="shared" si="60"/>
        <v>691.19999999999993</v>
      </c>
      <c r="AR83" s="222" t="s">
        <v>573</v>
      </c>
      <c r="AS83" s="58">
        <f t="shared" si="61"/>
        <v>0</v>
      </c>
      <c r="AT83" s="222" t="s">
        <v>573</v>
      </c>
      <c r="AU83" s="58">
        <f t="shared" si="62"/>
        <v>0</v>
      </c>
      <c r="AV83" s="222" t="s">
        <v>573</v>
      </c>
      <c r="AW83" s="58">
        <f t="shared" si="63"/>
        <v>0</v>
      </c>
      <c r="AX83" s="251" t="s">
        <v>573</v>
      </c>
      <c r="AY83" s="58">
        <f t="shared" si="64"/>
        <v>0</v>
      </c>
      <c r="AZ83" s="222" t="s">
        <v>573</v>
      </c>
      <c r="BA83" s="58">
        <f t="shared" si="27"/>
        <v>0</v>
      </c>
      <c r="BB83" s="222" t="s">
        <v>573</v>
      </c>
      <c r="BC83" s="58">
        <f t="shared" si="28"/>
        <v>0</v>
      </c>
      <c r="BD83" s="222" t="s">
        <v>573</v>
      </c>
      <c r="BE83" s="58">
        <f t="shared" si="29"/>
        <v>0</v>
      </c>
      <c r="BF83" s="222">
        <v>2880</v>
      </c>
      <c r="BG83" s="58">
        <f t="shared" si="30"/>
        <v>345.59999999999997</v>
      </c>
      <c r="BH83" s="223" t="s">
        <v>573</v>
      </c>
      <c r="BI83" s="58">
        <f t="shared" si="31"/>
        <v>0</v>
      </c>
      <c r="BJ83" s="220">
        <f t="shared" si="65"/>
        <v>11520</v>
      </c>
      <c r="BK83" s="58"/>
      <c r="BL83" s="58" t="s">
        <v>958</v>
      </c>
      <c r="BM83" s="220" t="s">
        <v>1388</v>
      </c>
      <c r="BN83" s="213" t="s">
        <v>754</v>
      </c>
      <c r="BO83" s="58" t="s">
        <v>1242</v>
      </c>
      <c r="BP83" s="199">
        <v>46022</v>
      </c>
      <c r="BQ83" s="2" t="s">
        <v>1386</v>
      </c>
    </row>
    <row r="84" spans="1:69" ht="15.75" customHeight="1">
      <c r="A84" s="213" t="s">
        <v>788</v>
      </c>
      <c r="B84" s="58" t="s">
        <v>184</v>
      </c>
      <c r="C84" s="58" t="s">
        <v>752</v>
      </c>
      <c r="D84" s="214" t="s">
        <v>789</v>
      </c>
      <c r="E84" s="214" t="s">
        <v>789</v>
      </c>
      <c r="F84" s="215" t="s">
        <v>186</v>
      </c>
      <c r="G84" s="216">
        <v>2016</v>
      </c>
      <c r="H84" s="218" t="s">
        <v>803</v>
      </c>
      <c r="I84" s="218" t="s">
        <v>196</v>
      </c>
      <c r="J84" s="217" t="s">
        <v>890</v>
      </c>
      <c r="K84" s="213" t="s">
        <v>306</v>
      </c>
      <c r="L84" s="213" t="s">
        <v>192</v>
      </c>
      <c r="M84" s="219" t="s">
        <v>1388</v>
      </c>
      <c r="N84" s="219">
        <v>4.18</v>
      </c>
      <c r="O84" s="219">
        <v>4.18</v>
      </c>
      <c r="P84" s="219">
        <v>4.18</v>
      </c>
      <c r="Q84" s="219">
        <v>4.18</v>
      </c>
      <c r="R84" s="219">
        <v>4.18</v>
      </c>
      <c r="S84" s="219">
        <v>4.18</v>
      </c>
      <c r="T84" s="219">
        <v>4.18</v>
      </c>
      <c r="U84" s="219">
        <v>4.18</v>
      </c>
      <c r="V84" s="219">
        <v>4.18</v>
      </c>
      <c r="W84" s="219">
        <v>4.18</v>
      </c>
      <c r="X84" s="219">
        <v>4.18</v>
      </c>
      <c r="Y84" s="219">
        <v>4.18</v>
      </c>
      <c r="Z84" s="219">
        <v>0.12</v>
      </c>
      <c r="AA84" s="219">
        <v>0.12</v>
      </c>
      <c r="AB84" s="219">
        <v>0.12</v>
      </c>
      <c r="AC84" s="219">
        <v>0.12</v>
      </c>
      <c r="AD84" s="219">
        <v>0.12</v>
      </c>
      <c r="AE84" s="219">
        <v>0.12</v>
      </c>
      <c r="AF84" s="219">
        <v>0.12</v>
      </c>
      <c r="AG84" s="219">
        <v>0.12</v>
      </c>
      <c r="AH84" s="219">
        <v>0.12</v>
      </c>
      <c r="AI84" s="219">
        <v>0.12</v>
      </c>
      <c r="AJ84" s="219">
        <v>0.12</v>
      </c>
      <c r="AK84" s="219">
        <v>0.12</v>
      </c>
      <c r="AL84" s="229">
        <v>5760</v>
      </c>
      <c r="AM84" s="219">
        <f t="shared" si="58"/>
        <v>691.19999999999993</v>
      </c>
      <c r="AN84" s="229">
        <v>11520</v>
      </c>
      <c r="AO84" s="221">
        <f t="shared" si="59"/>
        <v>1382.3999999999999</v>
      </c>
      <c r="AP84" s="222">
        <v>5760</v>
      </c>
      <c r="AQ84" s="221">
        <f t="shared" si="60"/>
        <v>691.19999999999993</v>
      </c>
      <c r="AR84" s="222" t="s">
        <v>573</v>
      </c>
      <c r="AS84" s="58">
        <f t="shared" si="61"/>
        <v>0</v>
      </c>
      <c r="AT84" s="222" t="s">
        <v>573</v>
      </c>
      <c r="AU84" s="58">
        <f t="shared" si="62"/>
        <v>0</v>
      </c>
      <c r="AV84" s="222" t="s">
        <v>573</v>
      </c>
      <c r="AW84" s="58">
        <f t="shared" si="63"/>
        <v>0</v>
      </c>
      <c r="AX84" s="251" t="s">
        <v>573</v>
      </c>
      <c r="AY84" s="58">
        <f t="shared" si="64"/>
        <v>0</v>
      </c>
      <c r="AZ84" s="222" t="s">
        <v>573</v>
      </c>
      <c r="BA84" s="58">
        <f t="shared" si="27"/>
        <v>0</v>
      </c>
      <c r="BB84" s="222" t="s">
        <v>573</v>
      </c>
      <c r="BC84" s="58">
        <f t="shared" si="28"/>
        <v>0</v>
      </c>
      <c r="BD84" s="222" t="s">
        <v>573</v>
      </c>
      <c r="BE84" s="58">
        <f t="shared" si="29"/>
        <v>0</v>
      </c>
      <c r="BF84" s="222" t="s">
        <v>573</v>
      </c>
      <c r="BG84" s="58">
        <f t="shared" si="30"/>
        <v>0</v>
      </c>
      <c r="BH84" s="223" t="s">
        <v>573</v>
      </c>
      <c r="BI84" s="58">
        <f t="shared" si="31"/>
        <v>0</v>
      </c>
      <c r="BJ84" s="220">
        <f t="shared" si="65"/>
        <v>23040</v>
      </c>
      <c r="BK84" s="58"/>
      <c r="BL84" s="58" t="s">
        <v>959</v>
      </c>
      <c r="BM84" s="220" t="s">
        <v>1388</v>
      </c>
      <c r="BN84" s="213" t="s">
        <v>807</v>
      </c>
      <c r="BO84" s="58" t="s">
        <v>521</v>
      </c>
      <c r="BP84" s="199">
        <v>46022</v>
      </c>
      <c r="BQ84" s="2" t="s">
        <v>1386</v>
      </c>
    </row>
    <row r="85" spans="1:69" ht="15.75" customHeight="1">
      <c r="A85" s="213" t="s">
        <v>788</v>
      </c>
      <c r="B85" s="58" t="s">
        <v>184</v>
      </c>
      <c r="C85" s="58" t="s">
        <v>752</v>
      </c>
      <c r="D85" s="214" t="s">
        <v>789</v>
      </c>
      <c r="E85" s="214" t="s">
        <v>789</v>
      </c>
      <c r="F85" s="215" t="s">
        <v>186</v>
      </c>
      <c r="G85" s="216">
        <v>2016</v>
      </c>
      <c r="H85" s="218" t="s">
        <v>803</v>
      </c>
      <c r="I85" s="218" t="s">
        <v>196</v>
      </c>
      <c r="J85" s="217" t="s">
        <v>890</v>
      </c>
      <c r="K85" s="213" t="s">
        <v>306</v>
      </c>
      <c r="L85" s="213" t="s">
        <v>192</v>
      </c>
      <c r="M85" s="219" t="s">
        <v>1388</v>
      </c>
      <c r="N85" s="219">
        <v>4.1399999999999997</v>
      </c>
      <c r="O85" s="219">
        <v>4.1399999999999997</v>
      </c>
      <c r="P85" s="219">
        <v>4.1399999999999997</v>
      </c>
      <c r="Q85" s="219">
        <v>4.1399999999999997</v>
      </c>
      <c r="R85" s="219">
        <v>4.1399999999999997</v>
      </c>
      <c r="S85" s="219">
        <v>4.1399999999999997</v>
      </c>
      <c r="T85" s="219">
        <v>4.1399999999999997</v>
      </c>
      <c r="U85" s="219">
        <v>4.1399999999999997</v>
      </c>
      <c r="V85" s="219">
        <v>4.1399999999999997</v>
      </c>
      <c r="W85" s="219">
        <v>4.1399999999999997</v>
      </c>
      <c r="X85" s="219">
        <v>4.1399999999999997</v>
      </c>
      <c r="Y85" s="219">
        <v>4.1399999999999997</v>
      </c>
      <c r="Z85" s="219">
        <v>0.12</v>
      </c>
      <c r="AA85" s="219">
        <v>0.12</v>
      </c>
      <c r="AB85" s="219">
        <v>0.12</v>
      </c>
      <c r="AC85" s="219">
        <v>0.12</v>
      </c>
      <c r="AD85" s="219">
        <v>0.12</v>
      </c>
      <c r="AE85" s="219">
        <v>0.12</v>
      </c>
      <c r="AF85" s="219">
        <v>0.12</v>
      </c>
      <c r="AG85" s="219">
        <v>0.12</v>
      </c>
      <c r="AH85" s="219">
        <v>0.12</v>
      </c>
      <c r="AI85" s="219">
        <v>0.12</v>
      </c>
      <c r="AJ85" s="219">
        <v>0.12</v>
      </c>
      <c r="AK85" s="219">
        <v>0.12</v>
      </c>
      <c r="AL85" s="229" t="s">
        <v>573</v>
      </c>
      <c r="AM85" s="219">
        <f t="shared" si="58"/>
        <v>0</v>
      </c>
      <c r="AN85" s="229" t="s">
        <v>573</v>
      </c>
      <c r="AO85" s="221">
        <f t="shared" si="59"/>
        <v>0</v>
      </c>
      <c r="AP85" s="222" t="s">
        <v>573</v>
      </c>
      <c r="AQ85" s="221">
        <f t="shared" si="60"/>
        <v>0</v>
      </c>
      <c r="AR85" s="222" t="s">
        <v>573</v>
      </c>
      <c r="AS85" s="58">
        <f t="shared" si="61"/>
        <v>0</v>
      </c>
      <c r="AT85" s="222" t="s">
        <v>573</v>
      </c>
      <c r="AU85" s="58">
        <f t="shared" si="62"/>
        <v>0</v>
      </c>
      <c r="AV85" s="222" t="s">
        <v>573</v>
      </c>
      <c r="AW85" s="58">
        <f t="shared" si="63"/>
        <v>0</v>
      </c>
      <c r="AX85" s="251" t="s">
        <v>573</v>
      </c>
      <c r="AY85" s="58">
        <f t="shared" si="64"/>
        <v>0</v>
      </c>
      <c r="AZ85" s="222" t="s">
        <v>573</v>
      </c>
      <c r="BA85" s="58">
        <f t="shared" si="27"/>
        <v>0</v>
      </c>
      <c r="BB85" s="222" t="s">
        <v>573</v>
      </c>
      <c r="BC85" s="58">
        <f t="shared" si="28"/>
        <v>0</v>
      </c>
      <c r="BD85" s="222" t="s">
        <v>573</v>
      </c>
      <c r="BE85" s="58">
        <f t="shared" si="29"/>
        <v>0</v>
      </c>
      <c r="BF85" s="222" t="s">
        <v>573</v>
      </c>
      <c r="BG85" s="58">
        <f t="shared" si="30"/>
        <v>0</v>
      </c>
      <c r="BH85" s="223" t="s">
        <v>573</v>
      </c>
      <c r="BI85" s="58">
        <f t="shared" si="31"/>
        <v>0</v>
      </c>
      <c r="BJ85" s="220">
        <f t="shared" si="65"/>
        <v>0</v>
      </c>
      <c r="BK85" s="58"/>
      <c r="BL85" s="58" t="s">
        <v>960</v>
      </c>
      <c r="BM85" s="220" t="s">
        <v>1388</v>
      </c>
      <c r="BN85" s="213" t="s">
        <v>754</v>
      </c>
      <c r="BO85" s="58" t="s">
        <v>522</v>
      </c>
      <c r="BP85" s="199">
        <v>46022</v>
      </c>
      <c r="BQ85" s="2" t="s">
        <v>1386</v>
      </c>
    </row>
    <row r="86" spans="1:69" ht="15.75" customHeight="1">
      <c r="A86" s="213" t="s">
        <v>788</v>
      </c>
      <c r="B86" s="58" t="s">
        <v>184</v>
      </c>
      <c r="C86" s="58" t="s">
        <v>752</v>
      </c>
      <c r="D86" s="214" t="s">
        <v>789</v>
      </c>
      <c r="E86" s="214" t="s">
        <v>789</v>
      </c>
      <c r="F86" s="215" t="s">
        <v>186</v>
      </c>
      <c r="G86" s="216">
        <v>2016</v>
      </c>
      <c r="H86" s="218" t="s">
        <v>803</v>
      </c>
      <c r="I86" s="218" t="s">
        <v>196</v>
      </c>
      <c r="J86" s="217" t="s">
        <v>890</v>
      </c>
      <c r="K86" s="213" t="s">
        <v>315</v>
      </c>
      <c r="L86" s="213" t="s">
        <v>192</v>
      </c>
      <c r="M86" s="219" t="s">
        <v>1388</v>
      </c>
      <c r="N86" s="219">
        <v>4.53</v>
      </c>
      <c r="O86" s="219">
        <v>4.53</v>
      </c>
      <c r="P86" s="219">
        <v>4.53</v>
      </c>
      <c r="Q86" s="219">
        <v>4.53</v>
      </c>
      <c r="R86" s="219">
        <v>4.53</v>
      </c>
      <c r="S86" s="219">
        <v>4.53</v>
      </c>
      <c r="T86" s="219">
        <v>4.53</v>
      </c>
      <c r="U86" s="219">
        <v>4.53</v>
      </c>
      <c r="V86" s="219">
        <v>4.53</v>
      </c>
      <c r="W86" s="219">
        <v>4.53</v>
      </c>
      <c r="X86" s="219">
        <v>4.53</v>
      </c>
      <c r="Y86" s="219">
        <v>4.53</v>
      </c>
      <c r="Z86" s="219">
        <v>0.12</v>
      </c>
      <c r="AA86" s="219">
        <v>0.12</v>
      </c>
      <c r="AB86" s="219">
        <v>0.12</v>
      </c>
      <c r="AC86" s="219">
        <v>0.12</v>
      </c>
      <c r="AD86" s="219">
        <v>0.12</v>
      </c>
      <c r="AE86" s="219">
        <v>0.12</v>
      </c>
      <c r="AF86" s="219">
        <v>0.12</v>
      </c>
      <c r="AG86" s="219">
        <v>0.12</v>
      </c>
      <c r="AH86" s="219">
        <v>0.12</v>
      </c>
      <c r="AI86" s="219">
        <v>0.12</v>
      </c>
      <c r="AJ86" s="219">
        <v>0.12</v>
      </c>
      <c r="AK86" s="219">
        <v>0.12</v>
      </c>
      <c r="AL86" s="229">
        <v>2880</v>
      </c>
      <c r="AM86" s="219">
        <f t="shared" si="58"/>
        <v>345.59999999999997</v>
      </c>
      <c r="AN86" s="229">
        <v>14400</v>
      </c>
      <c r="AO86" s="221">
        <f t="shared" si="59"/>
        <v>1728</v>
      </c>
      <c r="AP86" s="222">
        <v>2880</v>
      </c>
      <c r="AQ86" s="221">
        <f t="shared" si="60"/>
        <v>345.59999999999997</v>
      </c>
      <c r="AR86" s="222" t="s">
        <v>573</v>
      </c>
      <c r="AS86" s="58">
        <f t="shared" si="61"/>
        <v>0</v>
      </c>
      <c r="AT86" s="222" t="s">
        <v>573</v>
      </c>
      <c r="AU86" s="58">
        <f t="shared" si="62"/>
        <v>0</v>
      </c>
      <c r="AV86" s="222" t="s">
        <v>573</v>
      </c>
      <c r="AW86" s="58">
        <f t="shared" si="63"/>
        <v>0</v>
      </c>
      <c r="AX86" s="251" t="s">
        <v>573</v>
      </c>
      <c r="AY86" s="58">
        <f t="shared" si="64"/>
        <v>0</v>
      </c>
      <c r="AZ86" s="222" t="s">
        <v>573</v>
      </c>
      <c r="BA86" s="58">
        <f t="shared" si="27"/>
        <v>0</v>
      </c>
      <c r="BB86" s="222" t="s">
        <v>573</v>
      </c>
      <c r="BC86" s="58">
        <f t="shared" si="28"/>
        <v>0</v>
      </c>
      <c r="BD86" s="222">
        <v>2880</v>
      </c>
      <c r="BE86" s="58">
        <f t="shared" si="29"/>
        <v>345.59999999999997</v>
      </c>
      <c r="BF86" s="222">
        <v>2880</v>
      </c>
      <c r="BG86" s="58">
        <f t="shared" si="30"/>
        <v>345.59999999999997</v>
      </c>
      <c r="BH86" s="223">
        <v>2880</v>
      </c>
      <c r="BI86" s="58">
        <f t="shared" si="31"/>
        <v>345.59999999999997</v>
      </c>
      <c r="BJ86" s="220">
        <f t="shared" si="65"/>
        <v>28800</v>
      </c>
      <c r="BK86" s="58"/>
      <c r="BL86" s="58" t="s">
        <v>961</v>
      </c>
      <c r="BM86" s="220" t="s">
        <v>1388</v>
      </c>
      <c r="BN86" s="213" t="s">
        <v>807</v>
      </c>
      <c r="BO86" s="58" t="s">
        <v>1243</v>
      </c>
      <c r="BP86" s="199">
        <v>46022</v>
      </c>
      <c r="BQ86" s="2" t="s">
        <v>1386</v>
      </c>
    </row>
    <row r="87" spans="1:69" ht="15.75" customHeight="1">
      <c r="A87" s="213" t="s">
        <v>788</v>
      </c>
      <c r="B87" s="58" t="s">
        <v>184</v>
      </c>
      <c r="C87" s="58" t="s">
        <v>752</v>
      </c>
      <c r="D87" s="214" t="s">
        <v>789</v>
      </c>
      <c r="E87" s="214" t="s">
        <v>789</v>
      </c>
      <c r="F87" s="215" t="s">
        <v>186</v>
      </c>
      <c r="G87" s="216">
        <v>2016</v>
      </c>
      <c r="H87" s="218" t="s">
        <v>803</v>
      </c>
      <c r="I87" s="218" t="s">
        <v>196</v>
      </c>
      <c r="J87" s="217" t="s">
        <v>890</v>
      </c>
      <c r="K87" s="213" t="s">
        <v>315</v>
      </c>
      <c r="L87" s="213" t="s">
        <v>192</v>
      </c>
      <c r="M87" s="219" t="s">
        <v>1389</v>
      </c>
      <c r="N87" s="219">
        <v>4.38</v>
      </c>
      <c r="O87" s="219">
        <v>4.38</v>
      </c>
      <c r="P87" s="219">
        <v>4.38</v>
      </c>
      <c r="Q87" s="219">
        <v>4.38</v>
      </c>
      <c r="R87" s="219">
        <v>4.38</v>
      </c>
      <c r="S87" s="219">
        <v>4.38</v>
      </c>
      <c r="T87" s="219">
        <v>4.38</v>
      </c>
      <c r="U87" s="219">
        <v>4.38</v>
      </c>
      <c r="V87" s="219">
        <v>4.38</v>
      </c>
      <c r="W87" s="219">
        <v>4.38</v>
      </c>
      <c r="X87" s="219">
        <v>4.38</v>
      </c>
      <c r="Y87" s="219">
        <v>4.38</v>
      </c>
      <c r="Z87" s="219">
        <v>0.04</v>
      </c>
      <c r="AA87" s="219">
        <v>0.04</v>
      </c>
      <c r="AB87" s="219">
        <v>0.04</v>
      </c>
      <c r="AC87" s="219">
        <v>0.04</v>
      </c>
      <c r="AD87" s="219">
        <v>0.04</v>
      </c>
      <c r="AE87" s="219">
        <v>0.04</v>
      </c>
      <c r="AF87" s="219">
        <v>0.04</v>
      </c>
      <c r="AG87" s="219">
        <v>0.04</v>
      </c>
      <c r="AH87" s="219">
        <v>0.04</v>
      </c>
      <c r="AI87" s="219">
        <v>0.04</v>
      </c>
      <c r="AJ87" s="219">
        <v>0.04</v>
      </c>
      <c r="AK87" s="219">
        <v>0.04</v>
      </c>
      <c r="AL87" s="229" t="s">
        <v>573</v>
      </c>
      <c r="AM87" s="219">
        <f t="shared" si="58"/>
        <v>0</v>
      </c>
      <c r="AN87" s="229" t="s">
        <v>573</v>
      </c>
      <c r="AO87" s="221">
        <f t="shared" si="59"/>
        <v>0</v>
      </c>
      <c r="AP87" s="222" t="s">
        <v>573</v>
      </c>
      <c r="AQ87" s="221">
        <f t="shared" si="60"/>
        <v>0</v>
      </c>
      <c r="AR87" s="222" t="s">
        <v>573</v>
      </c>
      <c r="AS87" s="58">
        <f t="shared" si="61"/>
        <v>0</v>
      </c>
      <c r="AT87" s="222" t="s">
        <v>573</v>
      </c>
      <c r="AU87" s="58">
        <f t="shared" si="62"/>
        <v>0</v>
      </c>
      <c r="AV87" s="222" t="s">
        <v>573</v>
      </c>
      <c r="AW87" s="58">
        <f t="shared" si="63"/>
        <v>0</v>
      </c>
      <c r="AX87" s="251" t="s">
        <v>573</v>
      </c>
      <c r="AY87" s="58">
        <f t="shared" si="64"/>
        <v>0</v>
      </c>
      <c r="AZ87" s="222" t="s">
        <v>573</v>
      </c>
      <c r="BA87" s="58">
        <f t="shared" si="27"/>
        <v>0</v>
      </c>
      <c r="BB87" s="222" t="s">
        <v>573</v>
      </c>
      <c r="BC87" s="58">
        <f t="shared" si="28"/>
        <v>0</v>
      </c>
      <c r="BD87" s="222" t="s">
        <v>573</v>
      </c>
      <c r="BE87" s="58">
        <f t="shared" si="29"/>
        <v>0</v>
      </c>
      <c r="BF87" s="222" t="s">
        <v>573</v>
      </c>
      <c r="BG87" s="58">
        <f t="shared" si="30"/>
        <v>0</v>
      </c>
      <c r="BH87" s="223" t="s">
        <v>573</v>
      </c>
      <c r="BI87" s="58">
        <f t="shared" si="31"/>
        <v>0</v>
      </c>
      <c r="BJ87" s="220">
        <f t="shared" si="65"/>
        <v>0</v>
      </c>
      <c r="BK87" s="58"/>
      <c r="BL87" s="58" t="s">
        <v>962</v>
      </c>
      <c r="BM87" s="220" t="s">
        <v>1389</v>
      </c>
      <c r="BN87" s="213" t="s">
        <v>763</v>
      </c>
      <c r="BO87" s="58" t="s">
        <v>523</v>
      </c>
      <c r="BP87" s="199">
        <v>46022</v>
      </c>
      <c r="BQ87" s="2" t="s">
        <v>1386</v>
      </c>
    </row>
    <row r="88" spans="1:69" ht="15.75" customHeight="1">
      <c r="A88" s="213" t="s">
        <v>788</v>
      </c>
      <c r="B88" s="58" t="s">
        <v>184</v>
      </c>
      <c r="C88" s="58" t="s">
        <v>752</v>
      </c>
      <c r="D88" s="214" t="s">
        <v>789</v>
      </c>
      <c r="E88" s="214" t="s">
        <v>789</v>
      </c>
      <c r="F88" s="215" t="s">
        <v>186</v>
      </c>
      <c r="G88" s="216">
        <v>2016</v>
      </c>
      <c r="H88" s="218" t="s">
        <v>803</v>
      </c>
      <c r="I88" s="218" t="s">
        <v>196</v>
      </c>
      <c r="J88" s="217" t="s">
        <v>890</v>
      </c>
      <c r="K88" s="213" t="s">
        <v>310</v>
      </c>
      <c r="L88" s="213" t="s">
        <v>192</v>
      </c>
      <c r="M88" s="219" t="s">
        <v>1388</v>
      </c>
      <c r="N88" s="219">
        <v>4.53</v>
      </c>
      <c r="O88" s="219">
        <v>4.53</v>
      </c>
      <c r="P88" s="219">
        <v>4.53</v>
      </c>
      <c r="Q88" s="219">
        <v>4.53</v>
      </c>
      <c r="R88" s="219">
        <v>4.53</v>
      </c>
      <c r="S88" s="219">
        <v>4.53</v>
      </c>
      <c r="T88" s="219">
        <v>4.53</v>
      </c>
      <c r="U88" s="219">
        <v>4.53</v>
      </c>
      <c r="V88" s="219">
        <v>4.53</v>
      </c>
      <c r="W88" s="219">
        <v>4.53</v>
      </c>
      <c r="X88" s="219">
        <v>4.53</v>
      </c>
      <c r="Y88" s="219">
        <v>4.53</v>
      </c>
      <c r="Z88" s="219">
        <v>0.12</v>
      </c>
      <c r="AA88" s="219">
        <v>0.12</v>
      </c>
      <c r="AB88" s="219">
        <v>0.12</v>
      </c>
      <c r="AC88" s="219">
        <v>0.12</v>
      </c>
      <c r="AD88" s="219">
        <v>0.12</v>
      </c>
      <c r="AE88" s="219">
        <v>0.12</v>
      </c>
      <c r="AF88" s="219">
        <v>0.12</v>
      </c>
      <c r="AG88" s="219">
        <v>0.12</v>
      </c>
      <c r="AH88" s="219">
        <v>0.12</v>
      </c>
      <c r="AI88" s="219">
        <v>0.12</v>
      </c>
      <c r="AJ88" s="219">
        <v>0.12</v>
      </c>
      <c r="AK88" s="219">
        <v>0.12</v>
      </c>
      <c r="AL88" s="229">
        <v>11520</v>
      </c>
      <c r="AM88" s="219">
        <f t="shared" si="58"/>
        <v>1382.3999999999999</v>
      </c>
      <c r="AN88" s="229">
        <v>20160</v>
      </c>
      <c r="AO88" s="221">
        <f t="shared" si="59"/>
        <v>2419.1999999999998</v>
      </c>
      <c r="AP88" s="222">
        <v>8640</v>
      </c>
      <c r="AQ88" s="221">
        <f t="shared" si="60"/>
        <v>1036.8</v>
      </c>
      <c r="AR88" s="222" t="s">
        <v>573</v>
      </c>
      <c r="AS88" s="58">
        <f t="shared" si="61"/>
        <v>0</v>
      </c>
      <c r="AT88" s="222" t="s">
        <v>573</v>
      </c>
      <c r="AU88" s="58">
        <f t="shared" si="62"/>
        <v>0</v>
      </c>
      <c r="AV88" s="222">
        <v>2880</v>
      </c>
      <c r="AW88" s="58">
        <f t="shared" si="63"/>
        <v>345.59999999999997</v>
      </c>
      <c r="AX88" s="251" t="s">
        <v>573</v>
      </c>
      <c r="AY88" s="58">
        <f t="shared" si="64"/>
        <v>0</v>
      </c>
      <c r="AZ88" s="222">
        <v>5760</v>
      </c>
      <c r="BA88" s="58">
        <f t="shared" si="27"/>
        <v>691.19999999999993</v>
      </c>
      <c r="BB88" s="222" t="s">
        <v>573</v>
      </c>
      <c r="BC88" s="58">
        <f t="shared" si="28"/>
        <v>0</v>
      </c>
      <c r="BD88" s="222">
        <v>2880</v>
      </c>
      <c r="BE88" s="58">
        <f t="shared" si="29"/>
        <v>345.59999999999997</v>
      </c>
      <c r="BF88" s="222">
        <v>8640</v>
      </c>
      <c r="BG88" s="58">
        <f t="shared" si="30"/>
        <v>1036.8</v>
      </c>
      <c r="BH88" s="223">
        <v>2880</v>
      </c>
      <c r="BI88" s="58">
        <f t="shared" si="31"/>
        <v>345.59999999999997</v>
      </c>
      <c r="BJ88" s="220">
        <f t="shared" si="65"/>
        <v>63360</v>
      </c>
      <c r="BK88" s="58"/>
      <c r="BL88" s="58" t="s">
        <v>963</v>
      </c>
      <c r="BM88" s="220" t="s">
        <v>1388</v>
      </c>
      <c r="BN88" s="213" t="s">
        <v>807</v>
      </c>
      <c r="BO88" s="58" t="s">
        <v>1244</v>
      </c>
      <c r="BP88" s="199">
        <v>46022</v>
      </c>
      <c r="BQ88" s="2" t="s">
        <v>1386</v>
      </c>
    </row>
    <row r="89" spans="1:69" ht="15.75" customHeight="1">
      <c r="A89" s="213" t="s">
        <v>788</v>
      </c>
      <c r="B89" s="58" t="s">
        <v>184</v>
      </c>
      <c r="C89" s="58" t="s">
        <v>752</v>
      </c>
      <c r="D89" s="214" t="s">
        <v>789</v>
      </c>
      <c r="E89" s="214" t="s">
        <v>789</v>
      </c>
      <c r="F89" s="215" t="s">
        <v>186</v>
      </c>
      <c r="G89" s="216">
        <v>2016</v>
      </c>
      <c r="H89" s="218" t="s">
        <v>803</v>
      </c>
      <c r="I89" s="218" t="s">
        <v>196</v>
      </c>
      <c r="J89" s="217" t="s">
        <v>890</v>
      </c>
      <c r="K89" s="213" t="s">
        <v>310</v>
      </c>
      <c r="L89" s="213" t="s">
        <v>192</v>
      </c>
      <c r="M89" s="219" t="s">
        <v>1389</v>
      </c>
      <c r="N89" s="219">
        <v>4.38</v>
      </c>
      <c r="O89" s="219">
        <v>4.38</v>
      </c>
      <c r="P89" s="219">
        <v>4.38</v>
      </c>
      <c r="Q89" s="219">
        <v>4.38</v>
      </c>
      <c r="R89" s="219">
        <v>4.38</v>
      </c>
      <c r="S89" s="219">
        <v>4.38</v>
      </c>
      <c r="T89" s="219">
        <v>4.38</v>
      </c>
      <c r="U89" s="219">
        <v>4.38</v>
      </c>
      <c r="V89" s="219">
        <v>4.38</v>
      </c>
      <c r="W89" s="219">
        <v>4.38</v>
      </c>
      <c r="X89" s="219">
        <v>4.38</v>
      </c>
      <c r="Y89" s="219">
        <v>4.38</v>
      </c>
      <c r="Z89" s="219">
        <v>0.04</v>
      </c>
      <c r="AA89" s="219">
        <v>0.04</v>
      </c>
      <c r="AB89" s="219">
        <v>0.04</v>
      </c>
      <c r="AC89" s="219">
        <v>0.04</v>
      </c>
      <c r="AD89" s="219">
        <v>0.04</v>
      </c>
      <c r="AE89" s="219">
        <v>0.04</v>
      </c>
      <c r="AF89" s="219">
        <v>0.04</v>
      </c>
      <c r="AG89" s="219">
        <v>0.04</v>
      </c>
      <c r="AH89" s="219">
        <v>0.04</v>
      </c>
      <c r="AI89" s="219">
        <v>0.04</v>
      </c>
      <c r="AJ89" s="219">
        <v>0.04</v>
      </c>
      <c r="AK89" s="219">
        <v>0.04</v>
      </c>
      <c r="AL89" s="229">
        <v>4320</v>
      </c>
      <c r="AM89" s="219">
        <f t="shared" si="58"/>
        <v>172.8</v>
      </c>
      <c r="AN89" s="229" t="s">
        <v>573</v>
      </c>
      <c r="AO89" s="221">
        <f t="shared" si="59"/>
        <v>0</v>
      </c>
      <c r="AP89" s="222" t="s">
        <v>573</v>
      </c>
      <c r="AQ89" s="221">
        <f t="shared" si="60"/>
        <v>0</v>
      </c>
      <c r="AR89" s="222" t="s">
        <v>573</v>
      </c>
      <c r="AS89" s="58">
        <f t="shared" si="61"/>
        <v>0</v>
      </c>
      <c r="AT89" s="222" t="s">
        <v>573</v>
      </c>
      <c r="AU89" s="58">
        <f t="shared" si="62"/>
        <v>0</v>
      </c>
      <c r="AV89" s="222" t="s">
        <v>573</v>
      </c>
      <c r="AW89" s="58">
        <f t="shared" si="63"/>
        <v>0</v>
      </c>
      <c r="AX89" s="251" t="s">
        <v>573</v>
      </c>
      <c r="AY89" s="58">
        <f t="shared" si="64"/>
        <v>0</v>
      </c>
      <c r="AZ89" s="222" t="s">
        <v>573</v>
      </c>
      <c r="BA89" s="58">
        <f t="shared" si="27"/>
        <v>0</v>
      </c>
      <c r="BB89" s="222" t="s">
        <v>573</v>
      </c>
      <c r="BC89" s="58">
        <f t="shared" si="28"/>
        <v>0</v>
      </c>
      <c r="BD89" s="222" t="s">
        <v>573</v>
      </c>
      <c r="BE89" s="58">
        <f t="shared" si="29"/>
        <v>0</v>
      </c>
      <c r="BF89" s="222" t="s">
        <v>573</v>
      </c>
      <c r="BG89" s="58">
        <f t="shared" si="30"/>
        <v>0</v>
      </c>
      <c r="BH89" s="223">
        <v>4320</v>
      </c>
      <c r="BI89" s="58">
        <f t="shared" si="31"/>
        <v>172.8</v>
      </c>
      <c r="BJ89" s="220">
        <f t="shared" si="65"/>
        <v>8640</v>
      </c>
      <c r="BK89" s="58"/>
      <c r="BL89" s="58" t="s">
        <v>964</v>
      </c>
      <c r="BM89" s="220" t="s">
        <v>1389</v>
      </c>
      <c r="BN89" s="213" t="s">
        <v>763</v>
      </c>
      <c r="BO89" s="58" t="s">
        <v>525</v>
      </c>
      <c r="BP89" s="199">
        <v>46022</v>
      </c>
      <c r="BQ89" s="2" t="s">
        <v>1386</v>
      </c>
    </row>
    <row r="90" spans="1:69" ht="15.75" customHeight="1">
      <c r="A90" s="213" t="s">
        <v>788</v>
      </c>
      <c r="B90" s="58" t="s">
        <v>184</v>
      </c>
      <c r="C90" s="58" t="s">
        <v>752</v>
      </c>
      <c r="D90" s="214" t="s">
        <v>789</v>
      </c>
      <c r="E90" s="214" t="s">
        <v>789</v>
      </c>
      <c r="F90" s="215" t="s">
        <v>186</v>
      </c>
      <c r="G90" s="216">
        <v>2016</v>
      </c>
      <c r="H90" s="218" t="s">
        <v>803</v>
      </c>
      <c r="I90" s="218" t="s">
        <v>196</v>
      </c>
      <c r="J90" s="217" t="s">
        <v>890</v>
      </c>
      <c r="K90" s="213" t="s">
        <v>310</v>
      </c>
      <c r="L90" s="213" t="s">
        <v>192</v>
      </c>
      <c r="M90" s="219" t="s">
        <v>1388</v>
      </c>
      <c r="N90" s="219">
        <v>4.3</v>
      </c>
      <c r="O90" s="219">
        <v>4.3</v>
      </c>
      <c r="P90" s="219">
        <v>4.3</v>
      </c>
      <c r="Q90" s="219">
        <v>4.3</v>
      </c>
      <c r="R90" s="219">
        <v>4.3</v>
      </c>
      <c r="S90" s="219">
        <v>4.3</v>
      </c>
      <c r="T90" s="219">
        <v>4.3</v>
      </c>
      <c r="U90" s="219">
        <v>4.3</v>
      </c>
      <c r="V90" s="219">
        <v>4.3</v>
      </c>
      <c r="W90" s="219">
        <v>4.3</v>
      </c>
      <c r="X90" s="219">
        <v>4.3</v>
      </c>
      <c r="Y90" s="219">
        <v>4.3</v>
      </c>
      <c r="Z90" s="219">
        <v>0.12</v>
      </c>
      <c r="AA90" s="219">
        <v>0.12</v>
      </c>
      <c r="AB90" s="219">
        <v>0.12</v>
      </c>
      <c r="AC90" s="219">
        <v>0.12</v>
      </c>
      <c r="AD90" s="219">
        <v>0.12</v>
      </c>
      <c r="AE90" s="219">
        <v>0.12</v>
      </c>
      <c r="AF90" s="219">
        <v>0.12</v>
      </c>
      <c r="AG90" s="219">
        <v>0.12</v>
      </c>
      <c r="AH90" s="219">
        <v>0.12</v>
      </c>
      <c r="AI90" s="219">
        <v>0.12</v>
      </c>
      <c r="AJ90" s="219">
        <v>0.12</v>
      </c>
      <c r="AK90" s="219">
        <v>0.12</v>
      </c>
      <c r="AL90" s="229" t="s">
        <v>573</v>
      </c>
      <c r="AM90" s="219">
        <f t="shared" si="58"/>
        <v>0</v>
      </c>
      <c r="AN90" s="229" t="s">
        <v>573</v>
      </c>
      <c r="AO90" s="221">
        <f t="shared" si="59"/>
        <v>0</v>
      </c>
      <c r="AP90" s="222" t="s">
        <v>573</v>
      </c>
      <c r="AQ90" s="221">
        <f t="shared" si="60"/>
        <v>0</v>
      </c>
      <c r="AR90" s="222" t="s">
        <v>573</v>
      </c>
      <c r="AS90" s="58">
        <f t="shared" si="61"/>
        <v>0</v>
      </c>
      <c r="AT90" s="222" t="s">
        <v>573</v>
      </c>
      <c r="AU90" s="58">
        <f t="shared" si="62"/>
        <v>0</v>
      </c>
      <c r="AV90" s="222" t="s">
        <v>573</v>
      </c>
      <c r="AW90" s="58">
        <f t="shared" si="63"/>
        <v>0</v>
      </c>
      <c r="AX90" s="251" t="s">
        <v>573</v>
      </c>
      <c r="AY90" s="58">
        <f t="shared" si="64"/>
        <v>0</v>
      </c>
      <c r="AZ90" s="222" t="s">
        <v>573</v>
      </c>
      <c r="BA90" s="58">
        <f t="shared" si="27"/>
        <v>0</v>
      </c>
      <c r="BB90" s="222" t="s">
        <v>573</v>
      </c>
      <c r="BC90" s="58">
        <f t="shared" si="28"/>
        <v>0</v>
      </c>
      <c r="BD90" s="222" t="s">
        <v>573</v>
      </c>
      <c r="BE90" s="58">
        <f t="shared" si="29"/>
        <v>0</v>
      </c>
      <c r="BF90" s="222" t="s">
        <v>573</v>
      </c>
      <c r="BG90" s="58">
        <f t="shared" si="30"/>
        <v>0</v>
      </c>
      <c r="BH90" s="223" t="s">
        <v>573</v>
      </c>
      <c r="BI90" s="58">
        <f t="shared" si="31"/>
        <v>0</v>
      </c>
      <c r="BJ90" s="220">
        <f t="shared" si="65"/>
        <v>0</v>
      </c>
      <c r="BK90" s="58"/>
      <c r="BL90" s="58" t="s">
        <v>965</v>
      </c>
      <c r="BM90" s="220" t="s">
        <v>1388</v>
      </c>
      <c r="BN90" s="213" t="s">
        <v>754</v>
      </c>
      <c r="BO90" s="58" t="s">
        <v>1245</v>
      </c>
      <c r="BP90" s="199">
        <v>46022</v>
      </c>
      <c r="BQ90" s="2" t="s">
        <v>1386</v>
      </c>
    </row>
    <row r="91" spans="1:69" ht="15.75" customHeight="1">
      <c r="A91" s="213" t="s">
        <v>788</v>
      </c>
      <c r="B91" s="58" t="s">
        <v>184</v>
      </c>
      <c r="C91" s="58" t="s">
        <v>752</v>
      </c>
      <c r="D91" s="214" t="s">
        <v>789</v>
      </c>
      <c r="E91" s="214" t="s">
        <v>789</v>
      </c>
      <c r="F91" s="215" t="s">
        <v>186</v>
      </c>
      <c r="G91" s="216">
        <v>2016</v>
      </c>
      <c r="H91" s="218" t="s">
        <v>803</v>
      </c>
      <c r="I91" s="218" t="s">
        <v>196</v>
      </c>
      <c r="J91" s="217" t="s">
        <v>890</v>
      </c>
      <c r="K91" s="213" t="s">
        <v>397</v>
      </c>
      <c r="L91" s="213" t="s">
        <v>192</v>
      </c>
      <c r="M91" s="219" t="s">
        <v>1388</v>
      </c>
      <c r="N91" s="219">
        <v>4.18</v>
      </c>
      <c r="O91" s="219">
        <v>4.18</v>
      </c>
      <c r="P91" s="219">
        <v>4.18</v>
      </c>
      <c r="Q91" s="219">
        <v>4.18</v>
      </c>
      <c r="R91" s="219">
        <v>4.18</v>
      </c>
      <c r="S91" s="219">
        <v>4.18</v>
      </c>
      <c r="T91" s="219">
        <v>4.18</v>
      </c>
      <c r="U91" s="219">
        <v>4.18</v>
      </c>
      <c r="V91" s="219">
        <v>4.18</v>
      </c>
      <c r="W91" s="219">
        <v>4.18</v>
      </c>
      <c r="X91" s="219">
        <v>4.18</v>
      </c>
      <c r="Y91" s="219">
        <v>4.18</v>
      </c>
      <c r="Z91" s="219">
        <v>0.12</v>
      </c>
      <c r="AA91" s="219">
        <v>0.12</v>
      </c>
      <c r="AB91" s="219">
        <v>0.12</v>
      </c>
      <c r="AC91" s="219">
        <v>0.12</v>
      </c>
      <c r="AD91" s="219">
        <v>0.12</v>
      </c>
      <c r="AE91" s="219">
        <v>0.12</v>
      </c>
      <c r="AF91" s="219">
        <v>0.12</v>
      </c>
      <c r="AG91" s="219">
        <v>0.12</v>
      </c>
      <c r="AH91" s="219">
        <v>0.12</v>
      </c>
      <c r="AI91" s="219">
        <v>0.12</v>
      </c>
      <c r="AJ91" s="219">
        <v>0.12</v>
      </c>
      <c r="AK91" s="219">
        <v>0.12</v>
      </c>
      <c r="AL91" s="229" t="s">
        <v>573</v>
      </c>
      <c r="AM91" s="219">
        <f t="shared" si="58"/>
        <v>0</v>
      </c>
      <c r="AN91" s="229">
        <v>5760</v>
      </c>
      <c r="AO91" s="221">
        <f t="shared" si="59"/>
        <v>691.19999999999993</v>
      </c>
      <c r="AP91" s="222">
        <v>5760</v>
      </c>
      <c r="AQ91" s="221">
        <f t="shared" si="60"/>
        <v>691.19999999999993</v>
      </c>
      <c r="AR91" s="222" t="s">
        <v>573</v>
      </c>
      <c r="AS91" s="58">
        <f t="shared" si="61"/>
        <v>0</v>
      </c>
      <c r="AT91" s="222">
        <v>2880</v>
      </c>
      <c r="AU91" s="58">
        <f t="shared" si="62"/>
        <v>345.59999999999997</v>
      </c>
      <c r="AV91" s="222" t="s">
        <v>573</v>
      </c>
      <c r="AW91" s="58">
        <f t="shared" si="63"/>
        <v>0</v>
      </c>
      <c r="AX91" s="251" t="s">
        <v>573</v>
      </c>
      <c r="AY91" s="58">
        <f t="shared" si="64"/>
        <v>0</v>
      </c>
      <c r="AZ91" s="222" t="s">
        <v>573</v>
      </c>
      <c r="BA91" s="58">
        <f t="shared" si="27"/>
        <v>0</v>
      </c>
      <c r="BB91" s="222" t="s">
        <v>573</v>
      </c>
      <c r="BC91" s="58">
        <f t="shared" si="28"/>
        <v>0</v>
      </c>
      <c r="BD91" s="222" t="s">
        <v>573</v>
      </c>
      <c r="BE91" s="58">
        <f t="shared" si="29"/>
        <v>0</v>
      </c>
      <c r="BF91" s="222" t="s">
        <v>573</v>
      </c>
      <c r="BG91" s="58">
        <f t="shared" si="30"/>
        <v>0</v>
      </c>
      <c r="BH91" s="223">
        <v>2880</v>
      </c>
      <c r="BI91" s="58">
        <f t="shared" si="31"/>
        <v>345.59999999999997</v>
      </c>
      <c r="BJ91" s="220">
        <f t="shared" si="65"/>
        <v>17280</v>
      </c>
      <c r="BK91" s="58"/>
      <c r="BL91" s="58" t="s">
        <v>966</v>
      </c>
      <c r="BM91" s="220" t="s">
        <v>1388</v>
      </c>
      <c r="BN91" s="213" t="s">
        <v>807</v>
      </c>
      <c r="BO91" s="58" t="s">
        <v>1246</v>
      </c>
      <c r="BP91" s="199">
        <v>46022</v>
      </c>
      <c r="BQ91" s="2" t="s">
        <v>1386</v>
      </c>
    </row>
    <row r="92" spans="1:69" ht="15.75" customHeight="1">
      <c r="A92" s="213" t="s">
        <v>788</v>
      </c>
      <c r="B92" s="58" t="s">
        <v>184</v>
      </c>
      <c r="C92" s="58" t="s">
        <v>752</v>
      </c>
      <c r="D92" s="214" t="s">
        <v>789</v>
      </c>
      <c r="E92" s="214" t="s">
        <v>789</v>
      </c>
      <c r="F92" s="215" t="s">
        <v>186</v>
      </c>
      <c r="G92" s="216">
        <v>2016</v>
      </c>
      <c r="H92" s="218" t="s">
        <v>803</v>
      </c>
      <c r="I92" s="218" t="s">
        <v>196</v>
      </c>
      <c r="J92" s="217" t="s">
        <v>890</v>
      </c>
      <c r="K92" s="213" t="s">
        <v>894</v>
      </c>
      <c r="L92" s="213" t="s">
        <v>192</v>
      </c>
      <c r="M92" s="219" t="s">
        <v>1388</v>
      </c>
      <c r="N92" s="219">
        <v>4.1399999999999997</v>
      </c>
      <c r="O92" s="219">
        <v>4.1399999999999997</v>
      </c>
      <c r="P92" s="219">
        <v>4.1399999999999997</v>
      </c>
      <c r="Q92" s="219">
        <v>4.1399999999999997</v>
      </c>
      <c r="R92" s="219">
        <v>4.1399999999999997</v>
      </c>
      <c r="S92" s="219">
        <v>4.1399999999999997</v>
      </c>
      <c r="T92" s="219">
        <v>4.1399999999999997</v>
      </c>
      <c r="U92" s="219">
        <v>4.1399999999999997</v>
      </c>
      <c r="V92" s="219">
        <v>4.1399999999999997</v>
      </c>
      <c r="W92" s="219">
        <v>4.1399999999999997</v>
      </c>
      <c r="X92" s="219">
        <v>4.1399999999999997</v>
      </c>
      <c r="Y92" s="219">
        <v>4.1399999999999997</v>
      </c>
      <c r="Z92" s="219">
        <v>0.12</v>
      </c>
      <c r="AA92" s="219">
        <v>0.12</v>
      </c>
      <c r="AB92" s="219">
        <v>0.12</v>
      </c>
      <c r="AC92" s="219">
        <v>0.12</v>
      </c>
      <c r="AD92" s="219">
        <v>0.12</v>
      </c>
      <c r="AE92" s="219">
        <v>0.12</v>
      </c>
      <c r="AF92" s="219">
        <v>0.12</v>
      </c>
      <c r="AG92" s="219">
        <v>0.12</v>
      </c>
      <c r="AH92" s="219">
        <v>0.12</v>
      </c>
      <c r="AI92" s="219">
        <v>0.12</v>
      </c>
      <c r="AJ92" s="219">
        <v>0.12</v>
      </c>
      <c r="AK92" s="219">
        <v>0.12</v>
      </c>
      <c r="AL92" s="229" t="s">
        <v>573</v>
      </c>
      <c r="AM92" s="219">
        <f t="shared" si="58"/>
        <v>0</v>
      </c>
      <c r="AN92" s="229">
        <v>2880</v>
      </c>
      <c r="AO92" s="221">
        <f t="shared" si="59"/>
        <v>345.59999999999997</v>
      </c>
      <c r="AP92" s="222" t="s">
        <v>573</v>
      </c>
      <c r="AQ92" s="221">
        <f t="shared" si="60"/>
        <v>0</v>
      </c>
      <c r="AR92" s="222" t="s">
        <v>573</v>
      </c>
      <c r="AS92" s="58">
        <f t="shared" si="61"/>
        <v>0</v>
      </c>
      <c r="AT92" s="222" t="s">
        <v>573</v>
      </c>
      <c r="AU92" s="58">
        <f t="shared" si="62"/>
        <v>0</v>
      </c>
      <c r="AV92" s="222" t="s">
        <v>573</v>
      </c>
      <c r="AW92" s="58">
        <f t="shared" si="63"/>
        <v>0</v>
      </c>
      <c r="AX92" s="251" t="s">
        <v>573</v>
      </c>
      <c r="AY92" s="58">
        <f t="shared" si="64"/>
        <v>0</v>
      </c>
      <c r="AZ92" s="222" t="s">
        <v>573</v>
      </c>
      <c r="BA92" s="58">
        <f t="shared" si="27"/>
        <v>0</v>
      </c>
      <c r="BB92" s="222" t="s">
        <v>573</v>
      </c>
      <c r="BC92" s="58">
        <f t="shared" si="28"/>
        <v>0</v>
      </c>
      <c r="BD92" s="222" t="s">
        <v>573</v>
      </c>
      <c r="BE92" s="58">
        <f t="shared" si="29"/>
        <v>0</v>
      </c>
      <c r="BF92" s="222" t="s">
        <v>573</v>
      </c>
      <c r="BG92" s="58">
        <f t="shared" si="30"/>
        <v>0</v>
      </c>
      <c r="BH92" s="223">
        <v>2880</v>
      </c>
      <c r="BI92" s="58">
        <f t="shared" si="31"/>
        <v>345.59999999999997</v>
      </c>
      <c r="BJ92" s="220">
        <f t="shared" si="65"/>
        <v>5760</v>
      </c>
      <c r="BK92" s="58"/>
      <c r="BL92" s="58" t="s">
        <v>967</v>
      </c>
      <c r="BM92" s="220" t="s">
        <v>1388</v>
      </c>
      <c r="BN92" s="213" t="s">
        <v>754</v>
      </c>
      <c r="BO92" s="58" t="s">
        <v>895</v>
      </c>
      <c r="BP92" s="199">
        <v>46022</v>
      </c>
      <c r="BQ92" s="2" t="s">
        <v>1386</v>
      </c>
    </row>
    <row r="93" spans="1:69" ht="15.75" customHeight="1">
      <c r="A93" s="213" t="s">
        <v>788</v>
      </c>
      <c r="B93" s="58" t="s">
        <v>184</v>
      </c>
      <c r="C93" s="58" t="s">
        <v>752</v>
      </c>
      <c r="D93" s="214" t="s">
        <v>789</v>
      </c>
      <c r="E93" s="214" t="s">
        <v>789</v>
      </c>
      <c r="F93" s="215" t="s">
        <v>186</v>
      </c>
      <c r="G93" s="216">
        <v>2019</v>
      </c>
      <c r="H93" s="218" t="s">
        <v>795</v>
      </c>
      <c r="I93" s="218" t="s">
        <v>196</v>
      </c>
      <c r="J93" s="217" t="s">
        <v>890</v>
      </c>
      <c r="K93" s="218" t="s">
        <v>191</v>
      </c>
      <c r="L93" s="213" t="s">
        <v>192</v>
      </c>
      <c r="M93" s="219" t="s">
        <v>1388</v>
      </c>
      <c r="N93" s="219">
        <v>1.81</v>
      </c>
      <c r="O93" s="219">
        <v>1.81</v>
      </c>
      <c r="P93" s="219">
        <v>1.81</v>
      </c>
      <c r="Q93" s="219">
        <v>1.81</v>
      </c>
      <c r="R93" s="219">
        <v>1.81</v>
      </c>
      <c r="S93" s="219">
        <v>1.81</v>
      </c>
      <c r="T93" s="219">
        <v>1.81</v>
      </c>
      <c r="U93" s="219">
        <v>1.81</v>
      </c>
      <c r="V93" s="219">
        <v>1.81</v>
      </c>
      <c r="W93" s="219">
        <v>1.81</v>
      </c>
      <c r="X93" s="219">
        <v>1.81</v>
      </c>
      <c r="Y93" s="219">
        <v>1.81</v>
      </c>
      <c r="Z93" s="219">
        <v>0</v>
      </c>
      <c r="AA93" s="219">
        <v>0</v>
      </c>
      <c r="AB93" s="219">
        <v>0</v>
      </c>
      <c r="AC93" s="219">
        <v>0</v>
      </c>
      <c r="AD93" s="219">
        <v>0</v>
      </c>
      <c r="AE93" s="219">
        <v>0</v>
      </c>
      <c r="AF93" s="219">
        <v>0</v>
      </c>
      <c r="AG93" s="219">
        <v>0</v>
      </c>
      <c r="AH93" s="219">
        <v>0</v>
      </c>
      <c r="AI93" s="219">
        <v>0</v>
      </c>
      <c r="AJ93" s="219">
        <v>0</v>
      </c>
      <c r="AK93" s="219">
        <v>0</v>
      </c>
      <c r="AL93" s="229">
        <v>6720</v>
      </c>
      <c r="AM93" s="219">
        <f t="shared" si="58"/>
        <v>0</v>
      </c>
      <c r="AN93" s="229">
        <v>13440</v>
      </c>
      <c r="AO93" s="221">
        <f t="shared" si="59"/>
        <v>0</v>
      </c>
      <c r="AP93" s="222">
        <v>6720</v>
      </c>
      <c r="AQ93" s="221">
        <f t="shared" si="60"/>
        <v>0</v>
      </c>
      <c r="AR93" s="222" t="s">
        <v>573</v>
      </c>
      <c r="AS93" s="58">
        <f t="shared" si="61"/>
        <v>0</v>
      </c>
      <c r="AT93" s="222" t="s">
        <v>573</v>
      </c>
      <c r="AU93" s="58">
        <f t="shared" si="62"/>
        <v>0</v>
      </c>
      <c r="AV93" s="222" t="s">
        <v>573</v>
      </c>
      <c r="AW93" s="58">
        <f t="shared" si="63"/>
        <v>0</v>
      </c>
      <c r="AX93" s="251" t="s">
        <v>573</v>
      </c>
      <c r="AY93" s="58">
        <f t="shared" si="64"/>
        <v>0</v>
      </c>
      <c r="AZ93" s="222">
        <v>6720</v>
      </c>
      <c r="BA93" s="58">
        <f t="shared" si="27"/>
        <v>0</v>
      </c>
      <c r="BB93" s="222">
        <v>13440</v>
      </c>
      <c r="BC93" s="58">
        <f t="shared" si="28"/>
        <v>0</v>
      </c>
      <c r="BD93" s="222" t="s">
        <v>573</v>
      </c>
      <c r="BE93" s="58">
        <f t="shared" si="29"/>
        <v>0</v>
      </c>
      <c r="BF93" s="222">
        <v>13440</v>
      </c>
      <c r="BG93" s="58">
        <f t="shared" si="30"/>
        <v>0</v>
      </c>
      <c r="BH93" s="223">
        <v>6720</v>
      </c>
      <c r="BI93" s="58">
        <f t="shared" si="31"/>
        <v>0</v>
      </c>
      <c r="BJ93" s="220">
        <f t="shared" si="65"/>
        <v>67200</v>
      </c>
      <c r="BK93" s="58"/>
      <c r="BL93" s="58" t="s">
        <v>968</v>
      </c>
      <c r="BM93" s="220" t="s">
        <v>1388</v>
      </c>
      <c r="BN93" s="213" t="s">
        <v>1310</v>
      </c>
      <c r="BO93" s="58" t="s">
        <v>805</v>
      </c>
      <c r="BP93" s="199">
        <v>45596</v>
      </c>
      <c r="BQ93" s="2" t="s">
        <v>1386</v>
      </c>
    </row>
    <row r="94" spans="1:69" ht="15.75" customHeight="1">
      <c r="A94" s="213" t="s">
        <v>788</v>
      </c>
      <c r="B94" s="58" t="s">
        <v>184</v>
      </c>
      <c r="C94" s="58" t="s">
        <v>752</v>
      </c>
      <c r="D94" s="214" t="s">
        <v>789</v>
      </c>
      <c r="E94" s="214" t="s">
        <v>789</v>
      </c>
      <c r="F94" s="215" t="s">
        <v>186</v>
      </c>
      <c r="G94" s="216">
        <v>2019</v>
      </c>
      <c r="H94" s="218" t="s">
        <v>795</v>
      </c>
      <c r="I94" s="218" t="s">
        <v>196</v>
      </c>
      <c r="J94" s="217" t="s">
        <v>890</v>
      </c>
      <c r="K94" s="218" t="s">
        <v>191</v>
      </c>
      <c r="L94" s="213" t="s">
        <v>192</v>
      </c>
      <c r="M94" s="219" t="s">
        <v>1397</v>
      </c>
      <c r="N94" s="219">
        <v>1.72</v>
      </c>
      <c r="O94" s="219">
        <v>1.72</v>
      </c>
      <c r="P94" s="219">
        <v>1.72</v>
      </c>
      <c r="Q94" s="219">
        <v>1.72</v>
      </c>
      <c r="R94" s="219">
        <v>1.72</v>
      </c>
      <c r="S94" s="219">
        <v>1.72</v>
      </c>
      <c r="T94" s="219">
        <v>1.72</v>
      </c>
      <c r="U94" s="219">
        <v>1.72</v>
      </c>
      <c r="V94" s="219">
        <v>1.72</v>
      </c>
      <c r="W94" s="219">
        <v>1.72</v>
      </c>
      <c r="X94" s="219">
        <v>1.72</v>
      </c>
      <c r="Y94" s="219">
        <v>1.72</v>
      </c>
      <c r="Z94" s="219">
        <v>0</v>
      </c>
      <c r="AA94" s="219">
        <v>0</v>
      </c>
      <c r="AB94" s="219">
        <v>0</v>
      </c>
      <c r="AC94" s="219">
        <v>0</v>
      </c>
      <c r="AD94" s="219">
        <v>0</v>
      </c>
      <c r="AE94" s="219">
        <v>0</v>
      </c>
      <c r="AF94" s="219">
        <v>0</v>
      </c>
      <c r="AG94" s="219">
        <v>0</v>
      </c>
      <c r="AH94" s="219">
        <v>0</v>
      </c>
      <c r="AI94" s="219">
        <v>0</v>
      </c>
      <c r="AJ94" s="219">
        <v>0</v>
      </c>
      <c r="AK94" s="219">
        <v>0</v>
      </c>
      <c r="AL94" s="229" t="s">
        <v>573</v>
      </c>
      <c r="AM94" s="219">
        <f t="shared" si="58"/>
        <v>0</v>
      </c>
      <c r="AN94" s="229" t="s">
        <v>573</v>
      </c>
      <c r="AO94" s="221">
        <f t="shared" si="59"/>
        <v>0</v>
      </c>
      <c r="AP94" s="222" t="s">
        <v>573</v>
      </c>
      <c r="AQ94" s="221">
        <f t="shared" si="60"/>
        <v>0</v>
      </c>
      <c r="AR94" s="222" t="s">
        <v>573</v>
      </c>
      <c r="AS94" s="58">
        <f t="shared" si="61"/>
        <v>0</v>
      </c>
      <c r="AT94" s="222" t="s">
        <v>573</v>
      </c>
      <c r="AU94" s="58">
        <f t="shared" si="62"/>
        <v>0</v>
      </c>
      <c r="AV94" s="222" t="s">
        <v>573</v>
      </c>
      <c r="AW94" s="58">
        <f t="shared" si="63"/>
        <v>0</v>
      </c>
      <c r="AX94" s="251" t="s">
        <v>573</v>
      </c>
      <c r="AY94" s="58">
        <f t="shared" si="64"/>
        <v>0</v>
      </c>
      <c r="AZ94" s="222" t="s">
        <v>573</v>
      </c>
      <c r="BA94" s="58">
        <f t="shared" si="27"/>
        <v>0</v>
      </c>
      <c r="BB94" s="222" t="s">
        <v>573</v>
      </c>
      <c r="BC94" s="58">
        <f t="shared" si="28"/>
        <v>0</v>
      </c>
      <c r="BD94" s="222" t="s">
        <v>573</v>
      </c>
      <c r="BE94" s="58">
        <f t="shared" si="29"/>
        <v>0</v>
      </c>
      <c r="BF94" s="222" t="s">
        <v>573</v>
      </c>
      <c r="BG94" s="58">
        <f t="shared" si="30"/>
        <v>0</v>
      </c>
      <c r="BH94" s="223" t="s">
        <v>573</v>
      </c>
      <c r="BI94" s="58">
        <f t="shared" si="31"/>
        <v>0</v>
      </c>
      <c r="BJ94" s="220">
        <f t="shared" si="65"/>
        <v>0</v>
      </c>
      <c r="BK94" s="58"/>
      <c r="BL94" s="58" t="s">
        <v>969</v>
      </c>
      <c r="BM94" s="220" t="s">
        <v>1397</v>
      </c>
      <c r="BN94" s="213" t="s">
        <v>754</v>
      </c>
      <c r="BO94" s="58" t="s">
        <v>610</v>
      </c>
      <c r="BP94" s="199">
        <v>45596</v>
      </c>
      <c r="BQ94" s="2" t="s">
        <v>1386</v>
      </c>
    </row>
    <row r="95" spans="1:69" ht="15.75" customHeight="1">
      <c r="A95" s="213" t="s">
        <v>788</v>
      </c>
      <c r="B95" s="58" t="s">
        <v>184</v>
      </c>
      <c r="C95" s="58" t="s">
        <v>752</v>
      </c>
      <c r="D95" s="214" t="s">
        <v>789</v>
      </c>
      <c r="E95" s="214" t="s">
        <v>789</v>
      </c>
      <c r="F95" s="215" t="s">
        <v>186</v>
      </c>
      <c r="G95" s="216">
        <v>2019</v>
      </c>
      <c r="H95" s="218" t="s">
        <v>795</v>
      </c>
      <c r="I95" s="218" t="s">
        <v>196</v>
      </c>
      <c r="J95" s="217" t="s">
        <v>890</v>
      </c>
      <c r="K95" s="218" t="s">
        <v>191</v>
      </c>
      <c r="L95" s="213" t="s">
        <v>192</v>
      </c>
      <c r="M95" s="219" t="s">
        <v>1388</v>
      </c>
      <c r="N95" s="219">
        <v>1.89</v>
      </c>
      <c r="O95" s="219">
        <v>1.89</v>
      </c>
      <c r="P95" s="219">
        <v>1.89</v>
      </c>
      <c r="Q95" s="219">
        <v>1.89</v>
      </c>
      <c r="R95" s="219">
        <v>1.89</v>
      </c>
      <c r="S95" s="219">
        <v>1.89</v>
      </c>
      <c r="T95" s="219">
        <v>1.89</v>
      </c>
      <c r="U95" s="219">
        <v>1.89</v>
      </c>
      <c r="V95" s="219">
        <v>1.89</v>
      </c>
      <c r="W95" s="219">
        <v>1.89</v>
      </c>
      <c r="X95" s="219">
        <v>1.89</v>
      </c>
      <c r="Y95" s="219">
        <v>1.89</v>
      </c>
      <c r="Z95" s="219">
        <v>0</v>
      </c>
      <c r="AA95" s="219">
        <v>0</v>
      </c>
      <c r="AB95" s="219">
        <v>0</v>
      </c>
      <c r="AC95" s="219">
        <v>0</v>
      </c>
      <c r="AD95" s="219">
        <v>0</v>
      </c>
      <c r="AE95" s="219">
        <v>0</v>
      </c>
      <c r="AF95" s="219">
        <v>0</v>
      </c>
      <c r="AG95" s="219">
        <v>0</v>
      </c>
      <c r="AH95" s="219">
        <v>0</v>
      </c>
      <c r="AI95" s="219">
        <v>0</v>
      </c>
      <c r="AJ95" s="219">
        <v>0</v>
      </c>
      <c r="AK95" s="219">
        <v>0</v>
      </c>
      <c r="AL95" s="229">
        <v>2880</v>
      </c>
      <c r="AM95" s="219">
        <f t="shared" si="58"/>
        <v>0</v>
      </c>
      <c r="AN95" s="229">
        <v>5760</v>
      </c>
      <c r="AO95" s="221">
        <f t="shared" si="59"/>
        <v>0</v>
      </c>
      <c r="AP95" s="222">
        <v>5760</v>
      </c>
      <c r="AQ95" s="221">
        <f t="shared" si="60"/>
        <v>0</v>
      </c>
      <c r="AR95" s="222">
        <v>2880</v>
      </c>
      <c r="AS95" s="58">
        <f t="shared" si="61"/>
        <v>0</v>
      </c>
      <c r="AT95" s="222">
        <v>5760</v>
      </c>
      <c r="AU95" s="58">
        <f t="shared" si="62"/>
        <v>0</v>
      </c>
      <c r="AV95" s="222">
        <v>8640</v>
      </c>
      <c r="AW95" s="58">
        <f t="shared" si="63"/>
        <v>0</v>
      </c>
      <c r="AX95" s="251">
        <v>5760</v>
      </c>
      <c r="AY95" s="58">
        <f t="shared" si="64"/>
        <v>0</v>
      </c>
      <c r="AZ95" s="222">
        <v>2880</v>
      </c>
      <c r="BA95" s="58">
        <f t="shared" si="27"/>
        <v>0</v>
      </c>
      <c r="BB95" s="222">
        <v>11520</v>
      </c>
      <c r="BC95" s="58">
        <f t="shared" si="28"/>
        <v>0</v>
      </c>
      <c r="BD95" s="222">
        <v>2880</v>
      </c>
      <c r="BE95" s="58">
        <f t="shared" si="29"/>
        <v>0</v>
      </c>
      <c r="BF95" s="222">
        <v>11520</v>
      </c>
      <c r="BG95" s="58">
        <f t="shared" si="30"/>
        <v>0</v>
      </c>
      <c r="BH95" s="223">
        <v>8640</v>
      </c>
      <c r="BI95" s="58">
        <f t="shared" si="31"/>
        <v>0</v>
      </c>
      <c r="BJ95" s="220">
        <f t="shared" si="65"/>
        <v>74880</v>
      </c>
      <c r="BK95" s="58"/>
      <c r="BL95" s="58" t="s">
        <v>970</v>
      </c>
      <c r="BM95" s="220" t="s">
        <v>1388</v>
      </c>
      <c r="BN95" s="213" t="s">
        <v>754</v>
      </c>
      <c r="BO95" s="58" t="s">
        <v>611</v>
      </c>
      <c r="BP95" s="199">
        <v>45596</v>
      </c>
      <c r="BQ95" s="2" t="s">
        <v>1386</v>
      </c>
    </row>
    <row r="96" spans="1:69" ht="15.75" customHeight="1">
      <c r="A96" s="213" t="s">
        <v>788</v>
      </c>
      <c r="B96" s="58" t="s">
        <v>184</v>
      </c>
      <c r="C96" s="58" t="s">
        <v>752</v>
      </c>
      <c r="D96" s="214" t="s">
        <v>789</v>
      </c>
      <c r="E96" s="214" t="s">
        <v>789</v>
      </c>
      <c r="F96" s="215" t="s">
        <v>186</v>
      </c>
      <c r="G96" s="216">
        <v>2019</v>
      </c>
      <c r="H96" s="218" t="s">
        <v>795</v>
      </c>
      <c r="I96" s="218" t="s">
        <v>196</v>
      </c>
      <c r="J96" s="217" t="s">
        <v>890</v>
      </c>
      <c r="K96" s="218" t="s">
        <v>191</v>
      </c>
      <c r="L96" s="213" t="s">
        <v>192</v>
      </c>
      <c r="M96" s="219" t="s">
        <v>1391</v>
      </c>
      <c r="N96" s="219">
        <v>1.8</v>
      </c>
      <c r="O96" s="219">
        <v>1.8</v>
      </c>
      <c r="P96" s="219">
        <v>1.8</v>
      </c>
      <c r="Q96" s="219">
        <v>1.8</v>
      </c>
      <c r="R96" s="219">
        <v>1.8</v>
      </c>
      <c r="S96" s="219">
        <v>1.8</v>
      </c>
      <c r="T96" s="219">
        <v>1.8</v>
      </c>
      <c r="U96" s="219">
        <v>1.8</v>
      </c>
      <c r="V96" s="219">
        <v>1.8</v>
      </c>
      <c r="W96" s="219">
        <v>1.8</v>
      </c>
      <c r="X96" s="219">
        <v>1.8</v>
      </c>
      <c r="Y96" s="219">
        <v>1.8</v>
      </c>
      <c r="Z96" s="219">
        <v>0</v>
      </c>
      <c r="AA96" s="219">
        <v>0</v>
      </c>
      <c r="AB96" s="219">
        <v>0</v>
      </c>
      <c r="AC96" s="219">
        <v>0</v>
      </c>
      <c r="AD96" s="219">
        <v>0</v>
      </c>
      <c r="AE96" s="219">
        <v>0</v>
      </c>
      <c r="AF96" s="219">
        <v>0</v>
      </c>
      <c r="AG96" s="219">
        <v>0</v>
      </c>
      <c r="AH96" s="219">
        <v>0</v>
      </c>
      <c r="AI96" s="219">
        <v>0</v>
      </c>
      <c r="AJ96" s="219">
        <v>0</v>
      </c>
      <c r="AK96" s="219">
        <v>0</v>
      </c>
      <c r="AL96" s="229" t="s">
        <v>573</v>
      </c>
      <c r="AM96" s="219">
        <f t="shared" si="58"/>
        <v>0</v>
      </c>
      <c r="AN96" s="229" t="s">
        <v>573</v>
      </c>
      <c r="AO96" s="221">
        <f t="shared" si="59"/>
        <v>0</v>
      </c>
      <c r="AP96" s="222" t="s">
        <v>573</v>
      </c>
      <c r="AQ96" s="221">
        <f t="shared" si="60"/>
        <v>0</v>
      </c>
      <c r="AR96" s="222" t="s">
        <v>573</v>
      </c>
      <c r="AS96" s="58">
        <f t="shared" si="61"/>
        <v>0</v>
      </c>
      <c r="AT96" s="222">
        <v>17280</v>
      </c>
      <c r="AU96" s="58">
        <f t="shared" si="62"/>
        <v>0</v>
      </c>
      <c r="AV96" s="222" t="s">
        <v>573</v>
      </c>
      <c r="AW96" s="58">
        <f t="shared" si="63"/>
        <v>0</v>
      </c>
      <c r="AX96" s="251" t="s">
        <v>573</v>
      </c>
      <c r="AY96" s="58">
        <f t="shared" si="64"/>
        <v>0</v>
      </c>
      <c r="AZ96" s="222" t="s">
        <v>573</v>
      </c>
      <c r="BA96" s="58">
        <f t="shared" si="27"/>
        <v>0</v>
      </c>
      <c r="BB96" s="222" t="s">
        <v>573</v>
      </c>
      <c r="BC96" s="58">
        <f t="shared" si="28"/>
        <v>0</v>
      </c>
      <c r="BD96" s="222" t="s">
        <v>573</v>
      </c>
      <c r="BE96" s="58">
        <f t="shared" si="29"/>
        <v>0</v>
      </c>
      <c r="BF96" s="222">
        <v>11520</v>
      </c>
      <c r="BG96" s="58">
        <f t="shared" si="30"/>
        <v>0</v>
      </c>
      <c r="BH96" s="223" t="s">
        <v>573</v>
      </c>
      <c r="BI96" s="58">
        <f t="shared" si="31"/>
        <v>0</v>
      </c>
      <c r="BJ96" s="220">
        <f t="shared" si="65"/>
        <v>28800</v>
      </c>
      <c r="BK96" s="58"/>
      <c r="BL96" s="58" t="s">
        <v>971</v>
      </c>
      <c r="BM96" s="220" t="s">
        <v>1391</v>
      </c>
      <c r="BN96" s="213" t="s">
        <v>197</v>
      </c>
      <c r="BO96" s="58" t="s">
        <v>607</v>
      </c>
      <c r="BP96" s="199">
        <v>45596</v>
      </c>
      <c r="BQ96" s="2" t="s">
        <v>1386</v>
      </c>
    </row>
    <row r="97" spans="1:69" ht="15.75" customHeight="1">
      <c r="A97" s="213" t="s">
        <v>788</v>
      </c>
      <c r="B97" s="58" t="s">
        <v>184</v>
      </c>
      <c r="C97" s="58" t="s">
        <v>752</v>
      </c>
      <c r="D97" s="214" t="s">
        <v>789</v>
      </c>
      <c r="E97" s="214" t="s">
        <v>789</v>
      </c>
      <c r="F97" s="215" t="s">
        <v>186</v>
      </c>
      <c r="G97" s="216">
        <v>2023</v>
      </c>
      <c r="H97" s="218" t="s">
        <v>795</v>
      </c>
      <c r="I97" s="218" t="s">
        <v>196</v>
      </c>
      <c r="J97" s="217" t="s">
        <v>890</v>
      </c>
      <c r="K97" s="213" t="s">
        <v>753</v>
      </c>
      <c r="L97" s="213" t="s">
        <v>192</v>
      </c>
      <c r="M97" s="219" t="s">
        <v>1388</v>
      </c>
      <c r="N97" s="219">
        <v>1.89</v>
      </c>
      <c r="O97" s="219">
        <v>1.89</v>
      </c>
      <c r="P97" s="219">
        <v>1.89</v>
      </c>
      <c r="Q97" s="219">
        <v>1.89</v>
      </c>
      <c r="R97" s="219">
        <v>1.89</v>
      </c>
      <c r="S97" s="219">
        <v>1.89</v>
      </c>
      <c r="T97" s="219">
        <v>1.89</v>
      </c>
      <c r="U97" s="219">
        <v>1.89</v>
      </c>
      <c r="V97" s="219">
        <v>1.89</v>
      </c>
      <c r="W97" s="219">
        <v>1.89</v>
      </c>
      <c r="X97" s="219">
        <v>1.89</v>
      </c>
      <c r="Y97" s="219">
        <v>1.89</v>
      </c>
      <c r="Z97" s="219">
        <v>0</v>
      </c>
      <c r="AA97" s="219">
        <v>0</v>
      </c>
      <c r="AB97" s="219">
        <v>0</v>
      </c>
      <c r="AC97" s="219">
        <v>0</v>
      </c>
      <c r="AD97" s="219">
        <v>0</v>
      </c>
      <c r="AE97" s="219">
        <v>0</v>
      </c>
      <c r="AF97" s="219">
        <v>0</v>
      </c>
      <c r="AG97" s="219">
        <v>0</v>
      </c>
      <c r="AH97" s="219">
        <v>0</v>
      </c>
      <c r="AI97" s="219">
        <v>0</v>
      </c>
      <c r="AJ97" s="219">
        <v>0</v>
      </c>
      <c r="AK97" s="219">
        <v>0</v>
      </c>
      <c r="AL97" s="229" t="s">
        <v>573</v>
      </c>
      <c r="AM97" s="219">
        <f t="shared" si="58"/>
        <v>0</v>
      </c>
      <c r="AN97" s="229" t="s">
        <v>573</v>
      </c>
      <c r="AO97" s="221">
        <f t="shared" si="59"/>
        <v>0</v>
      </c>
      <c r="AP97" s="222" t="s">
        <v>573</v>
      </c>
      <c r="AQ97" s="221">
        <f t="shared" si="60"/>
        <v>0</v>
      </c>
      <c r="AR97" s="222" t="s">
        <v>573</v>
      </c>
      <c r="AS97" s="58">
        <f t="shared" si="61"/>
        <v>0</v>
      </c>
      <c r="AT97" s="222" t="s">
        <v>573</v>
      </c>
      <c r="AU97" s="58">
        <f t="shared" si="62"/>
        <v>0</v>
      </c>
      <c r="AV97" s="222" t="s">
        <v>573</v>
      </c>
      <c r="AW97" s="58">
        <f t="shared" si="63"/>
        <v>0</v>
      </c>
      <c r="AX97" s="251" t="s">
        <v>573</v>
      </c>
      <c r="AY97" s="58">
        <f t="shared" si="64"/>
        <v>0</v>
      </c>
      <c r="AZ97" s="222" t="s">
        <v>573</v>
      </c>
      <c r="BA97" s="58">
        <f t="shared" si="27"/>
        <v>0</v>
      </c>
      <c r="BB97" s="222" t="s">
        <v>573</v>
      </c>
      <c r="BC97" s="58">
        <f t="shared" si="28"/>
        <v>0</v>
      </c>
      <c r="BD97" s="222">
        <v>2880</v>
      </c>
      <c r="BE97" s="58">
        <f t="shared" si="29"/>
        <v>0</v>
      </c>
      <c r="BF97" s="222" t="s">
        <v>573</v>
      </c>
      <c r="BG97" s="58">
        <f t="shared" si="30"/>
        <v>0</v>
      </c>
      <c r="BH97" s="223">
        <v>2880</v>
      </c>
      <c r="BI97" s="58">
        <f t="shared" si="31"/>
        <v>0</v>
      </c>
      <c r="BJ97" s="220">
        <f t="shared" si="65"/>
        <v>5760</v>
      </c>
      <c r="BK97" s="58"/>
      <c r="BL97" s="58" t="s">
        <v>972</v>
      </c>
      <c r="BM97" s="220" t="s">
        <v>1388</v>
      </c>
      <c r="BN97" s="213" t="s">
        <v>807</v>
      </c>
      <c r="BO97" s="58" t="s">
        <v>1172</v>
      </c>
      <c r="BP97" s="199"/>
      <c r="BQ97" s="2" t="s">
        <v>1386</v>
      </c>
    </row>
    <row r="98" spans="1:69" ht="15.75" customHeight="1">
      <c r="A98" s="213" t="s">
        <v>788</v>
      </c>
      <c r="B98" s="58" t="s">
        <v>184</v>
      </c>
      <c r="C98" s="58" t="s">
        <v>752</v>
      </c>
      <c r="D98" s="214" t="s">
        <v>789</v>
      </c>
      <c r="E98" s="214" t="s">
        <v>789</v>
      </c>
      <c r="F98" s="215" t="s">
        <v>186</v>
      </c>
      <c r="G98" s="216">
        <v>2023</v>
      </c>
      <c r="H98" s="218" t="s">
        <v>795</v>
      </c>
      <c r="I98" s="218" t="s">
        <v>196</v>
      </c>
      <c r="J98" s="217" t="s">
        <v>890</v>
      </c>
      <c r="K98" s="213" t="s">
        <v>753</v>
      </c>
      <c r="L98" s="213" t="s">
        <v>192</v>
      </c>
      <c r="M98" s="219" t="s">
        <v>1388</v>
      </c>
      <c r="N98" s="219">
        <v>1.89</v>
      </c>
      <c r="O98" s="219">
        <v>1.89</v>
      </c>
      <c r="P98" s="219">
        <v>1.89</v>
      </c>
      <c r="Q98" s="219">
        <v>1.89</v>
      </c>
      <c r="R98" s="219">
        <v>1.89</v>
      </c>
      <c r="S98" s="219">
        <v>1.89</v>
      </c>
      <c r="T98" s="219">
        <v>1.89</v>
      </c>
      <c r="U98" s="219">
        <v>1.89</v>
      </c>
      <c r="V98" s="219">
        <v>1.89</v>
      </c>
      <c r="W98" s="219">
        <v>1.89</v>
      </c>
      <c r="X98" s="219">
        <v>1.89</v>
      </c>
      <c r="Y98" s="219">
        <v>1.89</v>
      </c>
      <c r="Z98" s="219">
        <v>0</v>
      </c>
      <c r="AA98" s="219">
        <v>0</v>
      </c>
      <c r="AB98" s="219">
        <v>0</v>
      </c>
      <c r="AC98" s="219">
        <v>0</v>
      </c>
      <c r="AD98" s="219">
        <v>0</v>
      </c>
      <c r="AE98" s="219">
        <v>0</v>
      </c>
      <c r="AF98" s="219">
        <v>0</v>
      </c>
      <c r="AG98" s="219">
        <v>0</v>
      </c>
      <c r="AH98" s="219">
        <v>0</v>
      </c>
      <c r="AI98" s="219">
        <v>0</v>
      </c>
      <c r="AJ98" s="219">
        <v>0</v>
      </c>
      <c r="AK98" s="219">
        <v>0</v>
      </c>
      <c r="AL98" s="229">
        <v>5760</v>
      </c>
      <c r="AM98" s="219">
        <f t="shared" si="58"/>
        <v>0</v>
      </c>
      <c r="AN98" s="229">
        <v>8640</v>
      </c>
      <c r="AO98" s="221">
        <f t="shared" si="59"/>
        <v>0</v>
      </c>
      <c r="AP98" s="222">
        <v>8640</v>
      </c>
      <c r="AQ98" s="221">
        <f t="shared" si="60"/>
        <v>0</v>
      </c>
      <c r="AR98" s="222">
        <v>11520</v>
      </c>
      <c r="AS98" s="58">
        <f t="shared" si="61"/>
        <v>0</v>
      </c>
      <c r="AT98" s="222">
        <v>11520</v>
      </c>
      <c r="AU98" s="58">
        <f t="shared" si="62"/>
        <v>0</v>
      </c>
      <c r="AV98" s="222">
        <v>14400</v>
      </c>
      <c r="AW98" s="58">
        <f t="shared" si="63"/>
        <v>0</v>
      </c>
      <c r="AX98" s="251">
        <v>23040</v>
      </c>
      <c r="AY98" s="58">
        <f t="shared" si="64"/>
        <v>0</v>
      </c>
      <c r="AZ98" s="222">
        <v>8640</v>
      </c>
      <c r="BA98" s="58">
        <f t="shared" si="27"/>
        <v>0</v>
      </c>
      <c r="BB98" s="222">
        <v>17280</v>
      </c>
      <c r="BC98" s="58">
        <f t="shared" si="28"/>
        <v>0</v>
      </c>
      <c r="BD98" s="222">
        <v>11520</v>
      </c>
      <c r="BE98" s="58">
        <f t="shared" si="29"/>
        <v>0</v>
      </c>
      <c r="BF98" s="222">
        <v>2880</v>
      </c>
      <c r="BG98" s="58">
        <f t="shared" si="30"/>
        <v>0</v>
      </c>
      <c r="BH98" s="223">
        <v>5760</v>
      </c>
      <c r="BI98" s="58">
        <f t="shared" si="31"/>
        <v>0</v>
      </c>
      <c r="BJ98" s="220">
        <f t="shared" si="65"/>
        <v>129600</v>
      </c>
      <c r="BK98" s="58"/>
      <c r="BL98" s="58" t="s">
        <v>973</v>
      </c>
      <c r="BM98" s="220" t="s">
        <v>1388</v>
      </c>
      <c r="BN98" s="213" t="s">
        <v>754</v>
      </c>
      <c r="BO98" s="58" t="s">
        <v>1173</v>
      </c>
      <c r="BP98" s="199"/>
      <c r="BQ98" s="2" t="s">
        <v>1386</v>
      </c>
    </row>
    <row r="99" spans="1:69" ht="15.75" customHeight="1">
      <c r="A99" s="213" t="s">
        <v>788</v>
      </c>
      <c r="B99" s="58" t="s">
        <v>184</v>
      </c>
      <c r="C99" s="58" t="s">
        <v>752</v>
      </c>
      <c r="D99" s="214" t="s">
        <v>789</v>
      </c>
      <c r="E99" s="214" t="s">
        <v>789</v>
      </c>
      <c r="F99" s="215" t="s">
        <v>186</v>
      </c>
      <c r="G99" s="216">
        <v>2023</v>
      </c>
      <c r="H99" s="218" t="s">
        <v>795</v>
      </c>
      <c r="I99" s="218" t="s">
        <v>196</v>
      </c>
      <c r="J99" s="217" t="s">
        <v>890</v>
      </c>
      <c r="K99" s="213" t="s">
        <v>753</v>
      </c>
      <c r="L99" s="213" t="s">
        <v>192</v>
      </c>
      <c r="M99" s="219" t="s">
        <v>1389</v>
      </c>
      <c r="N99" s="219">
        <v>1.89</v>
      </c>
      <c r="O99" s="219">
        <v>1.89</v>
      </c>
      <c r="P99" s="219">
        <v>1.89</v>
      </c>
      <c r="Q99" s="219">
        <v>1.89</v>
      </c>
      <c r="R99" s="219">
        <v>1.89</v>
      </c>
      <c r="S99" s="219">
        <v>1.89</v>
      </c>
      <c r="T99" s="219">
        <v>1.89</v>
      </c>
      <c r="U99" s="219">
        <v>1.89</v>
      </c>
      <c r="V99" s="219">
        <v>1.89</v>
      </c>
      <c r="W99" s="219">
        <v>1.89</v>
      </c>
      <c r="X99" s="219">
        <v>1.89</v>
      </c>
      <c r="Y99" s="219">
        <v>1.89</v>
      </c>
      <c r="Z99" s="219">
        <v>0</v>
      </c>
      <c r="AA99" s="219">
        <v>0</v>
      </c>
      <c r="AB99" s="219">
        <v>0</v>
      </c>
      <c r="AC99" s="219">
        <v>0</v>
      </c>
      <c r="AD99" s="219">
        <v>0</v>
      </c>
      <c r="AE99" s="219">
        <v>0</v>
      </c>
      <c r="AF99" s="219">
        <v>0</v>
      </c>
      <c r="AG99" s="219">
        <v>0</v>
      </c>
      <c r="AH99" s="219">
        <v>0</v>
      </c>
      <c r="AI99" s="219">
        <v>0</v>
      </c>
      <c r="AJ99" s="219">
        <v>0</v>
      </c>
      <c r="AK99" s="219">
        <v>0</v>
      </c>
      <c r="AL99" s="229" t="s">
        <v>573</v>
      </c>
      <c r="AM99" s="219">
        <f t="shared" si="58"/>
        <v>0</v>
      </c>
      <c r="AN99" s="229">
        <v>8640</v>
      </c>
      <c r="AO99" s="221">
        <f t="shared" si="59"/>
        <v>0</v>
      </c>
      <c r="AP99" s="222" t="s">
        <v>573</v>
      </c>
      <c r="AQ99" s="221">
        <f t="shared" si="60"/>
        <v>0</v>
      </c>
      <c r="AR99" s="222">
        <v>5760</v>
      </c>
      <c r="AS99" s="58">
        <f t="shared" si="61"/>
        <v>0</v>
      </c>
      <c r="AT99" s="222" t="s">
        <v>573</v>
      </c>
      <c r="AU99" s="58">
        <f t="shared" si="62"/>
        <v>0</v>
      </c>
      <c r="AV99" s="222" t="s">
        <v>573</v>
      </c>
      <c r="AW99" s="58">
        <f t="shared" si="63"/>
        <v>0</v>
      </c>
      <c r="AX99" s="251" t="s">
        <v>573</v>
      </c>
      <c r="AY99" s="58">
        <f t="shared" si="64"/>
        <v>0</v>
      </c>
      <c r="AZ99" s="222" t="s">
        <v>573</v>
      </c>
      <c r="BA99" s="58">
        <f t="shared" si="27"/>
        <v>0</v>
      </c>
      <c r="BB99" s="222" t="s">
        <v>573</v>
      </c>
      <c r="BC99" s="58">
        <f t="shared" si="28"/>
        <v>0</v>
      </c>
      <c r="BD99" s="222" t="s">
        <v>573</v>
      </c>
      <c r="BE99" s="58">
        <f t="shared" si="29"/>
        <v>0</v>
      </c>
      <c r="BF99" s="222" t="s">
        <v>573</v>
      </c>
      <c r="BG99" s="58">
        <f t="shared" si="30"/>
        <v>0</v>
      </c>
      <c r="BH99" s="223">
        <v>2880</v>
      </c>
      <c r="BI99" s="58">
        <f t="shared" si="31"/>
        <v>0</v>
      </c>
      <c r="BJ99" s="220">
        <f t="shared" si="65"/>
        <v>17280</v>
      </c>
      <c r="BK99" s="58"/>
      <c r="BL99" s="58" t="s">
        <v>974</v>
      </c>
      <c r="BM99" s="220" t="s">
        <v>1389</v>
      </c>
      <c r="BN99" s="213" t="s">
        <v>763</v>
      </c>
      <c r="BO99" s="58" t="s">
        <v>1174</v>
      </c>
      <c r="BP99" s="199"/>
      <c r="BQ99" s="2" t="s">
        <v>1386</v>
      </c>
    </row>
    <row r="100" spans="1:69" ht="15.75" customHeight="1">
      <c r="A100" s="213" t="s">
        <v>788</v>
      </c>
      <c r="B100" s="58" t="s">
        <v>184</v>
      </c>
      <c r="C100" s="58" t="s">
        <v>752</v>
      </c>
      <c r="D100" s="214" t="s">
        <v>789</v>
      </c>
      <c r="E100" s="214" t="s">
        <v>789</v>
      </c>
      <c r="F100" s="215" t="s">
        <v>186</v>
      </c>
      <c r="G100" s="216">
        <v>2020</v>
      </c>
      <c r="H100" s="218" t="s">
        <v>797</v>
      </c>
      <c r="I100" s="218" t="s">
        <v>196</v>
      </c>
      <c r="J100" s="217" t="s">
        <v>890</v>
      </c>
      <c r="K100" s="213" t="s">
        <v>216</v>
      </c>
      <c r="L100" s="213" t="s">
        <v>192</v>
      </c>
      <c r="M100" s="219" t="s">
        <v>1398</v>
      </c>
      <c r="N100" s="219">
        <v>22.72</v>
      </c>
      <c r="O100" s="219">
        <v>22.72</v>
      </c>
      <c r="P100" s="219">
        <v>22.72</v>
      </c>
      <c r="Q100" s="219">
        <v>22.72</v>
      </c>
      <c r="R100" s="219">
        <v>22.72</v>
      </c>
      <c r="S100" s="219">
        <v>22.72</v>
      </c>
      <c r="T100" s="219">
        <v>22.72</v>
      </c>
      <c r="U100" s="219">
        <v>22.72</v>
      </c>
      <c r="V100" s="219">
        <v>22.72</v>
      </c>
      <c r="W100" s="219">
        <v>22.72</v>
      </c>
      <c r="X100" s="219">
        <v>22.72</v>
      </c>
      <c r="Y100" s="219">
        <v>22.72</v>
      </c>
      <c r="Z100" s="219">
        <v>0.06</v>
      </c>
      <c r="AA100" s="219">
        <v>0.06</v>
      </c>
      <c r="AB100" s="219">
        <v>0.06</v>
      </c>
      <c r="AC100" s="219">
        <v>0.06</v>
      </c>
      <c r="AD100" s="219">
        <v>0.06</v>
      </c>
      <c r="AE100" s="219">
        <v>0.06</v>
      </c>
      <c r="AF100" s="219">
        <v>0.06</v>
      </c>
      <c r="AG100" s="219">
        <v>0.06</v>
      </c>
      <c r="AH100" s="219">
        <v>0.06</v>
      </c>
      <c r="AI100" s="219">
        <v>0.06</v>
      </c>
      <c r="AJ100" s="219">
        <v>0.06</v>
      </c>
      <c r="AK100" s="219">
        <v>0.06</v>
      </c>
      <c r="AL100" s="229" t="s">
        <v>573</v>
      </c>
      <c r="AM100" s="219">
        <f t="shared" si="58"/>
        <v>0</v>
      </c>
      <c r="AN100" s="229" t="s">
        <v>573</v>
      </c>
      <c r="AO100" s="221">
        <f t="shared" si="59"/>
        <v>0</v>
      </c>
      <c r="AP100" s="222" t="s">
        <v>573</v>
      </c>
      <c r="AQ100" s="221">
        <f t="shared" si="60"/>
        <v>0</v>
      </c>
      <c r="AR100" s="222">
        <v>1200</v>
      </c>
      <c r="AS100" s="58">
        <f t="shared" si="61"/>
        <v>72</v>
      </c>
      <c r="AT100" s="222">
        <v>1008</v>
      </c>
      <c r="AU100" s="58">
        <f t="shared" si="62"/>
        <v>60.48</v>
      </c>
      <c r="AV100" s="222" t="s">
        <v>573</v>
      </c>
      <c r="AW100" s="58">
        <f t="shared" si="63"/>
        <v>0</v>
      </c>
      <c r="AX100" s="251">
        <v>1008</v>
      </c>
      <c r="AY100" s="58">
        <f t="shared" si="64"/>
        <v>60.48</v>
      </c>
      <c r="AZ100" s="222" t="s">
        <v>573</v>
      </c>
      <c r="BA100" s="58">
        <f t="shared" si="27"/>
        <v>0</v>
      </c>
      <c r="BB100" s="222" t="s">
        <v>573</v>
      </c>
      <c r="BC100" s="58">
        <f t="shared" si="28"/>
        <v>0</v>
      </c>
      <c r="BD100" s="222" t="s">
        <v>573</v>
      </c>
      <c r="BE100" s="58">
        <f t="shared" si="29"/>
        <v>0</v>
      </c>
      <c r="BF100" s="222" t="s">
        <v>573</v>
      </c>
      <c r="BG100" s="58">
        <f t="shared" si="30"/>
        <v>0</v>
      </c>
      <c r="BH100" s="223" t="s">
        <v>573</v>
      </c>
      <c r="BI100" s="58">
        <f t="shared" si="31"/>
        <v>0</v>
      </c>
      <c r="BJ100" s="220">
        <f t="shared" si="65"/>
        <v>3216</v>
      </c>
      <c r="BK100" s="58"/>
      <c r="BL100" s="58" t="s">
        <v>1308</v>
      </c>
      <c r="BM100" s="220" t="s">
        <v>1398</v>
      </c>
      <c r="BN100" s="213" t="s">
        <v>807</v>
      </c>
      <c r="BO100" s="58" t="s">
        <v>1247</v>
      </c>
      <c r="BP100" s="199">
        <v>45838</v>
      </c>
      <c r="BQ100" s="2" t="s">
        <v>1386</v>
      </c>
    </row>
    <row r="101" spans="1:69" ht="15.75" customHeight="1">
      <c r="A101" s="213" t="s">
        <v>788</v>
      </c>
      <c r="B101" s="58" t="s">
        <v>184</v>
      </c>
      <c r="C101" s="58" t="s">
        <v>752</v>
      </c>
      <c r="D101" s="214" t="s">
        <v>789</v>
      </c>
      <c r="E101" s="214" t="s">
        <v>789</v>
      </c>
      <c r="F101" s="215" t="s">
        <v>186</v>
      </c>
      <c r="G101" s="216">
        <v>2020</v>
      </c>
      <c r="H101" s="218" t="s">
        <v>797</v>
      </c>
      <c r="I101" s="218" t="s">
        <v>196</v>
      </c>
      <c r="J101" s="217" t="s">
        <v>890</v>
      </c>
      <c r="K101" s="213" t="s">
        <v>216</v>
      </c>
      <c r="L101" s="213" t="s">
        <v>192</v>
      </c>
      <c r="M101" s="219" t="s">
        <v>1388</v>
      </c>
      <c r="N101" s="219">
        <v>22.78</v>
      </c>
      <c r="O101" s="219">
        <v>22.78</v>
      </c>
      <c r="P101" s="219">
        <v>22.78</v>
      </c>
      <c r="Q101" s="219">
        <v>22.78</v>
      </c>
      <c r="R101" s="219">
        <v>22.78</v>
      </c>
      <c r="S101" s="219">
        <v>22.78</v>
      </c>
      <c r="T101" s="219">
        <v>22.78</v>
      </c>
      <c r="U101" s="219">
        <v>22.78</v>
      </c>
      <c r="V101" s="219">
        <v>22.78</v>
      </c>
      <c r="W101" s="219">
        <v>22.78</v>
      </c>
      <c r="X101" s="219">
        <v>22.78</v>
      </c>
      <c r="Y101" s="219">
        <v>22.78</v>
      </c>
      <c r="Z101" s="219">
        <v>0.06</v>
      </c>
      <c r="AA101" s="219">
        <v>0.06</v>
      </c>
      <c r="AB101" s="219">
        <v>0.06</v>
      </c>
      <c r="AC101" s="219">
        <v>0.06</v>
      </c>
      <c r="AD101" s="219">
        <v>0.06</v>
      </c>
      <c r="AE101" s="219">
        <v>0.06</v>
      </c>
      <c r="AF101" s="219">
        <v>0.06</v>
      </c>
      <c r="AG101" s="219">
        <v>0.06</v>
      </c>
      <c r="AH101" s="219">
        <v>0.06</v>
      </c>
      <c r="AI101" s="219">
        <v>0.06</v>
      </c>
      <c r="AJ101" s="219">
        <v>0.06</v>
      </c>
      <c r="AK101" s="219">
        <v>0.06</v>
      </c>
      <c r="AL101" s="229" t="s">
        <v>573</v>
      </c>
      <c r="AM101" s="219">
        <f t="shared" si="58"/>
        <v>0</v>
      </c>
      <c r="AN101" s="229" t="s">
        <v>573</v>
      </c>
      <c r="AO101" s="221">
        <f t="shared" si="59"/>
        <v>0</v>
      </c>
      <c r="AP101" s="222">
        <v>1008</v>
      </c>
      <c r="AQ101" s="221">
        <f t="shared" si="60"/>
        <v>60.48</v>
      </c>
      <c r="AR101" s="222" t="s">
        <v>573</v>
      </c>
      <c r="AS101" s="58">
        <f t="shared" si="61"/>
        <v>0</v>
      </c>
      <c r="AT101" s="222" t="s">
        <v>573</v>
      </c>
      <c r="AU101" s="58">
        <f t="shared" si="62"/>
        <v>0</v>
      </c>
      <c r="AV101" s="222" t="s">
        <v>573</v>
      </c>
      <c r="AW101" s="58">
        <f t="shared" si="63"/>
        <v>0</v>
      </c>
      <c r="AX101" s="251" t="s">
        <v>573</v>
      </c>
      <c r="AY101" s="58">
        <f t="shared" si="64"/>
        <v>0</v>
      </c>
      <c r="AZ101" s="222" t="s">
        <v>573</v>
      </c>
      <c r="BA101" s="58">
        <f t="shared" si="27"/>
        <v>0</v>
      </c>
      <c r="BB101" s="222" t="s">
        <v>573</v>
      </c>
      <c r="BC101" s="58">
        <f t="shared" si="28"/>
        <v>0</v>
      </c>
      <c r="BD101" s="222" t="s">
        <v>573</v>
      </c>
      <c r="BE101" s="58">
        <f t="shared" si="29"/>
        <v>0</v>
      </c>
      <c r="BF101" s="222" t="s">
        <v>573</v>
      </c>
      <c r="BG101" s="58">
        <f t="shared" si="30"/>
        <v>0</v>
      </c>
      <c r="BH101" s="223" t="s">
        <v>573</v>
      </c>
      <c r="BI101" s="58">
        <f t="shared" si="31"/>
        <v>0</v>
      </c>
      <c r="BJ101" s="220">
        <f t="shared" si="65"/>
        <v>1008</v>
      </c>
      <c r="BK101" s="58"/>
      <c r="BL101" s="58" t="s">
        <v>975</v>
      </c>
      <c r="BM101" s="220" t="s">
        <v>1388</v>
      </c>
      <c r="BN101" s="213" t="s">
        <v>754</v>
      </c>
      <c r="BO101" s="58" t="s">
        <v>1248</v>
      </c>
      <c r="BP101" s="199">
        <v>45838</v>
      </c>
      <c r="BQ101" s="2" t="s">
        <v>1386</v>
      </c>
    </row>
    <row r="102" spans="1:69" ht="15.75" customHeight="1">
      <c r="A102" s="213" t="s">
        <v>788</v>
      </c>
      <c r="B102" s="58" t="s">
        <v>184</v>
      </c>
      <c r="C102" s="58" t="s">
        <v>752</v>
      </c>
      <c r="D102" s="214" t="s">
        <v>789</v>
      </c>
      <c r="E102" s="214" t="s">
        <v>789</v>
      </c>
      <c r="F102" s="215" t="s">
        <v>186</v>
      </c>
      <c r="G102" s="216">
        <v>2020</v>
      </c>
      <c r="H102" s="218" t="s">
        <v>215</v>
      </c>
      <c r="I102" s="218" t="s">
        <v>196</v>
      </c>
      <c r="J102" s="217" t="s">
        <v>890</v>
      </c>
      <c r="K102" s="213" t="s">
        <v>216</v>
      </c>
      <c r="L102" s="213" t="s">
        <v>192</v>
      </c>
      <c r="M102" s="219" t="s">
        <v>1398</v>
      </c>
      <c r="N102" s="219">
        <v>30.35</v>
      </c>
      <c r="O102" s="219">
        <v>30.35</v>
      </c>
      <c r="P102" s="219">
        <v>30.35</v>
      </c>
      <c r="Q102" s="219">
        <v>30.35</v>
      </c>
      <c r="R102" s="219">
        <v>30.35</v>
      </c>
      <c r="S102" s="219">
        <v>30.35</v>
      </c>
      <c r="T102" s="219">
        <v>30.35</v>
      </c>
      <c r="U102" s="219">
        <v>30.35</v>
      </c>
      <c r="V102" s="219">
        <v>30.35</v>
      </c>
      <c r="W102" s="219">
        <v>30.35</v>
      </c>
      <c r="X102" s="219">
        <v>30.35</v>
      </c>
      <c r="Y102" s="219">
        <v>30.35</v>
      </c>
      <c r="Z102" s="219">
        <v>7.0000000000000007E-2</v>
      </c>
      <c r="AA102" s="219">
        <v>7.0000000000000007E-2</v>
      </c>
      <c r="AB102" s="219">
        <v>7.0000000000000007E-2</v>
      </c>
      <c r="AC102" s="219">
        <v>7.0000000000000007E-2</v>
      </c>
      <c r="AD102" s="219">
        <v>7.0000000000000007E-2</v>
      </c>
      <c r="AE102" s="219">
        <v>7.0000000000000007E-2</v>
      </c>
      <c r="AF102" s="219">
        <v>7.0000000000000007E-2</v>
      </c>
      <c r="AG102" s="219">
        <v>7.0000000000000007E-2</v>
      </c>
      <c r="AH102" s="219">
        <v>7.0000000000000007E-2</v>
      </c>
      <c r="AI102" s="219">
        <v>7.0000000000000007E-2</v>
      </c>
      <c r="AJ102" s="219">
        <v>7.0000000000000007E-2</v>
      </c>
      <c r="AK102" s="219">
        <v>7.0000000000000007E-2</v>
      </c>
      <c r="AL102" s="229" t="s">
        <v>573</v>
      </c>
      <c r="AM102" s="219">
        <f t="shared" si="58"/>
        <v>0</v>
      </c>
      <c r="AN102" s="229">
        <v>1008</v>
      </c>
      <c r="AO102" s="221">
        <f t="shared" si="59"/>
        <v>70.56</v>
      </c>
      <c r="AP102" s="222" t="s">
        <v>573</v>
      </c>
      <c r="AQ102" s="221">
        <f t="shared" si="60"/>
        <v>0</v>
      </c>
      <c r="AR102" s="222" t="s">
        <v>573</v>
      </c>
      <c r="AS102" s="58">
        <f t="shared" si="61"/>
        <v>0</v>
      </c>
      <c r="AT102" s="222" t="s">
        <v>573</v>
      </c>
      <c r="AU102" s="58">
        <f t="shared" si="62"/>
        <v>0</v>
      </c>
      <c r="AV102" s="222" t="s">
        <v>573</v>
      </c>
      <c r="AW102" s="58">
        <f t="shared" si="63"/>
        <v>0</v>
      </c>
      <c r="AX102" s="251" t="s">
        <v>573</v>
      </c>
      <c r="AY102" s="58">
        <f t="shared" si="64"/>
        <v>0</v>
      </c>
      <c r="AZ102" s="222" t="s">
        <v>573</v>
      </c>
      <c r="BA102" s="58">
        <f t="shared" si="27"/>
        <v>0</v>
      </c>
      <c r="BB102" s="222" t="s">
        <v>573</v>
      </c>
      <c r="BC102" s="58">
        <f t="shared" si="28"/>
        <v>0</v>
      </c>
      <c r="BD102" s="222" t="s">
        <v>573</v>
      </c>
      <c r="BE102" s="58">
        <f t="shared" si="29"/>
        <v>0</v>
      </c>
      <c r="BF102" s="222" t="s">
        <v>573</v>
      </c>
      <c r="BG102" s="58">
        <f t="shared" si="30"/>
        <v>0</v>
      </c>
      <c r="BH102" s="223" t="s">
        <v>573</v>
      </c>
      <c r="BI102" s="58">
        <f t="shared" si="31"/>
        <v>0</v>
      </c>
      <c r="BJ102" s="220">
        <f t="shared" si="65"/>
        <v>1008</v>
      </c>
      <c r="BK102" s="58"/>
      <c r="BL102" s="58" t="s">
        <v>976</v>
      </c>
      <c r="BM102" s="220" t="s">
        <v>1398</v>
      </c>
      <c r="BN102" s="213" t="s">
        <v>807</v>
      </c>
      <c r="BO102" s="58" t="s">
        <v>1249</v>
      </c>
      <c r="BP102" s="199">
        <v>45838</v>
      </c>
      <c r="BQ102" s="2" t="s">
        <v>1386</v>
      </c>
    </row>
    <row r="103" spans="1:69" ht="15.75" customHeight="1">
      <c r="A103" s="213" t="s">
        <v>788</v>
      </c>
      <c r="B103" s="58" t="s">
        <v>184</v>
      </c>
      <c r="C103" s="58" t="s">
        <v>752</v>
      </c>
      <c r="D103" s="214" t="s">
        <v>789</v>
      </c>
      <c r="E103" s="214" t="s">
        <v>789</v>
      </c>
      <c r="F103" s="215" t="s">
        <v>186</v>
      </c>
      <c r="G103" s="216">
        <v>2020</v>
      </c>
      <c r="H103" s="218" t="s">
        <v>215</v>
      </c>
      <c r="I103" s="218" t="s">
        <v>196</v>
      </c>
      <c r="J103" s="217" t="s">
        <v>890</v>
      </c>
      <c r="K103" s="213" t="s">
        <v>216</v>
      </c>
      <c r="L103" s="213" t="s">
        <v>192</v>
      </c>
      <c r="M103" s="219" t="s">
        <v>1388</v>
      </c>
      <c r="N103" s="219">
        <v>30.46</v>
      </c>
      <c r="O103" s="219">
        <v>30.41</v>
      </c>
      <c r="P103" s="219">
        <v>30.41</v>
      </c>
      <c r="Q103" s="219">
        <v>30.41</v>
      </c>
      <c r="R103" s="219">
        <v>30.41</v>
      </c>
      <c r="S103" s="219">
        <v>30.41</v>
      </c>
      <c r="T103" s="219">
        <v>30.41</v>
      </c>
      <c r="U103" s="219">
        <v>30.41</v>
      </c>
      <c r="V103" s="219">
        <v>30.41</v>
      </c>
      <c r="W103" s="219">
        <v>30.41</v>
      </c>
      <c r="X103" s="219">
        <v>30.41</v>
      </c>
      <c r="Y103" s="219">
        <v>30.41</v>
      </c>
      <c r="Z103" s="219">
        <v>7.0000000000000007E-2</v>
      </c>
      <c r="AA103" s="219">
        <v>7.0000000000000007E-2</v>
      </c>
      <c r="AB103" s="219">
        <v>7.0000000000000007E-2</v>
      </c>
      <c r="AC103" s="219">
        <v>7.0000000000000007E-2</v>
      </c>
      <c r="AD103" s="219">
        <v>7.0000000000000007E-2</v>
      </c>
      <c r="AE103" s="219">
        <v>7.0000000000000007E-2</v>
      </c>
      <c r="AF103" s="219">
        <v>7.0000000000000007E-2</v>
      </c>
      <c r="AG103" s="219">
        <v>7.0000000000000007E-2</v>
      </c>
      <c r="AH103" s="219">
        <v>7.0000000000000007E-2</v>
      </c>
      <c r="AI103" s="219">
        <v>7.0000000000000007E-2</v>
      </c>
      <c r="AJ103" s="219">
        <v>7.0000000000000007E-2</v>
      </c>
      <c r="AK103" s="219">
        <v>7.0000000000000007E-2</v>
      </c>
      <c r="AL103" s="229">
        <v>1008</v>
      </c>
      <c r="AM103" s="219">
        <f t="shared" si="58"/>
        <v>70.56</v>
      </c>
      <c r="AN103" s="229" t="s">
        <v>573</v>
      </c>
      <c r="AO103" s="221">
        <f t="shared" si="59"/>
        <v>0</v>
      </c>
      <c r="AP103" s="222" t="s">
        <v>573</v>
      </c>
      <c r="AQ103" s="221">
        <f t="shared" si="60"/>
        <v>0</v>
      </c>
      <c r="AR103" s="222" t="s">
        <v>573</v>
      </c>
      <c r="AS103" s="58">
        <f t="shared" si="61"/>
        <v>0</v>
      </c>
      <c r="AT103" s="222" t="s">
        <v>573</v>
      </c>
      <c r="AU103" s="58">
        <f t="shared" si="62"/>
        <v>0</v>
      </c>
      <c r="AV103" s="222" t="s">
        <v>573</v>
      </c>
      <c r="AW103" s="58">
        <f t="shared" si="63"/>
        <v>0</v>
      </c>
      <c r="AX103" s="251" t="s">
        <v>573</v>
      </c>
      <c r="AY103" s="58">
        <f t="shared" si="64"/>
        <v>0</v>
      </c>
      <c r="AZ103" s="222" t="s">
        <v>573</v>
      </c>
      <c r="BA103" s="58">
        <f t="shared" si="27"/>
        <v>0</v>
      </c>
      <c r="BB103" s="222" t="s">
        <v>573</v>
      </c>
      <c r="BC103" s="58">
        <f t="shared" si="28"/>
        <v>0</v>
      </c>
      <c r="BD103" s="222" t="s">
        <v>573</v>
      </c>
      <c r="BE103" s="58">
        <f t="shared" si="29"/>
        <v>0</v>
      </c>
      <c r="BF103" s="222" t="s">
        <v>573</v>
      </c>
      <c r="BG103" s="58">
        <f t="shared" si="30"/>
        <v>0</v>
      </c>
      <c r="BH103" s="223" t="s">
        <v>573</v>
      </c>
      <c r="BI103" s="58">
        <f t="shared" si="31"/>
        <v>0</v>
      </c>
      <c r="BJ103" s="220">
        <f t="shared" si="65"/>
        <v>1008</v>
      </c>
      <c r="BK103" s="58"/>
      <c r="BL103" s="58" t="s">
        <v>977</v>
      </c>
      <c r="BM103" s="220" t="s">
        <v>1388</v>
      </c>
      <c r="BN103" s="213" t="s">
        <v>754</v>
      </c>
      <c r="BO103" s="58" t="s">
        <v>1129</v>
      </c>
      <c r="BP103" s="199">
        <v>45838</v>
      </c>
      <c r="BQ103" s="2" t="s">
        <v>1386</v>
      </c>
    </row>
    <row r="104" spans="1:69" ht="15.75" customHeight="1">
      <c r="A104" s="213" t="s">
        <v>788</v>
      </c>
      <c r="B104" s="58" t="s">
        <v>184</v>
      </c>
      <c r="C104" s="58" t="s">
        <v>752</v>
      </c>
      <c r="D104" s="214" t="s">
        <v>789</v>
      </c>
      <c r="E104" s="214" t="s">
        <v>789</v>
      </c>
      <c r="F104" s="215" t="s">
        <v>186</v>
      </c>
      <c r="G104" s="216">
        <v>2020</v>
      </c>
      <c r="H104" s="218" t="s">
        <v>215</v>
      </c>
      <c r="I104" s="218" t="s">
        <v>196</v>
      </c>
      <c r="J104" s="217" t="s">
        <v>890</v>
      </c>
      <c r="K104" s="213" t="s">
        <v>218</v>
      </c>
      <c r="L104" s="213" t="s">
        <v>192</v>
      </c>
      <c r="M104" s="219" t="s">
        <v>1388</v>
      </c>
      <c r="N104" s="219">
        <v>30.51</v>
      </c>
      <c r="O104" s="219">
        <v>30.51</v>
      </c>
      <c r="P104" s="219">
        <v>30.51</v>
      </c>
      <c r="Q104" s="219">
        <v>30.51</v>
      </c>
      <c r="R104" s="219">
        <v>30.51</v>
      </c>
      <c r="S104" s="219">
        <v>30.51</v>
      </c>
      <c r="T104" s="219">
        <v>30.51</v>
      </c>
      <c r="U104" s="219">
        <v>30.51</v>
      </c>
      <c r="V104" s="219">
        <v>30.51</v>
      </c>
      <c r="W104" s="219">
        <v>30.51</v>
      </c>
      <c r="X104" s="219">
        <v>30.51</v>
      </c>
      <c r="Y104" s="219">
        <v>30.51</v>
      </c>
      <c r="Z104" s="219">
        <v>7.0000000000000007E-2</v>
      </c>
      <c r="AA104" s="219">
        <v>7.0000000000000007E-2</v>
      </c>
      <c r="AB104" s="219">
        <v>7.0000000000000007E-2</v>
      </c>
      <c r="AC104" s="219">
        <v>7.0000000000000007E-2</v>
      </c>
      <c r="AD104" s="219">
        <v>7.0000000000000007E-2</v>
      </c>
      <c r="AE104" s="219">
        <v>7.0000000000000007E-2</v>
      </c>
      <c r="AF104" s="219">
        <v>7.0000000000000007E-2</v>
      </c>
      <c r="AG104" s="219">
        <v>7.0000000000000007E-2</v>
      </c>
      <c r="AH104" s="219">
        <v>7.0000000000000007E-2</v>
      </c>
      <c r="AI104" s="219">
        <v>7.0000000000000007E-2</v>
      </c>
      <c r="AJ104" s="219">
        <v>7.0000000000000007E-2</v>
      </c>
      <c r="AK104" s="219">
        <v>7.0000000000000007E-2</v>
      </c>
      <c r="AL104" s="229" t="s">
        <v>573</v>
      </c>
      <c r="AM104" s="219">
        <f t="shared" si="58"/>
        <v>0</v>
      </c>
      <c r="AN104" s="229" t="s">
        <v>573</v>
      </c>
      <c r="AO104" s="221">
        <f t="shared" si="59"/>
        <v>0</v>
      </c>
      <c r="AP104" s="222" t="s">
        <v>573</v>
      </c>
      <c r="AQ104" s="221">
        <f t="shared" si="60"/>
        <v>0</v>
      </c>
      <c r="AR104" s="222" t="s">
        <v>573</v>
      </c>
      <c r="AS104" s="58">
        <f t="shared" si="61"/>
        <v>0</v>
      </c>
      <c r="AT104" s="222">
        <v>1008</v>
      </c>
      <c r="AU104" s="58">
        <f t="shared" si="62"/>
        <v>70.56</v>
      </c>
      <c r="AV104" s="222" t="s">
        <v>573</v>
      </c>
      <c r="AW104" s="58">
        <f t="shared" si="63"/>
        <v>0</v>
      </c>
      <c r="AX104" s="251" t="s">
        <v>573</v>
      </c>
      <c r="AY104" s="58">
        <f t="shared" si="64"/>
        <v>0</v>
      </c>
      <c r="AZ104" s="222" t="s">
        <v>573</v>
      </c>
      <c r="BA104" s="58">
        <f t="shared" si="27"/>
        <v>0</v>
      </c>
      <c r="BB104" s="222" t="s">
        <v>573</v>
      </c>
      <c r="BC104" s="58">
        <f t="shared" si="28"/>
        <v>0</v>
      </c>
      <c r="BD104" s="222" t="s">
        <v>573</v>
      </c>
      <c r="BE104" s="58">
        <f t="shared" si="29"/>
        <v>0</v>
      </c>
      <c r="BF104" s="222" t="s">
        <v>573</v>
      </c>
      <c r="BG104" s="58">
        <f t="shared" si="30"/>
        <v>0</v>
      </c>
      <c r="BH104" s="223" t="s">
        <v>573</v>
      </c>
      <c r="BI104" s="58">
        <f t="shared" si="31"/>
        <v>0</v>
      </c>
      <c r="BJ104" s="220">
        <f t="shared" si="65"/>
        <v>1008</v>
      </c>
      <c r="BK104" s="58"/>
      <c r="BL104" s="58" t="s">
        <v>978</v>
      </c>
      <c r="BM104" s="220" t="s">
        <v>1388</v>
      </c>
      <c r="BN104" s="213" t="s">
        <v>754</v>
      </c>
      <c r="BO104" s="213" t="s">
        <v>1250</v>
      </c>
      <c r="BP104" s="199">
        <v>45838</v>
      </c>
      <c r="BQ104" s="2" t="s">
        <v>1386</v>
      </c>
    </row>
    <row r="105" spans="1:69" ht="15.75" customHeight="1">
      <c r="A105" s="213" t="s">
        <v>788</v>
      </c>
      <c r="B105" s="58" t="s">
        <v>184</v>
      </c>
      <c r="C105" s="58" t="s">
        <v>752</v>
      </c>
      <c r="D105" s="214" t="s">
        <v>789</v>
      </c>
      <c r="E105" s="214" t="s">
        <v>789</v>
      </c>
      <c r="F105" s="215" t="s">
        <v>186</v>
      </c>
      <c r="G105" s="216">
        <v>2020</v>
      </c>
      <c r="H105" s="218" t="s">
        <v>215</v>
      </c>
      <c r="I105" s="218" t="s">
        <v>196</v>
      </c>
      <c r="J105" s="217" t="s">
        <v>890</v>
      </c>
      <c r="K105" s="213" t="s">
        <v>216</v>
      </c>
      <c r="L105" s="213" t="s">
        <v>192</v>
      </c>
      <c r="M105" s="219" t="s">
        <v>1393</v>
      </c>
      <c r="N105" s="219">
        <v>30.28</v>
      </c>
      <c r="O105" s="219">
        <v>30.28</v>
      </c>
      <c r="P105" s="219">
        <v>30.28</v>
      </c>
      <c r="Q105" s="219">
        <v>30.28</v>
      </c>
      <c r="R105" s="219">
        <v>30.28</v>
      </c>
      <c r="S105" s="219">
        <v>30.28</v>
      </c>
      <c r="T105" s="219">
        <v>30.28</v>
      </c>
      <c r="U105" s="219">
        <v>30.28</v>
      </c>
      <c r="V105" s="219">
        <v>30.28</v>
      </c>
      <c r="W105" s="219">
        <v>30.28</v>
      </c>
      <c r="X105" s="219">
        <v>30.28</v>
      </c>
      <c r="Y105" s="219">
        <v>30.28</v>
      </c>
      <c r="Z105" s="219">
        <v>7.0000000000000007E-2</v>
      </c>
      <c r="AA105" s="219">
        <v>7.0000000000000007E-2</v>
      </c>
      <c r="AB105" s="219">
        <v>7.0000000000000007E-2</v>
      </c>
      <c r="AC105" s="219">
        <v>7.0000000000000007E-2</v>
      </c>
      <c r="AD105" s="219">
        <v>7.0000000000000007E-2</v>
      </c>
      <c r="AE105" s="219">
        <v>7.0000000000000007E-2</v>
      </c>
      <c r="AF105" s="219">
        <v>7.0000000000000007E-2</v>
      </c>
      <c r="AG105" s="219">
        <v>7.0000000000000007E-2</v>
      </c>
      <c r="AH105" s="219">
        <v>7.0000000000000007E-2</v>
      </c>
      <c r="AI105" s="219">
        <v>7.0000000000000007E-2</v>
      </c>
      <c r="AJ105" s="219">
        <v>7.0000000000000007E-2</v>
      </c>
      <c r="AK105" s="219">
        <v>7.0000000000000007E-2</v>
      </c>
      <c r="AL105" s="229" t="s">
        <v>573</v>
      </c>
      <c r="AM105" s="219">
        <f t="shared" si="58"/>
        <v>0</v>
      </c>
      <c r="AN105" s="229" t="s">
        <v>573</v>
      </c>
      <c r="AO105" s="221">
        <f t="shared" si="59"/>
        <v>0</v>
      </c>
      <c r="AP105" s="222" t="s">
        <v>573</v>
      </c>
      <c r="AQ105" s="221">
        <f t="shared" si="60"/>
        <v>0</v>
      </c>
      <c r="AR105" s="222" t="s">
        <v>573</v>
      </c>
      <c r="AS105" s="58">
        <f t="shared" si="61"/>
        <v>0</v>
      </c>
      <c r="AT105" s="222" t="s">
        <v>573</v>
      </c>
      <c r="AU105" s="58">
        <f t="shared" si="62"/>
        <v>0</v>
      </c>
      <c r="AV105" s="222" t="s">
        <v>573</v>
      </c>
      <c r="AW105" s="58">
        <f t="shared" si="63"/>
        <v>0</v>
      </c>
      <c r="AX105" s="251" t="s">
        <v>573</v>
      </c>
      <c r="AY105" s="58">
        <f t="shared" si="64"/>
        <v>0</v>
      </c>
      <c r="AZ105" s="222" t="s">
        <v>573</v>
      </c>
      <c r="BA105" s="58">
        <f t="shared" si="27"/>
        <v>0</v>
      </c>
      <c r="BB105" s="222" t="s">
        <v>573</v>
      </c>
      <c r="BC105" s="58">
        <f t="shared" si="28"/>
        <v>0</v>
      </c>
      <c r="BD105" s="222" t="s">
        <v>573</v>
      </c>
      <c r="BE105" s="58">
        <f t="shared" si="29"/>
        <v>0</v>
      </c>
      <c r="BF105" s="222" t="s">
        <v>573</v>
      </c>
      <c r="BG105" s="58">
        <f t="shared" si="30"/>
        <v>0</v>
      </c>
      <c r="BH105" s="223" t="s">
        <v>573</v>
      </c>
      <c r="BI105" s="58">
        <f t="shared" si="31"/>
        <v>0</v>
      </c>
      <c r="BJ105" s="220">
        <f t="shared" si="65"/>
        <v>0</v>
      </c>
      <c r="BK105" s="58"/>
      <c r="BL105" s="58" t="s">
        <v>890</v>
      </c>
      <c r="BM105" s="220" t="s">
        <v>1393</v>
      </c>
      <c r="BN105" s="213" t="s">
        <v>1347</v>
      </c>
      <c r="BO105" s="213" t="s">
        <v>1146</v>
      </c>
      <c r="BP105" s="199">
        <v>45838</v>
      </c>
      <c r="BQ105" s="2" t="s">
        <v>1386</v>
      </c>
    </row>
    <row r="106" spans="1:69" ht="15.75" customHeight="1">
      <c r="A106" s="213" t="s">
        <v>788</v>
      </c>
      <c r="B106" s="58" t="s">
        <v>184</v>
      </c>
      <c r="C106" s="58" t="s">
        <v>752</v>
      </c>
      <c r="D106" s="214" t="s">
        <v>789</v>
      </c>
      <c r="E106" s="214" t="s">
        <v>789</v>
      </c>
      <c r="F106" s="215" t="s">
        <v>186</v>
      </c>
      <c r="G106" s="216">
        <v>2020</v>
      </c>
      <c r="H106" s="218" t="s">
        <v>215</v>
      </c>
      <c r="I106" s="218" t="s">
        <v>196</v>
      </c>
      <c r="J106" s="217" t="s">
        <v>890</v>
      </c>
      <c r="K106" s="213" t="s">
        <v>216</v>
      </c>
      <c r="L106" s="213" t="s">
        <v>192</v>
      </c>
      <c r="M106" s="219" t="s">
        <v>1393</v>
      </c>
      <c r="N106" s="219">
        <v>30.28</v>
      </c>
      <c r="O106" s="219">
        <v>30.28</v>
      </c>
      <c r="P106" s="219">
        <v>30.28</v>
      </c>
      <c r="Q106" s="219">
        <v>30.28</v>
      </c>
      <c r="R106" s="219">
        <v>30.28</v>
      </c>
      <c r="S106" s="219">
        <v>30.28</v>
      </c>
      <c r="T106" s="219">
        <v>30.28</v>
      </c>
      <c r="U106" s="219">
        <v>30.28</v>
      </c>
      <c r="V106" s="219">
        <v>30.28</v>
      </c>
      <c r="W106" s="219">
        <v>30.28</v>
      </c>
      <c r="X106" s="219">
        <v>30.28</v>
      </c>
      <c r="Y106" s="219">
        <v>30.28</v>
      </c>
      <c r="Z106" s="219">
        <v>7.0000000000000007E-2</v>
      </c>
      <c r="AA106" s="219">
        <v>7.0000000000000007E-2</v>
      </c>
      <c r="AB106" s="219">
        <v>7.0000000000000007E-2</v>
      </c>
      <c r="AC106" s="219">
        <v>7.0000000000000007E-2</v>
      </c>
      <c r="AD106" s="219">
        <v>7.0000000000000007E-2</v>
      </c>
      <c r="AE106" s="219">
        <v>7.0000000000000007E-2</v>
      </c>
      <c r="AF106" s="219">
        <v>7.0000000000000007E-2</v>
      </c>
      <c r="AG106" s="219">
        <v>7.0000000000000007E-2</v>
      </c>
      <c r="AH106" s="219">
        <v>7.0000000000000007E-2</v>
      </c>
      <c r="AI106" s="219">
        <v>7.0000000000000007E-2</v>
      </c>
      <c r="AJ106" s="219">
        <v>7.0000000000000007E-2</v>
      </c>
      <c r="AK106" s="219">
        <v>7.0000000000000007E-2</v>
      </c>
      <c r="AL106" s="229" t="s">
        <v>573</v>
      </c>
      <c r="AM106" s="219">
        <f t="shared" si="58"/>
        <v>0</v>
      </c>
      <c r="AN106" s="229" t="s">
        <v>573</v>
      </c>
      <c r="AO106" s="221">
        <f t="shared" si="59"/>
        <v>0</v>
      </c>
      <c r="AP106" s="222" t="s">
        <v>573</v>
      </c>
      <c r="AQ106" s="221">
        <f t="shared" si="60"/>
        <v>0</v>
      </c>
      <c r="AR106" s="222" t="s">
        <v>573</v>
      </c>
      <c r="AS106" s="58">
        <f t="shared" si="61"/>
        <v>0</v>
      </c>
      <c r="AT106" s="222" t="s">
        <v>573</v>
      </c>
      <c r="AU106" s="58">
        <f t="shared" si="62"/>
        <v>0</v>
      </c>
      <c r="AV106" s="222" t="s">
        <v>573</v>
      </c>
      <c r="AW106" s="58">
        <f t="shared" si="63"/>
        <v>0</v>
      </c>
      <c r="AX106" s="251" t="s">
        <v>573</v>
      </c>
      <c r="AY106" s="58">
        <f t="shared" si="64"/>
        <v>0</v>
      </c>
      <c r="AZ106" s="222" t="s">
        <v>573</v>
      </c>
      <c r="BA106" s="58">
        <f t="shared" si="27"/>
        <v>0</v>
      </c>
      <c r="BB106" s="222" t="s">
        <v>573</v>
      </c>
      <c r="BC106" s="58">
        <f t="shared" si="28"/>
        <v>0</v>
      </c>
      <c r="BD106" s="222" t="s">
        <v>573</v>
      </c>
      <c r="BE106" s="58">
        <f t="shared" si="29"/>
        <v>0</v>
      </c>
      <c r="BF106" s="222" t="s">
        <v>573</v>
      </c>
      <c r="BG106" s="58">
        <f t="shared" si="30"/>
        <v>0</v>
      </c>
      <c r="BH106" s="223" t="s">
        <v>573</v>
      </c>
      <c r="BI106" s="58">
        <f t="shared" si="31"/>
        <v>0</v>
      </c>
      <c r="BJ106" s="220">
        <f t="shared" si="65"/>
        <v>0</v>
      </c>
      <c r="BK106" s="58"/>
      <c r="BL106" s="58" t="s">
        <v>890</v>
      </c>
      <c r="BM106" s="220" t="s">
        <v>1393</v>
      </c>
      <c r="BN106" s="213" t="s">
        <v>1347</v>
      </c>
      <c r="BO106" s="213" t="s">
        <v>1147</v>
      </c>
      <c r="BP106" s="199">
        <v>45838</v>
      </c>
      <c r="BQ106" s="2" t="s">
        <v>1386</v>
      </c>
    </row>
    <row r="107" spans="1:69" ht="15.75" customHeight="1">
      <c r="A107" s="213" t="s">
        <v>788</v>
      </c>
      <c r="B107" s="58" t="s">
        <v>184</v>
      </c>
      <c r="C107" s="58" t="s">
        <v>752</v>
      </c>
      <c r="D107" s="214" t="s">
        <v>789</v>
      </c>
      <c r="E107" s="214" t="s">
        <v>789</v>
      </c>
      <c r="F107" s="215" t="s">
        <v>186</v>
      </c>
      <c r="G107" s="216">
        <v>2020</v>
      </c>
      <c r="H107" s="218" t="s">
        <v>215</v>
      </c>
      <c r="I107" s="218" t="s">
        <v>196</v>
      </c>
      <c r="J107" s="217" t="s">
        <v>890</v>
      </c>
      <c r="K107" s="213" t="s">
        <v>216</v>
      </c>
      <c r="L107" s="213" t="s">
        <v>192</v>
      </c>
      <c r="M107" s="219" t="s">
        <v>1393</v>
      </c>
      <c r="N107" s="219">
        <v>30.28</v>
      </c>
      <c r="O107" s="219">
        <v>30.28</v>
      </c>
      <c r="P107" s="219">
        <v>30.28</v>
      </c>
      <c r="Q107" s="219">
        <v>30.28</v>
      </c>
      <c r="R107" s="219">
        <v>30.28</v>
      </c>
      <c r="S107" s="219">
        <v>30.28</v>
      </c>
      <c r="T107" s="219">
        <v>30.28</v>
      </c>
      <c r="U107" s="219">
        <v>30.28</v>
      </c>
      <c r="V107" s="219">
        <v>30.28</v>
      </c>
      <c r="W107" s="219">
        <v>30.28</v>
      </c>
      <c r="X107" s="219">
        <v>30.28</v>
      </c>
      <c r="Y107" s="219">
        <v>30.28</v>
      </c>
      <c r="Z107" s="219">
        <v>7.0000000000000007E-2</v>
      </c>
      <c r="AA107" s="219">
        <v>7.0000000000000007E-2</v>
      </c>
      <c r="AB107" s="219">
        <v>7.0000000000000007E-2</v>
      </c>
      <c r="AC107" s="219">
        <v>7.0000000000000007E-2</v>
      </c>
      <c r="AD107" s="219">
        <v>7.0000000000000007E-2</v>
      </c>
      <c r="AE107" s="219">
        <v>7.0000000000000007E-2</v>
      </c>
      <c r="AF107" s="219">
        <v>7.0000000000000007E-2</v>
      </c>
      <c r="AG107" s="219">
        <v>7.0000000000000007E-2</v>
      </c>
      <c r="AH107" s="219">
        <v>7.0000000000000007E-2</v>
      </c>
      <c r="AI107" s="219">
        <v>7.0000000000000007E-2</v>
      </c>
      <c r="AJ107" s="219">
        <v>7.0000000000000007E-2</v>
      </c>
      <c r="AK107" s="219">
        <v>7.0000000000000007E-2</v>
      </c>
      <c r="AL107" s="229" t="s">
        <v>573</v>
      </c>
      <c r="AM107" s="219">
        <f t="shared" si="58"/>
        <v>0</v>
      </c>
      <c r="AN107" s="229" t="s">
        <v>573</v>
      </c>
      <c r="AO107" s="221">
        <f t="shared" si="59"/>
        <v>0</v>
      </c>
      <c r="AP107" s="222" t="s">
        <v>573</v>
      </c>
      <c r="AQ107" s="221">
        <f t="shared" si="60"/>
        <v>0</v>
      </c>
      <c r="AR107" s="222" t="s">
        <v>573</v>
      </c>
      <c r="AS107" s="58">
        <f t="shared" si="61"/>
        <v>0</v>
      </c>
      <c r="AT107" s="222" t="s">
        <v>573</v>
      </c>
      <c r="AU107" s="58">
        <f t="shared" si="62"/>
        <v>0</v>
      </c>
      <c r="AV107" s="222" t="s">
        <v>573</v>
      </c>
      <c r="AW107" s="58">
        <f t="shared" si="63"/>
        <v>0</v>
      </c>
      <c r="AX107" s="251" t="s">
        <v>573</v>
      </c>
      <c r="AY107" s="58">
        <f t="shared" si="64"/>
        <v>0</v>
      </c>
      <c r="AZ107" s="222" t="s">
        <v>573</v>
      </c>
      <c r="BA107" s="58">
        <f t="shared" si="27"/>
        <v>0</v>
      </c>
      <c r="BB107" s="222" t="s">
        <v>573</v>
      </c>
      <c r="BC107" s="58">
        <f t="shared" si="28"/>
        <v>0</v>
      </c>
      <c r="BD107" s="222" t="s">
        <v>573</v>
      </c>
      <c r="BE107" s="58">
        <f t="shared" si="29"/>
        <v>0</v>
      </c>
      <c r="BF107" s="222" t="s">
        <v>573</v>
      </c>
      <c r="BG107" s="58">
        <f t="shared" si="30"/>
        <v>0</v>
      </c>
      <c r="BH107" s="223" t="s">
        <v>573</v>
      </c>
      <c r="BI107" s="58">
        <f t="shared" si="31"/>
        <v>0</v>
      </c>
      <c r="BJ107" s="220">
        <f t="shared" si="65"/>
        <v>0</v>
      </c>
      <c r="BK107" s="58"/>
      <c r="BL107" s="58" t="s">
        <v>890</v>
      </c>
      <c r="BM107" s="220" t="s">
        <v>1393</v>
      </c>
      <c r="BN107" s="213" t="s">
        <v>1347</v>
      </c>
      <c r="BO107" s="213" t="s">
        <v>1148</v>
      </c>
      <c r="BP107" s="199">
        <v>45838</v>
      </c>
      <c r="BQ107" s="2" t="s">
        <v>1386</v>
      </c>
    </row>
    <row r="108" spans="1:69" ht="15.75" customHeight="1">
      <c r="A108" s="213" t="s">
        <v>788</v>
      </c>
      <c r="B108" s="58" t="s">
        <v>184</v>
      </c>
      <c r="C108" s="58" t="s">
        <v>752</v>
      </c>
      <c r="D108" s="214" t="s">
        <v>789</v>
      </c>
      <c r="E108" s="214" t="s">
        <v>789</v>
      </c>
      <c r="F108" s="215" t="s">
        <v>186</v>
      </c>
      <c r="G108" s="216">
        <v>2020</v>
      </c>
      <c r="H108" s="213" t="s">
        <v>808</v>
      </c>
      <c r="I108" s="213" t="s">
        <v>196</v>
      </c>
      <c r="J108" s="217" t="s">
        <v>890</v>
      </c>
      <c r="K108" s="213" t="s">
        <v>753</v>
      </c>
      <c r="L108" s="213" t="s">
        <v>192</v>
      </c>
      <c r="M108" s="219" t="s">
        <v>1388</v>
      </c>
      <c r="N108" s="219">
        <v>1.72</v>
      </c>
      <c r="O108" s="219">
        <v>1.72</v>
      </c>
      <c r="P108" s="219">
        <v>1.72</v>
      </c>
      <c r="Q108" s="219">
        <v>1.72</v>
      </c>
      <c r="R108" s="219">
        <v>1.72</v>
      </c>
      <c r="S108" s="219">
        <v>1.72</v>
      </c>
      <c r="T108" s="219">
        <v>1.72</v>
      </c>
      <c r="U108" s="219">
        <v>1.72</v>
      </c>
      <c r="V108" s="219">
        <v>1.72</v>
      </c>
      <c r="W108" s="219">
        <v>1.72</v>
      </c>
      <c r="X108" s="219">
        <v>1.72</v>
      </c>
      <c r="Y108" s="219">
        <v>1.72</v>
      </c>
      <c r="Z108" s="219">
        <v>0</v>
      </c>
      <c r="AA108" s="219">
        <v>0</v>
      </c>
      <c r="AB108" s="219">
        <v>0</v>
      </c>
      <c r="AC108" s="219">
        <v>0</v>
      </c>
      <c r="AD108" s="219">
        <v>0</v>
      </c>
      <c r="AE108" s="219">
        <v>0</v>
      </c>
      <c r="AF108" s="219">
        <v>0</v>
      </c>
      <c r="AG108" s="219">
        <v>0</v>
      </c>
      <c r="AH108" s="219">
        <v>0</v>
      </c>
      <c r="AI108" s="219">
        <v>0</v>
      </c>
      <c r="AJ108" s="219">
        <v>0</v>
      </c>
      <c r="AK108" s="219">
        <v>0</v>
      </c>
      <c r="AL108" s="229" t="s">
        <v>573</v>
      </c>
      <c r="AM108" s="219">
        <f t="shared" si="58"/>
        <v>0</v>
      </c>
      <c r="AN108" s="229">
        <v>6720</v>
      </c>
      <c r="AO108" s="221">
        <f t="shared" si="59"/>
        <v>0</v>
      </c>
      <c r="AP108" s="222">
        <v>6720</v>
      </c>
      <c r="AQ108" s="221">
        <f t="shared" si="60"/>
        <v>0</v>
      </c>
      <c r="AR108" s="222" t="s">
        <v>573</v>
      </c>
      <c r="AS108" s="58">
        <f t="shared" si="61"/>
        <v>0</v>
      </c>
      <c r="AT108" s="222" t="s">
        <v>573</v>
      </c>
      <c r="AU108" s="58">
        <f t="shared" si="62"/>
        <v>0</v>
      </c>
      <c r="AV108" s="222" t="s">
        <v>573</v>
      </c>
      <c r="AW108" s="58">
        <f t="shared" si="63"/>
        <v>0</v>
      </c>
      <c r="AX108" s="251" t="s">
        <v>573</v>
      </c>
      <c r="AY108" s="58">
        <f t="shared" si="64"/>
        <v>0</v>
      </c>
      <c r="AZ108" s="222">
        <v>6720</v>
      </c>
      <c r="BA108" s="58">
        <f t="shared" si="27"/>
        <v>0</v>
      </c>
      <c r="BB108" s="222">
        <v>13440</v>
      </c>
      <c r="BC108" s="58">
        <f t="shared" si="28"/>
        <v>0</v>
      </c>
      <c r="BD108" s="222" t="s">
        <v>573</v>
      </c>
      <c r="BE108" s="58">
        <f t="shared" si="29"/>
        <v>0</v>
      </c>
      <c r="BF108" s="222">
        <v>13440</v>
      </c>
      <c r="BG108" s="58">
        <f t="shared" si="30"/>
        <v>0</v>
      </c>
      <c r="BH108" s="223" t="s">
        <v>573</v>
      </c>
      <c r="BI108" s="58">
        <f t="shared" si="31"/>
        <v>0</v>
      </c>
      <c r="BJ108" s="220">
        <f t="shared" si="65"/>
        <v>47040</v>
      </c>
      <c r="BK108" s="58"/>
      <c r="BL108" s="58" t="s">
        <v>979</v>
      </c>
      <c r="BM108" s="220" t="s">
        <v>1388</v>
      </c>
      <c r="BN108" s="213" t="s">
        <v>1310</v>
      </c>
      <c r="BO108" s="213" t="s">
        <v>511</v>
      </c>
      <c r="BP108" s="199">
        <v>45961</v>
      </c>
      <c r="BQ108" s="2" t="s">
        <v>1386</v>
      </c>
    </row>
    <row r="109" spans="1:69" ht="15.75" customHeight="1">
      <c r="A109" s="213" t="s">
        <v>788</v>
      </c>
      <c r="B109" s="58" t="s">
        <v>184</v>
      </c>
      <c r="C109" s="58" t="s">
        <v>752</v>
      </c>
      <c r="D109" s="214" t="s">
        <v>789</v>
      </c>
      <c r="E109" s="214" t="s">
        <v>789</v>
      </c>
      <c r="F109" s="215" t="s">
        <v>186</v>
      </c>
      <c r="G109" s="216">
        <v>2020</v>
      </c>
      <c r="H109" s="213" t="s">
        <v>808</v>
      </c>
      <c r="I109" s="213" t="s">
        <v>196</v>
      </c>
      <c r="J109" s="217" t="s">
        <v>890</v>
      </c>
      <c r="K109" s="213" t="s">
        <v>753</v>
      </c>
      <c r="L109" s="213" t="s">
        <v>192</v>
      </c>
      <c r="M109" s="219" t="s">
        <v>1388</v>
      </c>
      <c r="N109" s="219">
        <v>1.66</v>
      </c>
      <c r="O109" s="219">
        <v>1.66</v>
      </c>
      <c r="P109" s="219">
        <v>1.66</v>
      </c>
      <c r="Q109" s="219">
        <v>1.66</v>
      </c>
      <c r="R109" s="219">
        <v>1.66</v>
      </c>
      <c r="S109" s="219">
        <v>1.66</v>
      </c>
      <c r="T109" s="219">
        <v>1.66</v>
      </c>
      <c r="U109" s="219">
        <v>1.66</v>
      </c>
      <c r="V109" s="219">
        <v>1.66</v>
      </c>
      <c r="W109" s="219">
        <v>1.66</v>
      </c>
      <c r="X109" s="219">
        <v>1.66</v>
      </c>
      <c r="Y109" s="219">
        <v>1.66</v>
      </c>
      <c r="Z109" s="219">
        <v>0</v>
      </c>
      <c r="AA109" s="219">
        <v>0</v>
      </c>
      <c r="AB109" s="219">
        <v>0</v>
      </c>
      <c r="AC109" s="219">
        <v>0</v>
      </c>
      <c r="AD109" s="219">
        <v>0</v>
      </c>
      <c r="AE109" s="219">
        <v>0</v>
      </c>
      <c r="AF109" s="219">
        <v>0</v>
      </c>
      <c r="AG109" s="219">
        <v>0</v>
      </c>
      <c r="AH109" s="219">
        <v>0</v>
      </c>
      <c r="AI109" s="219">
        <v>0</v>
      </c>
      <c r="AJ109" s="219">
        <v>0</v>
      </c>
      <c r="AK109" s="219">
        <v>0</v>
      </c>
      <c r="AL109" s="229">
        <v>6720</v>
      </c>
      <c r="AM109" s="219">
        <f t="shared" si="58"/>
        <v>0</v>
      </c>
      <c r="AN109" s="229" t="s">
        <v>573</v>
      </c>
      <c r="AO109" s="221">
        <f t="shared" si="59"/>
        <v>0</v>
      </c>
      <c r="AP109" s="222" t="s">
        <v>573</v>
      </c>
      <c r="AQ109" s="221">
        <f t="shared" si="60"/>
        <v>0</v>
      </c>
      <c r="AR109" s="222">
        <v>6720</v>
      </c>
      <c r="AS109" s="58">
        <f t="shared" si="61"/>
        <v>0</v>
      </c>
      <c r="AT109" s="222">
        <v>6720</v>
      </c>
      <c r="AU109" s="58">
        <f t="shared" si="62"/>
        <v>0</v>
      </c>
      <c r="AV109" s="222" t="s">
        <v>573</v>
      </c>
      <c r="AW109" s="58">
        <f t="shared" si="63"/>
        <v>0</v>
      </c>
      <c r="AX109" s="251" t="s">
        <v>573</v>
      </c>
      <c r="AY109" s="58">
        <f t="shared" si="64"/>
        <v>0</v>
      </c>
      <c r="AZ109" s="222" t="s">
        <v>573</v>
      </c>
      <c r="BA109" s="58">
        <f t="shared" si="27"/>
        <v>0</v>
      </c>
      <c r="BB109" s="222">
        <v>6720</v>
      </c>
      <c r="BC109" s="58">
        <f t="shared" si="28"/>
        <v>0</v>
      </c>
      <c r="BD109" s="222" t="s">
        <v>573</v>
      </c>
      <c r="BE109" s="58">
        <f t="shared" si="29"/>
        <v>0</v>
      </c>
      <c r="BF109" s="222" t="s">
        <v>573</v>
      </c>
      <c r="BG109" s="58">
        <f t="shared" si="30"/>
        <v>0</v>
      </c>
      <c r="BH109" s="223" t="s">
        <v>573</v>
      </c>
      <c r="BI109" s="58">
        <f t="shared" si="31"/>
        <v>0</v>
      </c>
      <c r="BJ109" s="220">
        <f t="shared" si="65"/>
        <v>26880</v>
      </c>
      <c r="BK109" s="58"/>
      <c r="BL109" s="58" t="s">
        <v>980</v>
      </c>
      <c r="BM109" s="220" t="s">
        <v>1388</v>
      </c>
      <c r="BN109" s="213" t="s">
        <v>754</v>
      </c>
      <c r="BO109" s="213" t="s">
        <v>513</v>
      </c>
      <c r="BP109" s="199">
        <v>45961</v>
      </c>
      <c r="BQ109" s="2" t="s">
        <v>1386</v>
      </c>
    </row>
    <row r="110" spans="1:69" ht="15.75" customHeight="1">
      <c r="A110" s="213" t="s">
        <v>788</v>
      </c>
      <c r="B110" s="58" t="s">
        <v>184</v>
      </c>
      <c r="C110" s="58" t="s">
        <v>752</v>
      </c>
      <c r="D110" s="214" t="s">
        <v>789</v>
      </c>
      <c r="E110" s="214" t="s">
        <v>789</v>
      </c>
      <c r="F110" s="215" t="s">
        <v>186</v>
      </c>
      <c r="G110" s="216">
        <v>2020</v>
      </c>
      <c r="H110" s="213" t="s">
        <v>808</v>
      </c>
      <c r="I110" s="213" t="s">
        <v>196</v>
      </c>
      <c r="J110" s="217" t="s">
        <v>890</v>
      </c>
      <c r="K110" s="213" t="s">
        <v>753</v>
      </c>
      <c r="L110" s="213" t="s">
        <v>192</v>
      </c>
      <c r="M110" s="219" t="s">
        <v>1397</v>
      </c>
      <c r="N110" s="219">
        <v>1.65</v>
      </c>
      <c r="O110" s="219">
        <v>1.65</v>
      </c>
      <c r="P110" s="219">
        <v>1.65</v>
      </c>
      <c r="Q110" s="219">
        <v>1.65</v>
      </c>
      <c r="R110" s="219">
        <v>1.65</v>
      </c>
      <c r="S110" s="219">
        <v>1.65</v>
      </c>
      <c r="T110" s="219">
        <v>1.65</v>
      </c>
      <c r="U110" s="219">
        <v>1.65</v>
      </c>
      <c r="V110" s="219">
        <v>1.65</v>
      </c>
      <c r="W110" s="219">
        <v>1.65</v>
      </c>
      <c r="X110" s="219">
        <v>1.65</v>
      </c>
      <c r="Y110" s="219">
        <v>1.65</v>
      </c>
      <c r="Z110" s="219">
        <v>0</v>
      </c>
      <c r="AA110" s="219">
        <v>0</v>
      </c>
      <c r="AB110" s="219">
        <v>0</v>
      </c>
      <c r="AC110" s="219">
        <v>0</v>
      </c>
      <c r="AD110" s="219">
        <v>0</v>
      </c>
      <c r="AE110" s="219">
        <v>0</v>
      </c>
      <c r="AF110" s="219">
        <v>0</v>
      </c>
      <c r="AG110" s="219">
        <v>0</v>
      </c>
      <c r="AH110" s="219">
        <v>0</v>
      </c>
      <c r="AI110" s="219">
        <v>0</v>
      </c>
      <c r="AJ110" s="219">
        <v>0</v>
      </c>
      <c r="AK110" s="219">
        <v>0</v>
      </c>
      <c r="AL110" s="229" t="s">
        <v>573</v>
      </c>
      <c r="AM110" s="219">
        <f t="shared" si="58"/>
        <v>0</v>
      </c>
      <c r="AN110" s="229" t="s">
        <v>573</v>
      </c>
      <c r="AO110" s="221">
        <f t="shared" si="59"/>
        <v>0</v>
      </c>
      <c r="AP110" s="222">
        <v>6720</v>
      </c>
      <c r="AQ110" s="221">
        <f t="shared" si="60"/>
        <v>0</v>
      </c>
      <c r="AR110" s="222" t="s">
        <v>573</v>
      </c>
      <c r="AS110" s="58">
        <f t="shared" si="61"/>
        <v>0</v>
      </c>
      <c r="AT110" s="222" t="s">
        <v>573</v>
      </c>
      <c r="AU110" s="58">
        <f t="shared" si="62"/>
        <v>0</v>
      </c>
      <c r="AV110" s="222">
        <v>6720</v>
      </c>
      <c r="AW110" s="58">
        <f t="shared" si="63"/>
        <v>0</v>
      </c>
      <c r="AX110" s="251" t="s">
        <v>573</v>
      </c>
      <c r="AY110" s="58">
        <f t="shared" si="64"/>
        <v>0</v>
      </c>
      <c r="AZ110" s="222">
        <v>6720</v>
      </c>
      <c r="BA110" s="58">
        <f t="shared" si="27"/>
        <v>0</v>
      </c>
      <c r="BB110" s="222" t="s">
        <v>573</v>
      </c>
      <c r="BC110" s="58">
        <f t="shared" si="28"/>
        <v>0</v>
      </c>
      <c r="BD110" s="222" t="s">
        <v>573</v>
      </c>
      <c r="BE110" s="58">
        <f t="shared" si="29"/>
        <v>0</v>
      </c>
      <c r="BF110" s="222" t="s">
        <v>573</v>
      </c>
      <c r="BG110" s="58">
        <f t="shared" si="30"/>
        <v>0</v>
      </c>
      <c r="BH110" s="223" t="s">
        <v>573</v>
      </c>
      <c r="BI110" s="58">
        <f t="shared" si="31"/>
        <v>0</v>
      </c>
      <c r="BJ110" s="220">
        <f t="shared" si="65"/>
        <v>20160</v>
      </c>
      <c r="BK110" s="58"/>
      <c r="BL110" s="58" t="s">
        <v>981</v>
      </c>
      <c r="BM110" s="220" t="s">
        <v>1397</v>
      </c>
      <c r="BN110" s="213" t="s">
        <v>754</v>
      </c>
      <c r="BO110" s="213" t="s">
        <v>512</v>
      </c>
      <c r="BP110" s="199">
        <v>45961</v>
      </c>
      <c r="BQ110" s="2" t="s">
        <v>1386</v>
      </c>
    </row>
    <row r="111" spans="1:69" ht="15.75" customHeight="1">
      <c r="A111" s="213" t="s">
        <v>788</v>
      </c>
      <c r="B111" s="58" t="s">
        <v>184</v>
      </c>
      <c r="C111" s="58" t="s">
        <v>752</v>
      </c>
      <c r="D111" s="214" t="s">
        <v>789</v>
      </c>
      <c r="E111" s="214" t="s">
        <v>789</v>
      </c>
      <c r="F111" s="215" t="s">
        <v>186</v>
      </c>
      <c r="G111" s="216">
        <v>2020</v>
      </c>
      <c r="H111" s="213" t="s">
        <v>799</v>
      </c>
      <c r="I111" s="213" t="s">
        <v>196</v>
      </c>
      <c r="J111" s="217" t="s">
        <v>890</v>
      </c>
      <c r="K111" s="213" t="s">
        <v>221</v>
      </c>
      <c r="L111" s="213" t="s">
        <v>192</v>
      </c>
      <c r="M111" s="219" t="s">
        <v>1388</v>
      </c>
      <c r="N111" s="219">
        <v>3.33</v>
      </c>
      <c r="O111" s="219">
        <v>3.33</v>
      </c>
      <c r="P111" s="219">
        <v>3.33</v>
      </c>
      <c r="Q111" s="219">
        <v>3.33</v>
      </c>
      <c r="R111" s="219">
        <v>3.33</v>
      </c>
      <c r="S111" s="219">
        <v>3.33</v>
      </c>
      <c r="T111" s="219">
        <v>3.33</v>
      </c>
      <c r="U111" s="219">
        <v>3.33</v>
      </c>
      <c r="V111" s="219">
        <v>3.33</v>
      </c>
      <c r="W111" s="219">
        <v>3.33</v>
      </c>
      <c r="X111" s="219">
        <v>3.33</v>
      </c>
      <c r="Y111" s="219">
        <v>3.33</v>
      </c>
      <c r="Z111" s="219">
        <v>0</v>
      </c>
      <c r="AA111" s="219">
        <v>0</v>
      </c>
      <c r="AB111" s="219">
        <v>0</v>
      </c>
      <c r="AC111" s="219">
        <v>0</v>
      </c>
      <c r="AD111" s="219">
        <v>0</v>
      </c>
      <c r="AE111" s="219">
        <v>0</v>
      </c>
      <c r="AF111" s="219">
        <v>0</v>
      </c>
      <c r="AG111" s="219">
        <v>0</v>
      </c>
      <c r="AH111" s="219">
        <v>0</v>
      </c>
      <c r="AI111" s="219">
        <v>0</v>
      </c>
      <c r="AJ111" s="219">
        <v>0</v>
      </c>
      <c r="AK111" s="219">
        <v>0</v>
      </c>
      <c r="AL111" s="229">
        <v>13440</v>
      </c>
      <c r="AM111" s="219">
        <f t="shared" si="58"/>
        <v>0</v>
      </c>
      <c r="AN111" s="229">
        <v>13440</v>
      </c>
      <c r="AO111" s="221">
        <f t="shared" si="59"/>
        <v>0</v>
      </c>
      <c r="AP111" s="222">
        <v>13440</v>
      </c>
      <c r="AQ111" s="221">
        <f t="shared" si="60"/>
        <v>0</v>
      </c>
      <c r="AR111" s="222" t="s">
        <v>573</v>
      </c>
      <c r="AS111" s="58">
        <f t="shared" si="61"/>
        <v>0</v>
      </c>
      <c r="AT111" s="222" t="s">
        <v>573</v>
      </c>
      <c r="AU111" s="58">
        <f t="shared" si="62"/>
        <v>0</v>
      </c>
      <c r="AV111" s="222">
        <v>13440</v>
      </c>
      <c r="AW111" s="58">
        <f t="shared" si="63"/>
        <v>0</v>
      </c>
      <c r="AX111" s="251" t="s">
        <v>573</v>
      </c>
      <c r="AY111" s="58">
        <f t="shared" si="64"/>
        <v>0</v>
      </c>
      <c r="AZ111" s="222" t="s">
        <v>573</v>
      </c>
      <c r="BA111" s="58">
        <f t="shared" si="27"/>
        <v>0</v>
      </c>
      <c r="BB111" s="222">
        <v>6720</v>
      </c>
      <c r="BC111" s="58">
        <f t="shared" si="28"/>
        <v>0</v>
      </c>
      <c r="BD111" s="222" t="s">
        <v>573</v>
      </c>
      <c r="BE111" s="58">
        <f t="shared" si="29"/>
        <v>0</v>
      </c>
      <c r="BF111" s="222">
        <v>6720</v>
      </c>
      <c r="BG111" s="58">
        <f t="shared" si="30"/>
        <v>0</v>
      </c>
      <c r="BH111" s="223">
        <v>20160</v>
      </c>
      <c r="BI111" s="58">
        <f t="shared" si="31"/>
        <v>0</v>
      </c>
      <c r="BJ111" s="220">
        <f t="shared" si="65"/>
        <v>87360</v>
      </c>
      <c r="BK111" s="58"/>
      <c r="BL111" s="58" t="s">
        <v>982</v>
      </c>
      <c r="BM111" s="220" t="s">
        <v>1388</v>
      </c>
      <c r="BN111" s="213" t="s">
        <v>1310</v>
      </c>
      <c r="BO111" s="213" t="s">
        <v>809</v>
      </c>
      <c r="BP111" s="199">
        <v>45473</v>
      </c>
      <c r="BQ111" s="2" t="s">
        <v>1386</v>
      </c>
    </row>
    <row r="112" spans="1:69" ht="15.6" customHeight="1">
      <c r="A112" s="213" t="s">
        <v>788</v>
      </c>
      <c r="B112" s="58" t="s">
        <v>184</v>
      </c>
      <c r="C112" s="58" t="s">
        <v>752</v>
      </c>
      <c r="D112" s="214" t="s">
        <v>789</v>
      </c>
      <c r="E112" s="214" t="s">
        <v>789</v>
      </c>
      <c r="F112" s="215" t="s">
        <v>186</v>
      </c>
      <c r="G112" s="216">
        <v>2020</v>
      </c>
      <c r="H112" s="213" t="s">
        <v>799</v>
      </c>
      <c r="I112" s="213" t="s">
        <v>196</v>
      </c>
      <c r="J112" s="217" t="s">
        <v>890</v>
      </c>
      <c r="K112" s="213" t="s">
        <v>221</v>
      </c>
      <c r="L112" s="213" t="s">
        <v>192</v>
      </c>
      <c r="M112" s="219" t="s">
        <v>1388</v>
      </c>
      <c r="N112" s="219">
        <v>3.29</v>
      </c>
      <c r="O112" s="219">
        <v>3.29</v>
      </c>
      <c r="P112" s="219">
        <v>3.29</v>
      </c>
      <c r="Q112" s="219">
        <v>3.29</v>
      </c>
      <c r="R112" s="219">
        <v>3.29</v>
      </c>
      <c r="S112" s="219">
        <v>3.29</v>
      </c>
      <c r="T112" s="219">
        <v>3.29</v>
      </c>
      <c r="U112" s="219">
        <v>3.29</v>
      </c>
      <c r="V112" s="219">
        <v>3.29</v>
      </c>
      <c r="W112" s="219">
        <v>3.29</v>
      </c>
      <c r="X112" s="219">
        <v>3.29</v>
      </c>
      <c r="Y112" s="219">
        <v>3.29</v>
      </c>
      <c r="Z112" s="219">
        <v>0</v>
      </c>
      <c r="AA112" s="219">
        <v>0</v>
      </c>
      <c r="AB112" s="219">
        <v>0</v>
      </c>
      <c r="AC112" s="219">
        <v>0</v>
      </c>
      <c r="AD112" s="219">
        <v>0</v>
      </c>
      <c r="AE112" s="219">
        <v>0</v>
      </c>
      <c r="AF112" s="219">
        <v>0</v>
      </c>
      <c r="AG112" s="219">
        <v>0</v>
      </c>
      <c r="AH112" s="219">
        <v>0</v>
      </c>
      <c r="AI112" s="219">
        <v>0</v>
      </c>
      <c r="AJ112" s="219">
        <v>0</v>
      </c>
      <c r="AK112" s="219">
        <v>0</v>
      </c>
      <c r="AL112" s="229" t="s">
        <v>573</v>
      </c>
      <c r="AM112" s="219">
        <f t="shared" si="58"/>
        <v>0</v>
      </c>
      <c r="AN112" s="229" t="s">
        <v>573</v>
      </c>
      <c r="AO112" s="221">
        <f t="shared" si="59"/>
        <v>0</v>
      </c>
      <c r="AP112" s="222">
        <v>6720</v>
      </c>
      <c r="AQ112" s="221">
        <f t="shared" si="60"/>
        <v>0</v>
      </c>
      <c r="AR112" s="222" t="s">
        <v>573</v>
      </c>
      <c r="AS112" s="58">
        <f t="shared" si="61"/>
        <v>0</v>
      </c>
      <c r="AT112" s="222">
        <v>20160</v>
      </c>
      <c r="AU112" s="58">
        <f t="shared" si="62"/>
        <v>0</v>
      </c>
      <c r="AV112" s="222" t="s">
        <v>573</v>
      </c>
      <c r="AW112" s="58">
        <f t="shared" si="63"/>
        <v>0</v>
      </c>
      <c r="AX112" s="251">
        <v>20160</v>
      </c>
      <c r="AY112" s="58">
        <f t="shared" si="64"/>
        <v>0</v>
      </c>
      <c r="AZ112" s="222" t="s">
        <v>573</v>
      </c>
      <c r="BA112" s="58">
        <f t="shared" si="27"/>
        <v>0</v>
      </c>
      <c r="BB112" s="222">
        <v>6720</v>
      </c>
      <c r="BC112" s="58">
        <f t="shared" si="28"/>
        <v>0</v>
      </c>
      <c r="BD112" s="222">
        <v>6720</v>
      </c>
      <c r="BE112" s="58">
        <f t="shared" si="29"/>
        <v>0</v>
      </c>
      <c r="BF112" s="222">
        <v>6720</v>
      </c>
      <c r="BG112" s="58">
        <f t="shared" si="30"/>
        <v>0</v>
      </c>
      <c r="BH112" s="223">
        <v>6720</v>
      </c>
      <c r="BI112" s="58">
        <f t="shared" si="31"/>
        <v>0</v>
      </c>
      <c r="BJ112" s="220">
        <f t="shared" si="65"/>
        <v>73920</v>
      </c>
      <c r="BK112" s="58"/>
      <c r="BL112" s="58" t="s">
        <v>983</v>
      </c>
      <c r="BM112" s="220" t="s">
        <v>1388</v>
      </c>
      <c r="BN112" s="213" t="s">
        <v>754</v>
      </c>
      <c r="BO112" s="213" t="s">
        <v>1251</v>
      </c>
      <c r="BP112" s="199">
        <v>45473</v>
      </c>
      <c r="BQ112" s="2" t="s">
        <v>1386</v>
      </c>
    </row>
    <row r="113" spans="1:69" ht="15.75" customHeight="1">
      <c r="A113" s="213" t="s">
        <v>788</v>
      </c>
      <c r="B113" s="58" t="s">
        <v>184</v>
      </c>
      <c r="C113" s="58" t="s">
        <v>752</v>
      </c>
      <c r="D113" s="214" t="s">
        <v>789</v>
      </c>
      <c r="E113" s="214" t="s">
        <v>789</v>
      </c>
      <c r="F113" s="215" t="s">
        <v>186</v>
      </c>
      <c r="G113" s="216">
        <v>2020</v>
      </c>
      <c r="H113" s="213" t="s">
        <v>799</v>
      </c>
      <c r="I113" s="213" t="s">
        <v>196</v>
      </c>
      <c r="J113" s="217" t="s">
        <v>890</v>
      </c>
      <c r="K113" s="213" t="s">
        <v>221</v>
      </c>
      <c r="L113" s="213" t="s">
        <v>192</v>
      </c>
      <c r="M113" s="219" t="s">
        <v>1397</v>
      </c>
      <c r="N113" s="219">
        <v>3.28</v>
      </c>
      <c r="O113" s="219">
        <v>3.28</v>
      </c>
      <c r="P113" s="219">
        <v>3.28</v>
      </c>
      <c r="Q113" s="219">
        <v>3.28</v>
      </c>
      <c r="R113" s="219">
        <v>3.28</v>
      </c>
      <c r="S113" s="219">
        <v>3.28</v>
      </c>
      <c r="T113" s="219">
        <v>3.28</v>
      </c>
      <c r="U113" s="219">
        <v>3.28</v>
      </c>
      <c r="V113" s="219">
        <v>3.28</v>
      </c>
      <c r="W113" s="219">
        <v>3.28</v>
      </c>
      <c r="X113" s="219">
        <v>3.28</v>
      </c>
      <c r="Y113" s="219">
        <v>3.28</v>
      </c>
      <c r="Z113" s="219">
        <v>0</v>
      </c>
      <c r="AA113" s="219">
        <v>0</v>
      </c>
      <c r="AB113" s="219">
        <v>0</v>
      </c>
      <c r="AC113" s="219">
        <v>0</v>
      </c>
      <c r="AD113" s="219">
        <v>0</v>
      </c>
      <c r="AE113" s="219">
        <v>0</v>
      </c>
      <c r="AF113" s="219">
        <v>0</v>
      </c>
      <c r="AG113" s="219">
        <v>0</v>
      </c>
      <c r="AH113" s="219">
        <v>0</v>
      </c>
      <c r="AI113" s="219">
        <v>0</v>
      </c>
      <c r="AJ113" s="219">
        <v>0</v>
      </c>
      <c r="AK113" s="219">
        <v>0</v>
      </c>
      <c r="AL113" s="229" t="s">
        <v>573</v>
      </c>
      <c r="AM113" s="219">
        <f t="shared" si="58"/>
        <v>0</v>
      </c>
      <c r="AN113" s="229" t="s">
        <v>573</v>
      </c>
      <c r="AO113" s="221">
        <f t="shared" si="59"/>
        <v>0</v>
      </c>
      <c r="AP113" s="222">
        <v>6720</v>
      </c>
      <c r="AQ113" s="221">
        <f t="shared" si="60"/>
        <v>0</v>
      </c>
      <c r="AR113" s="222" t="s">
        <v>573</v>
      </c>
      <c r="AS113" s="58">
        <f t="shared" si="61"/>
        <v>0</v>
      </c>
      <c r="AT113" s="222" t="s">
        <v>573</v>
      </c>
      <c r="AU113" s="58">
        <f t="shared" si="62"/>
        <v>0</v>
      </c>
      <c r="AV113" s="222">
        <v>6720</v>
      </c>
      <c r="AW113" s="58">
        <f t="shared" si="63"/>
        <v>0</v>
      </c>
      <c r="AX113" s="251" t="s">
        <v>573</v>
      </c>
      <c r="AY113" s="58">
        <f t="shared" si="64"/>
        <v>0</v>
      </c>
      <c r="AZ113" s="222">
        <v>13440</v>
      </c>
      <c r="BA113" s="58">
        <f t="shared" si="27"/>
        <v>0</v>
      </c>
      <c r="BB113" s="222" t="s">
        <v>573</v>
      </c>
      <c r="BC113" s="58">
        <f t="shared" si="28"/>
        <v>0</v>
      </c>
      <c r="BD113" s="222" t="s">
        <v>573</v>
      </c>
      <c r="BE113" s="58">
        <f t="shared" si="29"/>
        <v>0</v>
      </c>
      <c r="BF113" s="222" t="s">
        <v>573</v>
      </c>
      <c r="BG113" s="58">
        <f t="shared" si="30"/>
        <v>0</v>
      </c>
      <c r="BH113" s="223" t="s">
        <v>573</v>
      </c>
      <c r="BI113" s="58">
        <f t="shared" si="31"/>
        <v>0</v>
      </c>
      <c r="BJ113" s="220">
        <f t="shared" si="65"/>
        <v>26880</v>
      </c>
      <c r="BK113" s="58"/>
      <c r="BL113" s="58" t="s">
        <v>984</v>
      </c>
      <c r="BM113" s="220" t="s">
        <v>1397</v>
      </c>
      <c r="BN113" s="213" t="s">
        <v>754</v>
      </c>
      <c r="BO113" s="213" t="s">
        <v>533</v>
      </c>
      <c r="BP113" s="199">
        <v>45961</v>
      </c>
      <c r="BQ113" s="2" t="s">
        <v>1386</v>
      </c>
    </row>
    <row r="114" spans="1:69" ht="15.75" customHeight="1">
      <c r="A114" s="213" t="s">
        <v>788</v>
      </c>
      <c r="B114" s="58" t="s">
        <v>184</v>
      </c>
      <c r="C114" s="58" t="s">
        <v>752</v>
      </c>
      <c r="D114" s="214" t="s">
        <v>789</v>
      </c>
      <c r="E114" s="214" t="s">
        <v>789</v>
      </c>
      <c r="F114" s="215" t="s">
        <v>186</v>
      </c>
      <c r="G114" s="216">
        <v>2020</v>
      </c>
      <c r="H114" s="213" t="s">
        <v>799</v>
      </c>
      <c r="I114" s="213" t="s">
        <v>196</v>
      </c>
      <c r="J114" s="217" t="s">
        <v>890</v>
      </c>
      <c r="K114" s="213" t="s">
        <v>221</v>
      </c>
      <c r="L114" s="213" t="s">
        <v>192</v>
      </c>
      <c r="M114" s="219" t="s">
        <v>1391</v>
      </c>
      <c r="N114" s="219">
        <v>3.25</v>
      </c>
      <c r="O114" s="219">
        <v>3.25</v>
      </c>
      <c r="P114" s="219">
        <v>3.25</v>
      </c>
      <c r="Q114" s="219">
        <v>3.25</v>
      </c>
      <c r="R114" s="219">
        <v>3.25</v>
      </c>
      <c r="S114" s="219">
        <v>3.25</v>
      </c>
      <c r="T114" s="219">
        <v>3.25</v>
      </c>
      <c r="U114" s="219">
        <v>3.25</v>
      </c>
      <c r="V114" s="219">
        <v>3.25</v>
      </c>
      <c r="W114" s="219">
        <v>3.25</v>
      </c>
      <c r="X114" s="219">
        <v>3.25</v>
      </c>
      <c r="Y114" s="219">
        <v>3.25</v>
      </c>
      <c r="Z114" s="219">
        <v>0</v>
      </c>
      <c r="AA114" s="219">
        <v>0</v>
      </c>
      <c r="AB114" s="219">
        <v>0</v>
      </c>
      <c r="AC114" s="219">
        <v>0</v>
      </c>
      <c r="AD114" s="219">
        <v>0</v>
      </c>
      <c r="AE114" s="219">
        <v>0</v>
      </c>
      <c r="AF114" s="219">
        <v>0</v>
      </c>
      <c r="AG114" s="219">
        <v>0</v>
      </c>
      <c r="AH114" s="219">
        <v>0</v>
      </c>
      <c r="AI114" s="219">
        <v>0</v>
      </c>
      <c r="AJ114" s="219">
        <v>0</v>
      </c>
      <c r="AK114" s="219">
        <v>0</v>
      </c>
      <c r="AL114" s="229">
        <v>6720</v>
      </c>
      <c r="AM114" s="219">
        <f t="shared" si="58"/>
        <v>0</v>
      </c>
      <c r="AN114" s="229" t="s">
        <v>573</v>
      </c>
      <c r="AO114" s="221">
        <f t="shared" si="59"/>
        <v>0</v>
      </c>
      <c r="AP114" s="222" t="s">
        <v>573</v>
      </c>
      <c r="AQ114" s="221">
        <f t="shared" si="60"/>
        <v>0</v>
      </c>
      <c r="AR114" s="222" t="s">
        <v>573</v>
      </c>
      <c r="AS114" s="58">
        <f t="shared" si="61"/>
        <v>0</v>
      </c>
      <c r="AT114" s="222" t="s">
        <v>573</v>
      </c>
      <c r="AU114" s="58">
        <f t="shared" si="62"/>
        <v>0</v>
      </c>
      <c r="AV114" s="222" t="s">
        <v>573</v>
      </c>
      <c r="AW114" s="58">
        <f t="shared" si="63"/>
        <v>0</v>
      </c>
      <c r="AX114" s="251" t="s">
        <v>573</v>
      </c>
      <c r="AY114" s="58">
        <f t="shared" si="64"/>
        <v>0</v>
      </c>
      <c r="AZ114" s="222">
        <v>6720</v>
      </c>
      <c r="BA114" s="58">
        <f t="shared" si="27"/>
        <v>0</v>
      </c>
      <c r="BB114" s="222" t="s">
        <v>573</v>
      </c>
      <c r="BC114" s="58">
        <f t="shared" si="28"/>
        <v>0</v>
      </c>
      <c r="BD114" s="222" t="s">
        <v>573</v>
      </c>
      <c r="BE114" s="58">
        <f t="shared" si="29"/>
        <v>0</v>
      </c>
      <c r="BF114" s="222" t="s">
        <v>573</v>
      </c>
      <c r="BG114" s="58">
        <f t="shared" si="30"/>
        <v>0</v>
      </c>
      <c r="BH114" s="223" t="s">
        <v>573</v>
      </c>
      <c r="BI114" s="58">
        <f t="shared" si="31"/>
        <v>0</v>
      </c>
      <c r="BJ114" s="220">
        <f t="shared" si="65"/>
        <v>13440</v>
      </c>
      <c r="BK114" s="58"/>
      <c r="BL114" s="58" t="s">
        <v>985</v>
      </c>
      <c r="BM114" s="220" t="s">
        <v>1391</v>
      </c>
      <c r="BN114" s="213" t="s">
        <v>197</v>
      </c>
      <c r="BO114" s="213" t="s">
        <v>531</v>
      </c>
      <c r="BP114" s="199">
        <v>45961</v>
      </c>
      <c r="BQ114" s="2" t="s">
        <v>1386</v>
      </c>
    </row>
    <row r="115" spans="1:69" ht="15.75" customHeight="1">
      <c r="A115" s="213" t="s">
        <v>788</v>
      </c>
      <c r="B115" s="58" t="s">
        <v>184</v>
      </c>
      <c r="C115" s="58" t="s">
        <v>752</v>
      </c>
      <c r="D115" s="214" t="s">
        <v>789</v>
      </c>
      <c r="E115" s="214" t="s">
        <v>789</v>
      </c>
      <c r="F115" s="215" t="s">
        <v>186</v>
      </c>
      <c r="G115" s="216">
        <v>2020</v>
      </c>
      <c r="H115" s="213" t="s">
        <v>799</v>
      </c>
      <c r="I115" s="213" t="s">
        <v>196</v>
      </c>
      <c r="J115" s="217" t="s">
        <v>890</v>
      </c>
      <c r="K115" s="213" t="s">
        <v>221</v>
      </c>
      <c r="L115" s="213" t="s">
        <v>192</v>
      </c>
      <c r="M115" s="219" t="s">
        <v>1392</v>
      </c>
      <c r="N115" s="219">
        <v>3.85</v>
      </c>
      <c r="O115" s="219">
        <v>3.85</v>
      </c>
      <c r="P115" s="219">
        <v>3.85</v>
      </c>
      <c r="Q115" s="219">
        <v>3.85</v>
      </c>
      <c r="R115" s="219">
        <v>3.85</v>
      </c>
      <c r="S115" s="219">
        <v>3.85</v>
      </c>
      <c r="T115" s="219">
        <v>3.85</v>
      </c>
      <c r="U115" s="219">
        <v>3.85</v>
      </c>
      <c r="V115" s="219">
        <v>3.85</v>
      </c>
      <c r="W115" s="219">
        <v>3.85</v>
      </c>
      <c r="X115" s="219">
        <v>3.85</v>
      </c>
      <c r="Y115" s="219">
        <v>3.85</v>
      </c>
      <c r="Z115" s="219">
        <v>0</v>
      </c>
      <c r="AA115" s="219">
        <v>0</v>
      </c>
      <c r="AB115" s="219">
        <v>0</v>
      </c>
      <c r="AC115" s="219">
        <v>0</v>
      </c>
      <c r="AD115" s="219">
        <v>0</v>
      </c>
      <c r="AE115" s="219">
        <v>0</v>
      </c>
      <c r="AF115" s="219">
        <v>0</v>
      </c>
      <c r="AG115" s="219">
        <v>0</v>
      </c>
      <c r="AH115" s="219">
        <v>0</v>
      </c>
      <c r="AI115" s="219">
        <v>0</v>
      </c>
      <c r="AJ115" s="219">
        <v>0</v>
      </c>
      <c r="AK115" s="219">
        <v>0</v>
      </c>
      <c r="AL115" s="229" t="s">
        <v>573</v>
      </c>
      <c r="AM115" s="219">
        <f t="shared" si="58"/>
        <v>0</v>
      </c>
      <c r="AN115" s="229" t="s">
        <v>573</v>
      </c>
      <c r="AO115" s="221">
        <f t="shared" si="59"/>
        <v>0</v>
      </c>
      <c r="AP115" s="222" t="s">
        <v>573</v>
      </c>
      <c r="AQ115" s="221">
        <f t="shared" si="60"/>
        <v>0</v>
      </c>
      <c r="AR115" s="222" t="s">
        <v>573</v>
      </c>
      <c r="AS115" s="58">
        <f t="shared" si="61"/>
        <v>0</v>
      </c>
      <c r="AT115" s="222" t="s">
        <v>573</v>
      </c>
      <c r="AU115" s="58">
        <f t="shared" si="62"/>
        <v>0</v>
      </c>
      <c r="AV115" s="222" t="s">
        <v>573</v>
      </c>
      <c r="AW115" s="58">
        <f t="shared" si="63"/>
        <v>0</v>
      </c>
      <c r="AX115" s="251" t="s">
        <v>573</v>
      </c>
      <c r="AY115" s="58">
        <f t="shared" si="64"/>
        <v>0</v>
      </c>
      <c r="AZ115" s="222" t="s">
        <v>573</v>
      </c>
      <c r="BA115" s="58">
        <f t="shared" si="27"/>
        <v>0</v>
      </c>
      <c r="BB115" s="222" t="s">
        <v>573</v>
      </c>
      <c r="BC115" s="58">
        <f t="shared" si="28"/>
        <v>0</v>
      </c>
      <c r="BD115" s="222" t="s">
        <v>573</v>
      </c>
      <c r="BE115" s="58">
        <f t="shared" si="29"/>
        <v>0</v>
      </c>
      <c r="BF115" s="222" t="s">
        <v>573</v>
      </c>
      <c r="BG115" s="58">
        <f t="shared" si="30"/>
        <v>0</v>
      </c>
      <c r="BH115" s="223" t="s">
        <v>573</v>
      </c>
      <c r="BI115" s="58">
        <f t="shared" si="31"/>
        <v>0</v>
      </c>
      <c r="BJ115" s="220">
        <f t="shared" si="65"/>
        <v>0</v>
      </c>
      <c r="BK115" s="58"/>
      <c r="BL115" s="58" t="s">
        <v>890</v>
      </c>
      <c r="BM115" s="220" t="s">
        <v>1392</v>
      </c>
      <c r="BN115" s="213" t="s">
        <v>1347</v>
      </c>
      <c r="BO115" s="213" t="s">
        <v>1150</v>
      </c>
      <c r="BP115" s="199"/>
      <c r="BQ115" s="2" t="s">
        <v>1386</v>
      </c>
    </row>
    <row r="116" spans="1:69" ht="15.75" customHeight="1">
      <c r="A116" s="213" t="s">
        <v>788</v>
      </c>
      <c r="B116" s="58" t="s">
        <v>184</v>
      </c>
      <c r="C116" s="58" t="s">
        <v>752</v>
      </c>
      <c r="D116" s="214" t="s">
        <v>789</v>
      </c>
      <c r="E116" s="214" t="s">
        <v>789</v>
      </c>
      <c r="F116" s="215" t="s">
        <v>186</v>
      </c>
      <c r="G116" s="216">
        <v>2020</v>
      </c>
      <c r="H116" s="213" t="s">
        <v>799</v>
      </c>
      <c r="I116" s="213" t="s">
        <v>196</v>
      </c>
      <c r="J116" s="217" t="s">
        <v>890</v>
      </c>
      <c r="K116" s="213" t="s">
        <v>221</v>
      </c>
      <c r="L116" s="213" t="s">
        <v>192</v>
      </c>
      <c r="M116" s="219" t="s">
        <v>1392</v>
      </c>
      <c r="N116" s="219">
        <v>3.85</v>
      </c>
      <c r="O116" s="219">
        <v>3.85</v>
      </c>
      <c r="P116" s="219">
        <v>3.85</v>
      </c>
      <c r="Q116" s="219">
        <v>3.85</v>
      </c>
      <c r="R116" s="219">
        <v>3.85</v>
      </c>
      <c r="S116" s="219">
        <v>3.85</v>
      </c>
      <c r="T116" s="219">
        <v>3.85</v>
      </c>
      <c r="U116" s="219">
        <v>3.85</v>
      </c>
      <c r="V116" s="219">
        <v>3.85</v>
      </c>
      <c r="W116" s="219">
        <v>3.85</v>
      </c>
      <c r="X116" s="219">
        <v>3.85</v>
      </c>
      <c r="Y116" s="219">
        <v>3.85</v>
      </c>
      <c r="Z116" s="219">
        <v>0</v>
      </c>
      <c r="AA116" s="219">
        <v>0</v>
      </c>
      <c r="AB116" s="219">
        <v>0</v>
      </c>
      <c r="AC116" s="219">
        <v>0</v>
      </c>
      <c r="AD116" s="219">
        <v>0</v>
      </c>
      <c r="AE116" s="219">
        <v>0</v>
      </c>
      <c r="AF116" s="219">
        <v>0</v>
      </c>
      <c r="AG116" s="219">
        <v>0</v>
      </c>
      <c r="AH116" s="219">
        <v>0</v>
      </c>
      <c r="AI116" s="219">
        <v>0</v>
      </c>
      <c r="AJ116" s="219">
        <v>0</v>
      </c>
      <c r="AK116" s="219">
        <v>0</v>
      </c>
      <c r="AL116" s="229" t="s">
        <v>573</v>
      </c>
      <c r="AM116" s="219">
        <f t="shared" si="58"/>
        <v>0</v>
      </c>
      <c r="AN116" s="229" t="s">
        <v>573</v>
      </c>
      <c r="AO116" s="221">
        <f t="shared" si="59"/>
        <v>0</v>
      </c>
      <c r="AP116" s="222" t="s">
        <v>573</v>
      </c>
      <c r="AQ116" s="221">
        <f t="shared" si="60"/>
        <v>0</v>
      </c>
      <c r="AR116" s="222" t="s">
        <v>573</v>
      </c>
      <c r="AS116" s="58">
        <f t="shared" si="61"/>
        <v>0</v>
      </c>
      <c r="AT116" s="222" t="s">
        <v>573</v>
      </c>
      <c r="AU116" s="58">
        <f t="shared" si="62"/>
        <v>0</v>
      </c>
      <c r="AV116" s="222" t="s">
        <v>573</v>
      </c>
      <c r="AW116" s="58">
        <f t="shared" si="63"/>
        <v>0</v>
      </c>
      <c r="AX116" s="251" t="s">
        <v>573</v>
      </c>
      <c r="AY116" s="58">
        <f t="shared" si="64"/>
        <v>0</v>
      </c>
      <c r="AZ116" s="222" t="s">
        <v>573</v>
      </c>
      <c r="BA116" s="58">
        <f t="shared" si="27"/>
        <v>0</v>
      </c>
      <c r="BB116" s="222" t="s">
        <v>573</v>
      </c>
      <c r="BC116" s="58">
        <f t="shared" si="28"/>
        <v>0</v>
      </c>
      <c r="BD116" s="222" t="s">
        <v>573</v>
      </c>
      <c r="BE116" s="58">
        <f t="shared" si="29"/>
        <v>0</v>
      </c>
      <c r="BF116" s="222" t="s">
        <v>573</v>
      </c>
      <c r="BG116" s="58">
        <f t="shared" si="30"/>
        <v>0</v>
      </c>
      <c r="BH116" s="223" t="s">
        <v>573</v>
      </c>
      <c r="BI116" s="58">
        <f t="shared" si="31"/>
        <v>0</v>
      </c>
      <c r="BJ116" s="220">
        <f t="shared" si="65"/>
        <v>0</v>
      </c>
      <c r="BK116" s="58"/>
      <c r="BL116" s="58" t="s">
        <v>890</v>
      </c>
      <c r="BM116" s="220" t="s">
        <v>1392</v>
      </c>
      <c r="BN116" s="213" t="s">
        <v>1347</v>
      </c>
      <c r="BO116" s="213" t="s">
        <v>678</v>
      </c>
      <c r="BP116" s="199"/>
      <c r="BQ116" s="2" t="s">
        <v>1386</v>
      </c>
    </row>
    <row r="117" spans="1:69" ht="15.75" customHeight="1">
      <c r="A117" s="213" t="s">
        <v>788</v>
      </c>
      <c r="B117" s="58" t="s">
        <v>184</v>
      </c>
      <c r="C117" s="58" t="s">
        <v>752</v>
      </c>
      <c r="D117" s="214" t="s">
        <v>789</v>
      </c>
      <c r="E117" s="214" t="s">
        <v>789</v>
      </c>
      <c r="F117" s="215" t="s">
        <v>186</v>
      </c>
      <c r="G117" s="216">
        <v>2020</v>
      </c>
      <c r="H117" s="213" t="s">
        <v>799</v>
      </c>
      <c r="I117" s="213" t="s">
        <v>196</v>
      </c>
      <c r="J117" s="217" t="s">
        <v>890</v>
      </c>
      <c r="K117" s="213" t="s">
        <v>221</v>
      </c>
      <c r="L117" s="213" t="s">
        <v>192</v>
      </c>
      <c r="M117" s="219" t="s">
        <v>1393</v>
      </c>
      <c r="N117" s="219">
        <v>3.85</v>
      </c>
      <c r="O117" s="219">
        <v>3.85</v>
      </c>
      <c r="P117" s="219">
        <v>3.85</v>
      </c>
      <c r="Q117" s="219">
        <v>3.85</v>
      </c>
      <c r="R117" s="219">
        <v>3.85</v>
      </c>
      <c r="S117" s="219">
        <v>3.85</v>
      </c>
      <c r="T117" s="219">
        <v>3.85</v>
      </c>
      <c r="U117" s="219">
        <v>3.85</v>
      </c>
      <c r="V117" s="219">
        <v>3.85</v>
      </c>
      <c r="W117" s="219">
        <v>3.85</v>
      </c>
      <c r="X117" s="219">
        <v>3.85</v>
      </c>
      <c r="Y117" s="219">
        <v>3.85</v>
      </c>
      <c r="Z117" s="219">
        <v>0</v>
      </c>
      <c r="AA117" s="219">
        <v>0</v>
      </c>
      <c r="AB117" s="219">
        <v>0</v>
      </c>
      <c r="AC117" s="219">
        <v>0</v>
      </c>
      <c r="AD117" s="219">
        <v>0</v>
      </c>
      <c r="AE117" s="219">
        <v>0</v>
      </c>
      <c r="AF117" s="219">
        <v>0</v>
      </c>
      <c r="AG117" s="219">
        <v>0</v>
      </c>
      <c r="AH117" s="219">
        <v>0</v>
      </c>
      <c r="AI117" s="219">
        <v>0</v>
      </c>
      <c r="AJ117" s="219">
        <v>0</v>
      </c>
      <c r="AK117" s="219">
        <v>0</v>
      </c>
      <c r="AL117" s="229" t="s">
        <v>573</v>
      </c>
      <c r="AM117" s="219">
        <f t="shared" si="58"/>
        <v>0</v>
      </c>
      <c r="AN117" s="229" t="s">
        <v>573</v>
      </c>
      <c r="AO117" s="221">
        <f t="shared" si="59"/>
        <v>0</v>
      </c>
      <c r="AP117" s="222" t="s">
        <v>573</v>
      </c>
      <c r="AQ117" s="221">
        <f t="shared" si="60"/>
        <v>0</v>
      </c>
      <c r="AR117" s="222" t="s">
        <v>573</v>
      </c>
      <c r="AS117" s="58">
        <f t="shared" si="61"/>
        <v>0</v>
      </c>
      <c r="AT117" s="222" t="s">
        <v>573</v>
      </c>
      <c r="AU117" s="58">
        <f t="shared" si="62"/>
        <v>0</v>
      </c>
      <c r="AV117" s="222" t="s">
        <v>573</v>
      </c>
      <c r="AW117" s="58">
        <f t="shared" si="63"/>
        <v>0</v>
      </c>
      <c r="AX117" s="251" t="s">
        <v>573</v>
      </c>
      <c r="AY117" s="58">
        <f t="shared" si="64"/>
        <v>0</v>
      </c>
      <c r="AZ117" s="222" t="s">
        <v>573</v>
      </c>
      <c r="BA117" s="58">
        <f t="shared" si="27"/>
        <v>0</v>
      </c>
      <c r="BB117" s="222" t="s">
        <v>573</v>
      </c>
      <c r="BC117" s="58">
        <f t="shared" si="28"/>
        <v>0</v>
      </c>
      <c r="BD117" s="222" t="s">
        <v>573</v>
      </c>
      <c r="BE117" s="58">
        <f t="shared" si="29"/>
        <v>0</v>
      </c>
      <c r="BF117" s="222" t="s">
        <v>573</v>
      </c>
      <c r="BG117" s="58">
        <f t="shared" si="30"/>
        <v>0</v>
      </c>
      <c r="BH117" s="223" t="s">
        <v>573</v>
      </c>
      <c r="BI117" s="58">
        <f t="shared" si="31"/>
        <v>0</v>
      </c>
      <c r="BJ117" s="220">
        <f t="shared" si="65"/>
        <v>0</v>
      </c>
      <c r="BK117" s="58"/>
      <c r="BL117" s="58" t="s">
        <v>986</v>
      </c>
      <c r="BM117" s="220" t="s">
        <v>1393</v>
      </c>
      <c r="BN117" s="213" t="s">
        <v>1347</v>
      </c>
      <c r="BO117" s="213" t="s">
        <v>677</v>
      </c>
      <c r="BP117" s="199">
        <v>45838</v>
      </c>
      <c r="BQ117" s="2" t="s">
        <v>1386</v>
      </c>
    </row>
    <row r="118" spans="1:69" ht="15.75" customHeight="1">
      <c r="A118" s="213" t="s">
        <v>788</v>
      </c>
      <c r="B118" s="58" t="s">
        <v>184</v>
      </c>
      <c r="C118" s="58" t="s">
        <v>752</v>
      </c>
      <c r="D118" s="214" t="s">
        <v>789</v>
      </c>
      <c r="E118" s="214" t="s">
        <v>789</v>
      </c>
      <c r="F118" s="215" t="s">
        <v>186</v>
      </c>
      <c r="G118" s="216">
        <v>2021</v>
      </c>
      <c r="H118" s="213" t="s">
        <v>801</v>
      </c>
      <c r="I118" s="213" t="s">
        <v>196</v>
      </c>
      <c r="J118" s="217" t="s">
        <v>890</v>
      </c>
      <c r="K118" s="213" t="s">
        <v>221</v>
      </c>
      <c r="L118" s="213" t="s">
        <v>192</v>
      </c>
      <c r="M118" s="219" t="s">
        <v>1389</v>
      </c>
      <c r="N118" s="219">
        <v>4.26</v>
      </c>
      <c r="O118" s="219">
        <v>4.26</v>
      </c>
      <c r="P118" s="219">
        <v>4.26</v>
      </c>
      <c r="Q118" s="219">
        <v>4.26</v>
      </c>
      <c r="R118" s="219">
        <v>4.26</v>
      </c>
      <c r="S118" s="219">
        <v>4.26</v>
      </c>
      <c r="T118" s="219">
        <v>4.26</v>
      </c>
      <c r="U118" s="219">
        <v>4.26</v>
      </c>
      <c r="V118" s="219">
        <v>4.26</v>
      </c>
      <c r="W118" s="219">
        <v>4.26</v>
      </c>
      <c r="X118" s="219">
        <v>4.26</v>
      </c>
      <c r="Y118" s="219">
        <v>4.26</v>
      </c>
      <c r="Z118" s="219">
        <v>7.0000000000000007E-2</v>
      </c>
      <c r="AA118" s="219">
        <v>7.0000000000000007E-2</v>
      </c>
      <c r="AB118" s="219">
        <v>7.0000000000000007E-2</v>
      </c>
      <c r="AC118" s="219">
        <v>7.0000000000000007E-2</v>
      </c>
      <c r="AD118" s="219">
        <v>7.0000000000000007E-2</v>
      </c>
      <c r="AE118" s="219">
        <v>7.0000000000000007E-2</v>
      </c>
      <c r="AF118" s="219">
        <v>7.0000000000000007E-2</v>
      </c>
      <c r="AG118" s="219">
        <v>7.0000000000000007E-2</v>
      </c>
      <c r="AH118" s="219">
        <v>7.0000000000000007E-2</v>
      </c>
      <c r="AI118" s="219">
        <v>7.0000000000000007E-2</v>
      </c>
      <c r="AJ118" s="219">
        <v>7.0000000000000007E-2</v>
      </c>
      <c r="AK118" s="219">
        <v>7.0000000000000007E-2</v>
      </c>
      <c r="AL118" s="229">
        <v>11520</v>
      </c>
      <c r="AM118" s="219">
        <f t="shared" si="58"/>
        <v>806.40000000000009</v>
      </c>
      <c r="AN118" s="229">
        <v>8640</v>
      </c>
      <c r="AO118" s="221">
        <f t="shared" si="59"/>
        <v>604.80000000000007</v>
      </c>
      <c r="AP118" s="222">
        <v>2880</v>
      </c>
      <c r="AQ118" s="221">
        <f t="shared" si="60"/>
        <v>201.60000000000002</v>
      </c>
      <c r="AR118" s="222">
        <v>11520</v>
      </c>
      <c r="AS118" s="58">
        <f t="shared" si="61"/>
        <v>806.40000000000009</v>
      </c>
      <c r="AT118" s="222">
        <v>8640</v>
      </c>
      <c r="AU118" s="58">
        <f t="shared" si="62"/>
        <v>604.80000000000007</v>
      </c>
      <c r="AV118" s="222">
        <v>2880</v>
      </c>
      <c r="AW118" s="58">
        <f t="shared" si="63"/>
        <v>201.60000000000002</v>
      </c>
      <c r="AX118" s="251">
        <v>5760</v>
      </c>
      <c r="AY118" s="58">
        <f t="shared" si="64"/>
        <v>403.20000000000005</v>
      </c>
      <c r="AZ118" s="222">
        <v>17280</v>
      </c>
      <c r="BA118" s="58">
        <f t="shared" si="27"/>
        <v>1209.6000000000001</v>
      </c>
      <c r="BB118" s="222" t="s">
        <v>573</v>
      </c>
      <c r="BC118" s="58">
        <f t="shared" si="28"/>
        <v>0</v>
      </c>
      <c r="BD118" s="222">
        <v>2880</v>
      </c>
      <c r="BE118" s="58">
        <f t="shared" si="29"/>
        <v>201.60000000000002</v>
      </c>
      <c r="BF118" s="222">
        <v>5760</v>
      </c>
      <c r="BG118" s="58">
        <f t="shared" si="30"/>
        <v>403.20000000000005</v>
      </c>
      <c r="BH118" s="223">
        <v>14400</v>
      </c>
      <c r="BI118" s="58">
        <f t="shared" si="31"/>
        <v>1008.0000000000001</v>
      </c>
      <c r="BJ118" s="220">
        <f t="shared" si="65"/>
        <v>92160</v>
      </c>
      <c r="BK118" s="58"/>
      <c r="BL118" s="58" t="s">
        <v>987</v>
      </c>
      <c r="BM118" s="220" t="s">
        <v>1389</v>
      </c>
      <c r="BN118" s="213" t="s">
        <v>763</v>
      </c>
      <c r="BO118" s="213" t="s">
        <v>1252</v>
      </c>
      <c r="BP118" s="199">
        <v>45596</v>
      </c>
      <c r="BQ118" s="2" t="s">
        <v>1386</v>
      </c>
    </row>
    <row r="119" spans="1:69" ht="15.75" customHeight="1">
      <c r="A119" s="213" t="s">
        <v>788</v>
      </c>
      <c r="B119" s="58" t="s">
        <v>184</v>
      </c>
      <c r="C119" s="58" t="s">
        <v>752</v>
      </c>
      <c r="D119" s="214" t="s">
        <v>789</v>
      </c>
      <c r="E119" s="214" t="s">
        <v>789</v>
      </c>
      <c r="F119" s="215" t="s">
        <v>186</v>
      </c>
      <c r="G119" s="216">
        <v>2021</v>
      </c>
      <c r="H119" s="213" t="s">
        <v>801</v>
      </c>
      <c r="I119" s="213" t="s">
        <v>196</v>
      </c>
      <c r="J119" s="217" t="s">
        <v>890</v>
      </c>
      <c r="K119" s="213" t="s">
        <v>221</v>
      </c>
      <c r="L119" s="213" t="s">
        <v>192</v>
      </c>
      <c r="M119" s="219" t="s">
        <v>1388</v>
      </c>
      <c r="N119" s="219">
        <v>4.3600000000000003</v>
      </c>
      <c r="O119" s="219">
        <v>4.3600000000000003</v>
      </c>
      <c r="P119" s="219">
        <v>4.3600000000000003</v>
      </c>
      <c r="Q119" s="219">
        <v>4.3600000000000003</v>
      </c>
      <c r="R119" s="219">
        <v>4.3600000000000003</v>
      </c>
      <c r="S119" s="219">
        <v>4.3600000000000003</v>
      </c>
      <c r="T119" s="219">
        <v>4.3600000000000003</v>
      </c>
      <c r="U119" s="219">
        <v>4.3600000000000003</v>
      </c>
      <c r="V119" s="219">
        <v>4.3600000000000003</v>
      </c>
      <c r="W119" s="219">
        <v>4.3600000000000003</v>
      </c>
      <c r="X119" s="219">
        <v>4.3600000000000003</v>
      </c>
      <c r="Y119" s="219">
        <v>4.3600000000000003</v>
      </c>
      <c r="Z119" s="219">
        <v>7.0000000000000007E-2</v>
      </c>
      <c r="AA119" s="219">
        <v>7.0000000000000007E-2</v>
      </c>
      <c r="AB119" s="219">
        <v>7.0000000000000007E-2</v>
      </c>
      <c r="AC119" s="219">
        <v>7.0000000000000007E-2</v>
      </c>
      <c r="AD119" s="219">
        <v>7.0000000000000007E-2</v>
      </c>
      <c r="AE119" s="219">
        <v>7.0000000000000007E-2</v>
      </c>
      <c r="AF119" s="219">
        <v>7.0000000000000007E-2</v>
      </c>
      <c r="AG119" s="219">
        <v>7.0000000000000007E-2</v>
      </c>
      <c r="AH119" s="219">
        <v>7.0000000000000007E-2</v>
      </c>
      <c r="AI119" s="219">
        <v>7.0000000000000007E-2</v>
      </c>
      <c r="AJ119" s="219">
        <v>7.0000000000000007E-2</v>
      </c>
      <c r="AK119" s="219">
        <v>7.0000000000000007E-2</v>
      </c>
      <c r="AL119" s="229" t="s">
        <v>573</v>
      </c>
      <c r="AM119" s="219">
        <f t="shared" si="58"/>
        <v>0</v>
      </c>
      <c r="AN119" s="229" t="s">
        <v>573</v>
      </c>
      <c r="AO119" s="221">
        <f t="shared" si="59"/>
        <v>0</v>
      </c>
      <c r="AP119" s="222">
        <v>5760</v>
      </c>
      <c r="AQ119" s="221">
        <f t="shared" si="60"/>
        <v>403.20000000000005</v>
      </c>
      <c r="AR119" s="222" t="s">
        <v>573</v>
      </c>
      <c r="AS119" s="58">
        <f t="shared" si="61"/>
        <v>0</v>
      </c>
      <c r="AT119" s="222">
        <v>2880</v>
      </c>
      <c r="AU119" s="58">
        <f t="shared" si="62"/>
        <v>201.60000000000002</v>
      </c>
      <c r="AV119" s="222" t="s">
        <v>573</v>
      </c>
      <c r="AW119" s="58">
        <f t="shared" si="63"/>
        <v>0</v>
      </c>
      <c r="AX119" s="251">
        <v>2880</v>
      </c>
      <c r="AY119" s="58">
        <f t="shared" si="64"/>
        <v>201.60000000000002</v>
      </c>
      <c r="AZ119" s="222" t="s">
        <v>573</v>
      </c>
      <c r="BA119" s="58">
        <f t="shared" si="27"/>
        <v>0</v>
      </c>
      <c r="BB119" s="222">
        <v>2880</v>
      </c>
      <c r="BC119" s="58">
        <f t="shared" si="28"/>
        <v>201.60000000000002</v>
      </c>
      <c r="BD119" s="222" t="s">
        <v>573</v>
      </c>
      <c r="BE119" s="58">
        <f t="shared" si="29"/>
        <v>0</v>
      </c>
      <c r="BF119" s="222" t="s">
        <v>573</v>
      </c>
      <c r="BG119" s="58">
        <f t="shared" si="30"/>
        <v>0</v>
      </c>
      <c r="BH119" s="223" t="s">
        <v>573</v>
      </c>
      <c r="BI119" s="58">
        <f t="shared" si="31"/>
        <v>0</v>
      </c>
      <c r="BJ119" s="220">
        <f t="shared" si="65"/>
        <v>14400</v>
      </c>
      <c r="BK119" s="58"/>
      <c r="BL119" s="58" t="s">
        <v>988</v>
      </c>
      <c r="BM119" s="220" t="s">
        <v>1388</v>
      </c>
      <c r="BN119" s="213" t="s">
        <v>1310</v>
      </c>
      <c r="BO119" s="213" t="s">
        <v>1253</v>
      </c>
      <c r="BP119" s="199">
        <v>45596</v>
      </c>
      <c r="BQ119" s="2" t="s">
        <v>1386</v>
      </c>
    </row>
    <row r="120" spans="1:69" ht="15.75" customHeight="1">
      <c r="A120" s="213" t="s">
        <v>788</v>
      </c>
      <c r="B120" s="58" t="s">
        <v>184</v>
      </c>
      <c r="C120" s="58" t="s">
        <v>752</v>
      </c>
      <c r="D120" s="214" t="s">
        <v>789</v>
      </c>
      <c r="E120" s="214" t="s">
        <v>789</v>
      </c>
      <c r="F120" s="215" t="s">
        <v>186</v>
      </c>
      <c r="G120" s="216">
        <v>2021</v>
      </c>
      <c r="H120" s="213" t="s">
        <v>801</v>
      </c>
      <c r="I120" s="213" t="s">
        <v>196</v>
      </c>
      <c r="J120" s="217" t="s">
        <v>890</v>
      </c>
      <c r="K120" s="213" t="s">
        <v>221</v>
      </c>
      <c r="L120" s="213" t="s">
        <v>192</v>
      </c>
      <c r="M120" s="219" t="s">
        <v>1388</v>
      </c>
      <c r="N120" s="219">
        <v>4.32</v>
      </c>
      <c r="O120" s="219">
        <v>4.32</v>
      </c>
      <c r="P120" s="219">
        <v>4.32</v>
      </c>
      <c r="Q120" s="219">
        <v>4.32</v>
      </c>
      <c r="R120" s="219">
        <v>4.32</v>
      </c>
      <c r="S120" s="219">
        <v>4.32</v>
      </c>
      <c r="T120" s="219">
        <v>4.32</v>
      </c>
      <c r="U120" s="219">
        <v>4.32</v>
      </c>
      <c r="V120" s="219">
        <v>4.32</v>
      </c>
      <c r="W120" s="219">
        <v>4.32</v>
      </c>
      <c r="X120" s="219">
        <v>4.32</v>
      </c>
      <c r="Y120" s="219">
        <v>4.32</v>
      </c>
      <c r="Z120" s="219">
        <v>7.0000000000000007E-2</v>
      </c>
      <c r="AA120" s="219">
        <v>7.0000000000000007E-2</v>
      </c>
      <c r="AB120" s="219">
        <v>7.0000000000000007E-2</v>
      </c>
      <c r="AC120" s="219">
        <v>7.0000000000000007E-2</v>
      </c>
      <c r="AD120" s="219">
        <v>7.0000000000000007E-2</v>
      </c>
      <c r="AE120" s="219">
        <v>7.0000000000000007E-2</v>
      </c>
      <c r="AF120" s="219">
        <v>7.0000000000000007E-2</v>
      </c>
      <c r="AG120" s="219">
        <v>7.0000000000000007E-2</v>
      </c>
      <c r="AH120" s="219">
        <v>7.0000000000000007E-2</v>
      </c>
      <c r="AI120" s="219">
        <v>7.0000000000000007E-2</v>
      </c>
      <c r="AJ120" s="219">
        <v>7.0000000000000007E-2</v>
      </c>
      <c r="AK120" s="219">
        <v>7.0000000000000007E-2</v>
      </c>
      <c r="AL120" s="229">
        <v>2880</v>
      </c>
      <c r="AM120" s="219">
        <f t="shared" si="58"/>
        <v>201.60000000000002</v>
      </c>
      <c r="AN120" s="229" t="s">
        <v>573</v>
      </c>
      <c r="AO120" s="221">
        <f t="shared" si="59"/>
        <v>0</v>
      </c>
      <c r="AP120" s="222">
        <v>2880</v>
      </c>
      <c r="AQ120" s="221">
        <f t="shared" si="60"/>
        <v>201.60000000000002</v>
      </c>
      <c r="AR120" s="222">
        <v>2880</v>
      </c>
      <c r="AS120" s="58">
        <f t="shared" si="61"/>
        <v>201.60000000000002</v>
      </c>
      <c r="AT120" s="222" t="s">
        <v>573</v>
      </c>
      <c r="AU120" s="58">
        <f t="shared" si="62"/>
        <v>0</v>
      </c>
      <c r="AV120" s="222" t="s">
        <v>573</v>
      </c>
      <c r="AW120" s="58">
        <f t="shared" si="63"/>
        <v>0</v>
      </c>
      <c r="AX120" s="251">
        <v>2880</v>
      </c>
      <c r="AY120" s="58">
        <f t="shared" si="64"/>
        <v>201.60000000000002</v>
      </c>
      <c r="AZ120" s="222">
        <v>2880</v>
      </c>
      <c r="BA120" s="58">
        <f t="shared" si="27"/>
        <v>201.60000000000002</v>
      </c>
      <c r="BB120" s="222">
        <v>2880</v>
      </c>
      <c r="BC120" s="58">
        <f t="shared" si="28"/>
        <v>201.60000000000002</v>
      </c>
      <c r="BD120" s="222">
        <v>2880</v>
      </c>
      <c r="BE120" s="58">
        <f t="shared" si="29"/>
        <v>201.60000000000002</v>
      </c>
      <c r="BF120" s="222">
        <v>5760</v>
      </c>
      <c r="BG120" s="58">
        <f t="shared" si="30"/>
        <v>403.20000000000005</v>
      </c>
      <c r="BH120" s="223" t="s">
        <v>573</v>
      </c>
      <c r="BI120" s="58">
        <f t="shared" si="31"/>
        <v>0</v>
      </c>
      <c r="BJ120" s="220">
        <f t="shared" si="65"/>
        <v>25920</v>
      </c>
      <c r="BK120" s="58"/>
      <c r="BL120" s="58" t="s">
        <v>989</v>
      </c>
      <c r="BM120" s="220" t="s">
        <v>1388</v>
      </c>
      <c r="BN120" s="213" t="s">
        <v>754</v>
      </c>
      <c r="BO120" s="58" t="s">
        <v>1254</v>
      </c>
      <c r="BP120" s="199">
        <v>45596</v>
      </c>
      <c r="BQ120" s="2" t="s">
        <v>1386</v>
      </c>
    </row>
    <row r="121" spans="1:69" ht="15.75" customHeight="1">
      <c r="A121" s="213" t="s">
        <v>788</v>
      </c>
      <c r="B121" s="58" t="s">
        <v>184</v>
      </c>
      <c r="C121" s="58" t="s">
        <v>752</v>
      </c>
      <c r="D121" s="214" t="s">
        <v>789</v>
      </c>
      <c r="E121" s="214" t="s">
        <v>789</v>
      </c>
      <c r="F121" s="215" t="s">
        <v>186</v>
      </c>
      <c r="G121" s="216">
        <v>2021</v>
      </c>
      <c r="H121" s="213" t="s">
        <v>801</v>
      </c>
      <c r="I121" s="213" t="s">
        <v>196</v>
      </c>
      <c r="J121" s="217" t="s">
        <v>890</v>
      </c>
      <c r="K121" s="213" t="s">
        <v>221</v>
      </c>
      <c r="L121" s="213" t="s">
        <v>869</v>
      </c>
      <c r="M121" s="219" t="s">
        <v>1445</v>
      </c>
      <c r="N121" s="219"/>
      <c r="O121" s="219"/>
      <c r="P121" s="219"/>
      <c r="Q121" s="219"/>
      <c r="R121" s="219"/>
      <c r="S121" s="219"/>
      <c r="T121" s="219"/>
      <c r="U121" s="219"/>
      <c r="V121" s="219"/>
      <c r="W121" s="219">
        <v>4.32</v>
      </c>
      <c r="X121" s="219">
        <v>4.32</v>
      </c>
      <c r="Y121" s="219">
        <v>4.32</v>
      </c>
      <c r="Z121" s="219"/>
      <c r="AA121" s="219"/>
      <c r="AB121" s="219"/>
      <c r="AC121" s="219"/>
      <c r="AD121" s="219"/>
      <c r="AE121" s="219"/>
      <c r="AF121" s="219"/>
      <c r="AG121" s="219"/>
      <c r="AH121" s="219"/>
      <c r="AI121" s="219">
        <v>7.0000000000000007E-2</v>
      </c>
      <c r="AJ121" s="219">
        <v>7.0000000000000007E-2</v>
      </c>
      <c r="AK121" s="219">
        <v>7.0000000000000007E-2</v>
      </c>
      <c r="AL121" s="229">
        <v>0</v>
      </c>
      <c r="AM121" s="219">
        <f t="shared" ref="AM121" si="66">Z121*AL121</f>
        <v>0</v>
      </c>
      <c r="AN121" s="229" t="s">
        <v>573</v>
      </c>
      <c r="AO121" s="221">
        <f t="shared" ref="AO121" si="67">AN121*AA121</f>
        <v>0</v>
      </c>
      <c r="AP121" s="222">
        <v>0</v>
      </c>
      <c r="AQ121" s="221">
        <f t="shared" ref="AQ121" si="68">AP121*AB121</f>
        <v>0</v>
      </c>
      <c r="AR121" s="222">
        <v>0</v>
      </c>
      <c r="AS121" s="58">
        <f t="shared" ref="AS121" si="69">AR121*AC121</f>
        <v>0</v>
      </c>
      <c r="AT121" s="222" t="s">
        <v>573</v>
      </c>
      <c r="AU121" s="58">
        <f t="shared" ref="AU121" si="70">AT121*AD121</f>
        <v>0</v>
      </c>
      <c r="AV121" s="222" t="s">
        <v>573</v>
      </c>
      <c r="AW121" s="58">
        <f t="shared" ref="AW121" si="71">AV121*AE121</f>
        <v>0</v>
      </c>
      <c r="AX121" s="251">
        <v>0</v>
      </c>
      <c r="AY121" s="58">
        <f t="shared" ref="AY121" si="72">AX121*AF121</f>
        <v>0</v>
      </c>
      <c r="AZ121" s="222">
        <v>0</v>
      </c>
      <c r="BA121" s="58">
        <f t="shared" ref="BA121" si="73">AZ121*AG121</f>
        <v>0</v>
      </c>
      <c r="BB121" s="222">
        <v>0</v>
      </c>
      <c r="BC121" s="58">
        <f t="shared" ref="BC121" si="74">BB121*AH121</f>
        <v>0</v>
      </c>
      <c r="BD121" s="222">
        <v>0</v>
      </c>
      <c r="BE121" s="58">
        <f t="shared" ref="BE121" si="75">BD121*AI121</f>
        <v>0</v>
      </c>
      <c r="BF121" s="222">
        <v>0</v>
      </c>
      <c r="BG121" s="58">
        <f t="shared" ref="BG121" si="76">BF121*AJ121</f>
        <v>0</v>
      </c>
      <c r="BH121" s="223">
        <v>2880</v>
      </c>
      <c r="BI121" s="58">
        <f t="shared" ref="BI121" si="77">BH121*AK121</f>
        <v>201.60000000000002</v>
      </c>
      <c r="BJ121" s="220">
        <f t="shared" ref="BJ121" si="78">BH121+BF121+BD121+BB121+AZ121+AX121+AV121+AT121+AR121+AP121+AN121+AL121</f>
        <v>2880</v>
      </c>
      <c r="BK121" s="58"/>
      <c r="BL121" s="58"/>
      <c r="BM121" s="220" t="s">
        <v>1445</v>
      </c>
      <c r="BN121" s="213" t="s">
        <v>754</v>
      </c>
      <c r="BO121" s="58" t="s">
        <v>1254</v>
      </c>
      <c r="BP121" s="199">
        <v>45596</v>
      </c>
      <c r="BQ121" s="2" t="s">
        <v>1446</v>
      </c>
    </row>
    <row r="122" spans="1:69" ht="15.75" customHeight="1">
      <c r="A122" s="213" t="s">
        <v>788</v>
      </c>
      <c r="B122" s="58" t="s">
        <v>184</v>
      </c>
      <c r="C122" s="58" t="s">
        <v>752</v>
      </c>
      <c r="D122" s="214" t="s">
        <v>789</v>
      </c>
      <c r="E122" s="214" t="s">
        <v>789</v>
      </c>
      <c r="F122" s="215" t="s">
        <v>186</v>
      </c>
      <c r="G122" s="216">
        <v>2021</v>
      </c>
      <c r="H122" s="213" t="s">
        <v>801</v>
      </c>
      <c r="I122" s="213" t="s">
        <v>196</v>
      </c>
      <c r="J122" s="217" t="s">
        <v>890</v>
      </c>
      <c r="K122" s="213" t="s">
        <v>281</v>
      </c>
      <c r="L122" s="213" t="s">
        <v>192</v>
      </c>
      <c r="M122" s="219" t="s">
        <v>1388</v>
      </c>
      <c r="N122" s="219">
        <v>4.67</v>
      </c>
      <c r="O122" s="219">
        <v>4.67</v>
      </c>
      <c r="P122" s="219">
        <v>4.67</v>
      </c>
      <c r="Q122" s="219">
        <v>4.67</v>
      </c>
      <c r="R122" s="219">
        <v>4.67</v>
      </c>
      <c r="S122" s="219">
        <v>4.67</v>
      </c>
      <c r="T122" s="219">
        <v>4.67</v>
      </c>
      <c r="U122" s="219">
        <v>4.67</v>
      </c>
      <c r="V122" s="219">
        <v>4.67</v>
      </c>
      <c r="W122" s="219">
        <v>4.67</v>
      </c>
      <c r="X122" s="219">
        <v>4.67</v>
      </c>
      <c r="Y122" s="219">
        <v>4.67</v>
      </c>
      <c r="Z122" s="219">
        <v>7.0000000000000007E-2</v>
      </c>
      <c r="AA122" s="219">
        <v>7.0000000000000007E-2</v>
      </c>
      <c r="AB122" s="219">
        <v>7.0000000000000007E-2</v>
      </c>
      <c r="AC122" s="219">
        <v>7.0000000000000007E-2</v>
      </c>
      <c r="AD122" s="219">
        <v>7.0000000000000007E-2</v>
      </c>
      <c r="AE122" s="219">
        <v>7.0000000000000007E-2</v>
      </c>
      <c r="AF122" s="219">
        <v>7.0000000000000007E-2</v>
      </c>
      <c r="AG122" s="219">
        <v>7.0000000000000007E-2</v>
      </c>
      <c r="AH122" s="219">
        <v>7.0000000000000007E-2</v>
      </c>
      <c r="AI122" s="219">
        <v>7.0000000000000007E-2</v>
      </c>
      <c r="AJ122" s="219">
        <v>7.0000000000000007E-2</v>
      </c>
      <c r="AK122" s="219">
        <v>7.0000000000000007E-2</v>
      </c>
      <c r="AL122" s="229" t="s">
        <v>573</v>
      </c>
      <c r="AM122" s="219">
        <f t="shared" si="58"/>
        <v>0</v>
      </c>
      <c r="AN122" s="229" t="s">
        <v>573</v>
      </c>
      <c r="AO122" s="221">
        <f t="shared" si="59"/>
        <v>0</v>
      </c>
      <c r="AP122" s="222" t="s">
        <v>573</v>
      </c>
      <c r="AQ122" s="221">
        <f t="shared" si="60"/>
        <v>0</v>
      </c>
      <c r="AR122" s="222" t="s">
        <v>573</v>
      </c>
      <c r="AS122" s="58">
        <f t="shared" si="61"/>
        <v>0</v>
      </c>
      <c r="AT122" s="222" t="s">
        <v>573</v>
      </c>
      <c r="AU122" s="58">
        <f t="shared" si="62"/>
        <v>0</v>
      </c>
      <c r="AV122" s="222" t="s">
        <v>573</v>
      </c>
      <c r="AW122" s="58">
        <f t="shared" si="63"/>
        <v>0</v>
      </c>
      <c r="AX122" s="251" t="s">
        <v>573</v>
      </c>
      <c r="AY122" s="58">
        <f t="shared" si="64"/>
        <v>0</v>
      </c>
      <c r="AZ122" s="222" t="s">
        <v>573</v>
      </c>
      <c r="BA122" s="58">
        <f t="shared" si="27"/>
        <v>0</v>
      </c>
      <c r="BB122" s="222" t="s">
        <v>573</v>
      </c>
      <c r="BC122" s="58">
        <f t="shared" si="28"/>
        <v>0</v>
      </c>
      <c r="BD122" s="222">
        <v>2880</v>
      </c>
      <c r="BE122" s="58">
        <f t="shared" si="29"/>
        <v>201.60000000000002</v>
      </c>
      <c r="BF122" s="222" t="s">
        <v>573</v>
      </c>
      <c r="BG122" s="58">
        <f t="shared" si="30"/>
        <v>0</v>
      </c>
      <c r="BH122" s="223" t="s">
        <v>573</v>
      </c>
      <c r="BI122" s="58">
        <f t="shared" si="31"/>
        <v>0</v>
      </c>
      <c r="BJ122" s="220">
        <f t="shared" si="65"/>
        <v>2880</v>
      </c>
      <c r="BK122" s="58"/>
      <c r="BL122" s="58" t="s">
        <v>990</v>
      </c>
      <c r="BM122" s="220" t="s">
        <v>1388</v>
      </c>
      <c r="BN122" s="213" t="s">
        <v>197</v>
      </c>
      <c r="BO122" s="58" t="s">
        <v>560</v>
      </c>
      <c r="BP122" s="199">
        <v>45596</v>
      </c>
      <c r="BQ122" s="2" t="s">
        <v>1386</v>
      </c>
    </row>
    <row r="123" spans="1:69" ht="15.75" customHeight="1">
      <c r="A123" s="213" t="s">
        <v>788</v>
      </c>
      <c r="B123" s="58" t="s">
        <v>184</v>
      </c>
      <c r="C123" s="58" t="s">
        <v>752</v>
      </c>
      <c r="D123" s="214" t="s">
        <v>789</v>
      </c>
      <c r="E123" s="214" t="s">
        <v>789</v>
      </c>
      <c r="F123" s="215" t="s">
        <v>186</v>
      </c>
      <c r="G123" s="216">
        <v>2021</v>
      </c>
      <c r="H123" s="213" t="s">
        <v>801</v>
      </c>
      <c r="I123" s="213" t="s">
        <v>196</v>
      </c>
      <c r="J123" s="217" t="s">
        <v>890</v>
      </c>
      <c r="K123" s="213" t="s">
        <v>281</v>
      </c>
      <c r="L123" s="213" t="s">
        <v>192</v>
      </c>
      <c r="M123" s="219" t="s">
        <v>1388</v>
      </c>
      <c r="N123" s="219">
        <v>4.71</v>
      </c>
      <c r="O123" s="219">
        <v>4.71</v>
      </c>
      <c r="P123" s="219">
        <v>4.71</v>
      </c>
      <c r="Q123" s="219">
        <v>4.71</v>
      </c>
      <c r="R123" s="219">
        <v>4.71</v>
      </c>
      <c r="S123" s="219">
        <v>4.71</v>
      </c>
      <c r="T123" s="219">
        <v>4.71</v>
      </c>
      <c r="U123" s="219">
        <v>4.71</v>
      </c>
      <c r="V123" s="219">
        <v>4.71</v>
      </c>
      <c r="W123" s="219">
        <v>4.71</v>
      </c>
      <c r="X123" s="219">
        <v>4.71</v>
      </c>
      <c r="Y123" s="219">
        <v>4.71</v>
      </c>
      <c r="Z123" s="219">
        <v>7.0000000000000007E-2</v>
      </c>
      <c r="AA123" s="219">
        <v>7.0000000000000007E-2</v>
      </c>
      <c r="AB123" s="219">
        <v>7.0000000000000007E-2</v>
      </c>
      <c r="AC123" s="219">
        <v>7.0000000000000007E-2</v>
      </c>
      <c r="AD123" s="219">
        <v>7.0000000000000007E-2</v>
      </c>
      <c r="AE123" s="219">
        <v>7.0000000000000007E-2</v>
      </c>
      <c r="AF123" s="219">
        <v>7.0000000000000007E-2</v>
      </c>
      <c r="AG123" s="219">
        <v>7.0000000000000007E-2</v>
      </c>
      <c r="AH123" s="219">
        <v>7.0000000000000007E-2</v>
      </c>
      <c r="AI123" s="219">
        <v>7.0000000000000007E-2</v>
      </c>
      <c r="AJ123" s="219">
        <v>7.0000000000000007E-2</v>
      </c>
      <c r="AK123" s="219">
        <v>7.0000000000000007E-2</v>
      </c>
      <c r="AL123" s="229" t="s">
        <v>573</v>
      </c>
      <c r="AM123" s="219">
        <f t="shared" si="58"/>
        <v>0</v>
      </c>
      <c r="AN123" s="229" t="s">
        <v>573</v>
      </c>
      <c r="AO123" s="221">
        <f t="shared" si="59"/>
        <v>0</v>
      </c>
      <c r="AP123" s="222" t="s">
        <v>573</v>
      </c>
      <c r="AQ123" s="221">
        <f t="shared" si="60"/>
        <v>0</v>
      </c>
      <c r="AR123" s="222">
        <v>2880</v>
      </c>
      <c r="AS123" s="58">
        <f t="shared" si="61"/>
        <v>201.60000000000002</v>
      </c>
      <c r="AT123" s="222" t="s">
        <v>573</v>
      </c>
      <c r="AU123" s="58">
        <f t="shared" si="62"/>
        <v>0</v>
      </c>
      <c r="AV123" s="222" t="s">
        <v>573</v>
      </c>
      <c r="AW123" s="58">
        <f t="shared" si="63"/>
        <v>0</v>
      </c>
      <c r="AX123" s="251">
        <v>2880</v>
      </c>
      <c r="AY123" s="58">
        <f t="shared" si="64"/>
        <v>201.60000000000002</v>
      </c>
      <c r="AZ123" s="222">
        <v>2880</v>
      </c>
      <c r="BA123" s="58">
        <f t="shared" si="27"/>
        <v>201.60000000000002</v>
      </c>
      <c r="BB123" s="222">
        <v>2880</v>
      </c>
      <c r="BC123" s="58">
        <f t="shared" si="28"/>
        <v>201.60000000000002</v>
      </c>
      <c r="BD123" s="222">
        <v>2880</v>
      </c>
      <c r="BE123" s="58">
        <f t="shared" si="29"/>
        <v>201.60000000000002</v>
      </c>
      <c r="BF123" s="222">
        <v>2880</v>
      </c>
      <c r="BG123" s="58">
        <f t="shared" si="30"/>
        <v>201.60000000000002</v>
      </c>
      <c r="BH123" s="223" t="s">
        <v>573</v>
      </c>
      <c r="BI123" s="58">
        <f t="shared" si="31"/>
        <v>0</v>
      </c>
      <c r="BJ123" s="220">
        <f t="shared" si="65"/>
        <v>17280</v>
      </c>
      <c r="BK123" s="58"/>
      <c r="BL123" s="58" t="s">
        <v>991</v>
      </c>
      <c r="BM123" s="220" t="s">
        <v>1388</v>
      </c>
      <c r="BN123" s="213" t="s">
        <v>1310</v>
      </c>
      <c r="BO123" s="58" t="s">
        <v>1255</v>
      </c>
      <c r="BP123" s="199">
        <v>45596</v>
      </c>
      <c r="BQ123" s="2" t="s">
        <v>1386</v>
      </c>
    </row>
    <row r="124" spans="1:69" ht="15.75" customHeight="1">
      <c r="A124" s="213" t="s">
        <v>788</v>
      </c>
      <c r="B124" s="58" t="s">
        <v>184</v>
      </c>
      <c r="C124" s="58" t="s">
        <v>752</v>
      </c>
      <c r="D124" s="214" t="s">
        <v>789</v>
      </c>
      <c r="E124" s="214" t="s">
        <v>789</v>
      </c>
      <c r="F124" s="215" t="s">
        <v>186</v>
      </c>
      <c r="G124" s="216">
        <v>2021</v>
      </c>
      <c r="H124" s="213" t="s">
        <v>801</v>
      </c>
      <c r="I124" s="213" t="s">
        <v>196</v>
      </c>
      <c r="J124" s="217" t="s">
        <v>890</v>
      </c>
      <c r="K124" s="213" t="s">
        <v>281</v>
      </c>
      <c r="L124" s="213" t="s">
        <v>192</v>
      </c>
      <c r="M124" s="219" t="s">
        <v>1388</v>
      </c>
      <c r="N124" s="219">
        <v>4.67</v>
      </c>
      <c r="O124" s="219">
        <v>4.67</v>
      </c>
      <c r="P124" s="219">
        <v>4.67</v>
      </c>
      <c r="Q124" s="219">
        <v>4.67</v>
      </c>
      <c r="R124" s="219">
        <v>4.67</v>
      </c>
      <c r="S124" s="219">
        <v>4.67</v>
      </c>
      <c r="T124" s="219">
        <v>4.67</v>
      </c>
      <c r="U124" s="219">
        <v>4.67</v>
      </c>
      <c r="V124" s="219">
        <v>4.67</v>
      </c>
      <c r="W124" s="219">
        <v>4.67</v>
      </c>
      <c r="X124" s="219">
        <v>4.67</v>
      </c>
      <c r="Y124" s="219">
        <v>4.67</v>
      </c>
      <c r="Z124" s="219">
        <v>7.0000000000000007E-2</v>
      </c>
      <c r="AA124" s="219">
        <v>7.0000000000000007E-2</v>
      </c>
      <c r="AB124" s="219">
        <v>7.0000000000000007E-2</v>
      </c>
      <c r="AC124" s="219">
        <v>7.0000000000000007E-2</v>
      </c>
      <c r="AD124" s="219">
        <v>7.0000000000000007E-2</v>
      </c>
      <c r="AE124" s="219">
        <v>7.0000000000000007E-2</v>
      </c>
      <c r="AF124" s="219">
        <v>7.0000000000000007E-2</v>
      </c>
      <c r="AG124" s="219">
        <v>7.0000000000000007E-2</v>
      </c>
      <c r="AH124" s="219">
        <v>7.0000000000000007E-2</v>
      </c>
      <c r="AI124" s="219">
        <v>7.0000000000000007E-2</v>
      </c>
      <c r="AJ124" s="219">
        <v>7.0000000000000007E-2</v>
      </c>
      <c r="AK124" s="219">
        <v>7.0000000000000007E-2</v>
      </c>
      <c r="AL124" s="229">
        <v>2880</v>
      </c>
      <c r="AM124" s="219">
        <f t="shared" si="58"/>
        <v>201.60000000000002</v>
      </c>
      <c r="AN124" s="229">
        <v>2880</v>
      </c>
      <c r="AO124" s="221">
        <f t="shared" si="59"/>
        <v>201.60000000000002</v>
      </c>
      <c r="AP124" s="222">
        <v>2880</v>
      </c>
      <c r="AQ124" s="221">
        <f t="shared" si="60"/>
        <v>201.60000000000002</v>
      </c>
      <c r="AR124" s="222">
        <v>2880</v>
      </c>
      <c r="AS124" s="58">
        <f t="shared" si="61"/>
        <v>201.60000000000002</v>
      </c>
      <c r="AT124" s="222" t="s">
        <v>573</v>
      </c>
      <c r="AU124" s="58">
        <f t="shared" si="62"/>
        <v>0</v>
      </c>
      <c r="AV124" s="222" t="s">
        <v>573</v>
      </c>
      <c r="AW124" s="58">
        <f t="shared" si="63"/>
        <v>0</v>
      </c>
      <c r="AX124" s="251">
        <v>2880</v>
      </c>
      <c r="AY124" s="58">
        <f t="shared" si="64"/>
        <v>201.60000000000002</v>
      </c>
      <c r="AZ124" s="222" t="s">
        <v>573</v>
      </c>
      <c r="BA124" s="58">
        <f t="shared" ref="BA124:BA187" si="79">AZ124*AG124</f>
        <v>0</v>
      </c>
      <c r="BB124" s="222">
        <v>2880</v>
      </c>
      <c r="BC124" s="58">
        <f t="shared" ref="BC124:BC187" si="80">BB124*AH124</f>
        <v>201.60000000000002</v>
      </c>
      <c r="BD124" s="222">
        <v>2880</v>
      </c>
      <c r="BE124" s="58">
        <f t="shared" ref="BE124:BE187" si="81">BD124*AI124</f>
        <v>201.60000000000002</v>
      </c>
      <c r="BF124" s="222" t="s">
        <v>573</v>
      </c>
      <c r="BG124" s="58">
        <f t="shared" ref="BG124:BG187" si="82">BF124*AJ124</f>
        <v>0</v>
      </c>
      <c r="BH124" s="223" t="s">
        <v>573</v>
      </c>
      <c r="BI124" s="58">
        <f t="shared" ref="BI124:BI187" si="83">BH124*AK124</f>
        <v>0</v>
      </c>
      <c r="BJ124" s="220">
        <f t="shared" si="65"/>
        <v>20160</v>
      </c>
      <c r="BK124" s="58"/>
      <c r="BL124" s="58" t="s">
        <v>992</v>
      </c>
      <c r="BM124" s="220" t="s">
        <v>1388</v>
      </c>
      <c r="BN124" s="213" t="s">
        <v>754</v>
      </c>
      <c r="BO124" s="58" t="s">
        <v>1256</v>
      </c>
      <c r="BP124" s="199">
        <v>45596</v>
      </c>
      <c r="BQ124" s="2" t="s">
        <v>1386</v>
      </c>
    </row>
    <row r="125" spans="1:69" ht="15.75" customHeight="1">
      <c r="A125" s="213" t="s">
        <v>788</v>
      </c>
      <c r="B125" s="58" t="s">
        <v>184</v>
      </c>
      <c r="C125" s="58" t="s">
        <v>752</v>
      </c>
      <c r="D125" s="214" t="s">
        <v>789</v>
      </c>
      <c r="E125" s="214" t="s">
        <v>789</v>
      </c>
      <c r="F125" s="215" t="s">
        <v>186</v>
      </c>
      <c r="G125" s="216">
        <v>2021</v>
      </c>
      <c r="H125" s="213" t="s">
        <v>801</v>
      </c>
      <c r="I125" s="213" t="s">
        <v>196</v>
      </c>
      <c r="J125" s="217" t="s">
        <v>890</v>
      </c>
      <c r="K125" s="213" t="s">
        <v>283</v>
      </c>
      <c r="L125" s="213" t="s">
        <v>192</v>
      </c>
      <c r="M125" s="219" t="s">
        <v>1388</v>
      </c>
      <c r="N125" s="219">
        <v>4.47</v>
      </c>
      <c r="O125" s="219">
        <v>4.47</v>
      </c>
      <c r="P125" s="219">
        <v>4.47</v>
      </c>
      <c r="Q125" s="219">
        <v>4.47</v>
      </c>
      <c r="R125" s="219">
        <v>4.47</v>
      </c>
      <c r="S125" s="219">
        <v>4.47</v>
      </c>
      <c r="T125" s="219">
        <v>4.47</v>
      </c>
      <c r="U125" s="219">
        <v>4.47</v>
      </c>
      <c r="V125" s="219">
        <v>4.47</v>
      </c>
      <c r="W125" s="219">
        <v>4.47</v>
      </c>
      <c r="X125" s="219">
        <v>4.47</v>
      </c>
      <c r="Y125" s="219">
        <v>4.47</v>
      </c>
      <c r="Z125" s="219">
        <v>7.0000000000000007E-2</v>
      </c>
      <c r="AA125" s="219">
        <v>7.0000000000000007E-2</v>
      </c>
      <c r="AB125" s="219">
        <v>7.0000000000000007E-2</v>
      </c>
      <c r="AC125" s="219">
        <v>7.0000000000000007E-2</v>
      </c>
      <c r="AD125" s="219">
        <v>7.0000000000000007E-2</v>
      </c>
      <c r="AE125" s="219">
        <v>7.0000000000000007E-2</v>
      </c>
      <c r="AF125" s="219">
        <v>7.0000000000000007E-2</v>
      </c>
      <c r="AG125" s="219">
        <v>7.0000000000000007E-2</v>
      </c>
      <c r="AH125" s="219">
        <v>7.0000000000000007E-2</v>
      </c>
      <c r="AI125" s="219">
        <v>7.0000000000000007E-2</v>
      </c>
      <c r="AJ125" s="219">
        <v>7.0000000000000007E-2</v>
      </c>
      <c r="AK125" s="219">
        <v>7.0000000000000007E-2</v>
      </c>
      <c r="AL125" s="229" t="s">
        <v>573</v>
      </c>
      <c r="AM125" s="219">
        <f t="shared" si="58"/>
        <v>0</v>
      </c>
      <c r="AN125" s="229" t="s">
        <v>573</v>
      </c>
      <c r="AO125" s="221">
        <f t="shared" si="59"/>
        <v>0</v>
      </c>
      <c r="AP125" s="222" t="s">
        <v>573</v>
      </c>
      <c r="AQ125" s="221">
        <f t="shared" si="60"/>
        <v>0</v>
      </c>
      <c r="AR125" s="222" t="s">
        <v>573</v>
      </c>
      <c r="AS125" s="58">
        <f t="shared" si="61"/>
        <v>0</v>
      </c>
      <c r="AT125" s="222" t="s">
        <v>573</v>
      </c>
      <c r="AU125" s="58">
        <f t="shared" si="62"/>
        <v>0</v>
      </c>
      <c r="AV125" s="222" t="s">
        <v>573</v>
      </c>
      <c r="AW125" s="58">
        <f t="shared" si="63"/>
        <v>0</v>
      </c>
      <c r="AX125" s="251" t="s">
        <v>573</v>
      </c>
      <c r="AY125" s="58">
        <f t="shared" si="64"/>
        <v>0</v>
      </c>
      <c r="AZ125" s="222" t="s">
        <v>573</v>
      </c>
      <c r="BA125" s="58">
        <f t="shared" si="79"/>
        <v>0</v>
      </c>
      <c r="BB125" s="222" t="s">
        <v>573</v>
      </c>
      <c r="BC125" s="58">
        <f t="shared" si="80"/>
        <v>0</v>
      </c>
      <c r="BD125" s="222">
        <v>2880</v>
      </c>
      <c r="BE125" s="58">
        <f t="shared" si="81"/>
        <v>201.60000000000002</v>
      </c>
      <c r="BF125" s="222" t="s">
        <v>573</v>
      </c>
      <c r="BG125" s="58">
        <f t="shared" si="82"/>
        <v>0</v>
      </c>
      <c r="BH125" s="223" t="s">
        <v>573</v>
      </c>
      <c r="BI125" s="58">
        <f t="shared" si="83"/>
        <v>0</v>
      </c>
      <c r="BJ125" s="220">
        <f t="shared" si="65"/>
        <v>2880</v>
      </c>
      <c r="BK125" s="58"/>
      <c r="BL125" s="58" t="s">
        <v>993</v>
      </c>
      <c r="BM125" s="220" t="s">
        <v>1388</v>
      </c>
      <c r="BN125" s="213" t="s">
        <v>197</v>
      </c>
      <c r="BO125" s="58" t="s">
        <v>1257</v>
      </c>
      <c r="BP125" s="199">
        <v>45596</v>
      </c>
      <c r="BQ125" s="2" t="s">
        <v>1386</v>
      </c>
    </row>
    <row r="126" spans="1:69" ht="15.75" customHeight="1">
      <c r="A126" s="213" t="s">
        <v>788</v>
      </c>
      <c r="B126" s="58" t="s">
        <v>184</v>
      </c>
      <c r="C126" s="58" t="s">
        <v>752</v>
      </c>
      <c r="D126" s="214" t="s">
        <v>789</v>
      </c>
      <c r="E126" s="214" t="s">
        <v>789</v>
      </c>
      <c r="F126" s="215" t="s">
        <v>186</v>
      </c>
      <c r="G126" s="216">
        <v>2021</v>
      </c>
      <c r="H126" s="213" t="s">
        <v>801</v>
      </c>
      <c r="I126" s="213" t="s">
        <v>196</v>
      </c>
      <c r="J126" s="217" t="s">
        <v>890</v>
      </c>
      <c r="K126" s="213" t="s">
        <v>283</v>
      </c>
      <c r="L126" s="213" t="s">
        <v>192</v>
      </c>
      <c r="M126" s="219" t="s">
        <v>1389</v>
      </c>
      <c r="N126" s="219">
        <v>4.41</v>
      </c>
      <c r="O126" s="219">
        <v>4.41</v>
      </c>
      <c r="P126" s="219">
        <v>4.41</v>
      </c>
      <c r="Q126" s="219">
        <v>4.41</v>
      </c>
      <c r="R126" s="219">
        <v>4.41</v>
      </c>
      <c r="S126" s="219">
        <v>4.41</v>
      </c>
      <c r="T126" s="219">
        <v>4.41</v>
      </c>
      <c r="U126" s="219">
        <v>4.41</v>
      </c>
      <c r="V126" s="219">
        <v>4.41</v>
      </c>
      <c r="W126" s="219">
        <v>4.41</v>
      </c>
      <c r="X126" s="219">
        <v>4.41</v>
      </c>
      <c r="Y126" s="219">
        <v>4.41</v>
      </c>
      <c r="Z126" s="219">
        <v>7.0000000000000007E-2</v>
      </c>
      <c r="AA126" s="219">
        <v>7.0000000000000007E-2</v>
      </c>
      <c r="AB126" s="219">
        <v>7.0000000000000007E-2</v>
      </c>
      <c r="AC126" s="219">
        <v>7.0000000000000007E-2</v>
      </c>
      <c r="AD126" s="219">
        <v>7.0000000000000007E-2</v>
      </c>
      <c r="AE126" s="219">
        <v>7.0000000000000007E-2</v>
      </c>
      <c r="AF126" s="219">
        <v>7.0000000000000007E-2</v>
      </c>
      <c r="AG126" s="219">
        <v>7.0000000000000007E-2</v>
      </c>
      <c r="AH126" s="219">
        <v>7.0000000000000007E-2</v>
      </c>
      <c r="AI126" s="219">
        <v>7.0000000000000007E-2</v>
      </c>
      <c r="AJ126" s="219">
        <v>7.0000000000000007E-2</v>
      </c>
      <c r="AK126" s="219">
        <v>7.0000000000000007E-2</v>
      </c>
      <c r="AL126" s="229">
        <v>2880</v>
      </c>
      <c r="AM126" s="219">
        <f t="shared" si="58"/>
        <v>201.60000000000002</v>
      </c>
      <c r="AN126" s="229" t="s">
        <v>573</v>
      </c>
      <c r="AO126" s="221">
        <f t="shared" si="59"/>
        <v>0</v>
      </c>
      <c r="AP126" s="222" t="s">
        <v>573</v>
      </c>
      <c r="AQ126" s="221">
        <f t="shared" si="60"/>
        <v>0</v>
      </c>
      <c r="AR126" s="222" t="s">
        <v>573</v>
      </c>
      <c r="AS126" s="58">
        <f t="shared" si="61"/>
        <v>0</v>
      </c>
      <c r="AT126" s="222" t="s">
        <v>573</v>
      </c>
      <c r="AU126" s="58">
        <f t="shared" si="62"/>
        <v>0</v>
      </c>
      <c r="AV126" s="222" t="s">
        <v>573</v>
      </c>
      <c r="AW126" s="58">
        <f t="shared" si="63"/>
        <v>0</v>
      </c>
      <c r="AX126" s="251" t="s">
        <v>573</v>
      </c>
      <c r="AY126" s="58">
        <f t="shared" si="64"/>
        <v>0</v>
      </c>
      <c r="AZ126" s="222">
        <v>2880</v>
      </c>
      <c r="BA126" s="58">
        <f t="shared" si="79"/>
        <v>201.60000000000002</v>
      </c>
      <c r="BB126" s="222" t="s">
        <v>573</v>
      </c>
      <c r="BC126" s="58">
        <f t="shared" si="80"/>
        <v>0</v>
      </c>
      <c r="BD126" s="222">
        <v>2880</v>
      </c>
      <c r="BE126" s="58">
        <f t="shared" si="81"/>
        <v>201.60000000000002</v>
      </c>
      <c r="BF126" s="222" t="s">
        <v>573</v>
      </c>
      <c r="BG126" s="58">
        <f t="shared" si="82"/>
        <v>0</v>
      </c>
      <c r="BH126" s="223">
        <v>2880</v>
      </c>
      <c r="BI126" s="58">
        <f t="shared" si="83"/>
        <v>201.60000000000002</v>
      </c>
      <c r="BJ126" s="220">
        <f t="shared" si="65"/>
        <v>11520</v>
      </c>
      <c r="BK126" s="58"/>
      <c r="BL126" s="58" t="s">
        <v>994</v>
      </c>
      <c r="BM126" s="220" t="s">
        <v>1389</v>
      </c>
      <c r="BN126" s="213" t="s">
        <v>763</v>
      </c>
      <c r="BO126" s="58" t="s">
        <v>1258</v>
      </c>
      <c r="BP126" s="199">
        <v>45596</v>
      </c>
      <c r="BQ126" s="2" t="s">
        <v>1386</v>
      </c>
    </row>
    <row r="127" spans="1:69" ht="15.75" customHeight="1">
      <c r="A127" s="213" t="s">
        <v>788</v>
      </c>
      <c r="B127" s="58" t="s">
        <v>184</v>
      </c>
      <c r="C127" s="58" t="s">
        <v>752</v>
      </c>
      <c r="D127" s="214" t="s">
        <v>789</v>
      </c>
      <c r="E127" s="214" t="s">
        <v>789</v>
      </c>
      <c r="F127" s="215" t="s">
        <v>186</v>
      </c>
      <c r="G127" s="216">
        <v>2021</v>
      </c>
      <c r="H127" s="213" t="s">
        <v>801</v>
      </c>
      <c r="I127" s="213" t="s">
        <v>196</v>
      </c>
      <c r="J127" s="217" t="s">
        <v>890</v>
      </c>
      <c r="K127" s="213" t="s">
        <v>283</v>
      </c>
      <c r="L127" s="213" t="s">
        <v>192</v>
      </c>
      <c r="M127" s="219" t="s">
        <v>1388</v>
      </c>
      <c r="N127" s="219">
        <v>4.51</v>
      </c>
      <c r="O127" s="219">
        <v>4.51</v>
      </c>
      <c r="P127" s="219">
        <v>4.51</v>
      </c>
      <c r="Q127" s="219">
        <v>4.51</v>
      </c>
      <c r="R127" s="219">
        <v>4.51</v>
      </c>
      <c r="S127" s="219">
        <v>4.51</v>
      </c>
      <c r="T127" s="219">
        <v>4.51</v>
      </c>
      <c r="U127" s="219">
        <v>4.51</v>
      </c>
      <c r="V127" s="219">
        <v>4.51</v>
      </c>
      <c r="W127" s="219">
        <v>4.51</v>
      </c>
      <c r="X127" s="219">
        <v>4.51</v>
      </c>
      <c r="Y127" s="219">
        <v>4.51</v>
      </c>
      <c r="Z127" s="219">
        <v>7.0000000000000007E-2</v>
      </c>
      <c r="AA127" s="219">
        <v>7.0000000000000007E-2</v>
      </c>
      <c r="AB127" s="219">
        <v>7.0000000000000007E-2</v>
      </c>
      <c r="AC127" s="219">
        <v>7.0000000000000007E-2</v>
      </c>
      <c r="AD127" s="219">
        <v>7.0000000000000007E-2</v>
      </c>
      <c r="AE127" s="219">
        <v>7.0000000000000007E-2</v>
      </c>
      <c r="AF127" s="219">
        <v>7.0000000000000007E-2</v>
      </c>
      <c r="AG127" s="219">
        <v>7.0000000000000007E-2</v>
      </c>
      <c r="AH127" s="219">
        <v>7.0000000000000007E-2</v>
      </c>
      <c r="AI127" s="219">
        <v>7.0000000000000007E-2</v>
      </c>
      <c r="AJ127" s="219">
        <v>7.0000000000000007E-2</v>
      </c>
      <c r="AK127" s="219">
        <v>7.0000000000000007E-2</v>
      </c>
      <c r="AL127" s="229" t="s">
        <v>573</v>
      </c>
      <c r="AM127" s="219">
        <f t="shared" si="58"/>
        <v>0</v>
      </c>
      <c r="AN127" s="229">
        <v>2880</v>
      </c>
      <c r="AO127" s="221">
        <f t="shared" si="59"/>
        <v>201.60000000000002</v>
      </c>
      <c r="AP127" s="222" t="s">
        <v>573</v>
      </c>
      <c r="AQ127" s="221">
        <f t="shared" si="60"/>
        <v>0</v>
      </c>
      <c r="AR127" s="222" t="s">
        <v>573</v>
      </c>
      <c r="AS127" s="58">
        <f t="shared" si="61"/>
        <v>0</v>
      </c>
      <c r="AT127" s="222" t="s">
        <v>573</v>
      </c>
      <c r="AU127" s="58">
        <f t="shared" si="62"/>
        <v>0</v>
      </c>
      <c r="AV127" s="222" t="s">
        <v>573</v>
      </c>
      <c r="AW127" s="58">
        <f t="shared" si="63"/>
        <v>0</v>
      </c>
      <c r="AX127" s="251" t="s">
        <v>573</v>
      </c>
      <c r="AY127" s="58">
        <f t="shared" si="64"/>
        <v>0</v>
      </c>
      <c r="AZ127" s="222" t="s">
        <v>573</v>
      </c>
      <c r="BA127" s="58">
        <f t="shared" si="79"/>
        <v>0</v>
      </c>
      <c r="BB127" s="222" t="s">
        <v>573</v>
      </c>
      <c r="BC127" s="58">
        <f t="shared" si="80"/>
        <v>0</v>
      </c>
      <c r="BD127" s="222" t="s">
        <v>573</v>
      </c>
      <c r="BE127" s="58">
        <f t="shared" si="81"/>
        <v>0</v>
      </c>
      <c r="BF127" s="222" t="s">
        <v>573</v>
      </c>
      <c r="BG127" s="58">
        <f t="shared" si="82"/>
        <v>0</v>
      </c>
      <c r="BH127" s="223" t="s">
        <v>573</v>
      </c>
      <c r="BI127" s="58">
        <f t="shared" si="83"/>
        <v>0</v>
      </c>
      <c r="BJ127" s="220">
        <f t="shared" si="65"/>
        <v>2880</v>
      </c>
      <c r="BK127" s="58"/>
      <c r="BL127" s="58" t="s">
        <v>995</v>
      </c>
      <c r="BM127" s="220" t="s">
        <v>1388</v>
      </c>
      <c r="BN127" s="213" t="s">
        <v>1310</v>
      </c>
      <c r="BO127" s="58" t="s">
        <v>1259</v>
      </c>
      <c r="BP127" s="199">
        <v>45596</v>
      </c>
      <c r="BQ127" s="2" t="s">
        <v>1386</v>
      </c>
    </row>
    <row r="128" spans="1:69" ht="15.75" customHeight="1">
      <c r="A128" s="213" t="s">
        <v>788</v>
      </c>
      <c r="B128" s="58" t="s">
        <v>184</v>
      </c>
      <c r="C128" s="58" t="s">
        <v>752</v>
      </c>
      <c r="D128" s="214" t="s">
        <v>789</v>
      </c>
      <c r="E128" s="214" t="s">
        <v>789</v>
      </c>
      <c r="F128" s="215" t="s">
        <v>186</v>
      </c>
      <c r="G128" s="216">
        <v>2021</v>
      </c>
      <c r="H128" s="213" t="s">
        <v>801</v>
      </c>
      <c r="I128" s="213" t="s">
        <v>196</v>
      </c>
      <c r="J128" s="217" t="s">
        <v>890</v>
      </c>
      <c r="K128" s="213" t="s">
        <v>283</v>
      </c>
      <c r="L128" s="213" t="s">
        <v>192</v>
      </c>
      <c r="M128" s="219" t="s">
        <v>1388</v>
      </c>
      <c r="N128" s="219">
        <v>4.47</v>
      </c>
      <c r="O128" s="219">
        <v>4.47</v>
      </c>
      <c r="P128" s="219">
        <v>4.47</v>
      </c>
      <c r="Q128" s="219">
        <v>4.47</v>
      </c>
      <c r="R128" s="219">
        <v>4.47</v>
      </c>
      <c r="S128" s="219">
        <v>4.47</v>
      </c>
      <c r="T128" s="219">
        <v>4.47</v>
      </c>
      <c r="U128" s="219">
        <v>4.47</v>
      </c>
      <c r="V128" s="219">
        <v>4.47</v>
      </c>
      <c r="W128" s="219">
        <v>4.47</v>
      </c>
      <c r="X128" s="219">
        <v>4.47</v>
      </c>
      <c r="Y128" s="219">
        <v>4.47</v>
      </c>
      <c r="Z128" s="219">
        <v>7.0000000000000007E-2</v>
      </c>
      <c r="AA128" s="219">
        <v>7.0000000000000007E-2</v>
      </c>
      <c r="AB128" s="219">
        <v>7.0000000000000007E-2</v>
      </c>
      <c r="AC128" s="219">
        <v>7.0000000000000007E-2</v>
      </c>
      <c r="AD128" s="219">
        <v>7.0000000000000007E-2</v>
      </c>
      <c r="AE128" s="219">
        <v>7.0000000000000007E-2</v>
      </c>
      <c r="AF128" s="219">
        <v>7.0000000000000007E-2</v>
      </c>
      <c r="AG128" s="219">
        <v>7.0000000000000007E-2</v>
      </c>
      <c r="AH128" s="219">
        <v>7.0000000000000007E-2</v>
      </c>
      <c r="AI128" s="219">
        <v>7.0000000000000007E-2</v>
      </c>
      <c r="AJ128" s="219">
        <v>7.0000000000000007E-2</v>
      </c>
      <c r="AK128" s="219">
        <v>7.0000000000000007E-2</v>
      </c>
      <c r="AL128" s="229" t="s">
        <v>573</v>
      </c>
      <c r="AM128" s="219">
        <f t="shared" si="58"/>
        <v>0</v>
      </c>
      <c r="AN128" s="229" t="s">
        <v>573</v>
      </c>
      <c r="AO128" s="221">
        <f t="shared" si="59"/>
        <v>0</v>
      </c>
      <c r="AP128" s="222" t="s">
        <v>573</v>
      </c>
      <c r="AQ128" s="221">
        <f t="shared" si="60"/>
        <v>0</v>
      </c>
      <c r="AR128" s="222" t="s">
        <v>573</v>
      </c>
      <c r="AS128" s="58">
        <f t="shared" si="61"/>
        <v>0</v>
      </c>
      <c r="AT128" s="222" t="s">
        <v>573</v>
      </c>
      <c r="AU128" s="58">
        <f t="shared" si="62"/>
        <v>0</v>
      </c>
      <c r="AV128" s="222" t="s">
        <v>573</v>
      </c>
      <c r="AW128" s="58">
        <f t="shared" si="63"/>
        <v>0</v>
      </c>
      <c r="AX128" s="251" t="s">
        <v>573</v>
      </c>
      <c r="AY128" s="58">
        <f t="shared" si="64"/>
        <v>0</v>
      </c>
      <c r="AZ128" s="222" t="s">
        <v>573</v>
      </c>
      <c r="BA128" s="58">
        <f t="shared" si="79"/>
        <v>0</v>
      </c>
      <c r="BB128" s="222">
        <v>2880</v>
      </c>
      <c r="BC128" s="58">
        <f t="shared" si="80"/>
        <v>201.60000000000002</v>
      </c>
      <c r="BD128" s="222" t="s">
        <v>573</v>
      </c>
      <c r="BE128" s="58">
        <f t="shared" si="81"/>
        <v>0</v>
      </c>
      <c r="BF128" s="222" t="s">
        <v>573</v>
      </c>
      <c r="BG128" s="58">
        <f t="shared" si="82"/>
        <v>0</v>
      </c>
      <c r="BH128" s="223" t="s">
        <v>573</v>
      </c>
      <c r="BI128" s="58">
        <f t="shared" si="83"/>
        <v>0</v>
      </c>
      <c r="BJ128" s="220">
        <f t="shared" si="65"/>
        <v>2880</v>
      </c>
      <c r="BK128" s="58"/>
      <c r="BL128" s="58" t="s">
        <v>996</v>
      </c>
      <c r="BM128" s="220" t="s">
        <v>1388</v>
      </c>
      <c r="BN128" s="213" t="s">
        <v>754</v>
      </c>
      <c r="BO128" s="58" t="s">
        <v>1260</v>
      </c>
      <c r="BP128" s="199">
        <v>45596</v>
      </c>
      <c r="BQ128" s="2" t="s">
        <v>1386</v>
      </c>
    </row>
    <row r="129" spans="1:69" ht="15.75" customHeight="1">
      <c r="A129" s="213" t="s">
        <v>788</v>
      </c>
      <c r="B129" s="58" t="s">
        <v>184</v>
      </c>
      <c r="C129" s="58" t="s">
        <v>752</v>
      </c>
      <c r="D129" s="214" t="s">
        <v>789</v>
      </c>
      <c r="E129" s="214" t="s">
        <v>789</v>
      </c>
      <c r="F129" s="215" t="s">
        <v>186</v>
      </c>
      <c r="G129" s="216">
        <v>2023</v>
      </c>
      <c r="H129" s="213" t="s">
        <v>801</v>
      </c>
      <c r="I129" s="218" t="s">
        <v>196</v>
      </c>
      <c r="J129" s="217" t="s">
        <v>890</v>
      </c>
      <c r="K129" s="213" t="s">
        <v>235</v>
      </c>
      <c r="L129" s="213" t="s">
        <v>192</v>
      </c>
      <c r="M129" s="219" t="s">
        <v>1388</v>
      </c>
      <c r="N129" s="219">
        <v>4.42</v>
      </c>
      <c r="O129" s="219">
        <v>4.42</v>
      </c>
      <c r="P129" s="219">
        <v>4.42</v>
      </c>
      <c r="Q129" s="219">
        <v>4.42</v>
      </c>
      <c r="R129" s="219">
        <v>4.42</v>
      </c>
      <c r="S129" s="219">
        <v>4.42</v>
      </c>
      <c r="T129" s="219">
        <v>4.42</v>
      </c>
      <c r="U129" s="219">
        <v>4.42</v>
      </c>
      <c r="V129" s="219">
        <v>4.42</v>
      </c>
      <c r="W129" s="219">
        <v>4.42</v>
      </c>
      <c r="X129" s="219">
        <v>4.42</v>
      </c>
      <c r="Y129" s="219">
        <v>4.42</v>
      </c>
      <c r="Z129" s="219">
        <v>7.0000000000000007E-2</v>
      </c>
      <c r="AA129" s="219">
        <v>7.0000000000000007E-2</v>
      </c>
      <c r="AB129" s="219">
        <v>7.0000000000000007E-2</v>
      </c>
      <c r="AC129" s="219">
        <v>7.0000000000000007E-2</v>
      </c>
      <c r="AD129" s="219">
        <v>7.0000000000000007E-2</v>
      </c>
      <c r="AE129" s="219">
        <v>7.0000000000000007E-2</v>
      </c>
      <c r="AF129" s="219">
        <v>7.0000000000000007E-2</v>
      </c>
      <c r="AG129" s="219">
        <v>7.0000000000000007E-2</v>
      </c>
      <c r="AH129" s="219">
        <v>7.0000000000000007E-2</v>
      </c>
      <c r="AI129" s="219">
        <v>7.0000000000000007E-2</v>
      </c>
      <c r="AJ129" s="219">
        <v>7.0000000000000007E-2</v>
      </c>
      <c r="AK129" s="219">
        <v>7.0000000000000007E-2</v>
      </c>
      <c r="AL129" s="229" t="s">
        <v>573</v>
      </c>
      <c r="AM129" s="219">
        <f t="shared" si="58"/>
        <v>0</v>
      </c>
      <c r="AN129" s="229" t="s">
        <v>573</v>
      </c>
      <c r="AO129" s="221">
        <f t="shared" si="59"/>
        <v>0</v>
      </c>
      <c r="AP129" s="222" t="s">
        <v>573</v>
      </c>
      <c r="AQ129" s="221">
        <f t="shared" si="60"/>
        <v>0</v>
      </c>
      <c r="AR129" s="222" t="s">
        <v>573</v>
      </c>
      <c r="AS129" s="58">
        <f t="shared" si="61"/>
        <v>0</v>
      </c>
      <c r="AT129" s="222" t="s">
        <v>573</v>
      </c>
      <c r="AU129" s="58">
        <f t="shared" si="62"/>
        <v>0</v>
      </c>
      <c r="AV129" s="222" t="s">
        <v>573</v>
      </c>
      <c r="AW129" s="58">
        <f t="shared" si="63"/>
        <v>0</v>
      </c>
      <c r="AX129" s="251" t="s">
        <v>573</v>
      </c>
      <c r="AY129" s="58">
        <f t="shared" si="64"/>
        <v>0</v>
      </c>
      <c r="AZ129" s="222" t="s">
        <v>573</v>
      </c>
      <c r="BA129" s="58">
        <f t="shared" si="79"/>
        <v>0</v>
      </c>
      <c r="BB129" s="222" t="s">
        <v>573</v>
      </c>
      <c r="BC129" s="58">
        <f t="shared" si="80"/>
        <v>0</v>
      </c>
      <c r="BD129" s="222">
        <v>2880</v>
      </c>
      <c r="BE129" s="58">
        <f t="shared" si="81"/>
        <v>201.60000000000002</v>
      </c>
      <c r="BF129" s="222" t="s">
        <v>573</v>
      </c>
      <c r="BG129" s="58">
        <f t="shared" si="82"/>
        <v>0</v>
      </c>
      <c r="BH129" s="223" t="s">
        <v>573</v>
      </c>
      <c r="BI129" s="58">
        <f t="shared" si="83"/>
        <v>0</v>
      </c>
      <c r="BJ129" s="220">
        <f t="shared" si="65"/>
        <v>2880</v>
      </c>
      <c r="BK129" s="58"/>
      <c r="BL129" s="58" t="s">
        <v>997</v>
      </c>
      <c r="BM129" s="220" t="s">
        <v>1388</v>
      </c>
      <c r="BN129" s="213" t="s">
        <v>807</v>
      </c>
      <c r="BO129" s="58" t="s">
        <v>618</v>
      </c>
      <c r="BP129" s="199">
        <v>45596</v>
      </c>
      <c r="BQ129" s="2" t="s">
        <v>1386</v>
      </c>
    </row>
    <row r="130" spans="1:69" ht="15.75" customHeight="1">
      <c r="A130" s="213" t="s">
        <v>788</v>
      </c>
      <c r="B130" s="58" t="s">
        <v>184</v>
      </c>
      <c r="C130" s="58" t="s">
        <v>752</v>
      </c>
      <c r="D130" s="214" t="s">
        <v>789</v>
      </c>
      <c r="E130" s="214" t="s">
        <v>789</v>
      </c>
      <c r="F130" s="215" t="s">
        <v>186</v>
      </c>
      <c r="G130" s="216">
        <v>2022</v>
      </c>
      <c r="H130" s="213" t="s">
        <v>801</v>
      </c>
      <c r="I130" s="218" t="s">
        <v>196</v>
      </c>
      <c r="J130" s="217" t="s">
        <v>890</v>
      </c>
      <c r="K130" s="213" t="s">
        <v>235</v>
      </c>
      <c r="L130" s="213" t="s">
        <v>192</v>
      </c>
      <c r="M130" s="219" t="s">
        <v>1389</v>
      </c>
      <c r="N130" s="219">
        <v>4.3600000000000003</v>
      </c>
      <c r="O130" s="219">
        <v>4.3600000000000003</v>
      </c>
      <c r="P130" s="219">
        <v>4.3600000000000003</v>
      </c>
      <c r="Q130" s="219">
        <v>4.3600000000000003</v>
      </c>
      <c r="R130" s="219">
        <v>4.3600000000000003</v>
      </c>
      <c r="S130" s="219">
        <v>4.3600000000000003</v>
      </c>
      <c r="T130" s="219">
        <v>4.3600000000000003</v>
      </c>
      <c r="U130" s="219">
        <v>4.3600000000000003</v>
      </c>
      <c r="V130" s="219">
        <v>4.3600000000000003</v>
      </c>
      <c r="W130" s="219">
        <v>4.3600000000000003</v>
      </c>
      <c r="X130" s="219">
        <v>4.3600000000000003</v>
      </c>
      <c r="Y130" s="219">
        <v>4.3600000000000003</v>
      </c>
      <c r="Z130" s="219">
        <v>7.0000000000000007E-2</v>
      </c>
      <c r="AA130" s="219">
        <v>7.0000000000000007E-2</v>
      </c>
      <c r="AB130" s="219">
        <v>7.0000000000000007E-2</v>
      </c>
      <c r="AC130" s="219">
        <v>7.0000000000000007E-2</v>
      </c>
      <c r="AD130" s="219">
        <v>7.0000000000000007E-2</v>
      </c>
      <c r="AE130" s="219">
        <v>7.0000000000000007E-2</v>
      </c>
      <c r="AF130" s="219">
        <v>7.0000000000000007E-2</v>
      </c>
      <c r="AG130" s="219">
        <v>7.0000000000000007E-2</v>
      </c>
      <c r="AH130" s="219">
        <v>7.0000000000000007E-2</v>
      </c>
      <c r="AI130" s="219">
        <v>7.0000000000000007E-2</v>
      </c>
      <c r="AJ130" s="219">
        <v>7.0000000000000007E-2</v>
      </c>
      <c r="AK130" s="219">
        <v>7.0000000000000007E-2</v>
      </c>
      <c r="AL130" s="229">
        <v>2880</v>
      </c>
      <c r="AM130" s="219">
        <f t="shared" si="58"/>
        <v>201.60000000000002</v>
      </c>
      <c r="AN130" s="229">
        <v>2880</v>
      </c>
      <c r="AO130" s="221">
        <f t="shared" si="59"/>
        <v>201.60000000000002</v>
      </c>
      <c r="AP130" s="222" t="s">
        <v>573</v>
      </c>
      <c r="AQ130" s="221">
        <f t="shared" si="60"/>
        <v>0</v>
      </c>
      <c r="AR130" s="222" t="s">
        <v>573</v>
      </c>
      <c r="AS130" s="58">
        <f t="shared" si="61"/>
        <v>0</v>
      </c>
      <c r="AT130" s="222" t="s">
        <v>573</v>
      </c>
      <c r="AU130" s="58">
        <f t="shared" si="62"/>
        <v>0</v>
      </c>
      <c r="AV130" s="222">
        <v>2880</v>
      </c>
      <c r="AW130" s="58">
        <f t="shared" si="63"/>
        <v>201.60000000000002</v>
      </c>
      <c r="AX130" s="251" t="s">
        <v>573</v>
      </c>
      <c r="AY130" s="58">
        <f t="shared" si="64"/>
        <v>0</v>
      </c>
      <c r="AZ130" s="222" t="s">
        <v>573</v>
      </c>
      <c r="BA130" s="58">
        <f t="shared" si="79"/>
        <v>0</v>
      </c>
      <c r="BB130" s="222">
        <v>2880</v>
      </c>
      <c r="BC130" s="58">
        <f t="shared" si="80"/>
        <v>201.60000000000002</v>
      </c>
      <c r="BD130" s="222">
        <v>2880</v>
      </c>
      <c r="BE130" s="58">
        <f t="shared" si="81"/>
        <v>201.60000000000002</v>
      </c>
      <c r="BF130" s="222" t="s">
        <v>573</v>
      </c>
      <c r="BG130" s="58">
        <f t="shared" si="82"/>
        <v>0</v>
      </c>
      <c r="BH130" s="223" t="s">
        <v>573</v>
      </c>
      <c r="BI130" s="58">
        <f t="shared" si="83"/>
        <v>0</v>
      </c>
      <c r="BJ130" s="220">
        <f t="shared" si="65"/>
        <v>14400</v>
      </c>
      <c r="BK130" s="58"/>
      <c r="BL130" s="58" t="s">
        <v>998</v>
      </c>
      <c r="BM130" s="220" t="s">
        <v>1389</v>
      </c>
      <c r="BN130" s="213" t="s">
        <v>763</v>
      </c>
      <c r="BO130" s="58" t="s">
        <v>619</v>
      </c>
      <c r="BP130" s="199">
        <v>45596</v>
      </c>
      <c r="BQ130" s="2" t="s">
        <v>1386</v>
      </c>
    </row>
    <row r="131" spans="1:69" ht="15.75" customHeight="1">
      <c r="A131" s="213" t="s">
        <v>788</v>
      </c>
      <c r="B131" s="58" t="s">
        <v>184</v>
      </c>
      <c r="C131" s="58" t="s">
        <v>752</v>
      </c>
      <c r="D131" s="214" t="s">
        <v>789</v>
      </c>
      <c r="E131" s="214" t="s">
        <v>789</v>
      </c>
      <c r="F131" s="215" t="s">
        <v>186</v>
      </c>
      <c r="G131" s="216">
        <v>2023</v>
      </c>
      <c r="H131" s="213" t="s">
        <v>801</v>
      </c>
      <c r="I131" s="218" t="s">
        <v>196</v>
      </c>
      <c r="J131" s="217" t="s">
        <v>890</v>
      </c>
      <c r="K131" s="213" t="s">
        <v>235</v>
      </c>
      <c r="L131" s="213" t="s">
        <v>192</v>
      </c>
      <c r="M131" s="219" t="s">
        <v>1388</v>
      </c>
      <c r="N131" s="219">
        <v>4.42</v>
      </c>
      <c r="O131" s="219">
        <v>4.42</v>
      </c>
      <c r="P131" s="219">
        <v>4.42</v>
      </c>
      <c r="Q131" s="219">
        <v>4.42</v>
      </c>
      <c r="R131" s="219">
        <v>4.42</v>
      </c>
      <c r="S131" s="219">
        <v>4.42</v>
      </c>
      <c r="T131" s="219">
        <v>4.42</v>
      </c>
      <c r="U131" s="219">
        <v>4.42</v>
      </c>
      <c r="V131" s="219">
        <v>4.42</v>
      </c>
      <c r="W131" s="219">
        <v>4.42</v>
      </c>
      <c r="X131" s="219">
        <v>4.42</v>
      </c>
      <c r="Y131" s="219">
        <v>4.42</v>
      </c>
      <c r="Z131" s="219">
        <v>7.0000000000000007E-2</v>
      </c>
      <c r="AA131" s="219">
        <v>7.0000000000000007E-2</v>
      </c>
      <c r="AB131" s="219">
        <v>7.0000000000000007E-2</v>
      </c>
      <c r="AC131" s="219">
        <v>7.0000000000000007E-2</v>
      </c>
      <c r="AD131" s="219">
        <v>7.0000000000000007E-2</v>
      </c>
      <c r="AE131" s="219">
        <v>7.0000000000000007E-2</v>
      </c>
      <c r="AF131" s="219">
        <v>7.0000000000000007E-2</v>
      </c>
      <c r="AG131" s="219">
        <v>7.0000000000000007E-2</v>
      </c>
      <c r="AH131" s="219">
        <v>7.0000000000000007E-2</v>
      </c>
      <c r="AI131" s="219">
        <v>7.0000000000000007E-2</v>
      </c>
      <c r="AJ131" s="219">
        <v>7.0000000000000007E-2</v>
      </c>
      <c r="AK131" s="219">
        <v>7.0000000000000007E-2</v>
      </c>
      <c r="AL131" s="229">
        <v>2880</v>
      </c>
      <c r="AM131" s="219">
        <f t="shared" ref="AM131:AM194" si="84">Z131*AL131</f>
        <v>201.60000000000002</v>
      </c>
      <c r="AN131" s="229" t="s">
        <v>573</v>
      </c>
      <c r="AO131" s="221">
        <f t="shared" ref="AO131:AO194" si="85">AN131*AA131</f>
        <v>0</v>
      </c>
      <c r="AP131" s="222" t="s">
        <v>573</v>
      </c>
      <c r="AQ131" s="221">
        <f t="shared" ref="AQ131:AQ194" si="86">AP131*AB131</f>
        <v>0</v>
      </c>
      <c r="AR131" s="222" t="s">
        <v>573</v>
      </c>
      <c r="AS131" s="58">
        <f t="shared" ref="AS131:AS194" si="87">AR131*AC131</f>
        <v>0</v>
      </c>
      <c r="AT131" s="222">
        <v>2880</v>
      </c>
      <c r="AU131" s="58">
        <f t="shared" ref="AU131:AU194" si="88">AT131*AD131</f>
        <v>201.60000000000002</v>
      </c>
      <c r="AV131" s="222" t="s">
        <v>573</v>
      </c>
      <c r="AW131" s="58">
        <f t="shared" ref="AW131:AW194" si="89">AV131*AE131</f>
        <v>0</v>
      </c>
      <c r="AX131" s="251" t="s">
        <v>573</v>
      </c>
      <c r="AY131" s="58">
        <f t="shared" ref="AY131:AY194" si="90">AX131*AF131</f>
        <v>0</v>
      </c>
      <c r="AZ131" s="222">
        <v>2880</v>
      </c>
      <c r="BA131" s="58">
        <f t="shared" si="79"/>
        <v>201.60000000000002</v>
      </c>
      <c r="BB131" s="222" t="s">
        <v>573</v>
      </c>
      <c r="BC131" s="58">
        <f t="shared" si="80"/>
        <v>0</v>
      </c>
      <c r="BD131" s="222" t="s">
        <v>573</v>
      </c>
      <c r="BE131" s="58">
        <f t="shared" si="81"/>
        <v>0</v>
      </c>
      <c r="BF131" s="222" t="s">
        <v>573</v>
      </c>
      <c r="BG131" s="58">
        <f t="shared" si="82"/>
        <v>0</v>
      </c>
      <c r="BH131" s="223" t="s">
        <v>573</v>
      </c>
      <c r="BI131" s="58">
        <f t="shared" si="83"/>
        <v>0</v>
      </c>
      <c r="BJ131" s="220">
        <f t="shared" si="65"/>
        <v>8640</v>
      </c>
      <c r="BK131" s="58"/>
      <c r="BL131" s="58" t="s">
        <v>999</v>
      </c>
      <c r="BM131" s="220" t="s">
        <v>1388</v>
      </c>
      <c r="BN131" s="213" t="s">
        <v>754</v>
      </c>
      <c r="BO131" s="58" t="s">
        <v>620</v>
      </c>
      <c r="BP131" s="199">
        <v>45596</v>
      </c>
      <c r="BQ131" s="2" t="s">
        <v>1386</v>
      </c>
    </row>
    <row r="132" spans="1:69" ht="15.75" customHeight="1">
      <c r="A132" s="213" t="s">
        <v>788</v>
      </c>
      <c r="B132" s="58" t="s">
        <v>184</v>
      </c>
      <c r="C132" s="58" t="s">
        <v>752</v>
      </c>
      <c r="D132" s="214" t="s">
        <v>789</v>
      </c>
      <c r="E132" s="214" t="s">
        <v>789</v>
      </c>
      <c r="F132" s="215" t="s">
        <v>186</v>
      </c>
      <c r="G132" s="216">
        <v>2023</v>
      </c>
      <c r="H132" s="213" t="s">
        <v>801</v>
      </c>
      <c r="I132" s="218" t="s">
        <v>196</v>
      </c>
      <c r="J132" s="217" t="s">
        <v>890</v>
      </c>
      <c r="K132" s="213" t="s">
        <v>221</v>
      </c>
      <c r="L132" s="213" t="s">
        <v>192</v>
      </c>
      <c r="M132" s="219" t="s">
        <v>1389</v>
      </c>
      <c r="N132" s="219">
        <v>4.26</v>
      </c>
      <c r="O132" s="219">
        <v>4.26</v>
      </c>
      <c r="P132" s="219">
        <v>4.26</v>
      </c>
      <c r="Q132" s="219">
        <v>4.26</v>
      </c>
      <c r="R132" s="219">
        <v>4.26</v>
      </c>
      <c r="S132" s="219">
        <v>4.26</v>
      </c>
      <c r="T132" s="219">
        <v>4.26</v>
      </c>
      <c r="U132" s="219">
        <v>4.26</v>
      </c>
      <c r="V132" s="219">
        <v>4.26</v>
      </c>
      <c r="W132" s="219">
        <v>4.26</v>
      </c>
      <c r="X132" s="219">
        <v>4.26</v>
      </c>
      <c r="Y132" s="219">
        <v>4.26</v>
      </c>
      <c r="Z132" s="219">
        <v>7.0000000000000007E-2</v>
      </c>
      <c r="AA132" s="219">
        <v>7.0000000000000007E-2</v>
      </c>
      <c r="AB132" s="219">
        <v>7.0000000000000007E-2</v>
      </c>
      <c r="AC132" s="219">
        <v>7.0000000000000007E-2</v>
      </c>
      <c r="AD132" s="219">
        <v>7.0000000000000007E-2</v>
      </c>
      <c r="AE132" s="219">
        <v>7.0000000000000007E-2</v>
      </c>
      <c r="AF132" s="219">
        <v>7.0000000000000007E-2</v>
      </c>
      <c r="AG132" s="219">
        <v>7.0000000000000007E-2</v>
      </c>
      <c r="AH132" s="219">
        <v>7.0000000000000007E-2</v>
      </c>
      <c r="AI132" s="219">
        <v>7.0000000000000007E-2</v>
      </c>
      <c r="AJ132" s="219">
        <v>7.0000000000000007E-2</v>
      </c>
      <c r="AK132" s="219">
        <v>7.0000000000000007E-2</v>
      </c>
      <c r="AL132" s="229">
        <v>2880</v>
      </c>
      <c r="AM132" s="219">
        <f t="shared" si="84"/>
        <v>201.60000000000002</v>
      </c>
      <c r="AN132" s="229">
        <v>2880</v>
      </c>
      <c r="AO132" s="221">
        <f t="shared" si="85"/>
        <v>201.60000000000002</v>
      </c>
      <c r="AP132" s="222" t="s">
        <v>573</v>
      </c>
      <c r="AQ132" s="221">
        <f t="shared" si="86"/>
        <v>0</v>
      </c>
      <c r="AR132" s="222">
        <v>2880</v>
      </c>
      <c r="AS132" s="58">
        <f t="shared" si="87"/>
        <v>201.60000000000002</v>
      </c>
      <c r="AT132" s="222">
        <v>2880</v>
      </c>
      <c r="AU132" s="58">
        <f t="shared" si="88"/>
        <v>201.60000000000002</v>
      </c>
      <c r="AV132" s="222">
        <v>2880</v>
      </c>
      <c r="AW132" s="58">
        <f t="shared" si="89"/>
        <v>201.60000000000002</v>
      </c>
      <c r="AX132" s="251">
        <v>5760</v>
      </c>
      <c r="AY132" s="58">
        <f t="shared" si="90"/>
        <v>403.20000000000005</v>
      </c>
      <c r="AZ132" s="222">
        <v>8640</v>
      </c>
      <c r="BA132" s="58">
        <f t="shared" si="79"/>
        <v>604.80000000000007</v>
      </c>
      <c r="BB132" s="222">
        <v>5760</v>
      </c>
      <c r="BC132" s="58">
        <f t="shared" si="80"/>
        <v>403.20000000000005</v>
      </c>
      <c r="BD132" s="222">
        <v>5760</v>
      </c>
      <c r="BE132" s="58">
        <f t="shared" si="81"/>
        <v>403.20000000000005</v>
      </c>
      <c r="BF132" s="222">
        <v>5760</v>
      </c>
      <c r="BG132" s="58">
        <f t="shared" si="82"/>
        <v>403.20000000000005</v>
      </c>
      <c r="BH132" s="223">
        <v>5760</v>
      </c>
      <c r="BI132" s="58">
        <f t="shared" si="83"/>
        <v>403.20000000000005</v>
      </c>
      <c r="BJ132" s="220">
        <f t="shared" si="65"/>
        <v>51840</v>
      </c>
      <c r="BK132" s="58"/>
      <c r="BL132" s="58" t="s">
        <v>1000</v>
      </c>
      <c r="BM132" s="220" t="s">
        <v>1389</v>
      </c>
      <c r="BN132" s="213" t="s">
        <v>763</v>
      </c>
      <c r="BO132" s="58" t="s">
        <v>631</v>
      </c>
      <c r="BP132" s="199">
        <v>45961</v>
      </c>
      <c r="BQ132" s="2" t="s">
        <v>1386</v>
      </c>
    </row>
    <row r="133" spans="1:69" ht="15.75" customHeight="1">
      <c r="A133" s="213" t="s">
        <v>788</v>
      </c>
      <c r="B133" s="58" t="s">
        <v>184</v>
      </c>
      <c r="C133" s="58" t="s">
        <v>752</v>
      </c>
      <c r="D133" s="214" t="s">
        <v>789</v>
      </c>
      <c r="E133" s="214" t="s">
        <v>789</v>
      </c>
      <c r="F133" s="215" t="s">
        <v>186</v>
      </c>
      <c r="G133" s="216">
        <v>2023</v>
      </c>
      <c r="H133" s="213" t="s">
        <v>801</v>
      </c>
      <c r="I133" s="218" t="s">
        <v>196</v>
      </c>
      <c r="J133" s="217" t="s">
        <v>890</v>
      </c>
      <c r="K133" s="213" t="s">
        <v>221</v>
      </c>
      <c r="L133" s="213" t="s">
        <v>192</v>
      </c>
      <c r="M133" s="219" t="s">
        <v>1388</v>
      </c>
      <c r="N133" s="219">
        <v>4.32</v>
      </c>
      <c r="O133" s="219">
        <v>4.32</v>
      </c>
      <c r="P133" s="219">
        <v>4.32</v>
      </c>
      <c r="Q133" s="219">
        <v>4.32</v>
      </c>
      <c r="R133" s="219">
        <v>4.32</v>
      </c>
      <c r="S133" s="219">
        <v>4.32</v>
      </c>
      <c r="T133" s="219">
        <v>4.32</v>
      </c>
      <c r="U133" s="219">
        <v>4.32</v>
      </c>
      <c r="V133" s="219">
        <v>4.32</v>
      </c>
      <c r="W133" s="219">
        <v>4.32</v>
      </c>
      <c r="X133" s="219">
        <v>4.32</v>
      </c>
      <c r="Y133" s="219">
        <v>4.32</v>
      </c>
      <c r="Z133" s="219">
        <v>7.0000000000000007E-2</v>
      </c>
      <c r="AA133" s="219">
        <v>7.0000000000000007E-2</v>
      </c>
      <c r="AB133" s="219">
        <v>7.0000000000000007E-2</v>
      </c>
      <c r="AC133" s="219">
        <v>7.0000000000000007E-2</v>
      </c>
      <c r="AD133" s="219">
        <v>7.0000000000000007E-2</v>
      </c>
      <c r="AE133" s="219">
        <v>7.0000000000000007E-2</v>
      </c>
      <c r="AF133" s="219">
        <v>7.0000000000000007E-2</v>
      </c>
      <c r="AG133" s="219">
        <v>7.0000000000000007E-2</v>
      </c>
      <c r="AH133" s="219">
        <v>7.0000000000000007E-2</v>
      </c>
      <c r="AI133" s="219">
        <v>7.0000000000000007E-2</v>
      </c>
      <c r="AJ133" s="219">
        <v>7.0000000000000007E-2</v>
      </c>
      <c r="AK133" s="219">
        <v>7.0000000000000007E-2</v>
      </c>
      <c r="AL133" s="229" t="s">
        <v>573</v>
      </c>
      <c r="AM133" s="219">
        <f t="shared" si="84"/>
        <v>0</v>
      </c>
      <c r="AN133" s="229" t="s">
        <v>573</v>
      </c>
      <c r="AO133" s="221">
        <f t="shared" si="85"/>
        <v>0</v>
      </c>
      <c r="AP133" s="222" t="s">
        <v>573</v>
      </c>
      <c r="AQ133" s="221">
        <f t="shared" si="86"/>
        <v>0</v>
      </c>
      <c r="AR133" s="222" t="s">
        <v>573</v>
      </c>
      <c r="AS133" s="58">
        <f t="shared" si="87"/>
        <v>0</v>
      </c>
      <c r="AT133" s="222" t="s">
        <v>573</v>
      </c>
      <c r="AU133" s="58">
        <f t="shared" si="88"/>
        <v>0</v>
      </c>
      <c r="AV133" s="222" t="s">
        <v>573</v>
      </c>
      <c r="AW133" s="58">
        <f t="shared" si="89"/>
        <v>0</v>
      </c>
      <c r="AX133" s="251" t="s">
        <v>573</v>
      </c>
      <c r="AY133" s="58">
        <f t="shared" si="90"/>
        <v>0</v>
      </c>
      <c r="AZ133" s="222" t="s">
        <v>573</v>
      </c>
      <c r="BA133" s="58">
        <f t="shared" si="79"/>
        <v>0</v>
      </c>
      <c r="BB133" s="222" t="s">
        <v>573</v>
      </c>
      <c r="BC133" s="58">
        <f t="shared" si="80"/>
        <v>0</v>
      </c>
      <c r="BD133" s="222" t="s">
        <v>573</v>
      </c>
      <c r="BE133" s="58">
        <f t="shared" si="81"/>
        <v>0</v>
      </c>
      <c r="BF133" s="222" t="s">
        <v>573</v>
      </c>
      <c r="BG133" s="58">
        <f t="shared" si="82"/>
        <v>0</v>
      </c>
      <c r="BH133" s="223" t="s">
        <v>573</v>
      </c>
      <c r="BI133" s="58">
        <f t="shared" si="83"/>
        <v>0</v>
      </c>
      <c r="BJ133" s="220">
        <f t="shared" si="65"/>
        <v>0</v>
      </c>
      <c r="BK133" s="58"/>
      <c r="BL133" s="58" t="s">
        <v>1001</v>
      </c>
      <c r="BM133" s="220" t="s">
        <v>1388</v>
      </c>
      <c r="BN133" s="213" t="s">
        <v>754</v>
      </c>
      <c r="BO133" s="58" t="s">
        <v>632</v>
      </c>
      <c r="BP133" s="199">
        <v>45961</v>
      </c>
      <c r="BQ133" s="2" t="s">
        <v>1386</v>
      </c>
    </row>
    <row r="134" spans="1:69" ht="15.75" customHeight="1">
      <c r="A134" s="213" t="s">
        <v>788</v>
      </c>
      <c r="B134" s="58" t="s">
        <v>184</v>
      </c>
      <c r="C134" s="58" t="s">
        <v>752</v>
      </c>
      <c r="D134" s="214" t="s">
        <v>789</v>
      </c>
      <c r="E134" s="214" t="s">
        <v>789</v>
      </c>
      <c r="F134" s="215" t="s">
        <v>186</v>
      </c>
      <c r="G134" s="216">
        <v>2023</v>
      </c>
      <c r="H134" s="213" t="s">
        <v>801</v>
      </c>
      <c r="I134" s="218" t="s">
        <v>196</v>
      </c>
      <c r="J134" s="217" t="s">
        <v>890</v>
      </c>
      <c r="K134" s="213" t="s">
        <v>221</v>
      </c>
      <c r="L134" s="213" t="s">
        <v>192</v>
      </c>
      <c r="M134" s="219" t="s">
        <v>1388</v>
      </c>
      <c r="N134" s="219">
        <v>4.32</v>
      </c>
      <c r="O134" s="219">
        <v>4.32</v>
      </c>
      <c r="P134" s="219">
        <v>4.32</v>
      </c>
      <c r="Q134" s="219">
        <v>4.32</v>
      </c>
      <c r="R134" s="219">
        <v>4.32</v>
      </c>
      <c r="S134" s="219">
        <v>4.32</v>
      </c>
      <c r="T134" s="219">
        <v>4.32</v>
      </c>
      <c r="U134" s="219">
        <v>4.32</v>
      </c>
      <c r="V134" s="219">
        <v>4.32</v>
      </c>
      <c r="W134" s="219">
        <v>4.32</v>
      </c>
      <c r="X134" s="219">
        <v>4.32</v>
      </c>
      <c r="Y134" s="219">
        <v>4.32</v>
      </c>
      <c r="Z134" s="219">
        <v>7.0000000000000007E-2</v>
      </c>
      <c r="AA134" s="219">
        <v>7.0000000000000007E-2</v>
      </c>
      <c r="AB134" s="219">
        <v>7.0000000000000007E-2</v>
      </c>
      <c r="AC134" s="219">
        <v>7.0000000000000007E-2</v>
      </c>
      <c r="AD134" s="219">
        <v>7.0000000000000007E-2</v>
      </c>
      <c r="AE134" s="219">
        <v>7.0000000000000007E-2</v>
      </c>
      <c r="AF134" s="219">
        <v>7.0000000000000007E-2</v>
      </c>
      <c r="AG134" s="219">
        <v>7.0000000000000007E-2</v>
      </c>
      <c r="AH134" s="219">
        <v>7.0000000000000007E-2</v>
      </c>
      <c r="AI134" s="219">
        <v>7.0000000000000007E-2</v>
      </c>
      <c r="AJ134" s="219">
        <v>7.0000000000000007E-2</v>
      </c>
      <c r="AK134" s="219">
        <v>7.0000000000000007E-2</v>
      </c>
      <c r="AL134" s="229">
        <v>5760</v>
      </c>
      <c r="AM134" s="219">
        <f t="shared" si="84"/>
        <v>403.20000000000005</v>
      </c>
      <c r="AN134" s="229">
        <v>2880</v>
      </c>
      <c r="AO134" s="221">
        <f t="shared" si="85"/>
        <v>201.60000000000002</v>
      </c>
      <c r="AP134" s="222">
        <v>2880</v>
      </c>
      <c r="AQ134" s="221">
        <f t="shared" si="86"/>
        <v>201.60000000000002</v>
      </c>
      <c r="AR134" s="222" t="s">
        <v>573</v>
      </c>
      <c r="AS134" s="58">
        <f t="shared" si="87"/>
        <v>0</v>
      </c>
      <c r="AT134" s="222" t="s">
        <v>573</v>
      </c>
      <c r="AU134" s="58">
        <f t="shared" si="88"/>
        <v>0</v>
      </c>
      <c r="AV134" s="222">
        <v>5760</v>
      </c>
      <c r="AW134" s="58">
        <f t="shared" si="89"/>
        <v>403.20000000000005</v>
      </c>
      <c r="AX134" s="251">
        <v>2880</v>
      </c>
      <c r="AY134" s="58">
        <f t="shared" si="90"/>
        <v>201.60000000000002</v>
      </c>
      <c r="AZ134" s="222">
        <v>2880</v>
      </c>
      <c r="BA134" s="58">
        <f t="shared" si="79"/>
        <v>201.60000000000002</v>
      </c>
      <c r="BB134" s="222">
        <v>5760</v>
      </c>
      <c r="BC134" s="58">
        <f t="shared" si="80"/>
        <v>403.20000000000005</v>
      </c>
      <c r="BD134" s="222">
        <v>2880</v>
      </c>
      <c r="BE134" s="58">
        <f t="shared" si="81"/>
        <v>201.60000000000002</v>
      </c>
      <c r="BF134" s="222">
        <v>5760</v>
      </c>
      <c r="BG134" s="58">
        <f t="shared" si="82"/>
        <v>403.20000000000005</v>
      </c>
      <c r="BH134" s="223">
        <v>2880</v>
      </c>
      <c r="BI134" s="58">
        <f t="shared" si="83"/>
        <v>201.60000000000002</v>
      </c>
      <c r="BJ134" s="220">
        <f t="shared" si="65"/>
        <v>40320</v>
      </c>
      <c r="BK134" s="58"/>
      <c r="BL134" s="58" t="s">
        <v>1002</v>
      </c>
      <c r="BM134" s="220" t="s">
        <v>1388</v>
      </c>
      <c r="BN134" s="213" t="s">
        <v>754</v>
      </c>
      <c r="BO134" s="58" t="s">
        <v>633</v>
      </c>
      <c r="BP134" s="199">
        <v>45961</v>
      </c>
      <c r="BQ134" s="2" t="s">
        <v>1386</v>
      </c>
    </row>
    <row r="135" spans="1:69" ht="15.75" customHeight="1">
      <c r="A135" s="213" t="s">
        <v>788</v>
      </c>
      <c r="B135" s="58" t="s">
        <v>184</v>
      </c>
      <c r="C135" s="58" t="s">
        <v>752</v>
      </c>
      <c r="D135" s="214" t="s">
        <v>789</v>
      </c>
      <c r="E135" s="214" t="s">
        <v>789</v>
      </c>
      <c r="F135" s="215" t="s">
        <v>186</v>
      </c>
      <c r="G135" s="216">
        <v>2021</v>
      </c>
      <c r="H135" s="218" t="s">
        <v>810</v>
      </c>
      <c r="I135" s="218" t="s">
        <v>196</v>
      </c>
      <c r="J135" s="217" t="s">
        <v>890</v>
      </c>
      <c r="K135" s="213" t="s">
        <v>221</v>
      </c>
      <c r="L135" s="213" t="s">
        <v>192</v>
      </c>
      <c r="M135" s="219" t="s">
        <v>1397</v>
      </c>
      <c r="N135" s="219">
        <v>4.43</v>
      </c>
      <c r="O135" s="219">
        <v>4.43</v>
      </c>
      <c r="P135" s="219">
        <v>4.43</v>
      </c>
      <c r="Q135" s="219">
        <v>4.43</v>
      </c>
      <c r="R135" s="219">
        <v>4.43</v>
      </c>
      <c r="S135" s="219">
        <v>4.43</v>
      </c>
      <c r="T135" s="219">
        <v>4.43</v>
      </c>
      <c r="U135" s="219">
        <v>4.43</v>
      </c>
      <c r="V135" s="219">
        <v>4.43</v>
      </c>
      <c r="W135" s="219">
        <v>4.43</v>
      </c>
      <c r="X135" s="219">
        <v>4.43</v>
      </c>
      <c r="Y135" s="219">
        <v>4.43</v>
      </c>
      <c r="Z135" s="219">
        <v>0</v>
      </c>
      <c r="AA135" s="219">
        <v>0</v>
      </c>
      <c r="AB135" s="219">
        <v>0</v>
      </c>
      <c r="AC135" s="219">
        <v>0</v>
      </c>
      <c r="AD135" s="219">
        <v>0</v>
      </c>
      <c r="AE135" s="219">
        <v>0</v>
      </c>
      <c r="AF135" s="219">
        <v>0</v>
      </c>
      <c r="AG135" s="219">
        <v>0</v>
      </c>
      <c r="AH135" s="219">
        <v>0</v>
      </c>
      <c r="AI135" s="219">
        <v>0</v>
      </c>
      <c r="AJ135" s="219">
        <v>0</v>
      </c>
      <c r="AK135" s="219">
        <v>0</v>
      </c>
      <c r="AL135" s="229" t="s">
        <v>573</v>
      </c>
      <c r="AM135" s="219">
        <f t="shared" si="84"/>
        <v>0</v>
      </c>
      <c r="AN135" s="229" t="s">
        <v>573</v>
      </c>
      <c r="AO135" s="221">
        <f t="shared" si="85"/>
        <v>0</v>
      </c>
      <c r="AP135" s="222" t="s">
        <v>573</v>
      </c>
      <c r="AQ135" s="221">
        <f t="shared" si="86"/>
        <v>0</v>
      </c>
      <c r="AR135" s="222" t="s">
        <v>573</v>
      </c>
      <c r="AS135" s="58">
        <f t="shared" si="87"/>
        <v>0</v>
      </c>
      <c r="AT135" s="222" t="s">
        <v>573</v>
      </c>
      <c r="AU135" s="58">
        <f t="shared" si="88"/>
        <v>0</v>
      </c>
      <c r="AV135" s="222" t="s">
        <v>573</v>
      </c>
      <c r="AW135" s="58">
        <f t="shared" si="89"/>
        <v>0</v>
      </c>
      <c r="AX135" s="251" t="s">
        <v>573</v>
      </c>
      <c r="AY135" s="58">
        <f t="shared" si="90"/>
        <v>0</v>
      </c>
      <c r="AZ135" s="222" t="s">
        <v>573</v>
      </c>
      <c r="BA135" s="58">
        <f t="shared" si="79"/>
        <v>0</v>
      </c>
      <c r="BB135" s="222" t="s">
        <v>573</v>
      </c>
      <c r="BC135" s="58">
        <f t="shared" si="80"/>
        <v>0</v>
      </c>
      <c r="BD135" s="222" t="s">
        <v>573</v>
      </c>
      <c r="BE135" s="58">
        <f t="shared" si="81"/>
        <v>0</v>
      </c>
      <c r="BF135" s="222" t="s">
        <v>573</v>
      </c>
      <c r="BG135" s="58">
        <f t="shared" si="82"/>
        <v>0</v>
      </c>
      <c r="BH135" s="223" t="s">
        <v>573</v>
      </c>
      <c r="BI135" s="58">
        <f t="shared" si="83"/>
        <v>0</v>
      </c>
      <c r="BJ135" s="220">
        <f t="shared" ref="BJ135:BJ198" si="91">BH135+BF135+BD135+BB135+AZ135+AX135+AV135+AT135+AR135+AP135+AN135+AL135</f>
        <v>0</v>
      </c>
      <c r="BK135" s="58"/>
      <c r="BL135" s="58" t="s">
        <v>1003</v>
      </c>
      <c r="BM135" s="220" t="s">
        <v>1397</v>
      </c>
      <c r="BN135" s="213" t="s">
        <v>754</v>
      </c>
      <c r="BO135" s="58" t="s">
        <v>1261</v>
      </c>
      <c r="BP135" s="199">
        <v>45838</v>
      </c>
      <c r="BQ135" s="2" t="s">
        <v>1386</v>
      </c>
    </row>
    <row r="136" spans="1:69" ht="15.75" customHeight="1">
      <c r="A136" s="213" t="s">
        <v>788</v>
      </c>
      <c r="B136" s="58" t="s">
        <v>184</v>
      </c>
      <c r="C136" s="58" t="s">
        <v>752</v>
      </c>
      <c r="D136" s="214" t="s">
        <v>789</v>
      </c>
      <c r="E136" s="214" t="s">
        <v>789</v>
      </c>
      <c r="F136" s="215" t="s">
        <v>186</v>
      </c>
      <c r="G136" s="216">
        <v>2021</v>
      </c>
      <c r="H136" s="218" t="s">
        <v>810</v>
      </c>
      <c r="I136" s="218" t="s">
        <v>196</v>
      </c>
      <c r="J136" s="217" t="s">
        <v>890</v>
      </c>
      <c r="K136" s="213" t="s">
        <v>221</v>
      </c>
      <c r="L136" s="213" t="s">
        <v>192</v>
      </c>
      <c r="M136" s="219" t="s">
        <v>1388</v>
      </c>
      <c r="N136" s="219">
        <v>4.49</v>
      </c>
      <c r="O136" s="219">
        <v>4.49</v>
      </c>
      <c r="P136" s="219">
        <v>4.49</v>
      </c>
      <c r="Q136" s="219">
        <v>4.49</v>
      </c>
      <c r="R136" s="219">
        <v>4.49</v>
      </c>
      <c r="S136" s="219">
        <v>4.49</v>
      </c>
      <c r="T136" s="219">
        <v>4.49</v>
      </c>
      <c r="U136" s="219">
        <v>4.49</v>
      </c>
      <c r="V136" s="219">
        <v>4.49</v>
      </c>
      <c r="W136" s="219">
        <v>4.49</v>
      </c>
      <c r="X136" s="219">
        <v>4.49</v>
      </c>
      <c r="Y136" s="219">
        <v>4.49</v>
      </c>
      <c r="Z136" s="219">
        <v>0</v>
      </c>
      <c r="AA136" s="219">
        <v>0</v>
      </c>
      <c r="AB136" s="219">
        <v>0</v>
      </c>
      <c r="AC136" s="219">
        <v>0</v>
      </c>
      <c r="AD136" s="219">
        <v>0</v>
      </c>
      <c r="AE136" s="219">
        <v>0</v>
      </c>
      <c r="AF136" s="219">
        <v>0</v>
      </c>
      <c r="AG136" s="219">
        <v>0</v>
      </c>
      <c r="AH136" s="219">
        <v>0</v>
      </c>
      <c r="AI136" s="219">
        <v>0</v>
      </c>
      <c r="AJ136" s="219">
        <v>0</v>
      </c>
      <c r="AK136" s="219">
        <v>0</v>
      </c>
      <c r="AL136" s="229" t="s">
        <v>573</v>
      </c>
      <c r="AM136" s="219">
        <f t="shared" si="84"/>
        <v>0</v>
      </c>
      <c r="AN136" s="229" t="s">
        <v>573</v>
      </c>
      <c r="AO136" s="221">
        <f t="shared" si="85"/>
        <v>0</v>
      </c>
      <c r="AP136" s="222" t="s">
        <v>573</v>
      </c>
      <c r="AQ136" s="221">
        <f t="shared" si="86"/>
        <v>0</v>
      </c>
      <c r="AR136" s="222" t="s">
        <v>573</v>
      </c>
      <c r="AS136" s="58">
        <f t="shared" si="87"/>
        <v>0</v>
      </c>
      <c r="AT136" s="222" t="s">
        <v>573</v>
      </c>
      <c r="AU136" s="58">
        <f t="shared" si="88"/>
        <v>0</v>
      </c>
      <c r="AV136" s="222" t="s">
        <v>573</v>
      </c>
      <c r="AW136" s="58">
        <f t="shared" si="89"/>
        <v>0</v>
      </c>
      <c r="AX136" s="251" t="s">
        <v>573</v>
      </c>
      <c r="AY136" s="58">
        <f t="shared" si="90"/>
        <v>0</v>
      </c>
      <c r="AZ136" s="222" t="s">
        <v>573</v>
      </c>
      <c r="BA136" s="58">
        <f t="shared" si="79"/>
        <v>0</v>
      </c>
      <c r="BB136" s="222" t="s">
        <v>573</v>
      </c>
      <c r="BC136" s="58">
        <f t="shared" si="80"/>
        <v>0</v>
      </c>
      <c r="BD136" s="222" t="s">
        <v>573</v>
      </c>
      <c r="BE136" s="58">
        <f t="shared" si="81"/>
        <v>0</v>
      </c>
      <c r="BF136" s="222" t="s">
        <v>573</v>
      </c>
      <c r="BG136" s="58">
        <f t="shared" si="82"/>
        <v>0</v>
      </c>
      <c r="BH136" s="223" t="s">
        <v>573</v>
      </c>
      <c r="BI136" s="58">
        <f t="shared" si="83"/>
        <v>0</v>
      </c>
      <c r="BJ136" s="220">
        <f t="shared" si="91"/>
        <v>0</v>
      </c>
      <c r="BK136" s="58"/>
      <c r="BL136" s="58" t="s">
        <v>1004</v>
      </c>
      <c r="BM136" s="220" t="s">
        <v>1388</v>
      </c>
      <c r="BN136" s="213" t="s">
        <v>754</v>
      </c>
      <c r="BO136" s="58" t="s">
        <v>571</v>
      </c>
      <c r="BP136" s="199">
        <v>45838</v>
      </c>
      <c r="BQ136" s="2" t="s">
        <v>1386</v>
      </c>
    </row>
    <row r="137" spans="1:69" ht="15.75" customHeight="1">
      <c r="A137" s="213" t="s">
        <v>788</v>
      </c>
      <c r="B137" s="58" t="s">
        <v>184</v>
      </c>
      <c r="C137" s="58" t="s">
        <v>752</v>
      </c>
      <c r="D137" s="214" t="s">
        <v>789</v>
      </c>
      <c r="E137" s="214" t="s">
        <v>789</v>
      </c>
      <c r="F137" s="215" t="s">
        <v>186</v>
      </c>
      <c r="G137" s="216">
        <v>2021</v>
      </c>
      <c r="H137" s="218" t="s">
        <v>810</v>
      </c>
      <c r="I137" s="218" t="s">
        <v>196</v>
      </c>
      <c r="J137" s="217" t="s">
        <v>890</v>
      </c>
      <c r="K137" s="213" t="s">
        <v>221</v>
      </c>
      <c r="L137" s="213" t="s">
        <v>192</v>
      </c>
      <c r="M137" s="219" t="s">
        <v>1388</v>
      </c>
      <c r="N137" s="219">
        <v>4.51</v>
      </c>
      <c r="O137" s="219">
        <v>4.51</v>
      </c>
      <c r="P137" s="219">
        <v>4.51</v>
      </c>
      <c r="Q137" s="219">
        <v>4.51</v>
      </c>
      <c r="R137" s="219">
        <v>4.51</v>
      </c>
      <c r="S137" s="219">
        <v>4.51</v>
      </c>
      <c r="T137" s="219">
        <v>4.51</v>
      </c>
      <c r="U137" s="219">
        <v>4.51</v>
      </c>
      <c r="V137" s="219">
        <v>4.51</v>
      </c>
      <c r="W137" s="219">
        <v>4.51</v>
      </c>
      <c r="X137" s="219">
        <v>4.51</v>
      </c>
      <c r="Y137" s="219">
        <v>4.51</v>
      </c>
      <c r="Z137" s="219">
        <v>0</v>
      </c>
      <c r="AA137" s="219">
        <v>0</v>
      </c>
      <c r="AB137" s="219">
        <v>0</v>
      </c>
      <c r="AC137" s="219">
        <v>0</v>
      </c>
      <c r="AD137" s="219">
        <v>0</v>
      </c>
      <c r="AE137" s="219">
        <v>0</v>
      </c>
      <c r="AF137" s="219">
        <v>0</v>
      </c>
      <c r="AG137" s="219">
        <v>0</v>
      </c>
      <c r="AH137" s="219">
        <v>0</v>
      </c>
      <c r="AI137" s="219">
        <v>0</v>
      </c>
      <c r="AJ137" s="219">
        <v>0</v>
      </c>
      <c r="AK137" s="219">
        <v>0</v>
      </c>
      <c r="AL137" s="229" t="s">
        <v>573</v>
      </c>
      <c r="AM137" s="219">
        <f t="shared" si="84"/>
        <v>0</v>
      </c>
      <c r="AN137" s="229" t="s">
        <v>573</v>
      </c>
      <c r="AO137" s="221">
        <f t="shared" si="85"/>
        <v>0</v>
      </c>
      <c r="AP137" s="222" t="s">
        <v>573</v>
      </c>
      <c r="AQ137" s="221">
        <f t="shared" si="86"/>
        <v>0</v>
      </c>
      <c r="AR137" s="222" t="s">
        <v>573</v>
      </c>
      <c r="AS137" s="58">
        <f t="shared" si="87"/>
        <v>0</v>
      </c>
      <c r="AT137" s="222" t="s">
        <v>573</v>
      </c>
      <c r="AU137" s="58">
        <f t="shared" si="88"/>
        <v>0</v>
      </c>
      <c r="AV137" s="222" t="s">
        <v>573</v>
      </c>
      <c r="AW137" s="58">
        <f t="shared" si="89"/>
        <v>0</v>
      </c>
      <c r="AX137" s="251" t="s">
        <v>573</v>
      </c>
      <c r="AY137" s="58">
        <f t="shared" si="90"/>
        <v>0</v>
      </c>
      <c r="AZ137" s="222" t="s">
        <v>573</v>
      </c>
      <c r="BA137" s="58">
        <f t="shared" si="79"/>
        <v>0</v>
      </c>
      <c r="BB137" s="222" t="s">
        <v>573</v>
      </c>
      <c r="BC137" s="58">
        <f t="shared" si="80"/>
        <v>0</v>
      </c>
      <c r="BD137" s="222" t="s">
        <v>573</v>
      </c>
      <c r="BE137" s="58">
        <f t="shared" si="81"/>
        <v>0</v>
      </c>
      <c r="BF137" s="222" t="s">
        <v>573</v>
      </c>
      <c r="BG137" s="58">
        <f t="shared" si="82"/>
        <v>0</v>
      </c>
      <c r="BH137" s="223" t="s">
        <v>573</v>
      </c>
      <c r="BI137" s="58">
        <f t="shared" si="83"/>
        <v>0</v>
      </c>
      <c r="BJ137" s="220">
        <f t="shared" si="91"/>
        <v>0</v>
      </c>
      <c r="BK137" s="58"/>
      <c r="BL137" s="58" t="s">
        <v>1005</v>
      </c>
      <c r="BM137" s="220" t="s">
        <v>1388</v>
      </c>
      <c r="BN137" s="213" t="s">
        <v>1310</v>
      </c>
      <c r="BO137" s="58" t="s">
        <v>1262</v>
      </c>
      <c r="BP137" s="199">
        <v>45838</v>
      </c>
      <c r="BQ137" s="2" t="s">
        <v>1386</v>
      </c>
    </row>
    <row r="138" spans="1:69" ht="15.75" customHeight="1">
      <c r="A138" s="213" t="s">
        <v>788</v>
      </c>
      <c r="B138" s="58" t="s">
        <v>184</v>
      </c>
      <c r="C138" s="58" t="s">
        <v>752</v>
      </c>
      <c r="D138" s="214" t="s">
        <v>789</v>
      </c>
      <c r="E138" s="214" t="s">
        <v>789</v>
      </c>
      <c r="F138" s="215" t="s">
        <v>186</v>
      </c>
      <c r="G138" s="216">
        <v>2021</v>
      </c>
      <c r="H138" s="218" t="s">
        <v>810</v>
      </c>
      <c r="I138" s="218" t="s">
        <v>196</v>
      </c>
      <c r="J138" s="217" t="s">
        <v>890</v>
      </c>
      <c r="K138" s="213" t="s">
        <v>221</v>
      </c>
      <c r="L138" s="213" t="s">
        <v>192</v>
      </c>
      <c r="M138" s="219" t="s">
        <v>1391</v>
      </c>
      <c r="N138" s="219">
        <v>4.3899999999999997</v>
      </c>
      <c r="O138" s="219">
        <v>4.3899999999999997</v>
      </c>
      <c r="P138" s="219">
        <v>4.3899999999999997</v>
      </c>
      <c r="Q138" s="219">
        <v>4.3899999999999997</v>
      </c>
      <c r="R138" s="219">
        <v>4.3899999999999997</v>
      </c>
      <c r="S138" s="219">
        <v>4.3899999999999997</v>
      </c>
      <c r="T138" s="219">
        <v>4.3899999999999997</v>
      </c>
      <c r="U138" s="219">
        <v>4.3899999999999997</v>
      </c>
      <c r="V138" s="219">
        <v>4.3899999999999997</v>
      </c>
      <c r="W138" s="219">
        <v>4.3899999999999997</v>
      </c>
      <c r="X138" s="219">
        <v>4.3899999999999997</v>
      </c>
      <c r="Y138" s="219">
        <v>4.3899999999999997</v>
      </c>
      <c r="Z138" s="219">
        <v>0</v>
      </c>
      <c r="AA138" s="219">
        <v>0</v>
      </c>
      <c r="AB138" s="219">
        <v>0</v>
      </c>
      <c r="AC138" s="219">
        <v>0</v>
      </c>
      <c r="AD138" s="219">
        <v>0</v>
      </c>
      <c r="AE138" s="219">
        <v>0</v>
      </c>
      <c r="AF138" s="219">
        <v>0</v>
      </c>
      <c r="AG138" s="219">
        <v>0</v>
      </c>
      <c r="AH138" s="219">
        <v>0</v>
      </c>
      <c r="AI138" s="219">
        <v>0</v>
      </c>
      <c r="AJ138" s="219">
        <v>0</v>
      </c>
      <c r="AK138" s="219">
        <v>0</v>
      </c>
      <c r="AL138" s="229" t="s">
        <v>573</v>
      </c>
      <c r="AM138" s="219">
        <f t="shared" si="84"/>
        <v>0</v>
      </c>
      <c r="AN138" s="229" t="s">
        <v>573</v>
      </c>
      <c r="AO138" s="221">
        <f t="shared" si="85"/>
        <v>0</v>
      </c>
      <c r="AP138" s="222" t="s">
        <v>573</v>
      </c>
      <c r="AQ138" s="221">
        <f t="shared" si="86"/>
        <v>0</v>
      </c>
      <c r="AR138" s="222" t="s">
        <v>573</v>
      </c>
      <c r="AS138" s="58">
        <f t="shared" si="87"/>
        <v>0</v>
      </c>
      <c r="AT138" s="222" t="s">
        <v>573</v>
      </c>
      <c r="AU138" s="58">
        <f t="shared" si="88"/>
        <v>0</v>
      </c>
      <c r="AV138" s="222" t="s">
        <v>573</v>
      </c>
      <c r="AW138" s="58">
        <f t="shared" si="89"/>
        <v>0</v>
      </c>
      <c r="AX138" s="251" t="s">
        <v>573</v>
      </c>
      <c r="AY138" s="58">
        <f t="shared" si="90"/>
        <v>0</v>
      </c>
      <c r="AZ138" s="222" t="s">
        <v>573</v>
      </c>
      <c r="BA138" s="58">
        <f t="shared" si="79"/>
        <v>0</v>
      </c>
      <c r="BB138" s="222" t="s">
        <v>573</v>
      </c>
      <c r="BC138" s="58">
        <f t="shared" si="80"/>
        <v>0</v>
      </c>
      <c r="BD138" s="222" t="s">
        <v>573</v>
      </c>
      <c r="BE138" s="58">
        <f t="shared" si="81"/>
        <v>0</v>
      </c>
      <c r="BF138" s="222" t="s">
        <v>573</v>
      </c>
      <c r="BG138" s="58">
        <f t="shared" si="82"/>
        <v>0</v>
      </c>
      <c r="BH138" s="223" t="s">
        <v>573</v>
      </c>
      <c r="BI138" s="58">
        <f t="shared" si="83"/>
        <v>0</v>
      </c>
      <c r="BJ138" s="220">
        <f t="shared" si="91"/>
        <v>0</v>
      </c>
      <c r="BK138" s="58"/>
      <c r="BL138" s="58" t="s">
        <v>1006</v>
      </c>
      <c r="BM138" s="220" t="s">
        <v>1391</v>
      </c>
      <c r="BN138" s="213" t="s">
        <v>807</v>
      </c>
      <c r="BO138" s="213" t="s">
        <v>567</v>
      </c>
      <c r="BP138" s="199">
        <v>45838</v>
      </c>
      <c r="BQ138" s="2" t="s">
        <v>1386</v>
      </c>
    </row>
    <row r="139" spans="1:69" ht="15.75" customHeight="1">
      <c r="A139" s="213" t="s">
        <v>788</v>
      </c>
      <c r="B139" s="58" t="s">
        <v>184</v>
      </c>
      <c r="C139" s="58" t="s">
        <v>752</v>
      </c>
      <c r="D139" s="214" t="s">
        <v>789</v>
      </c>
      <c r="E139" s="214" t="s">
        <v>789</v>
      </c>
      <c r="F139" s="215" t="s">
        <v>186</v>
      </c>
      <c r="G139" s="216">
        <v>2021</v>
      </c>
      <c r="H139" s="218" t="s">
        <v>810</v>
      </c>
      <c r="I139" s="218" t="s">
        <v>196</v>
      </c>
      <c r="J139" s="217" t="s">
        <v>890</v>
      </c>
      <c r="K139" s="213" t="s">
        <v>221</v>
      </c>
      <c r="L139" s="213" t="s">
        <v>192</v>
      </c>
      <c r="M139" s="219" t="s">
        <v>1389</v>
      </c>
      <c r="N139" s="219">
        <v>4.43</v>
      </c>
      <c r="O139" s="219">
        <v>4.43</v>
      </c>
      <c r="P139" s="219">
        <v>4.43</v>
      </c>
      <c r="Q139" s="219">
        <v>4.43</v>
      </c>
      <c r="R139" s="219">
        <v>4.43</v>
      </c>
      <c r="S139" s="219">
        <v>4.43</v>
      </c>
      <c r="T139" s="219">
        <v>4.43</v>
      </c>
      <c r="U139" s="219">
        <v>4.43</v>
      </c>
      <c r="V139" s="219">
        <v>4.43</v>
      </c>
      <c r="W139" s="219">
        <v>4.43</v>
      </c>
      <c r="X139" s="219">
        <v>4.43</v>
      </c>
      <c r="Y139" s="219">
        <v>4.43</v>
      </c>
      <c r="Z139" s="219">
        <v>0</v>
      </c>
      <c r="AA139" s="219">
        <v>0</v>
      </c>
      <c r="AB139" s="219">
        <v>0</v>
      </c>
      <c r="AC139" s="219">
        <v>0</v>
      </c>
      <c r="AD139" s="219">
        <v>0</v>
      </c>
      <c r="AE139" s="219">
        <v>0</v>
      </c>
      <c r="AF139" s="219">
        <v>0</v>
      </c>
      <c r="AG139" s="219">
        <v>0</v>
      </c>
      <c r="AH139" s="219">
        <v>0</v>
      </c>
      <c r="AI139" s="219">
        <v>0</v>
      </c>
      <c r="AJ139" s="219">
        <v>0</v>
      </c>
      <c r="AK139" s="219">
        <v>0</v>
      </c>
      <c r="AL139" s="229">
        <v>8640</v>
      </c>
      <c r="AM139" s="219">
        <f t="shared" si="84"/>
        <v>0</v>
      </c>
      <c r="AN139" s="229">
        <v>23040</v>
      </c>
      <c r="AO139" s="221">
        <f t="shared" si="85"/>
        <v>0</v>
      </c>
      <c r="AP139" s="222" t="s">
        <v>573</v>
      </c>
      <c r="AQ139" s="221">
        <f t="shared" si="86"/>
        <v>0</v>
      </c>
      <c r="AR139" s="222" t="s">
        <v>573</v>
      </c>
      <c r="AS139" s="58">
        <f t="shared" si="87"/>
        <v>0</v>
      </c>
      <c r="AT139" s="222">
        <v>34560</v>
      </c>
      <c r="AU139" s="58">
        <f t="shared" si="88"/>
        <v>0</v>
      </c>
      <c r="AV139" s="222" t="s">
        <v>573</v>
      </c>
      <c r="AW139" s="58">
        <f t="shared" si="89"/>
        <v>0</v>
      </c>
      <c r="AX139" s="251">
        <v>14400</v>
      </c>
      <c r="AY139" s="58">
        <f t="shared" si="90"/>
        <v>0</v>
      </c>
      <c r="AZ139" s="222">
        <v>11520</v>
      </c>
      <c r="BA139" s="58">
        <f t="shared" si="79"/>
        <v>0</v>
      </c>
      <c r="BB139" s="222">
        <v>2880</v>
      </c>
      <c r="BC139" s="58">
        <f t="shared" si="80"/>
        <v>0</v>
      </c>
      <c r="BD139" s="222">
        <v>11520</v>
      </c>
      <c r="BE139" s="58">
        <f t="shared" si="81"/>
        <v>0</v>
      </c>
      <c r="BF139" s="222">
        <v>2880</v>
      </c>
      <c r="BG139" s="58">
        <f t="shared" si="82"/>
        <v>0</v>
      </c>
      <c r="BH139" s="223">
        <v>20160</v>
      </c>
      <c r="BI139" s="58">
        <f t="shared" si="83"/>
        <v>0</v>
      </c>
      <c r="BJ139" s="220">
        <f t="shared" si="91"/>
        <v>129600</v>
      </c>
      <c r="BK139" s="58"/>
      <c r="BL139" s="58" t="s">
        <v>1007</v>
      </c>
      <c r="BM139" s="220" t="s">
        <v>1389</v>
      </c>
      <c r="BN139" s="213" t="s">
        <v>763</v>
      </c>
      <c r="BO139" s="213" t="s">
        <v>1175</v>
      </c>
      <c r="BP139" s="199"/>
      <c r="BQ139" s="2" t="s">
        <v>1386</v>
      </c>
    </row>
    <row r="140" spans="1:69" ht="15.75" customHeight="1">
      <c r="A140" s="213" t="s">
        <v>788</v>
      </c>
      <c r="B140" s="58" t="s">
        <v>184</v>
      </c>
      <c r="C140" s="58" t="s">
        <v>752</v>
      </c>
      <c r="D140" s="214" t="s">
        <v>789</v>
      </c>
      <c r="E140" s="214" t="s">
        <v>789</v>
      </c>
      <c r="F140" s="215" t="s">
        <v>186</v>
      </c>
      <c r="G140" s="216">
        <v>2021</v>
      </c>
      <c r="H140" s="218" t="s">
        <v>810</v>
      </c>
      <c r="I140" s="218" t="s">
        <v>196</v>
      </c>
      <c r="J140" s="217" t="s">
        <v>890</v>
      </c>
      <c r="K140" s="213" t="s">
        <v>221</v>
      </c>
      <c r="L140" s="213" t="s">
        <v>192</v>
      </c>
      <c r="M140" s="219" t="s">
        <v>1388</v>
      </c>
      <c r="N140" s="219">
        <v>4.51</v>
      </c>
      <c r="O140" s="219">
        <v>4.51</v>
      </c>
      <c r="P140" s="219">
        <v>4.51</v>
      </c>
      <c r="Q140" s="219">
        <v>4.51</v>
      </c>
      <c r="R140" s="219">
        <v>4.51</v>
      </c>
      <c r="S140" s="219">
        <v>4.51</v>
      </c>
      <c r="T140" s="219">
        <v>4.51</v>
      </c>
      <c r="U140" s="219">
        <v>4.51</v>
      </c>
      <c r="V140" s="219">
        <v>4.51</v>
      </c>
      <c r="W140" s="219">
        <v>4.51</v>
      </c>
      <c r="X140" s="219">
        <v>4.51</v>
      </c>
      <c r="Y140" s="219">
        <v>4.51</v>
      </c>
      <c r="Z140" s="219">
        <v>0</v>
      </c>
      <c r="AA140" s="219">
        <v>0</v>
      </c>
      <c r="AB140" s="219">
        <v>0</v>
      </c>
      <c r="AC140" s="219">
        <v>0</v>
      </c>
      <c r="AD140" s="219">
        <v>0</v>
      </c>
      <c r="AE140" s="219">
        <v>0</v>
      </c>
      <c r="AF140" s="219">
        <v>0</v>
      </c>
      <c r="AG140" s="219">
        <v>0</v>
      </c>
      <c r="AH140" s="219">
        <v>0</v>
      </c>
      <c r="AI140" s="219">
        <v>0</v>
      </c>
      <c r="AJ140" s="219">
        <v>0</v>
      </c>
      <c r="AK140" s="219">
        <v>0</v>
      </c>
      <c r="AL140" s="229" t="s">
        <v>573</v>
      </c>
      <c r="AM140" s="219">
        <f t="shared" si="84"/>
        <v>0</v>
      </c>
      <c r="AN140" s="229" t="s">
        <v>573</v>
      </c>
      <c r="AO140" s="221">
        <f t="shared" si="85"/>
        <v>0</v>
      </c>
      <c r="AP140" s="222">
        <v>2880</v>
      </c>
      <c r="AQ140" s="221">
        <f t="shared" si="86"/>
        <v>0</v>
      </c>
      <c r="AR140" s="222">
        <v>2880</v>
      </c>
      <c r="AS140" s="58">
        <f t="shared" si="87"/>
        <v>0</v>
      </c>
      <c r="AT140" s="222">
        <v>2880</v>
      </c>
      <c r="AU140" s="58">
        <f t="shared" si="88"/>
        <v>0</v>
      </c>
      <c r="AV140" s="222" t="s">
        <v>573</v>
      </c>
      <c r="AW140" s="58">
        <f t="shared" si="89"/>
        <v>0</v>
      </c>
      <c r="AX140" s="251" t="s">
        <v>573</v>
      </c>
      <c r="AY140" s="58">
        <f t="shared" si="90"/>
        <v>0</v>
      </c>
      <c r="AZ140" s="222" t="s">
        <v>573</v>
      </c>
      <c r="BA140" s="58">
        <f t="shared" si="79"/>
        <v>0</v>
      </c>
      <c r="BB140" s="222">
        <v>2880</v>
      </c>
      <c r="BC140" s="58">
        <f t="shared" si="80"/>
        <v>0</v>
      </c>
      <c r="BD140" s="222">
        <v>11520</v>
      </c>
      <c r="BE140" s="58">
        <f t="shared" si="81"/>
        <v>0</v>
      </c>
      <c r="BF140" s="222">
        <v>5760</v>
      </c>
      <c r="BG140" s="58">
        <f t="shared" si="82"/>
        <v>0</v>
      </c>
      <c r="BH140" s="223" t="s">
        <v>573</v>
      </c>
      <c r="BI140" s="58">
        <f t="shared" si="83"/>
        <v>0</v>
      </c>
      <c r="BJ140" s="220">
        <f t="shared" si="91"/>
        <v>28800</v>
      </c>
      <c r="BK140" s="58"/>
      <c r="BL140" s="58" t="s">
        <v>1008</v>
      </c>
      <c r="BM140" s="220" t="s">
        <v>1388</v>
      </c>
      <c r="BN140" s="213" t="s">
        <v>1310</v>
      </c>
      <c r="BO140" s="213" t="s">
        <v>811</v>
      </c>
      <c r="BP140" s="199">
        <v>45961</v>
      </c>
      <c r="BQ140" s="2" t="s">
        <v>1386</v>
      </c>
    </row>
    <row r="141" spans="1:69" ht="15.75" customHeight="1">
      <c r="A141" s="213" t="s">
        <v>788</v>
      </c>
      <c r="B141" s="58" t="s">
        <v>184</v>
      </c>
      <c r="C141" s="58" t="s">
        <v>752</v>
      </c>
      <c r="D141" s="214" t="s">
        <v>789</v>
      </c>
      <c r="E141" s="214" t="s">
        <v>789</v>
      </c>
      <c r="F141" s="215" t="s">
        <v>186</v>
      </c>
      <c r="G141" s="216">
        <v>2021</v>
      </c>
      <c r="H141" s="218" t="s">
        <v>810</v>
      </c>
      <c r="I141" s="218" t="s">
        <v>196</v>
      </c>
      <c r="J141" s="217" t="s">
        <v>890</v>
      </c>
      <c r="K141" s="213" t="s">
        <v>221</v>
      </c>
      <c r="L141" s="213" t="s">
        <v>192</v>
      </c>
      <c r="M141" s="219" t="s">
        <v>1391</v>
      </c>
      <c r="N141" s="219">
        <v>4.3899999999999997</v>
      </c>
      <c r="O141" s="219">
        <v>4.3899999999999997</v>
      </c>
      <c r="P141" s="219">
        <v>4.3899999999999997</v>
      </c>
      <c r="Q141" s="219">
        <v>4.3899999999999997</v>
      </c>
      <c r="R141" s="219">
        <v>4.3899999999999997</v>
      </c>
      <c r="S141" s="219">
        <v>4.3899999999999997</v>
      </c>
      <c r="T141" s="219">
        <v>4.3899999999999997</v>
      </c>
      <c r="U141" s="219">
        <v>4.3899999999999997</v>
      </c>
      <c r="V141" s="219">
        <v>4.3899999999999997</v>
      </c>
      <c r="W141" s="219">
        <v>4.3899999999999997</v>
      </c>
      <c r="X141" s="219">
        <v>4.3899999999999997</v>
      </c>
      <c r="Y141" s="219">
        <v>4.3899999999999997</v>
      </c>
      <c r="Z141" s="219">
        <v>0</v>
      </c>
      <c r="AA141" s="219">
        <v>0</v>
      </c>
      <c r="AB141" s="219">
        <v>0</v>
      </c>
      <c r="AC141" s="219">
        <v>0</v>
      </c>
      <c r="AD141" s="219">
        <v>0</v>
      </c>
      <c r="AE141" s="219">
        <v>0</v>
      </c>
      <c r="AF141" s="219">
        <v>0</v>
      </c>
      <c r="AG141" s="219">
        <v>0</v>
      </c>
      <c r="AH141" s="219">
        <v>0</v>
      </c>
      <c r="AI141" s="219">
        <v>0</v>
      </c>
      <c r="AJ141" s="219">
        <v>0</v>
      </c>
      <c r="AK141" s="219">
        <v>0</v>
      </c>
      <c r="AL141" s="229" t="s">
        <v>573</v>
      </c>
      <c r="AM141" s="219">
        <f t="shared" si="84"/>
        <v>0</v>
      </c>
      <c r="AN141" s="229" t="s">
        <v>573</v>
      </c>
      <c r="AO141" s="221">
        <f t="shared" si="85"/>
        <v>0</v>
      </c>
      <c r="AP141" s="222" t="s">
        <v>573</v>
      </c>
      <c r="AQ141" s="221">
        <f t="shared" si="86"/>
        <v>0</v>
      </c>
      <c r="AR141" s="222" t="s">
        <v>573</v>
      </c>
      <c r="AS141" s="58">
        <f t="shared" si="87"/>
        <v>0</v>
      </c>
      <c r="AT141" s="222" t="s">
        <v>573</v>
      </c>
      <c r="AU141" s="58">
        <f t="shared" si="88"/>
        <v>0</v>
      </c>
      <c r="AV141" s="222" t="s">
        <v>573</v>
      </c>
      <c r="AW141" s="58">
        <f t="shared" si="89"/>
        <v>0</v>
      </c>
      <c r="AX141" s="251" t="s">
        <v>573</v>
      </c>
      <c r="AY141" s="58">
        <f t="shared" si="90"/>
        <v>0</v>
      </c>
      <c r="AZ141" s="222" t="s">
        <v>573</v>
      </c>
      <c r="BA141" s="58">
        <f t="shared" si="79"/>
        <v>0</v>
      </c>
      <c r="BB141" s="222" t="s">
        <v>573</v>
      </c>
      <c r="BC141" s="58">
        <f t="shared" si="80"/>
        <v>0</v>
      </c>
      <c r="BD141" s="222">
        <v>2880</v>
      </c>
      <c r="BE141" s="58">
        <f t="shared" si="81"/>
        <v>0</v>
      </c>
      <c r="BF141" s="222" t="s">
        <v>573</v>
      </c>
      <c r="BG141" s="58">
        <f t="shared" si="82"/>
        <v>0</v>
      </c>
      <c r="BH141" s="223" t="s">
        <v>573</v>
      </c>
      <c r="BI141" s="58">
        <f t="shared" si="83"/>
        <v>0</v>
      </c>
      <c r="BJ141" s="220">
        <f t="shared" si="91"/>
        <v>2880</v>
      </c>
      <c r="BK141" s="58"/>
      <c r="BL141" s="58" t="s">
        <v>1009</v>
      </c>
      <c r="BM141" s="220" t="s">
        <v>1391</v>
      </c>
      <c r="BN141" s="213" t="s">
        <v>197</v>
      </c>
      <c r="BO141" s="213" t="s">
        <v>1176</v>
      </c>
      <c r="BP141" s="199"/>
      <c r="BQ141" s="2" t="s">
        <v>1386</v>
      </c>
    </row>
    <row r="142" spans="1:69" ht="15.75" customHeight="1">
      <c r="A142" s="213" t="s">
        <v>788</v>
      </c>
      <c r="B142" s="58" t="s">
        <v>184</v>
      </c>
      <c r="C142" s="58" t="s">
        <v>752</v>
      </c>
      <c r="D142" s="214" t="s">
        <v>789</v>
      </c>
      <c r="E142" s="214" t="s">
        <v>789</v>
      </c>
      <c r="F142" s="215" t="s">
        <v>186</v>
      </c>
      <c r="G142" s="216">
        <v>2021</v>
      </c>
      <c r="H142" s="218" t="s">
        <v>810</v>
      </c>
      <c r="I142" s="218" t="s">
        <v>196</v>
      </c>
      <c r="J142" s="217" t="s">
        <v>890</v>
      </c>
      <c r="K142" s="213" t="s">
        <v>221</v>
      </c>
      <c r="L142" s="213" t="s">
        <v>192</v>
      </c>
      <c r="M142" s="219" t="s">
        <v>1388</v>
      </c>
      <c r="N142" s="219">
        <v>4.49</v>
      </c>
      <c r="O142" s="219">
        <v>4.49</v>
      </c>
      <c r="P142" s="219">
        <v>4.49</v>
      </c>
      <c r="Q142" s="219">
        <v>4.49</v>
      </c>
      <c r="R142" s="219">
        <v>4.49</v>
      </c>
      <c r="S142" s="219">
        <v>4.49</v>
      </c>
      <c r="T142" s="219">
        <v>4.49</v>
      </c>
      <c r="U142" s="219">
        <v>4.49</v>
      </c>
      <c r="V142" s="219">
        <v>4.49</v>
      </c>
      <c r="W142" s="219">
        <v>4.49</v>
      </c>
      <c r="X142" s="219">
        <v>4.49</v>
      </c>
      <c r="Y142" s="219">
        <v>4.49</v>
      </c>
      <c r="Z142" s="219">
        <v>0</v>
      </c>
      <c r="AA142" s="219">
        <v>0</v>
      </c>
      <c r="AB142" s="219">
        <v>0</v>
      </c>
      <c r="AC142" s="219">
        <v>0</v>
      </c>
      <c r="AD142" s="219">
        <v>0</v>
      </c>
      <c r="AE142" s="219">
        <v>0</v>
      </c>
      <c r="AF142" s="219">
        <v>0</v>
      </c>
      <c r="AG142" s="219">
        <v>0</v>
      </c>
      <c r="AH142" s="219">
        <v>0</v>
      </c>
      <c r="AI142" s="219">
        <v>0</v>
      </c>
      <c r="AJ142" s="219">
        <v>0</v>
      </c>
      <c r="AK142" s="219">
        <v>0</v>
      </c>
      <c r="AL142" s="229">
        <v>8640</v>
      </c>
      <c r="AM142" s="219">
        <f t="shared" si="84"/>
        <v>0</v>
      </c>
      <c r="AN142" s="229">
        <v>5760</v>
      </c>
      <c r="AO142" s="221">
        <f t="shared" si="85"/>
        <v>0</v>
      </c>
      <c r="AP142" s="222">
        <v>11520</v>
      </c>
      <c r="AQ142" s="221">
        <f t="shared" si="86"/>
        <v>0</v>
      </c>
      <c r="AR142" s="222">
        <v>2880</v>
      </c>
      <c r="AS142" s="58">
        <f t="shared" si="87"/>
        <v>0</v>
      </c>
      <c r="AT142" s="222">
        <v>20160</v>
      </c>
      <c r="AU142" s="58">
        <f t="shared" si="88"/>
        <v>0</v>
      </c>
      <c r="AV142" s="222">
        <v>14400</v>
      </c>
      <c r="AW142" s="58">
        <f t="shared" si="89"/>
        <v>0</v>
      </c>
      <c r="AX142" s="251">
        <v>5760</v>
      </c>
      <c r="AY142" s="58">
        <f t="shared" si="90"/>
        <v>0</v>
      </c>
      <c r="AZ142" s="222">
        <v>5760</v>
      </c>
      <c r="BA142" s="58">
        <f t="shared" si="79"/>
        <v>0</v>
      </c>
      <c r="BB142" s="222">
        <v>2880</v>
      </c>
      <c r="BC142" s="58">
        <f t="shared" si="80"/>
        <v>0</v>
      </c>
      <c r="BD142" s="222">
        <v>5760</v>
      </c>
      <c r="BE142" s="58">
        <f t="shared" si="81"/>
        <v>0</v>
      </c>
      <c r="BF142" s="222">
        <v>5760</v>
      </c>
      <c r="BG142" s="58">
        <f t="shared" si="82"/>
        <v>0</v>
      </c>
      <c r="BH142" s="223">
        <v>2880</v>
      </c>
      <c r="BI142" s="58">
        <f t="shared" si="83"/>
        <v>0</v>
      </c>
      <c r="BJ142" s="220">
        <f t="shared" si="91"/>
        <v>92160</v>
      </c>
      <c r="BK142" s="58"/>
      <c r="BL142" s="58" t="s">
        <v>1010</v>
      </c>
      <c r="BM142" s="220" t="s">
        <v>1388</v>
      </c>
      <c r="BN142" s="213" t="s">
        <v>754</v>
      </c>
      <c r="BO142" s="213" t="s">
        <v>1177</v>
      </c>
      <c r="BP142" s="199"/>
      <c r="BQ142" s="2" t="s">
        <v>1386</v>
      </c>
    </row>
    <row r="143" spans="1:69" ht="15.75" customHeight="1">
      <c r="A143" s="213" t="s">
        <v>788</v>
      </c>
      <c r="B143" s="58" t="s">
        <v>184</v>
      </c>
      <c r="C143" s="58" t="s">
        <v>752</v>
      </c>
      <c r="D143" s="214" t="s">
        <v>789</v>
      </c>
      <c r="E143" s="214" t="s">
        <v>789</v>
      </c>
      <c r="F143" s="215" t="s">
        <v>186</v>
      </c>
      <c r="G143" s="216">
        <v>2021</v>
      </c>
      <c r="H143" s="218" t="s">
        <v>810</v>
      </c>
      <c r="I143" s="218" t="s">
        <v>196</v>
      </c>
      <c r="J143" s="217" t="s">
        <v>890</v>
      </c>
      <c r="K143" s="213" t="s">
        <v>221</v>
      </c>
      <c r="L143" s="213" t="s">
        <v>192</v>
      </c>
      <c r="M143" s="219" t="s">
        <v>1392</v>
      </c>
      <c r="N143" s="219">
        <v>4.63</v>
      </c>
      <c r="O143" s="219">
        <v>4.63</v>
      </c>
      <c r="P143" s="219">
        <v>4.63</v>
      </c>
      <c r="Q143" s="219">
        <v>4.63</v>
      </c>
      <c r="R143" s="219">
        <v>4.63</v>
      </c>
      <c r="S143" s="219">
        <v>4.63</v>
      </c>
      <c r="T143" s="219">
        <v>4.63</v>
      </c>
      <c r="U143" s="219">
        <v>4.63</v>
      </c>
      <c r="V143" s="219">
        <v>4.63</v>
      </c>
      <c r="W143" s="219">
        <v>4.63</v>
      </c>
      <c r="X143" s="219">
        <v>4.63</v>
      </c>
      <c r="Y143" s="219">
        <v>4.63</v>
      </c>
      <c r="Z143" s="219">
        <v>0</v>
      </c>
      <c r="AA143" s="219">
        <v>0</v>
      </c>
      <c r="AB143" s="219">
        <v>0</v>
      </c>
      <c r="AC143" s="219">
        <v>0</v>
      </c>
      <c r="AD143" s="219">
        <v>0</v>
      </c>
      <c r="AE143" s="219">
        <v>0</v>
      </c>
      <c r="AF143" s="219">
        <v>0</v>
      </c>
      <c r="AG143" s="219">
        <v>0</v>
      </c>
      <c r="AH143" s="219">
        <v>0</v>
      </c>
      <c r="AI143" s="219">
        <v>0</v>
      </c>
      <c r="AJ143" s="219">
        <v>0</v>
      </c>
      <c r="AK143" s="219">
        <v>0</v>
      </c>
      <c r="AL143" s="229" t="s">
        <v>573</v>
      </c>
      <c r="AM143" s="219">
        <f t="shared" si="84"/>
        <v>0</v>
      </c>
      <c r="AN143" s="229" t="s">
        <v>573</v>
      </c>
      <c r="AO143" s="221">
        <f t="shared" si="85"/>
        <v>0</v>
      </c>
      <c r="AP143" s="222" t="s">
        <v>573</v>
      </c>
      <c r="AQ143" s="221">
        <f t="shared" si="86"/>
        <v>0</v>
      </c>
      <c r="AR143" s="222">
        <v>2880</v>
      </c>
      <c r="AS143" s="58">
        <f t="shared" si="87"/>
        <v>0</v>
      </c>
      <c r="AT143" s="222">
        <v>2880</v>
      </c>
      <c r="AU143" s="58">
        <f t="shared" si="88"/>
        <v>0</v>
      </c>
      <c r="AV143" s="222" t="s">
        <v>573</v>
      </c>
      <c r="AW143" s="58">
        <f t="shared" si="89"/>
        <v>0</v>
      </c>
      <c r="AX143" s="251">
        <v>2680</v>
      </c>
      <c r="AY143" s="58">
        <f t="shared" si="90"/>
        <v>0</v>
      </c>
      <c r="AZ143" s="222">
        <v>5760</v>
      </c>
      <c r="BA143" s="58">
        <f t="shared" si="79"/>
        <v>0</v>
      </c>
      <c r="BB143" s="222" t="s">
        <v>573</v>
      </c>
      <c r="BC143" s="58">
        <f t="shared" si="80"/>
        <v>0</v>
      </c>
      <c r="BD143" s="222">
        <v>2880</v>
      </c>
      <c r="BE143" s="58">
        <f t="shared" si="81"/>
        <v>0</v>
      </c>
      <c r="BF143" s="222">
        <v>5760</v>
      </c>
      <c r="BG143" s="58">
        <f t="shared" si="82"/>
        <v>0</v>
      </c>
      <c r="BH143" s="223">
        <v>8640</v>
      </c>
      <c r="BI143" s="58">
        <f t="shared" si="83"/>
        <v>0</v>
      </c>
      <c r="BJ143" s="220">
        <f t="shared" si="91"/>
        <v>31480</v>
      </c>
      <c r="BK143" s="58"/>
      <c r="BL143" s="58" t="s">
        <v>1011</v>
      </c>
      <c r="BM143" s="220" t="s">
        <v>1392</v>
      </c>
      <c r="BN143" s="213" t="s">
        <v>1347</v>
      </c>
      <c r="BO143" s="213" t="s">
        <v>1178</v>
      </c>
      <c r="BP143" s="199">
        <v>45565</v>
      </c>
      <c r="BQ143" s="2" t="s">
        <v>1386</v>
      </c>
    </row>
    <row r="144" spans="1:69" ht="15.75" customHeight="1">
      <c r="A144" s="213" t="s">
        <v>788</v>
      </c>
      <c r="B144" s="58" t="s">
        <v>184</v>
      </c>
      <c r="C144" s="58" t="s">
        <v>752</v>
      </c>
      <c r="D144" s="214" t="s">
        <v>789</v>
      </c>
      <c r="E144" s="214" t="s">
        <v>789</v>
      </c>
      <c r="F144" s="215" t="s">
        <v>186</v>
      </c>
      <c r="G144" s="216">
        <v>2021</v>
      </c>
      <c r="H144" s="218" t="s">
        <v>810</v>
      </c>
      <c r="I144" s="218" t="s">
        <v>196</v>
      </c>
      <c r="J144" s="217" t="s">
        <v>890</v>
      </c>
      <c r="K144" s="213" t="s">
        <v>221</v>
      </c>
      <c r="L144" s="213" t="s">
        <v>192</v>
      </c>
      <c r="M144" s="219" t="s">
        <v>1393</v>
      </c>
      <c r="N144" s="219">
        <v>4.63</v>
      </c>
      <c r="O144" s="219">
        <v>4.63</v>
      </c>
      <c r="P144" s="219">
        <v>4.63</v>
      </c>
      <c r="Q144" s="219">
        <v>4.63</v>
      </c>
      <c r="R144" s="219">
        <v>4.63</v>
      </c>
      <c r="S144" s="219">
        <v>4.63</v>
      </c>
      <c r="T144" s="219">
        <v>4.63</v>
      </c>
      <c r="U144" s="219">
        <v>4.63</v>
      </c>
      <c r="V144" s="219">
        <v>4.63</v>
      </c>
      <c r="W144" s="219">
        <v>4.63</v>
      </c>
      <c r="X144" s="219">
        <v>4.63</v>
      </c>
      <c r="Y144" s="219">
        <v>4.63</v>
      </c>
      <c r="Z144" s="219">
        <v>0</v>
      </c>
      <c r="AA144" s="219">
        <v>0</v>
      </c>
      <c r="AB144" s="219">
        <v>0</v>
      </c>
      <c r="AC144" s="219">
        <v>0</v>
      </c>
      <c r="AD144" s="219">
        <v>0</v>
      </c>
      <c r="AE144" s="219">
        <v>0</v>
      </c>
      <c r="AF144" s="219">
        <v>0</v>
      </c>
      <c r="AG144" s="219">
        <v>0</v>
      </c>
      <c r="AH144" s="219">
        <v>0</v>
      </c>
      <c r="AI144" s="219">
        <v>0</v>
      </c>
      <c r="AJ144" s="219">
        <v>0</v>
      </c>
      <c r="AK144" s="219">
        <v>0</v>
      </c>
      <c r="AL144" s="229" t="s">
        <v>573</v>
      </c>
      <c r="AM144" s="219">
        <f t="shared" si="84"/>
        <v>0</v>
      </c>
      <c r="AN144" s="229" t="s">
        <v>573</v>
      </c>
      <c r="AO144" s="221">
        <f t="shared" si="85"/>
        <v>0</v>
      </c>
      <c r="AP144" s="222" t="s">
        <v>573</v>
      </c>
      <c r="AQ144" s="221">
        <f t="shared" si="86"/>
        <v>0</v>
      </c>
      <c r="AR144" s="222" t="s">
        <v>573</v>
      </c>
      <c r="AS144" s="58">
        <f t="shared" si="87"/>
        <v>0</v>
      </c>
      <c r="AT144" s="222" t="s">
        <v>573</v>
      </c>
      <c r="AU144" s="58">
        <f t="shared" si="88"/>
        <v>0</v>
      </c>
      <c r="AV144" s="222" t="s">
        <v>573</v>
      </c>
      <c r="AW144" s="58">
        <f t="shared" si="89"/>
        <v>0</v>
      </c>
      <c r="AX144" s="251">
        <v>200</v>
      </c>
      <c r="AY144" s="58">
        <f t="shared" si="90"/>
        <v>0</v>
      </c>
      <c r="AZ144" s="222" t="s">
        <v>573</v>
      </c>
      <c r="BA144" s="58">
        <f t="shared" si="79"/>
        <v>0</v>
      </c>
      <c r="BB144" s="222">
        <v>2880</v>
      </c>
      <c r="BC144" s="58">
        <f t="shared" si="80"/>
        <v>0</v>
      </c>
      <c r="BD144" s="222" t="s">
        <v>573</v>
      </c>
      <c r="BE144" s="58">
        <f t="shared" si="81"/>
        <v>0</v>
      </c>
      <c r="BF144" s="222" t="s">
        <v>573</v>
      </c>
      <c r="BG144" s="58">
        <f t="shared" si="82"/>
        <v>0</v>
      </c>
      <c r="BH144" s="223" t="s">
        <v>573</v>
      </c>
      <c r="BI144" s="58">
        <f t="shared" si="83"/>
        <v>0</v>
      </c>
      <c r="BJ144" s="220">
        <f t="shared" si="91"/>
        <v>3080</v>
      </c>
      <c r="BK144" s="58"/>
      <c r="BL144" s="58" t="s">
        <v>1012</v>
      </c>
      <c r="BM144" s="220" t="s">
        <v>1393</v>
      </c>
      <c r="BN144" s="213" t="s">
        <v>1347</v>
      </c>
      <c r="BO144" s="213" t="s">
        <v>689</v>
      </c>
      <c r="BP144" s="199">
        <v>45473</v>
      </c>
      <c r="BQ144" s="2" t="s">
        <v>1386</v>
      </c>
    </row>
    <row r="145" spans="1:69" ht="15.75" customHeight="1">
      <c r="A145" s="213" t="s">
        <v>788</v>
      </c>
      <c r="B145" s="58" t="s">
        <v>184</v>
      </c>
      <c r="C145" s="58" t="s">
        <v>752</v>
      </c>
      <c r="D145" s="214" t="s">
        <v>789</v>
      </c>
      <c r="E145" s="214" t="s">
        <v>789</v>
      </c>
      <c r="F145" s="215" t="s">
        <v>186</v>
      </c>
      <c r="G145" s="216">
        <v>2021</v>
      </c>
      <c r="H145" s="218" t="s">
        <v>810</v>
      </c>
      <c r="I145" s="218" t="s">
        <v>196</v>
      </c>
      <c r="J145" s="217" t="s">
        <v>890</v>
      </c>
      <c r="K145" s="213" t="s">
        <v>221</v>
      </c>
      <c r="L145" s="213" t="s">
        <v>192</v>
      </c>
      <c r="M145" s="219" t="s">
        <v>1394</v>
      </c>
      <c r="N145" s="219">
        <v>4.63</v>
      </c>
      <c r="O145" s="219">
        <v>4.63</v>
      </c>
      <c r="P145" s="219">
        <v>4.63</v>
      </c>
      <c r="Q145" s="219">
        <v>4.63</v>
      </c>
      <c r="R145" s="219">
        <v>4.63</v>
      </c>
      <c r="S145" s="219">
        <v>4.63</v>
      </c>
      <c r="T145" s="219">
        <v>4.63</v>
      </c>
      <c r="U145" s="219">
        <v>4.63</v>
      </c>
      <c r="V145" s="219">
        <v>4.63</v>
      </c>
      <c r="W145" s="219">
        <v>4.63</v>
      </c>
      <c r="X145" s="219">
        <v>4.63</v>
      </c>
      <c r="Y145" s="219">
        <v>4.63</v>
      </c>
      <c r="Z145" s="219">
        <v>0</v>
      </c>
      <c r="AA145" s="219">
        <v>0</v>
      </c>
      <c r="AB145" s="219">
        <v>0</v>
      </c>
      <c r="AC145" s="219">
        <v>0</v>
      </c>
      <c r="AD145" s="219">
        <v>0</v>
      </c>
      <c r="AE145" s="219">
        <v>0</v>
      </c>
      <c r="AF145" s="219">
        <v>0</v>
      </c>
      <c r="AG145" s="219">
        <v>0</v>
      </c>
      <c r="AH145" s="219">
        <v>0</v>
      </c>
      <c r="AI145" s="219">
        <v>0</v>
      </c>
      <c r="AJ145" s="219">
        <v>0</v>
      </c>
      <c r="AK145" s="219">
        <v>0</v>
      </c>
      <c r="AL145" s="229" t="s">
        <v>573</v>
      </c>
      <c r="AM145" s="219">
        <f t="shared" si="84"/>
        <v>0</v>
      </c>
      <c r="AN145" s="229" t="s">
        <v>573</v>
      </c>
      <c r="AO145" s="221">
        <f t="shared" si="85"/>
        <v>0</v>
      </c>
      <c r="AP145" s="222" t="s">
        <v>573</v>
      </c>
      <c r="AQ145" s="221">
        <f t="shared" si="86"/>
        <v>0</v>
      </c>
      <c r="AR145" s="222" t="s">
        <v>573</v>
      </c>
      <c r="AS145" s="58">
        <f t="shared" si="87"/>
        <v>0</v>
      </c>
      <c r="AT145" s="222" t="s">
        <v>573</v>
      </c>
      <c r="AU145" s="58">
        <f t="shared" si="88"/>
        <v>0</v>
      </c>
      <c r="AV145" s="222" t="s">
        <v>573</v>
      </c>
      <c r="AW145" s="58">
        <f t="shared" si="89"/>
        <v>0</v>
      </c>
      <c r="AX145" s="251" t="s">
        <v>573</v>
      </c>
      <c r="AY145" s="58">
        <f t="shared" si="90"/>
        <v>0</v>
      </c>
      <c r="AZ145" s="222" t="s">
        <v>573</v>
      </c>
      <c r="BA145" s="58">
        <f t="shared" si="79"/>
        <v>0</v>
      </c>
      <c r="BB145" s="222" t="s">
        <v>573</v>
      </c>
      <c r="BC145" s="58">
        <f t="shared" si="80"/>
        <v>0</v>
      </c>
      <c r="BD145" s="222" t="s">
        <v>573</v>
      </c>
      <c r="BE145" s="58">
        <f t="shared" si="81"/>
        <v>0</v>
      </c>
      <c r="BF145" s="222" t="s">
        <v>573</v>
      </c>
      <c r="BG145" s="58">
        <f t="shared" si="82"/>
        <v>0</v>
      </c>
      <c r="BH145" s="223" t="s">
        <v>573</v>
      </c>
      <c r="BI145" s="58">
        <f t="shared" si="83"/>
        <v>0</v>
      </c>
      <c r="BJ145" s="220">
        <f t="shared" si="91"/>
        <v>0</v>
      </c>
      <c r="BK145" s="58"/>
      <c r="BL145" s="58" t="s">
        <v>1013</v>
      </c>
      <c r="BM145" s="220" t="s">
        <v>1394</v>
      </c>
      <c r="BN145" s="213" t="s">
        <v>1347</v>
      </c>
      <c r="BO145" s="213" t="s">
        <v>1178</v>
      </c>
      <c r="BP145" s="199"/>
      <c r="BQ145" s="2" t="s">
        <v>1386</v>
      </c>
    </row>
    <row r="146" spans="1:69" ht="15.75" customHeight="1">
      <c r="A146" s="213" t="s">
        <v>788</v>
      </c>
      <c r="B146" s="58" t="s">
        <v>184</v>
      </c>
      <c r="C146" s="58" t="s">
        <v>752</v>
      </c>
      <c r="D146" s="214" t="s">
        <v>789</v>
      </c>
      <c r="E146" s="214" t="s">
        <v>789</v>
      </c>
      <c r="F146" s="215" t="s">
        <v>186</v>
      </c>
      <c r="G146" s="216">
        <v>2021</v>
      </c>
      <c r="H146" s="218" t="s">
        <v>810</v>
      </c>
      <c r="I146" s="218" t="s">
        <v>196</v>
      </c>
      <c r="J146" s="217" t="s">
        <v>890</v>
      </c>
      <c r="K146" s="213" t="s">
        <v>221</v>
      </c>
      <c r="L146" s="213" t="s">
        <v>192</v>
      </c>
      <c r="M146" s="219" t="s">
        <v>1392</v>
      </c>
      <c r="N146" s="219">
        <v>4.63</v>
      </c>
      <c r="O146" s="219">
        <v>4.63</v>
      </c>
      <c r="P146" s="219">
        <v>4.63</v>
      </c>
      <c r="Q146" s="219">
        <v>4.63</v>
      </c>
      <c r="R146" s="219">
        <v>4.63</v>
      </c>
      <c r="S146" s="219">
        <v>4.63</v>
      </c>
      <c r="T146" s="219">
        <v>4.63</v>
      </c>
      <c r="U146" s="219">
        <v>4.63</v>
      </c>
      <c r="V146" s="219">
        <v>4.63</v>
      </c>
      <c r="W146" s="219">
        <v>4.63</v>
      </c>
      <c r="X146" s="219">
        <v>4.63</v>
      </c>
      <c r="Y146" s="219">
        <v>4.63</v>
      </c>
      <c r="Z146" s="219">
        <v>0</v>
      </c>
      <c r="AA146" s="219">
        <v>0</v>
      </c>
      <c r="AB146" s="219">
        <v>0</v>
      </c>
      <c r="AC146" s="219">
        <v>0</v>
      </c>
      <c r="AD146" s="219">
        <v>0</v>
      </c>
      <c r="AE146" s="219">
        <v>0</v>
      </c>
      <c r="AF146" s="219">
        <v>0</v>
      </c>
      <c r="AG146" s="219">
        <v>0</v>
      </c>
      <c r="AH146" s="219">
        <v>0</v>
      </c>
      <c r="AI146" s="219">
        <v>0</v>
      </c>
      <c r="AJ146" s="219">
        <v>0</v>
      </c>
      <c r="AK146" s="219">
        <v>0</v>
      </c>
      <c r="AL146" s="229" t="s">
        <v>573</v>
      </c>
      <c r="AM146" s="219">
        <f t="shared" si="84"/>
        <v>0</v>
      </c>
      <c r="AN146" s="229" t="s">
        <v>573</v>
      </c>
      <c r="AO146" s="221">
        <f t="shared" si="85"/>
        <v>0</v>
      </c>
      <c r="AP146" s="222" t="s">
        <v>573</v>
      </c>
      <c r="AQ146" s="221">
        <f t="shared" si="86"/>
        <v>0</v>
      </c>
      <c r="AR146" s="222" t="s">
        <v>573</v>
      </c>
      <c r="AS146" s="58">
        <f t="shared" si="87"/>
        <v>0</v>
      </c>
      <c r="AT146" s="222" t="s">
        <v>573</v>
      </c>
      <c r="AU146" s="58">
        <f t="shared" si="88"/>
        <v>0</v>
      </c>
      <c r="AV146" s="222" t="s">
        <v>573</v>
      </c>
      <c r="AW146" s="58">
        <f t="shared" si="89"/>
        <v>0</v>
      </c>
      <c r="AX146" s="251" t="s">
        <v>573</v>
      </c>
      <c r="AY146" s="58">
        <f t="shared" si="90"/>
        <v>0</v>
      </c>
      <c r="AZ146" s="222" t="s">
        <v>573</v>
      </c>
      <c r="BA146" s="58">
        <f t="shared" si="79"/>
        <v>0</v>
      </c>
      <c r="BB146" s="222" t="s">
        <v>573</v>
      </c>
      <c r="BC146" s="58">
        <f t="shared" si="80"/>
        <v>0</v>
      </c>
      <c r="BD146" s="222" t="s">
        <v>573</v>
      </c>
      <c r="BE146" s="58">
        <f t="shared" si="81"/>
        <v>0</v>
      </c>
      <c r="BF146" s="222" t="s">
        <v>573</v>
      </c>
      <c r="BG146" s="58">
        <f t="shared" si="82"/>
        <v>0</v>
      </c>
      <c r="BH146" s="223" t="s">
        <v>573</v>
      </c>
      <c r="BI146" s="58">
        <f t="shared" si="83"/>
        <v>0</v>
      </c>
      <c r="BJ146" s="220">
        <f t="shared" si="91"/>
        <v>0</v>
      </c>
      <c r="BK146" s="58"/>
      <c r="BL146" s="58" t="s">
        <v>1014</v>
      </c>
      <c r="BM146" s="220" t="s">
        <v>1392</v>
      </c>
      <c r="BN146" s="213" t="s">
        <v>1347</v>
      </c>
      <c r="BO146" s="213" t="s">
        <v>688</v>
      </c>
      <c r="BP146" s="199">
        <v>45565</v>
      </c>
      <c r="BQ146" s="2" t="s">
        <v>1386</v>
      </c>
    </row>
    <row r="147" spans="1:69" ht="15.75" customHeight="1">
      <c r="A147" s="213" t="s">
        <v>788</v>
      </c>
      <c r="B147" s="58" t="s">
        <v>184</v>
      </c>
      <c r="C147" s="58" t="s">
        <v>752</v>
      </c>
      <c r="D147" s="214" t="s">
        <v>789</v>
      </c>
      <c r="E147" s="214" t="s">
        <v>789</v>
      </c>
      <c r="F147" s="215" t="s">
        <v>186</v>
      </c>
      <c r="G147" s="216">
        <v>2021</v>
      </c>
      <c r="H147" s="218" t="s">
        <v>810</v>
      </c>
      <c r="I147" s="218" t="s">
        <v>196</v>
      </c>
      <c r="J147" s="217" t="s">
        <v>890</v>
      </c>
      <c r="K147" s="213" t="s">
        <v>221</v>
      </c>
      <c r="L147" s="213" t="s">
        <v>192</v>
      </c>
      <c r="M147" s="219" t="s">
        <v>1393</v>
      </c>
      <c r="N147" s="219">
        <v>4.63</v>
      </c>
      <c r="O147" s="219">
        <v>4.63</v>
      </c>
      <c r="P147" s="219">
        <v>4.63</v>
      </c>
      <c r="Q147" s="219">
        <v>4.63</v>
      </c>
      <c r="R147" s="219">
        <v>4.63</v>
      </c>
      <c r="S147" s="219">
        <v>4.63</v>
      </c>
      <c r="T147" s="219">
        <v>4.63</v>
      </c>
      <c r="U147" s="219">
        <v>4.63</v>
      </c>
      <c r="V147" s="219">
        <v>4.63</v>
      </c>
      <c r="W147" s="219">
        <v>4.63</v>
      </c>
      <c r="X147" s="219">
        <v>4.63</v>
      </c>
      <c r="Y147" s="219">
        <v>4.63</v>
      </c>
      <c r="Z147" s="219">
        <v>0</v>
      </c>
      <c r="AA147" s="219">
        <v>0</v>
      </c>
      <c r="AB147" s="219">
        <v>0</v>
      </c>
      <c r="AC147" s="219">
        <v>0</v>
      </c>
      <c r="AD147" s="219">
        <v>0</v>
      </c>
      <c r="AE147" s="219">
        <v>0</v>
      </c>
      <c r="AF147" s="219">
        <v>0</v>
      </c>
      <c r="AG147" s="219">
        <v>0</v>
      </c>
      <c r="AH147" s="219">
        <v>0</v>
      </c>
      <c r="AI147" s="219">
        <v>0</v>
      </c>
      <c r="AJ147" s="219">
        <v>0</v>
      </c>
      <c r="AK147" s="219">
        <v>0</v>
      </c>
      <c r="AL147" s="229" t="s">
        <v>573</v>
      </c>
      <c r="AM147" s="219">
        <f t="shared" si="84"/>
        <v>0</v>
      </c>
      <c r="AN147" s="229" t="s">
        <v>573</v>
      </c>
      <c r="AO147" s="221">
        <f t="shared" si="85"/>
        <v>0</v>
      </c>
      <c r="AP147" s="222" t="s">
        <v>573</v>
      </c>
      <c r="AQ147" s="221">
        <f t="shared" si="86"/>
        <v>0</v>
      </c>
      <c r="AR147" s="222" t="s">
        <v>573</v>
      </c>
      <c r="AS147" s="58">
        <f t="shared" si="87"/>
        <v>0</v>
      </c>
      <c r="AT147" s="222" t="s">
        <v>573</v>
      </c>
      <c r="AU147" s="58">
        <f t="shared" si="88"/>
        <v>0</v>
      </c>
      <c r="AV147" s="222" t="s">
        <v>573</v>
      </c>
      <c r="AW147" s="58">
        <f t="shared" si="89"/>
        <v>0</v>
      </c>
      <c r="AX147" s="251" t="s">
        <v>573</v>
      </c>
      <c r="AY147" s="58">
        <f t="shared" si="90"/>
        <v>0</v>
      </c>
      <c r="AZ147" s="222" t="s">
        <v>573</v>
      </c>
      <c r="BA147" s="58">
        <f t="shared" si="79"/>
        <v>0</v>
      </c>
      <c r="BB147" s="222" t="s">
        <v>573</v>
      </c>
      <c r="BC147" s="58">
        <f t="shared" si="80"/>
        <v>0</v>
      </c>
      <c r="BD147" s="222" t="s">
        <v>573</v>
      </c>
      <c r="BE147" s="58">
        <f t="shared" si="81"/>
        <v>0</v>
      </c>
      <c r="BF147" s="222" t="s">
        <v>573</v>
      </c>
      <c r="BG147" s="58">
        <f t="shared" si="82"/>
        <v>0</v>
      </c>
      <c r="BH147" s="223" t="s">
        <v>573</v>
      </c>
      <c r="BI147" s="58">
        <f t="shared" si="83"/>
        <v>0</v>
      </c>
      <c r="BJ147" s="220">
        <f t="shared" si="91"/>
        <v>0</v>
      </c>
      <c r="BK147" s="58"/>
      <c r="BL147" s="58" t="s">
        <v>1015</v>
      </c>
      <c r="BM147" s="220" t="s">
        <v>1393</v>
      </c>
      <c r="BN147" s="213" t="s">
        <v>1347</v>
      </c>
      <c r="BO147" s="213" t="s">
        <v>688</v>
      </c>
      <c r="BP147" s="199">
        <v>45473</v>
      </c>
      <c r="BQ147" s="2" t="s">
        <v>1386</v>
      </c>
    </row>
    <row r="148" spans="1:69" ht="15.75" customHeight="1">
      <c r="A148" s="213" t="s">
        <v>788</v>
      </c>
      <c r="B148" s="58" t="s">
        <v>184</v>
      </c>
      <c r="C148" s="58" t="s">
        <v>752</v>
      </c>
      <c r="D148" s="214" t="s">
        <v>789</v>
      </c>
      <c r="E148" s="214" t="s">
        <v>789</v>
      </c>
      <c r="F148" s="215" t="s">
        <v>186</v>
      </c>
      <c r="G148" s="216">
        <v>2021</v>
      </c>
      <c r="H148" s="218" t="s">
        <v>810</v>
      </c>
      <c r="I148" s="218" t="s">
        <v>196</v>
      </c>
      <c r="J148" s="217" t="s">
        <v>890</v>
      </c>
      <c r="K148" s="213" t="s">
        <v>221</v>
      </c>
      <c r="L148" s="213" t="s">
        <v>192</v>
      </c>
      <c r="M148" s="219" t="s">
        <v>1392</v>
      </c>
      <c r="N148" s="219">
        <v>4.63</v>
      </c>
      <c r="O148" s="219">
        <v>4.63</v>
      </c>
      <c r="P148" s="219">
        <v>4.63</v>
      </c>
      <c r="Q148" s="219">
        <v>4.63</v>
      </c>
      <c r="R148" s="219">
        <v>4.63</v>
      </c>
      <c r="S148" s="219">
        <v>4.63</v>
      </c>
      <c r="T148" s="219">
        <v>4.63</v>
      </c>
      <c r="U148" s="219">
        <v>4.63</v>
      </c>
      <c r="V148" s="219">
        <v>4.63</v>
      </c>
      <c r="W148" s="219">
        <v>4.63</v>
      </c>
      <c r="X148" s="219">
        <v>4.63</v>
      </c>
      <c r="Y148" s="219">
        <v>4.63</v>
      </c>
      <c r="Z148" s="219">
        <v>0</v>
      </c>
      <c r="AA148" s="219">
        <v>0</v>
      </c>
      <c r="AB148" s="219">
        <v>0</v>
      </c>
      <c r="AC148" s="219">
        <v>0</v>
      </c>
      <c r="AD148" s="219">
        <v>0</v>
      </c>
      <c r="AE148" s="219">
        <v>0</v>
      </c>
      <c r="AF148" s="219">
        <v>0</v>
      </c>
      <c r="AG148" s="219">
        <v>0</v>
      </c>
      <c r="AH148" s="219">
        <v>0</v>
      </c>
      <c r="AI148" s="219">
        <v>0</v>
      </c>
      <c r="AJ148" s="219">
        <v>0</v>
      </c>
      <c r="AK148" s="219">
        <v>0</v>
      </c>
      <c r="AL148" s="229" t="s">
        <v>573</v>
      </c>
      <c r="AM148" s="219">
        <f t="shared" si="84"/>
        <v>0</v>
      </c>
      <c r="AN148" s="229" t="s">
        <v>573</v>
      </c>
      <c r="AO148" s="221">
        <f t="shared" si="85"/>
        <v>0</v>
      </c>
      <c r="AP148" s="222">
        <v>2880</v>
      </c>
      <c r="AQ148" s="221">
        <f t="shared" si="86"/>
        <v>0</v>
      </c>
      <c r="AR148" s="222" t="s">
        <v>573</v>
      </c>
      <c r="AS148" s="58">
        <f t="shared" si="87"/>
        <v>0</v>
      </c>
      <c r="AT148" s="222" t="s">
        <v>573</v>
      </c>
      <c r="AU148" s="58">
        <f t="shared" si="88"/>
        <v>0</v>
      </c>
      <c r="AV148" s="222">
        <v>2880</v>
      </c>
      <c r="AW148" s="58">
        <f t="shared" si="89"/>
        <v>0</v>
      </c>
      <c r="AX148" s="251" t="s">
        <v>573</v>
      </c>
      <c r="AY148" s="58">
        <f t="shared" si="90"/>
        <v>0</v>
      </c>
      <c r="AZ148" s="222" t="s">
        <v>573</v>
      </c>
      <c r="BA148" s="58">
        <f t="shared" si="79"/>
        <v>0</v>
      </c>
      <c r="BB148" s="222" t="s">
        <v>573</v>
      </c>
      <c r="BC148" s="58">
        <f t="shared" si="80"/>
        <v>0</v>
      </c>
      <c r="BD148" s="222">
        <v>2880</v>
      </c>
      <c r="BE148" s="58">
        <f t="shared" si="81"/>
        <v>0</v>
      </c>
      <c r="BF148" s="222" t="s">
        <v>573</v>
      </c>
      <c r="BG148" s="58">
        <f t="shared" si="82"/>
        <v>0</v>
      </c>
      <c r="BH148" s="223">
        <v>2880</v>
      </c>
      <c r="BI148" s="58">
        <f t="shared" si="83"/>
        <v>0</v>
      </c>
      <c r="BJ148" s="220">
        <f t="shared" si="91"/>
        <v>11520</v>
      </c>
      <c r="BK148" s="58"/>
      <c r="BL148" s="58" t="s">
        <v>1016</v>
      </c>
      <c r="BM148" s="220" t="s">
        <v>1392</v>
      </c>
      <c r="BN148" s="213" t="s">
        <v>1347</v>
      </c>
      <c r="BO148" s="213" t="s">
        <v>690</v>
      </c>
      <c r="BP148" s="199">
        <v>45565</v>
      </c>
      <c r="BQ148" s="2" t="s">
        <v>1386</v>
      </c>
    </row>
    <row r="149" spans="1:69" ht="15.75" customHeight="1">
      <c r="A149" s="213" t="s">
        <v>788</v>
      </c>
      <c r="B149" s="58" t="s">
        <v>184</v>
      </c>
      <c r="C149" s="58" t="s">
        <v>752</v>
      </c>
      <c r="D149" s="214" t="s">
        <v>789</v>
      </c>
      <c r="E149" s="214" t="s">
        <v>789</v>
      </c>
      <c r="F149" s="215" t="s">
        <v>186</v>
      </c>
      <c r="G149" s="216">
        <v>2021</v>
      </c>
      <c r="H149" s="218" t="s">
        <v>810</v>
      </c>
      <c r="I149" s="218" t="s">
        <v>196</v>
      </c>
      <c r="J149" s="217" t="s">
        <v>890</v>
      </c>
      <c r="K149" s="213" t="s">
        <v>221</v>
      </c>
      <c r="L149" s="213" t="s">
        <v>192</v>
      </c>
      <c r="M149" s="219" t="s">
        <v>1393</v>
      </c>
      <c r="N149" s="219">
        <v>4.63</v>
      </c>
      <c r="O149" s="219">
        <v>4.63</v>
      </c>
      <c r="P149" s="219">
        <v>4.63</v>
      </c>
      <c r="Q149" s="219">
        <v>4.63</v>
      </c>
      <c r="R149" s="219">
        <v>4.63</v>
      </c>
      <c r="S149" s="219">
        <v>4.63</v>
      </c>
      <c r="T149" s="219">
        <v>4.63</v>
      </c>
      <c r="U149" s="219">
        <v>4.63</v>
      </c>
      <c r="V149" s="219">
        <v>4.63</v>
      </c>
      <c r="W149" s="219">
        <v>4.63</v>
      </c>
      <c r="X149" s="219">
        <v>4.63</v>
      </c>
      <c r="Y149" s="219">
        <v>4.63</v>
      </c>
      <c r="Z149" s="219">
        <v>0</v>
      </c>
      <c r="AA149" s="219">
        <v>0</v>
      </c>
      <c r="AB149" s="219">
        <v>0</v>
      </c>
      <c r="AC149" s="219">
        <v>0</v>
      </c>
      <c r="AD149" s="219">
        <v>0</v>
      </c>
      <c r="AE149" s="219">
        <v>0</v>
      </c>
      <c r="AF149" s="219">
        <v>0</v>
      </c>
      <c r="AG149" s="219">
        <v>0</v>
      </c>
      <c r="AH149" s="219">
        <v>0</v>
      </c>
      <c r="AI149" s="219">
        <v>0</v>
      </c>
      <c r="AJ149" s="219">
        <v>0</v>
      </c>
      <c r="AK149" s="219">
        <v>0</v>
      </c>
      <c r="AL149" s="229" t="s">
        <v>573</v>
      </c>
      <c r="AM149" s="219">
        <f t="shared" si="84"/>
        <v>0</v>
      </c>
      <c r="AN149" s="229" t="s">
        <v>573</v>
      </c>
      <c r="AO149" s="221">
        <f t="shared" si="85"/>
        <v>0</v>
      </c>
      <c r="AP149" s="222" t="s">
        <v>573</v>
      </c>
      <c r="AQ149" s="221">
        <f t="shared" si="86"/>
        <v>0</v>
      </c>
      <c r="AR149" s="222" t="s">
        <v>573</v>
      </c>
      <c r="AS149" s="58">
        <f t="shared" si="87"/>
        <v>0</v>
      </c>
      <c r="AT149" s="222" t="s">
        <v>573</v>
      </c>
      <c r="AU149" s="58">
        <f t="shared" si="88"/>
        <v>0</v>
      </c>
      <c r="AV149" s="222" t="s">
        <v>573</v>
      </c>
      <c r="AW149" s="58">
        <f t="shared" si="89"/>
        <v>0</v>
      </c>
      <c r="AX149" s="251" t="s">
        <v>573</v>
      </c>
      <c r="AY149" s="58">
        <f t="shared" si="90"/>
        <v>0</v>
      </c>
      <c r="AZ149" s="222" t="s">
        <v>573</v>
      </c>
      <c r="BA149" s="58">
        <f t="shared" si="79"/>
        <v>0</v>
      </c>
      <c r="BB149" s="222" t="s">
        <v>573</v>
      </c>
      <c r="BC149" s="58">
        <f t="shared" si="80"/>
        <v>0</v>
      </c>
      <c r="BD149" s="222" t="s">
        <v>573</v>
      </c>
      <c r="BE149" s="58">
        <f t="shared" si="81"/>
        <v>0</v>
      </c>
      <c r="BF149" s="222" t="s">
        <v>573</v>
      </c>
      <c r="BG149" s="58">
        <f t="shared" si="82"/>
        <v>0</v>
      </c>
      <c r="BH149" s="223" t="s">
        <v>573</v>
      </c>
      <c r="BI149" s="58">
        <f t="shared" si="83"/>
        <v>0</v>
      </c>
      <c r="BJ149" s="220">
        <f t="shared" si="91"/>
        <v>0</v>
      </c>
      <c r="BK149" s="58"/>
      <c r="BL149" s="58" t="s">
        <v>1017</v>
      </c>
      <c r="BM149" s="220" t="s">
        <v>1393</v>
      </c>
      <c r="BN149" s="213" t="s">
        <v>1347</v>
      </c>
      <c r="BO149" s="213" t="s">
        <v>690</v>
      </c>
      <c r="BP149" s="199">
        <v>45473</v>
      </c>
      <c r="BQ149" s="2" t="s">
        <v>1386</v>
      </c>
    </row>
    <row r="150" spans="1:69" ht="15.75" customHeight="1">
      <c r="A150" s="213" t="s">
        <v>788</v>
      </c>
      <c r="B150" s="58" t="s">
        <v>184</v>
      </c>
      <c r="C150" s="58" t="s">
        <v>752</v>
      </c>
      <c r="D150" s="214" t="s">
        <v>789</v>
      </c>
      <c r="E150" s="214" t="s">
        <v>789</v>
      </c>
      <c r="F150" s="215" t="s">
        <v>186</v>
      </c>
      <c r="G150" s="216">
        <v>2021</v>
      </c>
      <c r="H150" s="218" t="s">
        <v>810</v>
      </c>
      <c r="I150" s="218" t="s">
        <v>196</v>
      </c>
      <c r="J150" s="217" t="s">
        <v>890</v>
      </c>
      <c r="K150" s="213" t="s">
        <v>221</v>
      </c>
      <c r="L150" s="213" t="s">
        <v>192</v>
      </c>
      <c r="M150" s="219" t="s">
        <v>1388</v>
      </c>
      <c r="N150" s="219">
        <v>4.47</v>
      </c>
      <c r="O150" s="219">
        <v>4.47</v>
      </c>
      <c r="P150" s="219">
        <v>4.47</v>
      </c>
      <c r="Q150" s="219">
        <v>4.47</v>
      </c>
      <c r="R150" s="219">
        <v>4.47</v>
      </c>
      <c r="S150" s="219">
        <v>4.47</v>
      </c>
      <c r="T150" s="219">
        <v>4.47</v>
      </c>
      <c r="U150" s="219">
        <v>4.47</v>
      </c>
      <c r="V150" s="219">
        <v>4.47</v>
      </c>
      <c r="W150" s="219">
        <v>4.47</v>
      </c>
      <c r="X150" s="219">
        <v>4.47</v>
      </c>
      <c r="Y150" s="219">
        <v>4.47</v>
      </c>
      <c r="Z150" s="219">
        <v>0</v>
      </c>
      <c r="AA150" s="219">
        <v>0</v>
      </c>
      <c r="AB150" s="219">
        <v>0</v>
      </c>
      <c r="AC150" s="219">
        <v>0</v>
      </c>
      <c r="AD150" s="219">
        <v>0</v>
      </c>
      <c r="AE150" s="219">
        <v>0</v>
      </c>
      <c r="AF150" s="219">
        <v>0</v>
      </c>
      <c r="AG150" s="219">
        <v>0</v>
      </c>
      <c r="AH150" s="219">
        <v>0</v>
      </c>
      <c r="AI150" s="219">
        <v>0</v>
      </c>
      <c r="AJ150" s="219">
        <v>0</v>
      </c>
      <c r="AK150" s="219">
        <v>0</v>
      </c>
      <c r="AL150" s="229" t="s">
        <v>573</v>
      </c>
      <c r="AM150" s="219">
        <f t="shared" si="84"/>
        <v>0</v>
      </c>
      <c r="AN150" s="229">
        <v>2880</v>
      </c>
      <c r="AO150" s="221">
        <f t="shared" si="85"/>
        <v>0</v>
      </c>
      <c r="AP150" s="222" t="s">
        <v>573</v>
      </c>
      <c r="AQ150" s="221">
        <f t="shared" si="86"/>
        <v>0</v>
      </c>
      <c r="AR150" s="222" t="s">
        <v>573</v>
      </c>
      <c r="AS150" s="58">
        <f t="shared" si="87"/>
        <v>0</v>
      </c>
      <c r="AT150" s="222" t="s">
        <v>573</v>
      </c>
      <c r="AU150" s="58">
        <f t="shared" si="88"/>
        <v>0</v>
      </c>
      <c r="AV150" s="222" t="s">
        <v>573</v>
      </c>
      <c r="AW150" s="58">
        <f t="shared" si="89"/>
        <v>0</v>
      </c>
      <c r="AX150" s="251" t="s">
        <v>573</v>
      </c>
      <c r="AY150" s="58">
        <f t="shared" si="90"/>
        <v>0</v>
      </c>
      <c r="AZ150" s="222" t="s">
        <v>573</v>
      </c>
      <c r="BA150" s="58">
        <f t="shared" si="79"/>
        <v>0</v>
      </c>
      <c r="BB150" s="222" t="s">
        <v>573</v>
      </c>
      <c r="BC150" s="58">
        <f t="shared" si="80"/>
        <v>0</v>
      </c>
      <c r="BD150" s="222" t="s">
        <v>573</v>
      </c>
      <c r="BE150" s="58">
        <f t="shared" si="81"/>
        <v>0</v>
      </c>
      <c r="BF150" s="222" t="s">
        <v>573</v>
      </c>
      <c r="BG150" s="58">
        <f t="shared" si="82"/>
        <v>0</v>
      </c>
      <c r="BH150" s="223" t="s">
        <v>573</v>
      </c>
      <c r="BI150" s="58">
        <f t="shared" si="83"/>
        <v>0</v>
      </c>
      <c r="BJ150" s="220">
        <f t="shared" si="91"/>
        <v>2880</v>
      </c>
      <c r="BK150" s="58"/>
      <c r="BL150" s="58" t="s">
        <v>1018</v>
      </c>
      <c r="BM150" s="220" t="s">
        <v>1388</v>
      </c>
      <c r="BN150" s="213" t="s">
        <v>807</v>
      </c>
      <c r="BO150" s="213" t="s">
        <v>1179</v>
      </c>
      <c r="BP150" s="199"/>
      <c r="BQ150" s="2" t="s">
        <v>1386</v>
      </c>
    </row>
    <row r="151" spans="1:69" ht="15.75" customHeight="1">
      <c r="A151" s="213" t="s">
        <v>788</v>
      </c>
      <c r="B151" s="58" t="s">
        <v>184</v>
      </c>
      <c r="C151" s="58" t="s">
        <v>752</v>
      </c>
      <c r="D151" s="214" t="s">
        <v>789</v>
      </c>
      <c r="E151" s="214" t="s">
        <v>789</v>
      </c>
      <c r="F151" s="215" t="s">
        <v>186</v>
      </c>
      <c r="G151" s="216">
        <v>2021</v>
      </c>
      <c r="H151" s="218" t="s">
        <v>810</v>
      </c>
      <c r="I151" s="218" t="s">
        <v>196</v>
      </c>
      <c r="J151" s="217" t="s">
        <v>890</v>
      </c>
      <c r="K151" s="213" t="s">
        <v>221</v>
      </c>
      <c r="L151" s="213" t="s">
        <v>192</v>
      </c>
      <c r="M151" s="219" t="s">
        <v>1389</v>
      </c>
      <c r="N151" s="219">
        <v>4.47</v>
      </c>
      <c r="O151" s="219">
        <v>4.47</v>
      </c>
      <c r="P151" s="219">
        <v>4.47</v>
      </c>
      <c r="Q151" s="219">
        <v>4.47</v>
      </c>
      <c r="R151" s="219">
        <v>4.47</v>
      </c>
      <c r="S151" s="219">
        <v>4.47</v>
      </c>
      <c r="T151" s="219">
        <v>4.47</v>
      </c>
      <c r="U151" s="219">
        <v>4.47</v>
      </c>
      <c r="V151" s="219">
        <v>4.47</v>
      </c>
      <c r="W151" s="219">
        <v>4.47</v>
      </c>
      <c r="X151" s="219">
        <v>4.47</v>
      </c>
      <c r="Y151" s="219">
        <v>4.47</v>
      </c>
      <c r="Z151" s="219">
        <v>0</v>
      </c>
      <c r="AA151" s="219">
        <v>0</v>
      </c>
      <c r="AB151" s="219">
        <v>0</v>
      </c>
      <c r="AC151" s="219">
        <v>0</v>
      </c>
      <c r="AD151" s="219">
        <v>0</v>
      </c>
      <c r="AE151" s="219">
        <v>0</v>
      </c>
      <c r="AF151" s="219">
        <v>0</v>
      </c>
      <c r="AG151" s="219">
        <v>0</v>
      </c>
      <c r="AH151" s="219">
        <v>0</v>
      </c>
      <c r="AI151" s="219">
        <v>0</v>
      </c>
      <c r="AJ151" s="219">
        <v>0</v>
      </c>
      <c r="AK151" s="219">
        <v>0</v>
      </c>
      <c r="AL151" s="229" t="s">
        <v>573</v>
      </c>
      <c r="AM151" s="219">
        <f t="shared" si="84"/>
        <v>0</v>
      </c>
      <c r="AN151" s="229">
        <v>23040</v>
      </c>
      <c r="AO151" s="221">
        <f t="shared" si="85"/>
        <v>0</v>
      </c>
      <c r="AP151" s="222" t="s">
        <v>573</v>
      </c>
      <c r="AQ151" s="221">
        <f t="shared" si="86"/>
        <v>0</v>
      </c>
      <c r="AR151" s="222" t="s">
        <v>573</v>
      </c>
      <c r="AS151" s="58">
        <f t="shared" si="87"/>
        <v>0</v>
      </c>
      <c r="AT151" s="222" t="s">
        <v>573</v>
      </c>
      <c r="AU151" s="58">
        <f t="shared" si="88"/>
        <v>0</v>
      </c>
      <c r="AV151" s="222" t="s">
        <v>573</v>
      </c>
      <c r="AW151" s="58">
        <f t="shared" si="89"/>
        <v>0</v>
      </c>
      <c r="AX151" s="251">
        <v>2880</v>
      </c>
      <c r="AY151" s="58">
        <f t="shared" si="90"/>
        <v>0</v>
      </c>
      <c r="AZ151" s="222">
        <v>2880</v>
      </c>
      <c r="BA151" s="58">
        <f t="shared" si="79"/>
        <v>0</v>
      </c>
      <c r="BB151" s="222">
        <v>2880</v>
      </c>
      <c r="BC151" s="58">
        <f t="shared" si="80"/>
        <v>0</v>
      </c>
      <c r="BD151" s="222" t="s">
        <v>573</v>
      </c>
      <c r="BE151" s="58">
        <f t="shared" si="81"/>
        <v>0</v>
      </c>
      <c r="BF151" s="222" t="s">
        <v>573</v>
      </c>
      <c r="BG151" s="58">
        <f t="shared" si="82"/>
        <v>0</v>
      </c>
      <c r="BH151" s="223" t="s">
        <v>573</v>
      </c>
      <c r="BI151" s="58">
        <f t="shared" si="83"/>
        <v>0</v>
      </c>
      <c r="BJ151" s="220">
        <f t="shared" si="91"/>
        <v>31680</v>
      </c>
      <c r="BK151" s="58"/>
      <c r="BL151" s="58" t="s">
        <v>1019</v>
      </c>
      <c r="BM151" s="220" t="s">
        <v>1389</v>
      </c>
      <c r="BN151" s="213" t="s">
        <v>763</v>
      </c>
      <c r="BO151" s="213" t="s">
        <v>1180</v>
      </c>
      <c r="BP151" s="199"/>
      <c r="BQ151" s="2" t="s">
        <v>1386</v>
      </c>
    </row>
    <row r="152" spans="1:69" ht="15.75" customHeight="1">
      <c r="A152" s="213" t="s">
        <v>788</v>
      </c>
      <c r="B152" s="58" t="s">
        <v>184</v>
      </c>
      <c r="C152" s="58" t="s">
        <v>752</v>
      </c>
      <c r="D152" s="214" t="s">
        <v>789</v>
      </c>
      <c r="E152" s="214" t="s">
        <v>789</v>
      </c>
      <c r="F152" s="215" t="s">
        <v>186</v>
      </c>
      <c r="G152" s="216">
        <v>2021</v>
      </c>
      <c r="H152" s="218" t="s">
        <v>810</v>
      </c>
      <c r="I152" s="218" t="s">
        <v>196</v>
      </c>
      <c r="J152" s="217" t="s">
        <v>890</v>
      </c>
      <c r="K152" s="213" t="s">
        <v>221</v>
      </c>
      <c r="L152" s="213" t="s">
        <v>192</v>
      </c>
      <c r="M152" s="219" t="s">
        <v>1388</v>
      </c>
      <c r="N152" s="219">
        <v>4.47</v>
      </c>
      <c r="O152" s="219">
        <v>4.47</v>
      </c>
      <c r="P152" s="219">
        <v>4.47</v>
      </c>
      <c r="Q152" s="219">
        <v>4.47</v>
      </c>
      <c r="R152" s="219">
        <v>4.47</v>
      </c>
      <c r="S152" s="219">
        <v>4.47</v>
      </c>
      <c r="T152" s="219">
        <v>4.47</v>
      </c>
      <c r="U152" s="219">
        <v>4.47</v>
      </c>
      <c r="V152" s="219">
        <v>4.47</v>
      </c>
      <c r="W152" s="219">
        <v>4.47</v>
      </c>
      <c r="X152" s="219">
        <v>4.47</v>
      </c>
      <c r="Y152" s="219">
        <v>4.47</v>
      </c>
      <c r="Z152" s="219">
        <v>0</v>
      </c>
      <c r="AA152" s="219">
        <v>0</v>
      </c>
      <c r="AB152" s="219">
        <v>0</v>
      </c>
      <c r="AC152" s="219">
        <v>0</v>
      </c>
      <c r="AD152" s="219">
        <v>0</v>
      </c>
      <c r="AE152" s="219">
        <v>0</v>
      </c>
      <c r="AF152" s="219">
        <v>0</v>
      </c>
      <c r="AG152" s="219">
        <v>0</v>
      </c>
      <c r="AH152" s="219">
        <v>0</v>
      </c>
      <c r="AI152" s="219">
        <v>0</v>
      </c>
      <c r="AJ152" s="219">
        <v>0</v>
      </c>
      <c r="AK152" s="219">
        <v>0</v>
      </c>
      <c r="AL152" s="229" t="s">
        <v>573</v>
      </c>
      <c r="AM152" s="219">
        <f t="shared" si="84"/>
        <v>0</v>
      </c>
      <c r="AN152" s="229" t="s">
        <v>573</v>
      </c>
      <c r="AO152" s="221">
        <f t="shared" si="85"/>
        <v>0</v>
      </c>
      <c r="AP152" s="222" t="s">
        <v>573</v>
      </c>
      <c r="AQ152" s="221">
        <f t="shared" si="86"/>
        <v>0</v>
      </c>
      <c r="AR152" s="222" t="s">
        <v>573</v>
      </c>
      <c r="AS152" s="58">
        <f t="shared" si="87"/>
        <v>0</v>
      </c>
      <c r="AT152" s="222" t="s">
        <v>573</v>
      </c>
      <c r="AU152" s="58">
        <f t="shared" si="88"/>
        <v>0</v>
      </c>
      <c r="AV152" s="222" t="s">
        <v>573</v>
      </c>
      <c r="AW152" s="58">
        <f t="shared" si="89"/>
        <v>0</v>
      </c>
      <c r="AX152" s="251" t="s">
        <v>573</v>
      </c>
      <c r="AY152" s="58">
        <f t="shared" si="90"/>
        <v>0</v>
      </c>
      <c r="AZ152" s="222" t="s">
        <v>573</v>
      </c>
      <c r="BA152" s="58">
        <f t="shared" si="79"/>
        <v>0</v>
      </c>
      <c r="BB152" s="222" t="s">
        <v>573</v>
      </c>
      <c r="BC152" s="58">
        <f t="shared" si="80"/>
        <v>0</v>
      </c>
      <c r="BD152" s="222" t="s">
        <v>573</v>
      </c>
      <c r="BE152" s="58">
        <f t="shared" si="81"/>
        <v>0</v>
      </c>
      <c r="BF152" s="222" t="s">
        <v>573</v>
      </c>
      <c r="BG152" s="58">
        <f t="shared" si="82"/>
        <v>0</v>
      </c>
      <c r="BH152" s="223" t="s">
        <v>573</v>
      </c>
      <c r="BI152" s="58">
        <f t="shared" si="83"/>
        <v>0</v>
      </c>
      <c r="BJ152" s="220">
        <f t="shared" si="91"/>
        <v>0</v>
      </c>
      <c r="BK152" s="58"/>
      <c r="BL152" s="58" t="s">
        <v>1020</v>
      </c>
      <c r="BM152" s="220" t="s">
        <v>1388</v>
      </c>
      <c r="BN152" s="213" t="s">
        <v>754</v>
      </c>
      <c r="BO152" s="213" t="s">
        <v>1181</v>
      </c>
      <c r="BP152" s="199"/>
      <c r="BQ152" s="2" t="s">
        <v>1386</v>
      </c>
    </row>
    <row r="153" spans="1:69" ht="15.75" customHeight="1">
      <c r="A153" s="213" t="s">
        <v>788</v>
      </c>
      <c r="B153" s="58" t="s">
        <v>199</v>
      </c>
      <c r="C153" s="58" t="s">
        <v>752</v>
      </c>
      <c r="D153" s="214" t="s">
        <v>789</v>
      </c>
      <c r="E153" s="214" t="s">
        <v>789</v>
      </c>
      <c r="F153" s="215" t="s">
        <v>186</v>
      </c>
      <c r="G153" s="216">
        <v>2019</v>
      </c>
      <c r="H153" s="218" t="s">
        <v>798</v>
      </c>
      <c r="I153" s="218" t="s">
        <v>201</v>
      </c>
      <c r="J153" s="217" t="s">
        <v>890</v>
      </c>
      <c r="K153" s="213" t="s">
        <v>753</v>
      </c>
      <c r="L153" s="213" t="s">
        <v>192</v>
      </c>
      <c r="M153" s="219" t="s">
        <v>1388</v>
      </c>
      <c r="N153" s="219">
        <v>10.23</v>
      </c>
      <c r="O153" s="219">
        <v>10.23</v>
      </c>
      <c r="P153" s="219">
        <v>10.23</v>
      </c>
      <c r="Q153" s="219">
        <v>10.23</v>
      </c>
      <c r="R153" s="219">
        <v>10.23</v>
      </c>
      <c r="S153" s="219">
        <v>10.23</v>
      </c>
      <c r="T153" s="219">
        <v>10.23</v>
      </c>
      <c r="U153" s="219">
        <v>10.23</v>
      </c>
      <c r="V153" s="219">
        <v>10.23</v>
      </c>
      <c r="W153" s="219">
        <v>10.23</v>
      </c>
      <c r="X153" s="219">
        <v>10.23</v>
      </c>
      <c r="Y153" s="219">
        <v>10.23</v>
      </c>
      <c r="Z153" s="219">
        <v>0</v>
      </c>
      <c r="AA153" s="219">
        <v>0</v>
      </c>
      <c r="AB153" s="219">
        <v>0</v>
      </c>
      <c r="AC153" s="219">
        <v>0</v>
      </c>
      <c r="AD153" s="219">
        <v>0</v>
      </c>
      <c r="AE153" s="219">
        <v>0</v>
      </c>
      <c r="AF153" s="219">
        <v>0</v>
      </c>
      <c r="AG153" s="219">
        <v>0</v>
      </c>
      <c r="AH153" s="219">
        <v>0</v>
      </c>
      <c r="AI153" s="219">
        <v>0</v>
      </c>
      <c r="AJ153" s="219">
        <v>0</v>
      </c>
      <c r="AK153" s="219">
        <v>0</v>
      </c>
      <c r="AL153" s="229">
        <v>2560</v>
      </c>
      <c r="AM153" s="219">
        <f t="shared" si="84"/>
        <v>0</v>
      </c>
      <c r="AN153" s="229">
        <v>2560</v>
      </c>
      <c r="AO153" s="221">
        <f t="shared" si="85"/>
        <v>0</v>
      </c>
      <c r="AP153" s="222">
        <v>2560</v>
      </c>
      <c r="AQ153" s="221">
        <f t="shared" si="86"/>
        <v>0</v>
      </c>
      <c r="AR153" s="222">
        <v>2560</v>
      </c>
      <c r="AS153" s="58">
        <f t="shared" si="87"/>
        <v>0</v>
      </c>
      <c r="AT153" s="222">
        <v>5120</v>
      </c>
      <c r="AU153" s="58">
        <f t="shared" si="88"/>
        <v>0</v>
      </c>
      <c r="AV153" s="222" t="s">
        <v>573</v>
      </c>
      <c r="AW153" s="58">
        <f t="shared" si="89"/>
        <v>0</v>
      </c>
      <c r="AX153" s="251" t="s">
        <v>573</v>
      </c>
      <c r="AY153" s="58">
        <f t="shared" si="90"/>
        <v>0</v>
      </c>
      <c r="AZ153" s="222">
        <v>2560</v>
      </c>
      <c r="BA153" s="58">
        <f t="shared" si="79"/>
        <v>0</v>
      </c>
      <c r="BB153" s="222">
        <v>2560</v>
      </c>
      <c r="BC153" s="58">
        <f t="shared" si="80"/>
        <v>0</v>
      </c>
      <c r="BD153" s="222" t="s">
        <v>573</v>
      </c>
      <c r="BE153" s="58">
        <f t="shared" si="81"/>
        <v>0</v>
      </c>
      <c r="BF153" s="222" t="s">
        <v>573</v>
      </c>
      <c r="BG153" s="58">
        <f t="shared" si="82"/>
        <v>0</v>
      </c>
      <c r="BH153" s="223" t="s">
        <v>573</v>
      </c>
      <c r="BI153" s="58">
        <f t="shared" si="83"/>
        <v>0</v>
      </c>
      <c r="BJ153" s="220">
        <f t="shared" si="91"/>
        <v>20480</v>
      </c>
      <c r="BK153" s="58"/>
      <c r="BL153" s="58" t="s">
        <v>1021</v>
      </c>
      <c r="BM153" s="220" t="s">
        <v>1388</v>
      </c>
      <c r="BN153" s="213" t="s">
        <v>754</v>
      </c>
      <c r="BO153" s="213" t="s">
        <v>812</v>
      </c>
      <c r="BP153" s="199">
        <v>45961</v>
      </c>
      <c r="BQ153" s="2" t="s">
        <v>1386</v>
      </c>
    </row>
    <row r="154" spans="1:69" ht="15.75" customHeight="1">
      <c r="A154" s="213" t="s">
        <v>788</v>
      </c>
      <c r="B154" s="58" t="s">
        <v>199</v>
      </c>
      <c r="C154" s="58" t="s">
        <v>752</v>
      </c>
      <c r="D154" s="214" t="s">
        <v>789</v>
      </c>
      <c r="E154" s="214" t="s">
        <v>789</v>
      </c>
      <c r="F154" s="215" t="s">
        <v>186</v>
      </c>
      <c r="G154" s="216">
        <v>2019</v>
      </c>
      <c r="H154" s="218" t="s">
        <v>798</v>
      </c>
      <c r="I154" s="218" t="s">
        <v>201</v>
      </c>
      <c r="J154" s="217" t="s">
        <v>890</v>
      </c>
      <c r="K154" s="213" t="s">
        <v>753</v>
      </c>
      <c r="L154" s="213" t="s">
        <v>192</v>
      </c>
      <c r="M154" s="219" t="s">
        <v>1391</v>
      </c>
      <c r="N154" s="219">
        <v>10.130000000000001</v>
      </c>
      <c r="O154" s="219">
        <v>10.130000000000001</v>
      </c>
      <c r="P154" s="219">
        <v>10.130000000000001</v>
      </c>
      <c r="Q154" s="219">
        <v>10.130000000000001</v>
      </c>
      <c r="R154" s="219">
        <v>10.130000000000001</v>
      </c>
      <c r="S154" s="219">
        <v>10.130000000000001</v>
      </c>
      <c r="T154" s="219">
        <v>10.130000000000001</v>
      </c>
      <c r="U154" s="219">
        <v>10.130000000000001</v>
      </c>
      <c r="V154" s="219">
        <v>10.130000000000001</v>
      </c>
      <c r="W154" s="219">
        <v>10.130000000000001</v>
      </c>
      <c r="X154" s="219">
        <v>10.130000000000001</v>
      </c>
      <c r="Y154" s="219">
        <v>10.130000000000001</v>
      </c>
      <c r="Z154" s="219">
        <v>0</v>
      </c>
      <c r="AA154" s="219">
        <v>0</v>
      </c>
      <c r="AB154" s="219">
        <v>0</v>
      </c>
      <c r="AC154" s="219">
        <v>0</v>
      </c>
      <c r="AD154" s="219">
        <v>0</v>
      </c>
      <c r="AE154" s="219">
        <v>0</v>
      </c>
      <c r="AF154" s="219">
        <v>0</v>
      </c>
      <c r="AG154" s="219">
        <v>0</v>
      </c>
      <c r="AH154" s="219">
        <v>0</v>
      </c>
      <c r="AI154" s="219">
        <v>0</v>
      </c>
      <c r="AJ154" s="219">
        <v>0</v>
      </c>
      <c r="AK154" s="219">
        <v>0</v>
      </c>
      <c r="AL154" s="229" t="s">
        <v>573</v>
      </c>
      <c r="AM154" s="219">
        <f t="shared" si="84"/>
        <v>0</v>
      </c>
      <c r="AN154" s="229" t="s">
        <v>573</v>
      </c>
      <c r="AO154" s="221">
        <f t="shared" si="85"/>
        <v>0</v>
      </c>
      <c r="AP154" s="222" t="s">
        <v>573</v>
      </c>
      <c r="AQ154" s="221">
        <f t="shared" si="86"/>
        <v>0</v>
      </c>
      <c r="AR154" s="222" t="s">
        <v>573</v>
      </c>
      <c r="AS154" s="58">
        <f t="shared" si="87"/>
        <v>0</v>
      </c>
      <c r="AT154" s="222" t="s">
        <v>573</v>
      </c>
      <c r="AU154" s="58">
        <f t="shared" si="88"/>
        <v>0</v>
      </c>
      <c r="AV154" s="222" t="s">
        <v>573</v>
      </c>
      <c r="AW154" s="58">
        <f t="shared" si="89"/>
        <v>0</v>
      </c>
      <c r="AX154" s="251" t="s">
        <v>573</v>
      </c>
      <c r="AY154" s="58">
        <f t="shared" si="90"/>
        <v>0</v>
      </c>
      <c r="AZ154" s="222" t="s">
        <v>573</v>
      </c>
      <c r="BA154" s="58">
        <f t="shared" si="79"/>
        <v>0</v>
      </c>
      <c r="BB154" s="222" t="s">
        <v>573</v>
      </c>
      <c r="BC154" s="58">
        <f t="shared" si="80"/>
        <v>0</v>
      </c>
      <c r="BD154" s="222" t="s">
        <v>573</v>
      </c>
      <c r="BE154" s="58">
        <f t="shared" si="81"/>
        <v>0</v>
      </c>
      <c r="BF154" s="222" t="s">
        <v>573</v>
      </c>
      <c r="BG154" s="58">
        <f t="shared" si="82"/>
        <v>0</v>
      </c>
      <c r="BH154" s="223" t="s">
        <v>573</v>
      </c>
      <c r="BI154" s="58">
        <f t="shared" si="83"/>
        <v>0</v>
      </c>
      <c r="BJ154" s="220">
        <f t="shared" si="91"/>
        <v>0</v>
      </c>
      <c r="BK154" s="58"/>
      <c r="BL154" s="58" t="s">
        <v>1022</v>
      </c>
      <c r="BM154" s="220" t="s">
        <v>1391</v>
      </c>
      <c r="BN154" s="213" t="s">
        <v>197</v>
      </c>
      <c r="BO154" s="213" t="s">
        <v>1263</v>
      </c>
      <c r="BP154" s="199">
        <v>45961</v>
      </c>
      <c r="BQ154" s="2" t="s">
        <v>1386</v>
      </c>
    </row>
    <row r="155" spans="1:69" ht="15.75" customHeight="1">
      <c r="A155" s="213" t="s">
        <v>788</v>
      </c>
      <c r="B155" s="58" t="s">
        <v>199</v>
      </c>
      <c r="C155" s="58" t="s">
        <v>752</v>
      </c>
      <c r="D155" s="214" t="s">
        <v>789</v>
      </c>
      <c r="E155" s="214" t="s">
        <v>789</v>
      </c>
      <c r="F155" s="215" t="s">
        <v>186</v>
      </c>
      <c r="G155" s="216">
        <v>2019</v>
      </c>
      <c r="H155" s="218" t="s">
        <v>798</v>
      </c>
      <c r="I155" s="218" t="s">
        <v>201</v>
      </c>
      <c r="J155" s="217" t="s">
        <v>890</v>
      </c>
      <c r="K155" s="213" t="s">
        <v>753</v>
      </c>
      <c r="L155" s="213" t="s">
        <v>192</v>
      </c>
      <c r="M155" s="219" t="s">
        <v>1388</v>
      </c>
      <c r="N155" s="219">
        <v>10.27</v>
      </c>
      <c r="O155" s="219">
        <v>10.27</v>
      </c>
      <c r="P155" s="219">
        <v>10.27</v>
      </c>
      <c r="Q155" s="219">
        <v>10.27</v>
      </c>
      <c r="R155" s="219">
        <v>10.27</v>
      </c>
      <c r="S155" s="219">
        <v>10.27</v>
      </c>
      <c r="T155" s="219">
        <v>10.27</v>
      </c>
      <c r="U155" s="219">
        <v>10.27</v>
      </c>
      <c r="V155" s="219">
        <v>10.27</v>
      </c>
      <c r="W155" s="219">
        <v>10.27</v>
      </c>
      <c r="X155" s="219">
        <v>10.27</v>
      </c>
      <c r="Y155" s="219">
        <v>10.27</v>
      </c>
      <c r="Z155" s="219">
        <v>0</v>
      </c>
      <c r="AA155" s="219">
        <v>0</v>
      </c>
      <c r="AB155" s="219">
        <v>0</v>
      </c>
      <c r="AC155" s="219">
        <v>0</v>
      </c>
      <c r="AD155" s="219">
        <v>0</v>
      </c>
      <c r="AE155" s="219">
        <v>0</v>
      </c>
      <c r="AF155" s="219">
        <v>0</v>
      </c>
      <c r="AG155" s="219">
        <v>0</v>
      </c>
      <c r="AH155" s="219">
        <v>0</v>
      </c>
      <c r="AI155" s="219">
        <v>0</v>
      </c>
      <c r="AJ155" s="219">
        <v>0</v>
      </c>
      <c r="AK155" s="219">
        <v>0</v>
      </c>
      <c r="AL155" s="229" t="s">
        <v>573</v>
      </c>
      <c r="AM155" s="219">
        <f t="shared" si="84"/>
        <v>0</v>
      </c>
      <c r="AN155" s="229">
        <v>1280</v>
      </c>
      <c r="AO155" s="221">
        <f t="shared" si="85"/>
        <v>0</v>
      </c>
      <c r="AP155" s="222" t="s">
        <v>573</v>
      </c>
      <c r="AQ155" s="221">
        <f t="shared" si="86"/>
        <v>0</v>
      </c>
      <c r="AR155" s="222" t="s">
        <v>573</v>
      </c>
      <c r="AS155" s="58">
        <f t="shared" si="87"/>
        <v>0</v>
      </c>
      <c r="AT155" s="222" t="s">
        <v>573</v>
      </c>
      <c r="AU155" s="58">
        <f t="shared" si="88"/>
        <v>0</v>
      </c>
      <c r="AV155" s="222" t="s">
        <v>573</v>
      </c>
      <c r="AW155" s="58">
        <f t="shared" si="89"/>
        <v>0</v>
      </c>
      <c r="AX155" s="251" t="s">
        <v>573</v>
      </c>
      <c r="AY155" s="58">
        <f t="shared" si="90"/>
        <v>0</v>
      </c>
      <c r="AZ155" s="222" t="s">
        <v>573</v>
      </c>
      <c r="BA155" s="58">
        <f t="shared" si="79"/>
        <v>0</v>
      </c>
      <c r="BB155" s="222" t="s">
        <v>573</v>
      </c>
      <c r="BC155" s="58">
        <f t="shared" si="80"/>
        <v>0</v>
      </c>
      <c r="BD155" s="222">
        <v>1280</v>
      </c>
      <c r="BE155" s="58">
        <f t="shared" si="81"/>
        <v>0</v>
      </c>
      <c r="BF155" s="222">
        <v>1250</v>
      </c>
      <c r="BG155" s="58">
        <f t="shared" si="82"/>
        <v>0</v>
      </c>
      <c r="BH155" s="223" t="s">
        <v>573</v>
      </c>
      <c r="BI155" s="58">
        <f t="shared" si="83"/>
        <v>0</v>
      </c>
      <c r="BJ155" s="220">
        <f t="shared" si="91"/>
        <v>3810</v>
      </c>
      <c r="BK155" s="58"/>
      <c r="BL155" s="58" t="s">
        <v>1023</v>
      </c>
      <c r="BM155" s="220" t="s">
        <v>1388</v>
      </c>
      <c r="BN155" s="213" t="s">
        <v>1310</v>
      </c>
      <c r="BO155" s="213" t="s">
        <v>1264</v>
      </c>
      <c r="BP155" s="199">
        <v>45961</v>
      </c>
      <c r="BQ155" s="2" t="s">
        <v>1386</v>
      </c>
    </row>
    <row r="156" spans="1:69" ht="15.75" customHeight="1">
      <c r="A156" s="213" t="s">
        <v>788</v>
      </c>
      <c r="B156" s="58" t="s">
        <v>199</v>
      </c>
      <c r="C156" s="58" t="s">
        <v>752</v>
      </c>
      <c r="D156" s="214" t="s">
        <v>789</v>
      </c>
      <c r="E156" s="214" t="s">
        <v>789</v>
      </c>
      <c r="F156" s="215" t="s">
        <v>186</v>
      </c>
      <c r="G156" s="216">
        <v>2020</v>
      </c>
      <c r="H156" s="218" t="s">
        <v>1319</v>
      </c>
      <c r="I156" s="218" t="s">
        <v>201</v>
      </c>
      <c r="J156" s="217" t="s">
        <v>890</v>
      </c>
      <c r="K156" s="213" t="s">
        <v>221</v>
      </c>
      <c r="L156" s="213" t="s">
        <v>192</v>
      </c>
      <c r="M156" s="219" t="s">
        <v>1388</v>
      </c>
      <c r="N156" s="219">
        <v>5.66</v>
      </c>
      <c r="O156" s="219">
        <v>5.66</v>
      </c>
      <c r="P156" s="219">
        <v>5.66</v>
      </c>
      <c r="Q156" s="219">
        <v>5.66</v>
      </c>
      <c r="R156" s="219">
        <v>5.66</v>
      </c>
      <c r="S156" s="219">
        <v>5.66</v>
      </c>
      <c r="T156" s="219">
        <v>5.66</v>
      </c>
      <c r="U156" s="219">
        <v>5.66</v>
      </c>
      <c r="V156" s="219">
        <v>5.66</v>
      </c>
      <c r="W156" s="219">
        <v>5.66</v>
      </c>
      <c r="X156" s="219">
        <v>5.66</v>
      </c>
      <c r="Y156" s="219">
        <v>5.66</v>
      </c>
      <c r="Z156" s="219">
        <v>0</v>
      </c>
      <c r="AA156" s="219">
        <v>0</v>
      </c>
      <c r="AB156" s="219">
        <v>0</v>
      </c>
      <c r="AC156" s="219">
        <v>0</v>
      </c>
      <c r="AD156" s="219">
        <v>0</v>
      </c>
      <c r="AE156" s="219">
        <v>0</v>
      </c>
      <c r="AF156" s="219">
        <v>0</v>
      </c>
      <c r="AG156" s="219">
        <v>0</v>
      </c>
      <c r="AH156" s="219">
        <v>0</v>
      </c>
      <c r="AI156" s="219">
        <v>0</v>
      </c>
      <c r="AJ156" s="219">
        <v>0</v>
      </c>
      <c r="AK156" s="219">
        <v>0</v>
      </c>
      <c r="AL156" s="229">
        <v>4320</v>
      </c>
      <c r="AM156" s="219">
        <f t="shared" si="84"/>
        <v>0</v>
      </c>
      <c r="AN156" s="229">
        <v>2880</v>
      </c>
      <c r="AO156" s="221">
        <f t="shared" si="85"/>
        <v>0</v>
      </c>
      <c r="AP156" s="222">
        <v>1440</v>
      </c>
      <c r="AQ156" s="221">
        <f t="shared" si="86"/>
        <v>0</v>
      </c>
      <c r="AR156" s="222">
        <v>2880</v>
      </c>
      <c r="AS156" s="58">
        <f t="shared" si="87"/>
        <v>0</v>
      </c>
      <c r="AT156" s="222">
        <v>4320</v>
      </c>
      <c r="AU156" s="58">
        <f t="shared" si="88"/>
        <v>0</v>
      </c>
      <c r="AV156" s="222">
        <v>1440</v>
      </c>
      <c r="AW156" s="58">
        <f t="shared" si="89"/>
        <v>0</v>
      </c>
      <c r="AX156" s="251" t="s">
        <v>573</v>
      </c>
      <c r="AY156" s="58">
        <f t="shared" si="90"/>
        <v>0</v>
      </c>
      <c r="AZ156" s="222">
        <v>2880</v>
      </c>
      <c r="BA156" s="58">
        <f t="shared" si="79"/>
        <v>0</v>
      </c>
      <c r="BB156" s="222">
        <v>4320</v>
      </c>
      <c r="BC156" s="58">
        <f t="shared" si="80"/>
        <v>0</v>
      </c>
      <c r="BD156" s="222">
        <v>1440</v>
      </c>
      <c r="BE156" s="58">
        <f t="shared" si="81"/>
        <v>0</v>
      </c>
      <c r="BF156" s="222">
        <v>2880</v>
      </c>
      <c r="BG156" s="58">
        <f t="shared" si="82"/>
        <v>0</v>
      </c>
      <c r="BH156" s="223">
        <v>7200</v>
      </c>
      <c r="BI156" s="58">
        <f t="shared" si="83"/>
        <v>0</v>
      </c>
      <c r="BJ156" s="220">
        <f t="shared" si="91"/>
        <v>36000</v>
      </c>
      <c r="BK156" s="58"/>
      <c r="BL156" s="58" t="s">
        <v>1024</v>
      </c>
      <c r="BM156" s="220" t="s">
        <v>1388</v>
      </c>
      <c r="BN156" s="213" t="s">
        <v>754</v>
      </c>
      <c r="BO156" s="58" t="s">
        <v>1265</v>
      </c>
      <c r="BP156" s="199">
        <v>45596</v>
      </c>
      <c r="BQ156" s="2" t="s">
        <v>1386</v>
      </c>
    </row>
    <row r="157" spans="1:69" ht="15.75" customHeight="1">
      <c r="A157" s="213" t="s">
        <v>788</v>
      </c>
      <c r="B157" s="58" t="s">
        <v>199</v>
      </c>
      <c r="C157" s="58" t="s">
        <v>752</v>
      </c>
      <c r="D157" s="214" t="s">
        <v>789</v>
      </c>
      <c r="E157" s="214" t="s">
        <v>789</v>
      </c>
      <c r="F157" s="215" t="s">
        <v>186</v>
      </c>
      <c r="G157" s="216">
        <v>2020</v>
      </c>
      <c r="H157" s="218" t="s">
        <v>1319</v>
      </c>
      <c r="I157" s="218" t="s">
        <v>201</v>
      </c>
      <c r="J157" s="217" t="s">
        <v>890</v>
      </c>
      <c r="K157" s="213" t="s">
        <v>221</v>
      </c>
      <c r="L157" s="213" t="s">
        <v>192</v>
      </c>
      <c r="M157" s="219" t="s">
        <v>1390</v>
      </c>
      <c r="N157" s="219">
        <v>5.86</v>
      </c>
      <c r="O157" s="219">
        <v>5.86</v>
      </c>
      <c r="P157" s="219">
        <v>5.86</v>
      </c>
      <c r="Q157" s="219">
        <v>5.86</v>
      </c>
      <c r="R157" s="219">
        <v>5.86</v>
      </c>
      <c r="S157" s="219">
        <v>5.86</v>
      </c>
      <c r="T157" s="219">
        <v>5.86</v>
      </c>
      <c r="U157" s="219">
        <v>5.86</v>
      </c>
      <c r="V157" s="219">
        <v>5.86</v>
      </c>
      <c r="W157" s="219">
        <v>5.86</v>
      </c>
      <c r="X157" s="219">
        <v>5.86</v>
      </c>
      <c r="Y157" s="219">
        <v>5.86</v>
      </c>
      <c r="Z157" s="219">
        <v>0</v>
      </c>
      <c r="AA157" s="219">
        <v>0</v>
      </c>
      <c r="AB157" s="219">
        <v>0</v>
      </c>
      <c r="AC157" s="219">
        <v>0</v>
      </c>
      <c r="AD157" s="219">
        <v>0</v>
      </c>
      <c r="AE157" s="219">
        <v>0</v>
      </c>
      <c r="AF157" s="219">
        <v>0</v>
      </c>
      <c r="AG157" s="219">
        <v>0</v>
      </c>
      <c r="AH157" s="219">
        <v>0</v>
      </c>
      <c r="AI157" s="219">
        <v>0</v>
      </c>
      <c r="AJ157" s="219">
        <v>0</v>
      </c>
      <c r="AK157" s="219">
        <v>0</v>
      </c>
      <c r="AL157" s="229">
        <v>2880</v>
      </c>
      <c r="AM157" s="219">
        <f t="shared" si="84"/>
        <v>0</v>
      </c>
      <c r="AN157" s="229">
        <v>1440</v>
      </c>
      <c r="AO157" s="221">
        <f t="shared" si="85"/>
        <v>0</v>
      </c>
      <c r="AP157" s="222">
        <v>2880</v>
      </c>
      <c r="AQ157" s="221">
        <f t="shared" si="86"/>
        <v>0</v>
      </c>
      <c r="AR157" s="222" t="s">
        <v>573</v>
      </c>
      <c r="AS157" s="58">
        <f t="shared" si="87"/>
        <v>0</v>
      </c>
      <c r="AT157" s="222">
        <v>1440</v>
      </c>
      <c r="AU157" s="58">
        <f t="shared" si="88"/>
        <v>0</v>
      </c>
      <c r="AV157" s="222">
        <v>1440</v>
      </c>
      <c r="AW157" s="58">
        <f t="shared" si="89"/>
        <v>0</v>
      </c>
      <c r="AX157" s="251">
        <v>1440</v>
      </c>
      <c r="AY157" s="58">
        <f t="shared" si="90"/>
        <v>0</v>
      </c>
      <c r="AZ157" s="222">
        <v>1440</v>
      </c>
      <c r="BA157" s="58">
        <f t="shared" si="79"/>
        <v>0</v>
      </c>
      <c r="BB157" s="222">
        <v>1440</v>
      </c>
      <c r="BC157" s="58">
        <f t="shared" si="80"/>
        <v>0</v>
      </c>
      <c r="BD157" s="222" t="s">
        <v>573</v>
      </c>
      <c r="BE157" s="58">
        <f t="shared" si="81"/>
        <v>0</v>
      </c>
      <c r="BF157" s="222" t="s">
        <v>573</v>
      </c>
      <c r="BG157" s="58">
        <f t="shared" si="82"/>
        <v>0</v>
      </c>
      <c r="BH157" s="223" t="s">
        <v>573</v>
      </c>
      <c r="BI157" s="58">
        <f t="shared" si="83"/>
        <v>0</v>
      </c>
      <c r="BJ157" s="220">
        <f t="shared" si="91"/>
        <v>14400</v>
      </c>
      <c r="BK157" s="58"/>
      <c r="BL157" s="58" t="s">
        <v>1152</v>
      </c>
      <c r="BM157" s="220" t="s">
        <v>1390</v>
      </c>
      <c r="BN157" s="213" t="s">
        <v>763</v>
      </c>
      <c r="BO157" s="58" t="s">
        <v>1151</v>
      </c>
      <c r="BP157" s="199">
        <v>45596</v>
      </c>
      <c r="BQ157" s="2" t="s">
        <v>1386</v>
      </c>
    </row>
    <row r="158" spans="1:69" ht="15.75" customHeight="1">
      <c r="A158" s="213" t="s">
        <v>788</v>
      </c>
      <c r="B158" s="58" t="s">
        <v>199</v>
      </c>
      <c r="C158" s="58" t="s">
        <v>752</v>
      </c>
      <c r="D158" s="214" t="s">
        <v>789</v>
      </c>
      <c r="E158" s="214" t="s">
        <v>789</v>
      </c>
      <c r="F158" s="215" t="s">
        <v>186</v>
      </c>
      <c r="G158" s="216">
        <v>2020</v>
      </c>
      <c r="H158" s="218" t="s">
        <v>1319</v>
      </c>
      <c r="I158" s="218" t="s">
        <v>201</v>
      </c>
      <c r="J158" s="217" t="s">
        <v>890</v>
      </c>
      <c r="K158" s="213" t="s">
        <v>221</v>
      </c>
      <c r="L158" s="213" t="s">
        <v>192</v>
      </c>
      <c r="M158" s="219" t="s">
        <v>1391</v>
      </c>
      <c r="N158" s="219">
        <v>5.56</v>
      </c>
      <c r="O158" s="219">
        <v>5.56</v>
      </c>
      <c r="P158" s="219">
        <v>5.56</v>
      </c>
      <c r="Q158" s="219">
        <v>5.56</v>
      </c>
      <c r="R158" s="219">
        <v>5.56</v>
      </c>
      <c r="S158" s="219">
        <v>5.56</v>
      </c>
      <c r="T158" s="219">
        <v>5.56</v>
      </c>
      <c r="U158" s="219">
        <v>5.56</v>
      </c>
      <c r="V158" s="219">
        <v>5.56</v>
      </c>
      <c r="W158" s="219">
        <v>5.56</v>
      </c>
      <c r="X158" s="219">
        <v>5.56</v>
      </c>
      <c r="Y158" s="219">
        <v>5.56</v>
      </c>
      <c r="Z158" s="219">
        <v>0</v>
      </c>
      <c r="AA158" s="219">
        <v>0</v>
      </c>
      <c r="AB158" s="219">
        <v>0</v>
      </c>
      <c r="AC158" s="219">
        <v>0</v>
      </c>
      <c r="AD158" s="219">
        <v>0</v>
      </c>
      <c r="AE158" s="219">
        <v>0</v>
      </c>
      <c r="AF158" s="219">
        <v>0</v>
      </c>
      <c r="AG158" s="219">
        <v>0</v>
      </c>
      <c r="AH158" s="219">
        <v>0</v>
      </c>
      <c r="AI158" s="219">
        <v>0</v>
      </c>
      <c r="AJ158" s="219">
        <v>0</v>
      </c>
      <c r="AK158" s="219">
        <v>0</v>
      </c>
      <c r="AL158" s="229" t="s">
        <v>573</v>
      </c>
      <c r="AM158" s="219">
        <f t="shared" si="84"/>
        <v>0</v>
      </c>
      <c r="AN158" s="229" t="s">
        <v>573</v>
      </c>
      <c r="AO158" s="221">
        <f t="shared" si="85"/>
        <v>0</v>
      </c>
      <c r="AP158" s="222" t="s">
        <v>573</v>
      </c>
      <c r="AQ158" s="221">
        <f t="shared" si="86"/>
        <v>0</v>
      </c>
      <c r="AR158" s="222" t="s">
        <v>573</v>
      </c>
      <c r="AS158" s="58">
        <f t="shared" si="87"/>
        <v>0</v>
      </c>
      <c r="AT158" s="222" t="s">
        <v>573</v>
      </c>
      <c r="AU158" s="58">
        <f t="shared" si="88"/>
        <v>0</v>
      </c>
      <c r="AV158" s="222" t="s">
        <v>573</v>
      </c>
      <c r="AW158" s="58">
        <f t="shared" si="89"/>
        <v>0</v>
      </c>
      <c r="AX158" s="251" t="s">
        <v>573</v>
      </c>
      <c r="AY158" s="58">
        <f t="shared" si="90"/>
        <v>0</v>
      </c>
      <c r="AZ158" s="222">
        <v>1440</v>
      </c>
      <c r="BA158" s="58">
        <f t="shared" si="79"/>
        <v>0</v>
      </c>
      <c r="BB158" s="222" t="s">
        <v>573</v>
      </c>
      <c r="BC158" s="58">
        <f t="shared" si="80"/>
        <v>0</v>
      </c>
      <c r="BD158" s="222">
        <v>2880</v>
      </c>
      <c r="BE158" s="58">
        <f t="shared" si="81"/>
        <v>0</v>
      </c>
      <c r="BF158" s="222">
        <v>1440</v>
      </c>
      <c r="BG158" s="58">
        <f t="shared" si="82"/>
        <v>0</v>
      </c>
      <c r="BH158" s="223" t="s">
        <v>573</v>
      </c>
      <c r="BI158" s="58">
        <f t="shared" si="83"/>
        <v>0</v>
      </c>
      <c r="BJ158" s="220">
        <f t="shared" si="91"/>
        <v>5760</v>
      </c>
      <c r="BK158" s="58"/>
      <c r="BL158" s="58" t="s">
        <v>1025</v>
      </c>
      <c r="BM158" s="220" t="s">
        <v>1391</v>
      </c>
      <c r="BN158" s="213" t="s">
        <v>197</v>
      </c>
      <c r="BO158" s="58" t="s">
        <v>1266</v>
      </c>
      <c r="BP158" s="199">
        <v>45596</v>
      </c>
      <c r="BQ158" s="2" t="s">
        <v>1386</v>
      </c>
    </row>
    <row r="159" spans="1:69" ht="15.75" customHeight="1">
      <c r="A159" s="213" t="s">
        <v>788</v>
      </c>
      <c r="B159" s="58" t="s">
        <v>199</v>
      </c>
      <c r="C159" s="58" t="s">
        <v>752</v>
      </c>
      <c r="D159" s="214" t="s">
        <v>789</v>
      </c>
      <c r="E159" s="214" t="s">
        <v>789</v>
      </c>
      <c r="F159" s="215" t="s">
        <v>186</v>
      </c>
      <c r="G159" s="216">
        <v>2020</v>
      </c>
      <c r="H159" s="218" t="s">
        <v>200</v>
      </c>
      <c r="I159" s="218" t="s">
        <v>201</v>
      </c>
      <c r="J159" s="217" t="s">
        <v>890</v>
      </c>
      <c r="K159" s="213" t="s">
        <v>753</v>
      </c>
      <c r="L159" s="213" t="s">
        <v>192</v>
      </c>
      <c r="M159" s="219" t="s">
        <v>1388</v>
      </c>
      <c r="N159" s="219">
        <v>8.8699999999999992</v>
      </c>
      <c r="O159" s="219">
        <v>8.8699999999999992</v>
      </c>
      <c r="P159" s="219">
        <v>8.8699999999999992</v>
      </c>
      <c r="Q159" s="219">
        <v>8.8699999999999992</v>
      </c>
      <c r="R159" s="219">
        <v>8.8699999999999992</v>
      </c>
      <c r="S159" s="219">
        <v>8.8699999999999992</v>
      </c>
      <c r="T159" s="219">
        <v>8.8699999999999992</v>
      </c>
      <c r="U159" s="219">
        <v>8.8699999999999992</v>
      </c>
      <c r="V159" s="219">
        <v>8.8699999999999992</v>
      </c>
      <c r="W159" s="219">
        <v>8.8699999999999992</v>
      </c>
      <c r="X159" s="219">
        <v>8.8699999999999992</v>
      </c>
      <c r="Y159" s="219">
        <v>8.8699999999999992</v>
      </c>
      <c r="Z159" s="219">
        <v>0.18</v>
      </c>
      <c r="AA159" s="219">
        <v>0.18</v>
      </c>
      <c r="AB159" s="219">
        <v>0.18</v>
      </c>
      <c r="AC159" s="219">
        <v>0.18</v>
      </c>
      <c r="AD159" s="219">
        <v>0.18</v>
      </c>
      <c r="AE159" s="219">
        <v>0.18</v>
      </c>
      <c r="AF159" s="219">
        <v>0.18</v>
      </c>
      <c r="AG159" s="219">
        <v>0.18</v>
      </c>
      <c r="AH159" s="219">
        <v>0.18</v>
      </c>
      <c r="AI159" s="219">
        <v>0.18</v>
      </c>
      <c r="AJ159" s="219">
        <v>0.18</v>
      </c>
      <c r="AK159" s="219">
        <v>0.18</v>
      </c>
      <c r="AL159" s="229">
        <v>1280</v>
      </c>
      <c r="AM159" s="219">
        <f t="shared" si="84"/>
        <v>230.39999999999998</v>
      </c>
      <c r="AN159" s="229">
        <v>5120</v>
      </c>
      <c r="AO159" s="221">
        <f t="shared" si="85"/>
        <v>921.59999999999991</v>
      </c>
      <c r="AP159" s="222" t="s">
        <v>573</v>
      </c>
      <c r="AQ159" s="221">
        <f t="shared" si="86"/>
        <v>0</v>
      </c>
      <c r="AR159" s="222" t="s">
        <v>573</v>
      </c>
      <c r="AS159" s="58">
        <f t="shared" si="87"/>
        <v>0</v>
      </c>
      <c r="AT159" s="222">
        <v>1280</v>
      </c>
      <c r="AU159" s="58">
        <f t="shared" si="88"/>
        <v>230.39999999999998</v>
      </c>
      <c r="AV159" s="222">
        <v>5120</v>
      </c>
      <c r="AW159" s="58">
        <f t="shared" si="89"/>
        <v>921.59999999999991</v>
      </c>
      <c r="AX159" s="251" t="s">
        <v>573</v>
      </c>
      <c r="AY159" s="58">
        <f t="shared" si="90"/>
        <v>0</v>
      </c>
      <c r="AZ159" s="222" t="s">
        <v>573</v>
      </c>
      <c r="BA159" s="58">
        <f t="shared" si="79"/>
        <v>0</v>
      </c>
      <c r="BB159" s="222">
        <v>7680</v>
      </c>
      <c r="BC159" s="58">
        <f t="shared" si="80"/>
        <v>1382.3999999999999</v>
      </c>
      <c r="BD159" s="222" t="s">
        <v>573</v>
      </c>
      <c r="BE159" s="58">
        <f t="shared" si="81"/>
        <v>0</v>
      </c>
      <c r="BF159" s="222">
        <v>3840</v>
      </c>
      <c r="BG159" s="58">
        <f t="shared" si="82"/>
        <v>691.19999999999993</v>
      </c>
      <c r="BH159" s="223" t="s">
        <v>573</v>
      </c>
      <c r="BI159" s="58">
        <f t="shared" si="83"/>
        <v>0</v>
      </c>
      <c r="BJ159" s="220">
        <f t="shared" si="91"/>
        <v>24320</v>
      </c>
      <c r="BK159" s="58"/>
      <c r="BL159" s="58" t="s">
        <v>1026</v>
      </c>
      <c r="BM159" s="220" t="s">
        <v>1388</v>
      </c>
      <c r="BN159" s="213" t="s">
        <v>1310</v>
      </c>
      <c r="BO159" s="58" t="s">
        <v>1267</v>
      </c>
      <c r="BP159" s="199">
        <v>45961</v>
      </c>
      <c r="BQ159" s="2" t="s">
        <v>1386</v>
      </c>
    </row>
    <row r="160" spans="1:69" ht="15.75" customHeight="1">
      <c r="A160" s="213" t="s">
        <v>788</v>
      </c>
      <c r="B160" s="58" t="s">
        <v>199</v>
      </c>
      <c r="C160" s="58" t="s">
        <v>752</v>
      </c>
      <c r="D160" s="214" t="s">
        <v>789</v>
      </c>
      <c r="E160" s="214" t="s">
        <v>789</v>
      </c>
      <c r="F160" s="215" t="s">
        <v>186</v>
      </c>
      <c r="G160" s="216">
        <v>2020</v>
      </c>
      <c r="H160" s="218" t="s">
        <v>200</v>
      </c>
      <c r="I160" s="218" t="s">
        <v>201</v>
      </c>
      <c r="J160" s="217" t="s">
        <v>890</v>
      </c>
      <c r="K160" s="213" t="s">
        <v>753</v>
      </c>
      <c r="L160" s="213" t="s">
        <v>192</v>
      </c>
      <c r="M160" s="219" t="s">
        <v>1388</v>
      </c>
      <c r="N160" s="219">
        <v>8.8699999999999992</v>
      </c>
      <c r="O160" s="219">
        <v>8.8699999999999992</v>
      </c>
      <c r="P160" s="219">
        <v>8.8699999999999992</v>
      </c>
      <c r="Q160" s="219">
        <v>8.8699999999999992</v>
      </c>
      <c r="R160" s="219">
        <v>8.8699999999999992</v>
      </c>
      <c r="S160" s="219">
        <v>8.8699999999999992</v>
      </c>
      <c r="T160" s="219">
        <v>8.8699999999999992</v>
      </c>
      <c r="U160" s="219">
        <v>8.8699999999999992</v>
      </c>
      <c r="V160" s="219">
        <v>8.8699999999999992</v>
      </c>
      <c r="W160" s="219">
        <v>8.8699999999999992</v>
      </c>
      <c r="X160" s="219">
        <v>8.8699999999999992</v>
      </c>
      <c r="Y160" s="219">
        <v>8.8699999999999992</v>
      </c>
      <c r="Z160" s="219">
        <v>0.18</v>
      </c>
      <c r="AA160" s="219">
        <v>0.18</v>
      </c>
      <c r="AB160" s="219">
        <v>0.18</v>
      </c>
      <c r="AC160" s="219">
        <v>0.18</v>
      </c>
      <c r="AD160" s="219">
        <v>0.18</v>
      </c>
      <c r="AE160" s="219">
        <v>0.18</v>
      </c>
      <c r="AF160" s="219">
        <v>0.18</v>
      </c>
      <c r="AG160" s="219">
        <v>0.18</v>
      </c>
      <c r="AH160" s="219">
        <v>0.18</v>
      </c>
      <c r="AI160" s="219">
        <v>0.18</v>
      </c>
      <c r="AJ160" s="219">
        <v>0.18</v>
      </c>
      <c r="AK160" s="219">
        <v>0.18</v>
      </c>
      <c r="AL160" s="229">
        <v>1280</v>
      </c>
      <c r="AM160" s="219">
        <f t="shared" si="84"/>
        <v>230.39999999999998</v>
      </c>
      <c r="AN160" s="229">
        <v>12800</v>
      </c>
      <c r="AO160" s="221">
        <f t="shared" si="85"/>
        <v>2304</v>
      </c>
      <c r="AP160" s="222">
        <v>7680</v>
      </c>
      <c r="AQ160" s="221">
        <f t="shared" si="86"/>
        <v>1382.3999999999999</v>
      </c>
      <c r="AR160" s="222">
        <v>3840</v>
      </c>
      <c r="AS160" s="58">
        <f t="shared" si="87"/>
        <v>691.19999999999993</v>
      </c>
      <c r="AT160" s="222" t="s">
        <v>573</v>
      </c>
      <c r="AU160" s="58">
        <f t="shared" si="88"/>
        <v>0</v>
      </c>
      <c r="AV160" s="222" t="s">
        <v>573</v>
      </c>
      <c r="AW160" s="58">
        <f t="shared" si="89"/>
        <v>0</v>
      </c>
      <c r="AX160" s="251" t="s">
        <v>573</v>
      </c>
      <c r="AY160" s="58">
        <f t="shared" si="90"/>
        <v>0</v>
      </c>
      <c r="AZ160" s="222" t="s">
        <v>573</v>
      </c>
      <c r="BA160" s="58">
        <f t="shared" si="79"/>
        <v>0</v>
      </c>
      <c r="BB160" s="222" t="s">
        <v>573</v>
      </c>
      <c r="BC160" s="58">
        <f t="shared" si="80"/>
        <v>0</v>
      </c>
      <c r="BD160" s="222">
        <v>2560</v>
      </c>
      <c r="BE160" s="58">
        <f t="shared" si="81"/>
        <v>460.79999999999995</v>
      </c>
      <c r="BF160" s="222">
        <v>10240</v>
      </c>
      <c r="BG160" s="58">
        <f t="shared" si="82"/>
        <v>1843.1999999999998</v>
      </c>
      <c r="BH160" s="223" t="s">
        <v>573</v>
      </c>
      <c r="BI160" s="58">
        <f t="shared" si="83"/>
        <v>0</v>
      </c>
      <c r="BJ160" s="220">
        <f t="shared" si="91"/>
        <v>38400</v>
      </c>
      <c r="BK160" s="58"/>
      <c r="BL160" s="58" t="s">
        <v>1027</v>
      </c>
      <c r="BM160" s="220" t="s">
        <v>1388</v>
      </c>
      <c r="BN160" s="213" t="s">
        <v>1310</v>
      </c>
      <c r="BO160" s="58" t="s">
        <v>1268</v>
      </c>
      <c r="BP160" s="199">
        <v>45961</v>
      </c>
      <c r="BQ160" s="2" t="s">
        <v>1386</v>
      </c>
    </row>
    <row r="161" spans="1:69" ht="15.75" customHeight="1">
      <c r="A161" s="213" t="s">
        <v>788</v>
      </c>
      <c r="B161" s="58" t="s">
        <v>199</v>
      </c>
      <c r="C161" s="58" t="s">
        <v>752</v>
      </c>
      <c r="D161" s="214" t="s">
        <v>789</v>
      </c>
      <c r="E161" s="214" t="s">
        <v>789</v>
      </c>
      <c r="F161" s="215" t="s">
        <v>186</v>
      </c>
      <c r="G161" s="216">
        <v>2020</v>
      </c>
      <c r="H161" s="218" t="s">
        <v>200</v>
      </c>
      <c r="I161" s="218" t="s">
        <v>201</v>
      </c>
      <c r="J161" s="217" t="s">
        <v>890</v>
      </c>
      <c r="K161" s="213" t="s">
        <v>753</v>
      </c>
      <c r="L161" s="213" t="s">
        <v>192</v>
      </c>
      <c r="M161" s="219" t="s">
        <v>1388</v>
      </c>
      <c r="N161" s="219">
        <v>8.85</v>
      </c>
      <c r="O161" s="219">
        <v>8.85</v>
      </c>
      <c r="P161" s="219">
        <v>8.85</v>
      </c>
      <c r="Q161" s="219">
        <v>8.85</v>
      </c>
      <c r="R161" s="219">
        <v>8.85</v>
      </c>
      <c r="S161" s="219">
        <v>8.85</v>
      </c>
      <c r="T161" s="219">
        <v>8.85</v>
      </c>
      <c r="U161" s="219">
        <v>8.85</v>
      </c>
      <c r="V161" s="219">
        <v>8.85</v>
      </c>
      <c r="W161" s="219">
        <v>8.85</v>
      </c>
      <c r="X161" s="219">
        <v>8.85</v>
      </c>
      <c r="Y161" s="219">
        <v>8.85</v>
      </c>
      <c r="Z161" s="219">
        <v>0.18</v>
      </c>
      <c r="AA161" s="219">
        <v>0.18</v>
      </c>
      <c r="AB161" s="219">
        <v>0.18</v>
      </c>
      <c r="AC161" s="219">
        <v>0.18</v>
      </c>
      <c r="AD161" s="219">
        <v>0.18</v>
      </c>
      <c r="AE161" s="219">
        <v>0.18</v>
      </c>
      <c r="AF161" s="219">
        <v>0.18</v>
      </c>
      <c r="AG161" s="219">
        <v>0.18</v>
      </c>
      <c r="AH161" s="219">
        <v>0.18</v>
      </c>
      <c r="AI161" s="219">
        <v>0.18</v>
      </c>
      <c r="AJ161" s="219">
        <v>0.18</v>
      </c>
      <c r="AK161" s="219">
        <v>0.18</v>
      </c>
      <c r="AL161" s="229">
        <v>7680</v>
      </c>
      <c r="AM161" s="219">
        <f t="shared" si="84"/>
        <v>1382.3999999999999</v>
      </c>
      <c r="AN161" s="229">
        <v>8960</v>
      </c>
      <c r="AO161" s="221">
        <f t="shared" si="85"/>
        <v>1612.8</v>
      </c>
      <c r="AP161" s="222">
        <v>8960</v>
      </c>
      <c r="AQ161" s="221">
        <f t="shared" si="86"/>
        <v>1612.8</v>
      </c>
      <c r="AR161" s="222">
        <v>2560</v>
      </c>
      <c r="AS161" s="58">
        <f t="shared" si="87"/>
        <v>460.79999999999995</v>
      </c>
      <c r="AT161" s="222">
        <v>5120</v>
      </c>
      <c r="AU161" s="58">
        <f t="shared" si="88"/>
        <v>921.59999999999991</v>
      </c>
      <c r="AV161" s="222">
        <v>8960</v>
      </c>
      <c r="AW161" s="58">
        <f t="shared" si="89"/>
        <v>1612.8</v>
      </c>
      <c r="AX161" s="251">
        <v>5120</v>
      </c>
      <c r="AY161" s="58">
        <f t="shared" si="90"/>
        <v>921.59999999999991</v>
      </c>
      <c r="AZ161" s="222">
        <v>5120</v>
      </c>
      <c r="BA161" s="58">
        <f t="shared" si="79"/>
        <v>921.59999999999991</v>
      </c>
      <c r="BB161" s="222">
        <v>16640</v>
      </c>
      <c r="BC161" s="58">
        <f t="shared" si="80"/>
        <v>2995.2</v>
      </c>
      <c r="BD161" s="222">
        <v>5120</v>
      </c>
      <c r="BE161" s="58">
        <f t="shared" si="81"/>
        <v>921.59999999999991</v>
      </c>
      <c r="BF161" s="222">
        <v>11520</v>
      </c>
      <c r="BG161" s="58">
        <f t="shared" si="82"/>
        <v>2073.6</v>
      </c>
      <c r="BH161" s="223">
        <v>15360</v>
      </c>
      <c r="BI161" s="58">
        <f t="shared" si="83"/>
        <v>2764.7999999999997</v>
      </c>
      <c r="BJ161" s="220">
        <f t="shared" si="91"/>
        <v>101120</v>
      </c>
      <c r="BK161" s="58"/>
      <c r="BL161" s="58" t="s">
        <v>1028</v>
      </c>
      <c r="BM161" s="220" t="s">
        <v>1388</v>
      </c>
      <c r="BN161" s="213" t="s">
        <v>754</v>
      </c>
      <c r="BO161" s="58" t="s">
        <v>1269</v>
      </c>
      <c r="BP161" s="199">
        <v>45961</v>
      </c>
      <c r="BQ161" s="2" t="s">
        <v>1386</v>
      </c>
    </row>
    <row r="162" spans="1:69" ht="15.75" customHeight="1">
      <c r="A162" s="213" t="s">
        <v>788</v>
      </c>
      <c r="B162" s="58" t="s">
        <v>199</v>
      </c>
      <c r="C162" s="58" t="s">
        <v>752</v>
      </c>
      <c r="D162" s="214" t="s">
        <v>789</v>
      </c>
      <c r="E162" s="214" t="s">
        <v>789</v>
      </c>
      <c r="F162" s="215" t="s">
        <v>186</v>
      </c>
      <c r="G162" s="216">
        <v>2020</v>
      </c>
      <c r="H162" s="218" t="s">
        <v>200</v>
      </c>
      <c r="I162" s="218" t="s">
        <v>201</v>
      </c>
      <c r="J162" s="217" t="s">
        <v>890</v>
      </c>
      <c r="K162" s="213" t="s">
        <v>753</v>
      </c>
      <c r="L162" s="213" t="s">
        <v>192</v>
      </c>
      <c r="M162" s="219" t="s">
        <v>1388</v>
      </c>
      <c r="N162" s="219">
        <v>8.85</v>
      </c>
      <c r="O162" s="219">
        <v>8.85</v>
      </c>
      <c r="P162" s="219">
        <v>8.85</v>
      </c>
      <c r="Q162" s="219">
        <v>8.85</v>
      </c>
      <c r="R162" s="219">
        <v>8.85</v>
      </c>
      <c r="S162" s="219">
        <v>8.85</v>
      </c>
      <c r="T162" s="219">
        <v>8.85</v>
      </c>
      <c r="U162" s="219">
        <v>8.85</v>
      </c>
      <c r="V162" s="219">
        <v>8.85</v>
      </c>
      <c r="W162" s="219">
        <v>8.85</v>
      </c>
      <c r="X162" s="219">
        <v>8.85</v>
      </c>
      <c r="Y162" s="219">
        <v>8.85</v>
      </c>
      <c r="Z162" s="219">
        <v>0.18</v>
      </c>
      <c r="AA162" s="219">
        <v>0.18</v>
      </c>
      <c r="AB162" s="219">
        <v>0.18</v>
      </c>
      <c r="AC162" s="219">
        <v>0.18</v>
      </c>
      <c r="AD162" s="219">
        <v>0.18</v>
      </c>
      <c r="AE162" s="219">
        <v>0.18</v>
      </c>
      <c r="AF162" s="219">
        <v>0.18</v>
      </c>
      <c r="AG162" s="219">
        <v>0.18</v>
      </c>
      <c r="AH162" s="219">
        <v>0.18</v>
      </c>
      <c r="AI162" s="219">
        <v>0.18</v>
      </c>
      <c r="AJ162" s="219">
        <v>0.18</v>
      </c>
      <c r="AK162" s="219">
        <v>0.18</v>
      </c>
      <c r="AL162" s="229" t="s">
        <v>573</v>
      </c>
      <c r="AM162" s="219">
        <f t="shared" si="84"/>
        <v>0</v>
      </c>
      <c r="AN162" s="229" t="s">
        <v>573</v>
      </c>
      <c r="AO162" s="221">
        <f t="shared" si="85"/>
        <v>0</v>
      </c>
      <c r="AP162" s="222" t="s">
        <v>573</v>
      </c>
      <c r="AQ162" s="221">
        <f t="shared" si="86"/>
        <v>0</v>
      </c>
      <c r="AR162" s="222" t="s">
        <v>573</v>
      </c>
      <c r="AS162" s="58">
        <f t="shared" si="87"/>
        <v>0</v>
      </c>
      <c r="AT162" s="222" t="s">
        <v>573</v>
      </c>
      <c r="AU162" s="58">
        <f t="shared" si="88"/>
        <v>0</v>
      </c>
      <c r="AV162" s="222" t="s">
        <v>573</v>
      </c>
      <c r="AW162" s="58">
        <f t="shared" si="89"/>
        <v>0</v>
      </c>
      <c r="AX162" s="251" t="s">
        <v>573</v>
      </c>
      <c r="AY162" s="58">
        <f t="shared" si="90"/>
        <v>0</v>
      </c>
      <c r="AZ162" s="222" t="s">
        <v>573</v>
      </c>
      <c r="BA162" s="58">
        <f t="shared" si="79"/>
        <v>0</v>
      </c>
      <c r="BB162" s="222" t="s">
        <v>573</v>
      </c>
      <c r="BC162" s="58">
        <f t="shared" si="80"/>
        <v>0</v>
      </c>
      <c r="BD162" s="222" t="s">
        <v>573</v>
      </c>
      <c r="BE162" s="58">
        <f t="shared" si="81"/>
        <v>0</v>
      </c>
      <c r="BF162" s="222" t="s">
        <v>573</v>
      </c>
      <c r="BG162" s="58">
        <f t="shared" si="82"/>
        <v>0</v>
      </c>
      <c r="BH162" s="223" t="s">
        <v>573</v>
      </c>
      <c r="BI162" s="58">
        <f t="shared" si="83"/>
        <v>0</v>
      </c>
      <c r="BJ162" s="220">
        <f t="shared" si="91"/>
        <v>0</v>
      </c>
      <c r="BK162" s="58"/>
      <c r="BL162" s="58" t="s">
        <v>1029</v>
      </c>
      <c r="BM162" s="220" t="s">
        <v>1388</v>
      </c>
      <c r="BN162" s="213" t="s">
        <v>754</v>
      </c>
      <c r="BO162" s="58" t="s">
        <v>1270</v>
      </c>
      <c r="BP162" s="199">
        <v>45961</v>
      </c>
      <c r="BQ162" s="2" t="s">
        <v>1386</v>
      </c>
    </row>
    <row r="163" spans="1:69" ht="15.75" customHeight="1">
      <c r="A163" s="213" t="s">
        <v>788</v>
      </c>
      <c r="B163" s="58" t="s">
        <v>199</v>
      </c>
      <c r="C163" s="58" t="s">
        <v>752</v>
      </c>
      <c r="D163" s="214" t="s">
        <v>789</v>
      </c>
      <c r="E163" s="214" t="s">
        <v>789</v>
      </c>
      <c r="F163" s="215" t="s">
        <v>186</v>
      </c>
      <c r="G163" s="216">
        <v>2020</v>
      </c>
      <c r="H163" s="218" t="s">
        <v>200</v>
      </c>
      <c r="I163" s="218" t="s">
        <v>201</v>
      </c>
      <c r="J163" s="217" t="s">
        <v>890</v>
      </c>
      <c r="K163" s="213" t="s">
        <v>753</v>
      </c>
      <c r="L163" s="213" t="s">
        <v>192</v>
      </c>
      <c r="M163" s="219" t="s">
        <v>1388</v>
      </c>
      <c r="N163" s="219">
        <v>8.85</v>
      </c>
      <c r="O163" s="219">
        <v>8.85</v>
      </c>
      <c r="P163" s="219">
        <v>8.85</v>
      </c>
      <c r="Q163" s="219">
        <v>8.85</v>
      </c>
      <c r="R163" s="219">
        <v>8.85</v>
      </c>
      <c r="S163" s="219">
        <v>8.85</v>
      </c>
      <c r="T163" s="219">
        <v>8.85</v>
      </c>
      <c r="U163" s="219">
        <v>8.85</v>
      </c>
      <c r="V163" s="219">
        <v>8.85</v>
      </c>
      <c r="W163" s="219">
        <v>8.85</v>
      </c>
      <c r="X163" s="219">
        <v>8.85</v>
      </c>
      <c r="Y163" s="219">
        <v>8.85</v>
      </c>
      <c r="Z163" s="219">
        <v>0.18</v>
      </c>
      <c r="AA163" s="219">
        <v>0.18</v>
      </c>
      <c r="AB163" s="219">
        <v>0.18</v>
      </c>
      <c r="AC163" s="219">
        <v>0.18</v>
      </c>
      <c r="AD163" s="219">
        <v>0.18</v>
      </c>
      <c r="AE163" s="219">
        <v>0.18</v>
      </c>
      <c r="AF163" s="219">
        <v>0.18</v>
      </c>
      <c r="AG163" s="219">
        <v>0.18</v>
      </c>
      <c r="AH163" s="219">
        <v>0.18</v>
      </c>
      <c r="AI163" s="219">
        <v>0.18</v>
      </c>
      <c r="AJ163" s="219">
        <v>0.18</v>
      </c>
      <c r="AK163" s="219">
        <v>0.18</v>
      </c>
      <c r="AL163" s="229">
        <v>16640</v>
      </c>
      <c r="AM163" s="219">
        <f t="shared" si="84"/>
        <v>2995.2</v>
      </c>
      <c r="AN163" s="229">
        <v>6400</v>
      </c>
      <c r="AO163" s="221">
        <f t="shared" si="85"/>
        <v>1152</v>
      </c>
      <c r="AP163" s="222" t="s">
        <v>573</v>
      </c>
      <c r="AQ163" s="221">
        <f t="shared" si="86"/>
        <v>0</v>
      </c>
      <c r="AR163" s="222">
        <v>8960</v>
      </c>
      <c r="AS163" s="58">
        <f t="shared" si="87"/>
        <v>1612.8</v>
      </c>
      <c r="AT163" s="222" t="s">
        <v>573</v>
      </c>
      <c r="AU163" s="58">
        <f t="shared" si="88"/>
        <v>0</v>
      </c>
      <c r="AV163" s="222" t="s">
        <v>573</v>
      </c>
      <c r="AW163" s="58">
        <f t="shared" si="89"/>
        <v>0</v>
      </c>
      <c r="AX163" s="251" t="s">
        <v>573</v>
      </c>
      <c r="AY163" s="58">
        <f t="shared" si="90"/>
        <v>0</v>
      </c>
      <c r="AZ163" s="222">
        <v>19200</v>
      </c>
      <c r="BA163" s="58">
        <f t="shared" si="79"/>
        <v>3456</v>
      </c>
      <c r="BB163" s="222" t="s">
        <v>573</v>
      </c>
      <c r="BC163" s="58">
        <f t="shared" si="80"/>
        <v>0</v>
      </c>
      <c r="BD163" s="222">
        <v>19200</v>
      </c>
      <c r="BE163" s="58">
        <f t="shared" si="81"/>
        <v>3456</v>
      </c>
      <c r="BF163" s="222">
        <v>15360</v>
      </c>
      <c r="BG163" s="58">
        <f t="shared" si="82"/>
        <v>2764.7999999999997</v>
      </c>
      <c r="BH163" s="223">
        <v>3840</v>
      </c>
      <c r="BI163" s="58">
        <f t="shared" si="83"/>
        <v>691.19999999999993</v>
      </c>
      <c r="BJ163" s="220">
        <f t="shared" si="91"/>
        <v>89600</v>
      </c>
      <c r="BK163" s="58"/>
      <c r="BL163" s="58" t="s">
        <v>1030</v>
      </c>
      <c r="BM163" s="220" t="s">
        <v>1388</v>
      </c>
      <c r="BN163" s="213" t="s">
        <v>197</v>
      </c>
      <c r="BO163" s="58" t="s">
        <v>1271</v>
      </c>
      <c r="BP163" s="199">
        <v>45961</v>
      </c>
      <c r="BQ163" s="2" t="s">
        <v>1386</v>
      </c>
    </row>
    <row r="164" spans="1:69" ht="15.75" customHeight="1">
      <c r="A164" s="213" t="s">
        <v>788</v>
      </c>
      <c r="B164" s="58" t="s">
        <v>199</v>
      </c>
      <c r="C164" s="58" t="s">
        <v>752</v>
      </c>
      <c r="D164" s="214" t="s">
        <v>789</v>
      </c>
      <c r="E164" s="214" t="s">
        <v>789</v>
      </c>
      <c r="F164" s="215" t="s">
        <v>186</v>
      </c>
      <c r="G164" s="216">
        <v>2020</v>
      </c>
      <c r="H164" s="218" t="s">
        <v>200</v>
      </c>
      <c r="I164" s="218" t="s">
        <v>201</v>
      </c>
      <c r="J164" s="217" t="s">
        <v>890</v>
      </c>
      <c r="K164" s="213" t="s">
        <v>753</v>
      </c>
      <c r="L164" s="213" t="s">
        <v>192</v>
      </c>
      <c r="M164" s="219" t="s">
        <v>1388</v>
      </c>
      <c r="N164" s="219">
        <v>9</v>
      </c>
      <c r="O164" s="219">
        <v>9</v>
      </c>
      <c r="P164" s="219">
        <v>9</v>
      </c>
      <c r="Q164" s="219">
        <v>9</v>
      </c>
      <c r="R164" s="219">
        <v>9</v>
      </c>
      <c r="S164" s="219">
        <v>9</v>
      </c>
      <c r="T164" s="219">
        <v>9</v>
      </c>
      <c r="U164" s="219">
        <v>9</v>
      </c>
      <c r="V164" s="219">
        <v>9</v>
      </c>
      <c r="W164" s="219">
        <v>9</v>
      </c>
      <c r="X164" s="219">
        <v>9</v>
      </c>
      <c r="Y164" s="219">
        <v>9</v>
      </c>
      <c r="Z164" s="219">
        <v>0.18</v>
      </c>
      <c r="AA164" s="219">
        <v>0.18</v>
      </c>
      <c r="AB164" s="219">
        <v>0.18</v>
      </c>
      <c r="AC164" s="219">
        <v>0.18</v>
      </c>
      <c r="AD164" s="219">
        <v>0.18</v>
      </c>
      <c r="AE164" s="219">
        <v>0.18</v>
      </c>
      <c r="AF164" s="219">
        <v>0.18</v>
      </c>
      <c r="AG164" s="219">
        <v>0.18</v>
      </c>
      <c r="AH164" s="219">
        <v>0.18</v>
      </c>
      <c r="AI164" s="219">
        <v>0.18</v>
      </c>
      <c r="AJ164" s="219">
        <v>0.18</v>
      </c>
      <c r="AK164" s="219">
        <v>0.18</v>
      </c>
      <c r="AL164" s="229" t="s">
        <v>573</v>
      </c>
      <c r="AM164" s="219">
        <f t="shared" si="84"/>
        <v>0</v>
      </c>
      <c r="AN164" s="229" t="s">
        <v>573</v>
      </c>
      <c r="AO164" s="221">
        <f t="shared" si="85"/>
        <v>0</v>
      </c>
      <c r="AP164" s="222" t="s">
        <v>573</v>
      </c>
      <c r="AQ164" s="221">
        <f t="shared" si="86"/>
        <v>0</v>
      </c>
      <c r="AR164" s="222" t="s">
        <v>573</v>
      </c>
      <c r="AS164" s="58">
        <f t="shared" si="87"/>
        <v>0</v>
      </c>
      <c r="AT164" s="222" t="s">
        <v>573</v>
      </c>
      <c r="AU164" s="58">
        <f t="shared" si="88"/>
        <v>0</v>
      </c>
      <c r="AV164" s="222" t="s">
        <v>573</v>
      </c>
      <c r="AW164" s="58">
        <f t="shared" si="89"/>
        <v>0</v>
      </c>
      <c r="AX164" s="251" t="s">
        <v>573</v>
      </c>
      <c r="AY164" s="58">
        <f t="shared" si="90"/>
        <v>0</v>
      </c>
      <c r="AZ164" s="222" t="s">
        <v>573</v>
      </c>
      <c r="BA164" s="58">
        <f t="shared" si="79"/>
        <v>0</v>
      </c>
      <c r="BB164" s="222" t="s">
        <v>573</v>
      </c>
      <c r="BC164" s="58">
        <f t="shared" si="80"/>
        <v>0</v>
      </c>
      <c r="BD164" s="222" t="s">
        <v>573</v>
      </c>
      <c r="BE164" s="58">
        <f t="shared" si="81"/>
        <v>0</v>
      </c>
      <c r="BF164" s="222" t="s">
        <v>573</v>
      </c>
      <c r="BG164" s="58">
        <f t="shared" si="82"/>
        <v>0</v>
      </c>
      <c r="BH164" s="223" t="s">
        <v>573</v>
      </c>
      <c r="BI164" s="58">
        <f t="shared" si="83"/>
        <v>0</v>
      </c>
      <c r="BJ164" s="220">
        <f t="shared" si="91"/>
        <v>0</v>
      </c>
      <c r="BK164" s="58"/>
      <c r="BL164" s="58" t="s">
        <v>1031</v>
      </c>
      <c r="BM164" s="220" t="s">
        <v>1388</v>
      </c>
      <c r="BN164" s="213" t="s">
        <v>754</v>
      </c>
      <c r="BO164" s="58" t="s">
        <v>1272</v>
      </c>
      <c r="BP164" s="199">
        <v>45961</v>
      </c>
      <c r="BQ164" s="2" t="s">
        <v>1386</v>
      </c>
    </row>
    <row r="165" spans="1:69" ht="15.75" customHeight="1">
      <c r="A165" s="213" t="s">
        <v>788</v>
      </c>
      <c r="B165" s="58" t="s">
        <v>199</v>
      </c>
      <c r="C165" s="58" t="s">
        <v>752</v>
      </c>
      <c r="D165" s="214" t="s">
        <v>789</v>
      </c>
      <c r="E165" s="214" t="s">
        <v>789</v>
      </c>
      <c r="F165" s="215" t="s">
        <v>186</v>
      </c>
      <c r="G165" s="216">
        <v>2020</v>
      </c>
      <c r="H165" s="218" t="s">
        <v>200</v>
      </c>
      <c r="I165" s="218" t="s">
        <v>201</v>
      </c>
      <c r="J165" s="217" t="s">
        <v>890</v>
      </c>
      <c r="K165" s="213" t="s">
        <v>753</v>
      </c>
      <c r="L165" s="213" t="s">
        <v>192</v>
      </c>
      <c r="M165" s="219" t="s">
        <v>1388</v>
      </c>
      <c r="N165" s="219">
        <v>9</v>
      </c>
      <c r="O165" s="219">
        <v>9</v>
      </c>
      <c r="P165" s="219">
        <v>9</v>
      </c>
      <c r="Q165" s="219">
        <v>9</v>
      </c>
      <c r="R165" s="219">
        <v>9</v>
      </c>
      <c r="S165" s="219">
        <v>9</v>
      </c>
      <c r="T165" s="219">
        <v>9</v>
      </c>
      <c r="U165" s="219">
        <v>9</v>
      </c>
      <c r="V165" s="219">
        <v>9</v>
      </c>
      <c r="W165" s="219">
        <v>9</v>
      </c>
      <c r="X165" s="219">
        <v>9</v>
      </c>
      <c r="Y165" s="219">
        <v>9</v>
      </c>
      <c r="Z165" s="219">
        <v>0.18</v>
      </c>
      <c r="AA165" s="219">
        <v>0.18</v>
      </c>
      <c r="AB165" s="219">
        <v>0.18</v>
      </c>
      <c r="AC165" s="219">
        <v>0.18</v>
      </c>
      <c r="AD165" s="219">
        <v>0.18</v>
      </c>
      <c r="AE165" s="219">
        <v>0.18</v>
      </c>
      <c r="AF165" s="219">
        <v>0.18</v>
      </c>
      <c r="AG165" s="219">
        <v>0.18</v>
      </c>
      <c r="AH165" s="219">
        <v>0.18</v>
      </c>
      <c r="AI165" s="219">
        <v>0.18</v>
      </c>
      <c r="AJ165" s="219">
        <v>0.18</v>
      </c>
      <c r="AK165" s="219">
        <v>0.18</v>
      </c>
      <c r="AL165" s="229" t="s">
        <v>573</v>
      </c>
      <c r="AM165" s="219">
        <f t="shared" si="84"/>
        <v>0</v>
      </c>
      <c r="AN165" s="229" t="s">
        <v>573</v>
      </c>
      <c r="AO165" s="221">
        <f t="shared" si="85"/>
        <v>0</v>
      </c>
      <c r="AP165" s="222" t="s">
        <v>573</v>
      </c>
      <c r="AQ165" s="221">
        <f t="shared" si="86"/>
        <v>0</v>
      </c>
      <c r="AR165" s="222" t="s">
        <v>573</v>
      </c>
      <c r="AS165" s="58">
        <f t="shared" si="87"/>
        <v>0</v>
      </c>
      <c r="AT165" s="222" t="s">
        <v>573</v>
      </c>
      <c r="AU165" s="58">
        <f t="shared" si="88"/>
        <v>0</v>
      </c>
      <c r="AV165" s="222" t="s">
        <v>573</v>
      </c>
      <c r="AW165" s="58">
        <f t="shared" si="89"/>
        <v>0</v>
      </c>
      <c r="AX165" s="251" t="s">
        <v>573</v>
      </c>
      <c r="AY165" s="58">
        <f t="shared" si="90"/>
        <v>0</v>
      </c>
      <c r="AZ165" s="222" t="s">
        <v>573</v>
      </c>
      <c r="BA165" s="58">
        <f t="shared" si="79"/>
        <v>0</v>
      </c>
      <c r="BB165" s="222" t="s">
        <v>573</v>
      </c>
      <c r="BC165" s="58">
        <f t="shared" si="80"/>
        <v>0</v>
      </c>
      <c r="BD165" s="222" t="s">
        <v>573</v>
      </c>
      <c r="BE165" s="58">
        <f t="shared" si="81"/>
        <v>0</v>
      </c>
      <c r="BF165" s="222" t="s">
        <v>573</v>
      </c>
      <c r="BG165" s="58">
        <f t="shared" si="82"/>
        <v>0</v>
      </c>
      <c r="BH165" s="223" t="s">
        <v>573</v>
      </c>
      <c r="BI165" s="58">
        <f t="shared" si="83"/>
        <v>0</v>
      </c>
      <c r="BJ165" s="220">
        <f t="shared" si="91"/>
        <v>0</v>
      </c>
      <c r="BK165" s="58"/>
      <c r="BL165" s="58" t="s">
        <v>1032</v>
      </c>
      <c r="BM165" s="220" t="s">
        <v>1388</v>
      </c>
      <c r="BN165" s="213" t="s">
        <v>754</v>
      </c>
      <c r="BO165" s="58" t="s">
        <v>1273</v>
      </c>
      <c r="BP165" s="199">
        <v>45961</v>
      </c>
      <c r="BQ165" s="2" t="s">
        <v>1386</v>
      </c>
    </row>
    <row r="166" spans="1:69" ht="15.75" customHeight="1">
      <c r="A166" s="213" t="s">
        <v>788</v>
      </c>
      <c r="B166" s="58" t="s">
        <v>199</v>
      </c>
      <c r="C166" s="58" t="s">
        <v>752</v>
      </c>
      <c r="D166" s="214" t="s">
        <v>789</v>
      </c>
      <c r="E166" s="214" t="s">
        <v>789</v>
      </c>
      <c r="F166" s="215" t="s">
        <v>186</v>
      </c>
      <c r="G166" s="216">
        <v>2020</v>
      </c>
      <c r="H166" s="218" t="s">
        <v>200</v>
      </c>
      <c r="I166" s="218" t="s">
        <v>201</v>
      </c>
      <c r="J166" s="217" t="s">
        <v>890</v>
      </c>
      <c r="K166" s="213" t="s">
        <v>753</v>
      </c>
      <c r="L166" s="213" t="s">
        <v>192</v>
      </c>
      <c r="M166" s="219" t="s">
        <v>1398</v>
      </c>
      <c r="N166" s="219">
        <v>8.86</v>
      </c>
      <c r="O166" s="219">
        <v>8.86</v>
      </c>
      <c r="P166" s="219">
        <v>8.86</v>
      </c>
      <c r="Q166" s="219">
        <v>8.86</v>
      </c>
      <c r="R166" s="219">
        <v>8.86</v>
      </c>
      <c r="S166" s="219">
        <v>8.86</v>
      </c>
      <c r="T166" s="219">
        <v>8.86</v>
      </c>
      <c r="U166" s="219">
        <v>8.86</v>
      </c>
      <c r="V166" s="219">
        <v>8.86</v>
      </c>
      <c r="W166" s="219">
        <v>8.86</v>
      </c>
      <c r="X166" s="219">
        <v>8.86</v>
      </c>
      <c r="Y166" s="219">
        <v>8.86</v>
      </c>
      <c r="Z166" s="219">
        <v>0.18</v>
      </c>
      <c r="AA166" s="219">
        <v>0.18</v>
      </c>
      <c r="AB166" s="219">
        <v>0.18</v>
      </c>
      <c r="AC166" s="219">
        <v>0.18</v>
      </c>
      <c r="AD166" s="219">
        <v>0.18</v>
      </c>
      <c r="AE166" s="219">
        <v>0.18</v>
      </c>
      <c r="AF166" s="219">
        <v>0.18</v>
      </c>
      <c r="AG166" s="219">
        <v>0.18</v>
      </c>
      <c r="AH166" s="219">
        <v>0.18</v>
      </c>
      <c r="AI166" s="219">
        <v>0.18</v>
      </c>
      <c r="AJ166" s="219">
        <v>0.18</v>
      </c>
      <c r="AK166" s="219">
        <v>0.18</v>
      </c>
      <c r="AL166" s="229" t="s">
        <v>573</v>
      </c>
      <c r="AM166" s="219">
        <f t="shared" si="84"/>
        <v>0</v>
      </c>
      <c r="AN166" s="229" t="s">
        <v>573</v>
      </c>
      <c r="AO166" s="221">
        <f t="shared" si="85"/>
        <v>0</v>
      </c>
      <c r="AP166" s="222" t="s">
        <v>573</v>
      </c>
      <c r="AQ166" s="221">
        <f t="shared" si="86"/>
        <v>0</v>
      </c>
      <c r="AR166" s="222" t="s">
        <v>573</v>
      </c>
      <c r="AS166" s="58">
        <f t="shared" si="87"/>
        <v>0</v>
      </c>
      <c r="AT166" s="222" t="s">
        <v>573</v>
      </c>
      <c r="AU166" s="58">
        <f t="shared" si="88"/>
        <v>0</v>
      </c>
      <c r="AV166" s="222" t="s">
        <v>573</v>
      </c>
      <c r="AW166" s="58">
        <f t="shared" si="89"/>
        <v>0</v>
      </c>
      <c r="AX166" s="251" t="s">
        <v>573</v>
      </c>
      <c r="AY166" s="58">
        <f t="shared" si="90"/>
        <v>0</v>
      </c>
      <c r="AZ166" s="222" t="s">
        <v>573</v>
      </c>
      <c r="BA166" s="58">
        <f t="shared" si="79"/>
        <v>0</v>
      </c>
      <c r="BB166" s="222" t="s">
        <v>573</v>
      </c>
      <c r="BC166" s="58">
        <f t="shared" si="80"/>
        <v>0</v>
      </c>
      <c r="BD166" s="222" t="s">
        <v>573</v>
      </c>
      <c r="BE166" s="58">
        <f t="shared" si="81"/>
        <v>0</v>
      </c>
      <c r="BF166" s="222" t="s">
        <v>573</v>
      </c>
      <c r="BG166" s="58">
        <f t="shared" si="82"/>
        <v>0</v>
      </c>
      <c r="BH166" s="223" t="s">
        <v>573</v>
      </c>
      <c r="BI166" s="58">
        <f t="shared" si="83"/>
        <v>0</v>
      </c>
      <c r="BJ166" s="220">
        <f t="shared" si="91"/>
        <v>0</v>
      </c>
      <c r="BK166" s="58"/>
      <c r="BL166" s="58" t="s">
        <v>1033</v>
      </c>
      <c r="BM166" s="220" t="s">
        <v>1398</v>
      </c>
      <c r="BN166" s="213" t="s">
        <v>197</v>
      </c>
      <c r="BO166" s="58" t="s">
        <v>1274</v>
      </c>
      <c r="BP166" s="199">
        <v>45961</v>
      </c>
      <c r="BQ166" s="2" t="s">
        <v>1386</v>
      </c>
    </row>
    <row r="167" spans="1:69" ht="15.75" customHeight="1">
      <c r="A167" s="213" t="s">
        <v>788</v>
      </c>
      <c r="B167" s="58" t="s">
        <v>199</v>
      </c>
      <c r="C167" s="58" t="s">
        <v>752</v>
      </c>
      <c r="D167" s="214" t="s">
        <v>789</v>
      </c>
      <c r="E167" s="214" t="s">
        <v>789</v>
      </c>
      <c r="F167" s="215" t="s">
        <v>186</v>
      </c>
      <c r="G167" s="216">
        <v>2020</v>
      </c>
      <c r="H167" s="218" t="s">
        <v>200</v>
      </c>
      <c r="I167" s="218" t="s">
        <v>201</v>
      </c>
      <c r="J167" s="217" t="s">
        <v>890</v>
      </c>
      <c r="K167" s="213" t="s">
        <v>753</v>
      </c>
      <c r="L167" s="213" t="s">
        <v>192</v>
      </c>
      <c r="M167" s="219" t="s">
        <v>1388</v>
      </c>
      <c r="N167" s="219">
        <v>9.02</v>
      </c>
      <c r="O167" s="219">
        <v>9.02</v>
      </c>
      <c r="P167" s="219">
        <v>9.02</v>
      </c>
      <c r="Q167" s="219">
        <v>9.02</v>
      </c>
      <c r="R167" s="219">
        <v>9.02</v>
      </c>
      <c r="S167" s="219">
        <v>9.02</v>
      </c>
      <c r="T167" s="219">
        <v>9.02</v>
      </c>
      <c r="U167" s="219">
        <v>9.02</v>
      </c>
      <c r="V167" s="219">
        <v>9.02</v>
      </c>
      <c r="W167" s="219">
        <v>9.02</v>
      </c>
      <c r="X167" s="219">
        <v>9.02</v>
      </c>
      <c r="Y167" s="219">
        <v>9.02</v>
      </c>
      <c r="Z167" s="219">
        <v>0.18</v>
      </c>
      <c r="AA167" s="219">
        <v>0.18</v>
      </c>
      <c r="AB167" s="219">
        <v>0.18</v>
      </c>
      <c r="AC167" s="219">
        <v>0.18</v>
      </c>
      <c r="AD167" s="219">
        <v>0.18</v>
      </c>
      <c r="AE167" s="219">
        <v>0.18</v>
      </c>
      <c r="AF167" s="219">
        <v>0.18</v>
      </c>
      <c r="AG167" s="219">
        <v>0.18</v>
      </c>
      <c r="AH167" s="219">
        <v>0.18</v>
      </c>
      <c r="AI167" s="219">
        <v>0.18</v>
      </c>
      <c r="AJ167" s="219">
        <v>0.18</v>
      </c>
      <c r="AK167" s="219">
        <v>0.18</v>
      </c>
      <c r="AL167" s="229" t="s">
        <v>573</v>
      </c>
      <c r="AM167" s="219">
        <f t="shared" si="84"/>
        <v>0</v>
      </c>
      <c r="AN167" s="229" t="s">
        <v>573</v>
      </c>
      <c r="AO167" s="221">
        <f t="shared" si="85"/>
        <v>0</v>
      </c>
      <c r="AP167" s="222" t="s">
        <v>573</v>
      </c>
      <c r="AQ167" s="221">
        <f t="shared" si="86"/>
        <v>0</v>
      </c>
      <c r="AR167" s="222" t="s">
        <v>573</v>
      </c>
      <c r="AS167" s="58">
        <f t="shared" si="87"/>
        <v>0</v>
      </c>
      <c r="AT167" s="222" t="s">
        <v>573</v>
      </c>
      <c r="AU167" s="58">
        <f t="shared" si="88"/>
        <v>0</v>
      </c>
      <c r="AV167" s="222" t="s">
        <v>573</v>
      </c>
      <c r="AW167" s="58">
        <f t="shared" si="89"/>
        <v>0</v>
      </c>
      <c r="AX167" s="251" t="s">
        <v>573</v>
      </c>
      <c r="AY167" s="58">
        <f t="shared" si="90"/>
        <v>0</v>
      </c>
      <c r="AZ167" s="222" t="s">
        <v>573</v>
      </c>
      <c r="BA167" s="58">
        <f t="shared" si="79"/>
        <v>0</v>
      </c>
      <c r="BB167" s="222" t="s">
        <v>573</v>
      </c>
      <c r="BC167" s="58">
        <f t="shared" si="80"/>
        <v>0</v>
      </c>
      <c r="BD167" s="222" t="s">
        <v>573</v>
      </c>
      <c r="BE167" s="58">
        <f t="shared" si="81"/>
        <v>0</v>
      </c>
      <c r="BF167" s="222" t="s">
        <v>573</v>
      </c>
      <c r="BG167" s="58">
        <f t="shared" si="82"/>
        <v>0</v>
      </c>
      <c r="BH167" s="223" t="s">
        <v>573</v>
      </c>
      <c r="BI167" s="58">
        <f t="shared" si="83"/>
        <v>0</v>
      </c>
      <c r="BJ167" s="220">
        <f t="shared" si="91"/>
        <v>0</v>
      </c>
      <c r="BK167" s="58"/>
      <c r="BL167" s="58" t="s">
        <v>1034</v>
      </c>
      <c r="BM167" s="220" t="s">
        <v>1388</v>
      </c>
      <c r="BN167" s="213" t="s">
        <v>1310</v>
      </c>
      <c r="BO167" s="58" t="s">
        <v>1275</v>
      </c>
      <c r="BP167" s="199">
        <v>45961</v>
      </c>
      <c r="BQ167" s="2" t="s">
        <v>1386</v>
      </c>
    </row>
    <row r="168" spans="1:69" ht="15.75" customHeight="1">
      <c r="A168" s="213" t="s">
        <v>788</v>
      </c>
      <c r="B168" s="58" t="s">
        <v>199</v>
      </c>
      <c r="C168" s="58" t="s">
        <v>752</v>
      </c>
      <c r="D168" s="214" t="s">
        <v>789</v>
      </c>
      <c r="E168" s="214" t="s">
        <v>789</v>
      </c>
      <c r="F168" s="215" t="s">
        <v>186</v>
      </c>
      <c r="G168" s="216">
        <v>2020</v>
      </c>
      <c r="H168" s="218" t="s">
        <v>200</v>
      </c>
      <c r="I168" s="218" t="s">
        <v>201</v>
      </c>
      <c r="J168" s="217" t="s">
        <v>890</v>
      </c>
      <c r="K168" s="213" t="s">
        <v>753</v>
      </c>
      <c r="L168" s="213" t="s">
        <v>192</v>
      </c>
      <c r="M168" s="219" t="s">
        <v>1388</v>
      </c>
      <c r="N168" s="219">
        <v>9.02</v>
      </c>
      <c r="O168" s="219">
        <v>9.02</v>
      </c>
      <c r="P168" s="219">
        <v>9.02</v>
      </c>
      <c r="Q168" s="219">
        <v>9.02</v>
      </c>
      <c r="R168" s="219">
        <v>9.02</v>
      </c>
      <c r="S168" s="219">
        <v>9.02</v>
      </c>
      <c r="T168" s="219">
        <v>9.02</v>
      </c>
      <c r="U168" s="219">
        <v>9.02</v>
      </c>
      <c r="V168" s="219">
        <v>9.02</v>
      </c>
      <c r="W168" s="219">
        <v>9.02</v>
      </c>
      <c r="X168" s="219">
        <v>9.02</v>
      </c>
      <c r="Y168" s="219">
        <v>9.02</v>
      </c>
      <c r="Z168" s="219">
        <v>0.18</v>
      </c>
      <c r="AA168" s="219">
        <v>0.18</v>
      </c>
      <c r="AB168" s="219">
        <v>0.18</v>
      </c>
      <c r="AC168" s="219">
        <v>0.18</v>
      </c>
      <c r="AD168" s="219">
        <v>0.18</v>
      </c>
      <c r="AE168" s="219">
        <v>0.18</v>
      </c>
      <c r="AF168" s="219">
        <v>0.18</v>
      </c>
      <c r="AG168" s="219">
        <v>0.18</v>
      </c>
      <c r="AH168" s="219">
        <v>0.18</v>
      </c>
      <c r="AI168" s="219">
        <v>0.18</v>
      </c>
      <c r="AJ168" s="219">
        <v>0.18</v>
      </c>
      <c r="AK168" s="219">
        <v>0.18</v>
      </c>
      <c r="AL168" s="229" t="s">
        <v>573</v>
      </c>
      <c r="AM168" s="219">
        <f t="shared" si="84"/>
        <v>0</v>
      </c>
      <c r="AN168" s="229" t="s">
        <v>573</v>
      </c>
      <c r="AO168" s="221">
        <f t="shared" si="85"/>
        <v>0</v>
      </c>
      <c r="AP168" s="222" t="s">
        <v>573</v>
      </c>
      <c r="AQ168" s="221">
        <f t="shared" si="86"/>
        <v>0</v>
      </c>
      <c r="AR168" s="222" t="s">
        <v>573</v>
      </c>
      <c r="AS168" s="58">
        <f t="shared" si="87"/>
        <v>0</v>
      </c>
      <c r="AT168" s="222" t="s">
        <v>573</v>
      </c>
      <c r="AU168" s="58">
        <f t="shared" si="88"/>
        <v>0</v>
      </c>
      <c r="AV168" s="222" t="s">
        <v>573</v>
      </c>
      <c r="AW168" s="58">
        <f t="shared" si="89"/>
        <v>0</v>
      </c>
      <c r="AX168" s="251" t="s">
        <v>573</v>
      </c>
      <c r="AY168" s="58">
        <f t="shared" si="90"/>
        <v>0</v>
      </c>
      <c r="AZ168" s="222" t="s">
        <v>573</v>
      </c>
      <c r="BA168" s="58">
        <f t="shared" si="79"/>
        <v>0</v>
      </c>
      <c r="BB168" s="222" t="s">
        <v>573</v>
      </c>
      <c r="BC168" s="58">
        <f t="shared" si="80"/>
        <v>0</v>
      </c>
      <c r="BD168" s="222" t="s">
        <v>573</v>
      </c>
      <c r="BE168" s="58">
        <f t="shared" si="81"/>
        <v>0</v>
      </c>
      <c r="BF168" s="222" t="s">
        <v>573</v>
      </c>
      <c r="BG168" s="58">
        <f t="shared" si="82"/>
        <v>0</v>
      </c>
      <c r="BH168" s="223" t="s">
        <v>573</v>
      </c>
      <c r="BI168" s="58">
        <f t="shared" si="83"/>
        <v>0</v>
      </c>
      <c r="BJ168" s="220">
        <f t="shared" si="91"/>
        <v>0</v>
      </c>
      <c r="BK168" s="58"/>
      <c r="BL168" s="58" t="s">
        <v>1035</v>
      </c>
      <c r="BM168" s="220" t="s">
        <v>1388</v>
      </c>
      <c r="BN168" s="213" t="s">
        <v>1310</v>
      </c>
      <c r="BO168" s="58" t="s">
        <v>1276</v>
      </c>
      <c r="BP168" s="199">
        <v>45961</v>
      </c>
      <c r="BQ168" s="2" t="s">
        <v>1386</v>
      </c>
    </row>
    <row r="169" spans="1:69" ht="15.75" customHeight="1">
      <c r="A169" s="213" t="s">
        <v>788</v>
      </c>
      <c r="B169" s="58" t="s">
        <v>199</v>
      </c>
      <c r="C169" s="58" t="s">
        <v>752</v>
      </c>
      <c r="D169" s="214" t="s">
        <v>789</v>
      </c>
      <c r="E169" s="214" t="s">
        <v>789</v>
      </c>
      <c r="F169" s="215" t="s">
        <v>186</v>
      </c>
      <c r="G169" s="216">
        <v>2020</v>
      </c>
      <c r="H169" s="218" t="s">
        <v>200</v>
      </c>
      <c r="I169" s="218" t="s">
        <v>201</v>
      </c>
      <c r="J169" s="217" t="s">
        <v>890</v>
      </c>
      <c r="K169" s="213" t="s">
        <v>753</v>
      </c>
      <c r="L169" s="213" t="s">
        <v>192</v>
      </c>
      <c r="M169" s="219" t="s">
        <v>1391</v>
      </c>
      <c r="N169" s="219">
        <v>8.84</v>
      </c>
      <c r="O169" s="219">
        <v>8.84</v>
      </c>
      <c r="P169" s="219">
        <v>8.84</v>
      </c>
      <c r="Q169" s="219">
        <v>8.84</v>
      </c>
      <c r="R169" s="219">
        <v>8.84</v>
      </c>
      <c r="S169" s="219">
        <v>8.84</v>
      </c>
      <c r="T169" s="219">
        <v>8.84</v>
      </c>
      <c r="U169" s="219">
        <v>8.84</v>
      </c>
      <c r="V169" s="219">
        <v>8.84</v>
      </c>
      <c r="W169" s="219">
        <v>8.84</v>
      </c>
      <c r="X169" s="219">
        <v>8.84</v>
      </c>
      <c r="Y169" s="219">
        <v>8.84</v>
      </c>
      <c r="Z169" s="219">
        <v>0.18</v>
      </c>
      <c r="AA169" s="219">
        <v>0.18</v>
      </c>
      <c r="AB169" s="219">
        <v>0.18</v>
      </c>
      <c r="AC169" s="219">
        <v>0.18</v>
      </c>
      <c r="AD169" s="219">
        <v>0.18</v>
      </c>
      <c r="AE169" s="219">
        <v>0.18</v>
      </c>
      <c r="AF169" s="219">
        <v>0.18</v>
      </c>
      <c r="AG169" s="219">
        <v>0.18</v>
      </c>
      <c r="AH169" s="219">
        <v>0.18</v>
      </c>
      <c r="AI169" s="219">
        <v>0.18</v>
      </c>
      <c r="AJ169" s="219">
        <v>0.18</v>
      </c>
      <c r="AK169" s="219">
        <v>0.18</v>
      </c>
      <c r="AL169" s="229" t="s">
        <v>573</v>
      </c>
      <c r="AM169" s="219">
        <f t="shared" si="84"/>
        <v>0</v>
      </c>
      <c r="AN169" s="229" t="s">
        <v>573</v>
      </c>
      <c r="AO169" s="221">
        <f t="shared" si="85"/>
        <v>0</v>
      </c>
      <c r="AP169" s="222" t="s">
        <v>573</v>
      </c>
      <c r="AQ169" s="221">
        <f t="shared" si="86"/>
        <v>0</v>
      </c>
      <c r="AR169" s="222" t="s">
        <v>573</v>
      </c>
      <c r="AS169" s="58">
        <f t="shared" si="87"/>
        <v>0</v>
      </c>
      <c r="AT169" s="222" t="s">
        <v>573</v>
      </c>
      <c r="AU169" s="58">
        <f t="shared" si="88"/>
        <v>0</v>
      </c>
      <c r="AV169" s="222" t="s">
        <v>573</v>
      </c>
      <c r="AW169" s="58">
        <f t="shared" si="89"/>
        <v>0</v>
      </c>
      <c r="AX169" s="251" t="s">
        <v>573</v>
      </c>
      <c r="AY169" s="58">
        <f t="shared" si="90"/>
        <v>0</v>
      </c>
      <c r="AZ169" s="222" t="s">
        <v>573</v>
      </c>
      <c r="BA169" s="58">
        <f t="shared" si="79"/>
        <v>0</v>
      </c>
      <c r="BB169" s="222" t="s">
        <v>573</v>
      </c>
      <c r="BC169" s="58">
        <f t="shared" si="80"/>
        <v>0</v>
      </c>
      <c r="BD169" s="222" t="s">
        <v>573</v>
      </c>
      <c r="BE169" s="58">
        <f t="shared" si="81"/>
        <v>0</v>
      </c>
      <c r="BF169" s="222" t="s">
        <v>573</v>
      </c>
      <c r="BG169" s="58">
        <f t="shared" si="82"/>
        <v>0</v>
      </c>
      <c r="BH169" s="223" t="s">
        <v>573</v>
      </c>
      <c r="BI169" s="58">
        <f t="shared" si="83"/>
        <v>0</v>
      </c>
      <c r="BJ169" s="220">
        <f t="shared" si="91"/>
        <v>0</v>
      </c>
      <c r="BK169" s="58"/>
      <c r="BL169" s="58" t="s">
        <v>1036</v>
      </c>
      <c r="BM169" s="220" t="s">
        <v>1391</v>
      </c>
      <c r="BN169" s="213" t="s">
        <v>197</v>
      </c>
      <c r="BO169" s="58" t="s">
        <v>1277</v>
      </c>
      <c r="BP169" s="199">
        <v>45961</v>
      </c>
      <c r="BQ169" s="2" t="s">
        <v>1386</v>
      </c>
    </row>
    <row r="170" spans="1:69" ht="15.75" customHeight="1">
      <c r="A170" s="213" t="s">
        <v>788</v>
      </c>
      <c r="B170" s="58" t="s">
        <v>199</v>
      </c>
      <c r="C170" s="58" t="s">
        <v>752</v>
      </c>
      <c r="D170" s="214" t="s">
        <v>789</v>
      </c>
      <c r="E170" s="214" t="s">
        <v>789</v>
      </c>
      <c r="F170" s="215" t="s">
        <v>186</v>
      </c>
      <c r="G170" s="216">
        <v>2020</v>
      </c>
      <c r="H170" s="218" t="s">
        <v>200</v>
      </c>
      <c r="I170" s="218" t="s">
        <v>201</v>
      </c>
      <c r="J170" s="217" t="s">
        <v>890</v>
      </c>
      <c r="K170" s="213" t="s">
        <v>753</v>
      </c>
      <c r="L170" s="213" t="s">
        <v>192</v>
      </c>
      <c r="M170" s="219" t="s">
        <v>1398</v>
      </c>
      <c r="N170" s="219">
        <v>8.86</v>
      </c>
      <c r="O170" s="219">
        <v>8.86</v>
      </c>
      <c r="P170" s="219">
        <v>8.86</v>
      </c>
      <c r="Q170" s="219">
        <v>8.86</v>
      </c>
      <c r="R170" s="219">
        <v>8.86</v>
      </c>
      <c r="S170" s="219">
        <v>8.86</v>
      </c>
      <c r="T170" s="219">
        <v>8.86</v>
      </c>
      <c r="U170" s="219">
        <v>8.86</v>
      </c>
      <c r="V170" s="219">
        <v>8.86</v>
      </c>
      <c r="W170" s="219">
        <v>8.86</v>
      </c>
      <c r="X170" s="219">
        <v>8.86</v>
      </c>
      <c r="Y170" s="219">
        <v>8.86</v>
      </c>
      <c r="Z170" s="219">
        <v>0.18</v>
      </c>
      <c r="AA170" s="219">
        <v>0.18</v>
      </c>
      <c r="AB170" s="219">
        <v>0.18</v>
      </c>
      <c r="AC170" s="219">
        <v>0.18</v>
      </c>
      <c r="AD170" s="219">
        <v>0.18</v>
      </c>
      <c r="AE170" s="219">
        <v>0.18</v>
      </c>
      <c r="AF170" s="219">
        <v>0.18</v>
      </c>
      <c r="AG170" s="219">
        <v>0.18</v>
      </c>
      <c r="AH170" s="219">
        <v>0.18</v>
      </c>
      <c r="AI170" s="219">
        <v>0.18</v>
      </c>
      <c r="AJ170" s="219">
        <v>0.18</v>
      </c>
      <c r="AK170" s="219">
        <v>0.18</v>
      </c>
      <c r="AL170" s="229">
        <v>21680</v>
      </c>
      <c r="AM170" s="219">
        <f t="shared" si="84"/>
        <v>3902.3999999999996</v>
      </c>
      <c r="AN170" s="229">
        <v>5120</v>
      </c>
      <c r="AO170" s="221">
        <f t="shared" si="85"/>
        <v>921.59999999999991</v>
      </c>
      <c r="AP170" s="222">
        <v>9280</v>
      </c>
      <c r="AQ170" s="221">
        <f t="shared" si="86"/>
        <v>1670.3999999999999</v>
      </c>
      <c r="AR170" s="222" t="s">
        <v>573</v>
      </c>
      <c r="AS170" s="58">
        <f t="shared" si="87"/>
        <v>0</v>
      </c>
      <c r="AT170" s="222">
        <v>15360</v>
      </c>
      <c r="AU170" s="58">
        <f t="shared" si="88"/>
        <v>2764.7999999999997</v>
      </c>
      <c r="AV170" s="222" t="s">
        <v>573</v>
      </c>
      <c r="AW170" s="58">
        <f t="shared" si="89"/>
        <v>0</v>
      </c>
      <c r="AX170" s="251">
        <v>14080</v>
      </c>
      <c r="AY170" s="58">
        <f t="shared" si="90"/>
        <v>2534.4</v>
      </c>
      <c r="AZ170" s="222">
        <v>20270</v>
      </c>
      <c r="BA170" s="58">
        <f t="shared" si="79"/>
        <v>3648.6</v>
      </c>
      <c r="BB170" s="222" t="s">
        <v>573</v>
      </c>
      <c r="BC170" s="58">
        <f t="shared" si="80"/>
        <v>0</v>
      </c>
      <c r="BD170" s="222">
        <v>28160</v>
      </c>
      <c r="BE170" s="58">
        <f t="shared" si="81"/>
        <v>5068.8</v>
      </c>
      <c r="BF170" s="222">
        <v>25920</v>
      </c>
      <c r="BG170" s="58">
        <f t="shared" si="82"/>
        <v>4665.5999999999995</v>
      </c>
      <c r="BH170" s="223" t="s">
        <v>573</v>
      </c>
      <c r="BI170" s="58">
        <f t="shared" si="83"/>
        <v>0</v>
      </c>
      <c r="BJ170" s="220">
        <f t="shared" si="91"/>
        <v>139870</v>
      </c>
      <c r="BK170" s="58"/>
      <c r="BL170" s="58" t="s">
        <v>1037</v>
      </c>
      <c r="BM170" s="220" t="s">
        <v>1398</v>
      </c>
      <c r="BN170" s="213" t="s">
        <v>197</v>
      </c>
      <c r="BO170" s="213" t="s">
        <v>1182</v>
      </c>
      <c r="BP170" s="199">
        <v>45961</v>
      </c>
      <c r="BQ170" s="2" t="s">
        <v>1386</v>
      </c>
    </row>
    <row r="171" spans="1:69" ht="15.75" customHeight="1">
      <c r="A171" s="213" t="s">
        <v>788</v>
      </c>
      <c r="B171" s="58" t="s">
        <v>199</v>
      </c>
      <c r="C171" s="58" t="s">
        <v>752</v>
      </c>
      <c r="D171" s="214" t="s">
        <v>789</v>
      </c>
      <c r="E171" s="214" t="s">
        <v>789</v>
      </c>
      <c r="F171" s="215" t="s">
        <v>186</v>
      </c>
      <c r="G171" s="216">
        <v>2020</v>
      </c>
      <c r="H171" s="218" t="s">
        <v>200</v>
      </c>
      <c r="I171" s="218" t="s">
        <v>201</v>
      </c>
      <c r="J171" s="217" t="s">
        <v>890</v>
      </c>
      <c r="K171" s="213" t="s">
        <v>753</v>
      </c>
      <c r="L171" s="213" t="s">
        <v>192</v>
      </c>
      <c r="M171" s="219" t="s">
        <v>1398</v>
      </c>
      <c r="N171" s="219">
        <v>8.84</v>
      </c>
      <c r="O171" s="219">
        <v>8.84</v>
      </c>
      <c r="P171" s="219">
        <v>8.84</v>
      </c>
      <c r="Q171" s="219">
        <v>8.84</v>
      </c>
      <c r="R171" s="219">
        <v>8.84</v>
      </c>
      <c r="S171" s="219">
        <v>8.84</v>
      </c>
      <c r="T171" s="219">
        <v>8.84</v>
      </c>
      <c r="U171" s="219">
        <v>8.84</v>
      </c>
      <c r="V171" s="219">
        <v>8.84</v>
      </c>
      <c r="W171" s="219">
        <v>8.84</v>
      </c>
      <c r="X171" s="219">
        <v>8.84</v>
      </c>
      <c r="Y171" s="219">
        <v>8.84</v>
      </c>
      <c r="Z171" s="219">
        <v>0.18</v>
      </c>
      <c r="AA171" s="219">
        <v>0.18</v>
      </c>
      <c r="AB171" s="219">
        <v>0.18</v>
      </c>
      <c r="AC171" s="219">
        <v>0.18</v>
      </c>
      <c r="AD171" s="219">
        <v>0.18</v>
      </c>
      <c r="AE171" s="219">
        <v>0.18</v>
      </c>
      <c r="AF171" s="219">
        <v>0.18</v>
      </c>
      <c r="AG171" s="219">
        <v>0.18</v>
      </c>
      <c r="AH171" s="219">
        <v>0.18</v>
      </c>
      <c r="AI171" s="219">
        <v>0.18</v>
      </c>
      <c r="AJ171" s="219">
        <v>0.18</v>
      </c>
      <c r="AK171" s="219">
        <v>0.18</v>
      </c>
      <c r="AL171" s="229" t="s">
        <v>573</v>
      </c>
      <c r="AM171" s="219">
        <f t="shared" si="84"/>
        <v>0</v>
      </c>
      <c r="AN171" s="229">
        <v>1280</v>
      </c>
      <c r="AO171" s="221">
        <f t="shared" si="85"/>
        <v>230.39999999999998</v>
      </c>
      <c r="AP171" s="222" t="s">
        <v>573</v>
      </c>
      <c r="AQ171" s="221">
        <f t="shared" si="86"/>
        <v>0</v>
      </c>
      <c r="AR171" s="222" t="s">
        <v>573</v>
      </c>
      <c r="AS171" s="58">
        <f t="shared" si="87"/>
        <v>0</v>
      </c>
      <c r="AT171" s="222" t="s">
        <v>573</v>
      </c>
      <c r="AU171" s="58">
        <f t="shared" si="88"/>
        <v>0</v>
      </c>
      <c r="AV171" s="222" t="s">
        <v>573</v>
      </c>
      <c r="AW171" s="58">
        <f t="shared" si="89"/>
        <v>0</v>
      </c>
      <c r="AX171" s="251" t="s">
        <v>573</v>
      </c>
      <c r="AY171" s="58">
        <f t="shared" si="90"/>
        <v>0</v>
      </c>
      <c r="AZ171" s="222">
        <v>1280</v>
      </c>
      <c r="BA171" s="58">
        <f t="shared" si="79"/>
        <v>230.39999999999998</v>
      </c>
      <c r="BB171" s="222" t="s">
        <v>573</v>
      </c>
      <c r="BC171" s="58">
        <f t="shared" si="80"/>
        <v>0</v>
      </c>
      <c r="BD171" s="222" t="s">
        <v>573</v>
      </c>
      <c r="BE171" s="58">
        <f t="shared" si="81"/>
        <v>0</v>
      </c>
      <c r="BF171" s="222" t="s">
        <v>573</v>
      </c>
      <c r="BG171" s="58">
        <f t="shared" si="82"/>
        <v>0</v>
      </c>
      <c r="BH171" s="223" t="s">
        <v>573</v>
      </c>
      <c r="BI171" s="58">
        <f t="shared" si="83"/>
        <v>0</v>
      </c>
      <c r="BJ171" s="220">
        <f t="shared" si="91"/>
        <v>2560</v>
      </c>
      <c r="BK171" s="58"/>
      <c r="BL171" s="58" t="s">
        <v>1038</v>
      </c>
      <c r="BM171" s="220" t="s">
        <v>1398</v>
      </c>
      <c r="BN171" s="213" t="s">
        <v>197</v>
      </c>
      <c r="BO171" s="213" t="s">
        <v>1183</v>
      </c>
      <c r="BP171" s="199">
        <v>45961</v>
      </c>
      <c r="BQ171" s="2" t="s">
        <v>1386</v>
      </c>
    </row>
    <row r="172" spans="1:69" ht="15.75" customHeight="1">
      <c r="A172" s="213" t="s">
        <v>788</v>
      </c>
      <c r="B172" s="58" t="s">
        <v>199</v>
      </c>
      <c r="C172" s="58" t="s">
        <v>752</v>
      </c>
      <c r="D172" s="214" t="s">
        <v>789</v>
      </c>
      <c r="E172" s="214" t="s">
        <v>789</v>
      </c>
      <c r="F172" s="215" t="s">
        <v>186</v>
      </c>
      <c r="G172" s="216">
        <v>2020</v>
      </c>
      <c r="H172" s="218" t="s">
        <v>200</v>
      </c>
      <c r="I172" s="218" t="s">
        <v>201</v>
      </c>
      <c r="J172" s="217" t="s">
        <v>890</v>
      </c>
      <c r="K172" s="213" t="s">
        <v>753</v>
      </c>
      <c r="L172" s="213" t="s">
        <v>192</v>
      </c>
      <c r="M172" s="219" t="s">
        <v>1388</v>
      </c>
      <c r="N172" s="219">
        <v>9.02</v>
      </c>
      <c r="O172" s="219">
        <v>9.02</v>
      </c>
      <c r="P172" s="219">
        <v>9.02</v>
      </c>
      <c r="Q172" s="219">
        <v>9.02</v>
      </c>
      <c r="R172" s="219">
        <v>9.02</v>
      </c>
      <c r="S172" s="219">
        <v>9.02</v>
      </c>
      <c r="T172" s="219">
        <v>9.02</v>
      </c>
      <c r="U172" s="219">
        <v>9.02</v>
      </c>
      <c r="V172" s="219">
        <v>9.02</v>
      </c>
      <c r="W172" s="219">
        <v>9.02</v>
      </c>
      <c r="X172" s="219">
        <v>9.02</v>
      </c>
      <c r="Y172" s="219">
        <v>9.02</v>
      </c>
      <c r="Z172" s="219">
        <v>0.18</v>
      </c>
      <c r="AA172" s="219">
        <v>0.18</v>
      </c>
      <c r="AB172" s="219">
        <v>0.18</v>
      </c>
      <c r="AC172" s="219">
        <v>0.18</v>
      </c>
      <c r="AD172" s="219">
        <v>0.18</v>
      </c>
      <c r="AE172" s="219">
        <v>0.18</v>
      </c>
      <c r="AF172" s="219">
        <v>0.18</v>
      </c>
      <c r="AG172" s="219">
        <v>0.18</v>
      </c>
      <c r="AH172" s="219">
        <v>0.18</v>
      </c>
      <c r="AI172" s="219">
        <v>0.18</v>
      </c>
      <c r="AJ172" s="219">
        <v>0.18</v>
      </c>
      <c r="AK172" s="219">
        <v>0.18</v>
      </c>
      <c r="AL172" s="229" t="s">
        <v>573</v>
      </c>
      <c r="AM172" s="219">
        <f t="shared" si="84"/>
        <v>0</v>
      </c>
      <c r="AN172" s="229" t="s">
        <v>573</v>
      </c>
      <c r="AO172" s="221">
        <f t="shared" si="85"/>
        <v>0</v>
      </c>
      <c r="AP172" s="222">
        <v>1280</v>
      </c>
      <c r="AQ172" s="221">
        <f t="shared" si="86"/>
        <v>230.39999999999998</v>
      </c>
      <c r="AR172" s="222">
        <v>3840</v>
      </c>
      <c r="AS172" s="58">
        <f t="shared" si="87"/>
        <v>691.19999999999993</v>
      </c>
      <c r="AT172" s="222">
        <v>6400</v>
      </c>
      <c r="AU172" s="58">
        <f t="shared" si="88"/>
        <v>1152</v>
      </c>
      <c r="AV172" s="222">
        <v>2560</v>
      </c>
      <c r="AW172" s="58">
        <f t="shared" si="89"/>
        <v>460.79999999999995</v>
      </c>
      <c r="AX172" s="251" t="s">
        <v>573</v>
      </c>
      <c r="AY172" s="58">
        <f t="shared" si="90"/>
        <v>0</v>
      </c>
      <c r="AZ172" s="222">
        <v>2560</v>
      </c>
      <c r="BA172" s="58">
        <f t="shared" si="79"/>
        <v>460.79999999999995</v>
      </c>
      <c r="BB172" s="222">
        <v>8960</v>
      </c>
      <c r="BC172" s="58">
        <f t="shared" si="80"/>
        <v>1612.8</v>
      </c>
      <c r="BD172" s="222">
        <v>2560</v>
      </c>
      <c r="BE172" s="58">
        <f t="shared" si="81"/>
        <v>460.79999999999995</v>
      </c>
      <c r="BF172" s="222">
        <v>6400</v>
      </c>
      <c r="BG172" s="58">
        <f t="shared" si="82"/>
        <v>1152</v>
      </c>
      <c r="BH172" s="223">
        <v>2560</v>
      </c>
      <c r="BI172" s="58">
        <f t="shared" si="83"/>
        <v>460.79999999999995</v>
      </c>
      <c r="BJ172" s="220">
        <f t="shared" si="91"/>
        <v>37120</v>
      </c>
      <c r="BK172" s="58"/>
      <c r="BL172" s="58" t="s">
        <v>1039</v>
      </c>
      <c r="BM172" s="220" t="s">
        <v>1388</v>
      </c>
      <c r="BN172" s="213" t="s">
        <v>1310</v>
      </c>
      <c r="BO172" s="213" t="s">
        <v>1184</v>
      </c>
      <c r="BP172" s="199">
        <v>45961</v>
      </c>
      <c r="BQ172" s="2" t="s">
        <v>1386</v>
      </c>
    </row>
    <row r="173" spans="1:69" ht="15.75" customHeight="1">
      <c r="A173" s="213" t="s">
        <v>788</v>
      </c>
      <c r="B173" s="58" t="s">
        <v>199</v>
      </c>
      <c r="C173" s="58" t="s">
        <v>752</v>
      </c>
      <c r="D173" s="214" t="s">
        <v>789</v>
      </c>
      <c r="E173" s="214" t="s">
        <v>789</v>
      </c>
      <c r="F173" s="215" t="s">
        <v>186</v>
      </c>
      <c r="G173" s="216">
        <v>2020</v>
      </c>
      <c r="H173" s="218" t="s">
        <v>200</v>
      </c>
      <c r="I173" s="218" t="s">
        <v>201</v>
      </c>
      <c r="J173" s="217" t="s">
        <v>890</v>
      </c>
      <c r="K173" s="213" t="s">
        <v>753</v>
      </c>
      <c r="L173" s="213" t="s">
        <v>192</v>
      </c>
      <c r="M173" s="219" t="s">
        <v>1390</v>
      </c>
      <c r="N173" s="219">
        <v>9.16</v>
      </c>
      <c r="O173" s="219">
        <v>9.16</v>
      </c>
      <c r="P173" s="219">
        <v>9.16</v>
      </c>
      <c r="Q173" s="219">
        <v>9.16</v>
      </c>
      <c r="R173" s="219">
        <v>9.16</v>
      </c>
      <c r="S173" s="219">
        <v>9.16</v>
      </c>
      <c r="T173" s="219">
        <v>9.16</v>
      </c>
      <c r="U173" s="219">
        <v>9.16</v>
      </c>
      <c r="V173" s="219">
        <v>9.16</v>
      </c>
      <c r="W173" s="219">
        <v>9.16</v>
      </c>
      <c r="X173" s="219">
        <v>9.16</v>
      </c>
      <c r="Y173" s="219">
        <v>9.16</v>
      </c>
      <c r="Z173" s="219">
        <v>0.18</v>
      </c>
      <c r="AA173" s="219">
        <v>0.18</v>
      </c>
      <c r="AB173" s="219">
        <v>0.18</v>
      </c>
      <c r="AC173" s="219">
        <v>0.18</v>
      </c>
      <c r="AD173" s="219">
        <v>0.18</v>
      </c>
      <c r="AE173" s="219">
        <v>0.18</v>
      </c>
      <c r="AF173" s="219">
        <v>0.18</v>
      </c>
      <c r="AG173" s="219">
        <v>0.18</v>
      </c>
      <c r="AH173" s="219">
        <v>0.18</v>
      </c>
      <c r="AI173" s="219">
        <v>0.18</v>
      </c>
      <c r="AJ173" s="219">
        <v>0.18</v>
      </c>
      <c r="AK173" s="219">
        <v>0.18</v>
      </c>
      <c r="AL173" s="229">
        <v>26000</v>
      </c>
      <c r="AM173" s="219">
        <f t="shared" si="84"/>
        <v>4680</v>
      </c>
      <c r="AN173" s="229">
        <v>23000</v>
      </c>
      <c r="AO173" s="221">
        <f t="shared" si="85"/>
        <v>4140</v>
      </c>
      <c r="AP173" s="222">
        <v>25000</v>
      </c>
      <c r="AQ173" s="221">
        <f t="shared" si="86"/>
        <v>4500</v>
      </c>
      <c r="AR173" s="222">
        <v>16000</v>
      </c>
      <c r="AS173" s="58">
        <f t="shared" si="87"/>
        <v>2880</v>
      </c>
      <c r="AT173" s="222">
        <v>33900</v>
      </c>
      <c r="AU173" s="58">
        <f t="shared" si="88"/>
        <v>6102</v>
      </c>
      <c r="AV173" s="222">
        <v>39300</v>
      </c>
      <c r="AW173" s="58">
        <f t="shared" si="89"/>
        <v>7074</v>
      </c>
      <c r="AX173" s="251">
        <v>31300</v>
      </c>
      <c r="AY173" s="58">
        <f t="shared" si="90"/>
        <v>5634</v>
      </c>
      <c r="AZ173" s="222">
        <v>22000</v>
      </c>
      <c r="BA173" s="58">
        <f t="shared" si="79"/>
        <v>3960</v>
      </c>
      <c r="BB173" s="222">
        <v>36500</v>
      </c>
      <c r="BC173" s="58">
        <f t="shared" si="80"/>
        <v>6570</v>
      </c>
      <c r="BD173" s="222">
        <v>10880</v>
      </c>
      <c r="BE173" s="58">
        <f t="shared" si="81"/>
        <v>1958.3999999999999</v>
      </c>
      <c r="BF173" s="222">
        <v>25500</v>
      </c>
      <c r="BG173" s="58">
        <f t="shared" si="82"/>
        <v>4590</v>
      </c>
      <c r="BH173" s="223">
        <v>6800</v>
      </c>
      <c r="BI173" s="58">
        <f t="shared" si="83"/>
        <v>1224</v>
      </c>
      <c r="BJ173" s="220">
        <f t="shared" si="91"/>
        <v>296180</v>
      </c>
      <c r="BK173" s="58"/>
      <c r="BL173" s="58" t="s">
        <v>1154</v>
      </c>
      <c r="BM173" s="220" t="s">
        <v>1390</v>
      </c>
      <c r="BN173" s="213" t="s">
        <v>763</v>
      </c>
      <c r="BO173" s="213" t="s">
        <v>1153</v>
      </c>
      <c r="BP173" s="199">
        <v>45961</v>
      </c>
      <c r="BQ173" s="2" t="s">
        <v>1386</v>
      </c>
    </row>
    <row r="174" spans="1:69" ht="15.75" customHeight="1">
      <c r="A174" s="213" t="s">
        <v>788</v>
      </c>
      <c r="B174" s="58" t="s">
        <v>199</v>
      </c>
      <c r="C174" s="58" t="s">
        <v>752</v>
      </c>
      <c r="D174" s="214" t="s">
        <v>789</v>
      </c>
      <c r="E174" s="214" t="s">
        <v>789</v>
      </c>
      <c r="F174" s="215" t="s">
        <v>186</v>
      </c>
      <c r="G174" s="216">
        <v>2020</v>
      </c>
      <c r="H174" s="218" t="s">
        <v>200</v>
      </c>
      <c r="I174" s="218" t="s">
        <v>201</v>
      </c>
      <c r="J174" s="217" t="s">
        <v>890</v>
      </c>
      <c r="K174" s="213" t="s">
        <v>753</v>
      </c>
      <c r="L174" s="213" t="s">
        <v>192</v>
      </c>
      <c r="M174" s="219" t="s">
        <v>1388</v>
      </c>
      <c r="N174" s="219">
        <v>9</v>
      </c>
      <c r="O174" s="219">
        <v>9</v>
      </c>
      <c r="P174" s="219">
        <v>9</v>
      </c>
      <c r="Q174" s="219">
        <v>9</v>
      </c>
      <c r="R174" s="219">
        <v>9</v>
      </c>
      <c r="S174" s="219">
        <v>9</v>
      </c>
      <c r="T174" s="219">
        <v>9</v>
      </c>
      <c r="U174" s="219">
        <v>9</v>
      </c>
      <c r="V174" s="219">
        <v>9</v>
      </c>
      <c r="W174" s="219">
        <v>9</v>
      </c>
      <c r="X174" s="219">
        <v>9</v>
      </c>
      <c r="Y174" s="219">
        <v>9</v>
      </c>
      <c r="Z174" s="219">
        <v>0.18</v>
      </c>
      <c r="AA174" s="219">
        <v>0.18</v>
      </c>
      <c r="AB174" s="219">
        <v>0.18</v>
      </c>
      <c r="AC174" s="219">
        <v>0.18</v>
      </c>
      <c r="AD174" s="219">
        <v>0.18</v>
      </c>
      <c r="AE174" s="219">
        <v>0.18</v>
      </c>
      <c r="AF174" s="219">
        <v>0.18</v>
      </c>
      <c r="AG174" s="219">
        <v>0.18</v>
      </c>
      <c r="AH174" s="219">
        <v>0.18</v>
      </c>
      <c r="AI174" s="219">
        <v>0.18</v>
      </c>
      <c r="AJ174" s="219">
        <v>0.18</v>
      </c>
      <c r="AK174" s="219">
        <v>0.18</v>
      </c>
      <c r="AL174" s="229">
        <v>5120</v>
      </c>
      <c r="AM174" s="219">
        <f t="shared" si="84"/>
        <v>921.59999999999991</v>
      </c>
      <c r="AN174" s="229">
        <v>7680</v>
      </c>
      <c r="AO174" s="221">
        <f t="shared" si="85"/>
        <v>1382.3999999999999</v>
      </c>
      <c r="AP174" s="222">
        <v>5120</v>
      </c>
      <c r="AQ174" s="221">
        <f t="shared" si="86"/>
        <v>921.59999999999991</v>
      </c>
      <c r="AR174" s="222" t="s">
        <v>573</v>
      </c>
      <c r="AS174" s="58">
        <f t="shared" si="87"/>
        <v>0</v>
      </c>
      <c r="AT174" s="222" t="s">
        <v>573</v>
      </c>
      <c r="AU174" s="58">
        <f t="shared" si="88"/>
        <v>0</v>
      </c>
      <c r="AV174" s="222">
        <v>3840</v>
      </c>
      <c r="AW174" s="58">
        <f t="shared" si="89"/>
        <v>691.19999999999993</v>
      </c>
      <c r="AX174" s="251">
        <v>7680</v>
      </c>
      <c r="AY174" s="58">
        <f t="shared" si="90"/>
        <v>1382.3999999999999</v>
      </c>
      <c r="AZ174" s="222">
        <v>3840</v>
      </c>
      <c r="BA174" s="58">
        <f t="shared" si="79"/>
        <v>691.19999999999993</v>
      </c>
      <c r="BB174" s="222">
        <v>6400</v>
      </c>
      <c r="BC174" s="58">
        <f t="shared" si="80"/>
        <v>1152</v>
      </c>
      <c r="BD174" s="222">
        <v>6400</v>
      </c>
      <c r="BE174" s="58">
        <f t="shared" si="81"/>
        <v>1152</v>
      </c>
      <c r="BF174" s="222">
        <v>6400</v>
      </c>
      <c r="BG174" s="58">
        <f t="shared" si="82"/>
        <v>1152</v>
      </c>
      <c r="BH174" s="223">
        <v>10240</v>
      </c>
      <c r="BI174" s="58">
        <f t="shared" si="83"/>
        <v>1843.1999999999998</v>
      </c>
      <c r="BJ174" s="220">
        <f t="shared" si="91"/>
        <v>62720</v>
      </c>
      <c r="BK174" s="58"/>
      <c r="BL174" s="58" t="s">
        <v>1040</v>
      </c>
      <c r="BM174" s="220" t="s">
        <v>1388</v>
      </c>
      <c r="BN174" s="213" t="s">
        <v>754</v>
      </c>
      <c r="BO174" s="213" t="s">
        <v>1185</v>
      </c>
      <c r="BP174" s="199">
        <v>45961</v>
      </c>
      <c r="BQ174" s="2" t="s">
        <v>1386</v>
      </c>
    </row>
    <row r="175" spans="1:69" ht="15.75" customHeight="1">
      <c r="A175" s="213" t="s">
        <v>788</v>
      </c>
      <c r="B175" s="58" t="s">
        <v>199</v>
      </c>
      <c r="C175" s="58" t="s">
        <v>752</v>
      </c>
      <c r="D175" s="214" t="s">
        <v>789</v>
      </c>
      <c r="E175" s="214" t="s">
        <v>789</v>
      </c>
      <c r="F175" s="215" t="s">
        <v>186</v>
      </c>
      <c r="G175" s="216">
        <v>2020</v>
      </c>
      <c r="H175" s="218" t="s">
        <v>200</v>
      </c>
      <c r="I175" s="218" t="s">
        <v>201</v>
      </c>
      <c r="J175" s="217" t="s">
        <v>890</v>
      </c>
      <c r="K175" s="213" t="s">
        <v>753</v>
      </c>
      <c r="L175" s="213" t="s">
        <v>192</v>
      </c>
      <c r="M175" s="219" t="s">
        <v>1388</v>
      </c>
      <c r="N175" s="219">
        <v>9.02</v>
      </c>
      <c r="O175" s="219">
        <v>9.02</v>
      </c>
      <c r="P175" s="219">
        <v>9.02</v>
      </c>
      <c r="Q175" s="219">
        <v>9.02</v>
      </c>
      <c r="R175" s="219">
        <v>9.02</v>
      </c>
      <c r="S175" s="219">
        <v>9.02</v>
      </c>
      <c r="T175" s="219">
        <v>9.02</v>
      </c>
      <c r="U175" s="219">
        <v>9.02</v>
      </c>
      <c r="V175" s="219">
        <v>9.02</v>
      </c>
      <c r="W175" s="219">
        <v>9.02</v>
      </c>
      <c r="X175" s="219">
        <v>9.02</v>
      </c>
      <c r="Y175" s="219">
        <v>9.02</v>
      </c>
      <c r="Z175" s="219">
        <v>0.18</v>
      </c>
      <c r="AA175" s="219">
        <v>0.18</v>
      </c>
      <c r="AB175" s="219">
        <v>0.18</v>
      </c>
      <c r="AC175" s="219">
        <v>0.18</v>
      </c>
      <c r="AD175" s="219">
        <v>0.18</v>
      </c>
      <c r="AE175" s="219">
        <v>0.18</v>
      </c>
      <c r="AF175" s="219">
        <v>0.18</v>
      </c>
      <c r="AG175" s="219">
        <v>0.18</v>
      </c>
      <c r="AH175" s="219">
        <v>0.18</v>
      </c>
      <c r="AI175" s="219">
        <v>0.18</v>
      </c>
      <c r="AJ175" s="219">
        <v>0.18</v>
      </c>
      <c r="AK175" s="219">
        <v>0.18</v>
      </c>
      <c r="AL175" s="229">
        <v>1280</v>
      </c>
      <c r="AM175" s="219">
        <f t="shared" si="84"/>
        <v>230.39999999999998</v>
      </c>
      <c r="AN175" s="229" t="s">
        <v>573</v>
      </c>
      <c r="AO175" s="221">
        <f t="shared" si="85"/>
        <v>0</v>
      </c>
      <c r="AP175" s="222">
        <v>1280</v>
      </c>
      <c r="AQ175" s="221">
        <f t="shared" si="86"/>
        <v>230.39999999999998</v>
      </c>
      <c r="AR175" s="222" t="s">
        <v>573</v>
      </c>
      <c r="AS175" s="58">
        <f t="shared" si="87"/>
        <v>0</v>
      </c>
      <c r="AT175" s="222">
        <v>2560</v>
      </c>
      <c r="AU175" s="58">
        <f t="shared" si="88"/>
        <v>460.79999999999995</v>
      </c>
      <c r="AV175" s="222">
        <v>1280</v>
      </c>
      <c r="AW175" s="58">
        <f t="shared" si="89"/>
        <v>230.39999999999998</v>
      </c>
      <c r="AX175" s="251" t="s">
        <v>573</v>
      </c>
      <c r="AY175" s="58">
        <f t="shared" si="90"/>
        <v>0</v>
      </c>
      <c r="AZ175" s="222" t="s">
        <v>573</v>
      </c>
      <c r="BA175" s="58">
        <f t="shared" si="79"/>
        <v>0</v>
      </c>
      <c r="BB175" s="222" t="s">
        <v>573</v>
      </c>
      <c r="BC175" s="58">
        <f t="shared" si="80"/>
        <v>0</v>
      </c>
      <c r="BD175" s="222" t="s">
        <v>573</v>
      </c>
      <c r="BE175" s="58">
        <f t="shared" si="81"/>
        <v>0</v>
      </c>
      <c r="BF175" s="222" t="s">
        <v>573</v>
      </c>
      <c r="BG175" s="58">
        <f t="shared" si="82"/>
        <v>0</v>
      </c>
      <c r="BH175" s="223" t="s">
        <v>573</v>
      </c>
      <c r="BI175" s="58">
        <f t="shared" si="83"/>
        <v>0</v>
      </c>
      <c r="BJ175" s="220">
        <f t="shared" si="91"/>
        <v>6400</v>
      </c>
      <c r="BK175" s="58"/>
      <c r="BL175" s="58" t="s">
        <v>1041</v>
      </c>
      <c r="BM175" s="220" t="s">
        <v>1388</v>
      </c>
      <c r="BN175" s="213" t="s">
        <v>1310</v>
      </c>
      <c r="BO175" s="213" t="s">
        <v>1186</v>
      </c>
      <c r="BP175" s="199">
        <v>45961</v>
      </c>
      <c r="BQ175" s="2" t="s">
        <v>1386</v>
      </c>
    </row>
    <row r="176" spans="1:69" ht="15.75" customHeight="1">
      <c r="A176" s="213" t="s">
        <v>788</v>
      </c>
      <c r="B176" s="58" t="s">
        <v>199</v>
      </c>
      <c r="C176" s="58" t="s">
        <v>752</v>
      </c>
      <c r="D176" s="214" t="s">
        <v>789</v>
      </c>
      <c r="E176" s="214" t="s">
        <v>789</v>
      </c>
      <c r="F176" s="215" t="s">
        <v>186</v>
      </c>
      <c r="G176" s="216">
        <v>2020</v>
      </c>
      <c r="H176" s="218" t="s">
        <v>208</v>
      </c>
      <c r="I176" s="218" t="s">
        <v>201</v>
      </c>
      <c r="J176" s="217" t="s">
        <v>890</v>
      </c>
      <c r="K176" s="213" t="s">
        <v>755</v>
      </c>
      <c r="L176" s="213" t="s">
        <v>192</v>
      </c>
      <c r="M176" s="219" t="s">
        <v>1388</v>
      </c>
      <c r="N176" s="219">
        <v>10.77</v>
      </c>
      <c r="O176" s="219">
        <v>10.77</v>
      </c>
      <c r="P176" s="219">
        <v>10.77</v>
      </c>
      <c r="Q176" s="219">
        <v>10.77</v>
      </c>
      <c r="R176" s="219">
        <v>10.77</v>
      </c>
      <c r="S176" s="219">
        <v>10.77</v>
      </c>
      <c r="T176" s="219">
        <v>10.77</v>
      </c>
      <c r="U176" s="219">
        <v>10.77</v>
      </c>
      <c r="V176" s="219">
        <v>10.77</v>
      </c>
      <c r="W176" s="219">
        <v>10.77</v>
      </c>
      <c r="X176" s="219">
        <v>10.77</v>
      </c>
      <c r="Y176" s="219">
        <v>10.77</v>
      </c>
      <c r="Z176" s="219">
        <v>0.21</v>
      </c>
      <c r="AA176" s="219">
        <v>0.21</v>
      </c>
      <c r="AB176" s="219">
        <v>0.21</v>
      </c>
      <c r="AC176" s="219">
        <v>0.21</v>
      </c>
      <c r="AD176" s="219">
        <v>0.21</v>
      </c>
      <c r="AE176" s="219">
        <v>0.21</v>
      </c>
      <c r="AF176" s="219">
        <v>0.21</v>
      </c>
      <c r="AG176" s="219">
        <v>0.21</v>
      </c>
      <c r="AH176" s="219">
        <v>0.21</v>
      </c>
      <c r="AI176" s="219">
        <v>0.21</v>
      </c>
      <c r="AJ176" s="219">
        <v>0.21</v>
      </c>
      <c r="AK176" s="219">
        <v>0.21</v>
      </c>
      <c r="AL176" s="229" t="s">
        <v>573</v>
      </c>
      <c r="AM176" s="219">
        <f t="shared" si="84"/>
        <v>0</v>
      </c>
      <c r="AN176" s="229">
        <v>2880</v>
      </c>
      <c r="AO176" s="221">
        <f t="shared" si="85"/>
        <v>604.79999999999995</v>
      </c>
      <c r="AP176" s="222" t="s">
        <v>573</v>
      </c>
      <c r="AQ176" s="221">
        <f t="shared" si="86"/>
        <v>0</v>
      </c>
      <c r="AR176" s="222" t="s">
        <v>573</v>
      </c>
      <c r="AS176" s="58">
        <f t="shared" si="87"/>
        <v>0</v>
      </c>
      <c r="AT176" s="222">
        <v>2880</v>
      </c>
      <c r="AU176" s="58">
        <f t="shared" si="88"/>
        <v>604.79999999999995</v>
      </c>
      <c r="AV176" s="222" t="s">
        <v>573</v>
      </c>
      <c r="AW176" s="58">
        <f t="shared" si="89"/>
        <v>0</v>
      </c>
      <c r="AX176" s="251" t="s">
        <v>573</v>
      </c>
      <c r="AY176" s="58">
        <f t="shared" si="90"/>
        <v>0</v>
      </c>
      <c r="AZ176" s="222" t="s">
        <v>573</v>
      </c>
      <c r="BA176" s="58">
        <f t="shared" si="79"/>
        <v>0</v>
      </c>
      <c r="BB176" s="222">
        <v>2880</v>
      </c>
      <c r="BC176" s="58">
        <f t="shared" si="80"/>
        <v>604.79999999999995</v>
      </c>
      <c r="BD176" s="222" t="s">
        <v>573</v>
      </c>
      <c r="BE176" s="58">
        <f t="shared" si="81"/>
        <v>0</v>
      </c>
      <c r="BF176" s="222">
        <v>2880</v>
      </c>
      <c r="BG176" s="58">
        <f t="shared" si="82"/>
        <v>604.79999999999995</v>
      </c>
      <c r="BH176" s="223" t="s">
        <v>573</v>
      </c>
      <c r="BI176" s="58">
        <f t="shared" si="83"/>
        <v>0</v>
      </c>
      <c r="BJ176" s="220">
        <f t="shared" si="91"/>
        <v>11520</v>
      </c>
      <c r="BK176" s="58"/>
      <c r="BL176" s="58" t="s">
        <v>1042</v>
      </c>
      <c r="BM176" s="220" t="s">
        <v>1388</v>
      </c>
      <c r="BN176" s="213" t="s">
        <v>1310</v>
      </c>
      <c r="BO176" s="58" t="s">
        <v>1278</v>
      </c>
      <c r="BP176" s="199">
        <v>45961</v>
      </c>
      <c r="BQ176" s="2" t="s">
        <v>1386</v>
      </c>
    </row>
    <row r="177" spans="1:69" ht="15.75" customHeight="1">
      <c r="A177" s="213" t="s">
        <v>788</v>
      </c>
      <c r="B177" s="58" t="s">
        <v>199</v>
      </c>
      <c r="C177" s="58" t="s">
        <v>752</v>
      </c>
      <c r="D177" s="214" t="s">
        <v>789</v>
      </c>
      <c r="E177" s="214" t="s">
        <v>789</v>
      </c>
      <c r="F177" s="215" t="s">
        <v>186</v>
      </c>
      <c r="G177" s="216">
        <v>2020</v>
      </c>
      <c r="H177" s="218" t="s">
        <v>208</v>
      </c>
      <c r="I177" s="218" t="s">
        <v>201</v>
      </c>
      <c r="J177" s="217" t="s">
        <v>890</v>
      </c>
      <c r="K177" s="213" t="s">
        <v>755</v>
      </c>
      <c r="L177" s="213" t="s">
        <v>192</v>
      </c>
      <c r="M177" s="219" t="s">
        <v>1388</v>
      </c>
      <c r="N177" s="219">
        <v>10.73</v>
      </c>
      <c r="O177" s="219">
        <v>10.73</v>
      </c>
      <c r="P177" s="219">
        <v>10.73</v>
      </c>
      <c r="Q177" s="219">
        <v>10.73</v>
      </c>
      <c r="R177" s="219">
        <v>10.73</v>
      </c>
      <c r="S177" s="219">
        <v>10.73</v>
      </c>
      <c r="T177" s="219">
        <v>10.73</v>
      </c>
      <c r="U177" s="219">
        <v>10.73</v>
      </c>
      <c r="V177" s="219">
        <v>10.73</v>
      </c>
      <c r="W177" s="219">
        <v>10.73</v>
      </c>
      <c r="X177" s="219">
        <v>10.73</v>
      </c>
      <c r="Y177" s="219">
        <v>10.73</v>
      </c>
      <c r="Z177" s="219">
        <v>0.21</v>
      </c>
      <c r="AA177" s="219">
        <v>0.21</v>
      </c>
      <c r="AB177" s="219">
        <v>0.21</v>
      </c>
      <c r="AC177" s="219">
        <v>0.21</v>
      </c>
      <c r="AD177" s="219">
        <v>0.21</v>
      </c>
      <c r="AE177" s="219">
        <v>0.21</v>
      </c>
      <c r="AF177" s="219">
        <v>0.21</v>
      </c>
      <c r="AG177" s="219">
        <v>0.21</v>
      </c>
      <c r="AH177" s="219">
        <v>0.21</v>
      </c>
      <c r="AI177" s="219">
        <v>0.21</v>
      </c>
      <c r="AJ177" s="219">
        <v>0.21</v>
      </c>
      <c r="AK177" s="219">
        <v>0.21</v>
      </c>
      <c r="AL177" s="229">
        <v>2880</v>
      </c>
      <c r="AM177" s="219">
        <f t="shared" si="84"/>
        <v>604.79999999999995</v>
      </c>
      <c r="AN177" s="229" t="s">
        <v>573</v>
      </c>
      <c r="AO177" s="221">
        <f t="shared" si="85"/>
        <v>0</v>
      </c>
      <c r="AP177" s="222" t="s">
        <v>573</v>
      </c>
      <c r="AQ177" s="221">
        <f t="shared" si="86"/>
        <v>0</v>
      </c>
      <c r="AR177" s="222">
        <v>2880</v>
      </c>
      <c r="AS177" s="58">
        <f t="shared" si="87"/>
        <v>604.79999999999995</v>
      </c>
      <c r="AT177" s="222">
        <v>2880</v>
      </c>
      <c r="AU177" s="58">
        <f t="shared" si="88"/>
        <v>604.79999999999995</v>
      </c>
      <c r="AV177" s="222">
        <v>2880</v>
      </c>
      <c r="AW177" s="58">
        <f t="shared" si="89"/>
        <v>604.79999999999995</v>
      </c>
      <c r="AX177" s="251" t="s">
        <v>573</v>
      </c>
      <c r="AY177" s="58">
        <f t="shared" si="90"/>
        <v>0</v>
      </c>
      <c r="AZ177" s="222" t="s">
        <v>573</v>
      </c>
      <c r="BA177" s="58">
        <f t="shared" si="79"/>
        <v>0</v>
      </c>
      <c r="BB177" s="222">
        <v>2880</v>
      </c>
      <c r="BC177" s="58">
        <f t="shared" si="80"/>
        <v>604.79999999999995</v>
      </c>
      <c r="BD177" s="222" t="s">
        <v>573</v>
      </c>
      <c r="BE177" s="58">
        <f t="shared" si="81"/>
        <v>0</v>
      </c>
      <c r="BF177" s="222">
        <v>2880</v>
      </c>
      <c r="BG177" s="58">
        <f t="shared" si="82"/>
        <v>604.79999999999995</v>
      </c>
      <c r="BH177" s="223" t="s">
        <v>573</v>
      </c>
      <c r="BI177" s="58">
        <f t="shared" si="83"/>
        <v>0</v>
      </c>
      <c r="BJ177" s="220">
        <f t="shared" si="91"/>
        <v>17280</v>
      </c>
      <c r="BK177" s="58"/>
      <c r="BL177" s="58" t="s">
        <v>1043</v>
      </c>
      <c r="BM177" s="220" t="s">
        <v>1388</v>
      </c>
      <c r="BN177" s="213" t="s">
        <v>754</v>
      </c>
      <c r="BO177" s="58" t="s">
        <v>1279</v>
      </c>
      <c r="BP177" s="199">
        <v>45961</v>
      </c>
      <c r="BQ177" s="2" t="s">
        <v>1386</v>
      </c>
    </row>
    <row r="178" spans="1:69" ht="15.75" customHeight="1">
      <c r="A178" s="213" t="s">
        <v>788</v>
      </c>
      <c r="B178" s="58" t="s">
        <v>199</v>
      </c>
      <c r="C178" s="58" t="s">
        <v>752</v>
      </c>
      <c r="D178" s="214" t="s">
        <v>789</v>
      </c>
      <c r="E178" s="214" t="s">
        <v>789</v>
      </c>
      <c r="F178" s="215" t="s">
        <v>186</v>
      </c>
      <c r="G178" s="216">
        <v>2021</v>
      </c>
      <c r="H178" s="218" t="s">
        <v>211</v>
      </c>
      <c r="I178" s="218" t="s">
        <v>212</v>
      </c>
      <c r="J178" s="217" t="s">
        <v>890</v>
      </c>
      <c r="K178" s="213" t="s">
        <v>753</v>
      </c>
      <c r="L178" s="213" t="s">
        <v>192</v>
      </c>
      <c r="M178" s="219" t="s">
        <v>1388</v>
      </c>
      <c r="N178" s="219">
        <v>7.48</v>
      </c>
      <c r="O178" s="219">
        <v>7.48</v>
      </c>
      <c r="P178" s="219">
        <v>7.48</v>
      </c>
      <c r="Q178" s="219">
        <v>7.48</v>
      </c>
      <c r="R178" s="219">
        <v>7.48</v>
      </c>
      <c r="S178" s="219">
        <v>7.48</v>
      </c>
      <c r="T178" s="219">
        <v>7.48</v>
      </c>
      <c r="U178" s="219">
        <v>7.48</v>
      </c>
      <c r="V178" s="219">
        <v>7.48</v>
      </c>
      <c r="W178" s="219">
        <v>7.48</v>
      </c>
      <c r="X178" s="219">
        <v>7.48</v>
      </c>
      <c r="Y178" s="219">
        <v>7.48</v>
      </c>
      <c r="Z178" s="219">
        <v>0.15</v>
      </c>
      <c r="AA178" s="219">
        <v>0.15</v>
      </c>
      <c r="AB178" s="219">
        <v>0.15</v>
      </c>
      <c r="AC178" s="219">
        <v>0.15</v>
      </c>
      <c r="AD178" s="219">
        <v>0.15</v>
      </c>
      <c r="AE178" s="219">
        <v>0.15</v>
      </c>
      <c r="AF178" s="219">
        <v>0.15</v>
      </c>
      <c r="AG178" s="219">
        <v>0.15</v>
      </c>
      <c r="AH178" s="219">
        <v>0.15</v>
      </c>
      <c r="AI178" s="219">
        <v>0.15</v>
      </c>
      <c r="AJ178" s="219">
        <v>0.15</v>
      </c>
      <c r="AK178" s="219">
        <v>0.15</v>
      </c>
      <c r="AL178" s="229">
        <v>1200</v>
      </c>
      <c r="AM178" s="219">
        <f t="shared" si="84"/>
        <v>180</v>
      </c>
      <c r="AN178" s="229">
        <v>1200</v>
      </c>
      <c r="AO178" s="221">
        <f t="shared" si="85"/>
        <v>180</v>
      </c>
      <c r="AP178" s="222">
        <v>3600</v>
      </c>
      <c r="AQ178" s="221">
        <f t="shared" si="86"/>
        <v>540</v>
      </c>
      <c r="AR178" s="222" t="s">
        <v>573</v>
      </c>
      <c r="AS178" s="58">
        <f t="shared" si="87"/>
        <v>0</v>
      </c>
      <c r="AT178" s="222" t="s">
        <v>573</v>
      </c>
      <c r="AU178" s="58">
        <f t="shared" si="88"/>
        <v>0</v>
      </c>
      <c r="AV178" s="222">
        <v>10800</v>
      </c>
      <c r="AW178" s="58">
        <f t="shared" si="89"/>
        <v>1620</v>
      </c>
      <c r="AX178" s="251" t="s">
        <v>573</v>
      </c>
      <c r="AY178" s="58">
        <f t="shared" si="90"/>
        <v>0</v>
      </c>
      <c r="AZ178" s="222" t="s">
        <v>573</v>
      </c>
      <c r="BA178" s="58">
        <f t="shared" si="79"/>
        <v>0</v>
      </c>
      <c r="BB178" s="222" t="s">
        <v>573</v>
      </c>
      <c r="BC178" s="58">
        <f t="shared" si="80"/>
        <v>0</v>
      </c>
      <c r="BD178" s="222" t="s">
        <v>573</v>
      </c>
      <c r="BE178" s="58">
        <f t="shared" si="81"/>
        <v>0</v>
      </c>
      <c r="BF178" s="222" t="s">
        <v>573</v>
      </c>
      <c r="BG178" s="58">
        <f t="shared" si="82"/>
        <v>0</v>
      </c>
      <c r="BH178" s="223" t="s">
        <v>573</v>
      </c>
      <c r="BI178" s="58">
        <f t="shared" si="83"/>
        <v>0</v>
      </c>
      <c r="BJ178" s="220">
        <f t="shared" si="91"/>
        <v>16800</v>
      </c>
      <c r="BK178" s="58"/>
      <c r="BL178" s="58" t="s">
        <v>1044</v>
      </c>
      <c r="BM178" s="220" t="s">
        <v>1388</v>
      </c>
      <c r="BN178" s="213" t="s">
        <v>1310</v>
      </c>
      <c r="BO178" s="58" t="s">
        <v>1280</v>
      </c>
      <c r="BP178" s="199">
        <v>45961</v>
      </c>
      <c r="BQ178" s="2" t="s">
        <v>1386</v>
      </c>
    </row>
    <row r="179" spans="1:69" ht="15.75" customHeight="1">
      <c r="A179" s="213" t="s">
        <v>788</v>
      </c>
      <c r="B179" s="58" t="s">
        <v>199</v>
      </c>
      <c r="C179" s="58" t="s">
        <v>752</v>
      </c>
      <c r="D179" s="214" t="s">
        <v>789</v>
      </c>
      <c r="E179" s="214" t="s">
        <v>789</v>
      </c>
      <c r="F179" s="215" t="s">
        <v>186</v>
      </c>
      <c r="G179" s="216">
        <v>2021</v>
      </c>
      <c r="H179" s="218" t="s">
        <v>211</v>
      </c>
      <c r="I179" s="218" t="s">
        <v>212</v>
      </c>
      <c r="J179" s="217" t="s">
        <v>890</v>
      </c>
      <c r="K179" s="213" t="s">
        <v>753</v>
      </c>
      <c r="L179" s="213" t="s">
        <v>192</v>
      </c>
      <c r="M179" s="219" t="s">
        <v>1388</v>
      </c>
      <c r="N179" s="219">
        <v>7.46</v>
      </c>
      <c r="O179" s="219">
        <v>7.46</v>
      </c>
      <c r="P179" s="219">
        <v>7.46</v>
      </c>
      <c r="Q179" s="219">
        <v>7.46</v>
      </c>
      <c r="R179" s="219">
        <v>7.46</v>
      </c>
      <c r="S179" s="219">
        <v>7.46</v>
      </c>
      <c r="T179" s="219">
        <v>7.46</v>
      </c>
      <c r="U179" s="219">
        <v>7.46</v>
      </c>
      <c r="V179" s="219">
        <v>7.46</v>
      </c>
      <c r="W179" s="219">
        <v>7.46</v>
      </c>
      <c r="X179" s="219">
        <v>7.46</v>
      </c>
      <c r="Y179" s="219">
        <v>7.46</v>
      </c>
      <c r="Z179" s="219">
        <v>0.15</v>
      </c>
      <c r="AA179" s="219">
        <v>0.15</v>
      </c>
      <c r="AB179" s="219">
        <v>0.15</v>
      </c>
      <c r="AC179" s="219">
        <v>0.15</v>
      </c>
      <c r="AD179" s="219">
        <v>0.15</v>
      </c>
      <c r="AE179" s="219">
        <v>0.15</v>
      </c>
      <c r="AF179" s="219">
        <v>0.15</v>
      </c>
      <c r="AG179" s="219">
        <v>0.15</v>
      </c>
      <c r="AH179" s="219">
        <v>0.15</v>
      </c>
      <c r="AI179" s="219">
        <v>0.15</v>
      </c>
      <c r="AJ179" s="219">
        <v>0.15</v>
      </c>
      <c r="AK179" s="219">
        <v>0.15</v>
      </c>
      <c r="AL179" s="229">
        <v>2400</v>
      </c>
      <c r="AM179" s="219">
        <f t="shared" si="84"/>
        <v>360</v>
      </c>
      <c r="AN179" s="229" t="s">
        <v>573</v>
      </c>
      <c r="AO179" s="221">
        <f t="shared" si="85"/>
        <v>0</v>
      </c>
      <c r="AP179" s="222">
        <v>1200</v>
      </c>
      <c r="AQ179" s="221">
        <f t="shared" si="86"/>
        <v>180</v>
      </c>
      <c r="AR179" s="222">
        <v>1200</v>
      </c>
      <c r="AS179" s="58">
        <f t="shared" si="87"/>
        <v>180</v>
      </c>
      <c r="AT179" s="222" t="s">
        <v>573</v>
      </c>
      <c r="AU179" s="58">
        <f t="shared" si="88"/>
        <v>0</v>
      </c>
      <c r="AV179" s="222" t="s">
        <v>573</v>
      </c>
      <c r="AW179" s="58">
        <f t="shared" si="89"/>
        <v>0</v>
      </c>
      <c r="AX179" s="251">
        <v>1200</v>
      </c>
      <c r="AY179" s="58">
        <f t="shared" si="90"/>
        <v>180</v>
      </c>
      <c r="AZ179" s="222" t="s">
        <v>573</v>
      </c>
      <c r="BA179" s="58">
        <f t="shared" si="79"/>
        <v>0</v>
      </c>
      <c r="BB179" s="222">
        <v>2400</v>
      </c>
      <c r="BC179" s="58">
        <f t="shared" si="80"/>
        <v>360</v>
      </c>
      <c r="BD179" s="222" t="s">
        <v>573</v>
      </c>
      <c r="BE179" s="58">
        <f t="shared" si="81"/>
        <v>0</v>
      </c>
      <c r="BF179" s="222">
        <v>3600</v>
      </c>
      <c r="BG179" s="58">
        <f t="shared" si="82"/>
        <v>540</v>
      </c>
      <c r="BH179" s="223" t="s">
        <v>573</v>
      </c>
      <c r="BI179" s="58">
        <f t="shared" si="83"/>
        <v>0</v>
      </c>
      <c r="BJ179" s="220">
        <f t="shared" si="91"/>
        <v>12000</v>
      </c>
      <c r="BK179" s="58"/>
      <c r="BL179" s="58" t="s">
        <v>1045</v>
      </c>
      <c r="BM179" s="220" t="s">
        <v>1388</v>
      </c>
      <c r="BN179" s="213" t="s">
        <v>1310</v>
      </c>
      <c r="BO179" s="58" t="s">
        <v>1281</v>
      </c>
      <c r="BP179" s="199">
        <v>45961</v>
      </c>
      <c r="BQ179" s="2" t="s">
        <v>1386</v>
      </c>
    </row>
    <row r="180" spans="1:69" ht="15.75" customHeight="1">
      <c r="A180" s="213" t="s">
        <v>788</v>
      </c>
      <c r="B180" s="58" t="s">
        <v>199</v>
      </c>
      <c r="C180" s="58" t="s">
        <v>752</v>
      </c>
      <c r="D180" s="214" t="s">
        <v>789</v>
      </c>
      <c r="E180" s="214" t="s">
        <v>789</v>
      </c>
      <c r="F180" s="215" t="s">
        <v>186</v>
      </c>
      <c r="G180" s="216">
        <v>2021</v>
      </c>
      <c r="H180" s="218" t="s">
        <v>211</v>
      </c>
      <c r="I180" s="218" t="s">
        <v>212</v>
      </c>
      <c r="J180" s="217" t="s">
        <v>890</v>
      </c>
      <c r="K180" s="213" t="s">
        <v>753</v>
      </c>
      <c r="L180" s="213" t="s">
        <v>192</v>
      </c>
      <c r="M180" s="219" t="s">
        <v>1388</v>
      </c>
      <c r="N180" s="219">
        <v>7.4</v>
      </c>
      <c r="O180" s="219">
        <v>7.4</v>
      </c>
      <c r="P180" s="219">
        <v>7.4</v>
      </c>
      <c r="Q180" s="219">
        <v>7.4</v>
      </c>
      <c r="R180" s="219">
        <v>7.4</v>
      </c>
      <c r="S180" s="219">
        <v>7.4</v>
      </c>
      <c r="T180" s="219">
        <v>7.4</v>
      </c>
      <c r="U180" s="219">
        <v>7.4</v>
      </c>
      <c r="V180" s="219">
        <v>7.4</v>
      </c>
      <c r="W180" s="219">
        <v>7.4</v>
      </c>
      <c r="X180" s="219">
        <v>7.4</v>
      </c>
      <c r="Y180" s="219">
        <v>7.4</v>
      </c>
      <c r="Z180" s="219">
        <v>0.15</v>
      </c>
      <c r="AA180" s="219">
        <v>0.15</v>
      </c>
      <c r="AB180" s="219">
        <v>0.15</v>
      </c>
      <c r="AC180" s="219">
        <v>0.15</v>
      </c>
      <c r="AD180" s="219">
        <v>0.15</v>
      </c>
      <c r="AE180" s="219">
        <v>0.15</v>
      </c>
      <c r="AF180" s="219">
        <v>0.15</v>
      </c>
      <c r="AG180" s="219">
        <v>0.15</v>
      </c>
      <c r="AH180" s="219">
        <v>0.15</v>
      </c>
      <c r="AI180" s="219">
        <v>0.15</v>
      </c>
      <c r="AJ180" s="219">
        <v>0.15</v>
      </c>
      <c r="AK180" s="219">
        <v>0.15</v>
      </c>
      <c r="AL180" s="229">
        <v>1200</v>
      </c>
      <c r="AM180" s="219">
        <f t="shared" si="84"/>
        <v>180</v>
      </c>
      <c r="AN180" s="229">
        <v>1200</v>
      </c>
      <c r="AO180" s="221">
        <f t="shared" si="85"/>
        <v>180</v>
      </c>
      <c r="AP180" s="222" t="s">
        <v>573</v>
      </c>
      <c r="AQ180" s="221">
        <f t="shared" si="86"/>
        <v>0</v>
      </c>
      <c r="AR180" s="222" t="s">
        <v>573</v>
      </c>
      <c r="AS180" s="58">
        <f t="shared" si="87"/>
        <v>0</v>
      </c>
      <c r="AT180" s="222" t="s">
        <v>573</v>
      </c>
      <c r="AU180" s="58">
        <f t="shared" si="88"/>
        <v>0</v>
      </c>
      <c r="AV180" s="222">
        <v>1200</v>
      </c>
      <c r="AW180" s="58">
        <f t="shared" si="89"/>
        <v>180</v>
      </c>
      <c r="AX180" s="251">
        <v>1200</v>
      </c>
      <c r="AY180" s="58">
        <f t="shared" si="90"/>
        <v>180</v>
      </c>
      <c r="AZ180" s="222" t="s">
        <v>573</v>
      </c>
      <c r="BA180" s="58">
        <f t="shared" si="79"/>
        <v>0</v>
      </c>
      <c r="BB180" s="222" t="s">
        <v>573</v>
      </c>
      <c r="BC180" s="58">
        <f t="shared" si="80"/>
        <v>0</v>
      </c>
      <c r="BD180" s="222">
        <v>1200</v>
      </c>
      <c r="BE180" s="58">
        <f t="shared" si="81"/>
        <v>180</v>
      </c>
      <c r="BF180" s="222">
        <v>1200</v>
      </c>
      <c r="BG180" s="58">
        <f t="shared" si="82"/>
        <v>180</v>
      </c>
      <c r="BH180" s="223" t="s">
        <v>573</v>
      </c>
      <c r="BI180" s="58">
        <f t="shared" si="83"/>
        <v>0</v>
      </c>
      <c r="BJ180" s="220">
        <f t="shared" si="91"/>
        <v>7200</v>
      </c>
      <c r="BK180" s="58"/>
      <c r="BL180" s="58" t="s">
        <v>1046</v>
      </c>
      <c r="BM180" s="220" t="s">
        <v>1388</v>
      </c>
      <c r="BN180" s="213" t="s">
        <v>754</v>
      </c>
      <c r="BO180" s="58" t="s">
        <v>1282</v>
      </c>
      <c r="BP180" s="199">
        <v>45961</v>
      </c>
      <c r="BQ180" s="2" t="s">
        <v>1386</v>
      </c>
    </row>
    <row r="181" spans="1:69" ht="15.75" customHeight="1">
      <c r="A181" s="213" t="s">
        <v>788</v>
      </c>
      <c r="B181" s="58" t="s">
        <v>199</v>
      </c>
      <c r="C181" s="58" t="s">
        <v>752</v>
      </c>
      <c r="D181" s="214" t="s">
        <v>789</v>
      </c>
      <c r="E181" s="214" t="s">
        <v>789</v>
      </c>
      <c r="F181" s="215" t="s">
        <v>186</v>
      </c>
      <c r="G181" s="216">
        <v>2021</v>
      </c>
      <c r="H181" s="218" t="s">
        <v>211</v>
      </c>
      <c r="I181" s="218" t="s">
        <v>212</v>
      </c>
      <c r="J181" s="217" t="s">
        <v>890</v>
      </c>
      <c r="K181" s="213" t="s">
        <v>753</v>
      </c>
      <c r="L181" s="213" t="s">
        <v>192</v>
      </c>
      <c r="M181" s="219" t="s">
        <v>1388</v>
      </c>
      <c r="N181" s="219">
        <v>7.42</v>
      </c>
      <c r="O181" s="219">
        <v>7.42</v>
      </c>
      <c r="P181" s="219">
        <v>7.42</v>
      </c>
      <c r="Q181" s="219">
        <v>7.42</v>
      </c>
      <c r="R181" s="219">
        <v>7.42</v>
      </c>
      <c r="S181" s="219">
        <v>7.42</v>
      </c>
      <c r="T181" s="219">
        <v>7.42</v>
      </c>
      <c r="U181" s="219">
        <v>7.42</v>
      </c>
      <c r="V181" s="219">
        <v>7.42</v>
      </c>
      <c r="W181" s="219">
        <v>7.42</v>
      </c>
      <c r="X181" s="219">
        <v>7.42</v>
      </c>
      <c r="Y181" s="219">
        <v>7.42</v>
      </c>
      <c r="Z181" s="219">
        <v>0.15</v>
      </c>
      <c r="AA181" s="219">
        <v>0.15</v>
      </c>
      <c r="AB181" s="219">
        <v>0.15</v>
      </c>
      <c r="AC181" s="219">
        <v>0.15</v>
      </c>
      <c r="AD181" s="219">
        <v>0.15</v>
      </c>
      <c r="AE181" s="219">
        <v>0.15</v>
      </c>
      <c r="AF181" s="219">
        <v>0.15</v>
      </c>
      <c r="AG181" s="219">
        <v>0.15</v>
      </c>
      <c r="AH181" s="219">
        <v>0.15</v>
      </c>
      <c r="AI181" s="219">
        <v>0.15</v>
      </c>
      <c r="AJ181" s="219">
        <v>0.15</v>
      </c>
      <c r="AK181" s="219">
        <v>0.15</v>
      </c>
      <c r="AL181" s="229">
        <v>38400</v>
      </c>
      <c r="AM181" s="219">
        <f t="shared" si="84"/>
        <v>5760</v>
      </c>
      <c r="AN181" s="229">
        <v>2400</v>
      </c>
      <c r="AO181" s="221">
        <f t="shared" si="85"/>
        <v>360</v>
      </c>
      <c r="AP181" s="222" t="s">
        <v>573</v>
      </c>
      <c r="AQ181" s="221">
        <f t="shared" si="86"/>
        <v>0</v>
      </c>
      <c r="AR181" s="222" t="s">
        <v>573</v>
      </c>
      <c r="AS181" s="58">
        <f t="shared" si="87"/>
        <v>0</v>
      </c>
      <c r="AT181" s="222" t="s">
        <v>573</v>
      </c>
      <c r="AU181" s="58">
        <f t="shared" si="88"/>
        <v>0</v>
      </c>
      <c r="AV181" s="222" t="s">
        <v>573</v>
      </c>
      <c r="AW181" s="58">
        <f t="shared" si="89"/>
        <v>0</v>
      </c>
      <c r="AX181" s="251" t="s">
        <v>573</v>
      </c>
      <c r="AY181" s="58">
        <f t="shared" si="90"/>
        <v>0</v>
      </c>
      <c r="AZ181" s="222" t="s">
        <v>573</v>
      </c>
      <c r="BA181" s="58">
        <f t="shared" si="79"/>
        <v>0</v>
      </c>
      <c r="BB181" s="222" t="s">
        <v>573</v>
      </c>
      <c r="BC181" s="58">
        <f t="shared" si="80"/>
        <v>0</v>
      </c>
      <c r="BD181" s="222" t="s">
        <v>573</v>
      </c>
      <c r="BE181" s="58">
        <f t="shared" si="81"/>
        <v>0</v>
      </c>
      <c r="BF181" s="222" t="s">
        <v>573</v>
      </c>
      <c r="BG181" s="58">
        <f t="shared" si="82"/>
        <v>0</v>
      </c>
      <c r="BH181" s="223" t="s">
        <v>573</v>
      </c>
      <c r="BI181" s="58">
        <f t="shared" si="83"/>
        <v>0</v>
      </c>
      <c r="BJ181" s="220">
        <f t="shared" si="91"/>
        <v>40800</v>
      </c>
      <c r="BK181" s="58"/>
      <c r="BL181" s="58" t="s">
        <v>1047</v>
      </c>
      <c r="BM181" s="220" t="s">
        <v>1388</v>
      </c>
      <c r="BN181" s="213" t="s">
        <v>197</v>
      </c>
      <c r="BO181" s="58" t="s">
        <v>1283</v>
      </c>
      <c r="BP181" s="199">
        <v>45961</v>
      </c>
      <c r="BQ181" s="2" t="s">
        <v>1386</v>
      </c>
    </row>
    <row r="182" spans="1:69" ht="15.75" customHeight="1">
      <c r="A182" s="213" t="s">
        <v>788</v>
      </c>
      <c r="B182" s="58" t="s">
        <v>199</v>
      </c>
      <c r="C182" s="58" t="s">
        <v>752</v>
      </c>
      <c r="D182" s="214" t="s">
        <v>789</v>
      </c>
      <c r="E182" s="214" t="s">
        <v>789</v>
      </c>
      <c r="F182" s="215" t="s">
        <v>186</v>
      </c>
      <c r="G182" s="216">
        <v>2021</v>
      </c>
      <c r="H182" s="218" t="s">
        <v>211</v>
      </c>
      <c r="I182" s="218" t="s">
        <v>212</v>
      </c>
      <c r="J182" s="217" t="s">
        <v>890</v>
      </c>
      <c r="K182" s="213" t="s">
        <v>753</v>
      </c>
      <c r="L182" s="213" t="s">
        <v>192</v>
      </c>
      <c r="M182" s="219" t="s">
        <v>1388</v>
      </c>
      <c r="N182" s="219">
        <v>7.92</v>
      </c>
      <c r="O182" s="219">
        <v>7.92</v>
      </c>
      <c r="P182" s="219">
        <v>7.92</v>
      </c>
      <c r="Q182" s="219">
        <v>7.92</v>
      </c>
      <c r="R182" s="219">
        <v>7.92</v>
      </c>
      <c r="S182" s="219">
        <v>7.92</v>
      </c>
      <c r="T182" s="219">
        <v>7.92</v>
      </c>
      <c r="U182" s="219">
        <v>7.92</v>
      </c>
      <c r="V182" s="219">
        <v>7.92</v>
      </c>
      <c r="W182" s="219">
        <v>7.92</v>
      </c>
      <c r="X182" s="219">
        <v>7.92</v>
      </c>
      <c r="Y182" s="219">
        <v>7.92</v>
      </c>
      <c r="Z182" s="219">
        <v>0.15</v>
      </c>
      <c r="AA182" s="219">
        <v>0.15</v>
      </c>
      <c r="AB182" s="219">
        <v>0.15</v>
      </c>
      <c r="AC182" s="219">
        <v>0.15</v>
      </c>
      <c r="AD182" s="219">
        <v>0.15</v>
      </c>
      <c r="AE182" s="219">
        <v>0.15</v>
      </c>
      <c r="AF182" s="219">
        <v>0.15</v>
      </c>
      <c r="AG182" s="219">
        <v>0.15</v>
      </c>
      <c r="AH182" s="219">
        <v>0.15</v>
      </c>
      <c r="AI182" s="219">
        <v>0.15</v>
      </c>
      <c r="AJ182" s="219">
        <v>0.15</v>
      </c>
      <c r="AK182" s="219">
        <v>0.15</v>
      </c>
      <c r="AL182" s="229" t="s">
        <v>573</v>
      </c>
      <c r="AM182" s="219">
        <f t="shared" si="84"/>
        <v>0</v>
      </c>
      <c r="AN182" s="229">
        <v>1200</v>
      </c>
      <c r="AO182" s="221">
        <f t="shared" si="85"/>
        <v>180</v>
      </c>
      <c r="AP182" s="222" t="s">
        <v>573</v>
      </c>
      <c r="AQ182" s="221">
        <f t="shared" si="86"/>
        <v>0</v>
      </c>
      <c r="AR182" s="222" t="s">
        <v>573</v>
      </c>
      <c r="AS182" s="58">
        <f t="shared" si="87"/>
        <v>0</v>
      </c>
      <c r="AT182" s="222" t="s">
        <v>573</v>
      </c>
      <c r="AU182" s="58">
        <f t="shared" si="88"/>
        <v>0</v>
      </c>
      <c r="AV182" s="222" t="s">
        <v>573</v>
      </c>
      <c r="AW182" s="58">
        <f t="shared" si="89"/>
        <v>0</v>
      </c>
      <c r="AX182" s="251" t="s">
        <v>573</v>
      </c>
      <c r="AY182" s="58">
        <f t="shared" si="90"/>
        <v>0</v>
      </c>
      <c r="AZ182" s="222" t="s">
        <v>573</v>
      </c>
      <c r="BA182" s="58">
        <f t="shared" si="79"/>
        <v>0</v>
      </c>
      <c r="BB182" s="222" t="s">
        <v>573</v>
      </c>
      <c r="BC182" s="58">
        <f t="shared" si="80"/>
        <v>0</v>
      </c>
      <c r="BD182" s="222" t="s">
        <v>573</v>
      </c>
      <c r="BE182" s="58">
        <f t="shared" si="81"/>
        <v>0</v>
      </c>
      <c r="BF182" s="222" t="s">
        <v>573</v>
      </c>
      <c r="BG182" s="58">
        <f t="shared" si="82"/>
        <v>0</v>
      </c>
      <c r="BH182" s="223" t="s">
        <v>573</v>
      </c>
      <c r="BI182" s="58">
        <f t="shared" si="83"/>
        <v>0</v>
      </c>
      <c r="BJ182" s="220">
        <f t="shared" si="91"/>
        <v>1200</v>
      </c>
      <c r="BK182" s="58"/>
      <c r="BL182" s="58" t="s">
        <v>1048</v>
      </c>
      <c r="BM182" s="220" t="s">
        <v>1388</v>
      </c>
      <c r="BN182" s="213" t="s">
        <v>754</v>
      </c>
      <c r="BO182" s="58" t="s">
        <v>545</v>
      </c>
      <c r="BP182" s="199">
        <v>45961</v>
      </c>
      <c r="BQ182" s="2" t="s">
        <v>1386</v>
      </c>
    </row>
    <row r="183" spans="1:69" ht="15.75" customHeight="1">
      <c r="A183" s="213" t="s">
        <v>788</v>
      </c>
      <c r="B183" s="58" t="s">
        <v>199</v>
      </c>
      <c r="C183" s="58" t="s">
        <v>752</v>
      </c>
      <c r="D183" s="214" t="s">
        <v>789</v>
      </c>
      <c r="E183" s="214" t="s">
        <v>789</v>
      </c>
      <c r="F183" s="215" t="s">
        <v>186</v>
      </c>
      <c r="G183" s="216">
        <v>2020</v>
      </c>
      <c r="H183" s="218" t="s">
        <v>792</v>
      </c>
      <c r="I183" s="218" t="s">
        <v>201</v>
      </c>
      <c r="J183" s="217" t="s">
        <v>890</v>
      </c>
      <c r="K183" s="213" t="s">
        <v>221</v>
      </c>
      <c r="L183" s="213" t="s">
        <v>192</v>
      </c>
      <c r="M183" s="219" t="s">
        <v>1388</v>
      </c>
      <c r="N183" s="219">
        <v>4.99</v>
      </c>
      <c r="O183" s="219">
        <v>4.99</v>
      </c>
      <c r="P183" s="219">
        <v>4.99</v>
      </c>
      <c r="Q183" s="219">
        <v>4.99</v>
      </c>
      <c r="R183" s="219">
        <v>4.99</v>
      </c>
      <c r="S183" s="219">
        <v>4.99</v>
      </c>
      <c r="T183" s="219">
        <v>4.99</v>
      </c>
      <c r="U183" s="219">
        <v>4.99</v>
      </c>
      <c r="V183" s="219">
        <v>4.99</v>
      </c>
      <c r="W183" s="219">
        <v>4.99</v>
      </c>
      <c r="X183" s="219">
        <v>4.99</v>
      </c>
      <c r="Y183" s="219">
        <v>4.99</v>
      </c>
      <c r="Z183" s="219">
        <v>0</v>
      </c>
      <c r="AA183" s="219">
        <v>0</v>
      </c>
      <c r="AB183" s="219">
        <v>0</v>
      </c>
      <c r="AC183" s="219">
        <v>0</v>
      </c>
      <c r="AD183" s="219">
        <v>0</v>
      </c>
      <c r="AE183" s="219">
        <v>0</v>
      </c>
      <c r="AF183" s="219">
        <v>0</v>
      </c>
      <c r="AG183" s="219">
        <v>0</v>
      </c>
      <c r="AH183" s="219">
        <v>0</v>
      </c>
      <c r="AI183" s="219">
        <v>0</v>
      </c>
      <c r="AJ183" s="219">
        <v>0</v>
      </c>
      <c r="AK183" s="219">
        <v>0</v>
      </c>
      <c r="AL183" s="229">
        <v>5200</v>
      </c>
      <c r="AM183" s="219">
        <f t="shared" si="84"/>
        <v>0</v>
      </c>
      <c r="AN183" s="229" t="s">
        <v>573</v>
      </c>
      <c r="AO183" s="221">
        <f t="shared" si="85"/>
        <v>0</v>
      </c>
      <c r="AP183" s="222" t="s">
        <v>573</v>
      </c>
      <c r="AQ183" s="221">
        <f t="shared" si="86"/>
        <v>0</v>
      </c>
      <c r="AR183" s="222" t="s">
        <v>573</v>
      </c>
      <c r="AS183" s="58">
        <f t="shared" si="87"/>
        <v>0</v>
      </c>
      <c r="AT183" s="222">
        <v>5200</v>
      </c>
      <c r="AU183" s="58">
        <f t="shared" si="88"/>
        <v>0</v>
      </c>
      <c r="AV183" s="222">
        <v>5200</v>
      </c>
      <c r="AW183" s="58">
        <f t="shared" si="89"/>
        <v>0</v>
      </c>
      <c r="AX183" s="251" t="s">
        <v>573</v>
      </c>
      <c r="AY183" s="58">
        <f t="shared" si="90"/>
        <v>0</v>
      </c>
      <c r="AZ183" s="222" t="s">
        <v>573</v>
      </c>
      <c r="BA183" s="58">
        <f t="shared" si="79"/>
        <v>0</v>
      </c>
      <c r="BB183" s="222">
        <v>5200</v>
      </c>
      <c r="BC183" s="58">
        <f t="shared" si="80"/>
        <v>0</v>
      </c>
      <c r="BD183" s="222" t="s">
        <v>573</v>
      </c>
      <c r="BE183" s="58">
        <f t="shared" si="81"/>
        <v>0</v>
      </c>
      <c r="BF183" s="222" t="s">
        <v>573</v>
      </c>
      <c r="BG183" s="58">
        <f t="shared" si="82"/>
        <v>0</v>
      </c>
      <c r="BH183" s="223" t="s">
        <v>573</v>
      </c>
      <c r="BI183" s="58">
        <f t="shared" si="83"/>
        <v>0</v>
      </c>
      <c r="BJ183" s="220">
        <f t="shared" si="91"/>
        <v>20800</v>
      </c>
      <c r="BK183" s="58"/>
      <c r="BL183" s="58" t="s">
        <v>1049</v>
      </c>
      <c r="BM183" s="220" t="s">
        <v>1388</v>
      </c>
      <c r="BN183" s="213" t="s">
        <v>754</v>
      </c>
      <c r="BO183" s="58" t="s">
        <v>519</v>
      </c>
      <c r="BP183" s="199">
        <v>45961</v>
      </c>
      <c r="BQ183" s="2" t="s">
        <v>1386</v>
      </c>
    </row>
    <row r="184" spans="1:69" ht="15.75" customHeight="1">
      <c r="A184" s="213" t="s">
        <v>788</v>
      </c>
      <c r="B184" s="58" t="s">
        <v>199</v>
      </c>
      <c r="C184" s="58" t="s">
        <v>752</v>
      </c>
      <c r="D184" s="214" t="s">
        <v>789</v>
      </c>
      <c r="E184" s="214" t="s">
        <v>789</v>
      </c>
      <c r="F184" s="215" t="s">
        <v>186</v>
      </c>
      <c r="G184" s="216">
        <v>2020</v>
      </c>
      <c r="H184" s="218" t="s">
        <v>792</v>
      </c>
      <c r="I184" s="218" t="s">
        <v>201</v>
      </c>
      <c r="J184" s="217" t="s">
        <v>890</v>
      </c>
      <c r="K184" s="213" t="s">
        <v>221</v>
      </c>
      <c r="L184" s="213" t="s">
        <v>192</v>
      </c>
      <c r="M184" s="219" t="s">
        <v>1397</v>
      </c>
      <c r="N184" s="219">
        <v>4.93</v>
      </c>
      <c r="O184" s="219">
        <v>4.93</v>
      </c>
      <c r="P184" s="219">
        <v>4.93</v>
      </c>
      <c r="Q184" s="219">
        <v>4.93</v>
      </c>
      <c r="R184" s="219">
        <v>4.93</v>
      </c>
      <c r="S184" s="219">
        <v>4.93</v>
      </c>
      <c r="T184" s="219">
        <v>4.93</v>
      </c>
      <c r="U184" s="219">
        <v>4.93</v>
      </c>
      <c r="V184" s="219">
        <v>4.93</v>
      </c>
      <c r="W184" s="219">
        <v>4.93</v>
      </c>
      <c r="X184" s="219">
        <v>4.93</v>
      </c>
      <c r="Y184" s="219">
        <v>4.93</v>
      </c>
      <c r="Z184" s="219">
        <v>0</v>
      </c>
      <c r="AA184" s="219">
        <v>0</v>
      </c>
      <c r="AB184" s="219">
        <v>0</v>
      </c>
      <c r="AC184" s="219">
        <v>0</v>
      </c>
      <c r="AD184" s="219">
        <v>0</v>
      </c>
      <c r="AE184" s="219">
        <v>0</v>
      </c>
      <c r="AF184" s="219">
        <v>0</v>
      </c>
      <c r="AG184" s="219">
        <v>0</v>
      </c>
      <c r="AH184" s="219">
        <v>0</v>
      </c>
      <c r="AI184" s="219">
        <v>0</v>
      </c>
      <c r="AJ184" s="219">
        <v>0</v>
      </c>
      <c r="AK184" s="219">
        <v>0</v>
      </c>
      <c r="AL184" s="229" t="s">
        <v>573</v>
      </c>
      <c r="AM184" s="219">
        <f t="shared" si="84"/>
        <v>0</v>
      </c>
      <c r="AN184" s="229" t="s">
        <v>573</v>
      </c>
      <c r="AO184" s="221">
        <f t="shared" si="85"/>
        <v>0</v>
      </c>
      <c r="AP184" s="222" t="s">
        <v>573</v>
      </c>
      <c r="AQ184" s="221">
        <f t="shared" si="86"/>
        <v>0</v>
      </c>
      <c r="AR184" s="222" t="s">
        <v>573</v>
      </c>
      <c r="AS184" s="58">
        <f t="shared" si="87"/>
        <v>0</v>
      </c>
      <c r="AT184" s="222" t="s">
        <v>573</v>
      </c>
      <c r="AU184" s="58">
        <f t="shared" si="88"/>
        <v>0</v>
      </c>
      <c r="AV184" s="222" t="s">
        <v>573</v>
      </c>
      <c r="AW184" s="58">
        <f t="shared" si="89"/>
        <v>0</v>
      </c>
      <c r="AX184" s="251" t="s">
        <v>573</v>
      </c>
      <c r="AY184" s="58">
        <f t="shared" si="90"/>
        <v>0</v>
      </c>
      <c r="AZ184" s="222" t="s">
        <v>573</v>
      </c>
      <c r="BA184" s="58">
        <f t="shared" si="79"/>
        <v>0</v>
      </c>
      <c r="BB184" s="222" t="s">
        <v>573</v>
      </c>
      <c r="BC184" s="58">
        <f t="shared" si="80"/>
        <v>0</v>
      </c>
      <c r="BD184" s="222" t="s">
        <v>573</v>
      </c>
      <c r="BE184" s="58">
        <f t="shared" si="81"/>
        <v>0</v>
      </c>
      <c r="BF184" s="222" t="s">
        <v>573</v>
      </c>
      <c r="BG184" s="58">
        <f t="shared" si="82"/>
        <v>0</v>
      </c>
      <c r="BH184" s="223" t="s">
        <v>573</v>
      </c>
      <c r="BI184" s="58">
        <f t="shared" si="83"/>
        <v>0</v>
      </c>
      <c r="BJ184" s="220">
        <f t="shared" si="91"/>
        <v>0</v>
      </c>
      <c r="BK184" s="58"/>
      <c r="BL184" s="58" t="s">
        <v>1050</v>
      </c>
      <c r="BM184" s="220" t="s">
        <v>1397</v>
      </c>
      <c r="BN184" s="213" t="s">
        <v>754</v>
      </c>
      <c r="BO184" s="58" t="s">
        <v>518</v>
      </c>
      <c r="BP184" s="199">
        <v>45443</v>
      </c>
      <c r="BQ184" s="2" t="s">
        <v>1386</v>
      </c>
    </row>
    <row r="185" spans="1:69" ht="15.75" customHeight="1">
      <c r="A185" s="213" t="s">
        <v>788</v>
      </c>
      <c r="B185" s="58" t="s">
        <v>199</v>
      </c>
      <c r="C185" s="58" t="s">
        <v>752</v>
      </c>
      <c r="D185" s="214" t="s">
        <v>789</v>
      </c>
      <c r="E185" s="214" t="s">
        <v>789</v>
      </c>
      <c r="F185" s="215" t="s">
        <v>186</v>
      </c>
      <c r="G185" s="216">
        <v>2020</v>
      </c>
      <c r="H185" s="218" t="s">
        <v>792</v>
      </c>
      <c r="I185" s="218" t="s">
        <v>201</v>
      </c>
      <c r="J185" s="217" t="s">
        <v>890</v>
      </c>
      <c r="K185" s="213" t="s">
        <v>221</v>
      </c>
      <c r="L185" s="213" t="s">
        <v>192</v>
      </c>
      <c r="M185" s="219" t="s">
        <v>1388</v>
      </c>
      <c r="N185" s="219">
        <v>5.05</v>
      </c>
      <c r="O185" s="219">
        <v>5.05</v>
      </c>
      <c r="P185" s="219">
        <v>5.05</v>
      </c>
      <c r="Q185" s="219">
        <v>5.05</v>
      </c>
      <c r="R185" s="219">
        <v>5.05</v>
      </c>
      <c r="S185" s="219">
        <v>5.05</v>
      </c>
      <c r="T185" s="219">
        <v>5.05</v>
      </c>
      <c r="U185" s="219">
        <v>5.05</v>
      </c>
      <c r="V185" s="219">
        <v>5.05</v>
      </c>
      <c r="W185" s="219">
        <v>5.05</v>
      </c>
      <c r="X185" s="219">
        <v>5.05</v>
      </c>
      <c r="Y185" s="219">
        <v>5.05</v>
      </c>
      <c r="Z185" s="219">
        <v>0</v>
      </c>
      <c r="AA185" s="219">
        <v>0</v>
      </c>
      <c r="AB185" s="219">
        <v>0</v>
      </c>
      <c r="AC185" s="219">
        <v>0</v>
      </c>
      <c r="AD185" s="219">
        <v>0</v>
      </c>
      <c r="AE185" s="219">
        <v>0</v>
      </c>
      <c r="AF185" s="219">
        <v>0</v>
      </c>
      <c r="AG185" s="219">
        <v>0</v>
      </c>
      <c r="AH185" s="219">
        <v>0</v>
      </c>
      <c r="AI185" s="219">
        <v>0</v>
      </c>
      <c r="AJ185" s="219">
        <v>0</v>
      </c>
      <c r="AK185" s="219">
        <v>0</v>
      </c>
      <c r="AL185" s="229" t="s">
        <v>573</v>
      </c>
      <c r="AM185" s="219">
        <f t="shared" si="84"/>
        <v>0</v>
      </c>
      <c r="AN185" s="229" t="s">
        <v>573</v>
      </c>
      <c r="AO185" s="221">
        <f t="shared" si="85"/>
        <v>0</v>
      </c>
      <c r="AP185" s="222">
        <v>5200</v>
      </c>
      <c r="AQ185" s="221">
        <f t="shared" si="86"/>
        <v>0</v>
      </c>
      <c r="AR185" s="222" t="s">
        <v>573</v>
      </c>
      <c r="AS185" s="58">
        <f t="shared" si="87"/>
        <v>0</v>
      </c>
      <c r="AT185" s="222">
        <v>5200</v>
      </c>
      <c r="AU185" s="58">
        <f t="shared" si="88"/>
        <v>0</v>
      </c>
      <c r="AV185" s="222" t="s">
        <v>573</v>
      </c>
      <c r="AW185" s="58">
        <f t="shared" si="89"/>
        <v>0</v>
      </c>
      <c r="AX185" s="251" t="s">
        <v>573</v>
      </c>
      <c r="AY185" s="58">
        <f t="shared" si="90"/>
        <v>0</v>
      </c>
      <c r="AZ185" s="222" t="s">
        <v>573</v>
      </c>
      <c r="BA185" s="58">
        <f t="shared" si="79"/>
        <v>0</v>
      </c>
      <c r="BB185" s="222">
        <v>5200</v>
      </c>
      <c r="BC185" s="58">
        <f t="shared" si="80"/>
        <v>0</v>
      </c>
      <c r="BD185" s="222" t="s">
        <v>573</v>
      </c>
      <c r="BE185" s="58">
        <f t="shared" si="81"/>
        <v>0</v>
      </c>
      <c r="BF185" s="222">
        <v>5200</v>
      </c>
      <c r="BG185" s="58">
        <f t="shared" si="82"/>
        <v>0</v>
      </c>
      <c r="BH185" s="223" t="s">
        <v>573</v>
      </c>
      <c r="BI185" s="58">
        <f t="shared" si="83"/>
        <v>0</v>
      </c>
      <c r="BJ185" s="220">
        <f t="shared" si="91"/>
        <v>20800</v>
      </c>
      <c r="BK185" s="58"/>
      <c r="BL185" s="58" t="s">
        <v>1051</v>
      </c>
      <c r="BM185" s="220" t="s">
        <v>1388</v>
      </c>
      <c r="BN185" s="213" t="s">
        <v>1310</v>
      </c>
      <c r="BO185" s="58" t="s">
        <v>517</v>
      </c>
      <c r="BP185" s="199">
        <v>45443</v>
      </c>
      <c r="BQ185" s="2" t="s">
        <v>1386</v>
      </c>
    </row>
    <row r="186" spans="1:69" ht="15.75" customHeight="1">
      <c r="A186" s="213" t="s">
        <v>788</v>
      </c>
      <c r="B186" s="58" t="s">
        <v>199</v>
      </c>
      <c r="C186" s="58" t="s">
        <v>752</v>
      </c>
      <c r="D186" s="214" t="s">
        <v>789</v>
      </c>
      <c r="E186" s="214" t="s">
        <v>789</v>
      </c>
      <c r="F186" s="215" t="s">
        <v>186</v>
      </c>
      <c r="G186" s="216">
        <v>2020</v>
      </c>
      <c r="H186" s="218" t="s">
        <v>792</v>
      </c>
      <c r="I186" s="218" t="s">
        <v>201</v>
      </c>
      <c r="J186" s="217" t="s">
        <v>890</v>
      </c>
      <c r="K186" s="213" t="s">
        <v>221</v>
      </c>
      <c r="L186" s="213" t="s">
        <v>192</v>
      </c>
      <c r="M186" s="219" t="s">
        <v>1389</v>
      </c>
      <c r="N186" s="219">
        <v>4.8899999999999997</v>
      </c>
      <c r="O186" s="219">
        <v>4.8899999999999997</v>
      </c>
      <c r="P186" s="219">
        <v>4.8899999999999997</v>
      </c>
      <c r="Q186" s="219">
        <v>4.8899999999999997</v>
      </c>
      <c r="R186" s="219">
        <v>4.8899999999999997</v>
      </c>
      <c r="S186" s="219">
        <v>4.8899999999999997</v>
      </c>
      <c r="T186" s="219">
        <v>4.8899999999999997</v>
      </c>
      <c r="U186" s="219">
        <v>4.8899999999999997</v>
      </c>
      <c r="V186" s="219">
        <v>4.8899999999999997</v>
      </c>
      <c r="W186" s="219">
        <v>4.8899999999999997</v>
      </c>
      <c r="X186" s="219">
        <v>4.8899999999999997</v>
      </c>
      <c r="Y186" s="219">
        <v>4.8899999999999997</v>
      </c>
      <c r="Z186" s="219">
        <v>0</v>
      </c>
      <c r="AA186" s="219">
        <v>0</v>
      </c>
      <c r="AB186" s="219">
        <v>0</v>
      </c>
      <c r="AC186" s="219">
        <v>0</v>
      </c>
      <c r="AD186" s="219">
        <v>0</v>
      </c>
      <c r="AE186" s="219">
        <v>0</v>
      </c>
      <c r="AF186" s="219">
        <v>0</v>
      </c>
      <c r="AG186" s="219">
        <v>0</v>
      </c>
      <c r="AH186" s="219">
        <v>0</v>
      </c>
      <c r="AI186" s="219">
        <v>0</v>
      </c>
      <c r="AJ186" s="219">
        <v>0</v>
      </c>
      <c r="AK186" s="219">
        <v>0</v>
      </c>
      <c r="AL186" s="229">
        <v>0</v>
      </c>
      <c r="AM186" s="219">
        <f t="shared" si="84"/>
        <v>0</v>
      </c>
      <c r="AN186" s="229" t="s">
        <v>573</v>
      </c>
      <c r="AO186" s="221">
        <f t="shared" si="85"/>
        <v>0</v>
      </c>
      <c r="AP186" s="222" t="s">
        <v>573</v>
      </c>
      <c r="AQ186" s="221">
        <f t="shared" si="86"/>
        <v>0</v>
      </c>
      <c r="AR186" s="222" t="s">
        <v>573</v>
      </c>
      <c r="AS186" s="58">
        <f t="shared" si="87"/>
        <v>0</v>
      </c>
      <c r="AT186" s="222" t="s">
        <v>573</v>
      </c>
      <c r="AU186" s="58">
        <f t="shared" si="88"/>
        <v>0</v>
      </c>
      <c r="AV186" s="222" t="s">
        <v>573</v>
      </c>
      <c r="AW186" s="58">
        <f t="shared" si="89"/>
        <v>0</v>
      </c>
      <c r="AX186" s="251" t="s">
        <v>573</v>
      </c>
      <c r="AY186" s="58">
        <f t="shared" si="90"/>
        <v>0</v>
      </c>
      <c r="AZ186" s="222" t="s">
        <v>573</v>
      </c>
      <c r="BA186" s="58">
        <f t="shared" si="79"/>
        <v>0</v>
      </c>
      <c r="BB186" s="222" t="s">
        <v>573</v>
      </c>
      <c r="BC186" s="58">
        <f t="shared" si="80"/>
        <v>0</v>
      </c>
      <c r="BD186" s="222" t="s">
        <v>573</v>
      </c>
      <c r="BE186" s="58">
        <f t="shared" si="81"/>
        <v>0</v>
      </c>
      <c r="BF186" s="222" t="s">
        <v>573</v>
      </c>
      <c r="BG186" s="58">
        <f t="shared" si="82"/>
        <v>0</v>
      </c>
      <c r="BH186" s="223" t="s">
        <v>573</v>
      </c>
      <c r="BI186" s="58">
        <f t="shared" si="83"/>
        <v>0</v>
      </c>
      <c r="BJ186" s="220">
        <f t="shared" si="91"/>
        <v>0</v>
      </c>
      <c r="BK186" s="58"/>
      <c r="BL186" s="58" t="s">
        <v>1052</v>
      </c>
      <c r="BM186" s="220" t="s">
        <v>1389</v>
      </c>
      <c r="BN186" s="213" t="s">
        <v>806</v>
      </c>
      <c r="BO186" s="58" t="s">
        <v>813</v>
      </c>
      <c r="BP186" s="199"/>
      <c r="BQ186" s="2" t="s">
        <v>1386</v>
      </c>
    </row>
    <row r="187" spans="1:69" ht="15.75" customHeight="1">
      <c r="A187" s="213" t="s">
        <v>788</v>
      </c>
      <c r="B187" s="58" t="s">
        <v>199</v>
      </c>
      <c r="C187" s="58" t="s">
        <v>752</v>
      </c>
      <c r="D187" s="214" t="s">
        <v>789</v>
      </c>
      <c r="E187" s="214" t="s">
        <v>789</v>
      </c>
      <c r="F187" s="215" t="s">
        <v>186</v>
      </c>
      <c r="G187" s="216">
        <v>2020</v>
      </c>
      <c r="H187" s="218" t="s">
        <v>792</v>
      </c>
      <c r="I187" s="218" t="s">
        <v>201</v>
      </c>
      <c r="J187" s="217" t="s">
        <v>890</v>
      </c>
      <c r="K187" s="213" t="s">
        <v>221</v>
      </c>
      <c r="L187" s="213" t="s">
        <v>192</v>
      </c>
      <c r="M187" s="219" t="s">
        <v>1388</v>
      </c>
      <c r="N187" s="219">
        <v>5.03</v>
      </c>
      <c r="O187" s="219">
        <v>5.03</v>
      </c>
      <c r="P187" s="219">
        <v>5.03</v>
      </c>
      <c r="Q187" s="219">
        <v>5.03</v>
      </c>
      <c r="R187" s="219">
        <v>5.03</v>
      </c>
      <c r="S187" s="219">
        <v>5.03</v>
      </c>
      <c r="T187" s="219">
        <v>5.03</v>
      </c>
      <c r="U187" s="219">
        <v>5.03</v>
      </c>
      <c r="V187" s="219">
        <v>5.03</v>
      </c>
      <c r="W187" s="219">
        <v>5.03</v>
      </c>
      <c r="X187" s="219">
        <v>5.03</v>
      </c>
      <c r="Y187" s="219">
        <v>5.03</v>
      </c>
      <c r="Z187" s="219">
        <v>0</v>
      </c>
      <c r="AA187" s="219">
        <v>0</v>
      </c>
      <c r="AB187" s="219">
        <v>0</v>
      </c>
      <c r="AC187" s="219">
        <v>0</v>
      </c>
      <c r="AD187" s="219">
        <v>0</v>
      </c>
      <c r="AE187" s="219">
        <v>0</v>
      </c>
      <c r="AF187" s="219">
        <v>0</v>
      </c>
      <c r="AG187" s="219">
        <v>0</v>
      </c>
      <c r="AH187" s="219">
        <v>0</v>
      </c>
      <c r="AI187" s="219">
        <v>0</v>
      </c>
      <c r="AJ187" s="219">
        <v>0</v>
      </c>
      <c r="AK187" s="219">
        <v>0</v>
      </c>
      <c r="AL187" s="229">
        <v>5200</v>
      </c>
      <c r="AM187" s="219">
        <f t="shared" si="84"/>
        <v>0</v>
      </c>
      <c r="AN187" s="229">
        <v>5200</v>
      </c>
      <c r="AO187" s="221">
        <f t="shared" si="85"/>
        <v>0</v>
      </c>
      <c r="AP187" s="222" t="s">
        <v>573</v>
      </c>
      <c r="AQ187" s="221">
        <f t="shared" si="86"/>
        <v>0</v>
      </c>
      <c r="AR187" s="222" t="s">
        <v>573</v>
      </c>
      <c r="AS187" s="58">
        <f t="shared" si="87"/>
        <v>0</v>
      </c>
      <c r="AT187" s="222">
        <v>5200</v>
      </c>
      <c r="AU187" s="58">
        <f t="shared" si="88"/>
        <v>0</v>
      </c>
      <c r="AV187" s="222" t="s">
        <v>573</v>
      </c>
      <c r="AW187" s="58">
        <f t="shared" si="89"/>
        <v>0</v>
      </c>
      <c r="AX187" s="251" t="s">
        <v>573</v>
      </c>
      <c r="AY187" s="58">
        <f t="shared" si="90"/>
        <v>0</v>
      </c>
      <c r="AZ187" s="222" t="s">
        <v>573</v>
      </c>
      <c r="BA187" s="58">
        <f t="shared" si="79"/>
        <v>0</v>
      </c>
      <c r="BB187" s="222">
        <v>5200</v>
      </c>
      <c r="BC187" s="58">
        <f t="shared" si="80"/>
        <v>0</v>
      </c>
      <c r="BD187" s="222">
        <v>10400</v>
      </c>
      <c r="BE187" s="58">
        <f t="shared" si="81"/>
        <v>0</v>
      </c>
      <c r="BF187" s="222">
        <v>5200</v>
      </c>
      <c r="BG187" s="58">
        <f t="shared" si="82"/>
        <v>0</v>
      </c>
      <c r="BH187" s="223">
        <v>5200</v>
      </c>
      <c r="BI187" s="58">
        <f t="shared" si="83"/>
        <v>0</v>
      </c>
      <c r="BJ187" s="220">
        <f t="shared" si="91"/>
        <v>41600</v>
      </c>
      <c r="BK187" s="58"/>
      <c r="BL187" s="58" t="s">
        <v>1053</v>
      </c>
      <c r="BM187" s="220" t="s">
        <v>1388</v>
      </c>
      <c r="BN187" s="213" t="s">
        <v>1310</v>
      </c>
      <c r="BO187" s="58" t="s">
        <v>1130</v>
      </c>
      <c r="BP187" s="199">
        <v>45443</v>
      </c>
      <c r="BQ187" s="2" t="s">
        <v>1386</v>
      </c>
    </row>
    <row r="188" spans="1:69" ht="15.75" customHeight="1">
      <c r="A188" s="213" t="s">
        <v>788</v>
      </c>
      <c r="B188" s="58" t="s">
        <v>199</v>
      </c>
      <c r="C188" s="58" t="s">
        <v>752</v>
      </c>
      <c r="D188" s="214" t="s">
        <v>789</v>
      </c>
      <c r="E188" s="214" t="s">
        <v>789</v>
      </c>
      <c r="F188" s="215" t="s">
        <v>186</v>
      </c>
      <c r="G188" s="216">
        <v>2020</v>
      </c>
      <c r="H188" s="218" t="s">
        <v>792</v>
      </c>
      <c r="I188" s="218" t="s">
        <v>201</v>
      </c>
      <c r="J188" s="217" t="s">
        <v>890</v>
      </c>
      <c r="K188" s="213" t="s">
        <v>221</v>
      </c>
      <c r="L188" s="213" t="s">
        <v>192</v>
      </c>
      <c r="M188" s="219" t="s">
        <v>1388</v>
      </c>
      <c r="N188" s="219">
        <v>4.99</v>
      </c>
      <c r="O188" s="219">
        <v>4.99</v>
      </c>
      <c r="P188" s="219">
        <v>4.99</v>
      </c>
      <c r="Q188" s="219">
        <v>4.99</v>
      </c>
      <c r="R188" s="219">
        <v>4.99</v>
      </c>
      <c r="S188" s="219">
        <v>4.99</v>
      </c>
      <c r="T188" s="219">
        <v>4.99</v>
      </c>
      <c r="U188" s="219">
        <v>4.99</v>
      </c>
      <c r="V188" s="219">
        <v>4.99</v>
      </c>
      <c r="W188" s="219">
        <v>4.99</v>
      </c>
      <c r="X188" s="219">
        <v>4.99</v>
      </c>
      <c r="Y188" s="219">
        <v>4.99</v>
      </c>
      <c r="Z188" s="219">
        <v>0</v>
      </c>
      <c r="AA188" s="219">
        <v>0</v>
      </c>
      <c r="AB188" s="219">
        <v>0</v>
      </c>
      <c r="AC188" s="219">
        <v>0</v>
      </c>
      <c r="AD188" s="219">
        <v>0</v>
      </c>
      <c r="AE188" s="219">
        <v>0</v>
      </c>
      <c r="AF188" s="219">
        <v>0</v>
      </c>
      <c r="AG188" s="219">
        <v>0</v>
      </c>
      <c r="AH188" s="219">
        <v>0</v>
      </c>
      <c r="AI188" s="219">
        <v>0</v>
      </c>
      <c r="AJ188" s="219">
        <v>0</v>
      </c>
      <c r="AK188" s="219">
        <v>0</v>
      </c>
      <c r="AL188" s="229" t="s">
        <v>573</v>
      </c>
      <c r="AM188" s="219">
        <f t="shared" si="84"/>
        <v>0</v>
      </c>
      <c r="AN188" s="229">
        <v>5200</v>
      </c>
      <c r="AO188" s="221">
        <f t="shared" si="85"/>
        <v>0</v>
      </c>
      <c r="AP188" s="222" t="s">
        <v>573</v>
      </c>
      <c r="AQ188" s="221">
        <f t="shared" si="86"/>
        <v>0</v>
      </c>
      <c r="AR188" s="222" t="s">
        <v>573</v>
      </c>
      <c r="AS188" s="58">
        <f t="shared" si="87"/>
        <v>0</v>
      </c>
      <c r="AT188" s="222">
        <v>5200</v>
      </c>
      <c r="AU188" s="58">
        <f t="shared" si="88"/>
        <v>0</v>
      </c>
      <c r="AV188" s="222">
        <v>5200</v>
      </c>
      <c r="AW188" s="58">
        <f t="shared" si="89"/>
        <v>0</v>
      </c>
      <c r="AX188" s="251" t="s">
        <v>573</v>
      </c>
      <c r="AY188" s="58">
        <f t="shared" si="90"/>
        <v>0</v>
      </c>
      <c r="AZ188" s="222">
        <v>5200</v>
      </c>
      <c r="BA188" s="58">
        <f t="shared" ref="BA188:BA247" si="92">AZ188*AG188</f>
        <v>0</v>
      </c>
      <c r="BB188" s="222">
        <v>10400</v>
      </c>
      <c r="BC188" s="58">
        <f t="shared" ref="BC188:BC247" si="93">BB188*AH188</f>
        <v>0</v>
      </c>
      <c r="BD188" s="222" t="s">
        <v>573</v>
      </c>
      <c r="BE188" s="58">
        <f t="shared" ref="BE188:BE247" si="94">BD188*AI188</f>
        <v>0</v>
      </c>
      <c r="BF188" s="222" t="s">
        <v>573</v>
      </c>
      <c r="BG188" s="58">
        <f t="shared" ref="BG188:BG247" si="95">BF188*AJ188</f>
        <v>0</v>
      </c>
      <c r="BH188" s="223" t="s">
        <v>573</v>
      </c>
      <c r="BI188" s="58">
        <f t="shared" ref="BI188:BI247" si="96">BH188*AK188</f>
        <v>0</v>
      </c>
      <c r="BJ188" s="220">
        <f t="shared" si="91"/>
        <v>31200</v>
      </c>
      <c r="BK188" s="58"/>
      <c r="BL188" s="58" t="s">
        <v>1054</v>
      </c>
      <c r="BM188" s="220" t="s">
        <v>1388</v>
      </c>
      <c r="BN188" s="213" t="s">
        <v>197</v>
      </c>
      <c r="BO188" s="58" t="s">
        <v>514</v>
      </c>
      <c r="BP188" s="199">
        <v>45961</v>
      </c>
      <c r="BQ188" s="2" t="s">
        <v>1386</v>
      </c>
    </row>
    <row r="189" spans="1:69" ht="15.75" customHeight="1">
      <c r="A189" s="213" t="s">
        <v>788</v>
      </c>
      <c r="B189" s="58" t="s">
        <v>199</v>
      </c>
      <c r="C189" s="58" t="s">
        <v>752</v>
      </c>
      <c r="D189" s="214" t="s">
        <v>789</v>
      </c>
      <c r="E189" s="214" t="s">
        <v>789</v>
      </c>
      <c r="F189" s="215" t="s">
        <v>186</v>
      </c>
      <c r="G189" s="216">
        <v>2022</v>
      </c>
      <c r="H189" s="218" t="s">
        <v>793</v>
      </c>
      <c r="I189" s="218" t="s">
        <v>212</v>
      </c>
      <c r="J189" s="217" t="s">
        <v>890</v>
      </c>
      <c r="K189" s="213" t="s">
        <v>221</v>
      </c>
      <c r="L189" s="213" t="s">
        <v>192</v>
      </c>
      <c r="M189" s="219" t="s">
        <v>1388</v>
      </c>
      <c r="N189" s="219">
        <v>3.75</v>
      </c>
      <c r="O189" s="219">
        <v>3.75</v>
      </c>
      <c r="P189" s="219">
        <v>3.75</v>
      </c>
      <c r="Q189" s="219">
        <v>3.75</v>
      </c>
      <c r="R189" s="219">
        <v>3.75</v>
      </c>
      <c r="S189" s="219">
        <v>3.75</v>
      </c>
      <c r="T189" s="219">
        <v>3.75</v>
      </c>
      <c r="U189" s="219">
        <v>3.75</v>
      </c>
      <c r="V189" s="219">
        <v>3.75</v>
      </c>
      <c r="W189" s="219">
        <v>3.75</v>
      </c>
      <c r="X189" s="219">
        <v>3.75</v>
      </c>
      <c r="Y189" s="219">
        <v>3.75</v>
      </c>
      <c r="Z189" s="219">
        <v>0.21</v>
      </c>
      <c r="AA189" s="219">
        <v>0.21</v>
      </c>
      <c r="AB189" s="219">
        <v>0.21</v>
      </c>
      <c r="AC189" s="219">
        <v>0.21</v>
      </c>
      <c r="AD189" s="219">
        <v>0.21</v>
      </c>
      <c r="AE189" s="219">
        <v>0.21</v>
      </c>
      <c r="AF189" s="219">
        <v>0.21</v>
      </c>
      <c r="AG189" s="219">
        <v>0.21</v>
      </c>
      <c r="AH189" s="219">
        <v>0.21</v>
      </c>
      <c r="AI189" s="219">
        <v>0.21</v>
      </c>
      <c r="AJ189" s="219">
        <v>0.21</v>
      </c>
      <c r="AK189" s="219">
        <v>0.21</v>
      </c>
      <c r="AL189" s="229">
        <v>5600</v>
      </c>
      <c r="AM189" s="219">
        <f t="shared" si="84"/>
        <v>1176</v>
      </c>
      <c r="AN189" s="229">
        <v>5600</v>
      </c>
      <c r="AO189" s="221">
        <f t="shared" si="85"/>
        <v>1176</v>
      </c>
      <c r="AP189" s="222">
        <v>5600</v>
      </c>
      <c r="AQ189" s="221">
        <f t="shared" si="86"/>
        <v>1176</v>
      </c>
      <c r="AR189" s="222" t="s">
        <v>573</v>
      </c>
      <c r="AS189" s="58">
        <f t="shared" si="87"/>
        <v>0</v>
      </c>
      <c r="AT189" s="222">
        <v>5600</v>
      </c>
      <c r="AU189" s="58">
        <f t="shared" si="88"/>
        <v>1176</v>
      </c>
      <c r="AV189" s="222">
        <v>5600</v>
      </c>
      <c r="AW189" s="58">
        <f t="shared" si="89"/>
        <v>1176</v>
      </c>
      <c r="AX189" s="251" t="s">
        <v>573</v>
      </c>
      <c r="AY189" s="58">
        <f t="shared" si="90"/>
        <v>0</v>
      </c>
      <c r="AZ189" s="222">
        <v>5600</v>
      </c>
      <c r="BA189" s="58">
        <f t="shared" si="92"/>
        <v>1176</v>
      </c>
      <c r="BB189" s="222">
        <v>5600</v>
      </c>
      <c r="BC189" s="58">
        <f t="shared" si="93"/>
        <v>1176</v>
      </c>
      <c r="BD189" s="222" t="s">
        <v>573</v>
      </c>
      <c r="BE189" s="58">
        <f t="shared" si="94"/>
        <v>0</v>
      </c>
      <c r="BF189" s="222">
        <v>5600</v>
      </c>
      <c r="BG189" s="58">
        <f t="shared" si="95"/>
        <v>1176</v>
      </c>
      <c r="BH189" s="223" t="s">
        <v>573</v>
      </c>
      <c r="BI189" s="58">
        <f t="shared" si="96"/>
        <v>0</v>
      </c>
      <c r="BJ189" s="220">
        <f t="shared" si="91"/>
        <v>44800</v>
      </c>
      <c r="BK189" s="58"/>
      <c r="BL189" s="58" t="s">
        <v>1055</v>
      </c>
      <c r="BM189" s="220" t="s">
        <v>1388</v>
      </c>
      <c r="BN189" s="213" t="s">
        <v>754</v>
      </c>
      <c r="BO189" s="58" t="s">
        <v>586</v>
      </c>
      <c r="BP189" s="199">
        <v>45961</v>
      </c>
      <c r="BQ189" s="2" t="s">
        <v>1386</v>
      </c>
    </row>
    <row r="190" spans="1:69" ht="15.75" customHeight="1">
      <c r="A190" s="213" t="s">
        <v>788</v>
      </c>
      <c r="B190" s="58" t="s">
        <v>199</v>
      </c>
      <c r="C190" s="58" t="s">
        <v>752</v>
      </c>
      <c r="D190" s="214" t="s">
        <v>789</v>
      </c>
      <c r="E190" s="214" t="s">
        <v>789</v>
      </c>
      <c r="F190" s="215" t="s">
        <v>186</v>
      </c>
      <c r="G190" s="216">
        <v>2022</v>
      </c>
      <c r="H190" s="218" t="s">
        <v>793</v>
      </c>
      <c r="I190" s="218" t="s">
        <v>212</v>
      </c>
      <c r="J190" s="217" t="s">
        <v>890</v>
      </c>
      <c r="K190" s="213" t="s">
        <v>221</v>
      </c>
      <c r="L190" s="213" t="s">
        <v>192</v>
      </c>
      <c r="M190" s="219" t="s">
        <v>1397</v>
      </c>
      <c r="N190" s="219">
        <v>3.69</v>
      </c>
      <c r="O190" s="219">
        <v>3.69</v>
      </c>
      <c r="P190" s="219">
        <v>3.69</v>
      </c>
      <c r="Q190" s="219">
        <v>3.69</v>
      </c>
      <c r="R190" s="219">
        <v>3.69</v>
      </c>
      <c r="S190" s="219">
        <v>3.69</v>
      </c>
      <c r="T190" s="219">
        <v>3.69</v>
      </c>
      <c r="U190" s="219">
        <v>3.69</v>
      </c>
      <c r="V190" s="219">
        <v>3.69</v>
      </c>
      <c r="W190" s="219">
        <v>3.69</v>
      </c>
      <c r="X190" s="219">
        <v>3.69</v>
      </c>
      <c r="Y190" s="219">
        <v>3.69</v>
      </c>
      <c r="Z190" s="219">
        <v>0.21</v>
      </c>
      <c r="AA190" s="219">
        <v>0.21</v>
      </c>
      <c r="AB190" s="219">
        <v>0.21</v>
      </c>
      <c r="AC190" s="219">
        <v>0.21</v>
      </c>
      <c r="AD190" s="219">
        <v>0.21</v>
      </c>
      <c r="AE190" s="219">
        <v>0.21</v>
      </c>
      <c r="AF190" s="219">
        <v>0.21</v>
      </c>
      <c r="AG190" s="219">
        <v>0.21</v>
      </c>
      <c r="AH190" s="219">
        <v>0.21</v>
      </c>
      <c r="AI190" s="219">
        <v>0.21</v>
      </c>
      <c r="AJ190" s="219">
        <v>0.21</v>
      </c>
      <c r="AK190" s="219">
        <v>0.21</v>
      </c>
      <c r="AL190" s="229" t="s">
        <v>573</v>
      </c>
      <c r="AM190" s="219">
        <f t="shared" si="84"/>
        <v>0</v>
      </c>
      <c r="AN190" s="229" t="s">
        <v>573</v>
      </c>
      <c r="AO190" s="221">
        <f t="shared" si="85"/>
        <v>0</v>
      </c>
      <c r="AP190" s="222" t="s">
        <v>573</v>
      </c>
      <c r="AQ190" s="221">
        <f t="shared" si="86"/>
        <v>0</v>
      </c>
      <c r="AR190" s="222" t="s">
        <v>573</v>
      </c>
      <c r="AS190" s="58">
        <f t="shared" si="87"/>
        <v>0</v>
      </c>
      <c r="AT190" s="222" t="s">
        <v>573</v>
      </c>
      <c r="AU190" s="58">
        <f t="shared" si="88"/>
        <v>0</v>
      </c>
      <c r="AV190" s="222" t="s">
        <v>573</v>
      </c>
      <c r="AW190" s="58">
        <f t="shared" si="89"/>
        <v>0</v>
      </c>
      <c r="AX190" s="251" t="s">
        <v>573</v>
      </c>
      <c r="AY190" s="58">
        <f t="shared" si="90"/>
        <v>0</v>
      </c>
      <c r="AZ190" s="222" t="s">
        <v>573</v>
      </c>
      <c r="BA190" s="58">
        <f t="shared" si="92"/>
        <v>0</v>
      </c>
      <c r="BB190" s="222" t="s">
        <v>573</v>
      </c>
      <c r="BC190" s="58">
        <f t="shared" si="93"/>
        <v>0</v>
      </c>
      <c r="BD190" s="222" t="s">
        <v>573</v>
      </c>
      <c r="BE190" s="58">
        <f t="shared" si="94"/>
        <v>0</v>
      </c>
      <c r="BF190" s="222" t="s">
        <v>573</v>
      </c>
      <c r="BG190" s="58">
        <f t="shared" si="95"/>
        <v>0</v>
      </c>
      <c r="BH190" s="223" t="s">
        <v>573</v>
      </c>
      <c r="BI190" s="58">
        <f t="shared" si="96"/>
        <v>0</v>
      </c>
      <c r="BJ190" s="220">
        <f t="shared" si="91"/>
        <v>0</v>
      </c>
      <c r="BK190" s="58"/>
      <c r="BL190" s="58" t="s">
        <v>1056</v>
      </c>
      <c r="BM190" s="220" t="s">
        <v>1397</v>
      </c>
      <c r="BN190" s="213" t="s">
        <v>754</v>
      </c>
      <c r="BO190" s="58" t="s">
        <v>1171</v>
      </c>
      <c r="BP190" s="199">
        <v>45443</v>
      </c>
      <c r="BQ190" s="2" t="s">
        <v>1386</v>
      </c>
    </row>
    <row r="191" spans="1:69" ht="15.75" customHeight="1">
      <c r="A191" s="213" t="s">
        <v>788</v>
      </c>
      <c r="B191" s="58" t="s">
        <v>199</v>
      </c>
      <c r="C191" s="58" t="s">
        <v>752</v>
      </c>
      <c r="D191" s="214" t="s">
        <v>789</v>
      </c>
      <c r="E191" s="214" t="s">
        <v>789</v>
      </c>
      <c r="F191" s="215" t="s">
        <v>186</v>
      </c>
      <c r="G191" s="216">
        <v>2022</v>
      </c>
      <c r="H191" s="218" t="s">
        <v>793</v>
      </c>
      <c r="I191" s="218" t="s">
        <v>212</v>
      </c>
      <c r="J191" s="217" t="s">
        <v>890</v>
      </c>
      <c r="K191" s="213" t="s">
        <v>221</v>
      </c>
      <c r="L191" s="213" t="s">
        <v>192</v>
      </c>
      <c r="M191" s="219" t="s">
        <v>1388</v>
      </c>
      <c r="N191" s="219">
        <v>3.79</v>
      </c>
      <c r="O191" s="219">
        <v>3.79</v>
      </c>
      <c r="P191" s="219">
        <v>3.79</v>
      </c>
      <c r="Q191" s="219">
        <v>3.79</v>
      </c>
      <c r="R191" s="219">
        <v>3.79</v>
      </c>
      <c r="S191" s="219">
        <v>3.79</v>
      </c>
      <c r="T191" s="219">
        <v>3.79</v>
      </c>
      <c r="U191" s="219">
        <v>3.79</v>
      </c>
      <c r="V191" s="219">
        <v>3.79</v>
      </c>
      <c r="W191" s="219">
        <v>3.79</v>
      </c>
      <c r="X191" s="219">
        <v>3.79</v>
      </c>
      <c r="Y191" s="219">
        <v>3.79</v>
      </c>
      <c r="Z191" s="219">
        <v>0.21</v>
      </c>
      <c r="AA191" s="219">
        <v>0.21</v>
      </c>
      <c r="AB191" s="219">
        <v>0.21</v>
      </c>
      <c r="AC191" s="219">
        <v>0.21</v>
      </c>
      <c r="AD191" s="219">
        <v>0.21</v>
      </c>
      <c r="AE191" s="219">
        <v>0.21</v>
      </c>
      <c r="AF191" s="219">
        <v>0.21</v>
      </c>
      <c r="AG191" s="219">
        <v>0.21</v>
      </c>
      <c r="AH191" s="219">
        <v>0.21</v>
      </c>
      <c r="AI191" s="219">
        <v>0.21</v>
      </c>
      <c r="AJ191" s="219">
        <v>0.21</v>
      </c>
      <c r="AK191" s="219">
        <v>0.21</v>
      </c>
      <c r="AL191" s="229">
        <v>5600</v>
      </c>
      <c r="AM191" s="219">
        <f t="shared" si="84"/>
        <v>1176</v>
      </c>
      <c r="AN191" s="229">
        <v>5600</v>
      </c>
      <c r="AO191" s="221">
        <f t="shared" si="85"/>
        <v>1176</v>
      </c>
      <c r="AP191" s="222" t="s">
        <v>573</v>
      </c>
      <c r="AQ191" s="221">
        <f t="shared" si="86"/>
        <v>0</v>
      </c>
      <c r="AR191" s="222" t="s">
        <v>573</v>
      </c>
      <c r="AS191" s="58">
        <f t="shared" si="87"/>
        <v>0</v>
      </c>
      <c r="AT191" s="222" t="s">
        <v>573</v>
      </c>
      <c r="AU191" s="58">
        <f t="shared" si="88"/>
        <v>0</v>
      </c>
      <c r="AV191" s="222" t="s">
        <v>573</v>
      </c>
      <c r="AW191" s="58">
        <f t="shared" si="89"/>
        <v>0</v>
      </c>
      <c r="AX191" s="251" t="s">
        <v>573</v>
      </c>
      <c r="AY191" s="58">
        <f t="shared" si="90"/>
        <v>0</v>
      </c>
      <c r="AZ191" s="222">
        <v>5600</v>
      </c>
      <c r="BA191" s="58">
        <f t="shared" si="92"/>
        <v>1176</v>
      </c>
      <c r="BB191" s="222">
        <v>5600</v>
      </c>
      <c r="BC191" s="58">
        <f t="shared" si="93"/>
        <v>1176</v>
      </c>
      <c r="BD191" s="222">
        <v>5600</v>
      </c>
      <c r="BE191" s="58">
        <f t="shared" si="94"/>
        <v>1176</v>
      </c>
      <c r="BF191" s="222">
        <v>5600</v>
      </c>
      <c r="BG191" s="58">
        <f t="shared" si="95"/>
        <v>1176</v>
      </c>
      <c r="BH191" s="223" t="s">
        <v>573</v>
      </c>
      <c r="BI191" s="58">
        <f t="shared" si="96"/>
        <v>0</v>
      </c>
      <c r="BJ191" s="220">
        <f t="shared" si="91"/>
        <v>33600</v>
      </c>
      <c r="BK191" s="58"/>
      <c r="BL191" s="58" t="s">
        <v>1057</v>
      </c>
      <c r="BM191" s="220" t="s">
        <v>1388</v>
      </c>
      <c r="BN191" s="213" t="s">
        <v>1310</v>
      </c>
      <c r="BO191" s="58" t="s">
        <v>583</v>
      </c>
      <c r="BP191" s="199">
        <v>45443</v>
      </c>
      <c r="BQ191" s="2" t="s">
        <v>1386</v>
      </c>
    </row>
    <row r="192" spans="1:69" ht="15.75" customHeight="1">
      <c r="A192" s="213" t="s">
        <v>788</v>
      </c>
      <c r="B192" s="58" t="s">
        <v>199</v>
      </c>
      <c r="C192" s="58" t="s">
        <v>752</v>
      </c>
      <c r="D192" s="214" t="s">
        <v>789</v>
      </c>
      <c r="E192" s="214" t="s">
        <v>789</v>
      </c>
      <c r="F192" s="215" t="s">
        <v>186</v>
      </c>
      <c r="G192" s="216">
        <v>2022</v>
      </c>
      <c r="H192" s="218" t="s">
        <v>793</v>
      </c>
      <c r="I192" s="218" t="s">
        <v>212</v>
      </c>
      <c r="J192" s="217" t="s">
        <v>890</v>
      </c>
      <c r="K192" s="213" t="s">
        <v>221</v>
      </c>
      <c r="L192" s="213" t="s">
        <v>192</v>
      </c>
      <c r="M192" s="219" t="s">
        <v>1388</v>
      </c>
      <c r="N192" s="219">
        <v>3.77</v>
      </c>
      <c r="O192" s="219">
        <v>3.77</v>
      </c>
      <c r="P192" s="219">
        <v>3.77</v>
      </c>
      <c r="Q192" s="219">
        <v>3.77</v>
      </c>
      <c r="R192" s="219">
        <v>3.77</v>
      </c>
      <c r="S192" s="219">
        <v>3.77</v>
      </c>
      <c r="T192" s="219">
        <v>3.77</v>
      </c>
      <c r="U192" s="219">
        <v>3.77</v>
      </c>
      <c r="V192" s="219">
        <v>3.77</v>
      </c>
      <c r="W192" s="219">
        <v>3.77</v>
      </c>
      <c r="X192" s="219">
        <v>3.77</v>
      </c>
      <c r="Y192" s="219">
        <v>3.77</v>
      </c>
      <c r="Z192" s="219">
        <v>0.21</v>
      </c>
      <c r="AA192" s="219">
        <v>0.21</v>
      </c>
      <c r="AB192" s="219">
        <v>0.21</v>
      </c>
      <c r="AC192" s="219">
        <v>0.21</v>
      </c>
      <c r="AD192" s="219">
        <v>0.21</v>
      </c>
      <c r="AE192" s="219">
        <v>0.21</v>
      </c>
      <c r="AF192" s="219">
        <v>0.21</v>
      </c>
      <c r="AG192" s="219">
        <v>0.21</v>
      </c>
      <c r="AH192" s="219">
        <v>0.21</v>
      </c>
      <c r="AI192" s="219">
        <v>0.21</v>
      </c>
      <c r="AJ192" s="219">
        <v>0.21</v>
      </c>
      <c r="AK192" s="219">
        <v>0.21</v>
      </c>
      <c r="AL192" s="229">
        <v>11200</v>
      </c>
      <c r="AM192" s="219">
        <f t="shared" si="84"/>
        <v>2352</v>
      </c>
      <c r="AN192" s="229">
        <v>5600</v>
      </c>
      <c r="AO192" s="221">
        <f t="shared" si="85"/>
        <v>1176</v>
      </c>
      <c r="AP192" s="222" t="s">
        <v>573</v>
      </c>
      <c r="AQ192" s="221">
        <f t="shared" si="86"/>
        <v>0</v>
      </c>
      <c r="AR192" s="222" t="s">
        <v>573</v>
      </c>
      <c r="AS192" s="58">
        <f t="shared" si="87"/>
        <v>0</v>
      </c>
      <c r="AT192" s="222">
        <v>11200</v>
      </c>
      <c r="AU192" s="58">
        <f t="shared" si="88"/>
        <v>2352</v>
      </c>
      <c r="AV192" s="222">
        <v>5600</v>
      </c>
      <c r="AW192" s="58">
        <f t="shared" si="89"/>
        <v>1176</v>
      </c>
      <c r="AX192" s="251" t="s">
        <v>573</v>
      </c>
      <c r="AY192" s="58">
        <f t="shared" si="90"/>
        <v>0</v>
      </c>
      <c r="AZ192" s="222">
        <v>11200</v>
      </c>
      <c r="BA192" s="58">
        <f t="shared" si="92"/>
        <v>2352</v>
      </c>
      <c r="BB192" s="222">
        <v>11200</v>
      </c>
      <c r="BC192" s="58">
        <f t="shared" si="93"/>
        <v>2352</v>
      </c>
      <c r="BD192" s="222" t="s">
        <v>573</v>
      </c>
      <c r="BE192" s="58">
        <f t="shared" si="94"/>
        <v>0</v>
      </c>
      <c r="BF192" s="222">
        <v>5600</v>
      </c>
      <c r="BG192" s="58">
        <f t="shared" si="95"/>
        <v>1176</v>
      </c>
      <c r="BH192" s="223" t="s">
        <v>573</v>
      </c>
      <c r="BI192" s="58">
        <f t="shared" si="96"/>
        <v>0</v>
      </c>
      <c r="BJ192" s="220">
        <f t="shared" si="91"/>
        <v>61600</v>
      </c>
      <c r="BK192" s="58"/>
      <c r="BL192" s="58" t="s">
        <v>1058</v>
      </c>
      <c r="BM192" s="220" t="s">
        <v>1388</v>
      </c>
      <c r="BN192" s="213" t="s">
        <v>197</v>
      </c>
      <c r="BO192" s="58" t="s">
        <v>582</v>
      </c>
      <c r="BP192" s="199">
        <v>45961</v>
      </c>
      <c r="BQ192" s="2" t="s">
        <v>1386</v>
      </c>
    </row>
    <row r="193" spans="1:69" ht="15.75" customHeight="1">
      <c r="A193" s="213" t="s">
        <v>788</v>
      </c>
      <c r="B193" s="58" t="s">
        <v>199</v>
      </c>
      <c r="C193" s="58" t="s">
        <v>752</v>
      </c>
      <c r="D193" s="214" t="s">
        <v>789</v>
      </c>
      <c r="E193" s="214" t="s">
        <v>789</v>
      </c>
      <c r="F193" s="215" t="s">
        <v>186</v>
      </c>
      <c r="G193" s="216">
        <v>2023</v>
      </c>
      <c r="H193" s="218" t="s">
        <v>1320</v>
      </c>
      <c r="I193" s="218" t="s">
        <v>212</v>
      </c>
      <c r="J193" s="217" t="s">
        <v>890</v>
      </c>
      <c r="K193" s="213" t="s">
        <v>221</v>
      </c>
      <c r="L193" s="213" t="s">
        <v>192</v>
      </c>
      <c r="M193" s="219" t="s">
        <v>1388</v>
      </c>
      <c r="N193" s="219">
        <v>6.35</v>
      </c>
      <c r="O193" s="219">
        <v>6.35</v>
      </c>
      <c r="P193" s="219">
        <v>6.35</v>
      </c>
      <c r="Q193" s="219">
        <v>6.35</v>
      </c>
      <c r="R193" s="219">
        <v>6.35</v>
      </c>
      <c r="S193" s="219">
        <v>6.35</v>
      </c>
      <c r="T193" s="219">
        <v>6.35</v>
      </c>
      <c r="U193" s="219">
        <v>6.35</v>
      </c>
      <c r="V193" s="219">
        <v>6.35</v>
      </c>
      <c r="W193" s="219">
        <v>6.35</v>
      </c>
      <c r="X193" s="219">
        <v>6.35</v>
      </c>
      <c r="Y193" s="219">
        <v>6.35</v>
      </c>
      <c r="Z193" s="219">
        <v>0.06</v>
      </c>
      <c r="AA193" s="219">
        <v>0.06</v>
      </c>
      <c r="AB193" s="219">
        <v>0.06</v>
      </c>
      <c r="AC193" s="219">
        <v>0.06</v>
      </c>
      <c r="AD193" s="219">
        <v>0.06</v>
      </c>
      <c r="AE193" s="219">
        <v>0.06</v>
      </c>
      <c r="AF193" s="219">
        <v>0.06</v>
      </c>
      <c r="AG193" s="219">
        <v>0.06</v>
      </c>
      <c r="AH193" s="219">
        <v>0.06</v>
      </c>
      <c r="AI193" s="219">
        <v>0.06</v>
      </c>
      <c r="AJ193" s="219">
        <v>0.06</v>
      </c>
      <c r="AK193" s="219">
        <v>0.06</v>
      </c>
      <c r="AL193" s="229" t="s">
        <v>573</v>
      </c>
      <c r="AM193" s="219">
        <f t="shared" si="84"/>
        <v>0</v>
      </c>
      <c r="AN193" s="229" t="s">
        <v>573</v>
      </c>
      <c r="AO193" s="221">
        <f t="shared" si="85"/>
        <v>0</v>
      </c>
      <c r="AP193" s="222" t="s">
        <v>573</v>
      </c>
      <c r="AQ193" s="221">
        <f t="shared" si="86"/>
        <v>0</v>
      </c>
      <c r="AR193" s="222" t="s">
        <v>573</v>
      </c>
      <c r="AS193" s="58">
        <f t="shared" si="87"/>
        <v>0</v>
      </c>
      <c r="AT193" s="222" t="s">
        <v>573</v>
      </c>
      <c r="AU193" s="58">
        <f t="shared" si="88"/>
        <v>0</v>
      </c>
      <c r="AV193" s="222" t="s">
        <v>573</v>
      </c>
      <c r="AW193" s="58">
        <f t="shared" si="89"/>
        <v>0</v>
      </c>
      <c r="AX193" s="251" t="s">
        <v>573</v>
      </c>
      <c r="AY193" s="58">
        <f t="shared" si="90"/>
        <v>0</v>
      </c>
      <c r="AZ193" s="222" t="s">
        <v>573</v>
      </c>
      <c r="BA193" s="58">
        <f t="shared" si="92"/>
        <v>0</v>
      </c>
      <c r="BB193" s="222" t="s">
        <v>573</v>
      </c>
      <c r="BC193" s="58">
        <f t="shared" si="93"/>
        <v>0</v>
      </c>
      <c r="BD193" s="222">
        <v>5400</v>
      </c>
      <c r="BE193" s="58">
        <f t="shared" si="94"/>
        <v>324</v>
      </c>
      <c r="BF193" s="222">
        <v>5400</v>
      </c>
      <c r="BG193" s="58">
        <f t="shared" si="95"/>
        <v>324</v>
      </c>
      <c r="BH193" s="223" t="s">
        <v>573</v>
      </c>
      <c r="BI193" s="58">
        <f t="shared" si="96"/>
        <v>0</v>
      </c>
      <c r="BJ193" s="220">
        <f t="shared" si="91"/>
        <v>10800</v>
      </c>
      <c r="BK193" s="58"/>
      <c r="BL193" s="58" t="s">
        <v>1059</v>
      </c>
      <c r="BM193" s="220" t="s">
        <v>1388</v>
      </c>
      <c r="BN193" s="213" t="s">
        <v>197</v>
      </c>
      <c r="BO193" s="58" t="s">
        <v>627</v>
      </c>
      <c r="BP193" s="199">
        <v>45961</v>
      </c>
      <c r="BQ193" s="2" t="s">
        <v>1386</v>
      </c>
    </row>
    <row r="194" spans="1:69" ht="15.75" customHeight="1">
      <c r="A194" s="213" t="s">
        <v>788</v>
      </c>
      <c r="B194" s="58" t="s">
        <v>199</v>
      </c>
      <c r="C194" s="58" t="s">
        <v>752</v>
      </c>
      <c r="D194" s="214" t="s">
        <v>789</v>
      </c>
      <c r="E194" s="214" t="s">
        <v>789</v>
      </c>
      <c r="F194" s="215" t="s">
        <v>186</v>
      </c>
      <c r="G194" s="216">
        <v>2023</v>
      </c>
      <c r="H194" s="218" t="s">
        <v>1320</v>
      </c>
      <c r="I194" s="218" t="s">
        <v>212</v>
      </c>
      <c r="J194" s="217" t="s">
        <v>890</v>
      </c>
      <c r="K194" s="213" t="s">
        <v>221</v>
      </c>
      <c r="L194" s="213" t="s">
        <v>192</v>
      </c>
      <c r="M194" s="219" t="s">
        <v>1390</v>
      </c>
      <c r="N194" s="219">
        <v>6.6</v>
      </c>
      <c r="O194" s="219">
        <v>6.6</v>
      </c>
      <c r="P194" s="219">
        <v>6.6</v>
      </c>
      <c r="Q194" s="219">
        <v>6.6</v>
      </c>
      <c r="R194" s="219">
        <v>6.6</v>
      </c>
      <c r="S194" s="219">
        <v>6.6</v>
      </c>
      <c r="T194" s="219">
        <v>6.6</v>
      </c>
      <c r="U194" s="219">
        <v>6.6</v>
      </c>
      <c r="V194" s="219">
        <v>6.6</v>
      </c>
      <c r="W194" s="219">
        <v>6.6</v>
      </c>
      <c r="X194" s="219">
        <v>6.6</v>
      </c>
      <c r="Y194" s="219">
        <v>6.6</v>
      </c>
      <c r="Z194" s="219">
        <v>0.06</v>
      </c>
      <c r="AA194" s="219">
        <v>0.06</v>
      </c>
      <c r="AB194" s="219">
        <v>0.06</v>
      </c>
      <c r="AC194" s="219">
        <v>0.06</v>
      </c>
      <c r="AD194" s="219">
        <v>0.06</v>
      </c>
      <c r="AE194" s="219">
        <v>0.06</v>
      </c>
      <c r="AF194" s="219">
        <v>0.06</v>
      </c>
      <c r="AG194" s="219">
        <v>0.06</v>
      </c>
      <c r="AH194" s="219">
        <v>0.06</v>
      </c>
      <c r="AI194" s="219">
        <v>0.06</v>
      </c>
      <c r="AJ194" s="219">
        <v>0.06</v>
      </c>
      <c r="AK194" s="219">
        <v>0.06</v>
      </c>
      <c r="AL194" s="229">
        <v>2700</v>
      </c>
      <c r="AM194" s="219">
        <f t="shared" si="84"/>
        <v>162</v>
      </c>
      <c r="AN194" s="229" t="s">
        <v>573</v>
      </c>
      <c r="AO194" s="221">
        <f t="shared" si="85"/>
        <v>0</v>
      </c>
      <c r="AP194" s="222">
        <v>2700</v>
      </c>
      <c r="AQ194" s="221">
        <f t="shared" si="86"/>
        <v>162</v>
      </c>
      <c r="AR194" s="222">
        <v>1350</v>
      </c>
      <c r="AS194" s="58">
        <f t="shared" si="87"/>
        <v>81</v>
      </c>
      <c r="AT194" s="222" t="s">
        <v>573</v>
      </c>
      <c r="AU194" s="58">
        <f t="shared" si="88"/>
        <v>0</v>
      </c>
      <c r="AV194" s="222">
        <v>2700</v>
      </c>
      <c r="AW194" s="58">
        <f t="shared" si="89"/>
        <v>162</v>
      </c>
      <c r="AX194" s="251">
        <v>2700</v>
      </c>
      <c r="AY194" s="58">
        <f t="shared" si="90"/>
        <v>162</v>
      </c>
      <c r="AZ194" s="222">
        <v>4900</v>
      </c>
      <c r="BA194" s="58">
        <f t="shared" si="92"/>
        <v>294</v>
      </c>
      <c r="BB194" s="222">
        <v>500</v>
      </c>
      <c r="BC194" s="58">
        <f t="shared" si="93"/>
        <v>30</v>
      </c>
      <c r="BD194" s="222">
        <v>5400</v>
      </c>
      <c r="BE194" s="58">
        <f t="shared" si="94"/>
        <v>324</v>
      </c>
      <c r="BF194" s="222" t="s">
        <v>573</v>
      </c>
      <c r="BG194" s="58">
        <f t="shared" si="95"/>
        <v>0</v>
      </c>
      <c r="BH194" s="223" t="s">
        <v>573</v>
      </c>
      <c r="BI194" s="58">
        <f t="shared" si="96"/>
        <v>0</v>
      </c>
      <c r="BJ194" s="220">
        <f t="shared" si="91"/>
        <v>22950</v>
      </c>
      <c r="BK194" s="58"/>
      <c r="BL194" s="58" t="s">
        <v>1156</v>
      </c>
      <c r="BM194" s="220" t="s">
        <v>1390</v>
      </c>
      <c r="BN194" s="213" t="s">
        <v>763</v>
      </c>
      <c r="BO194" s="58" t="s">
        <v>1155</v>
      </c>
      <c r="BP194" s="199">
        <v>45961</v>
      </c>
      <c r="BQ194" s="2" t="s">
        <v>1386</v>
      </c>
    </row>
    <row r="195" spans="1:69" ht="15.75" customHeight="1">
      <c r="A195" s="213" t="s">
        <v>788</v>
      </c>
      <c r="B195" s="58" t="s">
        <v>199</v>
      </c>
      <c r="C195" s="58" t="s">
        <v>752</v>
      </c>
      <c r="D195" s="214" t="s">
        <v>789</v>
      </c>
      <c r="E195" s="214" t="s">
        <v>789</v>
      </c>
      <c r="F195" s="215" t="s">
        <v>186</v>
      </c>
      <c r="G195" s="216">
        <v>2023</v>
      </c>
      <c r="H195" s="218" t="s">
        <v>1320</v>
      </c>
      <c r="I195" s="218" t="s">
        <v>212</v>
      </c>
      <c r="J195" s="217" t="s">
        <v>890</v>
      </c>
      <c r="K195" s="213" t="s">
        <v>221</v>
      </c>
      <c r="L195" s="213" t="s">
        <v>192</v>
      </c>
      <c r="M195" s="219" t="s">
        <v>1388</v>
      </c>
      <c r="N195" s="219">
        <v>6.35</v>
      </c>
      <c r="O195" s="219">
        <v>6.35</v>
      </c>
      <c r="P195" s="219">
        <v>6.35</v>
      </c>
      <c r="Q195" s="219">
        <v>6.35</v>
      </c>
      <c r="R195" s="219">
        <v>6.35</v>
      </c>
      <c r="S195" s="219">
        <v>6.35</v>
      </c>
      <c r="T195" s="219">
        <v>6.35</v>
      </c>
      <c r="U195" s="219">
        <v>6.35</v>
      </c>
      <c r="V195" s="219">
        <v>6.35</v>
      </c>
      <c r="W195" s="219">
        <v>6.35</v>
      </c>
      <c r="X195" s="219">
        <v>6.35</v>
      </c>
      <c r="Y195" s="219">
        <v>6.35</v>
      </c>
      <c r="Z195" s="219">
        <v>0.06</v>
      </c>
      <c r="AA195" s="219">
        <v>0.06</v>
      </c>
      <c r="AB195" s="219">
        <v>0.06</v>
      </c>
      <c r="AC195" s="219">
        <v>0.06</v>
      </c>
      <c r="AD195" s="219">
        <v>0.06</v>
      </c>
      <c r="AE195" s="219">
        <v>0.06</v>
      </c>
      <c r="AF195" s="219">
        <v>0.06</v>
      </c>
      <c r="AG195" s="219">
        <v>0.06</v>
      </c>
      <c r="AH195" s="219">
        <v>0.06</v>
      </c>
      <c r="AI195" s="219">
        <v>0.06</v>
      </c>
      <c r="AJ195" s="219">
        <v>0.06</v>
      </c>
      <c r="AK195" s="219">
        <v>0.06</v>
      </c>
      <c r="AL195" s="229" t="s">
        <v>573</v>
      </c>
      <c r="AM195" s="219">
        <f t="shared" ref="AM195:AM253" si="97">Z195*AL195</f>
        <v>0</v>
      </c>
      <c r="AN195" s="229" t="s">
        <v>573</v>
      </c>
      <c r="AO195" s="221">
        <f t="shared" ref="AO195:AO253" si="98">AN195*AA195</f>
        <v>0</v>
      </c>
      <c r="AP195" s="222">
        <v>5400</v>
      </c>
      <c r="AQ195" s="221">
        <f t="shared" ref="AQ195:AQ253" si="99">AP195*AB195</f>
        <v>324</v>
      </c>
      <c r="AR195" s="222" t="s">
        <v>573</v>
      </c>
      <c r="AS195" s="58">
        <f t="shared" ref="AS195:AS253" si="100">AR195*AC195</f>
        <v>0</v>
      </c>
      <c r="AT195" s="222" t="s">
        <v>573</v>
      </c>
      <c r="AU195" s="58">
        <f t="shared" ref="AU195:AU253" si="101">AT195*AD195</f>
        <v>0</v>
      </c>
      <c r="AV195" s="222" t="s">
        <v>573</v>
      </c>
      <c r="AW195" s="58">
        <f t="shared" ref="AW195:AW253" si="102">AV195*AE195</f>
        <v>0</v>
      </c>
      <c r="AX195" s="251" t="s">
        <v>573</v>
      </c>
      <c r="AY195" s="58">
        <f t="shared" ref="AY195:AY253" si="103">AX195*AF195</f>
        <v>0</v>
      </c>
      <c r="AZ195" s="222" t="s">
        <v>573</v>
      </c>
      <c r="BA195" s="58">
        <f t="shared" si="92"/>
        <v>0</v>
      </c>
      <c r="BB195" s="222" t="s">
        <v>573</v>
      </c>
      <c r="BC195" s="58">
        <f t="shared" si="93"/>
        <v>0</v>
      </c>
      <c r="BD195" s="222" t="s">
        <v>573</v>
      </c>
      <c r="BE195" s="58">
        <f t="shared" si="94"/>
        <v>0</v>
      </c>
      <c r="BF195" s="222" t="s">
        <v>573</v>
      </c>
      <c r="BG195" s="58">
        <f t="shared" si="95"/>
        <v>0</v>
      </c>
      <c r="BH195" s="223" t="s">
        <v>573</v>
      </c>
      <c r="BI195" s="58">
        <f t="shared" si="96"/>
        <v>0</v>
      </c>
      <c r="BJ195" s="220">
        <f t="shared" si="91"/>
        <v>5400</v>
      </c>
      <c r="BK195" s="58"/>
      <c r="BL195" s="58" t="s">
        <v>1060</v>
      </c>
      <c r="BM195" s="220" t="s">
        <v>1388</v>
      </c>
      <c r="BN195" s="213" t="s">
        <v>1310</v>
      </c>
      <c r="BO195" s="58" t="s">
        <v>628</v>
      </c>
      <c r="BP195" s="199">
        <v>45961</v>
      </c>
      <c r="BQ195" s="2" t="s">
        <v>1386</v>
      </c>
    </row>
    <row r="196" spans="1:69" ht="15.75" customHeight="1">
      <c r="A196" s="213" t="s">
        <v>788</v>
      </c>
      <c r="B196" s="58" t="s">
        <v>766</v>
      </c>
      <c r="C196" s="58" t="s">
        <v>752</v>
      </c>
      <c r="D196" s="214" t="s">
        <v>789</v>
      </c>
      <c r="E196" s="214" t="s">
        <v>789</v>
      </c>
      <c r="F196" s="215" t="s">
        <v>186</v>
      </c>
      <c r="G196" s="216">
        <v>2023</v>
      </c>
      <c r="H196" s="218" t="s">
        <v>1320</v>
      </c>
      <c r="I196" s="218" t="s">
        <v>212</v>
      </c>
      <c r="J196" s="217" t="s">
        <v>890</v>
      </c>
      <c r="K196" s="213" t="s">
        <v>221</v>
      </c>
      <c r="L196" s="213" t="s">
        <v>192</v>
      </c>
      <c r="M196" s="219" t="s">
        <v>1388</v>
      </c>
      <c r="N196" s="219">
        <v>6.35</v>
      </c>
      <c r="O196" s="219">
        <v>6.35</v>
      </c>
      <c r="P196" s="219">
        <v>6.35</v>
      </c>
      <c r="Q196" s="219">
        <v>6.35</v>
      </c>
      <c r="R196" s="219">
        <v>6.35</v>
      </c>
      <c r="S196" s="219">
        <v>6.35</v>
      </c>
      <c r="T196" s="219">
        <v>6.35</v>
      </c>
      <c r="U196" s="219">
        <v>6.35</v>
      </c>
      <c r="V196" s="219">
        <v>6.35</v>
      </c>
      <c r="W196" s="219">
        <v>6.35</v>
      </c>
      <c r="X196" s="219">
        <v>6.35</v>
      </c>
      <c r="Y196" s="219">
        <v>6.35</v>
      </c>
      <c r="Z196" s="219">
        <v>0.06</v>
      </c>
      <c r="AA196" s="219">
        <v>0.06</v>
      </c>
      <c r="AB196" s="219">
        <v>0.06</v>
      </c>
      <c r="AC196" s="219">
        <v>0.06</v>
      </c>
      <c r="AD196" s="219">
        <v>0.06</v>
      </c>
      <c r="AE196" s="219">
        <v>0.06</v>
      </c>
      <c r="AF196" s="219">
        <v>0.06</v>
      </c>
      <c r="AG196" s="219">
        <v>0.06</v>
      </c>
      <c r="AH196" s="219">
        <v>0.06</v>
      </c>
      <c r="AI196" s="219">
        <v>0.06</v>
      </c>
      <c r="AJ196" s="219">
        <v>0.06</v>
      </c>
      <c r="AK196" s="219">
        <v>0.06</v>
      </c>
      <c r="AL196" s="229" t="s">
        <v>573</v>
      </c>
      <c r="AM196" s="219">
        <f t="shared" si="97"/>
        <v>0</v>
      </c>
      <c r="AN196" s="229" t="s">
        <v>573</v>
      </c>
      <c r="AO196" s="221">
        <f t="shared" si="98"/>
        <v>0</v>
      </c>
      <c r="AP196" s="222" t="s">
        <v>573</v>
      </c>
      <c r="AQ196" s="221">
        <f t="shared" si="99"/>
        <v>0</v>
      </c>
      <c r="AR196" s="222" t="s">
        <v>573</v>
      </c>
      <c r="AS196" s="58">
        <f t="shared" si="100"/>
        <v>0</v>
      </c>
      <c r="AT196" s="222" t="s">
        <v>573</v>
      </c>
      <c r="AU196" s="58">
        <f t="shared" si="101"/>
        <v>0</v>
      </c>
      <c r="AV196" s="222" t="s">
        <v>573</v>
      </c>
      <c r="AW196" s="58">
        <f t="shared" si="102"/>
        <v>0</v>
      </c>
      <c r="AX196" s="251" t="s">
        <v>573</v>
      </c>
      <c r="AY196" s="58">
        <f t="shared" si="103"/>
        <v>0</v>
      </c>
      <c r="AZ196" s="222" t="s">
        <v>573</v>
      </c>
      <c r="BA196" s="58">
        <f t="shared" si="92"/>
        <v>0</v>
      </c>
      <c r="BB196" s="222" t="s">
        <v>573</v>
      </c>
      <c r="BC196" s="58">
        <f t="shared" si="93"/>
        <v>0</v>
      </c>
      <c r="BD196" s="222" t="s">
        <v>573</v>
      </c>
      <c r="BE196" s="58">
        <f t="shared" si="94"/>
        <v>0</v>
      </c>
      <c r="BF196" s="222" t="s">
        <v>573</v>
      </c>
      <c r="BG196" s="58">
        <f t="shared" si="95"/>
        <v>0</v>
      </c>
      <c r="BH196" s="223" t="s">
        <v>573</v>
      </c>
      <c r="BI196" s="58">
        <f t="shared" si="96"/>
        <v>0</v>
      </c>
      <c r="BJ196" s="220">
        <f t="shared" si="91"/>
        <v>0</v>
      </c>
      <c r="BK196" s="58"/>
      <c r="BL196" s="58" t="s">
        <v>1061</v>
      </c>
      <c r="BM196" s="220" t="s">
        <v>1388</v>
      </c>
      <c r="BN196" s="213" t="s">
        <v>754</v>
      </c>
      <c r="BO196" s="58" t="s">
        <v>630</v>
      </c>
      <c r="BP196" s="199">
        <v>45961</v>
      </c>
      <c r="BQ196" s="2" t="s">
        <v>1386</v>
      </c>
    </row>
    <row r="197" spans="1:69" ht="15.75" customHeight="1">
      <c r="A197" s="213" t="s">
        <v>788</v>
      </c>
      <c r="B197" s="58" t="s">
        <v>199</v>
      </c>
      <c r="C197" s="58" t="s">
        <v>752</v>
      </c>
      <c r="D197" s="214" t="s">
        <v>789</v>
      </c>
      <c r="E197" s="214" t="s">
        <v>789</v>
      </c>
      <c r="F197" s="215" t="s">
        <v>186</v>
      </c>
      <c r="G197" s="216">
        <v>2023</v>
      </c>
      <c r="H197" s="218" t="s">
        <v>1320</v>
      </c>
      <c r="I197" s="218" t="s">
        <v>212</v>
      </c>
      <c r="J197" s="217" t="s">
        <v>890</v>
      </c>
      <c r="K197" s="213" t="s">
        <v>221</v>
      </c>
      <c r="L197" s="213" t="s">
        <v>192</v>
      </c>
      <c r="M197" s="219" t="s">
        <v>1388</v>
      </c>
      <c r="N197" s="219">
        <v>6.35</v>
      </c>
      <c r="O197" s="219">
        <v>6.35</v>
      </c>
      <c r="P197" s="219">
        <v>6.35</v>
      </c>
      <c r="Q197" s="219">
        <v>6.35</v>
      </c>
      <c r="R197" s="219">
        <v>6.35</v>
      </c>
      <c r="S197" s="219">
        <v>6.35</v>
      </c>
      <c r="T197" s="219">
        <v>6.35</v>
      </c>
      <c r="U197" s="219">
        <v>6.35</v>
      </c>
      <c r="V197" s="219">
        <v>6.35</v>
      </c>
      <c r="W197" s="219">
        <v>6.35</v>
      </c>
      <c r="X197" s="219">
        <v>6.35</v>
      </c>
      <c r="Y197" s="219">
        <v>6.35</v>
      </c>
      <c r="Z197" s="219">
        <v>0.06</v>
      </c>
      <c r="AA197" s="219">
        <v>0.06</v>
      </c>
      <c r="AB197" s="219">
        <v>0.06</v>
      </c>
      <c r="AC197" s="219">
        <v>0.06</v>
      </c>
      <c r="AD197" s="219">
        <v>0.06</v>
      </c>
      <c r="AE197" s="219">
        <v>0.06</v>
      </c>
      <c r="AF197" s="219">
        <v>0.06</v>
      </c>
      <c r="AG197" s="219">
        <v>0.06</v>
      </c>
      <c r="AH197" s="219">
        <v>0.06</v>
      </c>
      <c r="AI197" s="219">
        <v>0.06</v>
      </c>
      <c r="AJ197" s="219">
        <v>0.06</v>
      </c>
      <c r="AK197" s="219">
        <v>0.06</v>
      </c>
      <c r="AL197" s="229" t="s">
        <v>573</v>
      </c>
      <c r="AM197" s="219">
        <f t="shared" si="97"/>
        <v>0</v>
      </c>
      <c r="AN197" s="229" t="s">
        <v>573</v>
      </c>
      <c r="AO197" s="221">
        <f t="shared" si="98"/>
        <v>0</v>
      </c>
      <c r="AP197" s="222" t="s">
        <v>573</v>
      </c>
      <c r="AQ197" s="221">
        <f t="shared" si="99"/>
        <v>0</v>
      </c>
      <c r="AR197" s="222" t="s">
        <v>573</v>
      </c>
      <c r="AS197" s="58">
        <f t="shared" si="100"/>
        <v>0</v>
      </c>
      <c r="AT197" s="222" t="s">
        <v>573</v>
      </c>
      <c r="AU197" s="58">
        <f t="shared" si="101"/>
        <v>0</v>
      </c>
      <c r="AV197" s="222" t="s">
        <v>573</v>
      </c>
      <c r="AW197" s="58">
        <f t="shared" si="102"/>
        <v>0</v>
      </c>
      <c r="AX197" s="251" t="s">
        <v>573</v>
      </c>
      <c r="AY197" s="58">
        <f t="shared" si="103"/>
        <v>0</v>
      </c>
      <c r="AZ197" s="222" t="s">
        <v>573</v>
      </c>
      <c r="BA197" s="58">
        <f t="shared" si="92"/>
        <v>0</v>
      </c>
      <c r="BB197" s="222" t="s">
        <v>573</v>
      </c>
      <c r="BC197" s="58">
        <f t="shared" si="93"/>
        <v>0</v>
      </c>
      <c r="BD197" s="222" t="s">
        <v>573</v>
      </c>
      <c r="BE197" s="58">
        <f t="shared" si="94"/>
        <v>0</v>
      </c>
      <c r="BF197" s="222" t="s">
        <v>573</v>
      </c>
      <c r="BG197" s="58">
        <f t="shared" si="95"/>
        <v>0</v>
      </c>
      <c r="BH197" s="223" t="s">
        <v>573</v>
      </c>
      <c r="BI197" s="58">
        <f t="shared" si="96"/>
        <v>0</v>
      </c>
      <c r="BJ197" s="220">
        <f t="shared" si="91"/>
        <v>0</v>
      </c>
      <c r="BK197" s="58"/>
      <c r="BL197" s="58" t="s">
        <v>1062</v>
      </c>
      <c r="BM197" s="220" t="s">
        <v>1388</v>
      </c>
      <c r="BN197" s="213" t="s">
        <v>197</v>
      </c>
      <c r="BO197" s="58" t="s">
        <v>625</v>
      </c>
      <c r="BP197" s="199">
        <v>45961</v>
      </c>
      <c r="BQ197" s="2" t="s">
        <v>1386</v>
      </c>
    </row>
    <row r="198" spans="1:69" ht="15.75" customHeight="1">
      <c r="A198" s="213" t="s">
        <v>788</v>
      </c>
      <c r="B198" s="58" t="s">
        <v>766</v>
      </c>
      <c r="C198" s="58" t="s">
        <v>752</v>
      </c>
      <c r="D198" s="214" t="s">
        <v>789</v>
      </c>
      <c r="E198" s="214" t="s">
        <v>789</v>
      </c>
      <c r="F198" s="215" t="s">
        <v>186</v>
      </c>
      <c r="G198" s="216">
        <v>2023</v>
      </c>
      <c r="H198" s="218" t="s">
        <v>1320</v>
      </c>
      <c r="I198" s="218" t="s">
        <v>212</v>
      </c>
      <c r="J198" s="217" t="s">
        <v>890</v>
      </c>
      <c r="K198" s="213" t="s">
        <v>221</v>
      </c>
      <c r="L198" s="213" t="s">
        <v>192</v>
      </c>
      <c r="M198" s="219" t="s">
        <v>1390</v>
      </c>
      <c r="N198" s="219">
        <v>6.6</v>
      </c>
      <c r="O198" s="219">
        <v>6.6</v>
      </c>
      <c r="P198" s="219">
        <v>6.6</v>
      </c>
      <c r="Q198" s="219">
        <v>6.6</v>
      </c>
      <c r="R198" s="219">
        <v>6.6</v>
      </c>
      <c r="S198" s="219">
        <v>6.6</v>
      </c>
      <c r="T198" s="219">
        <v>6.6</v>
      </c>
      <c r="U198" s="219">
        <v>6.6</v>
      </c>
      <c r="V198" s="219">
        <v>6.6</v>
      </c>
      <c r="W198" s="219">
        <v>6.6</v>
      </c>
      <c r="X198" s="219">
        <v>6.6</v>
      </c>
      <c r="Y198" s="219">
        <v>6.6</v>
      </c>
      <c r="Z198" s="219">
        <v>0.06</v>
      </c>
      <c r="AA198" s="219">
        <v>0.06</v>
      </c>
      <c r="AB198" s="219">
        <v>0.06</v>
      </c>
      <c r="AC198" s="219">
        <v>0.06</v>
      </c>
      <c r="AD198" s="219">
        <v>0.06</v>
      </c>
      <c r="AE198" s="219">
        <v>0.06</v>
      </c>
      <c r="AF198" s="219">
        <v>0.06</v>
      </c>
      <c r="AG198" s="219">
        <v>0.06</v>
      </c>
      <c r="AH198" s="219">
        <v>0.06</v>
      </c>
      <c r="AI198" s="219">
        <v>0.06</v>
      </c>
      <c r="AJ198" s="219">
        <v>0.06</v>
      </c>
      <c r="AK198" s="219">
        <v>0.06</v>
      </c>
      <c r="AL198" s="229" t="s">
        <v>573</v>
      </c>
      <c r="AM198" s="219">
        <f t="shared" si="97"/>
        <v>0</v>
      </c>
      <c r="AN198" s="229" t="s">
        <v>573</v>
      </c>
      <c r="AO198" s="221">
        <f t="shared" si="98"/>
        <v>0</v>
      </c>
      <c r="AP198" s="222" t="s">
        <v>573</v>
      </c>
      <c r="AQ198" s="221">
        <f t="shared" si="99"/>
        <v>0</v>
      </c>
      <c r="AR198" s="222" t="s">
        <v>573</v>
      </c>
      <c r="AS198" s="58">
        <f t="shared" si="100"/>
        <v>0</v>
      </c>
      <c r="AT198" s="222" t="s">
        <v>573</v>
      </c>
      <c r="AU198" s="58">
        <f t="shared" si="101"/>
        <v>0</v>
      </c>
      <c r="AV198" s="222" t="s">
        <v>573</v>
      </c>
      <c r="AW198" s="58">
        <f t="shared" si="102"/>
        <v>0</v>
      </c>
      <c r="AX198" s="251" t="s">
        <v>573</v>
      </c>
      <c r="AY198" s="58">
        <f t="shared" si="103"/>
        <v>0</v>
      </c>
      <c r="AZ198" s="222">
        <v>2700</v>
      </c>
      <c r="BA198" s="58">
        <f t="shared" si="92"/>
        <v>162</v>
      </c>
      <c r="BB198" s="222">
        <v>2700</v>
      </c>
      <c r="BC198" s="58">
        <f t="shared" si="93"/>
        <v>162</v>
      </c>
      <c r="BD198" s="222">
        <v>6500</v>
      </c>
      <c r="BE198" s="58">
        <f t="shared" si="94"/>
        <v>390</v>
      </c>
      <c r="BF198" s="222">
        <v>2700</v>
      </c>
      <c r="BG198" s="58">
        <f t="shared" si="95"/>
        <v>162</v>
      </c>
      <c r="BH198" s="223">
        <v>3100</v>
      </c>
      <c r="BI198" s="58">
        <f t="shared" si="96"/>
        <v>186</v>
      </c>
      <c r="BJ198" s="220">
        <f t="shared" si="91"/>
        <v>17700</v>
      </c>
      <c r="BK198" s="58"/>
      <c r="BL198" s="58" t="s">
        <v>1158</v>
      </c>
      <c r="BM198" s="220" t="s">
        <v>1390</v>
      </c>
      <c r="BN198" s="213" t="s">
        <v>763</v>
      </c>
      <c r="BO198" s="58" t="s">
        <v>1157</v>
      </c>
      <c r="BP198" s="199">
        <v>45961</v>
      </c>
      <c r="BQ198" s="2" t="s">
        <v>1386</v>
      </c>
    </row>
    <row r="199" spans="1:69" ht="15.75" customHeight="1">
      <c r="A199" s="213" t="s">
        <v>788</v>
      </c>
      <c r="B199" s="58" t="s">
        <v>199</v>
      </c>
      <c r="C199" s="58" t="s">
        <v>752</v>
      </c>
      <c r="D199" s="214" t="s">
        <v>789</v>
      </c>
      <c r="E199" s="214" t="s">
        <v>789</v>
      </c>
      <c r="F199" s="215" t="s">
        <v>186</v>
      </c>
      <c r="G199" s="216">
        <v>2020</v>
      </c>
      <c r="H199" s="218" t="s">
        <v>796</v>
      </c>
      <c r="I199" s="218" t="s">
        <v>201</v>
      </c>
      <c r="J199" s="217" t="s">
        <v>890</v>
      </c>
      <c r="K199" s="213" t="s">
        <v>221</v>
      </c>
      <c r="L199" s="213" t="s">
        <v>192</v>
      </c>
      <c r="M199" s="219" t="s">
        <v>1388</v>
      </c>
      <c r="N199" s="219">
        <v>7.86</v>
      </c>
      <c r="O199" s="219">
        <v>7.86</v>
      </c>
      <c r="P199" s="219">
        <v>7.86</v>
      </c>
      <c r="Q199" s="219">
        <v>7.86</v>
      </c>
      <c r="R199" s="219">
        <v>7.86</v>
      </c>
      <c r="S199" s="219">
        <v>7.86</v>
      </c>
      <c r="T199" s="219">
        <v>7.86</v>
      </c>
      <c r="U199" s="219">
        <v>7.86</v>
      </c>
      <c r="V199" s="219">
        <v>7.86</v>
      </c>
      <c r="W199" s="219">
        <v>7.86</v>
      </c>
      <c r="X199" s="219">
        <v>7.86</v>
      </c>
      <c r="Y199" s="219">
        <v>7.86</v>
      </c>
      <c r="Z199" s="219">
        <v>0.08</v>
      </c>
      <c r="AA199" s="219">
        <v>0.08</v>
      </c>
      <c r="AB199" s="219">
        <v>0.08</v>
      </c>
      <c r="AC199" s="219">
        <v>0.08</v>
      </c>
      <c r="AD199" s="219">
        <v>0.08</v>
      </c>
      <c r="AE199" s="219">
        <v>0.08</v>
      </c>
      <c r="AF199" s="219">
        <v>0.08</v>
      </c>
      <c r="AG199" s="219">
        <v>0.08</v>
      </c>
      <c r="AH199" s="219">
        <v>0.08</v>
      </c>
      <c r="AI199" s="219">
        <v>0.08</v>
      </c>
      <c r="AJ199" s="219">
        <v>0.08</v>
      </c>
      <c r="AK199" s="219">
        <v>0.08</v>
      </c>
      <c r="AL199" s="229">
        <v>5280</v>
      </c>
      <c r="AM199" s="219">
        <f t="shared" si="97"/>
        <v>422.40000000000003</v>
      </c>
      <c r="AN199" s="229" t="s">
        <v>573</v>
      </c>
      <c r="AO199" s="221">
        <f t="shared" si="98"/>
        <v>0</v>
      </c>
      <c r="AP199" s="222">
        <v>5280</v>
      </c>
      <c r="AQ199" s="221">
        <f t="shared" si="99"/>
        <v>422.40000000000003</v>
      </c>
      <c r="AR199" s="222" t="s">
        <v>573</v>
      </c>
      <c r="AS199" s="58">
        <f t="shared" si="100"/>
        <v>0</v>
      </c>
      <c r="AT199" s="222">
        <v>5280</v>
      </c>
      <c r="AU199" s="58">
        <f t="shared" si="101"/>
        <v>422.40000000000003</v>
      </c>
      <c r="AV199" s="222">
        <v>5280</v>
      </c>
      <c r="AW199" s="58">
        <f t="shared" si="102"/>
        <v>422.40000000000003</v>
      </c>
      <c r="AX199" s="251">
        <v>5280</v>
      </c>
      <c r="AY199" s="58">
        <f t="shared" si="103"/>
        <v>422.40000000000003</v>
      </c>
      <c r="AZ199" s="222" t="s">
        <v>573</v>
      </c>
      <c r="BA199" s="58">
        <f t="shared" si="92"/>
        <v>0</v>
      </c>
      <c r="BB199" s="222">
        <v>10560</v>
      </c>
      <c r="BC199" s="58">
        <f t="shared" si="93"/>
        <v>844.80000000000007</v>
      </c>
      <c r="BD199" s="222" t="s">
        <v>573</v>
      </c>
      <c r="BE199" s="58">
        <f t="shared" si="94"/>
        <v>0</v>
      </c>
      <c r="BF199" s="222">
        <v>5280</v>
      </c>
      <c r="BG199" s="58">
        <f t="shared" si="95"/>
        <v>422.40000000000003</v>
      </c>
      <c r="BH199" s="223">
        <v>5280</v>
      </c>
      <c r="BI199" s="58">
        <f t="shared" si="96"/>
        <v>422.40000000000003</v>
      </c>
      <c r="BJ199" s="220">
        <f t="shared" ref="BJ199:BJ263" si="104">BH199+BF199+BD199+BB199+AZ199+AX199+AV199+AT199+AR199+AP199+AN199+AL199</f>
        <v>47520</v>
      </c>
      <c r="BK199" s="58"/>
      <c r="BL199" s="58" t="s">
        <v>1063</v>
      </c>
      <c r="BM199" s="220" t="s">
        <v>1388</v>
      </c>
      <c r="BN199" s="213" t="s">
        <v>754</v>
      </c>
      <c r="BO199" s="58" t="s">
        <v>541</v>
      </c>
      <c r="BP199" s="199">
        <v>45443</v>
      </c>
      <c r="BQ199" s="2" t="s">
        <v>1386</v>
      </c>
    </row>
    <row r="200" spans="1:69" ht="15.75" customHeight="1">
      <c r="A200" s="213" t="s">
        <v>788</v>
      </c>
      <c r="B200" s="58" t="s">
        <v>199</v>
      </c>
      <c r="C200" s="58" t="s">
        <v>752</v>
      </c>
      <c r="D200" s="214" t="s">
        <v>789</v>
      </c>
      <c r="E200" s="214" t="s">
        <v>789</v>
      </c>
      <c r="F200" s="215" t="s">
        <v>186</v>
      </c>
      <c r="G200" s="216">
        <v>2020</v>
      </c>
      <c r="H200" s="218" t="s">
        <v>796</v>
      </c>
      <c r="I200" s="218" t="s">
        <v>201</v>
      </c>
      <c r="J200" s="217" t="s">
        <v>890</v>
      </c>
      <c r="K200" s="213" t="s">
        <v>221</v>
      </c>
      <c r="L200" s="213" t="s">
        <v>192</v>
      </c>
      <c r="M200" s="219" t="s">
        <v>1397</v>
      </c>
      <c r="N200" s="219">
        <v>7.8</v>
      </c>
      <c r="O200" s="219">
        <v>7.8</v>
      </c>
      <c r="P200" s="219">
        <v>7.8</v>
      </c>
      <c r="Q200" s="219">
        <v>7.8</v>
      </c>
      <c r="R200" s="219">
        <v>7.8</v>
      </c>
      <c r="S200" s="219">
        <v>7.8</v>
      </c>
      <c r="T200" s="219">
        <v>7.8</v>
      </c>
      <c r="U200" s="219">
        <v>7.8</v>
      </c>
      <c r="V200" s="219">
        <v>7.8</v>
      </c>
      <c r="W200" s="219">
        <v>7.8</v>
      </c>
      <c r="X200" s="219">
        <v>7.8</v>
      </c>
      <c r="Y200" s="219">
        <v>7.8</v>
      </c>
      <c r="Z200" s="219">
        <v>0.08</v>
      </c>
      <c r="AA200" s="219">
        <v>0.08</v>
      </c>
      <c r="AB200" s="219">
        <v>0.08</v>
      </c>
      <c r="AC200" s="219">
        <v>0.08</v>
      </c>
      <c r="AD200" s="219">
        <v>0.08</v>
      </c>
      <c r="AE200" s="219">
        <v>0.08</v>
      </c>
      <c r="AF200" s="219">
        <v>0.08</v>
      </c>
      <c r="AG200" s="219">
        <v>0.08</v>
      </c>
      <c r="AH200" s="219">
        <v>0.08</v>
      </c>
      <c r="AI200" s="219">
        <v>0.08</v>
      </c>
      <c r="AJ200" s="219">
        <v>0.08</v>
      </c>
      <c r="AK200" s="219">
        <v>0.08</v>
      </c>
      <c r="AL200" s="229">
        <v>6160</v>
      </c>
      <c r="AM200" s="219">
        <f t="shared" si="97"/>
        <v>492.8</v>
      </c>
      <c r="AN200" s="229" t="s">
        <v>573</v>
      </c>
      <c r="AO200" s="221">
        <f t="shared" si="98"/>
        <v>0</v>
      </c>
      <c r="AP200" s="222">
        <v>3520</v>
      </c>
      <c r="AQ200" s="221">
        <f t="shared" si="99"/>
        <v>281.60000000000002</v>
      </c>
      <c r="AR200" s="222">
        <v>5280</v>
      </c>
      <c r="AS200" s="58">
        <f t="shared" si="100"/>
        <v>422.40000000000003</v>
      </c>
      <c r="AT200" s="222" t="s">
        <v>573</v>
      </c>
      <c r="AU200" s="58">
        <f t="shared" si="101"/>
        <v>0</v>
      </c>
      <c r="AV200" s="222">
        <v>7040</v>
      </c>
      <c r="AW200" s="58">
        <f t="shared" si="102"/>
        <v>563.20000000000005</v>
      </c>
      <c r="AX200" s="251" t="s">
        <v>573</v>
      </c>
      <c r="AY200" s="58">
        <f t="shared" si="103"/>
        <v>0</v>
      </c>
      <c r="AZ200" s="222">
        <v>5280</v>
      </c>
      <c r="BA200" s="58">
        <f t="shared" si="92"/>
        <v>422.40000000000003</v>
      </c>
      <c r="BB200" s="222" t="s">
        <v>573</v>
      </c>
      <c r="BC200" s="58">
        <f t="shared" si="93"/>
        <v>0</v>
      </c>
      <c r="BD200" s="222" t="s">
        <v>573</v>
      </c>
      <c r="BE200" s="58">
        <f t="shared" si="94"/>
        <v>0</v>
      </c>
      <c r="BF200" s="222" t="s">
        <v>573</v>
      </c>
      <c r="BG200" s="58">
        <f t="shared" si="95"/>
        <v>0</v>
      </c>
      <c r="BH200" s="223" t="s">
        <v>573</v>
      </c>
      <c r="BI200" s="58">
        <f t="shared" si="96"/>
        <v>0</v>
      </c>
      <c r="BJ200" s="220">
        <f t="shared" si="104"/>
        <v>27280</v>
      </c>
      <c r="BK200" s="58"/>
      <c r="BL200" s="58" t="s">
        <v>1064</v>
      </c>
      <c r="BM200" s="220" t="s">
        <v>1397</v>
      </c>
      <c r="BN200" s="213" t="s">
        <v>754</v>
      </c>
      <c r="BO200" s="58" t="s">
        <v>540</v>
      </c>
      <c r="BP200" s="199">
        <v>45443</v>
      </c>
      <c r="BQ200" s="2" t="s">
        <v>1386</v>
      </c>
    </row>
    <row r="201" spans="1:69" ht="15.75" customHeight="1">
      <c r="A201" s="213" t="s">
        <v>788</v>
      </c>
      <c r="B201" s="58" t="s">
        <v>199</v>
      </c>
      <c r="C201" s="58" t="s">
        <v>752</v>
      </c>
      <c r="D201" s="214" t="s">
        <v>789</v>
      </c>
      <c r="E201" s="214" t="s">
        <v>789</v>
      </c>
      <c r="F201" s="215" t="s">
        <v>186</v>
      </c>
      <c r="G201" s="216">
        <v>2020</v>
      </c>
      <c r="H201" s="218" t="s">
        <v>796</v>
      </c>
      <c r="I201" s="218" t="s">
        <v>201</v>
      </c>
      <c r="J201" s="217" t="s">
        <v>890</v>
      </c>
      <c r="K201" s="213" t="s">
        <v>221</v>
      </c>
      <c r="L201" s="213" t="s">
        <v>192</v>
      </c>
      <c r="M201" s="219" t="s">
        <v>1388</v>
      </c>
      <c r="N201" s="219">
        <v>7.92</v>
      </c>
      <c r="O201" s="219">
        <v>7.92</v>
      </c>
      <c r="P201" s="219">
        <v>7.92</v>
      </c>
      <c r="Q201" s="219">
        <v>7.92</v>
      </c>
      <c r="R201" s="219">
        <v>7.92</v>
      </c>
      <c r="S201" s="219">
        <v>7.92</v>
      </c>
      <c r="T201" s="219">
        <v>7.92</v>
      </c>
      <c r="U201" s="219">
        <v>7.92</v>
      </c>
      <c r="V201" s="219">
        <v>7.92</v>
      </c>
      <c r="W201" s="219">
        <v>7.92</v>
      </c>
      <c r="X201" s="219">
        <v>7.92</v>
      </c>
      <c r="Y201" s="219">
        <v>7.92</v>
      </c>
      <c r="Z201" s="219">
        <v>0.08</v>
      </c>
      <c r="AA201" s="219">
        <v>0.08</v>
      </c>
      <c r="AB201" s="219">
        <v>0.08</v>
      </c>
      <c r="AC201" s="219">
        <v>0.08</v>
      </c>
      <c r="AD201" s="219">
        <v>0.08</v>
      </c>
      <c r="AE201" s="219">
        <v>0.08</v>
      </c>
      <c r="AF201" s="219">
        <v>0.08</v>
      </c>
      <c r="AG201" s="219">
        <v>0.08</v>
      </c>
      <c r="AH201" s="219">
        <v>0.08</v>
      </c>
      <c r="AI201" s="219">
        <v>0.08</v>
      </c>
      <c r="AJ201" s="219">
        <v>0.08</v>
      </c>
      <c r="AK201" s="219">
        <v>0.08</v>
      </c>
      <c r="AL201" s="229">
        <v>5280</v>
      </c>
      <c r="AM201" s="219">
        <f t="shared" si="97"/>
        <v>422.40000000000003</v>
      </c>
      <c r="AN201" s="229">
        <v>10560</v>
      </c>
      <c r="AO201" s="221">
        <f t="shared" si="98"/>
        <v>844.80000000000007</v>
      </c>
      <c r="AP201" s="222" t="s">
        <v>573</v>
      </c>
      <c r="AQ201" s="221">
        <f t="shared" si="99"/>
        <v>0</v>
      </c>
      <c r="AR201" s="222">
        <v>10560</v>
      </c>
      <c r="AS201" s="58">
        <f t="shared" si="100"/>
        <v>844.80000000000007</v>
      </c>
      <c r="AT201" s="222">
        <v>5280</v>
      </c>
      <c r="AU201" s="58">
        <f t="shared" si="101"/>
        <v>422.40000000000003</v>
      </c>
      <c r="AV201" s="222" t="s">
        <v>573</v>
      </c>
      <c r="AW201" s="58">
        <f t="shared" si="102"/>
        <v>0</v>
      </c>
      <c r="AX201" s="251" t="s">
        <v>573</v>
      </c>
      <c r="AY201" s="58">
        <f t="shared" si="103"/>
        <v>0</v>
      </c>
      <c r="AZ201" s="222" t="s">
        <v>573</v>
      </c>
      <c r="BA201" s="58">
        <f t="shared" si="92"/>
        <v>0</v>
      </c>
      <c r="BB201" s="222" t="s">
        <v>573</v>
      </c>
      <c r="BC201" s="58">
        <f t="shared" si="93"/>
        <v>0</v>
      </c>
      <c r="BD201" s="222" t="s">
        <v>573</v>
      </c>
      <c r="BE201" s="58">
        <f t="shared" si="94"/>
        <v>0</v>
      </c>
      <c r="BF201" s="222" t="s">
        <v>573</v>
      </c>
      <c r="BG201" s="58">
        <f t="shared" si="95"/>
        <v>0</v>
      </c>
      <c r="BH201" s="223" t="s">
        <v>573</v>
      </c>
      <c r="BI201" s="58">
        <f t="shared" si="96"/>
        <v>0</v>
      </c>
      <c r="BJ201" s="220">
        <f t="shared" si="104"/>
        <v>31680</v>
      </c>
      <c r="BK201" s="58"/>
      <c r="BL201" s="58" t="s">
        <v>1065</v>
      </c>
      <c r="BM201" s="220" t="s">
        <v>1388</v>
      </c>
      <c r="BN201" s="213" t="s">
        <v>1310</v>
      </c>
      <c r="BO201" s="58" t="s">
        <v>539</v>
      </c>
      <c r="BP201" s="199">
        <v>45443</v>
      </c>
      <c r="BQ201" s="2" t="s">
        <v>1386</v>
      </c>
    </row>
    <row r="202" spans="1:69" ht="15.75" customHeight="1">
      <c r="A202" s="213" t="s">
        <v>788</v>
      </c>
      <c r="B202" s="58" t="s">
        <v>199</v>
      </c>
      <c r="C202" s="58" t="s">
        <v>752</v>
      </c>
      <c r="D202" s="214" t="s">
        <v>789</v>
      </c>
      <c r="E202" s="214" t="s">
        <v>789</v>
      </c>
      <c r="F202" s="215" t="s">
        <v>186</v>
      </c>
      <c r="G202" s="216">
        <v>2020</v>
      </c>
      <c r="H202" s="218" t="s">
        <v>796</v>
      </c>
      <c r="I202" s="218" t="s">
        <v>201</v>
      </c>
      <c r="J202" s="217" t="s">
        <v>890</v>
      </c>
      <c r="K202" s="213" t="s">
        <v>221</v>
      </c>
      <c r="L202" s="213" t="s">
        <v>192</v>
      </c>
      <c r="M202" s="219" t="s">
        <v>1389</v>
      </c>
      <c r="N202" s="219">
        <v>7.8</v>
      </c>
      <c r="O202" s="219">
        <v>7.8</v>
      </c>
      <c r="P202" s="219">
        <v>7.8</v>
      </c>
      <c r="Q202" s="219">
        <v>7.8</v>
      </c>
      <c r="R202" s="219">
        <v>7.8</v>
      </c>
      <c r="S202" s="219">
        <v>7.8</v>
      </c>
      <c r="T202" s="219">
        <v>7.8</v>
      </c>
      <c r="U202" s="219">
        <v>7.8</v>
      </c>
      <c r="V202" s="219">
        <v>7.8</v>
      </c>
      <c r="W202" s="219">
        <v>7.8</v>
      </c>
      <c r="X202" s="219">
        <v>7.8</v>
      </c>
      <c r="Y202" s="219">
        <v>7.8</v>
      </c>
      <c r="Z202" s="219">
        <v>0.08</v>
      </c>
      <c r="AA202" s="219">
        <v>0.08</v>
      </c>
      <c r="AB202" s="219">
        <v>0.08</v>
      </c>
      <c r="AC202" s="219">
        <v>0.08</v>
      </c>
      <c r="AD202" s="219">
        <v>0.08</v>
      </c>
      <c r="AE202" s="219">
        <v>0.08</v>
      </c>
      <c r="AF202" s="219">
        <v>0.08</v>
      </c>
      <c r="AG202" s="219">
        <v>0.08</v>
      </c>
      <c r="AH202" s="219">
        <v>0.08</v>
      </c>
      <c r="AI202" s="219">
        <v>0.08</v>
      </c>
      <c r="AJ202" s="219">
        <v>0.08</v>
      </c>
      <c r="AK202" s="219">
        <v>0.08</v>
      </c>
      <c r="AL202" s="229">
        <v>0</v>
      </c>
      <c r="AM202" s="219">
        <f t="shared" si="97"/>
        <v>0</v>
      </c>
      <c r="AN202" s="229" t="s">
        <v>573</v>
      </c>
      <c r="AO202" s="221">
        <f t="shared" si="98"/>
        <v>0</v>
      </c>
      <c r="AP202" s="222" t="s">
        <v>573</v>
      </c>
      <c r="AQ202" s="221">
        <f t="shared" si="99"/>
        <v>0</v>
      </c>
      <c r="AR202" s="222" t="s">
        <v>573</v>
      </c>
      <c r="AS202" s="58">
        <f t="shared" si="100"/>
        <v>0</v>
      </c>
      <c r="AT202" s="222" t="s">
        <v>573</v>
      </c>
      <c r="AU202" s="58">
        <f t="shared" si="101"/>
        <v>0</v>
      </c>
      <c r="AV202" s="222" t="s">
        <v>573</v>
      </c>
      <c r="AW202" s="58">
        <f t="shared" si="102"/>
        <v>0</v>
      </c>
      <c r="AX202" s="251" t="s">
        <v>573</v>
      </c>
      <c r="AY202" s="58">
        <f t="shared" si="103"/>
        <v>0</v>
      </c>
      <c r="AZ202" s="222" t="s">
        <v>573</v>
      </c>
      <c r="BA202" s="58">
        <f t="shared" si="92"/>
        <v>0</v>
      </c>
      <c r="BB202" s="222" t="s">
        <v>573</v>
      </c>
      <c r="BC202" s="58">
        <f t="shared" si="93"/>
        <v>0</v>
      </c>
      <c r="BD202" s="222" t="s">
        <v>573</v>
      </c>
      <c r="BE202" s="58">
        <f t="shared" si="94"/>
        <v>0</v>
      </c>
      <c r="BF202" s="222" t="s">
        <v>573</v>
      </c>
      <c r="BG202" s="58">
        <f t="shared" si="95"/>
        <v>0</v>
      </c>
      <c r="BH202" s="223" t="s">
        <v>573</v>
      </c>
      <c r="BI202" s="58">
        <f t="shared" si="96"/>
        <v>0</v>
      </c>
      <c r="BJ202" s="220">
        <f t="shared" si="104"/>
        <v>0</v>
      </c>
      <c r="BK202" s="58"/>
      <c r="BL202" s="58" t="s">
        <v>1066</v>
      </c>
      <c r="BM202" s="220" t="s">
        <v>1389</v>
      </c>
      <c r="BN202" s="213" t="s">
        <v>806</v>
      </c>
      <c r="BO202" s="58" t="s">
        <v>1321</v>
      </c>
      <c r="BP202" s="199"/>
      <c r="BQ202" s="2" t="s">
        <v>1386</v>
      </c>
    </row>
    <row r="203" spans="1:69" ht="15.75" customHeight="1">
      <c r="A203" s="213" t="s">
        <v>788</v>
      </c>
      <c r="B203" s="58" t="s">
        <v>199</v>
      </c>
      <c r="C203" s="58" t="s">
        <v>752</v>
      </c>
      <c r="D203" s="214" t="s">
        <v>789</v>
      </c>
      <c r="E203" s="214" t="s">
        <v>789</v>
      </c>
      <c r="F203" s="215" t="s">
        <v>186</v>
      </c>
      <c r="G203" s="216">
        <v>2020</v>
      </c>
      <c r="H203" s="218" t="s">
        <v>796</v>
      </c>
      <c r="I203" s="218" t="s">
        <v>201</v>
      </c>
      <c r="J203" s="217" t="s">
        <v>890</v>
      </c>
      <c r="K203" s="213" t="s">
        <v>221</v>
      </c>
      <c r="L203" s="213" t="s">
        <v>192</v>
      </c>
      <c r="M203" s="219" t="s">
        <v>1388</v>
      </c>
      <c r="N203" s="219">
        <v>7.9</v>
      </c>
      <c r="O203" s="219">
        <v>7.9</v>
      </c>
      <c r="P203" s="219">
        <v>7.9</v>
      </c>
      <c r="Q203" s="219">
        <v>7.9</v>
      </c>
      <c r="R203" s="219">
        <v>7.9</v>
      </c>
      <c r="S203" s="219">
        <v>7.9</v>
      </c>
      <c r="T203" s="219">
        <v>7.9</v>
      </c>
      <c r="U203" s="219">
        <v>7.9</v>
      </c>
      <c r="V203" s="219">
        <v>7.9</v>
      </c>
      <c r="W203" s="219">
        <v>7.9</v>
      </c>
      <c r="X203" s="219">
        <v>7.9</v>
      </c>
      <c r="Y203" s="219">
        <v>7.9</v>
      </c>
      <c r="Z203" s="219">
        <v>0.08</v>
      </c>
      <c r="AA203" s="219">
        <v>0.08</v>
      </c>
      <c r="AB203" s="219">
        <v>0.08</v>
      </c>
      <c r="AC203" s="219">
        <v>0.08</v>
      </c>
      <c r="AD203" s="219">
        <v>0.08</v>
      </c>
      <c r="AE203" s="219">
        <v>0.08</v>
      </c>
      <c r="AF203" s="219">
        <v>0.08</v>
      </c>
      <c r="AG203" s="219">
        <v>0.08</v>
      </c>
      <c r="AH203" s="219">
        <v>0.08</v>
      </c>
      <c r="AI203" s="219">
        <v>0.08</v>
      </c>
      <c r="AJ203" s="219">
        <v>0.08</v>
      </c>
      <c r="AK203" s="219">
        <v>0.08</v>
      </c>
      <c r="AL203" s="229">
        <v>5280</v>
      </c>
      <c r="AM203" s="219">
        <f t="shared" si="97"/>
        <v>422.40000000000003</v>
      </c>
      <c r="AN203" s="229">
        <v>5280</v>
      </c>
      <c r="AO203" s="221">
        <f t="shared" si="98"/>
        <v>422.40000000000003</v>
      </c>
      <c r="AP203" s="222" t="s">
        <v>573</v>
      </c>
      <c r="AQ203" s="221">
        <f t="shared" si="99"/>
        <v>0</v>
      </c>
      <c r="AR203" s="222">
        <v>5280</v>
      </c>
      <c r="AS203" s="58">
        <f t="shared" si="100"/>
        <v>422.40000000000003</v>
      </c>
      <c r="AT203" s="222" t="s">
        <v>573</v>
      </c>
      <c r="AU203" s="58">
        <f t="shared" si="101"/>
        <v>0</v>
      </c>
      <c r="AV203" s="222">
        <v>5280</v>
      </c>
      <c r="AW203" s="58">
        <f t="shared" si="102"/>
        <v>422.40000000000003</v>
      </c>
      <c r="AX203" s="251" t="s">
        <v>573</v>
      </c>
      <c r="AY203" s="58">
        <f t="shared" si="103"/>
        <v>0</v>
      </c>
      <c r="AZ203" s="222">
        <v>5280</v>
      </c>
      <c r="BA203" s="58">
        <f t="shared" si="92"/>
        <v>422.40000000000003</v>
      </c>
      <c r="BB203" s="222" t="s">
        <v>573</v>
      </c>
      <c r="BC203" s="58">
        <f t="shared" si="93"/>
        <v>0</v>
      </c>
      <c r="BD203" s="222">
        <v>5280</v>
      </c>
      <c r="BE203" s="58">
        <f t="shared" si="94"/>
        <v>422.40000000000003</v>
      </c>
      <c r="BF203" s="222">
        <v>5280</v>
      </c>
      <c r="BG203" s="58">
        <f t="shared" si="95"/>
        <v>422.40000000000003</v>
      </c>
      <c r="BH203" s="223" t="s">
        <v>573</v>
      </c>
      <c r="BI203" s="58">
        <f t="shared" si="96"/>
        <v>0</v>
      </c>
      <c r="BJ203" s="220">
        <f t="shared" si="104"/>
        <v>36960</v>
      </c>
      <c r="BK203" s="58"/>
      <c r="BL203" s="58" t="s">
        <v>1067</v>
      </c>
      <c r="BM203" s="220" t="s">
        <v>1388</v>
      </c>
      <c r="BN203" s="213" t="s">
        <v>1310</v>
      </c>
      <c r="BO203" s="58" t="s">
        <v>1284</v>
      </c>
      <c r="BP203" s="199">
        <v>45443</v>
      </c>
      <c r="BQ203" s="2" t="s">
        <v>1386</v>
      </c>
    </row>
    <row r="204" spans="1:69" ht="15.75" customHeight="1">
      <c r="A204" s="213" t="s">
        <v>788</v>
      </c>
      <c r="B204" s="58" t="s">
        <v>199</v>
      </c>
      <c r="C204" s="58" t="s">
        <v>752</v>
      </c>
      <c r="D204" s="214" t="s">
        <v>789</v>
      </c>
      <c r="E204" s="214" t="s">
        <v>789</v>
      </c>
      <c r="F204" s="215" t="s">
        <v>186</v>
      </c>
      <c r="G204" s="216">
        <v>2020</v>
      </c>
      <c r="H204" s="218" t="s">
        <v>796</v>
      </c>
      <c r="I204" s="218" t="s">
        <v>201</v>
      </c>
      <c r="J204" s="217" t="s">
        <v>890</v>
      </c>
      <c r="K204" s="213" t="s">
        <v>221</v>
      </c>
      <c r="L204" s="213" t="s">
        <v>192</v>
      </c>
      <c r="M204" s="219" t="s">
        <v>1388</v>
      </c>
      <c r="N204" s="219">
        <v>7.92</v>
      </c>
      <c r="O204" s="219">
        <v>7.92</v>
      </c>
      <c r="P204" s="219">
        <v>7.92</v>
      </c>
      <c r="Q204" s="219">
        <v>7.92</v>
      </c>
      <c r="R204" s="219">
        <v>7.92</v>
      </c>
      <c r="S204" s="219">
        <v>7.92</v>
      </c>
      <c r="T204" s="219">
        <v>7.92</v>
      </c>
      <c r="U204" s="219">
        <v>7.92</v>
      </c>
      <c r="V204" s="219">
        <v>7.92</v>
      </c>
      <c r="W204" s="219">
        <v>7.92</v>
      </c>
      <c r="X204" s="219">
        <v>7.92</v>
      </c>
      <c r="Y204" s="219">
        <v>7.92</v>
      </c>
      <c r="Z204" s="219">
        <v>0.08</v>
      </c>
      <c r="AA204" s="219">
        <v>0.08</v>
      </c>
      <c r="AB204" s="219">
        <v>0.08</v>
      </c>
      <c r="AC204" s="219">
        <v>0.08</v>
      </c>
      <c r="AD204" s="219">
        <v>0.08</v>
      </c>
      <c r="AE204" s="219">
        <v>0.08</v>
      </c>
      <c r="AF204" s="219">
        <v>0.08</v>
      </c>
      <c r="AG204" s="219">
        <v>0.08</v>
      </c>
      <c r="AH204" s="219">
        <v>0.08</v>
      </c>
      <c r="AI204" s="219">
        <v>0.08</v>
      </c>
      <c r="AJ204" s="219">
        <v>0.08</v>
      </c>
      <c r="AK204" s="219">
        <v>0.08</v>
      </c>
      <c r="AL204" s="229">
        <v>5280</v>
      </c>
      <c r="AM204" s="219">
        <f t="shared" si="97"/>
        <v>422.40000000000003</v>
      </c>
      <c r="AN204" s="229" t="s">
        <v>573</v>
      </c>
      <c r="AO204" s="221">
        <f t="shared" si="98"/>
        <v>0</v>
      </c>
      <c r="AP204" s="222" t="s">
        <v>573</v>
      </c>
      <c r="AQ204" s="221">
        <f t="shared" si="99"/>
        <v>0</v>
      </c>
      <c r="AR204" s="222" t="s">
        <v>573</v>
      </c>
      <c r="AS204" s="58">
        <f t="shared" si="100"/>
        <v>0</v>
      </c>
      <c r="AT204" s="222" t="s">
        <v>573</v>
      </c>
      <c r="AU204" s="58">
        <f t="shared" si="101"/>
        <v>0</v>
      </c>
      <c r="AV204" s="222" t="s">
        <v>573</v>
      </c>
      <c r="AW204" s="58">
        <f t="shared" si="102"/>
        <v>0</v>
      </c>
      <c r="AX204" s="251">
        <v>5280</v>
      </c>
      <c r="AY204" s="58">
        <f t="shared" si="103"/>
        <v>422.40000000000003</v>
      </c>
      <c r="AZ204" s="222">
        <v>5280</v>
      </c>
      <c r="BA204" s="58">
        <f t="shared" si="92"/>
        <v>422.40000000000003</v>
      </c>
      <c r="BB204" s="222">
        <v>5280</v>
      </c>
      <c r="BC204" s="58">
        <f t="shared" si="93"/>
        <v>422.40000000000003</v>
      </c>
      <c r="BD204" s="222" t="s">
        <v>573</v>
      </c>
      <c r="BE204" s="58">
        <f t="shared" si="94"/>
        <v>0</v>
      </c>
      <c r="BF204" s="222">
        <v>5280</v>
      </c>
      <c r="BG204" s="58">
        <f t="shared" si="95"/>
        <v>422.40000000000003</v>
      </c>
      <c r="BH204" s="223" t="s">
        <v>573</v>
      </c>
      <c r="BI204" s="58">
        <f t="shared" si="96"/>
        <v>0</v>
      </c>
      <c r="BJ204" s="220">
        <f t="shared" si="104"/>
        <v>26400</v>
      </c>
      <c r="BK204" s="58"/>
      <c r="BL204" s="58" t="s">
        <v>1068</v>
      </c>
      <c r="BM204" s="220" t="s">
        <v>1388</v>
      </c>
      <c r="BN204" s="213" t="s">
        <v>197</v>
      </c>
      <c r="BO204" s="58" t="s">
        <v>536</v>
      </c>
      <c r="BP204" s="199">
        <v>45443</v>
      </c>
      <c r="BQ204" s="2" t="s">
        <v>1386</v>
      </c>
    </row>
    <row r="205" spans="1:69" ht="15.75" customHeight="1">
      <c r="A205" s="213" t="s">
        <v>788</v>
      </c>
      <c r="B205" s="58" t="s">
        <v>184</v>
      </c>
      <c r="C205" s="58" t="s">
        <v>752</v>
      </c>
      <c r="D205" s="214" t="s">
        <v>789</v>
      </c>
      <c r="E205" s="214" t="s">
        <v>789</v>
      </c>
      <c r="F205" s="215" t="s">
        <v>186</v>
      </c>
      <c r="G205" s="216">
        <v>2018</v>
      </c>
      <c r="H205" s="218" t="s">
        <v>286</v>
      </c>
      <c r="I205" s="218" t="s">
        <v>196</v>
      </c>
      <c r="J205" s="217" t="s">
        <v>890</v>
      </c>
      <c r="K205" s="213" t="s">
        <v>221</v>
      </c>
      <c r="L205" s="213" t="s">
        <v>192</v>
      </c>
      <c r="M205" s="219" t="s">
        <v>1395</v>
      </c>
      <c r="N205" s="219">
        <v>4.66</v>
      </c>
      <c r="O205" s="219">
        <v>4.66</v>
      </c>
      <c r="P205" s="219">
        <v>4.66</v>
      </c>
      <c r="Q205" s="219">
        <v>4.66</v>
      </c>
      <c r="R205" s="219">
        <v>4.66</v>
      </c>
      <c r="S205" s="219">
        <v>4.66</v>
      </c>
      <c r="T205" s="219">
        <v>4.66</v>
      </c>
      <c r="U205" s="219">
        <v>4.66</v>
      </c>
      <c r="V205" s="219">
        <v>4.66</v>
      </c>
      <c r="W205" s="219">
        <v>4.66</v>
      </c>
      <c r="X205" s="219">
        <v>4.66</v>
      </c>
      <c r="Y205" s="219">
        <v>4.66</v>
      </c>
      <c r="Z205" s="219">
        <v>0.05</v>
      </c>
      <c r="AA205" s="219">
        <v>0.05</v>
      </c>
      <c r="AB205" s="219">
        <v>0.05</v>
      </c>
      <c r="AC205" s="219">
        <v>0.05</v>
      </c>
      <c r="AD205" s="219">
        <v>0.05</v>
      </c>
      <c r="AE205" s="219">
        <v>0.05</v>
      </c>
      <c r="AF205" s="219">
        <v>0.05</v>
      </c>
      <c r="AG205" s="219">
        <v>0.05</v>
      </c>
      <c r="AH205" s="219">
        <v>0.05</v>
      </c>
      <c r="AI205" s="219">
        <v>0.05</v>
      </c>
      <c r="AJ205" s="219">
        <v>0.05</v>
      </c>
      <c r="AK205" s="219">
        <v>0.05</v>
      </c>
      <c r="AL205" s="229">
        <v>8500</v>
      </c>
      <c r="AM205" s="219">
        <f t="shared" si="97"/>
        <v>425</v>
      </c>
      <c r="AN205" s="229" t="s">
        <v>573</v>
      </c>
      <c r="AO205" s="221">
        <f t="shared" si="98"/>
        <v>0</v>
      </c>
      <c r="AP205" s="222" t="s">
        <v>573</v>
      </c>
      <c r="AQ205" s="221">
        <f t="shared" si="99"/>
        <v>0</v>
      </c>
      <c r="AR205" s="222" t="s">
        <v>573</v>
      </c>
      <c r="AS205" s="58">
        <f t="shared" si="100"/>
        <v>0</v>
      </c>
      <c r="AT205" s="222">
        <v>6000</v>
      </c>
      <c r="AU205" s="58">
        <f t="shared" si="101"/>
        <v>300</v>
      </c>
      <c r="AV205" s="222" t="s">
        <v>573</v>
      </c>
      <c r="AW205" s="58">
        <f t="shared" si="102"/>
        <v>0</v>
      </c>
      <c r="AX205" s="251" t="s">
        <v>573</v>
      </c>
      <c r="AY205" s="58">
        <f t="shared" si="103"/>
        <v>0</v>
      </c>
      <c r="AZ205" s="222" t="s">
        <v>573</v>
      </c>
      <c r="BA205" s="58">
        <f t="shared" si="92"/>
        <v>0</v>
      </c>
      <c r="BB205" s="222" t="s">
        <v>573</v>
      </c>
      <c r="BC205" s="58">
        <f t="shared" si="93"/>
        <v>0</v>
      </c>
      <c r="BD205" s="222" t="s">
        <v>573</v>
      </c>
      <c r="BE205" s="58">
        <f t="shared" si="94"/>
        <v>0</v>
      </c>
      <c r="BF205" s="222" t="s">
        <v>573</v>
      </c>
      <c r="BG205" s="58">
        <f t="shared" si="95"/>
        <v>0</v>
      </c>
      <c r="BH205" s="223">
        <v>3500</v>
      </c>
      <c r="BI205" s="58">
        <f t="shared" si="96"/>
        <v>175</v>
      </c>
      <c r="BJ205" s="220">
        <f t="shared" si="104"/>
        <v>18000</v>
      </c>
      <c r="BK205" s="58"/>
      <c r="BL205" s="58" t="s">
        <v>890</v>
      </c>
      <c r="BM205" s="220" t="s">
        <v>1395</v>
      </c>
      <c r="BN205" s="213" t="s">
        <v>1347</v>
      </c>
      <c r="BO205" s="213" t="s">
        <v>814</v>
      </c>
      <c r="BP205" s="199"/>
      <c r="BQ205" s="2" t="s">
        <v>1386</v>
      </c>
    </row>
    <row r="206" spans="1:69" ht="15.75" customHeight="1">
      <c r="A206" s="213" t="s">
        <v>788</v>
      </c>
      <c r="B206" s="58" t="s">
        <v>184</v>
      </c>
      <c r="C206" s="58" t="s">
        <v>752</v>
      </c>
      <c r="D206" s="214" t="s">
        <v>789</v>
      </c>
      <c r="E206" s="214" t="s">
        <v>789</v>
      </c>
      <c r="F206" s="215" t="s">
        <v>186</v>
      </c>
      <c r="G206" s="216">
        <v>2018</v>
      </c>
      <c r="H206" s="218" t="s">
        <v>802</v>
      </c>
      <c r="I206" s="218" t="s">
        <v>196</v>
      </c>
      <c r="J206" s="217" t="s">
        <v>890</v>
      </c>
      <c r="K206" s="213" t="s">
        <v>221</v>
      </c>
      <c r="L206" s="213" t="s">
        <v>192</v>
      </c>
      <c r="M206" s="219" t="s">
        <v>1392</v>
      </c>
      <c r="N206" s="219">
        <v>4.66</v>
      </c>
      <c r="O206" s="219">
        <v>4.66</v>
      </c>
      <c r="P206" s="219">
        <v>4.66</v>
      </c>
      <c r="Q206" s="219">
        <v>4.66</v>
      </c>
      <c r="R206" s="219">
        <v>4.66</v>
      </c>
      <c r="S206" s="219">
        <v>4.66</v>
      </c>
      <c r="T206" s="219">
        <v>4.66</v>
      </c>
      <c r="U206" s="219">
        <v>4.66</v>
      </c>
      <c r="V206" s="219">
        <v>4.66</v>
      </c>
      <c r="W206" s="219">
        <v>4.66</v>
      </c>
      <c r="X206" s="219">
        <v>4.66</v>
      </c>
      <c r="Y206" s="219">
        <v>4.66</v>
      </c>
      <c r="Z206" s="219">
        <v>0.05</v>
      </c>
      <c r="AA206" s="219">
        <v>0.05</v>
      </c>
      <c r="AB206" s="219">
        <v>0.05</v>
      </c>
      <c r="AC206" s="219">
        <v>0.05</v>
      </c>
      <c r="AD206" s="219">
        <v>0.05</v>
      </c>
      <c r="AE206" s="219">
        <v>0.05</v>
      </c>
      <c r="AF206" s="219">
        <v>0.05</v>
      </c>
      <c r="AG206" s="219">
        <v>0.05</v>
      </c>
      <c r="AH206" s="219">
        <v>0.05</v>
      </c>
      <c r="AI206" s="219">
        <v>0.05</v>
      </c>
      <c r="AJ206" s="219">
        <v>0.05</v>
      </c>
      <c r="AK206" s="219">
        <v>0.05</v>
      </c>
      <c r="AL206" s="229" t="s">
        <v>573</v>
      </c>
      <c r="AM206" s="219">
        <f t="shared" si="97"/>
        <v>0</v>
      </c>
      <c r="AN206" s="229">
        <v>3000</v>
      </c>
      <c r="AO206" s="221">
        <f t="shared" si="98"/>
        <v>150</v>
      </c>
      <c r="AP206" s="222" t="s">
        <v>573</v>
      </c>
      <c r="AQ206" s="221">
        <f t="shared" si="99"/>
        <v>0</v>
      </c>
      <c r="AR206" s="222" t="s">
        <v>573</v>
      </c>
      <c r="AS206" s="58">
        <f t="shared" si="100"/>
        <v>0</v>
      </c>
      <c r="AT206" s="222">
        <v>3000</v>
      </c>
      <c r="AU206" s="58">
        <f t="shared" si="101"/>
        <v>150</v>
      </c>
      <c r="AV206" s="222" t="s">
        <v>573</v>
      </c>
      <c r="AW206" s="58">
        <f t="shared" si="102"/>
        <v>0</v>
      </c>
      <c r="AX206" s="251">
        <v>3000</v>
      </c>
      <c r="AY206" s="58">
        <f t="shared" si="103"/>
        <v>150</v>
      </c>
      <c r="AZ206" s="222" t="s">
        <v>573</v>
      </c>
      <c r="BA206" s="58">
        <f t="shared" si="92"/>
        <v>0</v>
      </c>
      <c r="BB206" s="222" t="s">
        <v>573</v>
      </c>
      <c r="BC206" s="58">
        <f t="shared" si="93"/>
        <v>0</v>
      </c>
      <c r="BD206" s="222">
        <v>3000</v>
      </c>
      <c r="BE206" s="58">
        <f t="shared" si="94"/>
        <v>150</v>
      </c>
      <c r="BF206" s="222" t="s">
        <v>573</v>
      </c>
      <c r="BG206" s="58">
        <f t="shared" si="95"/>
        <v>0</v>
      </c>
      <c r="BH206" s="223" t="s">
        <v>573</v>
      </c>
      <c r="BI206" s="58">
        <f t="shared" si="96"/>
        <v>0</v>
      </c>
      <c r="BJ206" s="220">
        <f t="shared" si="104"/>
        <v>12000</v>
      </c>
      <c r="BK206" s="58"/>
      <c r="BL206" s="58" t="s">
        <v>1069</v>
      </c>
      <c r="BM206" s="220" t="s">
        <v>1392</v>
      </c>
      <c r="BN206" s="213" t="s">
        <v>1347</v>
      </c>
      <c r="BO206" s="213" t="s">
        <v>671</v>
      </c>
      <c r="BP206" s="199">
        <v>45504</v>
      </c>
      <c r="BQ206" s="2" t="s">
        <v>1386</v>
      </c>
    </row>
    <row r="207" spans="1:69" ht="15.75" customHeight="1">
      <c r="A207" s="213" t="s">
        <v>788</v>
      </c>
      <c r="B207" s="58" t="s">
        <v>184</v>
      </c>
      <c r="C207" s="58" t="s">
        <v>752</v>
      </c>
      <c r="D207" s="214" t="s">
        <v>789</v>
      </c>
      <c r="E207" s="214" t="s">
        <v>789</v>
      </c>
      <c r="F207" s="215" t="s">
        <v>186</v>
      </c>
      <c r="G207" s="216">
        <v>2016</v>
      </c>
      <c r="H207" s="218" t="s">
        <v>794</v>
      </c>
      <c r="I207" s="218" t="s">
        <v>196</v>
      </c>
      <c r="J207" s="217" t="s">
        <v>890</v>
      </c>
      <c r="K207" s="213" t="s">
        <v>431</v>
      </c>
      <c r="L207" s="213" t="s">
        <v>192</v>
      </c>
      <c r="M207" s="219" t="s">
        <v>1392</v>
      </c>
      <c r="N207" s="219">
        <v>7.45</v>
      </c>
      <c r="O207" s="219">
        <v>7.45</v>
      </c>
      <c r="P207" s="219">
        <v>7.45</v>
      </c>
      <c r="Q207" s="219">
        <v>7.45</v>
      </c>
      <c r="R207" s="219">
        <v>7.45</v>
      </c>
      <c r="S207" s="219">
        <v>7.45</v>
      </c>
      <c r="T207" s="219">
        <v>7.45</v>
      </c>
      <c r="U207" s="219">
        <v>7.45</v>
      </c>
      <c r="V207" s="219">
        <v>7.45</v>
      </c>
      <c r="W207" s="219">
        <v>7.45</v>
      </c>
      <c r="X207" s="219">
        <v>7.45</v>
      </c>
      <c r="Y207" s="219">
        <v>7.45</v>
      </c>
      <c r="Z207" s="219">
        <v>0.05</v>
      </c>
      <c r="AA207" s="219">
        <v>0.05</v>
      </c>
      <c r="AB207" s="219">
        <v>0.05</v>
      </c>
      <c r="AC207" s="219">
        <v>0.05</v>
      </c>
      <c r="AD207" s="219">
        <v>0.05</v>
      </c>
      <c r="AE207" s="219">
        <v>0.05</v>
      </c>
      <c r="AF207" s="219">
        <v>0.05</v>
      </c>
      <c r="AG207" s="219">
        <v>0.05</v>
      </c>
      <c r="AH207" s="219">
        <v>0.05</v>
      </c>
      <c r="AI207" s="219">
        <v>0.05</v>
      </c>
      <c r="AJ207" s="219">
        <v>0.05</v>
      </c>
      <c r="AK207" s="219">
        <v>0.05</v>
      </c>
      <c r="AL207" s="229" t="s">
        <v>573</v>
      </c>
      <c r="AM207" s="219">
        <f t="shared" si="97"/>
        <v>0</v>
      </c>
      <c r="AN207" s="229" t="s">
        <v>573</v>
      </c>
      <c r="AO207" s="221">
        <f t="shared" si="98"/>
        <v>0</v>
      </c>
      <c r="AP207" s="222" t="s">
        <v>573</v>
      </c>
      <c r="AQ207" s="221">
        <f t="shared" si="99"/>
        <v>0</v>
      </c>
      <c r="AR207" s="222" t="s">
        <v>573</v>
      </c>
      <c r="AS207" s="58">
        <f t="shared" si="100"/>
        <v>0</v>
      </c>
      <c r="AT207" s="222" t="s">
        <v>573</v>
      </c>
      <c r="AU207" s="58">
        <f t="shared" si="101"/>
        <v>0</v>
      </c>
      <c r="AV207" s="222" t="s">
        <v>573</v>
      </c>
      <c r="AW207" s="58">
        <f t="shared" si="102"/>
        <v>0</v>
      </c>
      <c r="AX207" s="251" t="s">
        <v>573</v>
      </c>
      <c r="AY207" s="58">
        <f t="shared" si="103"/>
        <v>0</v>
      </c>
      <c r="AZ207" s="222" t="s">
        <v>573</v>
      </c>
      <c r="BA207" s="58">
        <f t="shared" si="92"/>
        <v>0</v>
      </c>
      <c r="BB207" s="222" t="s">
        <v>573</v>
      </c>
      <c r="BC207" s="58">
        <f t="shared" si="93"/>
        <v>0</v>
      </c>
      <c r="BD207" s="222" t="s">
        <v>573</v>
      </c>
      <c r="BE207" s="58">
        <f t="shared" si="94"/>
        <v>0</v>
      </c>
      <c r="BF207" s="222" t="s">
        <v>573</v>
      </c>
      <c r="BG207" s="58">
        <f t="shared" si="95"/>
        <v>0</v>
      </c>
      <c r="BH207" s="223" t="s">
        <v>573</v>
      </c>
      <c r="BI207" s="58">
        <f t="shared" si="96"/>
        <v>0</v>
      </c>
      <c r="BJ207" s="220">
        <f t="shared" si="104"/>
        <v>0</v>
      </c>
      <c r="BK207" s="58"/>
      <c r="BL207" s="58" t="s">
        <v>1070</v>
      </c>
      <c r="BM207" s="220" t="s">
        <v>1392</v>
      </c>
      <c r="BN207" s="213" t="s">
        <v>1347</v>
      </c>
      <c r="BO207" s="213" t="s">
        <v>683</v>
      </c>
      <c r="BP207" s="199">
        <v>45838</v>
      </c>
      <c r="BQ207" s="2" t="s">
        <v>1386</v>
      </c>
    </row>
    <row r="208" spans="1:69" ht="15.75" customHeight="1">
      <c r="A208" s="213" t="s">
        <v>788</v>
      </c>
      <c r="B208" s="58" t="s">
        <v>184</v>
      </c>
      <c r="C208" s="58" t="s">
        <v>752</v>
      </c>
      <c r="D208" s="214" t="s">
        <v>789</v>
      </c>
      <c r="E208" s="214" t="s">
        <v>789</v>
      </c>
      <c r="F208" s="215" t="s">
        <v>186</v>
      </c>
      <c r="G208" s="216">
        <v>2016</v>
      </c>
      <c r="H208" s="218" t="s">
        <v>794</v>
      </c>
      <c r="I208" s="218" t="s">
        <v>196</v>
      </c>
      <c r="J208" s="217" t="s">
        <v>890</v>
      </c>
      <c r="K208" s="213" t="s">
        <v>431</v>
      </c>
      <c r="L208" s="213" t="s">
        <v>192</v>
      </c>
      <c r="M208" s="219" t="s">
        <v>1393</v>
      </c>
      <c r="N208" s="219">
        <v>7.45</v>
      </c>
      <c r="O208" s="219">
        <v>7.45</v>
      </c>
      <c r="P208" s="219">
        <v>7.45</v>
      </c>
      <c r="Q208" s="219">
        <v>7.45</v>
      </c>
      <c r="R208" s="219">
        <v>7.45</v>
      </c>
      <c r="S208" s="219">
        <v>7.45</v>
      </c>
      <c r="T208" s="219">
        <v>7.45</v>
      </c>
      <c r="U208" s="219">
        <v>7.45</v>
      </c>
      <c r="V208" s="219">
        <v>7.45</v>
      </c>
      <c r="W208" s="219">
        <v>7.45</v>
      </c>
      <c r="X208" s="219">
        <v>7.45</v>
      </c>
      <c r="Y208" s="219">
        <v>7.45</v>
      </c>
      <c r="Z208" s="219">
        <v>0.05</v>
      </c>
      <c r="AA208" s="219">
        <v>0.05</v>
      </c>
      <c r="AB208" s="219">
        <v>0.05</v>
      </c>
      <c r="AC208" s="219">
        <v>0.05</v>
      </c>
      <c r="AD208" s="219">
        <v>0.05</v>
      </c>
      <c r="AE208" s="219">
        <v>0.05</v>
      </c>
      <c r="AF208" s="219">
        <v>0.05</v>
      </c>
      <c r="AG208" s="219">
        <v>0.05</v>
      </c>
      <c r="AH208" s="219">
        <v>0.05</v>
      </c>
      <c r="AI208" s="219">
        <v>0.05</v>
      </c>
      <c r="AJ208" s="219">
        <v>0.05</v>
      </c>
      <c r="AK208" s="219">
        <v>0.05</v>
      </c>
      <c r="AL208" s="229" t="s">
        <v>573</v>
      </c>
      <c r="AM208" s="219">
        <f t="shared" si="97"/>
        <v>0</v>
      </c>
      <c r="AN208" s="229" t="s">
        <v>573</v>
      </c>
      <c r="AO208" s="221">
        <f t="shared" si="98"/>
        <v>0</v>
      </c>
      <c r="AP208" s="222" t="s">
        <v>573</v>
      </c>
      <c r="AQ208" s="221">
        <f t="shared" si="99"/>
        <v>0</v>
      </c>
      <c r="AR208" s="222" t="s">
        <v>573</v>
      </c>
      <c r="AS208" s="58">
        <f t="shared" si="100"/>
        <v>0</v>
      </c>
      <c r="AT208" s="222" t="s">
        <v>573</v>
      </c>
      <c r="AU208" s="58">
        <f t="shared" si="101"/>
        <v>0</v>
      </c>
      <c r="AV208" s="222" t="s">
        <v>573</v>
      </c>
      <c r="AW208" s="58">
        <f t="shared" si="102"/>
        <v>0</v>
      </c>
      <c r="AX208" s="251" t="s">
        <v>573</v>
      </c>
      <c r="AY208" s="58">
        <f t="shared" si="103"/>
        <v>0</v>
      </c>
      <c r="AZ208" s="222" t="s">
        <v>573</v>
      </c>
      <c r="BA208" s="58">
        <f t="shared" si="92"/>
        <v>0</v>
      </c>
      <c r="BB208" s="222" t="s">
        <v>573</v>
      </c>
      <c r="BC208" s="58">
        <f t="shared" si="93"/>
        <v>0</v>
      </c>
      <c r="BD208" s="222" t="s">
        <v>573</v>
      </c>
      <c r="BE208" s="58">
        <f t="shared" si="94"/>
        <v>0</v>
      </c>
      <c r="BF208" s="222" t="s">
        <v>573</v>
      </c>
      <c r="BG208" s="58">
        <f t="shared" si="95"/>
        <v>0</v>
      </c>
      <c r="BH208" s="223" t="s">
        <v>573</v>
      </c>
      <c r="BI208" s="58">
        <f t="shared" si="96"/>
        <v>0</v>
      </c>
      <c r="BJ208" s="220">
        <f t="shared" si="104"/>
        <v>0</v>
      </c>
      <c r="BK208" s="58"/>
      <c r="BL208" s="58" t="s">
        <v>1071</v>
      </c>
      <c r="BM208" s="220" t="s">
        <v>1393</v>
      </c>
      <c r="BN208" s="213" t="s">
        <v>1347</v>
      </c>
      <c r="BO208" s="213" t="s">
        <v>683</v>
      </c>
      <c r="BP208" s="199">
        <v>45838</v>
      </c>
      <c r="BQ208" s="2" t="s">
        <v>1386</v>
      </c>
    </row>
    <row r="209" spans="1:69" ht="15.6" customHeight="1">
      <c r="A209" s="213" t="s">
        <v>788</v>
      </c>
      <c r="B209" s="58" t="s">
        <v>184</v>
      </c>
      <c r="C209" s="58" t="s">
        <v>752</v>
      </c>
      <c r="D209" s="214" t="s">
        <v>789</v>
      </c>
      <c r="E209" s="214" t="s">
        <v>789</v>
      </c>
      <c r="F209" s="215" t="s">
        <v>186</v>
      </c>
      <c r="G209" s="216">
        <v>2016</v>
      </c>
      <c r="H209" s="218" t="s">
        <v>794</v>
      </c>
      <c r="I209" s="218" t="s">
        <v>196</v>
      </c>
      <c r="J209" s="217" t="s">
        <v>890</v>
      </c>
      <c r="K209" s="213" t="s">
        <v>434</v>
      </c>
      <c r="L209" s="213" t="s">
        <v>192</v>
      </c>
      <c r="M209" s="219" t="s">
        <v>1392</v>
      </c>
      <c r="N209" s="219">
        <v>7.45</v>
      </c>
      <c r="O209" s="219">
        <v>7.45</v>
      </c>
      <c r="P209" s="219">
        <v>7.45</v>
      </c>
      <c r="Q209" s="219">
        <v>7.45</v>
      </c>
      <c r="R209" s="219">
        <v>7.45</v>
      </c>
      <c r="S209" s="219">
        <v>7.45</v>
      </c>
      <c r="T209" s="219">
        <v>7.45</v>
      </c>
      <c r="U209" s="219">
        <v>7.45</v>
      </c>
      <c r="V209" s="219">
        <v>7.45</v>
      </c>
      <c r="W209" s="219">
        <v>7.45</v>
      </c>
      <c r="X209" s="219">
        <v>7.45</v>
      </c>
      <c r="Y209" s="219">
        <v>7.45</v>
      </c>
      <c r="Z209" s="219">
        <v>0.05</v>
      </c>
      <c r="AA209" s="219">
        <v>0.05</v>
      </c>
      <c r="AB209" s="219">
        <v>0.05</v>
      </c>
      <c r="AC209" s="219">
        <v>0.05</v>
      </c>
      <c r="AD209" s="219">
        <v>0.05</v>
      </c>
      <c r="AE209" s="219">
        <v>0.05</v>
      </c>
      <c r="AF209" s="219">
        <v>0.05</v>
      </c>
      <c r="AG209" s="219">
        <v>0.05</v>
      </c>
      <c r="AH209" s="219">
        <v>0.05</v>
      </c>
      <c r="AI209" s="219">
        <v>0.05</v>
      </c>
      <c r="AJ209" s="219">
        <v>0.05</v>
      </c>
      <c r="AK209" s="219">
        <v>0.05</v>
      </c>
      <c r="AL209" s="229" t="s">
        <v>573</v>
      </c>
      <c r="AM209" s="219">
        <f t="shared" si="97"/>
        <v>0</v>
      </c>
      <c r="AN209" s="229" t="s">
        <v>573</v>
      </c>
      <c r="AO209" s="221">
        <f t="shared" si="98"/>
        <v>0</v>
      </c>
      <c r="AP209" s="222" t="s">
        <v>573</v>
      </c>
      <c r="AQ209" s="221">
        <f t="shared" si="99"/>
        <v>0</v>
      </c>
      <c r="AR209" s="222" t="s">
        <v>573</v>
      </c>
      <c r="AS209" s="58">
        <f t="shared" si="100"/>
        <v>0</v>
      </c>
      <c r="AT209" s="222" t="s">
        <v>573</v>
      </c>
      <c r="AU209" s="58">
        <f t="shared" si="101"/>
        <v>0</v>
      </c>
      <c r="AV209" s="222" t="s">
        <v>573</v>
      </c>
      <c r="AW209" s="58">
        <f t="shared" si="102"/>
        <v>0</v>
      </c>
      <c r="AX209" s="251" t="s">
        <v>573</v>
      </c>
      <c r="AY209" s="58">
        <f t="shared" si="103"/>
        <v>0</v>
      </c>
      <c r="AZ209" s="222" t="s">
        <v>573</v>
      </c>
      <c r="BA209" s="58">
        <f t="shared" si="92"/>
        <v>0</v>
      </c>
      <c r="BB209" s="222" t="s">
        <v>573</v>
      </c>
      <c r="BC209" s="58">
        <f t="shared" si="93"/>
        <v>0</v>
      </c>
      <c r="BD209" s="222" t="s">
        <v>573</v>
      </c>
      <c r="BE209" s="58">
        <f t="shared" si="94"/>
        <v>0</v>
      </c>
      <c r="BF209" s="222" t="s">
        <v>573</v>
      </c>
      <c r="BG209" s="58">
        <f t="shared" si="95"/>
        <v>0</v>
      </c>
      <c r="BH209" s="223" t="s">
        <v>573</v>
      </c>
      <c r="BI209" s="58">
        <f t="shared" si="96"/>
        <v>0</v>
      </c>
      <c r="BJ209" s="220">
        <f t="shared" si="104"/>
        <v>0</v>
      </c>
      <c r="BK209" s="58"/>
      <c r="BL209" s="58" t="s">
        <v>1072</v>
      </c>
      <c r="BM209" s="220" t="s">
        <v>1392</v>
      </c>
      <c r="BN209" s="213" t="s">
        <v>1347</v>
      </c>
      <c r="BO209" s="213" t="s">
        <v>1384</v>
      </c>
      <c r="BP209" s="199">
        <v>45838</v>
      </c>
      <c r="BQ209" s="2" t="s">
        <v>1387</v>
      </c>
    </row>
    <row r="210" spans="1:69" ht="15.6" customHeight="1">
      <c r="A210" s="213" t="s">
        <v>788</v>
      </c>
      <c r="B210" s="58" t="s">
        <v>184</v>
      </c>
      <c r="C210" s="58" t="s">
        <v>752</v>
      </c>
      <c r="D210" s="214" t="s">
        <v>789</v>
      </c>
      <c r="E210" s="214" t="s">
        <v>789</v>
      </c>
      <c r="F210" s="215" t="s">
        <v>186</v>
      </c>
      <c r="G210" s="216">
        <v>2016</v>
      </c>
      <c r="H210" s="218" t="s">
        <v>794</v>
      </c>
      <c r="I210" s="218" t="s">
        <v>196</v>
      </c>
      <c r="J210" s="217" t="s">
        <v>890</v>
      </c>
      <c r="K210" s="213" t="s">
        <v>434</v>
      </c>
      <c r="L210" s="213" t="s">
        <v>192</v>
      </c>
      <c r="M210" s="219" t="s">
        <v>1393</v>
      </c>
      <c r="N210" s="219">
        <v>7.45</v>
      </c>
      <c r="O210" s="219">
        <v>7.45</v>
      </c>
      <c r="P210" s="219">
        <v>7.45</v>
      </c>
      <c r="Q210" s="219">
        <v>7.45</v>
      </c>
      <c r="R210" s="219">
        <v>7.45</v>
      </c>
      <c r="S210" s="219">
        <v>7.45</v>
      </c>
      <c r="T210" s="219">
        <v>7.45</v>
      </c>
      <c r="U210" s="219">
        <v>7.45</v>
      </c>
      <c r="V210" s="219">
        <v>7.45</v>
      </c>
      <c r="W210" s="219">
        <v>7.45</v>
      </c>
      <c r="X210" s="219">
        <v>7.45</v>
      </c>
      <c r="Y210" s="219">
        <v>7.45</v>
      </c>
      <c r="Z210" s="219">
        <v>0.05</v>
      </c>
      <c r="AA210" s="219">
        <v>0.05</v>
      </c>
      <c r="AB210" s="219">
        <v>0.05</v>
      </c>
      <c r="AC210" s="219">
        <v>0.05</v>
      </c>
      <c r="AD210" s="219">
        <v>0.05</v>
      </c>
      <c r="AE210" s="219">
        <v>0.05</v>
      </c>
      <c r="AF210" s="219">
        <v>0.05</v>
      </c>
      <c r="AG210" s="219">
        <v>0.05</v>
      </c>
      <c r="AH210" s="219">
        <v>0.05</v>
      </c>
      <c r="AI210" s="219">
        <v>0.05</v>
      </c>
      <c r="AJ210" s="219">
        <v>0.05</v>
      </c>
      <c r="AK210" s="219">
        <v>0.05</v>
      </c>
      <c r="AL210" s="229" t="s">
        <v>573</v>
      </c>
      <c r="AM210" s="219">
        <f t="shared" si="97"/>
        <v>0</v>
      </c>
      <c r="AN210" s="229" t="s">
        <v>573</v>
      </c>
      <c r="AO210" s="221">
        <f t="shared" si="98"/>
        <v>0</v>
      </c>
      <c r="AP210" s="222" t="s">
        <v>573</v>
      </c>
      <c r="AQ210" s="221">
        <f t="shared" si="99"/>
        <v>0</v>
      </c>
      <c r="AR210" s="222" t="s">
        <v>573</v>
      </c>
      <c r="AS210" s="58">
        <f t="shared" si="100"/>
        <v>0</v>
      </c>
      <c r="AT210" s="222" t="s">
        <v>573</v>
      </c>
      <c r="AU210" s="58">
        <f t="shared" si="101"/>
        <v>0</v>
      </c>
      <c r="AV210" s="222" t="s">
        <v>573</v>
      </c>
      <c r="AW210" s="58">
        <f t="shared" si="102"/>
        <v>0</v>
      </c>
      <c r="AX210" s="251" t="s">
        <v>573</v>
      </c>
      <c r="AY210" s="58">
        <f t="shared" si="103"/>
        <v>0</v>
      </c>
      <c r="AZ210" s="222" t="s">
        <v>573</v>
      </c>
      <c r="BA210" s="58">
        <f t="shared" si="92"/>
        <v>0</v>
      </c>
      <c r="BB210" s="222" t="s">
        <v>573</v>
      </c>
      <c r="BC210" s="58">
        <f t="shared" si="93"/>
        <v>0</v>
      </c>
      <c r="BD210" s="222" t="s">
        <v>573</v>
      </c>
      <c r="BE210" s="58">
        <f t="shared" si="94"/>
        <v>0</v>
      </c>
      <c r="BF210" s="222" t="s">
        <v>573</v>
      </c>
      <c r="BG210" s="58">
        <f t="shared" si="95"/>
        <v>0</v>
      </c>
      <c r="BH210" s="223" t="s">
        <v>573</v>
      </c>
      <c r="BI210" s="58">
        <f t="shared" si="96"/>
        <v>0</v>
      </c>
      <c r="BJ210" s="220">
        <f t="shared" si="104"/>
        <v>0</v>
      </c>
      <c r="BK210" s="58"/>
      <c r="BL210" s="58" t="s">
        <v>1073</v>
      </c>
      <c r="BM210" s="220" t="s">
        <v>1393</v>
      </c>
      <c r="BN210" s="213" t="s">
        <v>1347</v>
      </c>
      <c r="BO210" s="213" t="s">
        <v>684</v>
      </c>
      <c r="BP210" s="199">
        <v>45838</v>
      </c>
      <c r="BQ210" s="2" t="s">
        <v>1386</v>
      </c>
    </row>
    <row r="211" spans="1:69" ht="15.6" customHeight="1">
      <c r="A211" s="213" t="s">
        <v>788</v>
      </c>
      <c r="B211" s="58" t="s">
        <v>184</v>
      </c>
      <c r="C211" s="58" t="s">
        <v>752</v>
      </c>
      <c r="D211" s="214" t="s">
        <v>789</v>
      </c>
      <c r="E211" s="214" t="s">
        <v>789</v>
      </c>
      <c r="F211" s="215" t="s">
        <v>186</v>
      </c>
      <c r="G211" s="216">
        <v>2016</v>
      </c>
      <c r="H211" s="218" t="s">
        <v>794</v>
      </c>
      <c r="I211" s="218" t="s">
        <v>196</v>
      </c>
      <c r="J211" s="217" t="s">
        <v>890</v>
      </c>
      <c r="K211" s="213" t="s">
        <v>418</v>
      </c>
      <c r="L211" s="213" t="s">
        <v>192</v>
      </c>
      <c r="M211" s="219" t="s">
        <v>1392</v>
      </c>
      <c r="N211" s="219">
        <v>5.1100000000000003</v>
      </c>
      <c r="O211" s="219">
        <v>5.1100000000000003</v>
      </c>
      <c r="P211" s="219">
        <v>5.1100000000000003</v>
      </c>
      <c r="Q211" s="219">
        <v>5.1100000000000003</v>
      </c>
      <c r="R211" s="219">
        <v>5.1100000000000003</v>
      </c>
      <c r="S211" s="219">
        <v>5.1100000000000003</v>
      </c>
      <c r="T211" s="219">
        <v>5.1100000000000003</v>
      </c>
      <c r="U211" s="219">
        <v>5.1100000000000003</v>
      </c>
      <c r="V211" s="219">
        <v>5.1100000000000003</v>
      </c>
      <c r="W211" s="219">
        <v>5.1100000000000003</v>
      </c>
      <c r="X211" s="219">
        <v>5.1100000000000003</v>
      </c>
      <c r="Y211" s="219">
        <v>5.1100000000000003</v>
      </c>
      <c r="Z211" s="219">
        <v>0.05</v>
      </c>
      <c r="AA211" s="219">
        <v>0.05</v>
      </c>
      <c r="AB211" s="219">
        <v>0.05</v>
      </c>
      <c r="AC211" s="219">
        <v>0.05</v>
      </c>
      <c r="AD211" s="219">
        <v>0.05</v>
      </c>
      <c r="AE211" s="219">
        <v>0.05</v>
      </c>
      <c r="AF211" s="219">
        <v>0.05</v>
      </c>
      <c r="AG211" s="219">
        <v>0.05</v>
      </c>
      <c r="AH211" s="219">
        <v>0.05</v>
      </c>
      <c r="AI211" s="219">
        <v>0.05</v>
      </c>
      <c r="AJ211" s="219">
        <v>0.05</v>
      </c>
      <c r="AK211" s="219">
        <v>0.05</v>
      </c>
      <c r="AL211" s="229">
        <v>6000</v>
      </c>
      <c r="AM211" s="219">
        <f t="shared" si="97"/>
        <v>300</v>
      </c>
      <c r="AN211" s="229">
        <v>3000</v>
      </c>
      <c r="AO211" s="221">
        <f t="shared" si="98"/>
        <v>150</v>
      </c>
      <c r="AP211" s="222">
        <v>6000</v>
      </c>
      <c r="AQ211" s="221">
        <f t="shared" si="99"/>
        <v>300</v>
      </c>
      <c r="AR211" s="222" t="s">
        <v>573</v>
      </c>
      <c r="AS211" s="58">
        <f t="shared" si="100"/>
        <v>0</v>
      </c>
      <c r="AT211" s="222" t="s">
        <v>573</v>
      </c>
      <c r="AU211" s="58">
        <f t="shared" si="101"/>
        <v>0</v>
      </c>
      <c r="AV211" s="222">
        <v>3000</v>
      </c>
      <c r="AW211" s="58">
        <f t="shared" si="102"/>
        <v>150</v>
      </c>
      <c r="AX211" s="251" t="s">
        <v>573</v>
      </c>
      <c r="AY211" s="58">
        <f t="shared" si="103"/>
        <v>0</v>
      </c>
      <c r="AZ211" s="222" t="s">
        <v>573</v>
      </c>
      <c r="BA211" s="58">
        <f t="shared" si="92"/>
        <v>0</v>
      </c>
      <c r="BB211" s="222" t="s">
        <v>573</v>
      </c>
      <c r="BC211" s="58">
        <f t="shared" si="93"/>
        <v>0</v>
      </c>
      <c r="BD211" s="222" t="s">
        <v>573</v>
      </c>
      <c r="BE211" s="58">
        <f t="shared" si="94"/>
        <v>0</v>
      </c>
      <c r="BF211" s="222" t="s">
        <v>573</v>
      </c>
      <c r="BG211" s="58">
        <f t="shared" si="95"/>
        <v>0</v>
      </c>
      <c r="BH211" s="223" t="s">
        <v>573</v>
      </c>
      <c r="BI211" s="58">
        <f t="shared" si="96"/>
        <v>0</v>
      </c>
      <c r="BJ211" s="220">
        <f t="shared" si="104"/>
        <v>18000</v>
      </c>
      <c r="BK211" s="58"/>
      <c r="BL211" s="58" t="s">
        <v>1074</v>
      </c>
      <c r="BM211" s="220" t="s">
        <v>1392</v>
      </c>
      <c r="BN211" s="213" t="s">
        <v>1347</v>
      </c>
      <c r="BO211" s="213" t="s">
        <v>682</v>
      </c>
      <c r="BP211" s="199">
        <v>45838</v>
      </c>
      <c r="BQ211" s="2" t="s">
        <v>1386</v>
      </c>
    </row>
    <row r="212" spans="1:69" ht="15.6" customHeight="1">
      <c r="A212" s="213" t="s">
        <v>788</v>
      </c>
      <c r="B212" s="58" t="s">
        <v>184</v>
      </c>
      <c r="C212" s="58" t="s">
        <v>752</v>
      </c>
      <c r="D212" s="214" t="s">
        <v>789</v>
      </c>
      <c r="E212" s="214" t="s">
        <v>789</v>
      </c>
      <c r="F212" s="215" t="s">
        <v>186</v>
      </c>
      <c r="G212" s="216">
        <v>2016</v>
      </c>
      <c r="H212" s="218" t="s">
        <v>794</v>
      </c>
      <c r="I212" s="218" t="s">
        <v>196</v>
      </c>
      <c r="J212" s="217" t="s">
        <v>890</v>
      </c>
      <c r="K212" s="213" t="s">
        <v>418</v>
      </c>
      <c r="L212" s="213" t="s">
        <v>192</v>
      </c>
      <c r="M212" s="219" t="s">
        <v>1393</v>
      </c>
      <c r="N212" s="219">
        <v>5.1100000000000003</v>
      </c>
      <c r="O212" s="219">
        <v>5.1100000000000003</v>
      </c>
      <c r="P212" s="219">
        <v>5.1100000000000003</v>
      </c>
      <c r="Q212" s="219">
        <v>5.1100000000000003</v>
      </c>
      <c r="R212" s="219">
        <v>5.1100000000000003</v>
      </c>
      <c r="S212" s="219">
        <v>5.1100000000000003</v>
      </c>
      <c r="T212" s="219">
        <v>5.1100000000000003</v>
      </c>
      <c r="U212" s="219">
        <v>5.1100000000000003</v>
      </c>
      <c r="V212" s="219">
        <v>5.1100000000000003</v>
      </c>
      <c r="W212" s="219">
        <v>5.1100000000000003</v>
      </c>
      <c r="X212" s="219">
        <v>5.1100000000000003</v>
      </c>
      <c r="Y212" s="219">
        <v>5.1100000000000003</v>
      </c>
      <c r="Z212" s="219">
        <v>0.05</v>
      </c>
      <c r="AA212" s="219">
        <v>0.05</v>
      </c>
      <c r="AB212" s="219">
        <v>0.05</v>
      </c>
      <c r="AC212" s="219">
        <v>0.05</v>
      </c>
      <c r="AD212" s="219">
        <v>0.05</v>
      </c>
      <c r="AE212" s="219">
        <v>0.05</v>
      </c>
      <c r="AF212" s="219">
        <v>0.05</v>
      </c>
      <c r="AG212" s="219">
        <v>0.05</v>
      </c>
      <c r="AH212" s="219">
        <v>0.05</v>
      </c>
      <c r="AI212" s="219">
        <v>0.05</v>
      </c>
      <c r="AJ212" s="219">
        <v>0.05</v>
      </c>
      <c r="AK212" s="219">
        <v>0.05</v>
      </c>
      <c r="AL212" s="229">
        <v>6700</v>
      </c>
      <c r="AM212" s="219">
        <f t="shared" si="97"/>
        <v>335</v>
      </c>
      <c r="AN212" s="229" t="s">
        <v>573</v>
      </c>
      <c r="AO212" s="221">
        <f t="shared" si="98"/>
        <v>0</v>
      </c>
      <c r="AP212" s="222" t="s">
        <v>573</v>
      </c>
      <c r="AQ212" s="221">
        <f t="shared" si="99"/>
        <v>0</v>
      </c>
      <c r="AR212" s="222" t="s">
        <v>573</v>
      </c>
      <c r="AS212" s="58">
        <f t="shared" si="100"/>
        <v>0</v>
      </c>
      <c r="AT212" s="222" t="s">
        <v>573</v>
      </c>
      <c r="AU212" s="58">
        <f t="shared" si="101"/>
        <v>0</v>
      </c>
      <c r="AV212" s="222" t="s">
        <v>573</v>
      </c>
      <c r="AW212" s="58">
        <f t="shared" si="102"/>
        <v>0</v>
      </c>
      <c r="AX212" s="251" t="s">
        <v>573</v>
      </c>
      <c r="AY212" s="58">
        <f t="shared" si="103"/>
        <v>0</v>
      </c>
      <c r="AZ212" s="222" t="s">
        <v>573</v>
      </c>
      <c r="BA212" s="58">
        <f t="shared" si="92"/>
        <v>0</v>
      </c>
      <c r="BB212" s="222" t="s">
        <v>573</v>
      </c>
      <c r="BC212" s="58">
        <f t="shared" si="93"/>
        <v>0</v>
      </c>
      <c r="BD212" s="222" t="s">
        <v>573</v>
      </c>
      <c r="BE212" s="58">
        <f t="shared" si="94"/>
        <v>0</v>
      </c>
      <c r="BF212" s="222" t="s">
        <v>573</v>
      </c>
      <c r="BG212" s="58">
        <f t="shared" si="95"/>
        <v>0</v>
      </c>
      <c r="BH212" s="223" t="s">
        <v>573</v>
      </c>
      <c r="BI212" s="58">
        <f t="shared" si="96"/>
        <v>0</v>
      </c>
      <c r="BJ212" s="220">
        <f t="shared" si="104"/>
        <v>6700</v>
      </c>
      <c r="BK212" s="58"/>
      <c r="BL212" s="58" t="s">
        <v>1075</v>
      </c>
      <c r="BM212" s="220" t="s">
        <v>1393</v>
      </c>
      <c r="BN212" s="213" t="s">
        <v>1347</v>
      </c>
      <c r="BO212" s="213" t="s">
        <v>682</v>
      </c>
      <c r="BP212" s="199">
        <v>45838</v>
      </c>
      <c r="BQ212" s="2" t="s">
        <v>1386</v>
      </c>
    </row>
    <row r="213" spans="1:69" ht="15.6" customHeight="1">
      <c r="A213" s="213" t="s">
        <v>788</v>
      </c>
      <c r="B213" s="58" t="s">
        <v>184</v>
      </c>
      <c r="C213" s="58" t="s">
        <v>752</v>
      </c>
      <c r="D213" s="214" t="s">
        <v>789</v>
      </c>
      <c r="E213" s="214" t="s">
        <v>789</v>
      </c>
      <c r="F213" s="215" t="s">
        <v>186</v>
      </c>
      <c r="G213" s="216">
        <v>2016</v>
      </c>
      <c r="H213" s="218" t="s">
        <v>794</v>
      </c>
      <c r="I213" s="218" t="s">
        <v>196</v>
      </c>
      <c r="J213" s="217" t="s">
        <v>890</v>
      </c>
      <c r="K213" s="213" t="s">
        <v>767</v>
      </c>
      <c r="L213" s="213" t="s">
        <v>192</v>
      </c>
      <c r="M213" s="219" t="s">
        <v>1393</v>
      </c>
      <c r="N213" s="219">
        <v>5.24</v>
      </c>
      <c r="O213" s="219">
        <v>5.24</v>
      </c>
      <c r="P213" s="219">
        <v>5.24</v>
      </c>
      <c r="Q213" s="219">
        <v>5.24</v>
      </c>
      <c r="R213" s="219">
        <v>5.24</v>
      </c>
      <c r="S213" s="219">
        <v>5.24</v>
      </c>
      <c r="T213" s="219">
        <v>5.24</v>
      </c>
      <c r="U213" s="219">
        <v>5.24</v>
      </c>
      <c r="V213" s="219">
        <v>5.24</v>
      </c>
      <c r="W213" s="219">
        <v>5.24</v>
      </c>
      <c r="X213" s="219">
        <v>5.24</v>
      </c>
      <c r="Y213" s="219">
        <v>5.24</v>
      </c>
      <c r="Z213" s="219">
        <v>0.05</v>
      </c>
      <c r="AA213" s="219">
        <v>0.05</v>
      </c>
      <c r="AB213" s="219">
        <v>0.05</v>
      </c>
      <c r="AC213" s="219">
        <v>0.05</v>
      </c>
      <c r="AD213" s="219">
        <v>0.05</v>
      </c>
      <c r="AE213" s="219">
        <v>0.05</v>
      </c>
      <c r="AF213" s="219">
        <v>0.05</v>
      </c>
      <c r="AG213" s="219">
        <v>0.05</v>
      </c>
      <c r="AH213" s="219">
        <v>0.05</v>
      </c>
      <c r="AI213" s="219">
        <v>0.05</v>
      </c>
      <c r="AJ213" s="219">
        <v>0.05</v>
      </c>
      <c r="AK213" s="219">
        <v>0.05</v>
      </c>
      <c r="AL213" s="229">
        <v>6100</v>
      </c>
      <c r="AM213" s="219">
        <f t="shared" si="97"/>
        <v>305</v>
      </c>
      <c r="AN213" s="229" t="s">
        <v>573</v>
      </c>
      <c r="AO213" s="221">
        <f t="shared" si="98"/>
        <v>0</v>
      </c>
      <c r="AP213" s="222" t="s">
        <v>573</v>
      </c>
      <c r="AQ213" s="221">
        <f t="shared" si="99"/>
        <v>0</v>
      </c>
      <c r="AR213" s="222" t="s">
        <v>573</v>
      </c>
      <c r="AS213" s="58">
        <f t="shared" si="100"/>
        <v>0</v>
      </c>
      <c r="AT213" s="222" t="s">
        <v>573</v>
      </c>
      <c r="AU213" s="58">
        <f t="shared" si="101"/>
        <v>0</v>
      </c>
      <c r="AV213" s="222" t="s">
        <v>573</v>
      </c>
      <c r="AW213" s="58">
        <f t="shared" si="102"/>
        <v>0</v>
      </c>
      <c r="AX213" s="251" t="s">
        <v>573</v>
      </c>
      <c r="AY213" s="58">
        <f t="shared" si="103"/>
        <v>0</v>
      </c>
      <c r="AZ213" s="222" t="s">
        <v>573</v>
      </c>
      <c r="BA213" s="58">
        <f t="shared" si="92"/>
        <v>0</v>
      </c>
      <c r="BB213" s="222" t="s">
        <v>573</v>
      </c>
      <c r="BC213" s="58">
        <f t="shared" si="93"/>
        <v>0</v>
      </c>
      <c r="BD213" s="222" t="s">
        <v>573</v>
      </c>
      <c r="BE213" s="58">
        <f t="shared" si="94"/>
        <v>0</v>
      </c>
      <c r="BF213" s="222" t="s">
        <v>573</v>
      </c>
      <c r="BG213" s="58">
        <f t="shared" si="95"/>
        <v>0</v>
      </c>
      <c r="BH213" s="223" t="s">
        <v>573</v>
      </c>
      <c r="BI213" s="58">
        <f t="shared" si="96"/>
        <v>0</v>
      </c>
      <c r="BJ213" s="220">
        <f t="shared" si="104"/>
        <v>6100</v>
      </c>
      <c r="BK213" s="58"/>
      <c r="BL213" s="58" t="s">
        <v>1076</v>
      </c>
      <c r="BM213" s="220" t="s">
        <v>1393</v>
      </c>
      <c r="BN213" s="213" t="s">
        <v>1347</v>
      </c>
      <c r="BO213" s="213" t="s">
        <v>1187</v>
      </c>
      <c r="BP213" s="199"/>
      <c r="BQ213" s="2" t="s">
        <v>1386</v>
      </c>
    </row>
    <row r="214" spans="1:69" ht="15.6" customHeight="1">
      <c r="A214" s="213" t="s">
        <v>788</v>
      </c>
      <c r="B214" s="58" t="s">
        <v>184</v>
      </c>
      <c r="C214" s="58" t="s">
        <v>752</v>
      </c>
      <c r="D214" s="214" t="s">
        <v>789</v>
      </c>
      <c r="E214" s="214" t="s">
        <v>789</v>
      </c>
      <c r="F214" s="215" t="s">
        <v>186</v>
      </c>
      <c r="G214" s="216">
        <v>2016</v>
      </c>
      <c r="H214" s="218" t="s">
        <v>794</v>
      </c>
      <c r="I214" s="218" t="s">
        <v>196</v>
      </c>
      <c r="J214" s="217" t="s">
        <v>890</v>
      </c>
      <c r="K214" s="213" t="s">
        <v>767</v>
      </c>
      <c r="L214" s="213" t="s">
        <v>192</v>
      </c>
      <c r="M214" s="219" t="s">
        <v>1392</v>
      </c>
      <c r="N214" s="219">
        <v>5.24</v>
      </c>
      <c r="O214" s="219">
        <v>5.24</v>
      </c>
      <c r="P214" s="219">
        <v>5.24</v>
      </c>
      <c r="Q214" s="219">
        <v>5.24</v>
      </c>
      <c r="R214" s="219">
        <v>5.24</v>
      </c>
      <c r="S214" s="219">
        <v>5.24</v>
      </c>
      <c r="T214" s="219">
        <v>5.24</v>
      </c>
      <c r="U214" s="219">
        <v>5.24</v>
      </c>
      <c r="V214" s="219">
        <v>5.24</v>
      </c>
      <c r="W214" s="219">
        <v>5.24</v>
      </c>
      <c r="X214" s="219">
        <v>5.24</v>
      </c>
      <c r="Y214" s="219">
        <v>5.24</v>
      </c>
      <c r="Z214" s="219">
        <v>0.05</v>
      </c>
      <c r="AA214" s="219">
        <v>0.05</v>
      </c>
      <c r="AB214" s="219">
        <v>0.05</v>
      </c>
      <c r="AC214" s="219">
        <v>0.05</v>
      </c>
      <c r="AD214" s="219">
        <v>0.05</v>
      </c>
      <c r="AE214" s="219">
        <v>0.05</v>
      </c>
      <c r="AF214" s="219">
        <v>0.05</v>
      </c>
      <c r="AG214" s="219">
        <v>0.05</v>
      </c>
      <c r="AH214" s="219">
        <v>0.05</v>
      </c>
      <c r="AI214" s="219">
        <v>0.05</v>
      </c>
      <c r="AJ214" s="219">
        <v>0.05</v>
      </c>
      <c r="AK214" s="219">
        <v>0.05</v>
      </c>
      <c r="AL214" s="229" t="s">
        <v>573</v>
      </c>
      <c r="AM214" s="219">
        <f t="shared" si="97"/>
        <v>0</v>
      </c>
      <c r="AN214" s="229" t="s">
        <v>573</v>
      </c>
      <c r="AO214" s="221">
        <f t="shared" si="98"/>
        <v>0</v>
      </c>
      <c r="AP214" s="222">
        <v>3000</v>
      </c>
      <c r="AQ214" s="221">
        <f t="shared" si="99"/>
        <v>150</v>
      </c>
      <c r="AR214" s="222" t="s">
        <v>573</v>
      </c>
      <c r="AS214" s="58">
        <f t="shared" si="100"/>
        <v>0</v>
      </c>
      <c r="AT214" s="222" t="s">
        <v>573</v>
      </c>
      <c r="AU214" s="58">
        <f t="shared" si="101"/>
        <v>0</v>
      </c>
      <c r="AV214" s="222" t="s">
        <v>573</v>
      </c>
      <c r="AW214" s="58">
        <f t="shared" si="102"/>
        <v>0</v>
      </c>
      <c r="AX214" s="251" t="s">
        <v>573</v>
      </c>
      <c r="AY214" s="58">
        <f t="shared" si="103"/>
        <v>0</v>
      </c>
      <c r="AZ214" s="222" t="s">
        <v>573</v>
      </c>
      <c r="BA214" s="58">
        <f t="shared" si="92"/>
        <v>0</v>
      </c>
      <c r="BB214" s="222" t="s">
        <v>573</v>
      </c>
      <c r="BC214" s="58">
        <f t="shared" si="93"/>
        <v>0</v>
      </c>
      <c r="BD214" s="222" t="s">
        <v>573</v>
      </c>
      <c r="BE214" s="58">
        <f t="shared" si="94"/>
        <v>0</v>
      </c>
      <c r="BF214" s="222" t="s">
        <v>573</v>
      </c>
      <c r="BG214" s="58">
        <f t="shared" si="95"/>
        <v>0</v>
      </c>
      <c r="BH214" s="223" t="s">
        <v>573</v>
      </c>
      <c r="BI214" s="58">
        <f t="shared" si="96"/>
        <v>0</v>
      </c>
      <c r="BJ214" s="220">
        <f t="shared" si="104"/>
        <v>3000</v>
      </c>
      <c r="BK214" s="58"/>
      <c r="BL214" s="58" t="s">
        <v>1077</v>
      </c>
      <c r="BM214" s="220" t="s">
        <v>1392</v>
      </c>
      <c r="BN214" s="213" t="s">
        <v>1347</v>
      </c>
      <c r="BO214" s="213" t="s">
        <v>1187</v>
      </c>
      <c r="BP214" s="199"/>
      <c r="BQ214" s="2" t="s">
        <v>1386</v>
      </c>
    </row>
    <row r="215" spans="1:69" ht="15.6" customHeight="1">
      <c r="A215" s="213" t="s">
        <v>788</v>
      </c>
      <c r="B215" s="58" t="s">
        <v>184</v>
      </c>
      <c r="C215" s="58" t="s">
        <v>752</v>
      </c>
      <c r="D215" s="214" t="s">
        <v>789</v>
      </c>
      <c r="E215" s="214" t="s">
        <v>789</v>
      </c>
      <c r="F215" s="215" t="s">
        <v>186</v>
      </c>
      <c r="G215" s="216">
        <v>2016</v>
      </c>
      <c r="H215" s="218" t="s">
        <v>794</v>
      </c>
      <c r="I215" s="218" t="s">
        <v>196</v>
      </c>
      <c r="J215" s="217" t="s">
        <v>890</v>
      </c>
      <c r="K215" s="213" t="s">
        <v>769</v>
      </c>
      <c r="L215" s="213" t="s">
        <v>192</v>
      </c>
      <c r="M215" s="219" t="s">
        <v>1393</v>
      </c>
      <c r="N215" s="219">
        <v>5.24</v>
      </c>
      <c r="O215" s="219">
        <v>5.24</v>
      </c>
      <c r="P215" s="219">
        <v>5.24</v>
      </c>
      <c r="Q215" s="219">
        <v>5.24</v>
      </c>
      <c r="R215" s="219">
        <v>5.24</v>
      </c>
      <c r="S215" s="219">
        <v>5.24</v>
      </c>
      <c r="T215" s="219">
        <v>5.24</v>
      </c>
      <c r="U215" s="219">
        <v>5.24</v>
      </c>
      <c r="V215" s="219">
        <v>5.24</v>
      </c>
      <c r="W215" s="219">
        <v>5.24</v>
      </c>
      <c r="X215" s="219">
        <v>5.24</v>
      </c>
      <c r="Y215" s="219">
        <v>5.24</v>
      </c>
      <c r="Z215" s="219">
        <v>0.05</v>
      </c>
      <c r="AA215" s="219">
        <v>0.05</v>
      </c>
      <c r="AB215" s="219">
        <v>0.05</v>
      </c>
      <c r="AC215" s="219">
        <v>0.05</v>
      </c>
      <c r="AD215" s="219">
        <v>0.05</v>
      </c>
      <c r="AE215" s="219">
        <v>0.05</v>
      </c>
      <c r="AF215" s="219">
        <v>0.05</v>
      </c>
      <c r="AG215" s="219">
        <v>0.05</v>
      </c>
      <c r="AH215" s="219">
        <v>0.05</v>
      </c>
      <c r="AI215" s="219">
        <v>0.05</v>
      </c>
      <c r="AJ215" s="219">
        <v>0.05</v>
      </c>
      <c r="AK215" s="219">
        <v>0.05</v>
      </c>
      <c r="AL215" s="229">
        <v>3000</v>
      </c>
      <c r="AM215" s="219">
        <f t="shared" si="97"/>
        <v>150</v>
      </c>
      <c r="AN215" s="229" t="s">
        <v>573</v>
      </c>
      <c r="AO215" s="221">
        <f t="shared" si="98"/>
        <v>0</v>
      </c>
      <c r="AP215" s="222" t="s">
        <v>573</v>
      </c>
      <c r="AQ215" s="221">
        <f t="shared" si="99"/>
        <v>0</v>
      </c>
      <c r="AR215" s="222" t="s">
        <v>573</v>
      </c>
      <c r="AS215" s="58">
        <f t="shared" si="100"/>
        <v>0</v>
      </c>
      <c r="AT215" s="222" t="s">
        <v>573</v>
      </c>
      <c r="AU215" s="58">
        <f t="shared" si="101"/>
        <v>0</v>
      </c>
      <c r="AV215" s="222" t="s">
        <v>573</v>
      </c>
      <c r="AW215" s="58">
        <f t="shared" si="102"/>
        <v>0</v>
      </c>
      <c r="AX215" s="251" t="s">
        <v>573</v>
      </c>
      <c r="AY215" s="58">
        <f t="shared" si="103"/>
        <v>0</v>
      </c>
      <c r="AZ215" s="222" t="s">
        <v>573</v>
      </c>
      <c r="BA215" s="58">
        <f t="shared" si="92"/>
        <v>0</v>
      </c>
      <c r="BB215" s="222" t="s">
        <v>573</v>
      </c>
      <c r="BC215" s="58">
        <f t="shared" si="93"/>
        <v>0</v>
      </c>
      <c r="BD215" s="222" t="s">
        <v>573</v>
      </c>
      <c r="BE215" s="58">
        <f t="shared" si="94"/>
        <v>0</v>
      </c>
      <c r="BF215" s="222" t="s">
        <v>573</v>
      </c>
      <c r="BG215" s="58">
        <f t="shared" si="95"/>
        <v>0</v>
      </c>
      <c r="BH215" s="223" t="s">
        <v>573</v>
      </c>
      <c r="BI215" s="58">
        <f t="shared" si="96"/>
        <v>0</v>
      </c>
      <c r="BJ215" s="220">
        <f t="shared" si="104"/>
        <v>3000</v>
      </c>
      <c r="BK215" s="58"/>
      <c r="BL215" s="58" t="s">
        <v>1078</v>
      </c>
      <c r="BM215" s="220" t="s">
        <v>1393</v>
      </c>
      <c r="BN215" s="213" t="s">
        <v>1347</v>
      </c>
      <c r="BO215" s="213" t="s">
        <v>1188</v>
      </c>
      <c r="BP215" s="199"/>
      <c r="BQ215" s="2" t="s">
        <v>1386</v>
      </c>
    </row>
    <row r="216" spans="1:69" ht="15.6" customHeight="1">
      <c r="A216" s="213" t="s">
        <v>788</v>
      </c>
      <c r="B216" s="58" t="s">
        <v>184</v>
      </c>
      <c r="C216" s="58" t="s">
        <v>752</v>
      </c>
      <c r="D216" s="214" t="s">
        <v>789</v>
      </c>
      <c r="E216" s="214" t="s">
        <v>789</v>
      </c>
      <c r="F216" s="215" t="s">
        <v>186</v>
      </c>
      <c r="G216" s="216">
        <v>2016</v>
      </c>
      <c r="H216" s="218" t="s">
        <v>794</v>
      </c>
      <c r="I216" s="218" t="s">
        <v>196</v>
      </c>
      <c r="J216" s="217" t="s">
        <v>890</v>
      </c>
      <c r="K216" s="213" t="s">
        <v>769</v>
      </c>
      <c r="L216" s="213" t="s">
        <v>192</v>
      </c>
      <c r="M216" s="219" t="s">
        <v>1392</v>
      </c>
      <c r="N216" s="219">
        <v>5.24</v>
      </c>
      <c r="O216" s="219">
        <v>5.24</v>
      </c>
      <c r="P216" s="219">
        <v>5.24</v>
      </c>
      <c r="Q216" s="219">
        <v>5.24</v>
      </c>
      <c r="R216" s="219">
        <v>5.24</v>
      </c>
      <c r="S216" s="219">
        <v>5.24</v>
      </c>
      <c r="T216" s="219">
        <v>5.24</v>
      </c>
      <c r="U216" s="219">
        <v>5.24</v>
      </c>
      <c r="V216" s="219">
        <v>5.24</v>
      </c>
      <c r="W216" s="219">
        <v>5.24</v>
      </c>
      <c r="X216" s="219">
        <v>5.24</v>
      </c>
      <c r="Y216" s="219">
        <v>5.24</v>
      </c>
      <c r="Z216" s="219">
        <v>0.05</v>
      </c>
      <c r="AA216" s="219">
        <v>0.05</v>
      </c>
      <c r="AB216" s="219">
        <v>0.05</v>
      </c>
      <c r="AC216" s="219">
        <v>0.05</v>
      </c>
      <c r="AD216" s="219">
        <v>0.05</v>
      </c>
      <c r="AE216" s="219">
        <v>0.05</v>
      </c>
      <c r="AF216" s="219">
        <v>0.05</v>
      </c>
      <c r="AG216" s="219">
        <v>0.05</v>
      </c>
      <c r="AH216" s="219">
        <v>0.05</v>
      </c>
      <c r="AI216" s="219">
        <v>0.05</v>
      </c>
      <c r="AJ216" s="219">
        <v>0.05</v>
      </c>
      <c r="AK216" s="219">
        <v>0.05</v>
      </c>
      <c r="AL216" s="229" t="s">
        <v>573</v>
      </c>
      <c r="AM216" s="219">
        <f t="shared" si="97"/>
        <v>0</v>
      </c>
      <c r="AN216" s="229">
        <v>3000</v>
      </c>
      <c r="AO216" s="221">
        <f t="shared" si="98"/>
        <v>150</v>
      </c>
      <c r="AP216" s="222">
        <v>3000</v>
      </c>
      <c r="AQ216" s="221">
        <f t="shared" si="99"/>
        <v>150</v>
      </c>
      <c r="AR216" s="222" t="s">
        <v>573</v>
      </c>
      <c r="AS216" s="58">
        <f t="shared" si="100"/>
        <v>0</v>
      </c>
      <c r="AT216" s="222" t="s">
        <v>573</v>
      </c>
      <c r="AU216" s="58">
        <f t="shared" si="101"/>
        <v>0</v>
      </c>
      <c r="AV216" s="222" t="s">
        <v>573</v>
      </c>
      <c r="AW216" s="58">
        <f t="shared" si="102"/>
        <v>0</v>
      </c>
      <c r="AX216" s="251" t="s">
        <v>573</v>
      </c>
      <c r="AY216" s="58">
        <f t="shared" si="103"/>
        <v>0</v>
      </c>
      <c r="AZ216" s="222" t="s">
        <v>573</v>
      </c>
      <c r="BA216" s="58">
        <f t="shared" si="92"/>
        <v>0</v>
      </c>
      <c r="BB216" s="222" t="s">
        <v>573</v>
      </c>
      <c r="BC216" s="58">
        <f t="shared" si="93"/>
        <v>0</v>
      </c>
      <c r="BD216" s="222" t="s">
        <v>573</v>
      </c>
      <c r="BE216" s="58">
        <f t="shared" si="94"/>
        <v>0</v>
      </c>
      <c r="BF216" s="222" t="s">
        <v>573</v>
      </c>
      <c r="BG216" s="58">
        <f t="shared" si="95"/>
        <v>0</v>
      </c>
      <c r="BH216" s="223" t="s">
        <v>573</v>
      </c>
      <c r="BI216" s="58">
        <f t="shared" si="96"/>
        <v>0</v>
      </c>
      <c r="BJ216" s="220">
        <f t="shared" si="104"/>
        <v>6000</v>
      </c>
      <c r="BK216" s="58"/>
      <c r="BL216" s="58" t="s">
        <v>1079</v>
      </c>
      <c r="BM216" s="220" t="s">
        <v>1392</v>
      </c>
      <c r="BN216" s="213" t="s">
        <v>1347</v>
      </c>
      <c r="BO216" s="213" t="s">
        <v>697</v>
      </c>
      <c r="BP216" s="199"/>
      <c r="BQ216" s="2" t="s">
        <v>1386</v>
      </c>
    </row>
    <row r="217" spans="1:69" ht="15.6" customHeight="1">
      <c r="A217" s="213" t="s">
        <v>788</v>
      </c>
      <c r="B217" s="58" t="s">
        <v>184</v>
      </c>
      <c r="C217" s="58" t="s">
        <v>752</v>
      </c>
      <c r="D217" s="214" t="s">
        <v>789</v>
      </c>
      <c r="E217" s="214" t="s">
        <v>789</v>
      </c>
      <c r="F217" s="215" t="s">
        <v>186</v>
      </c>
      <c r="G217" s="216">
        <v>2016</v>
      </c>
      <c r="H217" s="218" t="s">
        <v>794</v>
      </c>
      <c r="I217" s="218" t="s">
        <v>196</v>
      </c>
      <c r="J217" s="217" t="s">
        <v>890</v>
      </c>
      <c r="K217" s="213" t="s">
        <v>770</v>
      </c>
      <c r="L217" s="213" t="s">
        <v>192</v>
      </c>
      <c r="M217" s="219" t="s">
        <v>1392</v>
      </c>
      <c r="N217" s="219">
        <v>7.45</v>
      </c>
      <c r="O217" s="219">
        <v>7.45</v>
      </c>
      <c r="P217" s="219">
        <v>7.45</v>
      </c>
      <c r="Q217" s="219">
        <v>7.45</v>
      </c>
      <c r="R217" s="219">
        <v>7.45</v>
      </c>
      <c r="S217" s="219">
        <v>7.45</v>
      </c>
      <c r="T217" s="219">
        <v>7.45</v>
      </c>
      <c r="U217" s="219">
        <v>7.45</v>
      </c>
      <c r="V217" s="219">
        <v>7.45</v>
      </c>
      <c r="W217" s="219">
        <v>7.45</v>
      </c>
      <c r="X217" s="219">
        <v>7.45</v>
      </c>
      <c r="Y217" s="219">
        <v>7.45</v>
      </c>
      <c r="Z217" s="219">
        <v>0.05</v>
      </c>
      <c r="AA217" s="219">
        <v>0.05</v>
      </c>
      <c r="AB217" s="219">
        <v>0.05</v>
      </c>
      <c r="AC217" s="219">
        <v>0.05</v>
      </c>
      <c r="AD217" s="219">
        <v>0.05</v>
      </c>
      <c r="AE217" s="219">
        <v>0.05</v>
      </c>
      <c r="AF217" s="219">
        <v>0.05</v>
      </c>
      <c r="AG217" s="219">
        <v>0.05</v>
      </c>
      <c r="AH217" s="219">
        <v>0.05</v>
      </c>
      <c r="AI217" s="219">
        <v>0.05</v>
      </c>
      <c r="AJ217" s="219">
        <v>0.05</v>
      </c>
      <c r="AK217" s="219">
        <v>0.05</v>
      </c>
      <c r="AL217" s="229" t="s">
        <v>573</v>
      </c>
      <c r="AM217" s="219">
        <f t="shared" si="97"/>
        <v>0</v>
      </c>
      <c r="AN217" s="229">
        <v>3000</v>
      </c>
      <c r="AO217" s="221">
        <f t="shared" si="98"/>
        <v>150</v>
      </c>
      <c r="AP217" s="222">
        <v>3200</v>
      </c>
      <c r="AQ217" s="221">
        <f t="shared" si="99"/>
        <v>160</v>
      </c>
      <c r="AR217" s="222" t="s">
        <v>573</v>
      </c>
      <c r="AS217" s="58">
        <f t="shared" si="100"/>
        <v>0</v>
      </c>
      <c r="AT217" s="222" t="s">
        <v>573</v>
      </c>
      <c r="AU217" s="58">
        <f t="shared" si="101"/>
        <v>0</v>
      </c>
      <c r="AV217" s="222" t="s">
        <v>573</v>
      </c>
      <c r="AW217" s="58">
        <f t="shared" si="102"/>
        <v>0</v>
      </c>
      <c r="AX217" s="251" t="s">
        <v>573</v>
      </c>
      <c r="AY217" s="58">
        <f t="shared" si="103"/>
        <v>0</v>
      </c>
      <c r="AZ217" s="222" t="s">
        <v>573</v>
      </c>
      <c r="BA217" s="58">
        <f t="shared" si="92"/>
        <v>0</v>
      </c>
      <c r="BB217" s="222" t="s">
        <v>573</v>
      </c>
      <c r="BC217" s="58">
        <f t="shared" si="93"/>
        <v>0</v>
      </c>
      <c r="BD217" s="222" t="s">
        <v>573</v>
      </c>
      <c r="BE217" s="58">
        <f t="shared" si="94"/>
        <v>0</v>
      </c>
      <c r="BF217" s="222" t="s">
        <v>573</v>
      </c>
      <c r="BG217" s="58">
        <f t="shared" si="95"/>
        <v>0</v>
      </c>
      <c r="BH217" s="223" t="s">
        <v>573</v>
      </c>
      <c r="BI217" s="58">
        <f t="shared" si="96"/>
        <v>0</v>
      </c>
      <c r="BJ217" s="220">
        <f t="shared" si="104"/>
        <v>6200</v>
      </c>
      <c r="BK217" s="58"/>
      <c r="BL217" s="58" t="s">
        <v>1080</v>
      </c>
      <c r="BM217" s="220" t="s">
        <v>1392</v>
      </c>
      <c r="BN217" s="213" t="s">
        <v>1347</v>
      </c>
      <c r="BO217" s="213" t="s">
        <v>771</v>
      </c>
      <c r="BP217" s="212" t="s">
        <v>772</v>
      </c>
      <c r="BQ217" s="2" t="s">
        <v>1386</v>
      </c>
    </row>
    <row r="218" spans="1:69" ht="15.6" customHeight="1">
      <c r="A218" s="213" t="s">
        <v>788</v>
      </c>
      <c r="B218" s="58" t="s">
        <v>184</v>
      </c>
      <c r="C218" s="58" t="s">
        <v>752</v>
      </c>
      <c r="D218" s="214" t="s">
        <v>789</v>
      </c>
      <c r="E218" s="214" t="s">
        <v>789</v>
      </c>
      <c r="F218" s="215" t="s">
        <v>186</v>
      </c>
      <c r="G218" s="216">
        <v>2016</v>
      </c>
      <c r="H218" s="218" t="s">
        <v>794</v>
      </c>
      <c r="I218" s="218" t="s">
        <v>196</v>
      </c>
      <c r="J218" s="217" t="s">
        <v>890</v>
      </c>
      <c r="K218" s="213" t="s">
        <v>770</v>
      </c>
      <c r="L218" s="213" t="s">
        <v>192</v>
      </c>
      <c r="M218" s="219" t="s">
        <v>1393</v>
      </c>
      <c r="N218" s="219">
        <v>7.45</v>
      </c>
      <c r="O218" s="219">
        <v>7.45</v>
      </c>
      <c r="P218" s="219">
        <v>7.45</v>
      </c>
      <c r="Q218" s="219">
        <v>7.45</v>
      </c>
      <c r="R218" s="219">
        <v>7.45</v>
      </c>
      <c r="S218" s="219">
        <v>7.45</v>
      </c>
      <c r="T218" s="219">
        <v>7.45</v>
      </c>
      <c r="U218" s="219">
        <v>7.45</v>
      </c>
      <c r="V218" s="219">
        <v>7.45</v>
      </c>
      <c r="W218" s="219">
        <v>7.45</v>
      </c>
      <c r="X218" s="219">
        <v>7.45</v>
      </c>
      <c r="Y218" s="219">
        <v>7.45</v>
      </c>
      <c r="Z218" s="219">
        <v>0.05</v>
      </c>
      <c r="AA218" s="219">
        <v>0.05</v>
      </c>
      <c r="AB218" s="219">
        <v>0.05</v>
      </c>
      <c r="AC218" s="219">
        <v>0.05</v>
      </c>
      <c r="AD218" s="219">
        <v>0.05</v>
      </c>
      <c r="AE218" s="219">
        <v>0.05</v>
      </c>
      <c r="AF218" s="219">
        <v>0.05</v>
      </c>
      <c r="AG218" s="219">
        <v>0.05</v>
      </c>
      <c r="AH218" s="219">
        <v>0.05</v>
      </c>
      <c r="AI218" s="219">
        <v>0.05</v>
      </c>
      <c r="AJ218" s="219">
        <v>0.05</v>
      </c>
      <c r="AK218" s="219">
        <v>0.05</v>
      </c>
      <c r="AL218" s="229">
        <v>6000</v>
      </c>
      <c r="AM218" s="219">
        <f t="shared" si="97"/>
        <v>300</v>
      </c>
      <c r="AN218" s="229" t="s">
        <v>573</v>
      </c>
      <c r="AO218" s="221">
        <f t="shared" si="98"/>
        <v>0</v>
      </c>
      <c r="AP218" s="222" t="s">
        <v>573</v>
      </c>
      <c r="AQ218" s="221">
        <f t="shared" si="99"/>
        <v>0</v>
      </c>
      <c r="AR218" s="222" t="s">
        <v>573</v>
      </c>
      <c r="AS218" s="58">
        <f t="shared" si="100"/>
        <v>0</v>
      </c>
      <c r="AT218" s="222" t="s">
        <v>573</v>
      </c>
      <c r="AU218" s="58">
        <f t="shared" si="101"/>
        <v>0</v>
      </c>
      <c r="AV218" s="222" t="s">
        <v>573</v>
      </c>
      <c r="AW218" s="58">
        <f t="shared" si="102"/>
        <v>0</v>
      </c>
      <c r="AX218" s="251" t="s">
        <v>573</v>
      </c>
      <c r="AY218" s="58">
        <f t="shared" si="103"/>
        <v>0</v>
      </c>
      <c r="AZ218" s="222" t="s">
        <v>573</v>
      </c>
      <c r="BA218" s="58">
        <f t="shared" si="92"/>
        <v>0</v>
      </c>
      <c r="BB218" s="222" t="s">
        <v>573</v>
      </c>
      <c r="BC218" s="58">
        <f t="shared" si="93"/>
        <v>0</v>
      </c>
      <c r="BD218" s="222" t="s">
        <v>573</v>
      </c>
      <c r="BE218" s="58">
        <f t="shared" si="94"/>
        <v>0</v>
      </c>
      <c r="BF218" s="222" t="s">
        <v>573</v>
      </c>
      <c r="BG218" s="58">
        <f t="shared" si="95"/>
        <v>0</v>
      </c>
      <c r="BH218" s="223" t="s">
        <v>573</v>
      </c>
      <c r="BI218" s="58">
        <f t="shared" si="96"/>
        <v>0</v>
      </c>
      <c r="BJ218" s="220">
        <f t="shared" si="104"/>
        <v>6000</v>
      </c>
      <c r="BK218" s="58"/>
      <c r="BL218" s="58" t="s">
        <v>1081</v>
      </c>
      <c r="BM218" s="220" t="s">
        <v>1393</v>
      </c>
      <c r="BN218" s="213" t="s">
        <v>1347</v>
      </c>
      <c r="BO218" s="213" t="s">
        <v>771</v>
      </c>
      <c r="BP218" s="154"/>
      <c r="BQ218" s="2" t="s">
        <v>1386</v>
      </c>
    </row>
    <row r="219" spans="1:69" ht="15.6" customHeight="1">
      <c r="A219" s="213" t="s">
        <v>788</v>
      </c>
      <c r="B219" s="58" t="s">
        <v>184</v>
      </c>
      <c r="C219" s="58" t="s">
        <v>752</v>
      </c>
      <c r="D219" s="214" t="s">
        <v>789</v>
      </c>
      <c r="E219" s="214" t="s">
        <v>789</v>
      </c>
      <c r="F219" s="215" t="s">
        <v>186</v>
      </c>
      <c r="G219" s="216">
        <v>2016</v>
      </c>
      <c r="H219" s="218" t="s">
        <v>794</v>
      </c>
      <c r="I219" s="218" t="s">
        <v>196</v>
      </c>
      <c r="J219" s="217" t="s">
        <v>890</v>
      </c>
      <c r="K219" s="213" t="s">
        <v>773</v>
      </c>
      <c r="L219" s="213" t="s">
        <v>192</v>
      </c>
      <c r="M219" s="219" t="s">
        <v>1392</v>
      </c>
      <c r="N219" s="219">
        <v>7.45</v>
      </c>
      <c r="O219" s="219">
        <v>7.45</v>
      </c>
      <c r="P219" s="219">
        <v>7.45</v>
      </c>
      <c r="Q219" s="219">
        <v>7.45</v>
      </c>
      <c r="R219" s="219">
        <v>7.45</v>
      </c>
      <c r="S219" s="219">
        <v>7.45</v>
      </c>
      <c r="T219" s="219">
        <v>7.45</v>
      </c>
      <c r="U219" s="219">
        <v>7.45</v>
      </c>
      <c r="V219" s="219">
        <v>7.45</v>
      </c>
      <c r="W219" s="219">
        <v>7.45</v>
      </c>
      <c r="X219" s="219">
        <v>7.45</v>
      </c>
      <c r="Y219" s="219">
        <v>7.45</v>
      </c>
      <c r="Z219" s="219">
        <v>0.05</v>
      </c>
      <c r="AA219" s="219">
        <v>0.05</v>
      </c>
      <c r="AB219" s="219">
        <v>0.05</v>
      </c>
      <c r="AC219" s="219">
        <v>0.05</v>
      </c>
      <c r="AD219" s="219">
        <v>0.05</v>
      </c>
      <c r="AE219" s="219">
        <v>0.05</v>
      </c>
      <c r="AF219" s="219">
        <v>0.05</v>
      </c>
      <c r="AG219" s="219">
        <v>0.05</v>
      </c>
      <c r="AH219" s="219">
        <v>0.05</v>
      </c>
      <c r="AI219" s="219">
        <v>0.05</v>
      </c>
      <c r="AJ219" s="219">
        <v>0.05</v>
      </c>
      <c r="AK219" s="219">
        <v>0.05</v>
      </c>
      <c r="AL219" s="229" t="s">
        <v>573</v>
      </c>
      <c r="AM219" s="219">
        <f t="shared" si="97"/>
        <v>0</v>
      </c>
      <c r="AN219" s="229" t="s">
        <v>573</v>
      </c>
      <c r="AO219" s="221">
        <f t="shared" si="98"/>
        <v>0</v>
      </c>
      <c r="AP219" s="222">
        <v>6000</v>
      </c>
      <c r="AQ219" s="221">
        <f t="shared" si="99"/>
        <v>300</v>
      </c>
      <c r="AR219" s="222" t="s">
        <v>573</v>
      </c>
      <c r="AS219" s="58">
        <f t="shared" si="100"/>
        <v>0</v>
      </c>
      <c r="AT219" s="222" t="s">
        <v>573</v>
      </c>
      <c r="AU219" s="58">
        <f t="shared" si="101"/>
        <v>0</v>
      </c>
      <c r="AV219" s="222" t="s">
        <v>573</v>
      </c>
      <c r="AW219" s="58">
        <f t="shared" si="102"/>
        <v>0</v>
      </c>
      <c r="AX219" s="251" t="s">
        <v>573</v>
      </c>
      <c r="AY219" s="58">
        <f t="shared" si="103"/>
        <v>0</v>
      </c>
      <c r="AZ219" s="222" t="s">
        <v>573</v>
      </c>
      <c r="BA219" s="58">
        <f t="shared" si="92"/>
        <v>0</v>
      </c>
      <c r="BB219" s="222" t="s">
        <v>573</v>
      </c>
      <c r="BC219" s="58">
        <f t="shared" si="93"/>
        <v>0</v>
      </c>
      <c r="BD219" s="222" t="s">
        <v>573</v>
      </c>
      <c r="BE219" s="58">
        <f t="shared" si="94"/>
        <v>0</v>
      </c>
      <c r="BF219" s="222" t="s">
        <v>573</v>
      </c>
      <c r="BG219" s="58">
        <f t="shared" si="95"/>
        <v>0</v>
      </c>
      <c r="BH219" s="223" t="s">
        <v>573</v>
      </c>
      <c r="BI219" s="58">
        <f t="shared" si="96"/>
        <v>0</v>
      </c>
      <c r="BJ219" s="220">
        <f t="shared" si="104"/>
        <v>6000</v>
      </c>
      <c r="BK219" s="58"/>
      <c r="BL219" s="58" t="s">
        <v>1082</v>
      </c>
      <c r="BM219" s="220" t="s">
        <v>1392</v>
      </c>
      <c r="BN219" s="213" t="s">
        <v>1347</v>
      </c>
      <c r="BO219" s="213" t="s">
        <v>774</v>
      </c>
      <c r="BP219" s="199"/>
      <c r="BQ219" s="2" t="s">
        <v>1386</v>
      </c>
    </row>
    <row r="220" spans="1:69" ht="15.6" customHeight="1">
      <c r="A220" s="213" t="s">
        <v>788</v>
      </c>
      <c r="B220" s="58" t="s">
        <v>184</v>
      </c>
      <c r="C220" s="58" t="s">
        <v>752</v>
      </c>
      <c r="D220" s="214" t="s">
        <v>789</v>
      </c>
      <c r="E220" s="214" t="s">
        <v>789</v>
      </c>
      <c r="F220" s="215" t="s">
        <v>186</v>
      </c>
      <c r="G220" s="216">
        <v>2016</v>
      </c>
      <c r="H220" s="218" t="s">
        <v>794</v>
      </c>
      <c r="I220" s="218" t="s">
        <v>196</v>
      </c>
      <c r="J220" s="217" t="s">
        <v>890</v>
      </c>
      <c r="K220" s="213" t="s">
        <v>773</v>
      </c>
      <c r="L220" s="213" t="s">
        <v>192</v>
      </c>
      <c r="M220" s="219" t="s">
        <v>1393</v>
      </c>
      <c r="N220" s="219">
        <v>7.45</v>
      </c>
      <c r="O220" s="219">
        <v>7.45</v>
      </c>
      <c r="P220" s="219">
        <v>7.45</v>
      </c>
      <c r="Q220" s="219">
        <v>7.45</v>
      </c>
      <c r="R220" s="219">
        <v>7.45</v>
      </c>
      <c r="S220" s="219">
        <v>7.45</v>
      </c>
      <c r="T220" s="219">
        <v>7.45</v>
      </c>
      <c r="U220" s="219">
        <v>7.45</v>
      </c>
      <c r="V220" s="219">
        <v>7.45</v>
      </c>
      <c r="W220" s="219">
        <v>7.45</v>
      </c>
      <c r="X220" s="219">
        <v>7.45</v>
      </c>
      <c r="Y220" s="219">
        <v>7.45</v>
      </c>
      <c r="Z220" s="219">
        <v>0.05</v>
      </c>
      <c r="AA220" s="219">
        <v>0.05</v>
      </c>
      <c r="AB220" s="219">
        <v>0.05</v>
      </c>
      <c r="AC220" s="219">
        <v>0.05</v>
      </c>
      <c r="AD220" s="219">
        <v>0.05</v>
      </c>
      <c r="AE220" s="219">
        <v>0.05</v>
      </c>
      <c r="AF220" s="219">
        <v>0.05</v>
      </c>
      <c r="AG220" s="219">
        <v>0.05</v>
      </c>
      <c r="AH220" s="219">
        <v>0.05</v>
      </c>
      <c r="AI220" s="219">
        <v>0.05</v>
      </c>
      <c r="AJ220" s="219">
        <v>0.05</v>
      </c>
      <c r="AK220" s="219">
        <v>0.05</v>
      </c>
      <c r="AL220" s="229">
        <v>6000</v>
      </c>
      <c r="AM220" s="219">
        <f t="shared" si="97"/>
        <v>300</v>
      </c>
      <c r="AN220" s="229" t="s">
        <v>573</v>
      </c>
      <c r="AO220" s="221">
        <f t="shared" si="98"/>
        <v>0</v>
      </c>
      <c r="AP220" s="222">
        <v>3000</v>
      </c>
      <c r="AQ220" s="221">
        <f t="shared" si="99"/>
        <v>150</v>
      </c>
      <c r="AR220" s="222" t="s">
        <v>573</v>
      </c>
      <c r="AS220" s="58">
        <f t="shared" si="100"/>
        <v>0</v>
      </c>
      <c r="AT220" s="222" t="s">
        <v>573</v>
      </c>
      <c r="AU220" s="58">
        <f t="shared" si="101"/>
        <v>0</v>
      </c>
      <c r="AV220" s="222" t="s">
        <v>573</v>
      </c>
      <c r="AW220" s="58">
        <f t="shared" si="102"/>
        <v>0</v>
      </c>
      <c r="AX220" s="251" t="s">
        <v>573</v>
      </c>
      <c r="AY220" s="58">
        <f t="shared" si="103"/>
        <v>0</v>
      </c>
      <c r="AZ220" s="222" t="s">
        <v>573</v>
      </c>
      <c r="BA220" s="58">
        <f t="shared" si="92"/>
        <v>0</v>
      </c>
      <c r="BB220" s="222" t="s">
        <v>573</v>
      </c>
      <c r="BC220" s="58">
        <f t="shared" si="93"/>
        <v>0</v>
      </c>
      <c r="BD220" s="222" t="s">
        <v>573</v>
      </c>
      <c r="BE220" s="58">
        <f t="shared" si="94"/>
        <v>0</v>
      </c>
      <c r="BF220" s="222" t="s">
        <v>573</v>
      </c>
      <c r="BG220" s="58">
        <f t="shared" si="95"/>
        <v>0</v>
      </c>
      <c r="BH220" s="223" t="s">
        <v>573</v>
      </c>
      <c r="BI220" s="58">
        <f t="shared" si="96"/>
        <v>0</v>
      </c>
      <c r="BJ220" s="220">
        <f t="shared" si="104"/>
        <v>9000</v>
      </c>
      <c r="BK220" s="58"/>
      <c r="BL220" s="58" t="s">
        <v>1083</v>
      </c>
      <c r="BM220" s="220" t="s">
        <v>1393</v>
      </c>
      <c r="BN220" s="213" t="s">
        <v>1347</v>
      </c>
      <c r="BO220" s="213" t="s">
        <v>774</v>
      </c>
      <c r="BP220" s="199"/>
      <c r="BQ220" s="2" t="s">
        <v>1386</v>
      </c>
    </row>
    <row r="221" spans="1:69" ht="15.6" customHeight="1">
      <c r="A221" s="213" t="s">
        <v>788</v>
      </c>
      <c r="B221" s="58" t="s">
        <v>184</v>
      </c>
      <c r="C221" s="58" t="s">
        <v>752</v>
      </c>
      <c r="D221" s="214" t="s">
        <v>789</v>
      </c>
      <c r="E221" s="214" t="s">
        <v>789</v>
      </c>
      <c r="F221" s="215" t="s">
        <v>186</v>
      </c>
      <c r="G221" s="216">
        <v>2016</v>
      </c>
      <c r="H221" s="218" t="s">
        <v>794</v>
      </c>
      <c r="I221" s="218" t="s">
        <v>196</v>
      </c>
      <c r="J221" s="217" t="s">
        <v>890</v>
      </c>
      <c r="K221" s="213" t="s">
        <v>249</v>
      </c>
      <c r="L221" s="213" t="s">
        <v>192</v>
      </c>
      <c r="M221" s="219" t="s">
        <v>1399</v>
      </c>
      <c r="N221" s="219">
        <v>5.24</v>
      </c>
      <c r="O221" s="219">
        <v>5.24</v>
      </c>
      <c r="P221" s="219">
        <v>5.24</v>
      </c>
      <c r="Q221" s="219">
        <v>5.24</v>
      </c>
      <c r="R221" s="219">
        <v>5.24</v>
      </c>
      <c r="S221" s="219">
        <v>5.24</v>
      </c>
      <c r="T221" s="219">
        <v>5.24</v>
      </c>
      <c r="U221" s="219">
        <v>5.24</v>
      </c>
      <c r="V221" s="219">
        <v>5.24</v>
      </c>
      <c r="W221" s="219">
        <v>5.24</v>
      </c>
      <c r="X221" s="219">
        <v>5.24</v>
      </c>
      <c r="Y221" s="219">
        <v>5.24</v>
      </c>
      <c r="Z221" s="219">
        <v>0.05</v>
      </c>
      <c r="AA221" s="219">
        <v>0.05</v>
      </c>
      <c r="AB221" s="219">
        <v>0.05</v>
      </c>
      <c r="AC221" s="219">
        <v>0.05</v>
      </c>
      <c r="AD221" s="219">
        <v>0.05</v>
      </c>
      <c r="AE221" s="219">
        <v>0.05</v>
      </c>
      <c r="AF221" s="219">
        <v>0.05</v>
      </c>
      <c r="AG221" s="219">
        <v>0.05</v>
      </c>
      <c r="AH221" s="219">
        <v>0.05</v>
      </c>
      <c r="AI221" s="219">
        <v>0.05</v>
      </c>
      <c r="AJ221" s="219">
        <v>0.05</v>
      </c>
      <c r="AK221" s="219">
        <v>0.05</v>
      </c>
      <c r="AL221" s="229" t="s">
        <v>573</v>
      </c>
      <c r="AM221" s="219">
        <f t="shared" si="97"/>
        <v>0</v>
      </c>
      <c r="AN221" s="229" t="s">
        <v>573</v>
      </c>
      <c r="AO221" s="221">
        <f t="shared" si="98"/>
        <v>0</v>
      </c>
      <c r="AP221" s="222" t="s">
        <v>573</v>
      </c>
      <c r="AQ221" s="221">
        <f t="shared" si="99"/>
        <v>0</v>
      </c>
      <c r="AR221" s="222" t="s">
        <v>573</v>
      </c>
      <c r="AS221" s="58">
        <f t="shared" si="100"/>
        <v>0</v>
      </c>
      <c r="AT221" s="222">
        <v>3600</v>
      </c>
      <c r="AU221" s="58">
        <f t="shared" si="101"/>
        <v>180</v>
      </c>
      <c r="AV221" s="222" t="s">
        <v>573</v>
      </c>
      <c r="AW221" s="58">
        <f t="shared" si="102"/>
        <v>0</v>
      </c>
      <c r="AX221" s="251" t="s">
        <v>573</v>
      </c>
      <c r="AY221" s="58">
        <f t="shared" si="103"/>
        <v>0</v>
      </c>
      <c r="AZ221" s="222" t="s">
        <v>573</v>
      </c>
      <c r="BA221" s="58">
        <f t="shared" si="92"/>
        <v>0</v>
      </c>
      <c r="BB221" s="222" t="s">
        <v>573</v>
      </c>
      <c r="BC221" s="58">
        <f t="shared" si="93"/>
        <v>0</v>
      </c>
      <c r="BD221" s="222" t="s">
        <v>573</v>
      </c>
      <c r="BE221" s="58">
        <f t="shared" si="94"/>
        <v>0</v>
      </c>
      <c r="BF221" s="222" t="s">
        <v>573</v>
      </c>
      <c r="BG221" s="58">
        <f t="shared" si="95"/>
        <v>0</v>
      </c>
      <c r="BH221" s="223" t="s">
        <v>573</v>
      </c>
      <c r="BI221" s="58">
        <f t="shared" si="96"/>
        <v>0</v>
      </c>
      <c r="BJ221" s="220">
        <f t="shared" si="104"/>
        <v>3600</v>
      </c>
      <c r="BK221" s="58"/>
      <c r="BL221" s="58" t="s">
        <v>1160</v>
      </c>
      <c r="BM221" s="220" t="s">
        <v>1399</v>
      </c>
      <c r="BN221" s="213" t="s">
        <v>1347</v>
      </c>
      <c r="BO221" s="213" t="s">
        <v>1159</v>
      </c>
      <c r="BP221" s="199">
        <v>46022</v>
      </c>
      <c r="BQ221" s="2" t="s">
        <v>1386</v>
      </c>
    </row>
    <row r="222" spans="1:69" ht="15.6" customHeight="1">
      <c r="A222" s="213" t="s">
        <v>788</v>
      </c>
      <c r="B222" s="58" t="s">
        <v>184</v>
      </c>
      <c r="C222" s="58" t="s">
        <v>752</v>
      </c>
      <c r="D222" s="214" t="s">
        <v>789</v>
      </c>
      <c r="E222" s="214" t="s">
        <v>789</v>
      </c>
      <c r="F222" s="215" t="s">
        <v>186</v>
      </c>
      <c r="G222" s="216">
        <v>2016</v>
      </c>
      <c r="H222" s="218" t="s">
        <v>794</v>
      </c>
      <c r="I222" s="218" t="s">
        <v>196</v>
      </c>
      <c r="J222" s="217" t="s">
        <v>890</v>
      </c>
      <c r="K222" s="213" t="s">
        <v>249</v>
      </c>
      <c r="L222" s="213" t="s">
        <v>192</v>
      </c>
      <c r="M222" s="219" t="s">
        <v>1392</v>
      </c>
      <c r="N222" s="219">
        <v>5.24</v>
      </c>
      <c r="O222" s="219">
        <v>5.24</v>
      </c>
      <c r="P222" s="219">
        <v>5.24</v>
      </c>
      <c r="Q222" s="219">
        <v>5.24</v>
      </c>
      <c r="R222" s="219">
        <v>5.24</v>
      </c>
      <c r="S222" s="219">
        <v>5.24</v>
      </c>
      <c r="T222" s="219">
        <v>5.24</v>
      </c>
      <c r="U222" s="219">
        <v>5.24</v>
      </c>
      <c r="V222" s="219">
        <v>5.24</v>
      </c>
      <c r="W222" s="219">
        <v>5.24</v>
      </c>
      <c r="X222" s="219">
        <v>5.24</v>
      </c>
      <c r="Y222" s="219">
        <v>5.24</v>
      </c>
      <c r="Z222" s="219">
        <v>0.05</v>
      </c>
      <c r="AA222" s="219">
        <v>0.05</v>
      </c>
      <c r="AB222" s="219">
        <v>0.05</v>
      </c>
      <c r="AC222" s="219">
        <v>0.05</v>
      </c>
      <c r="AD222" s="219">
        <v>0.05</v>
      </c>
      <c r="AE222" s="219">
        <v>0.05</v>
      </c>
      <c r="AF222" s="219">
        <v>0.05</v>
      </c>
      <c r="AG222" s="219">
        <v>0.05</v>
      </c>
      <c r="AH222" s="219">
        <v>0.05</v>
      </c>
      <c r="AI222" s="219">
        <v>0.05</v>
      </c>
      <c r="AJ222" s="219">
        <v>0.05</v>
      </c>
      <c r="AK222" s="219">
        <v>0.05</v>
      </c>
      <c r="AL222" s="229" t="s">
        <v>573</v>
      </c>
      <c r="AM222" s="219">
        <f t="shared" si="97"/>
        <v>0</v>
      </c>
      <c r="AN222" s="229" t="s">
        <v>573</v>
      </c>
      <c r="AO222" s="221">
        <f t="shared" si="98"/>
        <v>0</v>
      </c>
      <c r="AP222" s="222" t="s">
        <v>573</v>
      </c>
      <c r="AQ222" s="221">
        <f t="shared" si="99"/>
        <v>0</v>
      </c>
      <c r="AR222" s="222" t="s">
        <v>573</v>
      </c>
      <c r="AS222" s="58">
        <f t="shared" si="100"/>
        <v>0</v>
      </c>
      <c r="AT222" s="222" t="s">
        <v>573</v>
      </c>
      <c r="AU222" s="58">
        <f t="shared" si="101"/>
        <v>0</v>
      </c>
      <c r="AV222" s="222" t="s">
        <v>573</v>
      </c>
      <c r="AW222" s="58">
        <f t="shared" si="102"/>
        <v>0</v>
      </c>
      <c r="AX222" s="251" t="s">
        <v>573</v>
      </c>
      <c r="AY222" s="58">
        <f t="shared" si="103"/>
        <v>0</v>
      </c>
      <c r="AZ222" s="222" t="s">
        <v>573</v>
      </c>
      <c r="BA222" s="58">
        <f t="shared" si="92"/>
        <v>0</v>
      </c>
      <c r="BB222" s="222" t="s">
        <v>573</v>
      </c>
      <c r="BC222" s="58">
        <f t="shared" si="93"/>
        <v>0</v>
      </c>
      <c r="BD222" s="222" t="s">
        <v>573</v>
      </c>
      <c r="BE222" s="58">
        <f t="shared" si="94"/>
        <v>0</v>
      </c>
      <c r="BF222" s="222" t="s">
        <v>573</v>
      </c>
      <c r="BG222" s="58">
        <f t="shared" si="95"/>
        <v>0</v>
      </c>
      <c r="BH222" s="223" t="s">
        <v>573</v>
      </c>
      <c r="BI222" s="58">
        <f t="shared" si="96"/>
        <v>0</v>
      </c>
      <c r="BJ222" s="220">
        <f t="shared" si="104"/>
        <v>0</v>
      </c>
      <c r="BK222" s="58"/>
      <c r="BL222" s="58" t="s">
        <v>1084</v>
      </c>
      <c r="BM222" s="220" t="s">
        <v>1392</v>
      </c>
      <c r="BN222" s="213" t="s">
        <v>1347</v>
      </c>
      <c r="BO222" s="213" t="s">
        <v>1159</v>
      </c>
      <c r="BP222" s="199">
        <v>45657</v>
      </c>
      <c r="BQ222" s="2" t="s">
        <v>1387</v>
      </c>
    </row>
    <row r="223" spans="1:69" ht="15.6" customHeight="1">
      <c r="A223" s="213" t="s">
        <v>788</v>
      </c>
      <c r="B223" s="58" t="s">
        <v>184</v>
      </c>
      <c r="C223" s="58" t="s">
        <v>752</v>
      </c>
      <c r="D223" s="214" t="s">
        <v>789</v>
      </c>
      <c r="E223" s="214" t="s">
        <v>789</v>
      </c>
      <c r="F223" s="215" t="s">
        <v>186</v>
      </c>
      <c r="G223" s="216">
        <v>2016</v>
      </c>
      <c r="H223" s="218" t="s">
        <v>794</v>
      </c>
      <c r="I223" s="218" t="s">
        <v>196</v>
      </c>
      <c r="J223" s="217" t="s">
        <v>890</v>
      </c>
      <c r="K223" s="213" t="s">
        <v>249</v>
      </c>
      <c r="L223" s="213" t="s">
        <v>192</v>
      </c>
      <c r="M223" s="219" t="s">
        <v>1396</v>
      </c>
      <c r="N223" s="219"/>
      <c r="O223" s="219"/>
      <c r="P223" s="219"/>
      <c r="Q223" s="219"/>
      <c r="R223" s="219">
        <v>5.24</v>
      </c>
      <c r="S223" s="219">
        <v>5.24</v>
      </c>
      <c r="T223" s="219">
        <v>5.24</v>
      </c>
      <c r="U223" s="219">
        <v>5.24</v>
      </c>
      <c r="V223" s="219">
        <v>5.24</v>
      </c>
      <c r="W223" s="219">
        <v>5.24</v>
      </c>
      <c r="X223" s="219">
        <v>5.24</v>
      </c>
      <c r="Y223" s="219">
        <v>5.24</v>
      </c>
      <c r="Z223" s="219">
        <v>0.05</v>
      </c>
      <c r="AA223" s="219">
        <v>0.05</v>
      </c>
      <c r="AB223" s="219">
        <v>0.05</v>
      </c>
      <c r="AC223" s="219">
        <v>0.05</v>
      </c>
      <c r="AD223" s="219">
        <v>0.05</v>
      </c>
      <c r="AE223" s="219">
        <v>0.05</v>
      </c>
      <c r="AF223" s="219">
        <v>0.05</v>
      </c>
      <c r="AG223" s="219">
        <v>0.05</v>
      </c>
      <c r="AH223" s="219">
        <v>0.05</v>
      </c>
      <c r="AI223" s="219">
        <v>0.05</v>
      </c>
      <c r="AJ223" s="219">
        <v>0.05</v>
      </c>
      <c r="AK223" s="219">
        <v>0.05</v>
      </c>
      <c r="AL223" s="229" t="s">
        <v>573</v>
      </c>
      <c r="AM223" s="219">
        <f t="shared" si="97"/>
        <v>0</v>
      </c>
      <c r="AN223" s="229" t="s">
        <v>573</v>
      </c>
      <c r="AO223" s="221">
        <f t="shared" si="98"/>
        <v>0</v>
      </c>
      <c r="AP223" s="222" t="s">
        <v>573</v>
      </c>
      <c r="AQ223" s="221">
        <f t="shared" si="99"/>
        <v>0</v>
      </c>
      <c r="AR223" s="222" t="s">
        <v>573</v>
      </c>
      <c r="AS223" s="58">
        <f t="shared" si="100"/>
        <v>0</v>
      </c>
      <c r="AT223" s="222">
        <v>3600</v>
      </c>
      <c r="AU223" s="58">
        <f t="shared" si="101"/>
        <v>180</v>
      </c>
      <c r="AV223" s="222" t="s">
        <v>573</v>
      </c>
      <c r="AW223" s="58">
        <f t="shared" si="102"/>
        <v>0</v>
      </c>
      <c r="AX223" s="251" t="s">
        <v>573</v>
      </c>
      <c r="AY223" s="58">
        <f t="shared" si="103"/>
        <v>0</v>
      </c>
      <c r="AZ223" s="222" t="s">
        <v>573</v>
      </c>
      <c r="BA223" s="58">
        <f t="shared" si="92"/>
        <v>0</v>
      </c>
      <c r="BB223" s="222" t="s">
        <v>573</v>
      </c>
      <c r="BC223" s="58">
        <f t="shared" si="93"/>
        <v>0</v>
      </c>
      <c r="BD223" s="222" t="s">
        <v>573</v>
      </c>
      <c r="BE223" s="58">
        <f t="shared" si="94"/>
        <v>0</v>
      </c>
      <c r="BF223" s="222" t="s">
        <v>573</v>
      </c>
      <c r="BG223" s="58">
        <f t="shared" si="95"/>
        <v>0</v>
      </c>
      <c r="BH223" s="223" t="s">
        <v>573</v>
      </c>
      <c r="BI223" s="58">
        <f t="shared" si="96"/>
        <v>0</v>
      </c>
      <c r="BJ223" s="220">
        <f t="shared" si="104"/>
        <v>3600</v>
      </c>
      <c r="BK223" s="58"/>
      <c r="BL223" s="58" t="s">
        <v>1305</v>
      </c>
      <c r="BM223" s="220" t="s">
        <v>1396</v>
      </c>
      <c r="BN223" s="213" t="s">
        <v>1347</v>
      </c>
      <c r="BO223" s="213" t="s">
        <v>1159</v>
      </c>
      <c r="BP223" s="199">
        <v>45657</v>
      </c>
      <c r="BQ223" s="2" t="s">
        <v>1386</v>
      </c>
    </row>
    <row r="224" spans="1:69" ht="15.6" customHeight="1">
      <c r="A224" s="213" t="s">
        <v>788</v>
      </c>
      <c r="B224" s="58" t="s">
        <v>184</v>
      </c>
      <c r="C224" s="58" t="s">
        <v>752</v>
      </c>
      <c r="D224" s="214" t="s">
        <v>789</v>
      </c>
      <c r="E224" s="214" t="s">
        <v>789</v>
      </c>
      <c r="F224" s="215" t="s">
        <v>186</v>
      </c>
      <c r="G224" s="216">
        <v>2016</v>
      </c>
      <c r="H224" s="218" t="s">
        <v>794</v>
      </c>
      <c r="I224" s="218" t="s">
        <v>196</v>
      </c>
      <c r="J224" s="217" t="s">
        <v>890</v>
      </c>
      <c r="K224" s="213" t="s">
        <v>249</v>
      </c>
      <c r="L224" s="213" t="s">
        <v>192</v>
      </c>
      <c r="M224" s="219" t="s">
        <v>1393</v>
      </c>
      <c r="N224" s="219">
        <v>5.24</v>
      </c>
      <c r="O224" s="219">
        <v>5.24</v>
      </c>
      <c r="P224" s="219">
        <v>5.24</v>
      </c>
      <c r="Q224" s="219">
        <v>5.24</v>
      </c>
      <c r="R224" s="219">
        <v>5.24</v>
      </c>
      <c r="S224" s="219">
        <v>5.24</v>
      </c>
      <c r="T224" s="219">
        <v>5.24</v>
      </c>
      <c r="U224" s="219">
        <v>5.24</v>
      </c>
      <c r="V224" s="219">
        <v>5.24</v>
      </c>
      <c r="W224" s="219">
        <v>5.24</v>
      </c>
      <c r="X224" s="219">
        <v>5.24</v>
      </c>
      <c r="Y224" s="219">
        <v>5.24</v>
      </c>
      <c r="Z224" s="219">
        <v>0.05</v>
      </c>
      <c r="AA224" s="219">
        <v>0.05</v>
      </c>
      <c r="AB224" s="219">
        <v>0.05</v>
      </c>
      <c r="AC224" s="219">
        <v>0.05</v>
      </c>
      <c r="AD224" s="219">
        <v>0.05</v>
      </c>
      <c r="AE224" s="219">
        <v>0.05</v>
      </c>
      <c r="AF224" s="219">
        <v>0.05</v>
      </c>
      <c r="AG224" s="219">
        <v>0.05</v>
      </c>
      <c r="AH224" s="219">
        <v>0.05</v>
      </c>
      <c r="AI224" s="219">
        <v>0.05</v>
      </c>
      <c r="AJ224" s="219">
        <v>0.05</v>
      </c>
      <c r="AK224" s="219">
        <v>0.05</v>
      </c>
      <c r="AL224" s="229" t="s">
        <v>573</v>
      </c>
      <c r="AM224" s="219">
        <f t="shared" si="97"/>
        <v>0</v>
      </c>
      <c r="AN224" s="229" t="s">
        <v>573</v>
      </c>
      <c r="AO224" s="221">
        <f t="shared" si="98"/>
        <v>0</v>
      </c>
      <c r="AP224" s="222" t="s">
        <v>573</v>
      </c>
      <c r="AQ224" s="221">
        <f t="shared" si="99"/>
        <v>0</v>
      </c>
      <c r="AR224" s="222" t="s">
        <v>573</v>
      </c>
      <c r="AS224" s="58">
        <f t="shared" si="100"/>
        <v>0</v>
      </c>
      <c r="AT224" s="222" t="s">
        <v>573</v>
      </c>
      <c r="AU224" s="58">
        <f t="shared" si="101"/>
        <v>0</v>
      </c>
      <c r="AV224" s="222" t="s">
        <v>573</v>
      </c>
      <c r="AW224" s="58">
        <f t="shared" si="102"/>
        <v>0</v>
      </c>
      <c r="AX224" s="251" t="s">
        <v>573</v>
      </c>
      <c r="AY224" s="58">
        <f t="shared" si="103"/>
        <v>0</v>
      </c>
      <c r="AZ224" s="222" t="s">
        <v>573</v>
      </c>
      <c r="BA224" s="58">
        <f t="shared" si="92"/>
        <v>0</v>
      </c>
      <c r="BB224" s="222" t="s">
        <v>573</v>
      </c>
      <c r="BC224" s="58">
        <f t="shared" si="93"/>
        <v>0</v>
      </c>
      <c r="BD224" s="222" t="s">
        <v>573</v>
      </c>
      <c r="BE224" s="58">
        <f t="shared" si="94"/>
        <v>0</v>
      </c>
      <c r="BF224" s="222" t="s">
        <v>573</v>
      </c>
      <c r="BG224" s="58">
        <f t="shared" si="95"/>
        <v>0</v>
      </c>
      <c r="BH224" s="223" t="s">
        <v>573</v>
      </c>
      <c r="BI224" s="58">
        <f t="shared" si="96"/>
        <v>0</v>
      </c>
      <c r="BJ224" s="220">
        <f t="shared" si="104"/>
        <v>0</v>
      </c>
      <c r="BK224" s="58"/>
      <c r="BL224" s="58" t="s">
        <v>890</v>
      </c>
      <c r="BM224" s="220" t="s">
        <v>1393</v>
      </c>
      <c r="BN224" s="213" t="s">
        <v>1347</v>
      </c>
      <c r="BO224" s="213" t="s">
        <v>1159</v>
      </c>
      <c r="BP224" s="199">
        <v>45657</v>
      </c>
      <c r="BQ224" s="2" t="s">
        <v>1387</v>
      </c>
    </row>
    <row r="225" spans="1:69" ht="15.6" customHeight="1">
      <c r="A225" s="213" t="s">
        <v>788</v>
      </c>
      <c r="B225" s="58" t="s">
        <v>184</v>
      </c>
      <c r="C225" s="58" t="s">
        <v>752</v>
      </c>
      <c r="D225" s="214" t="s">
        <v>789</v>
      </c>
      <c r="E225" s="214" t="s">
        <v>789</v>
      </c>
      <c r="F225" s="215" t="s">
        <v>186</v>
      </c>
      <c r="G225" s="216">
        <v>2016</v>
      </c>
      <c r="H225" s="218" t="s">
        <v>794</v>
      </c>
      <c r="I225" s="218" t="s">
        <v>196</v>
      </c>
      <c r="J225" s="217" t="s">
        <v>890</v>
      </c>
      <c r="K225" s="213" t="s">
        <v>237</v>
      </c>
      <c r="L225" s="213" t="s">
        <v>192</v>
      </c>
      <c r="M225" s="219" t="s">
        <v>1392</v>
      </c>
      <c r="N225" s="219">
        <v>5.24</v>
      </c>
      <c r="O225" s="219">
        <v>5.24</v>
      </c>
      <c r="P225" s="219">
        <v>5.24</v>
      </c>
      <c r="Q225" s="219">
        <v>5.24</v>
      </c>
      <c r="R225" s="219">
        <v>5.24</v>
      </c>
      <c r="S225" s="219">
        <v>5.24</v>
      </c>
      <c r="T225" s="219">
        <v>5.24</v>
      </c>
      <c r="U225" s="219">
        <v>5.24</v>
      </c>
      <c r="V225" s="219">
        <v>5.24</v>
      </c>
      <c r="W225" s="219">
        <v>5.24</v>
      </c>
      <c r="X225" s="219">
        <v>5.24</v>
      </c>
      <c r="Y225" s="219">
        <v>5.24</v>
      </c>
      <c r="Z225" s="219">
        <v>0.05</v>
      </c>
      <c r="AA225" s="219">
        <v>0.05</v>
      </c>
      <c r="AB225" s="219">
        <v>0.05</v>
      </c>
      <c r="AC225" s="219">
        <v>0.05</v>
      </c>
      <c r="AD225" s="219">
        <v>0.05</v>
      </c>
      <c r="AE225" s="219">
        <v>0.05</v>
      </c>
      <c r="AF225" s="219">
        <v>0.05</v>
      </c>
      <c r="AG225" s="219">
        <v>0.05</v>
      </c>
      <c r="AH225" s="219">
        <v>0.05</v>
      </c>
      <c r="AI225" s="219">
        <v>0.05</v>
      </c>
      <c r="AJ225" s="219">
        <v>0.05</v>
      </c>
      <c r="AK225" s="219">
        <v>0.05</v>
      </c>
      <c r="AL225" s="229" t="s">
        <v>573</v>
      </c>
      <c r="AM225" s="219">
        <f t="shared" si="97"/>
        <v>0</v>
      </c>
      <c r="AN225" s="229" t="s">
        <v>573</v>
      </c>
      <c r="AO225" s="221">
        <f t="shared" si="98"/>
        <v>0</v>
      </c>
      <c r="AP225" s="222" t="s">
        <v>573</v>
      </c>
      <c r="AQ225" s="221">
        <f t="shared" si="99"/>
        <v>0</v>
      </c>
      <c r="AR225" s="222" t="s">
        <v>573</v>
      </c>
      <c r="AS225" s="58">
        <f t="shared" si="100"/>
        <v>0</v>
      </c>
      <c r="AT225" s="222" t="s">
        <v>573</v>
      </c>
      <c r="AU225" s="58">
        <f t="shared" si="101"/>
        <v>0</v>
      </c>
      <c r="AV225" s="222" t="s">
        <v>573</v>
      </c>
      <c r="AW225" s="58">
        <f t="shared" si="102"/>
        <v>0</v>
      </c>
      <c r="AX225" s="251" t="s">
        <v>573</v>
      </c>
      <c r="AY225" s="58">
        <f t="shared" si="103"/>
        <v>0</v>
      </c>
      <c r="AZ225" s="222" t="s">
        <v>573</v>
      </c>
      <c r="BA225" s="58">
        <f t="shared" si="92"/>
        <v>0</v>
      </c>
      <c r="BB225" s="222" t="s">
        <v>573</v>
      </c>
      <c r="BC225" s="58">
        <f t="shared" si="93"/>
        <v>0</v>
      </c>
      <c r="BD225" s="222" t="s">
        <v>573</v>
      </c>
      <c r="BE225" s="58">
        <f t="shared" si="94"/>
        <v>0</v>
      </c>
      <c r="BF225" s="222" t="s">
        <v>573</v>
      </c>
      <c r="BG225" s="58">
        <f t="shared" si="95"/>
        <v>0</v>
      </c>
      <c r="BH225" s="223" t="s">
        <v>573</v>
      </c>
      <c r="BI225" s="58">
        <f t="shared" si="96"/>
        <v>0</v>
      </c>
      <c r="BJ225" s="220">
        <f t="shared" si="104"/>
        <v>0</v>
      </c>
      <c r="BK225" s="58"/>
      <c r="BL225" s="58" t="s">
        <v>1085</v>
      </c>
      <c r="BM225" s="220" t="s">
        <v>1392</v>
      </c>
      <c r="BN225" s="213" t="s">
        <v>1347</v>
      </c>
      <c r="BO225" s="213" t="s">
        <v>672</v>
      </c>
      <c r="BP225" s="199">
        <v>45838</v>
      </c>
      <c r="BQ225" s="2" t="s">
        <v>1386</v>
      </c>
    </row>
    <row r="226" spans="1:69" ht="15.6" customHeight="1">
      <c r="A226" s="213" t="s">
        <v>788</v>
      </c>
      <c r="B226" s="58" t="s">
        <v>184</v>
      </c>
      <c r="C226" s="58" t="s">
        <v>752</v>
      </c>
      <c r="D226" s="214" t="s">
        <v>789</v>
      </c>
      <c r="E226" s="214" t="s">
        <v>789</v>
      </c>
      <c r="F226" s="215" t="s">
        <v>186</v>
      </c>
      <c r="G226" s="216">
        <v>2016</v>
      </c>
      <c r="H226" s="218" t="s">
        <v>794</v>
      </c>
      <c r="I226" s="218" t="s">
        <v>196</v>
      </c>
      <c r="J226" s="217" t="s">
        <v>890</v>
      </c>
      <c r="K226" s="213" t="s">
        <v>237</v>
      </c>
      <c r="L226" s="213" t="s">
        <v>192</v>
      </c>
      <c r="M226" s="219" t="s">
        <v>1392</v>
      </c>
      <c r="N226" s="219">
        <v>5.74</v>
      </c>
      <c r="O226" s="219">
        <v>5.74</v>
      </c>
      <c r="P226" s="219">
        <v>5.74</v>
      </c>
      <c r="Q226" s="219">
        <v>5.74</v>
      </c>
      <c r="R226" s="219">
        <v>5.74</v>
      </c>
      <c r="S226" s="219">
        <v>5.74</v>
      </c>
      <c r="T226" s="219">
        <v>5.74</v>
      </c>
      <c r="U226" s="219">
        <v>5.74</v>
      </c>
      <c r="V226" s="219">
        <v>5.74</v>
      </c>
      <c r="W226" s="219">
        <v>5.74</v>
      </c>
      <c r="X226" s="219">
        <v>5.74</v>
      </c>
      <c r="Y226" s="219">
        <v>5.74</v>
      </c>
      <c r="Z226" s="219">
        <v>0.05</v>
      </c>
      <c r="AA226" s="219">
        <v>0.05</v>
      </c>
      <c r="AB226" s="219">
        <v>0.05</v>
      </c>
      <c r="AC226" s="219">
        <v>0.05</v>
      </c>
      <c r="AD226" s="219">
        <v>0.05</v>
      </c>
      <c r="AE226" s="219">
        <v>0.05</v>
      </c>
      <c r="AF226" s="219">
        <v>0.05</v>
      </c>
      <c r="AG226" s="219">
        <v>0.05</v>
      </c>
      <c r="AH226" s="219">
        <v>0.05</v>
      </c>
      <c r="AI226" s="219">
        <v>0.05</v>
      </c>
      <c r="AJ226" s="219">
        <v>0.05</v>
      </c>
      <c r="AK226" s="219">
        <v>0.05</v>
      </c>
      <c r="AL226" s="229" t="s">
        <v>573</v>
      </c>
      <c r="AM226" s="219">
        <f t="shared" si="97"/>
        <v>0</v>
      </c>
      <c r="AN226" s="229" t="s">
        <v>573</v>
      </c>
      <c r="AO226" s="221">
        <f t="shared" si="98"/>
        <v>0</v>
      </c>
      <c r="AP226" s="222" t="s">
        <v>573</v>
      </c>
      <c r="AQ226" s="221">
        <f t="shared" si="99"/>
        <v>0</v>
      </c>
      <c r="AR226" s="222" t="s">
        <v>573</v>
      </c>
      <c r="AS226" s="58">
        <f t="shared" si="100"/>
        <v>0</v>
      </c>
      <c r="AT226" s="222" t="s">
        <v>573</v>
      </c>
      <c r="AU226" s="58">
        <f t="shared" si="101"/>
        <v>0</v>
      </c>
      <c r="AV226" s="222" t="s">
        <v>573</v>
      </c>
      <c r="AW226" s="58">
        <f t="shared" si="102"/>
        <v>0</v>
      </c>
      <c r="AX226" s="251" t="s">
        <v>573</v>
      </c>
      <c r="AY226" s="58">
        <f t="shared" si="103"/>
        <v>0</v>
      </c>
      <c r="AZ226" s="222" t="s">
        <v>573</v>
      </c>
      <c r="BA226" s="58">
        <f t="shared" si="92"/>
        <v>0</v>
      </c>
      <c r="BB226" s="222" t="s">
        <v>573</v>
      </c>
      <c r="BC226" s="58">
        <f t="shared" si="93"/>
        <v>0</v>
      </c>
      <c r="BD226" s="222" t="s">
        <v>573</v>
      </c>
      <c r="BE226" s="58">
        <f t="shared" si="94"/>
        <v>0</v>
      </c>
      <c r="BF226" s="222" t="s">
        <v>573</v>
      </c>
      <c r="BG226" s="58">
        <f t="shared" si="95"/>
        <v>0</v>
      </c>
      <c r="BH226" s="223" t="s">
        <v>573</v>
      </c>
      <c r="BI226" s="58">
        <f t="shared" si="96"/>
        <v>0</v>
      </c>
      <c r="BJ226" s="220">
        <f t="shared" si="104"/>
        <v>0</v>
      </c>
      <c r="BK226" s="58"/>
      <c r="BL226" s="58" t="s">
        <v>1085</v>
      </c>
      <c r="BM226" s="220" t="s">
        <v>1392</v>
      </c>
      <c r="BN226" s="213" t="s">
        <v>1347</v>
      </c>
      <c r="BO226" s="213" t="s">
        <v>672</v>
      </c>
      <c r="BP226" s="199">
        <v>45838</v>
      </c>
      <c r="BQ226" s="2" t="s">
        <v>1386</v>
      </c>
    </row>
    <row r="227" spans="1:69" ht="15.6" customHeight="1">
      <c r="A227" s="213" t="s">
        <v>788</v>
      </c>
      <c r="B227" s="58" t="s">
        <v>184</v>
      </c>
      <c r="C227" s="58" t="s">
        <v>752</v>
      </c>
      <c r="D227" s="214" t="s">
        <v>789</v>
      </c>
      <c r="E227" s="214" t="s">
        <v>789</v>
      </c>
      <c r="F227" s="215" t="s">
        <v>186</v>
      </c>
      <c r="G227" s="216">
        <v>2016</v>
      </c>
      <c r="H227" s="218" t="s">
        <v>794</v>
      </c>
      <c r="I227" s="218" t="s">
        <v>196</v>
      </c>
      <c r="J227" s="217" t="s">
        <v>890</v>
      </c>
      <c r="K227" s="213" t="s">
        <v>237</v>
      </c>
      <c r="L227" s="213" t="s">
        <v>192</v>
      </c>
      <c r="M227" s="219" t="s">
        <v>1393</v>
      </c>
      <c r="N227" s="219">
        <v>5.24</v>
      </c>
      <c r="O227" s="219">
        <v>5.24</v>
      </c>
      <c r="P227" s="219">
        <v>5.24</v>
      </c>
      <c r="Q227" s="219">
        <v>5.24</v>
      </c>
      <c r="R227" s="219">
        <v>5.24</v>
      </c>
      <c r="S227" s="219">
        <v>5.24</v>
      </c>
      <c r="T227" s="219">
        <v>5.24</v>
      </c>
      <c r="U227" s="219">
        <v>5.24</v>
      </c>
      <c r="V227" s="219">
        <v>5.24</v>
      </c>
      <c r="W227" s="219">
        <v>5.24</v>
      </c>
      <c r="X227" s="219">
        <v>5.24</v>
      </c>
      <c r="Y227" s="219">
        <v>5.24</v>
      </c>
      <c r="Z227" s="219">
        <v>0.05</v>
      </c>
      <c r="AA227" s="219">
        <v>0.05</v>
      </c>
      <c r="AB227" s="219">
        <v>0.05</v>
      </c>
      <c r="AC227" s="219">
        <v>0.05</v>
      </c>
      <c r="AD227" s="219">
        <v>0.05</v>
      </c>
      <c r="AE227" s="219">
        <v>0.05</v>
      </c>
      <c r="AF227" s="219">
        <v>0.05</v>
      </c>
      <c r="AG227" s="219">
        <v>0.05</v>
      </c>
      <c r="AH227" s="219">
        <v>0.05</v>
      </c>
      <c r="AI227" s="219">
        <v>0.05</v>
      </c>
      <c r="AJ227" s="219">
        <v>0.05</v>
      </c>
      <c r="AK227" s="219">
        <v>0.05</v>
      </c>
      <c r="AL227" s="229" t="s">
        <v>573</v>
      </c>
      <c r="AM227" s="219">
        <f t="shared" si="97"/>
        <v>0</v>
      </c>
      <c r="AN227" s="229" t="s">
        <v>573</v>
      </c>
      <c r="AO227" s="221">
        <f t="shared" si="98"/>
        <v>0</v>
      </c>
      <c r="AP227" s="222" t="s">
        <v>573</v>
      </c>
      <c r="AQ227" s="221">
        <f t="shared" si="99"/>
        <v>0</v>
      </c>
      <c r="AR227" s="222" t="s">
        <v>573</v>
      </c>
      <c r="AS227" s="58">
        <f t="shared" si="100"/>
        <v>0</v>
      </c>
      <c r="AT227" s="222" t="s">
        <v>573</v>
      </c>
      <c r="AU227" s="58">
        <f t="shared" si="101"/>
        <v>0</v>
      </c>
      <c r="AV227" s="222" t="s">
        <v>573</v>
      </c>
      <c r="AW227" s="58">
        <f t="shared" si="102"/>
        <v>0</v>
      </c>
      <c r="AX227" s="251" t="s">
        <v>573</v>
      </c>
      <c r="AY227" s="58">
        <f t="shared" si="103"/>
        <v>0</v>
      </c>
      <c r="AZ227" s="222" t="s">
        <v>573</v>
      </c>
      <c r="BA227" s="58">
        <f t="shared" si="92"/>
        <v>0</v>
      </c>
      <c r="BB227" s="222" t="s">
        <v>573</v>
      </c>
      <c r="BC227" s="58">
        <f t="shared" si="93"/>
        <v>0</v>
      </c>
      <c r="BD227" s="222" t="s">
        <v>573</v>
      </c>
      <c r="BE227" s="58">
        <f t="shared" si="94"/>
        <v>0</v>
      </c>
      <c r="BF227" s="222" t="s">
        <v>573</v>
      </c>
      <c r="BG227" s="58">
        <f t="shared" si="95"/>
        <v>0</v>
      </c>
      <c r="BH227" s="223" t="s">
        <v>573</v>
      </c>
      <c r="BI227" s="58">
        <f t="shared" si="96"/>
        <v>0</v>
      </c>
      <c r="BJ227" s="220">
        <f t="shared" si="104"/>
        <v>0</v>
      </c>
      <c r="BK227" s="58"/>
      <c r="BL227" s="58" t="s">
        <v>1086</v>
      </c>
      <c r="BM227" s="220" t="s">
        <v>1393</v>
      </c>
      <c r="BN227" s="213" t="s">
        <v>1347</v>
      </c>
      <c r="BO227" s="213" t="s">
        <v>672</v>
      </c>
      <c r="BP227" s="199">
        <v>45838</v>
      </c>
      <c r="BQ227" s="2" t="s">
        <v>1386</v>
      </c>
    </row>
    <row r="228" spans="1:69" ht="15.75" customHeight="1">
      <c r="A228" s="213" t="s">
        <v>788</v>
      </c>
      <c r="B228" s="58" t="s">
        <v>184</v>
      </c>
      <c r="C228" s="58" t="s">
        <v>752</v>
      </c>
      <c r="D228" s="214" t="s">
        <v>789</v>
      </c>
      <c r="E228" s="214" t="s">
        <v>789</v>
      </c>
      <c r="F228" s="215" t="s">
        <v>186</v>
      </c>
      <c r="G228" s="216">
        <v>2016</v>
      </c>
      <c r="H228" s="218" t="s">
        <v>794</v>
      </c>
      <c r="I228" s="218" t="s">
        <v>196</v>
      </c>
      <c r="J228" s="217" t="s">
        <v>890</v>
      </c>
      <c r="K228" s="213" t="s">
        <v>239</v>
      </c>
      <c r="L228" s="213" t="s">
        <v>192</v>
      </c>
      <c r="M228" s="219" t="s">
        <v>1391</v>
      </c>
      <c r="N228" s="219">
        <v>5.92</v>
      </c>
      <c r="O228" s="219">
        <v>5.92</v>
      </c>
      <c r="P228" s="219">
        <v>5.92</v>
      </c>
      <c r="Q228" s="219">
        <v>5.92</v>
      </c>
      <c r="R228" s="219">
        <v>5.92</v>
      </c>
      <c r="S228" s="219">
        <v>5.92</v>
      </c>
      <c r="T228" s="219">
        <v>5.92</v>
      </c>
      <c r="U228" s="219">
        <v>5.92</v>
      </c>
      <c r="V228" s="219">
        <v>5.92</v>
      </c>
      <c r="W228" s="219">
        <v>5.92</v>
      </c>
      <c r="X228" s="219">
        <v>5.92</v>
      </c>
      <c r="Y228" s="219">
        <v>5.92</v>
      </c>
      <c r="Z228" s="219">
        <v>0.05</v>
      </c>
      <c r="AA228" s="219">
        <v>0.05</v>
      </c>
      <c r="AB228" s="219">
        <v>0.05</v>
      </c>
      <c r="AC228" s="219">
        <v>0.05</v>
      </c>
      <c r="AD228" s="219">
        <v>0.05</v>
      </c>
      <c r="AE228" s="219">
        <v>0.05</v>
      </c>
      <c r="AF228" s="219">
        <v>0.05</v>
      </c>
      <c r="AG228" s="219">
        <v>0.05</v>
      </c>
      <c r="AH228" s="219">
        <v>0.05</v>
      </c>
      <c r="AI228" s="219">
        <v>0.05</v>
      </c>
      <c r="AJ228" s="219">
        <v>0.05</v>
      </c>
      <c r="AK228" s="219">
        <v>0.05</v>
      </c>
      <c r="AL228" s="229" t="s">
        <v>573</v>
      </c>
      <c r="AM228" s="219">
        <f t="shared" si="97"/>
        <v>0</v>
      </c>
      <c r="AN228" s="229" t="s">
        <v>573</v>
      </c>
      <c r="AO228" s="221">
        <f t="shared" si="98"/>
        <v>0</v>
      </c>
      <c r="AP228" s="222" t="s">
        <v>573</v>
      </c>
      <c r="AQ228" s="221">
        <f t="shared" si="99"/>
        <v>0</v>
      </c>
      <c r="AR228" s="222" t="s">
        <v>573</v>
      </c>
      <c r="AS228" s="58">
        <f t="shared" si="100"/>
        <v>0</v>
      </c>
      <c r="AT228" s="222">
        <v>4320</v>
      </c>
      <c r="AU228" s="58">
        <f t="shared" si="101"/>
        <v>216</v>
      </c>
      <c r="AV228" s="222" t="s">
        <v>573</v>
      </c>
      <c r="AW228" s="58">
        <f t="shared" si="102"/>
        <v>0</v>
      </c>
      <c r="AX228" s="251" t="s">
        <v>573</v>
      </c>
      <c r="AY228" s="58">
        <f t="shared" si="103"/>
        <v>0</v>
      </c>
      <c r="AZ228" s="222" t="s">
        <v>573</v>
      </c>
      <c r="BA228" s="58">
        <f t="shared" si="92"/>
        <v>0</v>
      </c>
      <c r="BB228" s="222" t="s">
        <v>573</v>
      </c>
      <c r="BC228" s="58">
        <f t="shared" si="93"/>
        <v>0</v>
      </c>
      <c r="BD228" s="222" t="s">
        <v>573</v>
      </c>
      <c r="BE228" s="58">
        <f t="shared" si="94"/>
        <v>0</v>
      </c>
      <c r="BF228" s="222" t="s">
        <v>573</v>
      </c>
      <c r="BG228" s="58">
        <f t="shared" si="95"/>
        <v>0</v>
      </c>
      <c r="BH228" s="223" t="s">
        <v>573</v>
      </c>
      <c r="BI228" s="58">
        <f t="shared" si="96"/>
        <v>0</v>
      </c>
      <c r="BJ228" s="220">
        <f t="shared" si="104"/>
        <v>4320</v>
      </c>
      <c r="BK228" s="58"/>
      <c r="BL228" s="58" t="s">
        <v>1087</v>
      </c>
      <c r="BM228" s="220" t="s">
        <v>1391</v>
      </c>
      <c r="BN228" s="213" t="s">
        <v>807</v>
      </c>
      <c r="BO228" s="213" t="s">
        <v>1285</v>
      </c>
      <c r="BP228" s="199">
        <v>46022</v>
      </c>
      <c r="BQ228" s="2" t="s">
        <v>1386</v>
      </c>
    </row>
    <row r="229" spans="1:69" ht="15.75" customHeight="1">
      <c r="A229" s="213" t="s">
        <v>788</v>
      </c>
      <c r="B229" s="58" t="s">
        <v>184</v>
      </c>
      <c r="C229" s="58" t="s">
        <v>752</v>
      </c>
      <c r="D229" s="214" t="s">
        <v>789</v>
      </c>
      <c r="E229" s="214" t="s">
        <v>789</v>
      </c>
      <c r="F229" s="215" t="s">
        <v>186</v>
      </c>
      <c r="G229" s="216">
        <v>2016</v>
      </c>
      <c r="H229" s="218" t="s">
        <v>794</v>
      </c>
      <c r="I229" s="218" t="s">
        <v>196</v>
      </c>
      <c r="J229" s="217" t="s">
        <v>890</v>
      </c>
      <c r="K229" s="213" t="s">
        <v>239</v>
      </c>
      <c r="L229" s="213" t="s">
        <v>192</v>
      </c>
      <c r="M229" s="219" t="s">
        <v>1391</v>
      </c>
      <c r="N229" s="219">
        <v>5.05</v>
      </c>
      <c r="O229" s="219">
        <v>5.05</v>
      </c>
      <c r="P229" s="219">
        <v>5.05</v>
      </c>
      <c r="Q229" s="219">
        <v>5.05</v>
      </c>
      <c r="R229" s="219">
        <v>5.05</v>
      </c>
      <c r="S229" s="219">
        <v>5.05</v>
      </c>
      <c r="T229" s="219">
        <v>5.05</v>
      </c>
      <c r="U229" s="219">
        <v>5.05</v>
      </c>
      <c r="V229" s="219">
        <v>5.05</v>
      </c>
      <c r="W229" s="219">
        <v>5.05</v>
      </c>
      <c r="X229" s="219">
        <v>5.05</v>
      </c>
      <c r="Y229" s="219">
        <v>5.05</v>
      </c>
      <c r="Z229" s="219">
        <v>0.05</v>
      </c>
      <c r="AA229" s="219">
        <v>0.05</v>
      </c>
      <c r="AB229" s="219">
        <v>0.05</v>
      </c>
      <c r="AC229" s="219">
        <v>0.05</v>
      </c>
      <c r="AD229" s="219">
        <v>0.05</v>
      </c>
      <c r="AE229" s="219">
        <v>0.05</v>
      </c>
      <c r="AF229" s="219">
        <v>0.05</v>
      </c>
      <c r="AG229" s="219">
        <v>0.05</v>
      </c>
      <c r="AH229" s="219">
        <v>0.05</v>
      </c>
      <c r="AI229" s="219">
        <v>0.05</v>
      </c>
      <c r="AJ229" s="219">
        <v>0.05</v>
      </c>
      <c r="AK229" s="219">
        <v>0.05</v>
      </c>
      <c r="AL229" s="229" t="s">
        <v>573</v>
      </c>
      <c r="AM229" s="219">
        <f t="shared" si="97"/>
        <v>0</v>
      </c>
      <c r="AN229" s="229" t="s">
        <v>573</v>
      </c>
      <c r="AO229" s="221">
        <f t="shared" si="98"/>
        <v>0</v>
      </c>
      <c r="AP229" s="222" t="s">
        <v>573</v>
      </c>
      <c r="AQ229" s="221">
        <f t="shared" si="99"/>
        <v>0</v>
      </c>
      <c r="AR229" s="222" t="s">
        <v>573</v>
      </c>
      <c r="AS229" s="58">
        <f t="shared" si="100"/>
        <v>0</v>
      </c>
      <c r="AT229" s="222" t="s">
        <v>573</v>
      </c>
      <c r="AU229" s="58">
        <f t="shared" si="101"/>
        <v>0</v>
      </c>
      <c r="AV229" s="222" t="s">
        <v>573</v>
      </c>
      <c r="AW229" s="58">
        <f t="shared" si="102"/>
        <v>0</v>
      </c>
      <c r="AX229" s="251" t="s">
        <v>573</v>
      </c>
      <c r="AY229" s="58">
        <f t="shared" si="103"/>
        <v>0</v>
      </c>
      <c r="AZ229" s="222" t="s">
        <v>573</v>
      </c>
      <c r="BA229" s="58">
        <f t="shared" si="92"/>
        <v>0</v>
      </c>
      <c r="BB229" s="222" t="s">
        <v>573</v>
      </c>
      <c r="BC229" s="58">
        <f t="shared" si="93"/>
        <v>0</v>
      </c>
      <c r="BD229" s="222" t="s">
        <v>573</v>
      </c>
      <c r="BE229" s="58">
        <f t="shared" si="94"/>
        <v>0</v>
      </c>
      <c r="BF229" s="222" t="s">
        <v>573</v>
      </c>
      <c r="BG229" s="58">
        <f t="shared" si="95"/>
        <v>0</v>
      </c>
      <c r="BH229" s="223" t="s">
        <v>573</v>
      </c>
      <c r="BI229" s="58">
        <f t="shared" si="96"/>
        <v>0</v>
      </c>
      <c r="BJ229" s="220">
        <f t="shared" si="104"/>
        <v>0</v>
      </c>
      <c r="BK229" s="58"/>
      <c r="BL229" s="58" t="s">
        <v>1088</v>
      </c>
      <c r="BM229" s="220" t="s">
        <v>1391</v>
      </c>
      <c r="BN229" s="213" t="s">
        <v>807</v>
      </c>
      <c r="BO229" s="58" t="s">
        <v>1286</v>
      </c>
      <c r="BP229" s="199">
        <v>46022</v>
      </c>
      <c r="BQ229" s="2" t="s">
        <v>1386</v>
      </c>
    </row>
    <row r="230" spans="1:69" ht="15.75" customHeight="1">
      <c r="A230" s="213" t="s">
        <v>788</v>
      </c>
      <c r="B230" s="58" t="s">
        <v>184</v>
      </c>
      <c r="C230" s="58" t="s">
        <v>752</v>
      </c>
      <c r="D230" s="214" t="s">
        <v>789</v>
      </c>
      <c r="E230" s="214" t="s">
        <v>789</v>
      </c>
      <c r="F230" s="215" t="s">
        <v>186</v>
      </c>
      <c r="G230" s="216">
        <v>2016</v>
      </c>
      <c r="H230" s="218" t="s">
        <v>794</v>
      </c>
      <c r="I230" s="218" t="s">
        <v>196</v>
      </c>
      <c r="J230" s="217" t="s">
        <v>890</v>
      </c>
      <c r="K230" s="213" t="s">
        <v>239</v>
      </c>
      <c r="L230" s="213" t="s">
        <v>192</v>
      </c>
      <c r="M230" s="219" t="s">
        <v>1391</v>
      </c>
      <c r="N230" s="219">
        <v>5.13</v>
      </c>
      <c r="O230" s="219">
        <v>5.13</v>
      </c>
      <c r="P230" s="219">
        <v>5.13</v>
      </c>
      <c r="Q230" s="219">
        <v>5.13</v>
      </c>
      <c r="R230" s="219">
        <v>5.13</v>
      </c>
      <c r="S230" s="219">
        <v>5.13</v>
      </c>
      <c r="T230" s="219">
        <v>5.13</v>
      </c>
      <c r="U230" s="219">
        <v>5.13</v>
      </c>
      <c r="V230" s="219">
        <v>5.13</v>
      </c>
      <c r="W230" s="219">
        <v>5.13</v>
      </c>
      <c r="X230" s="219">
        <v>5.13</v>
      </c>
      <c r="Y230" s="219">
        <v>5.13</v>
      </c>
      <c r="Z230" s="219">
        <v>0.05</v>
      </c>
      <c r="AA230" s="219">
        <v>0.05</v>
      </c>
      <c r="AB230" s="219">
        <v>0.05</v>
      </c>
      <c r="AC230" s="219">
        <v>0.05</v>
      </c>
      <c r="AD230" s="219">
        <v>0.05</v>
      </c>
      <c r="AE230" s="219">
        <v>0.05</v>
      </c>
      <c r="AF230" s="219">
        <v>0.05</v>
      </c>
      <c r="AG230" s="219">
        <v>0.05</v>
      </c>
      <c r="AH230" s="219">
        <v>0.05</v>
      </c>
      <c r="AI230" s="219">
        <v>0.05</v>
      </c>
      <c r="AJ230" s="219">
        <v>0.05</v>
      </c>
      <c r="AK230" s="219">
        <v>0.05</v>
      </c>
      <c r="AL230" s="229" t="s">
        <v>573</v>
      </c>
      <c r="AM230" s="219">
        <f t="shared" si="97"/>
        <v>0</v>
      </c>
      <c r="AN230" s="229" t="s">
        <v>573</v>
      </c>
      <c r="AO230" s="221">
        <f t="shared" si="98"/>
        <v>0</v>
      </c>
      <c r="AP230" s="222" t="s">
        <v>573</v>
      </c>
      <c r="AQ230" s="221">
        <f t="shared" si="99"/>
        <v>0</v>
      </c>
      <c r="AR230" s="222" t="s">
        <v>573</v>
      </c>
      <c r="AS230" s="58">
        <f t="shared" si="100"/>
        <v>0</v>
      </c>
      <c r="AT230" s="222" t="s">
        <v>573</v>
      </c>
      <c r="AU230" s="58">
        <f t="shared" si="101"/>
        <v>0</v>
      </c>
      <c r="AV230" s="222" t="s">
        <v>573</v>
      </c>
      <c r="AW230" s="58">
        <f t="shared" si="102"/>
        <v>0</v>
      </c>
      <c r="AX230" s="251" t="s">
        <v>573</v>
      </c>
      <c r="AY230" s="58">
        <f t="shared" si="103"/>
        <v>0</v>
      </c>
      <c r="AZ230" s="222" t="s">
        <v>573</v>
      </c>
      <c r="BA230" s="58">
        <f t="shared" si="92"/>
        <v>0</v>
      </c>
      <c r="BB230" s="222" t="s">
        <v>573</v>
      </c>
      <c r="BC230" s="58">
        <f t="shared" si="93"/>
        <v>0</v>
      </c>
      <c r="BD230" s="222" t="s">
        <v>573</v>
      </c>
      <c r="BE230" s="58">
        <f t="shared" si="94"/>
        <v>0</v>
      </c>
      <c r="BF230" s="222" t="s">
        <v>573</v>
      </c>
      <c r="BG230" s="58">
        <f t="shared" si="95"/>
        <v>0</v>
      </c>
      <c r="BH230" s="223" t="s">
        <v>573</v>
      </c>
      <c r="BI230" s="58">
        <f t="shared" si="96"/>
        <v>0</v>
      </c>
      <c r="BJ230" s="220">
        <f t="shared" si="104"/>
        <v>0</v>
      </c>
      <c r="BK230" s="58"/>
      <c r="BL230" s="58" t="s">
        <v>1089</v>
      </c>
      <c r="BM230" s="220" t="s">
        <v>1391</v>
      </c>
      <c r="BN230" s="213" t="s">
        <v>807</v>
      </c>
      <c r="BO230" s="58" t="s">
        <v>1287</v>
      </c>
      <c r="BP230" s="199">
        <v>46022</v>
      </c>
      <c r="BQ230" s="2" t="s">
        <v>1386</v>
      </c>
    </row>
    <row r="231" spans="1:69" ht="15.75" customHeight="1">
      <c r="A231" s="213" t="s">
        <v>788</v>
      </c>
      <c r="B231" s="58" t="s">
        <v>184</v>
      </c>
      <c r="C231" s="58" t="s">
        <v>752</v>
      </c>
      <c r="D231" s="214" t="s">
        <v>789</v>
      </c>
      <c r="E231" s="214" t="s">
        <v>789</v>
      </c>
      <c r="F231" s="215" t="s">
        <v>186</v>
      </c>
      <c r="G231" s="216">
        <v>2016</v>
      </c>
      <c r="H231" s="218" t="s">
        <v>794</v>
      </c>
      <c r="I231" s="218" t="s">
        <v>196</v>
      </c>
      <c r="J231" s="217" t="s">
        <v>890</v>
      </c>
      <c r="K231" s="213" t="s">
        <v>239</v>
      </c>
      <c r="L231" s="213" t="s">
        <v>192</v>
      </c>
      <c r="M231" s="219" t="s">
        <v>1391</v>
      </c>
      <c r="N231" s="219">
        <v>5.54</v>
      </c>
      <c r="O231" s="219">
        <v>5.54</v>
      </c>
      <c r="P231" s="219">
        <v>5.54</v>
      </c>
      <c r="Q231" s="219">
        <v>5.54</v>
      </c>
      <c r="R231" s="219">
        <v>5.54</v>
      </c>
      <c r="S231" s="219">
        <v>5.54</v>
      </c>
      <c r="T231" s="219">
        <v>5.54</v>
      </c>
      <c r="U231" s="219">
        <v>5.54</v>
      </c>
      <c r="V231" s="219">
        <v>5.54</v>
      </c>
      <c r="W231" s="219">
        <v>5.54</v>
      </c>
      <c r="X231" s="219">
        <v>5.54</v>
      </c>
      <c r="Y231" s="219">
        <v>5.54</v>
      </c>
      <c r="Z231" s="219">
        <v>0.05</v>
      </c>
      <c r="AA231" s="219">
        <v>0.05</v>
      </c>
      <c r="AB231" s="219">
        <v>0.05</v>
      </c>
      <c r="AC231" s="219">
        <v>0.05</v>
      </c>
      <c r="AD231" s="219">
        <v>0.05</v>
      </c>
      <c r="AE231" s="219">
        <v>0.05</v>
      </c>
      <c r="AF231" s="219">
        <v>0.05</v>
      </c>
      <c r="AG231" s="219">
        <v>0.05</v>
      </c>
      <c r="AH231" s="219">
        <v>0.05</v>
      </c>
      <c r="AI231" s="219">
        <v>0.05</v>
      </c>
      <c r="AJ231" s="219">
        <v>0.05</v>
      </c>
      <c r="AK231" s="219">
        <v>0.05</v>
      </c>
      <c r="AL231" s="229" t="s">
        <v>573</v>
      </c>
      <c r="AM231" s="219">
        <f t="shared" si="97"/>
        <v>0</v>
      </c>
      <c r="AN231" s="229" t="s">
        <v>573</v>
      </c>
      <c r="AO231" s="221">
        <f t="shared" si="98"/>
        <v>0</v>
      </c>
      <c r="AP231" s="222" t="s">
        <v>573</v>
      </c>
      <c r="AQ231" s="221">
        <f t="shared" si="99"/>
        <v>0</v>
      </c>
      <c r="AR231" s="222" t="s">
        <v>573</v>
      </c>
      <c r="AS231" s="58">
        <f t="shared" si="100"/>
        <v>0</v>
      </c>
      <c r="AT231" s="222" t="s">
        <v>573</v>
      </c>
      <c r="AU231" s="58">
        <f t="shared" si="101"/>
        <v>0</v>
      </c>
      <c r="AV231" s="222" t="s">
        <v>573</v>
      </c>
      <c r="AW231" s="58">
        <f t="shared" si="102"/>
        <v>0</v>
      </c>
      <c r="AX231" s="251" t="s">
        <v>573</v>
      </c>
      <c r="AY231" s="58">
        <f t="shared" si="103"/>
        <v>0</v>
      </c>
      <c r="AZ231" s="222" t="s">
        <v>573</v>
      </c>
      <c r="BA231" s="58">
        <f t="shared" si="92"/>
        <v>0</v>
      </c>
      <c r="BB231" s="222" t="s">
        <v>573</v>
      </c>
      <c r="BC231" s="58">
        <f t="shared" si="93"/>
        <v>0</v>
      </c>
      <c r="BD231" s="222" t="s">
        <v>573</v>
      </c>
      <c r="BE231" s="58">
        <f t="shared" si="94"/>
        <v>0</v>
      </c>
      <c r="BF231" s="222" t="s">
        <v>573</v>
      </c>
      <c r="BG231" s="58">
        <f t="shared" si="95"/>
        <v>0</v>
      </c>
      <c r="BH231" s="223" t="s">
        <v>573</v>
      </c>
      <c r="BI231" s="58">
        <f t="shared" si="96"/>
        <v>0</v>
      </c>
      <c r="BJ231" s="220">
        <f t="shared" si="104"/>
        <v>0</v>
      </c>
      <c r="BK231" s="58"/>
      <c r="BL231" s="58" t="s">
        <v>1090</v>
      </c>
      <c r="BM231" s="220" t="s">
        <v>1391</v>
      </c>
      <c r="BN231" s="213" t="s">
        <v>807</v>
      </c>
      <c r="BO231" s="58" t="s">
        <v>1288</v>
      </c>
      <c r="BP231" s="199">
        <v>46022</v>
      </c>
      <c r="BQ231" s="2" t="s">
        <v>1386</v>
      </c>
    </row>
    <row r="232" spans="1:69" ht="15.75" customHeight="1">
      <c r="A232" s="213" t="s">
        <v>788</v>
      </c>
      <c r="B232" s="58" t="s">
        <v>184</v>
      </c>
      <c r="C232" s="58" t="s">
        <v>752</v>
      </c>
      <c r="D232" s="214" t="s">
        <v>789</v>
      </c>
      <c r="E232" s="214" t="s">
        <v>789</v>
      </c>
      <c r="F232" s="215" t="s">
        <v>186</v>
      </c>
      <c r="G232" s="216">
        <v>2016</v>
      </c>
      <c r="H232" s="218" t="s">
        <v>794</v>
      </c>
      <c r="I232" s="218" t="s">
        <v>196</v>
      </c>
      <c r="J232" s="217" t="s">
        <v>890</v>
      </c>
      <c r="K232" s="213" t="s">
        <v>239</v>
      </c>
      <c r="L232" s="213" t="s">
        <v>192</v>
      </c>
      <c r="M232" s="219" t="s">
        <v>1391</v>
      </c>
      <c r="N232" s="219">
        <v>4.9800000000000004</v>
      </c>
      <c r="O232" s="219">
        <v>4.9800000000000004</v>
      </c>
      <c r="P232" s="219">
        <v>4.9800000000000004</v>
      </c>
      <c r="Q232" s="219">
        <v>4.9800000000000004</v>
      </c>
      <c r="R232" s="219">
        <v>4.9800000000000004</v>
      </c>
      <c r="S232" s="219">
        <v>4.9800000000000004</v>
      </c>
      <c r="T232" s="219">
        <v>4.9800000000000004</v>
      </c>
      <c r="U232" s="219">
        <v>4.9800000000000004</v>
      </c>
      <c r="V232" s="219">
        <v>4.9800000000000004</v>
      </c>
      <c r="W232" s="219">
        <v>4.9800000000000004</v>
      </c>
      <c r="X232" s="219">
        <v>4.9800000000000004</v>
      </c>
      <c r="Y232" s="219">
        <v>4.9800000000000004</v>
      </c>
      <c r="Z232" s="219">
        <v>0.05</v>
      </c>
      <c r="AA232" s="219">
        <v>0.05</v>
      </c>
      <c r="AB232" s="219">
        <v>0.05</v>
      </c>
      <c r="AC232" s="219">
        <v>0.05</v>
      </c>
      <c r="AD232" s="219">
        <v>0.05</v>
      </c>
      <c r="AE232" s="219">
        <v>0.05</v>
      </c>
      <c r="AF232" s="219">
        <v>0.05</v>
      </c>
      <c r="AG232" s="219">
        <v>0.05</v>
      </c>
      <c r="AH232" s="219">
        <v>0.05</v>
      </c>
      <c r="AI232" s="219">
        <v>0.05</v>
      </c>
      <c r="AJ232" s="219">
        <v>0.05</v>
      </c>
      <c r="AK232" s="219">
        <v>0.05</v>
      </c>
      <c r="AL232" s="229" t="s">
        <v>573</v>
      </c>
      <c r="AM232" s="219">
        <f t="shared" si="97"/>
        <v>0</v>
      </c>
      <c r="AN232" s="229" t="s">
        <v>573</v>
      </c>
      <c r="AO232" s="221">
        <f t="shared" si="98"/>
        <v>0</v>
      </c>
      <c r="AP232" s="222" t="s">
        <v>573</v>
      </c>
      <c r="AQ232" s="221">
        <f t="shared" si="99"/>
        <v>0</v>
      </c>
      <c r="AR232" s="222" t="s">
        <v>573</v>
      </c>
      <c r="AS232" s="58">
        <f t="shared" si="100"/>
        <v>0</v>
      </c>
      <c r="AT232" s="222" t="s">
        <v>573</v>
      </c>
      <c r="AU232" s="58">
        <f t="shared" si="101"/>
        <v>0</v>
      </c>
      <c r="AV232" s="222" t="s">
        <v>573</v>
      </c>
      <c r="AW232" s="58">
        <f t="shared" si="102"/>
        <v>0</v>
      </c>
      <c r="AX232" s="251" t="s">
        <v>573</v>
      </c>
      <c r="AY232" s="58">
        <f t="shared" si="103"/>
        <v>0</v>
      </c>
      <c r="AZ232" s="222" t="s">
        <v>573</v>
      </c>
      <c r="BA232" s="58">
        <f t="shared" si="92"/>
        <v>0</v>
      </c>
      <c r="BB232" s="222" t="s">
        <v>573</v>
      </c>
      <c r="BC232" s="58">
        <f t="shared" si="93"/>
        <v>0</v>
      </c>
      <c r="BD232" s="222" t="s">
        <v>573</v>
      </c>
      <c r="BE232" s="58">
        <f t="shared" si="94"/>
        <v>0</v>
      </c>
      <c r="BF232" s="222" t="s">
        <v>573</v>
      </c>
      <c r="BG232" s="58">
        <f t="shared" si="95"/>
        <v>0</v>
      </c>
      <c r="BH232" s="223" t="s">
        <v>573</v>
      </c>
      <c r="BI232" s="58">
        <f t="shared" si="96"/>
        <v>0</v>
      </c>
      <c r="BJ232" s="220">
        <f t="shared" si="104"/>
        <v>0</v>
      </c>
      <c r="BK232" s="58"/>
      <c r="BL232" s="58" t="s">
        <v>1091</v>
      </c>
      <c r="BM232" s="220" t="s">
        <v>1391</v>
      </c>
      <c r="BN232" s="213" t="s">
        <v>807</v>
      </c>
      <c r="BO232" s="58" t="s">
        <v>1289</v>
      </c>
      <c r="BP232" s="199">
        <v>46022</v>
      </c>
      <c r="BQ232" s="2" t="s">
        <v>1386</v>
      </c>
    </row>
    <row r="233" spans="1:69" ht="15.75" customHeight="1">
      <c r="A233" s="213" t="s">
        <v>788</v>
      </c>
      <c r="B233" s="58" t="s">
        <v>184</v>
      </c>
      <c r="C233" s="58" t="s">
        <v>752</v>
      </c>
      <c r="D233" s="214" t="s">
        <v>789</v>
      </c>
      <c r="E233" s="214" t="s">
        <v>789</v>
      </c>
      <c r="F233" s="215" t="s">
        <v>186</v>
      </c>
      <c r="G233" s="216">
        <v>2016</v>
      </c>
      <c r="H233" s="218" t="s">
        <v>794</v>
      </c>
      <c r="I233" s="218" t="s">
        <v>196</v>
      </c>
      <c r="J233" s="217" t="s">
        <v>890</v>
      </c>
      <c r="K233" s="213" t="s">
        <v>239</v>
      </c>
      <c r="L233" s="213" t="s">
        <v>192</v>
      </c>
      <c r="M233" s="219" t="s">
        <v>1391</v>
      </c>
      <c r="N233" s="219">
        <v>5.27</v>
      </c>
      <c r="O233" s="219">
        <v>5.27</v>
      </c>
      <c r="P233" s="219">
        <v>5.27</v>
      </c>
      <c r="Q233" s="219">
        <v>5.27</v>
      </c>
      <c r="R233" s="219">
        <v>5.27</v>
      </c>
      <c r="S233" s="219">
        <v>5.27</v>
      </c>
      <c r="T233" s="219">
        <v>5.27</v>
      </c>
      <c r="U233" s="219">
        <v>5.27</v>
      </c>
      <c r="V233" s="219">
        <v>5.27</v>
      </c>
      <c r="W233" s="219">
        <v>5.27</v>
      </c>
      <c r="X233" s="219">
        <v>5.27</v>
      </c>
      <c r="Y233" s="219">
        <v>5.27</v>
      </c>
      <c r="Z233" s="219">
        <v>0.05</v>
      </c>
      <c r="AA233" s="219">
        <v>0.05</v>
      </c>
      <c r="AB233" s="219">
        <v>0.05</v>
      </c>
      <c r="AC233" s="219">
        <v>0.05</v>
      </c>
      <c r="AD233" s="219">
        <v>0.05</v>
      </c>
      <c r="AE233" s="219">
        <v>0.05</v>
      </c>
      <c r="AF233" s="219">
        <v>0.05</v>
      </c>
      <c r="AG233" s="219">
        <v>0.05</v>
      </c>
      <c r="AH233" s="219">
        <v>0.05</v>
      </c>
      <c r="AI233" s="219">
        <v>0.05</v>
      </c>
      <c r="AJ233" s="219">
        <v>0.05</v>
      </c>
      <c r="AK233" s="219">
        <v>0.05</v>
      </c>
      <c r="AL233" s="229" t="s">
        <v>573</v>
      </c>
      <c r="AM233" s="219">
        <f t="shared" si="97"/>
        <v>0</v>
      </c>
      <c r="AN233" s="229" t="s">
        <v>573</v>
      </c>
      <c r="AO233" s="221">
        <f t="shared" si="98"/>
        <v>0</v>
      </c>
      <c r="AP233" s="222" t="s">
        <v>573</v>
      </c>
      <c r="AQ233" s="221">
        <f t="shared" si="99"/>
        <v>0</v>
      </c>
      <c r="AR233" s="222" t="s">
        <v>573</v>
      </c>
      <c r="AS233" s="58">
        <f t="shared" si="100"/>
        <v>0</v>
      </c>
      <c r="AT233" s="222" t="s">
        <v>573</v>
      </c>
      <c r="AU233" s="58">
        <f t="shared" si="101"/>
        <v>0</v>
      </c>
      <c r="AV233" s="222" t="s">
        <v>573</v>
      </c>
      <c r="AW233" s="58">
        <f t="shared" si="102"/>
        <v>0</v>
      </c>
      <c r="AX233" s="251" t="s">
        <v>573</v>
      </c>
      <c r="AY233" s="58">
        <f t="shared" si="103"/>
        <v>0</v>
      </c>
      <c r="AZ233" s="222" t="s">
        <v>573</v>
      </c>
      <c r="BA233" s="58">
        <f t="shared" si="92"/>
        <v>0</v>
      </c>
      <c r="BB233" s="222" t="s">
        <v>573</v>
      </c>
      <c r="BC233" s="58">
        <f t="shared" si="93"/>
        <v>0</v>
      </c>
      <c r="BD233" s="222" t="s">
        <v>573</v>
      </c>
      <c r="BE233" s="58">
        <f t="shared" si="94"/>
        <v>0</v>
      </c>
      <c r="BF233" s="222" t="s">
        <v>573</v>
      </c>
      <c r="BG233" s="58">
        <f t="shared" si="95"/>
        <v>0</v>
      </c>
      <c r="BH233" s="223" t="s">
        <v>573</v>
      </c>
      <c r="BI233" s="58">
        <f t="shared" si="96"/>
        <v>0</v>
      </c>
      <c r="BJ233" s="220">
        <f t="shared" si="104"/>
        <v>0</v>
      </c>
      <c r="BK233" s="58"/>
      <c r="BL233" s="58" t="s">
        <v>1092</v>
      </c>
      <c r="BM233" s="220" t="s">
        <v>1391</v>
      </c>
      <c r="BN233" s="213" t="s">
        <v>807</v>
      </c>
      <c r="BO233" s="58" t="s">
        <v>1290</v>
      </c>
      <c r="BP233" s="199">
        <v>46022</v>
      </c>
      <c r="BQ233" s="2" t="s">
        <v>1386</v>
      </c>
    </row>
    <row r="234" spans="1:69" ht="15.75" customHeight="1">
      <c r="A234" s="213" t="s">
        <v>788</v>
      </c>
      <c r="B234" s="58" t="s">
        <v>184</v>
      </c>
      <c r="C234" s="58" t="s">
        <v>752</v>
      </c>
      <c r="D234" s="214" t="s">
        <v>789</v>
      </c>
      <c r="E234" s="214" t="s">
        <v>789</v>
      </c>
      <c r="F234" s="215" t="s">
        <v>186</v>
      </c>
      <c r="G234" s="216">
        <v>2016</v>
      </c>
      <c r="H234" s="218" t="s">
        <v>815</v>
      </c>
      <c r="I234" s="218" t="s">
        <v>196</v>
      </c>
      <c r="J234" s="217" t="s">
        <v>890</v>
      </c>
      <c r="K234" s="213" t="s">
        <v>816</v>
      </c>
      <c r="L234" s="213" t="s">
        <v>192</v>
      </c>
      <c r="M234" s="219" t="s">
        <v>1392</v>
      </c>
      <c r="N234" s="219">
        <v>5.24</v>
      </c>
      <c r="O234" s="219">
        <v>5.24</v>
      </c>
      <c r="P234" s="219">
        <v>5.24</v>
      </c>
      <c r="Q234" s="219">
        <v>5.24</v>
      </c>
      <c r="R234" s="219">
        <v>5.24</v>
      </c>
      <c r="S234" s="219">
        <v>5.24</v>
      </c>
      <c r="T234" s="219">
        <v>5.24</v>
      </c>
      <c r="U234" s="219">
        <v>5.24</v>
      </c>
      <c r="V234" s="219">
        <v>5.24</v>
      </c>
      <c r="W234" s="219">
        <v>5.24</v>
      </c>
      <c r="X234" s="219">
        <v>5.24</v>
      </c>
      <c r="Y234" s="219">
        <v>5.24</v>
      </c>
      <c r="Z234" s="219">
        <v>0.05</v>
      </c>
      <c r="AA234" s="219">
        <v>0.05</v>
      </c>
      <c r="AB234" s="219">
        <v>0.05</v>
      </c>
      <c r="AC234" s="219">
        <v>0.05</v>
      </c>
      <c r="AD234" s="219">
        <v>0.05</v>
      </c>
      <c r="AE234" s="219">
        <v>0.05</v>
      </c>
      <c r="AF234" s="219">
        <v>0.05</v>
      </c>
      <c r="AG234" s="219">
        <v>0.05</v>
      </c>
      <c r="AH234" s="219">
        <v>0.05</v>
      </c>
      <c r="AI234" s="219">
        <v>0.05</v>
      </c>
      <c r="AJ234" s="219">
        <v>0.05</v>
      </c>
      <c r="AK234" s="219">
        <v>0.05</v>
      </c>
      <c r="AL234" s="229" t="s">
        <v>573</v>
      </c>
      <c r="AM234" s="219">
        <f t="shared" si="97"/>
        <v>0</v>
      </c>
      <c r="AN234" s="229" t="s">
        <v>573</v>
      </c>
      <c r="AO234" s="221">
        <f t="shared" si="98"/>
        <v>0</v>
      </c>
      <c r="AP234" s="222" t="s">
        <v>573</v>
      </c>
      <c r="AQ234" s="221">
        <f t="shared" si="99"/>
        <v>0</v>
      </c>
      <c r="AR234" s="222" t="s">
        <v>573</v>
      </c>
      <c r="AS234" s="58">
        <f t="shared" si="100"/>
        <v>0</v>
      </c>
      <c r="AT234" s="222" t="s">
        <v>573</v>
      </c>
      <c r="AU234" s="58">
        <f t="shared" si="101"/>
        <v>0</v>
      </c>
      <c r="AV234" s="222" t="s">
        <v>573</v>
      </c>
      <c r="AW234" s="58">
        <f t="shared" si="102"/>
        <v>0</v>
      </c>
      <c r="AX234" s="251" t="s">
        <v>573</v>
      </c>
      <c r="AY234" s="58">
        <f t="shared" si="103"/>
        <v>0</v>
      </c>
      <c r="AZ234" s="222" t="s">
        <v>573</v>
      </c>
      <c r="BA234" s="58">
        <f t="shared" si="92"/>
        <v>0</v>
      </c>
      <c r="BB234" s="222" t="s">
        <v>573</v>
      </c>
      <c r="BC234" s="58">
        <f t="shared" si="93"/>
        <v>0</v>
      </c>
      <c r="BD234" s="222" t="s">
        <v>573</v>
      </c>
      <c r="BE234" s="58">
        <f t="shared" si="94"/>
        <v>0</v>
      </c>
      <c r="BF234" s="222" t="s">
        <v>573</v>
      </c>
      <c r="BG234" s="58">
        <f t="shared" si="95"/>
        <v>0</v>
      </c>
      <c r="BH234" s="223" t="s">
        <v>573</v>
      </c>
      <c r="BI234" s="58">
        <f t="shared" si="96"/>
        <v>0</v>
      </c>
      <c r="BJ234" s="220">
        <f t="shared" si="104"/>
        <v>0</v>
      </c>
      <c r="BK234" s="58"/>
      <c r="BL234" s="58" t="s">
        <v>1085</v>
      </c>
      <c r="BM234" s="220" t="s">
        <v>1392</v>
      </c>
      <c r="BN234" s="213" t="s">
        <v>1347</v>
      </c>
      <c r="BO234" s="58" t="s">
        <v>817</v>
      </c>
      <c r="BP234" s="199">
        <v>45838</v>
      </c>
      <c r="BQ234" s="2" t="s">
        <v>1386</v>
      </c>
    </row>
    <row r="235" spans="1:69" ht="15.75" customHeight="1">
      <c r="A235" s="213" t="s">
        <v>788</v>
      </c>
      <c r="B235" s="58" t="s">
        <v>184</v>
      </c>
      <c r="C235" s="58" t="s">
        <v>752</v>
      </c>
      <c r="D235" s="214" t="s">
        <v>789</v>
      </c>
      <c r="E235" s="214" t="s">
        <v>789</v>
      </c>
      <c r="F235" s="215" t="s">
        <v>186</v>
      </c>
      <c r="G235" s="216">
        <v>2016</v>
      </c>
      <c r="H235" s="218" t="s">
        <v>818</v>
      </c>
      <c r="I235" s="218" t="s">
        <v>196</v>
      </c>
      <c r="J235" s="217" t="s">
        <v>890</v>
      </c>
      <c r="K235" s="213" t="s">
        <v>221</v>
      </c>
      <c r="L235" s="213" t="s">
        <v>192</v>
      </c>
      <c r="M235" s="219" t="s">
        <v>1392</v>
      </c>
      <c r="N235" s="219">
        <v>3.87</v>
      </c>
      <c r="O235" s="219">
        <v>3.87</v>
      </c>
      <c r="P235" s="219">
        <v>3.72</v>
      </c>
      <c r="Q235" s="219">
        <v>3.87</v>
      </c>
      <c r="R235" s="219">
        <v>3.72</v>
      </c>
      <c r="S235" s="219">
        <v>3.72</v>
      </c>
      <c r="T235" s="219">
        <v>3.72</v>
      </c>
      <c r="U235" s="219">
        <v>3.72</v>
      </c>
      <c r="V235" s="219">
        <v>3.87</v>
      </c>
      <c r="W235" s="219">
        <v>3.72</v>
      </c>
      <c r="X235" s="219">
        <v>3.72</v>
      </c>
      <c r="Y235" s="219">
        <v>3.87</v>
      </c>
      <c r="Z235" s="219">
        <v>0.04</v>
      </c>
      <c r="AA235" s="219">
        <v>0.04</v>
      </c>
      <c r="AB235" s="219">
        <v>0.04</v>
      </c>
      <c r="AC235" s="219">
        <v>0.04</v>
      </c>
      <c r="AD235" s="219">
        <v>0.04</v>
      </c>
      <c r="AE235" s="219">
        <v>0.04</v>
      </c>
      <c r="AF235" s="219">
        <v>0.04</v>
      </c>
      <c r="AG235" s="219">
        <v>0.04</v>
      </c>
      <c r="AH235" s="219">
        <v>0.04</v>
      </c>
      <c r="AI235" s="219">
        <v>0.04</v>
      </c>
      <c r="AJ235" s="219">
        <v>0.04</v>
      </c>
      <c r="AK235" s="219">
        <v>0.04</v>
      </c>
      <c r="AL235" s="229">
        <v>1500</v>
      </c>
      <c r="AM235" s="219">
        <f t="shared" si="97"/>
        <v>60</v>
      </c>
      <c r="AN235" s="229">
        <v>2100</v>
      </c>
      <c r="AO235" s="221">
        <f t="shared" si="98"/>
        <v>84</v>
      </c>
      <c r="AP235" s="222">
        <v>3600</v>
      </c>
      <c r="AQ235" s="221">
        <f t="shared" si="99"/>
        <v>144</v>
      </c>
      <c r="AR235" s="222" t="s">
        <v>573</v>
      </c>
      <c r="AS235" s="58">
        <f t="shared" si="100"/>
        <v>0</v>
      </c>
      <c r="AT235" s="222">
        <v>3600</v>
      </c>
      <c r="AU235" s="58">
        <f t="shared" si="101"/>
        <v>144</v>
      </c>
      <c r="AV235" s="222">
        <v>7200</v>
      </c>
      <c r="AW235" s="58">
        <f t="shared" si="102"/>
        <v>288</v>
      </c>
      <c r="AX235" s="251">
        <v>7200</v>
      </c>
      <c r="AY235" s="58">
        <f t="shared" si="103"/>
        <v>288</v>
      </c>
      <c r="AZ235" s="222">
        <v>3600</v>
      </c>
      <c r="BA235" s="58">
        <f t="shared" si="92"/>
        <v>144</v>
      </c>
      <c r="BB235" s="222" t="s">
        <v>573</v>
      </c>
      <c r="BC235" s="58">
        <f t="shared" si="93"/>
        <v>0</v>
      </c>
      <c r="BD235" s="222">
        <v>3600</v>
      </c>
      <c r="BE235" s="58">
        <f t="shared" si="94"/>
        <v>144</v>
      </c>
      <c r="BF235" s="222">
        <v>3600</v>
      </c>
      <c r="BG235" s="58">
        <f t="shared" si="95"/>
        <v>144</v>
      </c>
      <c r="BH235" s="223" t="s">
        <v>573</v>
      </c>
      <c r="BI235" s="58">
        <f t="shared" si="96"/>
        <v>0</v>
      </c>
      <c r="BJ235" s="220">
        <f t="shared" si="104"/>
        <v>36000</v>
      </c>
      <c r="BK235" s="58"/>
      <c r="BL235" s="58" t="s">
        <v>1307</v>
      </c>
      <c r="BM235" s="220" t="s">
        <v>1392</v>
      </c>
      <c r="BN235" s="213" t="s">
        <v>1347</v>
      </c>
      <c r="BO235" s="58" t="s">
        <v>819</v>
      </c>
      <c r="BP235" s="199">
        <v>45838</v>
      </c>
      <c r="BQ235" s="2" t="s">
        <v>1386</v>
      </c>
    </row>
    <row r="236" spans="1:69" ht="15.75" customHeight="1">
      <c r="A236" s="213" t="s">
        <v>788</v>
      </c>
      <c r="B236" s="58" t="s">
        <v>184</v>
      </c>
      <c r="C236" s="58" t="s">
        <v>752</v>
      </c>
      <c r="D236" s="214" t="s">
        <v>789</v>
      </c>
      <c r="E236" s="214" t="s">
        <v>789</v>
      </c>
      <c r="F236" s="215" t="s">
        <v>186</v>
      </c>
      <c r="G236" s="216">
        <v>2023</v>
      </c>
      <c r="H236" s="213" t="s">
        <v>801</v>
      </c>
      <c r="I236" s="218" t="s">
        <v>196</v>
      </c>
      <c r="J236" s="217" t="s">
        <v>890</v>
      </c>
      <c r="K236" s="213" t="s">
        <v>221</v>
      </c>
      <c r="L236" s="213" t="s">
        <v>192</v>
      </c>
      <c r="M236" s="219" t="s">
        <v>1391</v>
      </c>
      <c r="N236" s="219">
        <v>4.2199999999999989</v>
      </c>
      <c r="O236" s="219">
        <v>4.2199999999999989</v>
      </c>
      <c r="P236" s="219">
        <v>4.2199999999999989</v>
      </c>
      <c r="Q236" s="219">
        <v>4.22</v>
      </c>
      <c r="R236" s="219">
        <v>4.22</v>
      </c>
      <c r="S236" s="219">
        <v>4.22</v>
      </c>
      <c r="T236" s="219">
        <v>4.22</v>
      </c>
      <c r="U236" s="219">
        <v>4.22</v>
      </c>
      <c r="V236" s="219">
        <v>4.22</v>
      </c>
      <c r="W236" s="219">
        <v>4.22</v>
      </c>
      <c r="X236" s="219">
        <v>4.22</v>
      </c>
      <c r="Y236" s="219">
        <v>4.22</v>
      </c>
      <c r="Z236" s="219">
        <v>7.0000000000000007E-2</v>
      </c>
      <c r="AA236" s="219">
        <v>7.0000000000000007E-2</v>
      </c>
      <c r="AB236" s="219">
        <v>7.0000000000000007E-2</v>
      </c>
      <c r="AC236" s="219">
        <v>7.0000000000000007E-2</v>
      </c>
      <c r="AD236" s="219">
        <v>7.0000000000000007E-2</v>
      </c>
      <c r="AE236" s="219">
        <v>7.0000000000000007E-2</v>
      </c>
      <c r="AF236" s="219">
        <v>7.0000000000000007E-2</v>
      </c>
      <c r="AG236" s="219">
        <v>7.0000000000000007E-2</v>
      </c>
      <c r="AH236" s="219">
        <v>7.0000000000000007E-2</v>
      </c>
      <c r="AI236" s="219">
        <v>7.0000000000000007E-2</v>
      </c>
      <c r="AJ236" s="219">
        <v>7.0000000000000007E-2</v>
      </c>
      <c r="AK236" s="219">
        <v>7.0000000000000007E-2</v>
      </c>
      <c r="AL236" s="229" t="s">
        <v>573</v>
      </c>
      <c r="AM236" s="219">
        <f t="shared" si="97"/>
        <v>0</v>
      </c>
      <c r="AN236" s="229" t="s">
        <v>573</v>
      </c>
      <c r="AO236" s="221">
        <f t="shared" si="98"/>
        <v>0</v>
      </c>
      <c r="AP236" s="222" t="s">
        <v>573</v>
      </c>
      <c r="AQ236" s="221">
        <f t="shared" si="99"/>
        <v>0</v>
      </c>
      <c r="AR236" s="222" t="s">
        <v>573</v>
      </c>
      <c r="AS236" s="58">
        <f t="shared" si="100"/>
        <v>0</v>
      </c>
      <c r="AT236" s="222" t="s">
        <v>573</v>
      </c>
      <c r="AU236" s="58">
        <f t="shared" si="101"/>
        <v>0</v>
      </c>
      <c r="AV236" s="222" t="s">
        <v>573</v>
      </c>
      <c r="AW236" s="58">
        <f t="shared" si="102"/>
        <v>0</v>
      </c>
      <c r="AX236" s="251" t="s">
        <v>573</v>
      </c>
      <c r="AY236" s="58">
        <f t="shared" si="103"/>
        <v>0</v>
      </c>
      <c r="AZ236" s="222">
        <v>5760</v>
      </c>
      <c r="BA236" s="58">
        <f t="shared" si="92"/>
        <v>403.20000000000005</v>
      </c>
      <c r="BB236" s="222" t="s">
        <v>573</v>
      </c>
      <c r="BC236" s="58">
        <f t="shared" si="93"/>
        <v>0</v>
      </c>
      <c r="BD236" s="222">
        <v>2880</v>
      </c>
      <c r="BE236" s="58">
        <f t="shared" si="94"/>
        <v>201.60000000000002</v>
      </c>
      <c r="BF236" s="222">
        <v>2880</v>
      </c>
      <c r="BG236" s="58">
        <f t="shared" si="95"/>
        <v>201.60000000000002</v>
      </c>
      <c r="BH236" s="223" t="s">
        <v>573</v>
      </c>
      <c r="BI236" s="58">
        <f t="shared" si="96"/>
        <v>0</v>
      </c>
      <c r="BJ236" s="220">
        <f t="shared" si="104"/>
        <v>11520</v>
      </c>
      <c r="BK236" s="58"/>
      <c r="BL236" s="58" t="s">
        <v>1093</v>
      </c>
      <c r="BM236" s="220" t="s">
        <v>1391</v>
      </c>
      <c r="BN236" s="213" t="s">
        <v>197</v>
      </c>
      <c r="BO236" s="58" t="s">
        <v>1291</v>
      </c>
      <c r="BP236" s="199">
        <v>45596</v>
      </c>
      <c r="BQ236" s="2" t="s">
        <v>1386</v>
      </c>
    </row>
    <row r="237" spans="1:69" ht="15.75" customHeight="1">
      <c r="A237" s="213" t="s">
        <v>788</v>
      </c>
      <c r="B237" s="58" t="s">
        <v>184</v>
      </c>
      <c r="C237" s="58" t="s">
        <v>752</v>
      </c>
      <c r="D237" s="214" t="s">
        <v>789</v>
      </c>
      <c r="E237" s="214" t="s">
        <v>789</v>
      </c>
      <c r="F237" s="215" t="s">
        <v>186</v>
      </c>
      <c r="G237" s="216">
        <v>2023</v>
      </c>
      <c r="H237" s="213" t="s">
        <v>801</v>
      </c>
      <c r="I237" s="218" t="s">
        <v>196</v>
      </c>
      <c r="J237" s="217" t="s">
        <v>890</v>
      </c>
      <c r="K237" s="213" t="s">
        <v>775</v>
      </c>
      <c r="L237" s="213" t="s">
        <v>192</v>
      </c>
      <c r="M237" s="219" t="s">
        <v>1392</v>
      </c>
      <c r="N237" s="219">
        <v>4.75</v>
      </c>
      <c r="O237" s="219">
        <v>4.75</v>
      </c>
      <c r="P237" s="219">
        <v>4.75</v>
      </c>
      <c r="Q237" s="219">
        <v>4.75</v>
      </c>
      <c r="R237" s="219">
        <v>4.75</v>
      </c>
      <c r="S237" s="219">
        <v>4.75</v>
      </c>
      <c r="T237" s="219">
        <v>4.75</v>
      </c>
      <c r="U237" s="219">
        <v>4.75</v>
      </c>
      <c r="V237" s="219">
        <v>4.75</v>
      </c>
      <c r="W237" s="219">
        <v>4.75</v>
      </c>
      <c r="X237" s="219">
        <v>4.75</v>
      </c>
      <c r="Y237" s="219">
        <v>4.75</v>
      </c>
      <c r="Z237" s="219">
        <v>7.0000000000000007E-2</v>
      </c>
      <c r="AA237" s="219">
        <v>7.0000000000000007E-2</v>
      </c>
      <c r="AB237" s="219">
        <v>7.0000000000000007E-2</v>
      </c>
      <c r="AC237" s="219">
        <v>7.0000000000000007E-2</v>
      </c>
      <c r="AD237" s="219">
        <v>7.0000000000000007E-2</v>
      </c>
      <c r="AE237" s="219">
        <v>7.0000000000000007E-2</v>
      </c>
      <c r="AF237" s="219">
        <v>7.0000000000000007E-2</v>
      </c>
      <c r="AG237" s="219">
        <v>7.0000000000000007E-2</v>
      </c>
      <c r="AH237" s="219">
        <v>7.0000000000000007E-2</v>
      </c>
      <c r="AI237" s="219">
        <v>7.0000000000000007E-2</v>
      </c>
      <c r="AJ237" s="219">
        <v>7.0000000000000007E-2</v>
      </c>
      <c r="AK237" s="219">
        <v>7.0000000000000007E-2</v>
      </c>
      <c r="AL237" s="229" t="s">
        <v>573</v>
      </c>
      <c r="AM237" s="219">
        <f t="shared" si="97"/>
        <v>0</v>
      </c>
      <c r="AN237" s="229" t="s">
        <v>573</v>
      </c>
      <c r="AO237" s="221">
        <f t="shared" si="98"/>
        <v>0</v>
      </c>
      <c r="AP237" s="222" t="s">
        <v>573</v>
      </c>
      <c r="AQ237" s="221">
        <f t="shared" si="99"/>
        <v>0</v>
      </c>
      <c r="AR237" s="222" t="s">
        <v>573</v>
      </c>
      <c r="AS237" s="58">
        <f t="shared" si="100"/>
        <v>0</v>
      </c>
      <c r="AT237" s="222" t="s">
        <v>573</v>
      </c>
      <c r="AU237" s="58">
        <f t="shared" si="101"/>
        <v>0</v>
      </c>
      <c r="AV237" s="222" t="s">
        <v>573</v>
      </c>
      <c r="AW237" s="58">
        <f t="shared" si="102"/>
        <v>0</v>
      </c>
      <c r="AX237" s="251" t="s">
        <v>573</v>
      </c>
      <c r="AY237" s="58">
        <f t="shared" si="103"/>
        <v>0</v>
      </c>
      <c r="AZ237" s="222" t="s">
        <v>573</v>
      </c>
      <c r="BA237" s="58">
        <f t="shared" si="92"/>
        <v>0</v>
      </c>
      <c r="BB237" s="222" t="s">
        <v>573</v>
      </c>
      <c r="BC237" s="58">
        <f t="shared" si="93"/>
        <v>0</v>
      </c>
      <c r="BD237" s="222" t="s">
        <v>573</v>
      </c>
      <c r="BE237" s="58">
        <f t="shared" si="94"/>
        <v>0</v>
      </c>
      <c r="BF237" s="222" t="s">
        <v>573</v>
      </c>
      <c r="BG237" s="58">
        <f t="shared" si="95"/>
        <v>0</v>
      </c>
      <c r="BH237" s="223" t="s">
        <v>573</v>
      </c>
      <c r="BI237" s="58">
        <f t="shared" si="96"/>
        <v>0</v>
      </c>
      <c r="BJ237" s="220">
        <f t="shared" si="104"/>
        <v>0</v>
      </c>
      <c r="BK237" s="58"/>
      <c r="BL237" s="58" t="s">
        <v>1452</v>
      </c>
      <c r="BM237" s="220" t="s">
        <v>1392</v>
      </c>
      <c r="BN237" s="213" t="s">
        <v>1347</v>
      </c>
      <c r="BO237" s="213" t="s">
        <v>681</v>
      </c>
      <c r="BP237" s="199">
        <v>45838</v>
      </c>
      <c r="BQ237" s="2" t="s">
        <v>1386</v>
      </c>
    </row>
    <row r="238" spans="1:69" ht="15.75" customHeight="1">
      <c r="A238" s="213" t="s">
        <v>788</v>
      </c>
      <c r="B238" s="58" t="s">
        <v>184</v>
      </c>
      <c r="C238" s="58" t="s">
        <v>752</v>
      </c>
      <c r="D238" s="214" t="s">
        <v>789</v>
      </c>
      <c r="E238" s="214" t="s">
        <v>789</v>
      </c>
      <c r="F238" s="215" t="s">
        <v>186</v>
      </c>
      <c r="G238" s="216">
        <v>2023</v>
      </c>
      <c r="H238" s="213" t="s">
        <v>801</v>
      </c>
      <c r="I238" s="218" t="s">
        <v>196</v>
      </c>
      <c r="J238" s="217" t="s">
        <v>890</v>
      </c>
      <c r="K238" s="213" t="s">
        <v>775</v>
      </c>
      <c r="L238" s="213" t="s">
        <v>192</v>
      </c>
      <c r="M238" s="219" t="s">
        <v>1393</v>
      </c>
      <c r="N238" s="219">
        <v>4.7</v>
      </c>
      <c r="O238" s="219">
        <v>4.7</v>
      </c>
      <c r="P238" s="219">
        <v>4.7</v>
      </c>
      <c r="Q238" s="219">
        <v>4.7</v>
      </c>
      <c r="R238" s="219">
        <v>4.7</v>
      </c>
      <c r="S238" s="219">
        <v>4.7</v>
      </c>
      <c r="T238" s="219">
        <v>4.7</v>
      </c>
      <c r="U238" s="219">
        <v>4.7</v>
      </c>
      <c r="V238" s="219">
        <v>4.7</v>
      </c>
      <c r="W238" s="219">
        <v>4.7</v>
      </c>
      <c r="X238" s="219">
        <v>4.7</v>
      </c>
      <c r="Y238" s="219">
        <v>4.7</v>
      </c>
      <c r="Z238" s="219">
        <v>7.0000000000000007E-2</v>
      </c>
      <c r="AA238" s="219">
        <v>7.0000000000000007E-2</v>
      </c>
      <c r="AB238" s="219">
        <v>7.0000000000000007E-2</v>
      </c>
      <c r="AC238" s="219">
        <v>7.0000000000000007E-2</v>
      </c>
      <c r="AD238" s="219">
        <v>7.0000000000000007E-2</v>
      </c>
      <c r="AE238" s="219">
        <v>7.0000000000000007E-2</v>
      </c>
      <c r="AF238" s="219">
        <v>7.0000000000000007E-2</v>
      </c>
      <c r="AG238" s="219">
        <v>7.0000000000000007E-2</v>
      </c>
      <c r="AH238" s="219">
        <v>7.0000000000000007E-2</v>
      </c>
      <c r="AI238" s="219">
        <v>7.0000000000000007E-2</v>
      </c>
      <c r="AJ238" s="219">
        <v>7.0000000000000007E-2</v>
      </c>
      <c r="AK238" s="219">
        <v>7.0000000000000007E-2</v>
      </c>
      <c r="AL238" s="229" t="s">
        <v>573</v>
      </c>
      <c r="AM238" s="219">
        <f t="shared" si="97"/>
        <v>0</v>
      </c>
      <c r="AN238" s="229" t="s">
        <v>573</v>
      </c>
      <c r="AO238" s="221">
        <f t="shared" si="98"/>
        <v>0</v>
      </c>
      <c r="AP238" s="222" t="s">
        <v>573</v>
      </c>
      <c r="AQ238" s="221">
        <f t="shared" si="99"/>
        <v>0</v>
      </c>
      <c r="AR238" s="222" t="s">
        <v>573</v>
      </c>
      <c r="AS238" s="58">
        <f t="shared" si="100"/>
        <v>0</v>
      </c>
      <c r="AT238" s="222" t="s">
        <v>573</v>
      </c>
      <c r="AU238" s="58">
        <f t="shared" si="101"/>
        <v>0</v>
      </c>
      <c r="AV238" s="222" t="s">
        <v>573</v>
      </c>
      <c r="AW238" s="58">
        <f t="shared" si="102"/>
        <v>0</v>
      </c>
      <c r="AX238" s="251" t="s">
        <v>573</v>
      </c>
      <c r="AY238" s="58">
        <f t="shared" si="103"/>
        <v>0</v>
      </c>
      <c r="AZ238" s="222" t="s">
        <v>573</v>
      </c>
      <c r="BA238" s="58">
        <f t="shared" si="92"/>
        <v>0</v>
      </c>
      <c r="BB238" s="222" t="s">
        <v>573</v>
      </c>
      <c r="BC238" s="58">
        <f t="shared" si="93"/>
        <v>0</v>
      </c>
      <c r="BD238" s="222" t="s">
        <v>573</v>
      </c>
      <c r="BE238" s="58">
        <f t="shared" si="94"/>
        <v>0</v>
      </c>
      <c r="BF238" s="222" t="s">
        <v>573</v>
      </c>
      <c r="BG238" s="58">
        <f t="shared" si="95"/>
        <v>0</v>
      </c>
      <c r="BH238" s="223" t="s">
        <v>573</v>
      </c>
      <c r="BI238" s="58">
        <f t="shared" si="96"/>
        <v>0</v>
      </c>
      <c r="BJ238" s="220">
        <f t="shared" si="104"/>
        <v>0</v>
      </c>
      <c r="BK238" s="58"/>
      <c r="BL238" s="58" t="s">
        <v>1453</v>
      </c>
      <c r="BM238" s="220" t="s">
        <v>1393</v>
      </c>
      <c r="BN238" s="213" t="s">
        <v>1347</v>
      </c>
      <c r="BO238" s="213" t="s">
        <v>681</v>
      </c>
      <c r="BP238" s="199">
        <v>45838</v>
      </c>
      <c r="BQ238" s="2" t="s">
        <v>1386</v>
      </c>
    </row>
    <row r="239" spans="1:69" ht="15.75" customHeight="1">
      <c r="A239" s="213" t="s">
        <v>788</v>
      </c>
      <c r="B239" s="58" t="s">
        <v>184</v>
      </c>
      <c r="C239" s="58" t="s">
        <v>752</v>
      </c>
      <c r="D239" s="214" t="s">
        <v>789</v>
      </c>
      <c r="E239" s="214" t="s">
        <v>789</v>
      </c>
      <c r="F239" s="215" t="s">
        <v>186</v>
      </c>
      <c r="G239" s="216">
        <v>2023</v>
      </c>
      <c r="H239" s="213" t="s">
        <v>801</v>
      </c>
      <c r="I239" s="218" t="s">
        <v>196</v>
      </c>
      <c r="J239" s="217" t="s">
        <v>890</v>
      </c>
      <c r="K239" s="213" t="s">
        <v>221</v>
      </c>
      <c r="L239" s="213" t="s">
        <v>192</v>
      </c>
      <c r="M239" s="219" t="s">
        <v>1392</v>
      </c>
      <c r="N239" s="219">
        <v>4.4000000000000004</v>
      </c>
      <c r="O239" s="219">
        <v>4.4000000000000004</v>
      </c>
      <c r="P239" s="219">
        <v>4.4000000000000004</v>
      </c>
      <c r="Q239" s="219">
        <v>4.4000000000000004</v>
      </c>
      <c r="R239" s="219">
        <v>4.4000000000000004</v>
      </c>
      <c r="S239" s="219">
        <v>4.4000000000000004</v>
      </c>
      <c r="T239" s="219">
        <v>4.4000000000000004</v>
      </c>
      <c r="U239" s="219">
        <v>4.4000000000000004</v>
      </c>
      <c r="V239" s="219">
        <v>4.4000000000000004</v>
      </c>
      <c r="W239" s="219">
        <v>4.4000000000000004</v>
      </c>
      <c r="X239" s="219">
        <v>4.7</v>
      </c>
      <c r="Y239" s="219">
        <v>4.7</v>
      </c>
      <c r="Z239" s="219">
        <v>7.0000000000000007E-2</v>
      </c>
      <c r="AA239" s="219">
        <v>7.0000000000000007E-2</v>
      </c>
      <c r="AB239" s="219">
        <v>7.0000000000000007E-2</v>
      </c>
      <c r="AC239" s="219">
        <v>7.0000000000000007E-2</v>
      </c>
      <c r="AD239" s="219">
        <v>7.0000000000000007E-2</v>
      </c>
      <c r="AE239" s="219">
        <v>7.0000000000000007E-2</v>
      </c>
      <c r="AF239" s="219">
        <v>7.0000000000000007E-2</v>
      </c>
      <c r="AG239" s="219">
        <v>7.0000000000000007E-2</v>
      </c>
      <c r="AH239" s="219">
        <v>7.0000000000000007E-2</v>
      </c>
      <c r="AI239" s="219">
        <v>7.0000000000000007E-2</v>
      </c>
      <c r="AJ239" s="219">
        <v>7.0000000000000007E-2</v>
      </c>
      <c r="AK239" s="219">
        <v>7.0000000000000007E-2</v>
      </c>
      <c r="AL239" s="229">
        <v>6000</v>
      </c>
      <c r="AM239" s="219">
        <f t="shared" si="97"/>
        <v>420.00000000000006</v>
      </c>
      <c r="AN239" s="229">
        <v>9000</v>
      </c>
      <c r="AO239" s="221">
        <f t="shared" si="98"/>
        <v>630.00000000000011</v>
      </c>
      <c r="AP239" s="222">
        <v>6000</v>
      </c>
      <c r="AQ239" s="221">
        <f t="shared" si="99"/>
        <v>420.00000000000006</v>
      </c>
      <c r="AR239" s="222">
        <v>6000</v>
      </c>
      <c r="AS239" s="58">
        <f t="shared" si="100"/>
        <v>420.00000000000006</v>
      </c>
      <c r="AT239" s="222">
        <v>6000</v>
      </c>
      <c r="AU239" s="58">
        <f t="shared" si="101"/>
        <v>420.00000000000006</v>
      </c>
      <c r="AV239" s="222">
        <v>3000</v>
      </c>
      <c r="AW239" s="58">
        <f t="shared" si="102"/>
        <v>210.00000000000003</v>
      </c>
      <c r="AX239" s="251" t="s">
        <v>573</v>
      </c>
      <c r="AY239" s="58">
        <f t="shared" si="103"/>
        <v>0</v>
      </c>
      <c r="AZ239" s="222">
        <v>6000</v>
      </c>
      <c r="BA239" s="58">
        <f t="shared" si="92"/>
        <v>420.00000000000006</v>
      </c>
      <c r="BB239" s="222" t="s">
        <v>573</v>
      </c>
      <c r="BC239" s="58">
        <f t="shared" si="93"/>
        <v>0</v>
      </c>
      <c r="BD239" s="222">
        <v>3000</v>
      </c>
      <c r="BE239" s="58">
        <f t="shared" si="94"/>
        <v>210.00000000000003</v>
      </c>
      <c r="BF239" s="222">
        <v>3000</v>
      </c>
      <c r="BG239" s="58">
        <f t="shared" si="95"/>
        <v>210.00000000000003</v>
      </c>
      <c r="BH239" s="223">
        <v>3000</v>
      </c>
      <c r="BI239" s="58">
        <f t="shared" si="96"/>
        <v>210.00000000000003</v>
      </c>
      <c r="BJ239" s="220">
        <f t="shared" si="104"/>
        <v>51000</v>
      </c>
      <c r="BK239" s="58"/>
      <c r="BL239" s="58" t="s">
        <v>1306</v>
      </c>
      <c r="BM239" s="220" t="s">
        <v>1392</v>
      </c>
      <c r="BN239" s="213" t="s">
        <v>1347</v>
      </c>
      <c r="BO239" s="213" t="s">
        <v>820</v>
      </c>
      <c r="BP239" s="199">
        <v>45838</v>
      </c>
      <c r="BQ239" s="2" t="s">
        <v>1386</v>
      </c>
    </row>
    <row r="240" spans="1:69" ht="15.75" customHeight="1">
      <c r="A240" s="213" t="s">
        <v>788</v>
      </c>
      <c r="B240" s="58" t="s">
        <v>184</v>
      </c>
      <c r="C240" s="58" t="s">
        <v>752</v>
      </c>
      <c r="D240" s="214" t="s">
        <v>789</v>
      </c>
      <c r="E240" s="214" t="s">
        <v>789</v>
      </c>
      <c r="F240" s="215" t="s">
        <v>186</v>
      </c>
      <c r="G240" s="216">
        <v>2023</v>
      </c>
      <c r="H240" s="218" t="s">
        <v>801</v>
      </c>
      <c r="I240" s="218" t="s">
        <v>196</v>
      </c>
      <c r="J240" s="217" t="s">
        <v>890</v>
      </c>
      <c r="K240" s="213" t="s">
        <v>221</v>
      </c>
      <c r="L240" s="213" t="s">
        <v>192</v>
      </c>
      <c r="M240" s="219" t="s">
        <v>1393</v>
      </c>
      <c r="N240" s="219">
        <v>4.3499999999999996</v>
      </c>
      <c r="O240" s="219">
        <v>4.3499999999999996</v>
      </c>
      <c r="P240" s="219">
        <v>4.3499999999999996</v>
      </c>
      <c r="Q240" s="219">
        <v>4.3499999999999996</v>
      </c>
      <c r="R240" s="219">
        <v>4.3499999999999996</v>
      </c>
      <c r="S240" s="219">
        <v>4.3499999999999996</v>
      </c>
      <c r="T240" s="219">
        <v>4.3499999999999996</v>
      </c>
      <c r="U240" s="219">
        <v>4.3499999999999996</v>
      </c>
      <c r="V240" s="219">
        <v>4.3499999999999996</v>
      </c>
      <c r="W240" s="219">
        <v>4.3499999999999996</v>
      </c>
      <c r="X240" s="219">
        <v>4.3499999999999996</v>
      </c>
      <c r="Y240" s="219">
        <v>4.3499999999999996</v>
      </c>
      <c r="Z240" s="219">
        <v>7.0000000000000007E-2</v>
      </c>
      <c r="AA240" s="219">
        <v>7.0000000000000007E-2</v>
      </c>
      <c r="AB240" s="219">
        <v>7.0000000000000007E-2</v>
      </c>
      <c r="AC240" s="219">
        <v>7.0000000000000007E-2</v>
      </c>
      <c r="AD240" s="219">
        <v>7.0000000000000007E-2</v>
      </c>
      <c r="AE240" s="219">
        <v>7.0000000000000007E-2</v>
      </c>
      <c r="AF240" s="219">
        <v>7.0000000000000007E-2</v>
      </c>
      <c r="AG240" s="219">
        <v>7.0000000000000007E-2</v>
      </c>
      <c r="AH240" s="219">
        <v>7.0000000000000007E-2</v>
      </c>
      <c r="AI240" s="219">
        <v>7.0000000000000007E-2</v>
      </c>
      <c r="AJ240" s="219">
        <v>7.0000000000000007E-2</v>
      </c>
      <c r="AK240" s="219">
        <v>7.0000000000000007E-2</v>
      </c>
      <c r="AL240" s="229">
        <v>3000</v>
      </c>
      <c r="AM240" s="219">
        <f t="shared" si="97"/>
        <v>210.00000000000003</v>
      </c>
      <c r="AN240" s="229">
        <v>6000</v>
      </c>
      <c r="AO240" s="221">
        <f t="shared" si="98"/>
        <v>420.00000000000006</v>
      </c>
      <c r="AP240" s="222">
        <v>3000</v>
      </c>
      <c r="AQ240" s="221">
        <f t="shared" si="99"/>
        <v>210.00000000000003</v>
      </c>
      <c r="AR240" s="222" t="s">
        <v>573</v>
      </c>
      <c r="AS240" s="58">
        <f t="shared" si="100"/>
        <v>0</v>
      </c>
      <c r="AT240" s="222">
        <v>6000</v>
      </c>
      <c r="AU240" s="58">
        <f t="shared" si="101"/>
        <v>420.00000000000006</v>
      </c>
      <c r="AV240" s="222">
        <v>3000</v>
      </c>
      <c r="AW240" s="58">
        <f t="shared" si="102"/>
        <v>210.00000000000003</v>
      </c>
      <c r="AX240" s="251" t="s">
        <v>573</v>
      </c>
      <c r="AY240" s="58">
        <f t="shared" si="103"/>
        <v>0</v>
      </c>
      <c r="AZ240" s="222" t="s">
        <v>573</v>
      </c>
      <c r="BA240" s="58">
        <f t="shared" si="92"/>
        <v>0</v>
      </c>
      <c r="BB240" s="222" t="s">
        <v>573</v>
      </c>
      <c r="BC240" s="58">
        <f t="shared" si="93"/>
        <v>0</v>
      </c>
      <c r="BD240" s="222" t="s">
        <v>573</v>
      </c>
      <c r="BE240" s="58">
        <f t="shared" si="94"/>
        <v>0</v>
      </c>
      <c r="BF240" s="222" t="s">
        <v>573</v>
      </c>
      <c r="BG240" s="58">
        <f t="shared" si="95"/>
        <v>0</v>
      </c>
      <c r="BH240" s="223" t="s">
        <v>573</v>
      </c>
      <c r="BI240" s="58">
        <f t="shared" si="96"/>
        <v>0</v>
      </c>
      <c r="BJ240" s="220">
        <f t="shared" si="104"/>
        <v>21000</v>
      </c>
      <c r="BK240" s="58"/>
      <c r="BL240" s="58" t="s">
        <v>1094</v>
      </c>
      <c r="BM240" s="220" t="s">
        <v>1393</v>
      </c>
      <c r="BN240" s="213" t="s">
        <v>1347</v>
      </c>
      <c r="BO240" s="213" t="s">
        <v>820</v>
      </c>
      <c r="BP240" s="199">
        <v>45838</v>
      </c>
      <c r="BQ240" s="2" t="s">
        <v>1386</v>
      </c>
    </row>
    <row r="241" spans="1:69" ht="15.75" customHeight="1">
      <c r="A241" s="213" t="s">
        <v>788</v>
      </c>
      <c r="B241" s="58" t="s">
        <v>184</v>
      </c>
      <c r="C241" s="58" t="s">
        <v>752</v>
      </c>
      <c r="D241" s="214" t="s">
        <v>789</v>
      </c>
      <c r="E241" s="214" t="s">
        <v>789</v>
      </c>
      <c r="F241" s="215" t="s">
        <v>186</v>
      </c>
      <c r="G241" s="216">
        <v>2023</v>
      </c>
      <c r="H241" s="213" t="s">
        <v>801</v>
      </c>
      <c r="I241" s="218" t="s">
        <v>196</v>
      </c>
      <c r="J241" s="217" t="s">
        <v>890</v>
      </c>
      <c r="K241" s="213" t="s">
        <v>221</v>
      </c>
      <c r="L241" s="213" t="s">
        <v>192</v>
      </c>
      <c r="M241" s="219" t="s">
        <v>1394</v>
      </c>
      <c r="N241" s="219">
        <v>4.3499999999999996</v>
      </c>
      <c r="O241" s="219">
        <v>4.3499999999999996</v>
      </c>
      <c r="P241" s="219">
        <v>4.3499999999999996</v>
      </c>
      <c r="Q241" s="219">
        <v>4.3499999999999996</v>
      </c>
      <c r="R241" s="219">
        <v>4.3499999999999996</v>
      </c>
      <c r="S241" s="219">
        <v>4.3499999999999996</v>
      </c>
      <c r="T241" s="219">
        <v>4.3499999999999996</v>
      </c>
      <c r="U241" s="219">
        <v>4.3499999999999996</v>
      </c>
      <c r="V241" s="219">
        <v>4.3499999999999996</v>
      </c>
      <c r="W241" s="219">
        <v>4.3499999999999996</v>
      </c>
      <c r="X241" s="219">
        <v>4.95</v>
      </c>
      <c r="Y241" s="219">
        <v>4.95</v>
      </c>
      <c r="Z241" s="219">
        <v>7.0000000000000007E-2</v>
      </c>
      <c r="AA241" s="219">
        <v>7.0000000000000007E-2</v>
      </c>
      <c r="AB241" s="219">
        <v>7.0000000000000007E-2</v>
      </c>
      <c r="AC241" s="219">
        <v>7.0000000000000007E-2</v>
      </c>
      <c r="AD241" s="219">
        <v>7.0000000000000007E-2</v>
      </c>
      <c r="AE241" s="219">
        <v>7.0000000000000007E-2</v>
      </c>
      <c r="AF241" s="219">
        <v>7.0000000000000007E-2</v>
      </c>
      <c r="AG241" s="219">
        <v>7.0000000000000007E-2</v>
      </c>
      <c r="AH241" s="219">
        <v>7.0000000000000007E-2</v>
      </c>
      <c r="AI241" s="219">
        <v>7.0000000000000007E-2</v>
      </c>
      <c r="AJ241" s="219">
        <v>7.0000000000000007E-2</v>
      </c>
      <c r="AK241" s="219">
        <v>7.0000000000000007E-2</v>
      </c>
      <c r="AL241" s="229">
        <v>3000</v>
      </c>
      <c r="AM241" s="219">
        <f t="shared" si="97"/>
        <v>210.00000000000003</v>
      </c>
      <c r="AN241" s="229">
        <v>21000</v>
      </c>
      <c r="AO241" s="221">
        <f t="shared" si="98"/>
        <v>1470.0000000000002</v>
      </c>
      <c r="AP241" s="222">
        <v>15000</v>
      </c>
      <c r="AQ241" s="221">
        <f t="shared" si="99"/>
        <v>1050</v>
      </c>
      <c r="AR241" s="222">
        <v>6000</v>
      </c>
      <c r="AS241" s="58">
        <f t="shared" si="100"/>
        <v>420.00000000000006</v>
      </c>
      <c r="AT241" s="222" t="s">
        <v>573</v>
      </c>
      <c r="AU241" s="58">
        <f t="shared" si="101"/>
        <v>0</v>
      </c>
      <c r="AV241" s="222">
        <v>24000</v>
      </c>
      <c r="AW241" s="58">
        <f t="shared" si="102"/>
        <v>1680.0000000000002</v>
      </c>
      <c r="AX241" s="251" t="s">
        <v>573</v>
      </c>
      <c r="AY241" s="58">
        <f t="shared" si="103"/>
        <v>0</v>
      </c>
      <c r="AZ241" s="222" t="s">
        <v>573</v>
      </c>
      <c r="BA241" s="58">
        <f t="shared" si="92"/>
        <v>0</v>
      </c>
      <c r="BB241" s="222">
        <v>6000</v>
      </c>
      <c r="BC241" s="58">
        <f t="shared" si="93"/>
        <v>420.00000000000006</v>
      </c>
      <c r="BD241" s="222" t="s">
        <v>573</v>
      </c>
      <c r="BE241" s="58">
        <f t="shared" si="94"/>
        <v>0</v>
      </c>
      <c r="BF241" s="222" t="s">
        <v>573</v>
      </c>
      <c r="BG241" s="58">
        <f t="shared" si="95"/>
        <v>0</v>
      </c>
      <c r="BH241" s="223">
        <v>3000</v>
      </c>
      <c r="BI241" s="58">
        <f t="shared" si="96"/>
        <v>210.00000000000003</v>
      </c>
      <c r="BJ241" s="220">
        <f t="shared" si="104"/>
        <v>78000</v>
      </c>
      <c r="BK241" s="58"/>
      <c r="BL241" s="58" t="s">
        <v>1095</v>
      </c>
      <c r="BM241" s="220" t="s">
        <v>1394</v>
      </c>
      <c r="BN241" s="213" t="s">
        <v>1347</v>
      </c>
      <c r="BO241" s="213" t="s">
        <v>820</v>
      </c>
      <c r="BP241" s="199">
        <v>45777</v>
      </c>
      <c r="BQ241" s="2" t="s">
        <v>1386</v>
      </c>
    </row>
    <row r="242" spans="1:69" ht="15.75" customHeight="1">
      <c r="A242" s="213" t="s">
        <v>788</v>
      </c>
      <c r="B242" s="58" t="s">
        <v>184</v>
      </c>
      <c r="C242" s="58" t="s">
        <v>752</v>
      </c>
      <c r="D242" s="214" t="s">
        <v>789</v>
      </c>
      <c r="E242" s="214" t="s">
        <v>789</v>
      </c>
      <c r="F242" s="215" t="s">
        <v>186</v>
      </c>
      <c r="G242" s="216">
        <v>2023</v>
      </c>
      <c r="H242" s="218" t="s">
        <v>801</v>
      </c>
      <c r="I242" s="218" t="s">
        <v>196</v>
      </c>
      <c r="J242" s="217" t="s">
        <v>890</v>
      </c>
      <c r="K242" s="213" t="s">
        <v>221</v>
      </c>
      <c r="L242" s="213" t="s">
        <v>192</v>
      </c>
      <c r="M242" s="219" t="s">
        <v>1395</v>
      </c>
      <c r="N242" s="219">
        <v>4.3499999999999996</v>
      </c>
      <c r="O242" s="219">
        <v>4.3499999999999996</v>
      </c>
      <c r="P242" s="219">
        <v>4.3499999999999996</v>
      </c>
      <c r="Q242" s="219">
        <v>4.3499999999999996</v>
      </c>
      <c r="R242" s="219">
        <v>4.8499999999999996</v>
      </c>
      <c r="S242" s="219">
        <v>4.3499999999999996</v>
      </c>
      <c r="T242" s="219">
        <v>4.3499999999999996</v>
      </c>
      <c r="U242" s="219">
        <v>4.3499999999999996</v>
      </c>
      <c r="V242" s="219">
        <v>4.3499999999999996</v>
      </c>
      <c r="W242" s="219">
        <v>4.3499999999999996</v>
      </c>
      <c r="X242" s="219">
        <v>4.3499999999999996</v>
      </c>
      <c r="Y242" s="219">
        <v>4.3499999999999996</v>
      </c>
      <c r="Z242" s="219">
        <v>7.0000000000000007E-2</v>
      </c>
      <c r="AA242" s="219">
        <v>7.0000000000000007E-2</v>
      </c>
      <c r="AB242" s="219">
        <v>7.0000000000000007E-2</v>
      </c>
      <c r="AC242" s="219">
        <v>7.0000000000000007E-2</v>
      </c>
      <c r="AD242" s="219">
        <v>7.0000000000000007E-2</v>
      </c>
      <c r="AE242" s="219">
        <v>7.0000000000000007E-2</v>
      </c>
      <c r="AF242" s="219">
        <v>7.0000000000000007E-2</v>
      </c>
      <c r="AG242" s="219">
        <v>7.0000000000000007E-2</v>
      </c>
      <c r="AH242" s="219">
        <v>7.0000000000000007E-2</v>
      </c>
      <c r="AI242" s="219">
        <v>7.0000000000000007E-2</v>
      </c>
      <c r="AJ242" s="219">
        <v>7.0000000000000007E-2</v>
      </c>
      <c r="AK242" s="219">
        <v>7.0000000000000007E-2</v>
      </c>
      <c r="AL242" s="229" t="s">
        <v>573</v>
      </c>
      <c r="AM242" s="219">
        <f t="shared" si="97"/>
        <v>0</v>
      </c>
      <c r="AN242" s="229" t="s">
        <v>573</v>
      </c>
      <c r="AO242" s="221">
        <f t="shared" si="98"/>
        <v>0</v>
      </c>
      <c r="AP242" s="222" t="s">
        <v>573</v>
      </c>
      <c r="AQ242" s="221">
        <f t="shared" si="99"/>
        <v>0</v>
      </c>
      <c r="AR242" s="222" t="s">
        <v>573</v>
      </c>
      <c r="AS242" s="58">
        <f t="shared" si="100"/>
        <v>0</v>
      </c>
      <c r="AT242" s="222">
        <v>550</v>
      </c>
      <c r="AU242" s="58">
        <f t="shared" si="101"/>
        <v>38.500000000000007</v>
      </c>
      <c r="AV242" s="222" t="s">
        <v>573</v>
      </c>
      <c r="AW242" s="58">
        <f t="shared" si="102"/>
        <v>0</v>
      </c>
      <c r="AX242" s="251" t="s">
        <v>573</v>
      </c>
      <c r="AY242" s="58">
        <f t="shared" si="103"/>
        <v>0</v>
      </c>
      <c r="AZ242" s="222" t="s">
        <v>573</v>
      </c>
      <c r="BA242" s="58">
        <f t="shared" si="92"/>
        <v>0</v>
      </c>
      <c r="BB242" s="222" t="s">
        <v>573</v>
      </c>
      <c r="BC242" s="58">
        <f t="shared" si="93"/>
        <v>0</v>
      </c>
      <c r="BD242" s="222" t="s">
        <v>573</v>
      </c>
      <c r="BE242" s="58">
        <f t="shared" si="94"/>
        <v>0</v>
      </c>
      <c r="BF242" s="222" t="s">
        <v>573</v>
      </c>
      <c r="BG242" s="58">
        <f t="shared" si="95"/>
        <v>0</v>
      </c>
      <c r="BH242" s="223" t="s">
        <v>573</v>
      </c>
      <c r="BI242" s="58">
        <f t="shared" si="96"/>
        <v>0</v>
      </c>
      <c r="BJ242" s="220">
        <f t="shared" si="104"/>
        <v>550</v>
      </c>
      <c r="BK242" s="58"/>
      <c r="BL242" s="58" t="s">
        <v>1096</v>
      </c>
      <c r="BM242" s="220" t="s">
        <v>1395</v>
      </c>
      <c r="BN242" s="213" t="s">
        <v>1347</v>
      </c>
      <c r="BO242" s="213" t="s">
        <v>680</v>
      </c>
      <c r="BP242" s="199"/>
      <c r="BQ242" s="2" t="s">
        <v>1386</v>
      </c>
    </row>
    <row r="243" spans="1:69" ht="15.75" customHeight="1">
      <c r="A243" s="213" t="s">
        <v>788</v>
      </c>
      <c r="B243" s="58" t="s">
        <v>184</v>
      </c>
      <c r="C243" s="58" t="s">
        <v>752</v>
      </c>
      <c r="D243" s="214" t="s">
        <v>789</v>
      </c>
      <c r="E243" s="214" t="s">
        <v>789</v>
      </c>
      <c r="F243" s="215" t="s">
        <v>186</v>
      </c>
      <c r="G243" s="216">
        <v>2023</v>
      </c>
      <c r="H243" s="218" t="s">
        <v>801</v>
      </c>
      <c r="I243" s="218" t="s">
        <v>196</v>
      </c>
      <c r="J243" s="217" t="s">
        <v>890</v>
      </c>
      <c r="K243" s="213" t="s">
        <v>221</v>
      </c>
      <c r="L243" s="213" t="s">
        <v>192</v>
      </c>
      <c r="M243" s="219" t="s">
        <v>1400</v>
      </c>
      <c r="N243" s="219">
        <v>4.5999999999999996</v>
      </c>
      <c r="O243" s="219">
        <v>4.5999999999999996</v>
      </c>
      <c r="P243" s="219">
        <v>4.5999999999999996</v>
      </c>
      <c r="Q243" s="219">
        <v>4.5999999999999996</v>
      </c>
      <c r="R243" s="219">
        <v>4.5999999999999996</v>
      </c>
      <c r="S243" s="219">
        <v>4.5999999999999996</v>
      </c>
      <c r="T243" s="219">
        <v>4.5999999999999996</v>
      </c>
      <c r="U243" s="219">
        <v>4.5999999999999996</v>
      </c>
      <c r="V243" s="219">
        <v>4.5999999999999996</v>
      </c>
      <c r="W243" s="219">
        <v>4.5999999999999996</v>
      </c>
      <c r="X243" s="219">
        <v>4.5999999999999996</v>
      </c>
      <c r="Y243" s="219">
        <v>4.5999999999999996</v>
      </c>
      <c r="Z243" s="219">
        <v>7.0000000000000007E-2</v>
      </c>
      <c r="AA243" s="219">
        <v>7.0000000000000007E-2</v>
      </c>
      <c r="AB243" s="219">
        <v>7.0000000000000007E-2</v>
      </c>
      <c r="AC243" s="219">
        <v>7.0000000000000007E-2</v>
      </c>
      <c r="AD243" s="219">
        <v>7.0000000000000007E-2</v>
      </c>
      <c r="AE243" s="219">
        <v>7.0000000000000007E-2</v>
      </c>
      <c r="AF243" s="219">
        <v>7.0000000000000007E-2</v>
      </c>
      <c r="AG243" s="219">
        <v>7.0000000000000007E-2</v>
      </c>
      <c r="AH243" s="219">
        <v>7.0000000000000007E-2</v>
      </c>
      <c r="AI243" s="219">
        <v>7.0000000000000007E-2</v>
      </c>
      <c r="AJ243" s="219">
        <v>7.0000000000000007E-2</v>
      </c>
      <c r="AK243" s="219">
        <v>7.0000000000000007E-2</v>
      </c>
      <c r="AL243" s="229" t="s">
        <v>573</v>
      </c>
      <c r="AM243" s="219">
        <f t="shared" si="97"/>
        <v>0</v>
      </c>
      <c r="AN243" s="229" t="s">
        <v>573</v>
      </c>
      <c r="AO243" s="221">
        <f t="shared" si="98"/>
        <v>0</v>
      </c>
      <c r="AP243" s="222">
        <v>2400</v>
      </c>
      <c r="AQ243" s="221">
        <f t="shared" si="99"/>
        <v>168.00000000000003</v>
      </c>
      <c r="AR243" s="222" t="s">
        <v>573</v>
      </c>
      <c r="AS243" s="58">
        <f t="shared" si="100"/>
        <v>0</v>
      </c>
      <c r="AT243" s="222" t="s">
        <v>573</v>
      </c>
      <c r="AU243" s="58">
        <f t="shared" si="101"/>
        <v>0</v>
      </c>
      <c r="AV243" s="222">
        <v>2400</v>
      </c>
      <c r="AW243" s="58">
        <f t="shared" si="102"/>
        <v>168.00000000000003</v>
      </c>
      <c r="AX243" s="251" t="s">
        <v>573</v>
      </c>
      <c r="AY243" s="58">
        <f t="shared" si="103"/>
        <v>0</v>
      </c>
      <c r="AZ243" s="222" t="s">
        <v>573</v>
      </c>
      <c r="BA243" s="58">
        <f t="shared" si="92"/>
        <v>0</v>
      </c>
      <c r="BB243" s="222" t="s">
        <v>573</v>
      </c>
      <c r="BC243" s="58">
        <f t="shared" si="93"/>
        <v>0</v>
      </c>
      <c r="BD243" s="222" t="s">
        <v>573</v>
      </c>
      <c r="BE243" s="58">
        <f t="shared" si="94"/>
        <v>0</v>
      </c>
      <c r="BF243" s="222" t="s">
        <v>573</v>
      </c>
      <c r="BG243" s="58">
        <f t="shared" si="95"/>
        <v>0</v>
      </c>
      <c r="BH243" s="223" t="s">
        <v>573</v>
      </c>
      <c r="BI243" s="58">
        <f t="shared" si="96"/>
        <v>0</v>
      </c>
      <c r="BJ243" s="220">
        <f t="shared" si="104"/>
        <v>4800</v>
      </c>
      <c r="BK243" s="58"/>
      <c r="BL243" s="58" t="s">
        <v>1097</v>
      </c>
      <c r="BM243" s="220" t="s">
        <v>1400</v>
      </c>
      <c r="BN243" s="213" t="s">
        <v>1347</v>
      </c>
      <c r="BO243" s="213" t="s">
        <v>820</v>
      </c>
      <c r="BP243" s="199"/>
      <c r="BQ243" s="2" t="s">
        <v>1386</v>
      </c>
    </row>
    <row r="244" spans="1:69" ht="15.75" customHeight="1">
      <c r="A244" s="213" t="s">
        <v>788</v>
      </c>
      <c r="B244" s="58" t="s">
        <v>199</v>
      </c>
      <c r="C244" s="58" t="s">
        <v>752</v>
      </c>
      <c r="D244" s="214" t="s">
        <v>789</v>
      </c>
      <c r="E244" s="214" t="s">
        <v>789</v>
      </c>
      <c r="F244" s="215" t="s">
        <v>186</v>
      </c>
      <c r="G244" s="216">
        <v>2020</v>
      </c>
      <c r="H244" s="218" t="s">
        <v>821</v>
      </c>
      <c r="I244" s="218" t="s">
        <v>201</v>
      </c>
      <c r="J244" s="217" t="s">
        <v>890</v>
      </c>
      <c r="K244" s="213" t="s">
        <v>753</v>
      </c>
      <c r="L244" s="213" t="s">
        <v>192</v>
      </c>
      <c r="M244" s="219" t="s">
        <v>1392</v>
      </c>
      <c r="N244" s="219">
        <v>9.7200000000000006</v>
      </c>
      <c r="O244" s="219">
        <v>9.7200000000000006</v>
      </c>
      <c r="P244" s="219">
        <v>9.7200000000000006</v>
      </c>
      <c r="Q244" s="219">
        <v>9.7200000000000006</v>
      </c>
      <c r="R244" s="219">
        <v>9.7200000000000006</v>
      </c>
      <c r="S244" s="219">
        <v>9.7200000000000006</v>
      </c>
      <c r="T244" s="219">
        <v>9.7200000000000006</v>
      </c>
      <c r="U244" s="219">
        <v>9.7200000000000006</v>
      </c>
      <c r="V244" s="219">
        <v>9.7200000000000006</v>
      </c>
      <c r="W244" s="219">
        <v>9.7200000000000006</v>
      </c>
      <c r="X244" s="219">
        <v>9.7200000000000006</v>
      </c>
      <c r="Y244" s="219">
        <v>9.7200000000000006</v>
      </c>
      <c r="Z244" s="219">
        <v>0.18</v>
      </c>
      <c r="AA244" s="219">
        <v>0.18</v>
      </c>
      <c r="AB244" s="219">
        <v>0.18</v>
      </c>
      <c r="AC244" s="219">
        <v>0.18</v>
      </c>
      <c r="AD244" s="219">
        <v>0.18</v>
      </c>
      <c r="AE244" s="219">
        <v>0.18</v>
      </c>
      <c r="AF244" s="219">
        <v>0.18</v>
      </c>
      <c r="AG244" s="219">
        <v>0.18</v>
      </c>
      <c r="AH244" s="219">
        <v>0.18</v>
      </c>
      <c r="AI244" s="219">
        <v>0.18</v>
      </c>
      <c r="AJ244" s="219">
        <v>0.18</v>
      </c>
      <c r="AK244" s="219">
        <v>0.18</v>
      </c>
      <c r="AL244" s="229">
        <v>2160</v>
      </c>
      <c r="AM244" s="219">
        <f t="shared" si="97"/>
        <v>388.8</v>
      </c>
      <c r="AN244" s="229" t="s">
        <v>573</v>
      </c>
      <c r="AO244" s="221">
        <f t="shared" si="98"/>
        <v>0</v>
      </c>
      <c r="AP244" s="222">
        <v>3240</v>
      </c>
      <c r="AQ244" s="221">
        <f t="shared" si="99"/>
        <v>583.19999999999993</v>
      </c>
      <c r="AR244" s="222">
        <v>1080</v>
      </c>
      <c r="AS244" s="58">
        <f t="shared" si="100"/>
        <v>194.4</v>
      </c>
      <c r="AT244" s="222">
        <v>3240</v>
      </c>
      <c r="AU244" s="58">
        <f t="shared" si="101"/>
        <v>583.19999999999993</v>
      </c>
      <c r="AV244" s="222" t="s">
        <v>573</v>
      </c>
      <c r="AW244" s="58">
        <f t="shared" si="102"/>
        <v>0</v>
      </c>
      <c r="AX244" s="251" t="s">
        <v>573</v>
      </c>
      <c r="AY244" s="58">
        <f t="shared" si="103"/>
        <v>0</v>
      </c>
      <c r="AZ244" s="222" t="s">
        <v>573</v>
      </c>
      <c r="BA244" s="58">
        <f t="shared" si="92"/>
        <v>0</v>
      </c>
      <c r="BB244" s="222" t="s">
        <v>573</v>
      </c>
      <c r="BC244" s="58">
        <f t="shared" si="93"/>
        <v>0</v>
      </c>
      <c r="BD244" s="222" t="s">
        <v>573</v>
      </c>
      <c r="BE244" s="58">
        <f t="shared" si="94"/>
        <v>0</v>
      </c>
      <c r="BF244" s="222" t="s">
        <v>573</v>
      </c>
      <c r="BG244" s="58">
        <f t="shared" si="95"/>
        <v>0</v>
      </c>
      <c r="BH244" s="223" t="s">
        <v>573</v>
      </c>
      <c r="BI244" s="58">
        <f t="shared" si="96"/>
        <v>0</v>
      </c>
      <c r="BJ244" s="220">
        <f t="shared" si="104"/>
        <v>9720</v>
      </c>
      <c r="BK244" s="58"/>
      <c r="BL244" s="58" t="s">
        <v>1098</v>
      </c>
      <c r="BM244" s="220" t="s">
        <v>1392</v>
      </c>
      <c r="BN244" s="213" t="s">
        <v>1347</v>
      </c>
      <c r="BO244" s="213" t="s">
        <v>1292</v>
      </c>
      <c r="BP244" s="199">
        <v>45657</v>
      </c>
      <c r="BQ244" s="2" t="s">
        <v>1386</v>
      </c>
    </row>
    <row r="245" spans="1:69" ht="15.75" customHeight="1">
      <c r="A245" s="213" t="s">
        <v>788</v>
      </c>
      <c r="B245" s="58" t="s">
        <v>199</v>
      </c>
      <c r="C245" s="58" t="s">
        <v>752</v>
      </c>
      <c r="D245" s="214" t="s">
        <v>789</v>
      </c>
      <c r="E245" s="214" t="s">
        <v>789</v>
      </c>
      <c r="F245" s="215" t="s">
        <v>186</v>
      </c>
      <c r="G245" s="216">
        <v>2020</v>
      </c>
      <c r="H245" s="218" t="s">
        <v>208</v>
      </c>
      <c r="I245" s="218" t="s">
        <v>201</v>
      </c>
      <c r="J245" s="217" t="s">
        <v>890</v>
      </c>
      <c r="K245" s="213" t="s">
        <v>755</v>
      </c>
      <c r="L245" s="213" t="s">
        <v>192</v>
      </c>
      <c r="M245" s="219" t="s">
        <v>1392</v>
      </c>
      <c r="N245" s="219">
        <v>11.28</v>
      </c>
      <c r="O245" s="219">
        <v>11.28</v>
      </c>
      <c r="P245" s="219">
        <v>11.28</v>
      </c>
      <c r="Q245" s="219">
        <v>11.28</v>
      </c>
      <c r="R245" s="219">
        <v>11.28</v>
      </c>
      <c r="S245" s="219">
        <v>11.28</v>
      </c>
      <c r="T245" s="219">
        <v>11.28</v>
      </c>
      <c r="U245" s="219">
        <v>11.28</v>
      </c>
      <c r="V245" s="219">
        <v>11.28</v>
      </c>
      <c r="W245" s="219">
        <v>11.28</v>
      </c>
      <c r="X245" s="219">
        <v>11.28</v>
      </c>
      <c r="Y245" s="219">
        <v>11.28</v>
      </c>
      <c r="Z245" s="219">
        <v>0.21</v>
      </c>
      <c r="AA245" s="219">
        <v>0.21</v>
      </c>
      <c r="AB245" s="219">
        <v>0.21</v>
      </c>
      <c r="AC245" s="219">
        <v>0.21</v>
      </c>
      <c r="AD245" s="219">
        <v>0.21</v>
      </c>
      <c r="AE245" s="219">
        <v>0.21</v>
      </c>
      <c r="AF245" s="219">
        <v>0.21</v>
      </c>
      <c r="AG245" s="219">
        <v>0.21</v>
      </c>
      <c r="AH245" s="219">
        <v>0.21</v>
      </c>
      <c r="AI245" s="219">
        <v>0.21</v>
      </c>
      <c r="AJ245" s="219">
        <v>0.21</v>
      </c>
      <c r="AK245" s="219">
        <v>0.21</v>
      </c>
      <c r="AL245" s="229">
        <v>2520</v>
      </c>
      <c r="AM245" s="219">
        <f t="shared" si="97"/>
        <v>529.19999999999993</v>
      </c>
      <c r="AN245" s="229" t="s">
        <v>573</v>
      </c>
      <c r="AO245" s="221">
        <f t="shared" si="98"/>
        <v>0</v>
      </c>
      <c r="AP245" s="222">
        <v>2520</v>
      </c>
      <c r="AQ245" s="221">
        <f t="shared" si="99"/>
        <v>529.19999999999993</v>
      </c>
      <c r="AR245" s="222" t="s">
        <v>573</v>
      </c>
      <c r="AS245" s="58">
        <f t="shared" si="100"/>
        <v>0</v>
      </c>
      <c r="AT245" s="222" t="s">
        <v>573</v>
      </c>
      <c r="AU245" s="58">
        <f t="shared" si="101"/>
        <v>0</v>
      </c>
      <c r="AV245" s="222" t="s">
        <v>573</v>
      </c>
      <c r="AW245" s="58">
        <f t="shared" si="102"/>
        <v>0</v>
      </c>
      <c r="AX245" s="251" t="s">
        <v>573</v>
      </c>
      <c r="AY245" s="58">
        <f t="shared" si="103"/>
        <v>0</v>
      </c>
      <c r="AZ245" s="222" t="s">
        <v>573</v>
      </c>
      <c r="BA245" s="58">
        <f t="shared" si="92"/>
        <v>0</v>
      </c>
      <c r="BB245" s="222" t="s">
        <v>573</v>
      </c>
      <c r="BC245" s="58">
        <f t="shared" si="93"/>
        <v>0</v>
      </c>
      <c r="BD245" s="222" t="s">
        <v>573</v>
      </c>
      <c r="BE245" s="58">
        <f t="shared" si="94"/>
        <v>0</v>
      </c>
      <c r="BF245" s="222" t="s">
        <v>573</v>
      </c>
      <c r="BG245" s="58">
        <f t="shared" si="95"/>
        <v>0</v>
      </c>
      <c r="BH245" s="223" t="s">
        <v>573</v>
      </c>
      <c r="BI245" s="58">
        <f t="shared" si="96"/>
        <v>0</v>
      </c>
      <c r="BJ245" s="220">
        <f t="shared" si="104"/>
        <v>5040</v>
      </c>
      <c r="BK245" s="58"/>
      <c r="BL245" s="58" t="s">
        <v>1099</v>
      </c>
      <c r="BM245" s="220" t="s">
        <v>1392</v>
      </c>
      <c r="BN245" s="213" t="s">
        <v>1347</v>
      </c>
      <c r="BO245" s="213" t="s">
        <v>1195</v>
      </c>
      <c r="BP245" s="199">
        <v>45838</v>
      </c>
      <c r="BQ245" s="2" t="s">
        <v>1386</v>
      </c>
    </row>
    <row r="246" spans="1:69" ht="15.75" customHeight="1">
      <c r="A246" s="213" t="s">
        <v>788</v>
      </c>
      <c r="B246" s="58" t="s">
        <v>184</v>
      </c>
      <c r="C246" s="58" t="s">
        <v>752</v>
      </c>
      <c r="D246" s="214" t="s">
        <v>789</v>
      </c>
      <c r="E246" s="214" t="s">
        <v>789</v>
      </c>
      <c r="F246" s="215" t="s">
        <v>186</v>
      </c>
      <c r="G246" s="216">
        <v>2020</v>
      </c>
      <c r="H246" s="218" t="s">
        <v>808</v>
      </c>
      <c r="I246" s="218" t="s">
        <v>196</v>
      </c>
      <c r="J246" s="217" t="s">
        <v>890</v>
      </c>
      <c r="K246" s="213" t="s">
        <v>753</v>
      </c>
      <c r="L246" s="213" t="s">
        <v>192</v>
      </c>
      <c r="M246" s="219" t="s">
        <v>1389</v>
      </c>
      <c r="N246" s="219">
        <v>1.61</v>
      </c>
      <c r="O246" s="219">
        <v>1.61</v>
      </c>
      <c r="P246" s="219">
        <v>1.61</v>
      </c>
      <c r="Q246" s="219">
        <v>1.61</v>
      </c>
      <c r="R246" s="219">
        <v>1.61</v>
      </c>
      <c r="S246" s="219">
        <v>1.61</v>
      </c>
      <c r="T246" s="219">
        <v>1.61</v>
      </c>
      <c r="U246" s="219">
        <v>1.61</v>
      </c>
      <c r="V246" s="219">
        <v>1.61</v>
      </c>
      <c r="W246" s="219">
        <v>1.61</v>
      </c>
      <c r="X246" s="219">
        <v>1.61</v>
      </c>
      <c r="Y246" s="219">
        <v>1.61</v>
      </c>
      <c r="Z246" s="219">
        <v>0</v>
      </c>
      <c r="AA246" s="219">
        <v>0</v>
      </c>
      <c r="AB246" s="219">
        <v>0</v>
      </c>
      <c r="AC246" s="219">
        <v>0</v>
      </c>
      <c r="AD246" s="219">
        <v>0</v>
      </c>
      <c r="AE246" s="219">
        <v>0</v>
      </c>
      <c r="AF246" s="219">
        <v>0</v>
      </c>
      <c r="AG246" s="219">
        <v>0</v>
      </c>
      <c r="AH246" s="219">
        <v>0</v>
      </c>
      <c r="AI246" s="219">
        <v>0</v>
      </c>
      <c r="AJ246" s="219">
        <v>0</v>
      </c>
      <c r="AK246" s="219">
        <v>0</v>
      </c>
      <c r="AL246" s="229">
        <v>26880</v>
      </c>
      <c r="AM246" s="219">
        <f t="shared" si="97"/>
        <v>0</v>
      </c>
      <c r="AN246" s="229">
        <v>20160</v>
      </c>
      <c r="AO246" s="221">
        <f t="shared" si="98"/>
        <v>0</v>
      </c>
      <c r="AP246" s="222">
        <v>13440</v>
      </c>
      <c r="AQ246" s="221">
        <f t="shared" si="99"/>
        <v>0</v>
      </c>
      <c r="AR246" s="222" t="s">
        <v>573</v>
      </c>
      <c r="AS246" s="58">
        <f t="shared" si="100"/>
        <v>0</v>
      </c>
      <c r="AT246" s="222">
        <v>13440</v>
      </c>
      <c r="AU246" s="58">
        <f t="shared" si="101"/>
        <v>0</v>
      </c>
      <c r="AV246" s="222">
        <v>13440</v>
      </c>
      <c r="AW246" s="58">
        <f t="shared" si="102"/>
        <v>0</v>
      </c>
      <c r="AX246" s="251" t="s">
        <v>573</v>
      </c>
      <c r="AY246" s="58">
        <f t="shared" si="103"/>
        <v>0</v>
      </c>
      <c r="AZ246" s="222">
        <v>6720</v>
      </c>
      <c r="BA246" s="58">
        <f t="shared" si="92"/>
        <v>0</v>
      </c>
      <c r="BB246" s="222">
        <v>6720</v>
      </c>
      <c r="BC246" s="58">
        <f t="shared" si="93"/>
        <v>0</v>
      </c>
      <c r="BD246" s="222">
        <v>13440</v>
      </c>
      <c r="BE246" s="58">
        <f t="shared" si="94"/>
        <v>0</v>
      </c>
      <c r="BF246" s="222" t="s">
        <v>573</v>
      </c>
      <c r="BG246" s="58">
        <f t="shared" si="95"/>
        <v>0</v>
      </c>
      <c r="BH246" s="223" t="s">
        <v>573</v>
      </c>
      <c r="BI246" s="58">
        <f t="shared" si="96"/>
        <v>0</v>
      </c>
      <c r="BJ246" s="220">
        <f t="shared" si="104"/>
        <v>114240</v>
      </c>
      <c r="BK246" s="58"/>
      <c r="BL246" s="58" t="s">
        <v>1100</v>
      </c>
      <c r="BM246" s="220" t="s">
        <v>1389</v>
      </c>
      <c r="BN246" s="213" t="s">
        <v>763</v>
      </c>
      <c r="BO246" s="213" t="s">
        <v>510</v>
      </c>
      <c r="BP246" s="199">
        <v>45961</v>
      </c>
      <c r="BQ246" s="2" t="s">
        <v>1386</v>
      </c>
    </row>
    <row r="247" spans="1:69" ht="15.75" customHeight="1">
      <c r="A247" s="213" t="s">
        <v>788</v>
      </c>
      <c r="B247" s="58" t="s">
        <v>184</v>
      </c>
      <c r="C247" s="58" t="s">
        <v>752</v>
      </c>
      <c r="D247" s="214" t="s">
        <v>789</v>
      </c>
      <c r="E247" s="214" t="s">
        <v>789</v>
      </c>
      <c r="F247" s="215" t="s">
        <v>186</v>
      </c>
      <c r="G247" s="216">
        <v>2020</v>
      </c>
      <c r="H247" s="218" t="s">
        <v>822</v>
      </c>
      <c r="I247" s="218" t="s">
        <v>196</v>
      </c>
      <c r="J247" s="217" t="s">
        <v>890</v>
      </c>
      <c r="K247" s="213" t="s">
        <v>753</v>
      </c>
      <c r="L247" s="213" t="s">
        <v>192</v>
      </c>
      <c r="M247" s="219" t="s">
        <v>1397</v>
      </c>
      <c r="N247" s="219">
        <v>1.65</v>
      </c>
      <c r="O247" s="219">
        <v>1.65</v>
      </c>
      <c r="P247" s="219">
        <v>1.65</v>
      </c>
      <c r="Q247" s="219">
        <v>1.65</v>
      </c>
      <c r="R247" s="219">
        <v>1.65</v>
      </c>
      <c r="S247" s="219">
        <v>1.65</v>
      </c>
      <c r="T247" s="219">
        <v>1.65</v>
      </c>
      <c r="U247" s="219">
        <v>1.65</v>
      </c>
      <c r="V247" s="219">
        <v>1.65</v>
      </c>
      <c r="W247" s="219">
        <v>1.65</v>
      </c>
      <c r="X247" s="219">
        <v>1.65</v>
      </c>
      <c r="Y247" s="219">
        <v>1.65</v>
      </c>
      <c r="Z247" s="219">
        <v>0</v>
      </c>
      <c r="AA247" s="219">
        <v>0</v>
      </c>
      <c r="AB247" s="219">
        <v>0</v>
      </c>
      <c r="AC247" s="219">
        <v>0</v>
      </c>
      <c r="AD247" s="219">
        <v>0</v>
      </c>
      <c r="AE247" s="219">
        <v>0</v>
      </c>
      <c r="AF247" s="219">
        <v>0</v>
      </c>
      <c r="AG247" s="219">
        <v>0</v>
      </c>
      <c r="AH247" s="219">
        <v>0</v>
      </c>
      <c r="AI247" s="219">
        <v>0</v>
      </c>
      <c r="AJ247" s="219">
        <v>0</v>
      </c>
      <c r="AK247" s="219">
        <v>0</v>
      </c>
      <c r="AL247" s="229" t="s">
        <v>573</v>
      </c>
      <c r="AM247" s="219">
        <f t="shared" si="97"/>
        <v>0</v>
      </c>
      <c r="AN247" s="229" t="s">
        <v>573</v>
      </c>
      <c r="AO247" s="221">
        <f t="shared" si="98"/>
        <v>0</v>
      </c>
      <c r="AP247" s="222" t="s">
        <v>573</v>
      </c>
      <c r="AQ247" s="221">
        <f t="shared" si="99"/>
        <v>0</v>
      </c>
      <c r="AR247" s="222" t="s">
        <v>573</v>
      </c>
      <c r="AS247" s="58">
        <f t="shared" si="100"/>
        <v>0</v>
      </c>
      <c r="AT247" s="222" t="s">
        <v>573</v>
      </c>
      <c r="AU247" s="58">
        <f t="shared" si="101"/>
        <v>0</v>
      </c>
      <c r="AV247" s="222" t="s">
        <v>573</v>
      </c>
      <c r="AW247" s="58">
        <f t="shared" si="102"/>
        <v>0</v>
      </c>
      <c r="AX247" s="251" t="s">
        <v>573</v>
      </c>
      <c r="AY247" s="58">
        <f t="shared" si="103"/>
        <v>0</v>
      </c>
      <c r="AZ247" s="222" t="s">
        <v>573</v>
      </c>
      <c r="BA247" s="58">
        <f t="shared" si="92"/>
        <v>0</v>
      </c>
      <c r="BB247" s="222" t="s">
        <v>573</v>
      </c>
      <c r="BC247" s="58">
        <f t="shared" si="93"/>
        <v>0</v>
      </c>
      <c r="BD247" s="222" t="s">
        <v>573</v>
      </c>
      <c r="BE247" s="58">
        <f t="shared" si="94"/>
        <v>0</v>
      </c>
      <c r="BF247" s="222" t="s">
        <v>573</v>
      </c>
      <c r="BG247" s="58">
        <f t="shared" si="95"/>
        <v>0</v>
      </c>
      <c r="BH247" s="223" t="s">
        <v>573</v>
      </c>
      <c r="BI247" s="58">
        <f t="shared" si="96"/>
        <v>0</v>
      </c>
      <c r="BJ247" s="220">
        <f t="shared" si="104"/>
        <v>0</v>
      </c>
      <c r="BK247" s="58"/>
      <c r="BL247" s="58" t="s">
        <v>1101</v>
      </c>
      <c r="BM247" s="220" t="s">
        <v>1397</v>
      </c>
      <c r="BN247" s="213" t="s">
        <v>754</v>
      </c>
      <c r="BO247" s="213" t="s">
        <v>581</v>
      </c>
      <c r="BP247" s="199">
        <v>45443</v>
      </c>
      <c r="BQ247" s="2" t="s">
        <v>1386</v>
      </c>
    </row>
    <row r="248" spans="1:69" ht="15.75" customHeight="1">
      <c r="A248" s="213" t="s">
        <v>788</v>
      </c>
      <c r="B248" s="58" t="s">
        <v>184</v>
      </c>
      <c r="C248" s="58" t="s">
        <v>752</v>
      </c>
      <c r="D248" s="214" t="s">
        <v>789</v>
      </c>
      <c r="E248" s="214" t="s">
        <v>789</v>
      </c>
      <c r="F248" s="215" t="s">
        <v>186</v>
      </c>
      <c r="G248" s="216">
        <v>2023</v>
      </c>
      <c r="H248" s="218" t="s">
        <v>1318</v>
      </c>
      <c r="I248" s="218" t="s">
        <v>196</v>
      </c>
      <c r="J248" s="217" t="s">
        <v>890</v>
      </c>
      <c r="K248" s="213" t="s">
        <v>753</v>
      </c>
      <c r="L248" s="213" t="s">
        <v>192</v>
      </c>
      <c r="M248" s="219" t="s">
        <v>1388</v>
      </c>
      <c r="N248" s="219">
        <v>5.4</v>
      </c>
      <c r="O248" s="219">
        <v>5.4</v>
      </c>
      <c r="P248" s="219">
        <v>5.4</v>
      </c>
      <c r="Q248" s="219">
        <v>5.4</v>
      </c>
      <c r="R248" s="219">
        <v>5.4</v>
      </c>
      <c r="S248" s="219">
        <v>5.4</v>
      </c>
      <c r="T248" s="219">
        <v>5.4</v>
      </c>
      <c r="U248" s="219">
        <v>5.4</v>
      </c>
      <c r="V248" s="219">
        <v>5.4</v>
      </c>
      <c r="W248" s="219">
        <v>5.4</v>
      </c>
      <c r="X248" s="219">
        <v>5.4</v>
      </c>
      <c r="Y248" s="219">
        <v>5.4</v>
      </c>
      <c r="Z248" s="219">
        <v>0</v>
      </c>
      <c r="AA248" s="219">
        <v>0</v>
      </c>
      <c r="AB248" s="219">
        <v>0</v>
      </c>
      <c r="AC248" s="219">
        <v>0</v>
      </c>
      <c r="AD248" s="219">
        <v>0</v>
      </c>
      <c r="AE248" s="219">
        <v>0</v>
      </c>
      <c r="AF248" s="219">
        <v>0</v>
      </c>
      <c r="AG248" s="219">
        <v>0</v>
      </c>
      <c r="AH248" s="219">
        <v>0</v>
      </c>
      <c r="AI248" s="219">
        <v>0</v>
      </c>
      <c r="AJ248" s="219">
        <v>0</v>
      </c>
      <c r="AK248" s="219">
        <v>0</v>
      </c>
      <c r="AL248" s="229" t="s">
        <v>573</v>
      </c>
      <c r="AM248" s="219">
        <f t="shared" si="97"/>
        <v>0</v>
      </c>
      <c r="AN248" s="229" t="s">
        <v>573</v>
      </c>
      <c r="AO248" s="221">
        <f t="shared" si="98"/>
        <v>0</v>
      </c>
      <c r="AP248" s="222" t="s">
        <v>573</v>
      </c>
      <c r="AQ248" s="221">
        <f t="shared" si="99"/>
        <v>0</v>
      </c>
      <c r="AR248" s="222" t="s">
        <v>573</v>
      </c>
      <c r="AS248" s="58">
        <f t="shared" si="100"/>
        <v>0</v>
      </c>
      <c r="AT248" s="222" t="s">
        <v>573</v>
      </c>
      <c r="AU248" s="58">
        <f t="shared" si="101"/>
        <v>0</v>
      </c>
      <c r="AV248" s="222" t="s">
        <v>573</v>
      </c>
      <c r="AW248" s="58">
        <f t="shared" si="102"/>
        <v>0</v>
      </c>
      <c r="AX248" s="251" t="s">
        <v>573</v>
      </c>
      <c r="AY248" s="58">
        <f t="shared" si="103"/>
        <v>0</v>
      </c>
      <c r="AZ248" s="222" t="s">
        <v>573</v>
      </c>
      <c r="BA248" s="58">
        <f t="shared" ref="BA248:BA324" si="105">AZ248*AG248</f>
        <v>0</v>
      </c>
      <c r="BB248" s="222" t="s">
        <v>573</v>
      </c>
      <c r="BC248" s="58">
        <f t="shared" ref="BC248:BC324" si="106">BB248*AH248</f>
        <v>0</v>
      </c>
      <c r="BD248" s="222" t="s">
        <v>573</v>
      </c>
      <c r="BE248" s="58">
        <f t="shared" ref="BE248:BE324" si="107">BD248*AI248</f>
        <v>0</v>
      </c>
      <c r="BF248" s="222" t="s">
        <v>573</v>
      </c>
      <c r="BG248" s="58">
        <f t="shared" ref="BG248:BG324" si="108">BF248*AJ248</f>
        <v>0</v>
      </c>
      <c r="BH248" s="223" t="s">
        <v>573</v>
      </c>
      <c r="BI248" s="58">
        <f t="shared" ref="BI248:BI324" si="109">BH248*AK248</f>
        <v>0</v>
      </c>
      <c r="BJ248" s="220">
        <f t="shared" si="104"/>
        <v>0</v>
      </c>
      <c r="BK248" s="58"/>
      <c r="BL248" s="58" t="s">
        <v>1102</v>
      </c>
      <c r="BM248" s="220" t="s">
        <v>1388</v>
      </c>
      <c r="BN248" s="213" t="s">
        <v>807</v>
      </c>
      <c r="BO248" s="213" t="s">
        <v>639</v>
      </c>
      <c r="BP248" s="199">
        <v>46053</v>
      </c>
      <c r="BQ248" s="2" t="s">
        <v>1386</v>
      </c>
    </row>
    <row r="249" spans="1:69" ht="15.75" customHeight="1">
      <c r="A249" s="213" t="s">
        <v>788</v>
      </c>
      <c r="B249" s="58" t="s">
        <v>184</v>
      </c>
      <c r="C249" s="58" t="s">
        <v>752</v>
      </c>
      <c r="D249" s="214" t="s">
        <v>789</v>
      </c>
      <c r="E249" s="214" t="s">
        <v>789</v>
      </c>
      <c r="F249" s="215" t="s">
        <v>186</v>
      </c>
      <c r="G249" s="216">
        <v>2023</v>
      </c>
      <c r="H249" s="218" t="s">
        <v>1318</v>
      </c>
      <c r="I249" s="218" t="s">
        <v>196</v>
      </c>
      <c r="J249" s="217" t="s">
        <v>890</v>
      </c>
      <c r="K249" s="213" t="s">
        <v>221</v>
      </c>
      <c r="L249" s="213" t="s">
        <v>192</v>
      </c>
      <c r="M249" s="219" t="s">
        <v>1389</v>
      </c>
      <c r="N249" s="219">
        <v>5.4</v>
      </c>
      <c r="O249" s="219">
        <v>5.4</v>
      </c>
      <c r="P249" s="219">
        <v>5.4</v>
      </c>
      <c r="Q249" s="219">
        <v>5.4</v>
      </c>
      <c r="R249" s="219">
        <v>5.4</v>
      </c>
      <c r="S249" s="219">
        <v>5.4</v>
      </c>
      <c r="T249" s="219">
        <v>5.4</v>
      </c>
      <c r="U249" s="219">
        <v>5.4</v>
      </c>
      <c r="V249" s="219">
        <v>5.4</v>
      </c>
      <c r="W249" s="219">
        <v>5.4</v>
      </c>
      <c r="X249" s="219">
        <v>5.4</v>
      </c>
      <c r="Y249" s="219">
        <v>5.4</v>
      </c>
      <c r="Z249" s="219">
        <v>0</v>
      </c>
      <c r="AA249" s="219">
        <v>0</v>
      </c>
      <c r="AB249" s="219">
        <v>0</v>
      </c>
      <c r="AC249" s="219">
        <v>0</v>
      </c>
      <c r="AD249" s="219">
        <v>0</v>
      </c>
      <c r="AE249" s="219">
        <v>0</v>
      </c>
      <c r="AF249" s="219">
        <v>0</v>
      </c>
      <c r="AG249" s="219">
        <v>0</v>
      </c>
      <c r="AH249" s="219">
        <v>0</v>
      </c>
      <c r="AI249" s="219">
        <v>0</v>
      </c>
      <c r="AJ249" s="219">
        <v>0</v>
      </c>
      <c r="AK249" s="219">
        <v>0</v>
      </c>
      <c r="AL249" s="229" t="s">
        <v>573</v>
      </c>
      <c r="AM249" s="219">
        <f t="shared" si="97"/>
        <v>0</v>
      </c>
      <c r="AN249" s="229" t="s">
        <v>573</v>
      </c>
      <c r="AO249" s="221">
        <f t="shared" si="98"/>
        <v>0</v>
      </c>
      <c r="AP249" s="222" t="s">
        <v>573</v>
      </c>
      <c r="AQ249" s="221">
        <f t="shared" si="99"/>
        <v>0</v>
      </c>
      <c r="AR249" s="222" t="s">
        <v>573</v>
      </c>
      <c r="AS249" s="58">
        <f t="shared" si="100"/>
        <v>0</v>
      </c>
      <c r="AT249" s="222" t="s">
        <v>573</v>
      </c>
      <c r="AU249" s="58">
        <f t="shared" si="101"/>
        <v>0</v>
      </c>
      <c r="AV249" s="222" t="s">
        <v>573</v>
      </c>
      <c r="AW249" s="58">
        <f t="shared" si="102"/>
        <v>0</v>
      </c>
      <c r="AX249" s="251" t="s">
        <v>573</v>
      </c>
      <c r="AY249" s="58">
        <f t="shared" si="103"/>
        <v>0</v>
      </c>
      <c r="AZ249" s="222" t="s">
        <v>573</v>
      </c>
      <c r="BA249" s="58">
        <f t="shared" si="105"/>
        <v>0</v>
      </c>
      <c r="BB249" s="222" t="s">
        <v>573</v>
      </c>
      <c r="BC249" s="58">
        <f t="shared" si="106"/>
        <v>0</v>
      </c>
      <c r="BD249" s="222" t="s">
        <v>573</v>
      </c>
      <c r="BE249" s="58">
        <f t="shared" si="107"/>
        <v>0</v>
      </c>
      <c r="BF249" s="222" t="s">
        <v>573</v>
      </c>
      <c r="BG249" s="58">
        <f t="shared" si="108"/>
        <v>0</v>
      </c>
      <c r="BH249" s="223" t="s">
        <v>573</v>
      </c>
      <c r="BI249" s="58">
        <f t="shared" si="109"/>
        <v>0</v>
      </c>
      <c r="BJ249" s="220">
        <f t="shared" si="104"/>
        <v>0</v>
      </c>
      <c r="BK249" s="58"/>
      <c r="BL249" s="58" t="s">
        <v>1103</v>
      </c>
      <c r="BM249" s="220" t="s">
        <v>1389</v>
      </c>
      <c r="BN249" s="213" t="s">
        <v>763</v>
      </c>
      <c r="BO249" s="213" t="s">
        <v>640</v>
      </c>
      <c r="BP249" s="199">
        <v>46053</v>
      </c>
      <c r="BQ249" s="2" t="s">
        <v>1386</v>
      </c>
    </row>
    <row r="250" spans="1:69" ht="15.75" customHeight="1">
      <c r="A250" s="213" t="s">
        <v>788</v>
      </c>
      <c r="B250" s="58" t="s">
        <v>184</v>
      </c>
      <c r="C250" s="58" t="s">
        <v>752</v>
      </c>
      <c r="D250" s="214" t="s">
        <v>789</v>
      </c>
      <c r="E250" s="214" t="s">
        <v>789</v>
      </c>
      <c r="F250" s="215" t="s">
        <v>186</v>
      </c>
      <c r="G250" s="216">
        <v>2023</v>
      </c>
      <c r="H250" s="218" t="s">
        <v>1318</v>
      </c>
      <c r="I250" s="218" t="s">
        <v>196</v>
      </c>
      <c r="J250" s="217" t="s">
        <v>890</v>
      </c>
      <c r="K250" s="213" t="s">
        <v>221</v>
      </c>
      <c r="L250" s="213" t="s">
        <v>192</v>
      </c>
      <c r="M250" s="219" t="s">
        <v>1397</v>
      </c>
      <c r="N250" s="219">
        <v>5.4</v>
      </c>
      <c r="O250" s="219">
        <v>5.4</v>
      </c>
      <c r="P250" s="219">
        <v>5.4</v>
      </c>
      <c r="Q250" s="219">
        <v>5.4</v>
      </c>
      <c r="R250" s="219">
        <v>5.4</v>
      </c>
      <c r="S250" s="219">
        <v>5.4</v>
      </c>
      <c r="T250" s="219">
        <v>5.4</v>
      </c>
      <c r="U250" s="219">
        <v>5.4</v>
      </c>
      <c r="V250" s="219">
        <v>5.4</v>
      </c>
      <c r="W250" s="219">
        <v>5.4</v>
      </c>
      <c r="X250" s="219">
        <v>5.4</v>
      </c>
      <c r="Y250" s="219">
        <v>5.4</v>
      </c>
      <c r="Z250" s="219">
        <v>0</v>
      </c>
      <c r="AA250" s="219">
        <v>0</v>
      </c>
      <c r="AB250" s="219">
        <v>0</v>
      </c>
      <c r="AC250" s="219">
        <v>0</v>
      </c>
      <c r="AD250" s="219">
        <v>0</v>
      </c>
      <c r="AE250" s="219">
        <v>0</v>
      </c>
      <c r="AF250" s="219">
        <v>0</v>
      </c>
      <c r="AG250" s="219">
        <v>0</v>
      </c>
      <c r="AH250" s="219">
        <v>0</v>
      </c>
      <c r="AI250" s="219">
        <v>0</v>
      </c>
      <c r="AJ250" s="219">
        <v>0</v>
      </c>
      <c r="AK250" s="219">
        <v>0</v>
      </c>
      <c r="AL250" s="229" t="s">
        <v>573</v>
      </c>
      <c r="AM250" s="219">
        <f t="shared" si="97"/>
        <v>0</v>
      </c>
      <c r="AN250" s="229" t="s">
        <v>573</v>
      </c>
      <c r="AO250" s="221">
        <f t="shared" si="98"/>
        <v>0</v>
      </c>
      <c r="AP250" s="222" t="s">
        <v>573</v>
      </c>
      <c r="AQ250" s="221">
        <f t="shared" si="99"/>
        <v>0</v>
      </c>
      <c r="AR250" s="222" t="s">
        <v>573</v>
      </c>
      <c r="AS250" s="58">
        <f t="shared" si="100"/>
        <v>0</v>
      </c>
      <c r="AT250" s="222" t="s">
        <v>573</v>
      </c>
      <c r="AU250" s="58">
        <f t="shared" si="101"/>
        <v>0</v>
      </c>
      <c r="AV250" s="222" t="s">
        <v>573</v>
      </c>
      <c r="AW250" s="58">
        <f t="shared" si="102"/>
        <v>0</v>
      </c>
      <c r="AX250" s="251" t="s">
        <v>573</v>
      </c>
      <c r="AY250" s="58">
        <f t="shared" si="103"/>
        <v>0</v>
      </c>
      <c r="AZ250" s="222" t="s">
        <v>573</v>
      </c>
      <c r="BA250" s="58">
        <f t="shared" si="105"/>
        <v>0</v>
      </c>
      <c r="BB250" s="222" t="s">
        <v>573</v>
      </c>
      <c r="BC250" s="58">
        <f t="shared" si="106"/>
        <v>0</v>
      </c>
      <c r="BD250" s="222" t="s">
        <v>573</v>
      </c>
      <c r="BE250" s="58">
        <f t="shared" si="107"/>
        <v>0</v>
      </c>
      <c r="BF250" s="222" t="s">
        <v>573</v>
      </c>
      <c r="BG250" s="58">
        <f t="shared" si="108"/>
        <v>0</v>
      </c>
      <c r="BH250" s="223" t="s">
        <v>573</v>
      </c>
      <c r="BI250" s="58">
        <f t="shared" si="109"/>
        <v>0</v>
      </c>
      <c r="BJ250" s="220">
        <f t="shared" si="104"/>
        <v>0</v>
      </c>
      <c r="BK250" s="58"/>
      <c r="BL250" s="58" t="s">
        <v>1104</v>
      </c>
      <c r="BM250" s="220" t="s">
        <v>1397</v>
      </c>
      <c r="BN250" s="213" t="s">
        <v>754</v>
      </c>
      <c r="BO250" s="213" t="s">
        <v>641</v>
      </c>
      <c r="BP250" s="199">
        <v>46053</v>
      </c>
      <c r="BQ250" s="2" t="s">
        <v>1386</v>
      </c>
    </row>
    <row r="251" spans="1:69" ht="15.75" customHeight="1">
      <c r="A251" s="213" t="s">
        <v>788</v>
      </c>
      <c r="B251" s="58" t="s">
        <v>184</v>
      </c>
      <c r="C251" s="58" t="s">
        <v>752</v>
      </c>
      <c r="D251" s="214" t="s">
        <v>789</v>
      </c>
      <c r="E251" s="214" t="s">
        <v>789</v>
      </c>
      <c r="F251" s="215" t="s">
        <v>186</v>
      </c>
      <c r="G251" s="216">
        <v>2023</v>
      </c>
      <c r="H251" s="218" t="s">
        <v>1318</v>
      </c>
      <c r="I251" s="218" t="s">
        <v>196</v>
      </c>
      <c r="J251" s="217" t="s">
        <v>890</v>
      </c>
      <c r="K251" s="213" t="s">
        <v>753</v>
      </c>
      <c r="L251" s="213" t="s">
        <v>192</v>
      </c>
      <c r="M251" s="219" t="s">
        <v>1388</v>
      </c>
      <c r="N251" s="219">
        <v>5.4</v>
      </c>
      <c r="O251" s="219">
        <v>5.4</v>
      </c>
      <c r="P251" s="219">
        <v>5.4</v>
      </c>
      <c r="Q251" s="219">
        <v>5.4</v>
      </c>
      <c r="R251" s="219">
        <v>5.4</v>
      </c>
      <c r="S251" s="219">
        <v>5.4</v>
      </c>
      <c r="T251" s="219">
        <v>5.4</v>
      </c>
      <c r="U251" s="219">
        <v>5.4</v>
      </c>
      <c r="V251" s="219">
        <v>5.4</v>
      </c>
      <c r="W251" s="219">
        <v>5.4</v>
      </c>
      <c r="X251" s="219">
        <v>5.4</v>
      </c>
      <c r="Y251" s="219">
        <v>5.4</v>
      </c>
      <c r="Z251" s="219">
        <v>0</v>
      </c>
      <c r="AA251" s="219">
        <v>0</v>
      </c>
      <c r="AB251" s="219">
        <v>0</v>
      </c>
      <c r="AC251" s="219">
        <v>0</v>
      </c>
      <c r="AD251" s="219">
        <v>0</v>
      </c>
      <c r="AE251" s="219">
        <v>0</v>
      </c>
      <c r="AF251" s="219">
        <v>0</v>
      </c>
      <c r="AG251" s="219">
        <v>0</v>
      </c>
      <c r="AH251" s="219">
        <v>0</v>
      </c>
      <c r="AI251" s="219">
        <v>0</v>
      </c>
      <c r="AJ251" s="219">
        <v>0</v>
      </c>
      <c r="AK251" s="219">
        <v>0</v>
      </c>
      <c r="AL251" s="229" t="s">
        <v>573</v>
      </c>
      <c r="AM251" s="219">
        <f t="shared" si="97"/>
        <v>0</v>
      </c>
      <c r="AN251" s="229" t="s">
        <v>573</v>
      </c>
      <c r="AO251" s="221">
        <f t="shared" si="98"/>
        <v>0</v>
      </c>
      <c r="AP251" s="222" t="s">
        <v>573</v>
      </c>
      <c r="AQ251" s="221">
        <f t="shared" si="99"/>
        <v>0</v>
      </c>
      <c r="AR251" s="222" t="s">
        <v>573</v>
      </c>
      <c r="AS251" s="58">
        <f t="shared" si="100"/>
        <v>0</v>
      </c>
      <c r="AT251" s="222" t="s">
        <v>573</v>
      </c>
      <c r="AU251" s="58">
        <f t="shared" si="101"/>
        <v>0</v>
      </c>
      <c r="AV251" s="222" t="s">
        <v>573</v>
      </c>
      <c r="AW251" s="58">
        <f t="shared" si="102"/>
        <v>0</v>
      </c>
      <c r="AX251" s="251" t="s">
        <v>573</v>
      </c>
      <c r="AY251" s="58">
        <f t="shared" si="103"/>
        <v>0</v>
      </c>
      <c r="AZ251" s="222" t="s">
        <v>573</v>
      </c>
      <c r="BA251" s="58">
        <f t="shared" si="105"/>
        <v>0</v>
      </c>
      <c r="BB251" s="222" t="s">
        <v>573</v>
      </c>
      <c r="BC251" s="58">
        <f t="shared" si="106"/>
        <v>0</v>
      </c>
      <c r="BD251" s="222" t="s">
        <v>573</v>
      </c>
      <c r="BE251" s="58">
        <f t="shared" si="107"/>
        <v>0</v>
      </c>
      <c r="BF251" s="222" t="s">
        <v>573</v>
      </c>
      <c r="BG251" s="58">
        <f t="shared" si="108"/>
        <v>0</v>
      </c>
      <c r="BH251" s="223" t="s">
        <v>573</v>
      </c>
      <c r="BI251" s="58">
        <f t="shared" si="109"/>
        <v>0</v>
      </c>
      <c r="BJ251" s="220">
        <f t="shared" si="104"/>
        <v>0</v>
      </c>
      <c r="BK251" s="58"/>
      <c r="BL251" s="58" t="s">
        <v>1105</v>
      </c>
      <c r="BM251" s="220" t="s">
        <v>1388</v>
      </c>
      <c r="BN251" s="213" t="s">
        <v>754</v>
      </c>
      <c r="BO251" s="213" t="s">
        <v>642</v>
      </c>
      <c r="BP251" s="199">
        <v>46053</v>
      </c>
      <c r="BQ251" s="2" t="s">
        <v>1386</v>
      </c>
    </row>
    <row r="252" spans="1:69" ht="15.75" customHeight="1">
      <c r="A252" s="213" t="s">
        <v>788</v>
      </c>
      <c r="B252" s="58" t="s">
        <v>184</v>
      </c>
      <c r="C252" s="58" t="s">
        <v>752</v>
      </c>
      <c r="D252" s="214" t="s">
        <v>789</v>
      </c>
      <c r="E252" s="214" t="s">
        <v>789</v>
      </c>
      <c r="F252" s="215" t="s">
        <v>186</v>
      </c>
      <c r="G252" s="216">
        <v>2023</v>
      </c>
      <c r="H252" s="218" t="s">
        <v>1318</v>
      </c>
      <c r="I252" s="218" t="s">
        <v>196</v>
      </c>
      <c r="J252" s="217" t="s">
        <v>890</v>
      </c>
      <c r="K252" s="213" t="s">
        <v>753</v>
      </c>
      <c r="L252" s="213" t="s">
        <v>192</v>
      </c>
      <c r="M252" s="219" t="s">
        <v>1388</v>
      </c>
      <c r="N252" s="219">
        <v>5.4</v>
      </c>
      <c r="O252" s="219">
        <v>5.4</v>
      </c>
      <c r="P252" s="219">
        <v>5.4</v>
      </c>
      <c r="Q252" s="219">
        <v>5.4</v>
      </c>
      <c r="R252" s="219">
        <v>5.4</v>
      </c>
      <c r="S252" s="219">
        <v>5.4</v>
      </c>
      <c r="T252" s="219">
        <v>5.4</v>
      </c>
      <c r="U252" s="219">
        <v>5.4</v>
      </c>
      <c r="V252" s="219">
        <v>5.4</v>
      </c>
      <c r="W252" s="219">
        <v>5.4</v>
      </c>
      <c r="X252" s="219">
        <v>5.4</v>
      </c>
      <c r="Y252" s="219">
        <v>5.4</v>
      </c>
      <c r="Z252" s="219">
        <v>0</v>
      </c>
      <c r="AA252" s="219">
        <v>0</v>
      </c>
      <c r="AB252" s="219">
        <v>0</v>
      </c>
      <c r="AC252" s="219">
        <v>0</v>
      </c>
      <c r="AD252" s="219">
        <v>0</v>
      </c>
      <c r="AE252" s="219">
        <v>0</v>
      </c>
      <c r="AF252" s="219">
        <v>0</v>
      </c>
      <c r="AG252" s="219">
        <v>0</v>
      </c>
      <c r="AH252" s="219">
        <v>0</v>
      </c>
      <c r="AI252" s="219">
        <v>0</v>
      </c>
      <c r="AJ252" s="219">
        <v>0</v>
      </c>
      <c r="AK252" s="219">
        <v>0</v>
      </c>
      <c r="AL252" s="229" t="s">
        <v>573</v>
      </c>
      <c r="AM252" s="219">
        <f t="shared" si="97"/>
        <v>0</v>
      </c>
      <c r="AN252" s="229" t="s">
        <v>573</v>
      </c>
      <c r="AO252" s="221">
        <f t="shared" si="98"/>
        <v>0</v>
      </c>
      <c r="AP252" s="222" t="s">
        <v>573</v>
      </c>
      <c r="AQ252" s="221">
        <f t="shared" si="99"/>
        <v>0</v>
      </c>
      <c r="AR252" s="222" t="s">
        <v>573</v>
      </c>
      <c r="AS252" s="58">
        <f t="shared" si="100"/>
        <v>0</v>
      </c>
      <c r="AT252" s="222" t="s">
        <v>573</v>
      </c>
      <c r="AU252" s="58">
        <f t="shared" si="101"/>
        <v>0</v>
      </c>
      <c r="AV252" s="222" t="s">
        <v>573</v>
      </c>
      <c r="AW252" s="58">
        <f t="shared" si="102"/>
        <v>0</v>
      </c>
      <c r="AX252" s="251" t="s">
        <v>573</v>
      </c>
      <c r="AY252" s="58">
        <f t="shared" si="103"/>
        <v>0</v>
      </c>
      <c r="AZ252" s="222" t="s">
        <v>573</v>
      </c>
      <c r="BA252" s="58">
        <f t="shared" si="105"/>
        <v>0</v>
      </c>
      <c r="BB252" s="222" t="s">
        <v>573</v>
      </c>
      <c r="BC252" s="58">
        <f t="shared" si="106"/>
        <v>0</v>
      </c>
      <c r="BD252" s="222" t="s">
        <v>573</v>
      </c>
      <c r="BE252" s="58">
        <f t="shared" si="107"/>
        <v>0</v>
      </c>
      <c r="BF252" s="222" t="s">
        <v>573</v>
      </c>
      <c r="BG252" s="58">
        <f t="shared" si="108"/>
        <v>0</v>
      </c>
      <c r="BH252" s="223" t="s">
        <v>573</v>
      </c>
      <c r="BI252" s="58">
        <f t="shared" si="109"/>
        <v>0</v>
      </c>
      <c r="BJ252" s="220">
        <f t="shared" si="104"/>
        <v>0</v>
      </c>
      <c r="BK252" s="58"/>
      <c r="BL252" s="58" t="s">
        <v>1106</v>
      </c>
      <c r="BM252" s="220" t="s">
        <v>1388</v>
      </c>
      <c r="BN252" s="213" t="s">
        <v>807</v>
      </c>
      <c r="BO252" s="213" t="s">
        <v>1189</v>
      </c>
      <c r="BP252" s="199"/>
      <c r="BQ252" s="2" t="s">
        <v>1386</v>
      </c>
    </row>
    <row r="253" spans="1:69" ht="15.75" customHeight="1">
      <c r="A253" s="213" t="s">
        <v>788</v>
      </c>
      <c r="B253" s="58" t="s">
        <v>184</v>
      </c>
      <c r="C253" s="58" t="s">
        <v>752</v>
      </c>
      <c r="D253" s="214" t="s">
        <v>789</v>
      </c>
      <c r="E253" s="214" t="s">
        <v>789</v>
      </c>
      <c r="F253" s="215" t="s">
        <v>186</v>
      </c>
      <c r="G253" s="216">
        <v>2023</v>
      </c>
      <c r="H253" s="218" t="s">
        <v>1318</v>
      </c>
      <c r="I253" s="218" t="s">
        <v>196</v>
      </c>
      <c r="J253" s="217" t="s">
        <v>890</v>
      </c>
      <c r="K253" s="213" t="s">
        <v>753</v>
      </c>
      <c r="L253" s="213" t="s">
        <v>192</v>
      </c>
      <c r="M253" s="219" t="s">
        <v>1389</v>
      </c>
      <c r="N253" s="219">
        <v>5.4</v>
      </c>
      <c r="O253" s="219">
        <v>5.4</v>
      </c>
      <c r="P253" s="219">
        <v>5.4</v>
      </c>
      <c r="Q253" s="219">
        <v>5.4</v>
      </c>
      <c r="R253" s="219">
        <v>5.4</v>
      </c>
      <c r="S253" s="219">
        <v>5.4</v>
      </c>
      <c r="T253" s="219">
        <v>5.4</v>
      </c>
      <c r="U253" s="219">
        <v>5.4</v>
      </c>
      <c r="V253" s="219">
        <v>5.4</v>
      </c>
      <c r="W253" s="219">
        <v>5.4</v>
      </c>
      <c r="X253" s="219">
        <v>5.4</v>
      </c>
      <c r="Y253" s="219">
        <v>5.4</v>
      </c>
      <c r="Z253" s="219">
        <v>0</v>
      </c>
      <c r="AA253" s="219">
        <v>0</v>
      </c>
      <c r="AB253" s="219">
        <v>0</v>
      </c>
      <c r="AC253" s="219">
        <v>0</v>
      </c>
      <c r="AD253" s="219">
        <v>0</v>
      </c>
      <c r="AE253" s="219">
        <v>0</v>
      </c>
      <c r="AF253" s="219">
        <v>0</v>
      </c>
      <c r="AG253" s="219">
        <v>0</v>
      </c>
      <c r="AH253" s="219">
        <v>0</v>
      </c>
      <c r="AI253" s="219">
        <v>0</v>
      </c>
      <c r="AJ253" s="219">
        <v>0</v>
      </c>
      <c r="AK253" s="219">
        <v>0</v>
      </c>
      <c r="AL253" s="229">
        <v>3200</v>
      </c>
      <c r="AM253" s="219">
        <f t="shared" si="97"/>
        <v>0</v>
      </c>
      <c r="AN253" s="229" t="s">
        <v>573</v>
      </c>
      <c r="AO253" s="221">
        <f t="shared" si="98"/>
        <v>0</v>
      </c>
      <c r="AP253" s="222" t="s">
        <v>573</v>
      </c>
      <c r="AQ253" s="221">
        <f t="shared" si="99"/>
        <v>0</v>
      </c>
      <c r="AR253" s="222" t="s">
        <v>573</v>
      </c>
      <c r="AS253" s="58">
        <f t="shared" si="100"/>
        <v>0</v>
      </c>
      <c r="AT253" s="222" t="s">
        <v>573</v>
      </c>
      <c r="AU253" s="58">
        <f t="shared" si="101"/>
        <v>0</v>
      </c>
      <c r="AV253" s="222">
        <v>6400</v>
      </c>
      <c r="AW253" s="58">
        <f t="shared" si="102"/>
        <v>0</v>
      </c>
      <c r="AX253" s="251">
        <v>3200</v>
      </c>
      <c r="AY253" s="58">
        <f t="shared" si="103"/>
        <v>0</v>
      </c>
      <c r="AZ253" s="222">
        <v>3200</v>
      </c>
      <c r="BA253" s="58">
        <f t="shared" si="105"/>
        <v>0</v>
      </c>
      <c r="BB253" s="222">
        <v>12800</v>
      </c>
      <c r="BC253" s="58">
        <f t="shared" si="106"/>
        <v>0</v>
      </c>
      <c r="BD253" s="222">
        <v>16000</v>
      </c>
      <c r="BE253" s="58">
        <f t="shared" si="107"/>
        <v>0</v>
      </c>
      <c r="BF253" s="222">
        <v>3200</v>
      </c>
      <c r="BG253" s="58">
        <f t="shared" si="108"/>
        <v>0</v>
      </c>
      <c r="BH253" s="223">
        <v>6400</v>
      </c>
      <c r="BI253" s="58">
        <f t="shared" si="109"/>
        <v>0</v>
      </c>
      <c r="BJ253" s="220">
        <f t="shared" si="104"/>
        <v>54400</v>
      </c>
      <c r="BK253" s="58"/>
      <c r="BL253" s="58" t="s">
        <v>1107</v>
      </c>
      <c r="BM253" s="220" t="s">
        <v>1389</v>
      </c>
      <c r="BN253" s="213" t="s">
        <v>763</v>
      </c>
      <c r="BO253" s="213" t="s">
        <v>1190</v>
      </c>
      <c r="BP253" s="199"/>
      <c r="BQ253" s="2" t="s">
        <v>1386</v>
      </c>
    </row>
    <row r="254" spans="1:69" ht="15.75" customHeight="1">
      <c r="A254" s="213" t="s">
        <v>788</v>
      </c>
      <c r="B254" s="58" t="s">
        <v>766</v>
      </c>
      <c r="C254" s="58" t="s">
        <v>752</v>
      </c>
      <c r="D254" s="214" t="s">
        <v>789</v>
      </c>
      <c r="E254" s="214" t="s">
        <v>789</v>
      </c>
      <c r="F254" s="215" t="s">
        <v>186</v>
      </c>
      <c r="G254" s="216">
        <v>2018</v>
      </c>
      <c r="H254" s="218" t="s">
        <v>823</v>
      </c>
      <c r="I254" s="218" t="s">
        <v>780</v>
      </c>
      <c r="J254" s="217" t="s">
        <v>890</v>
      </c>
      <c r="K254" s="213" t="s">
        <v>753</v>
      </c>
      <c r="L254" s="213" t="s">
        <v>192</v>
      </c>
      <c r="M254" s="219" t="s">
        <v>1401</v>
      </c>
      <c r="N254" s="219">
        <v>3.65</v>
      </c>
      <c r="O254" s="219">
        <v>3.65</v>
      </c>
      <c r="P254" s="219">
        <v>3.65</v>
      </c>
      <c r="Q254" s="219">
        <v>3.65</v>
      </c>
      <c r="R254" s="219">
        <v>3.65</v>
      </c>
      <c r="S254" s="219">
        <v>3.65</v>
      </c>
      <c r="T254" s="219">
        <v>3.65</v>
      </c>
      <c r="U254" s="219">
        <v>3.65</v>
      </c>
      <c r="V254" s="219">
        <v>3.65</v>
      </c>
      <c r="W254" s="219">
        <v>3.65</v>
      </c>
      <c r="X254" s="219">
        <v>3.65</v>
      </c>
      <c r="Y254" s="219">
        <v>3.65</v>
      </c>
      <c r="Z254" s="219">
        <v>0</v>
      </c>
      <c r="AA254" s="219">
        <v>0</v>
      </c>
      <c r="AB254" s="219">
        <v>0</v>
      </c>
      <c r="AC254" s="219">
        <v>0</v>
      </c>
      <c r="AD254" s="219">
        <v>0</v>
      </c>
      <c r="AE254" s="219">
        <v>0</v>
      </c>
      <c r="AF254" s="219">
        <v>0</v>
      </c>
      <c r="AG254" s="219">
        <v>0</v>
      </c>
      <c r="AH254" s="219">
        <v>0</v>
      </c>
      <c r="AI254" s="219">
        <v>0</v>
      </c>
      <c r="AJ254" s="219">
        <v>0</v>
      </c>
      <c r="AK254" s="219">
        <v>0</v>
      </c>
      <c r="AL254" s="229" t="s">
        <v>573</v>
      </c>
      <c r="AM254" s="219">
        <f t="shared" ref="AM254:AM310" si="110">Z254*AL254</f>
        <v>0</v>
      </c>
      <c r="AN254" s="229">
        <v>1890</v>
      </c>
      <c r="AO254" s="221">
        <f t="shared" ref="AO254:AO310" si="111">AN254*AA254</f>
        <v>0</v>
      </c>
      <c r="AP254" s="222" t="s">
        <v>573</v>
      </c>
      <c r="AQ254" s="221">
        <f t="shared" ref="AQ254:AQ310" si="112">AP254*AB254</f>
        <v>0</v>
      </c>
      <c r="AR254" s="222">
        <v>1890</v>
      </c>
      <c r="AS254" s="58">
        <f t="shared" ref="AS254:AS310" si="113">AR254*AC254</f>
        <v>0</v>
      </c>
      <c r="AT254" s="222">
        <v>1890</v>
      </c>
      <c r="AU254" s="58">
        <f t="shared" ref="AU254:AU310" si="114">AT254*AD254</f>
        <v>0</v>
      </c>
      <c r="AV254" s="222">
        <v>1890</v>
      </c>
      <c r="AW254" s="58">
        <f t="shared" ref="AW254:AW310" si="115">AV254*AE254</f>
        <v>0</v>
      </c>
      <c r="AX254" s="251" t="s">
        <v>573</v>
      </c>
      <c r="AY254" s="58">
        <f t="shared" ref="AY254:AY310" si="116">AX254*AF254</f>
        <v>0</v>
      </c>
      <c r="AZ254" s="222">
        <v>1890</v>
      </c>
      <c r="BA254" s="58">
        <f t="shared" si="105"/>
        <v>0</v>
      </c>
      <c r="BB254" s="222" t="s">
        <v>573</v>
      </c>
      <c r="BC254" s="58">
        <f t="shared" si="106"/>
        <v>0</v>
      </c>
      <c r="BD254" s="222">
        <v>1890</v>
      </c>
      <c r="BE254" s="58">
        <f t="shared" si="107"/>
        <v>0</v>
      </c>
      <c r="BF254" s="222" t="s">
        <v>573</v>
      </c>
      <c r="BG254" s="58">
        <f t="shared" si="108"/>
        <v>0</v>
      </c>
      <c r="BH254" s="223">
        <v>1890</v>
      </c>
      <c r="BI254" s="58">
        <f t="shared" si="109"/>
        <v>0</v>
      </c>
      <c r="BJ254" s="220">
        <f t="shared" si="104"/>
        <v>13230</v>
      </c>
      <c r="BK254" s="58"/>
      <c r="BL254" s="58" t="s">
        <v>1162</v>
      </c>
      <c r="BM254" s="220" t="s">
        <v>1401</v>
      </c>
      <c r="BN254" s="213" t="s">
        <v>754</v>
      </c>
      <c r="BO254" s="213" t="s">
        <v>1161</v>
      </c>
      <c r="BP254" s="199"/>
      <c r="BQ254" s="2" t="s">
        <v>1387</v>
      </c>
    </row>
    <row r="255" spans="1:69" ht="15.75" customHeight="1">
      <c r="A255" s="213" t="s">
        <v>788</v>
      </c>
      <c r="B255" s="58" t="s">
        <v>184</v>
      </c>
      <c r="C255" s="58" t="s">
        <v>752</v>
      </c>
      <c r="D255" s="214" t="s">
        <v>789</v>
      </c>
      <c r="E255" s="214" t="s">
        <v>789</v>
      </c>
      <c r="F255" s="215" t="s">
        <v>186</v>
      </c>
      <c r="G255" s="216">
        <v>2023</v>
      </c>
      <c r="H255" s="218" t="s">
        <v>824</v>
      </c>
      <c r="I255" s="218" t="s">
        <v>196</v>
      </c>
      <c r="J255" s="217" t="s">
        <v>890</v>
      </c>
      <c r="K255" s="213" t="s">
        <v>753</v>
      </c>
      <c r="L255" s="213" t="s">
        <v>192</v>
      </c>
      <c r="M255" s="219" t="s">
        <v>1388</v>
      </c>
      <c r="N255" s="219">
        <v>11.2</v>
      </c>
      <c r="O255" s="219">
        <v>11.2</v>
      </c>
      <c r="P255" s="219">
        <v>11.2</v>
      </c>
      <c r="Q255" s="219">
        <v>11.2</v>
      </c>
      <c r="R255" s="219">
        <v>11.2</v>
      </c>
      <c r="S255" s="219">
        <v>11.2</v>
      </c>
      <c r="T255" s="219">
        <v>11.2</v>
      </c>
      <c r="U255" s="219">
        <v>11.2</v>
      </c>
      <c r="V255" s="219">
        <v>11.2</v>
      </c>
      <c r="W255" s="219">
        <v>11.2</v>
      </c>
      <c r="X255" s="219">
        <v>11.2</v>
      </c>
      <c r="Y255" s="219">
        <v>11.2</v>
      </c>
      <c r="Z255" s="219">
        <v>0.45</v>
      </c>
      <c r="AA255" s="219">
        <v>0.45</v>
      </c>
      <c r="AB255" s="219">
        <v>0.45</v>
      </c>
      <c r="AC255" s="219">
        <v>0.45</v>
      </c>
      <c r="AD255" s="219">
        <v>0.45</v>
      </c>
      <c r="AE255" s="219">
        <v>0.45</v>
      </c>
      <c r="AF255" s="219">
        <v>0.45</v>
      </c>
      <c r="AG255" s="219">
        <v>0.45</v>
      </c>
      <c r="AH255" s="219">
        <v>0.45</v>
      </c>
      <c r="AI255" s="219">
        <v>0.45</v>
      </c>
      <c r="AJ255" s="219">
        <v>0.45</v>
      </c>
      <c r="AK255" s="219">
        <v>0.45</v>
      </c>
      <c r="AL255" s="229" t="s">
        <v>573</v>
      </c>
      <c r="AM255" s="219">
        <f t="shared" si="110"/>
        <v>0</v>
      </c>
      <c r="AN255" s="229" t="s">
        <v>573</v>
      </c>
      <c r="AO255" s="221">
        <f t="shared" si="111"/>
        <v>0</v>
      </c>
      <c r="AP255" s="222" t="s">
        <v>573</v>
      </c>
      <c r="AQ255" s="221">
        <f t="shared" si="112"/>
        <v>0</v>
      </c>
      <c r="AR255" s="222" t="s">
        <v>573</v>
      </c>
      <c r="AS255" s="58">
        <f t="shared" si="113"/>
        <v>0</v>
      </c>
      <c r="AT255" s="222" t="s">
        <v>573</v>
      </c>
      <c r="AU255" s="58">
        <f t="shared" si="114"/>
        <v>0</v>
      </c>
      <c r="AV255" s="222" t="s">
        <v>573</v>
      </c>
      <c r="AW255" s="58">
        <f t="shared" si="115"/>
        <v>0</v>
      </c>
      <c r="AX255" s="251" t="s">
        <v>573</v>
      </c>
      <c r="AY255" s="58">
        <f t="shared" si="116"/>
        <v>0</v>
      </c>
      <c r="AZ255" s="222" t="s">
        <v>573</v>
      </c>
      <c r="BA255" s="58">
        <f t="shared" si="105"/>
        <v>0</v>
      </c>
      <c r="BB255" s="222" t="s">
        <v>573</v>
      </c>
      <c r="BC255" s="58">
        <f t="shared" si="106"/>
        <v>0</v>
      </c>
      <c r="BD255" s="222" t="s">
        <v>573</v>
      </c>
      <c r="BE255" s="58">
        <f t="shared" si="107"/>
        <v>0</v>
      </c>
      <c r="BF255" s="222" t="s">
        <v>573</v>
      </c>
      <c r="BG255" s="58">
        <f t="shared" si="108"/>
        <v>0</v>
      </c>
      <c r="BH255" s="223">
        <v>2880</v>
      </c>
      <c r="BI255" s="58">
        <f t="shared" si="109"/>
        <v>1296</v>
      </c>
      <c r="BJ255" s="220">
        <f t="shared" si="104"/>
        <v>2880</v>
      </c>
      <c r="BK255" s="58"/>
      <c r="BL255" s="58" t="s">
        <v>1108</v>
      </c>
      <c r="BM255" s="220" t="s">
        <v>1388</v>
      </c>
      <c r="BN255" s="213" t="s">
        <v>807</v>
      </c>
      <c r="BO255" s="58" t="s">
        <v>1191</v>
      </c>
      <c r="BP255" s="199">
        <v>46965</v>
      </c>
      <c r="BQ255" s="2" t="s">
        <v>1386</v>
      </c>
    </row>
    <row r="256" spans="1:69" ht="15.75" customHeight="1">
      <c r="A256" s="213" t="s">
        <v>788</v>
      </c>
      <c r="B256" s="58" t="s">
        <v>184</v>
      </c>
      <c r="C256" s="58" t="s">
        <v>752</v>
      </c>
      <c r="D256" s="214" t="s">
        <v>789</v>
      </c>
      <c r="E256" s="214" t="s">
        <v>789</v>
      </c>
      <c r="F256" s="215" t="s">
        <v>186</v>
      </c>
      <c r="G256" s="216">
        <v>2023</v>
      </c>
      <c r="H256" s="218" t="s">
        <v>824</v>
      </c>
      <c r="I256" s="218" t="s">
        <v>196</v>
      </c>
      <c r="J256" s="217" t="s">
        <v>890</v>
      </c>
      <c r="K256" s="213" t="s">
        <v>753</v>
      </c>
      <c r="L256" s="213" t="s">
        <v>192</v>
      </c>
      <c r="M256" s="219" t="s">
        <v>1389</v>
      </c>
      <c r="N256" s="219">
        <v>11.2</v>
      </c>
      <c r="O256" s="219">
        <v>11.2</v>
      </c>
      <c r="P256" s="219">
        <v>11.2</v>
      </c>
      <c r="Q256" s="219">
        <v>11.2</v>
      </c>
      <c r="R256" s="219">
        <v>11.2</v>
      </c>
      <c r="S256" s="219">
        <v>11.2</v>
      </c>
      <c r="T256" s="219">
        <v>11.2</v>
      </c>
      <c r="U256" s="219">
        <v>11.2</v>
      </c>
      <c r="V256" s="219">
        <v>11.2</v>
      </c>
      <c r="W256" s="219">
        <v>11.2</v>
      </c>
      <c r="X256" s="219">
        <v>11.2</v>
      </c>
      <c r="Y256" s="219">
        <v>11.2</v>
      </c>
      <c r="Z256" s="219">
        <v>0.45</v>
      </c>
      <c r="AA256" s="219">
        <v>0.45</v>
      </c>
      <c r="AB256" s="219">
        <v>0.45</v>
      </c>
      <c r="AC256" s="219">
        <v>0.45</v>
      </c>
      <c r="AD256" s="219">
        <v>0.45</v>
      </c>
      <c r="AE256" s="219">
        <v>0.45</v>
      </c>
      <c r="AF256" s="219">
        <v>0.45</v>
      </c>
      <c r="AG256" s="219">
        <v>0.45</v>
      </c>
      <c r="AH256" s="219">
        <v>0.45</v>
      </c>
      <c r="AI256" s="219">
        <v>0.45</v>
      </c>
      <c r="AJ256" s="219">
        <v>0.45</v>
      </c>
      <c r="AK256" s="219">
        <v>0.45</v>
      </c>
      <c r="AL256" s="229">
        <v>2880</v>
      </c>
      <c r="AM256" s="219">
        <f t="shared" si="110"/>
        <v>1296</v>
      </c>
      <c r="AN256" s="229">
        <v>2880</v>
      </c>
      <c r="AO256" s="221">
        <f t="shared" si="111"/>
        <v>1296</v>
      </c>
      <c r="AP256" s="222">
        <v>4320</v>
      </c>
      <c r="AQ256" s="221">
        <f t="shared" si="112"/>
        <v>1944</v>
      </c>
      <c r="AR256" s="222">
        <v>1440</v>
      </c>
      <c r="AS256" s="58">
        <f t="shared" si="113"/>
        <v>648</v>
      </c>
      <c r="AT256" s="222">
        <v>17280</v>
      </c>
      <c r="AU256" s="58">
        <f t="shared" si="114"/>
        <v>7776</v>
      </c>
      <c r="AV256" s="222" t="s">
        <v>573</v>
      </c>
      <c r="AW256" s="58">
        <f t="shared" si="115"/>
        <v>0</v>
      </c>
      <c r="AX256" s="251" t="s">
        <v>573</v>
      </c>
      <c r="AY256" s="58">
        <f t="shared" si="116"/>
        <v>0</v>
      </c>
      <c r="AZ256" s="222" t="s">
        <v>573</v>
      </c>
      <c r="BA256" s="58">
        <f t="shared" si="105"/>
        <v>0</v>
      </c>
      <c r="BB256" s="222" t="s">
        <v>573</v>
      </c>
      <c r="BC256" s="58">
        <f t="shared" si="106"/>
        <v>0</v>
      </c>
      <c r="BD256" s="222" t="s">
        <v>573</v>
      </c>
      <c r="BE256" s="58">
        <f t="shared" si="107"/>
        <v>0</v>
      </c>
      <c r="BF256" s="222" t="s">
        <v>573</v>
      </c>
      <c r="BG256" s="58">
        <f t="shared" si="108"/>
        <v>0</v>
      </c>
      <c r="BH256" s="223" t="s">
        <v>573</v>
      </c>
      <c r="BI256" s="58">
        <f t="shared" si="109"/>
        <v>0</v>
      </c>
      <c r="BJ256" s="220">
        <f t="shared" si="104"/>
        <v>28800</v>
      </c>
      <c r="BK256" s="58"/>
      <c r="BL256" s="58" t="s">
        <v>1109</v>
      </c>
      <c r="BM256" s="220" t="s">
        <v>1389</v>
      </c>
      <c r="BN256" s="213" t="s">
        <v>763</v>
      </c>
      <c r="BO256" s="58" t="s">
        <v>1192</v>
      </c>
      <c r="BP256" s="199">
        <v>46965</v>
      </c>
      <c r="BQ256" s="2" t="s">
        <v>1386</v>
      </c>
    </row>
    <row r="257" spans="1:69" ht="15.75" customHeight="1">
      <c r="A257" s="213" t="s">
        <v>788</v>
      </c>
      <c r="B257" s="58" t="s">
        <v>184</v>
      </c>
      <c r="C257" s="58" t="s">
        <v>752</v>
      </c>
      <c r="D257" s="214" t="s">
        <v>789</v>
      </c>
      <c r="E257" s="214" t="s">
        <v>789</v>
      </c>
      <c r="F257" s="215" t="s">
        <v>186</v>
      </c>
      <c r="G257" s="216">
        <v>2023</v>
      </c>
      <c r="H257" s="218" t="s">
        <v>824</v>
      </c>
      <c r="I257" s="218" t="s">
        <v>196</v>
      </c>
      <c r="J257" s="217" t="s">
        <v>890</v>
      </c>
      <c r="K257" s="213" t="s">
        <v>753</v>
      </c>
      <c r="L257" s="213" t="s">
        <v>192</v>
      </c>
      <c r="M257" s="219" t="s">
        <v>1388</v>
      </c>
      <c r="N257" s="219">
        <v>11.2</v>
      </c>
      <c r="O257" s="219">
        <v>11.2</v>
      </c>
      <c r="P257" s="219">
        <v>11.2</v>
      </c>
      <c r="Q257" s="219">
        <v>11.2</v>
      </c>
      <c r="R257" s="219">
        <v>11.2</v>
      </c>
      <c r="S257" s="219">
        <v>11.2</v>
      </c>
      <c r="T257" s="219">
        <v>11.2</v>
      </c>
      <c r="U257" s="219">
        <v>11.2</v>
      </c>
      <c r="V257" s="219">
        <v>11.2</v>
      </c>
      <c r="W257" s="219">
        <v>11.2</v>
      </c>
      <c r="X257" s="219">
        <v>11.2</v>
      </c>
      <c r="Y257" s="219">
        <v>11.2</v>
      </c>
      <c r="Z257" s="219">
        <v>0.45</v>
      </c>
      <c r="AA257" s="219">
        <v>0.45</v>
      </c>
      <c r="AB257" s="219">
        <v>0.45</v>
      </c>
      <c r="AC257" s="219">
        <v>0.45</v>
      </c>
      <c r="AD257" s="219">
        <v>0.45</v>
      </c>
      <c r="AE257" s="219">
        <v>0.45</v>
      </c>
      <c r="AF257" s="219">
        <v>0.45</v>
      </c>
      <c r="AG257" s="219">
        <v>0.45</v>
      </c>
      <c r="AH257" s="219">
        <v>0.45</v>
      </c>
      <c r="AI257" s="219">
        <v>0.45</v>
      </c>
      <c r="AJ257" s="219">
        <v>0.45</v>
      </c>
      <c r="AK257" s="219">
        <v>0.45</v>
      </c>
      <c r="AL257" s="229" t="s">
        <v>573</v>
      </c>
      <c r="AM257" s="219">
        <f t="shared" si="110"/>
        <v>0</v>
      </c>
      <c r="AN257" s="229" t="s">
        <v>573</v>
      </c>
      <c r="AO257" s="221">
        <f t="shared" si="111"/>
        <v>0</v>
      </c>
      <c r="AP257" s="222" t="s">
        <v>573</v>
      </c>
      <c r="AQ257" s="221">
        <f t="shared" si="112"/>
        <v>0</v>
      </c>
      <c r="AR257" s="222" t="s">
        <v>573</v>
      </c>
      <c r="AS257" s="58">
        <f t="shared" si="113"/>
        <v>0</v>
      </c>
      <c r="AT257" s="222" t="s">
        <v>573</v>
      </c>
      <c r="AU257" s="58">
        <f t="shared" si="114"/>
        <v>0</v>
      </c>
      <c r="AV257" s="222" t="s">
        <v>573</v>
      </c>
      <c r="AW257" s="58">
        <f t="shared" si="115"/>
        <v>0</v>
      </c>
      <c r="AX257" s="251" t="s">
        <v>573</v>
      </c>
      <c r="AY257" s="58">
        <f t="shared" si="116"/>
        <v>0</v>
      </c>
      <c r="AZ257" s="222" t="s">
        <v>573</v>
      </c>
      <c r="BA257" s="58">
        <f t="shared" si="105"/>
        <v>0</v>
      </c>
      <c r="BB257" s="222">
        <v>1440</v>
      </c>
      <c r="BC257" s="58">
        <f t="shared" si="106"/>
        <v>648</v>
      </c>
      <c r="BD257" s="222" t="s">
        <v>573</v>
      </c>
      <c r="BE257" s="58">
        <f t="shared" si="107"/>
        <v>0</v>
      </c>
      <c r="BF257" s="222" t="s">
        <v>573</v>
      </c>
      <c r="BG257" s="58">
        <f t="shared" si="108"/>
        <v>0</v>
      </c>
      <c r="BH257" s="223" t="s">
        <v>573</v>
      </c>
      <c r="BI257" s="58">
        <f t="shared" si="109"/>
        <v>0</v>
      </c>
      <c r="BJ257" s="220">
        <f t="shared" si="104"/>
        <v>1440</v>
      </c>
      <c r="BK257" s="58"/>
      <c r="BL257" s="58" t="s">
        <v>1110</v>
      </c>
      <c r="BM257" s="220" t="s">
        <v>1388</v>
      </c>
      <c r="BN257" s="213" t="s">
        <v>754</v>
      </c>
      <c r="BO257" s="58" t="s">
        <v>1193</v>
      </c>
      <c r="BP257" s="199">
        <v>46965</v>
      </c>
      <c r="BQ257" s="2" t="s">
        <v>1386</v>
      </c>
    </row>
    <row r="258" spans="1:69" ht="15.75" customHeight="1">
      <c r="A258" s="213" t="s">
        <v>788</v>
      </c>
      <c r="B258" s="58" t="s">
        <v>184</v>
      </c>
      <c r="C258" s="58" t="s">
        <v>752</v>
      </c>
      <c r="D258" s="214" t="s">
        <v>789</v>
      </c>
      <c r="E258" s="214" t="s">
        <v>789</v>
      </c>
      <c r="F258" s="215" t="s">
        <v>186</v>
      </c>
      <c r="G258" s="216">
        <v>2023</v>
      </c>
      <c r="H258" s="218" t="s">
        <v>824</v>
      </c>
      <c r="I258" s="218" t="s">
        <v>196</v>
      </c>
      <c r="J258" s="217" t="s">
        <v>890</v>
      </c>
      <c r="K258" s="213" t="s">
        <v>753</v>
      </c>
      <c r="L258" s="213" t="s">
        <v>192</v>
      </c>
      <c r="M258" s="219" t="s">
        <v>1388</v>
      </c>
      <c r="N258" s="219">
        <v>11.22</v>
      </c>
      <c r="O258" s="219">
        <v>11.22</v>
      </c>
      <c r="P258" s="219">
        <v>11.22</v>
      </c>
      <c r="Q258" s="219">
        <v>11.22</v>
      </c>
      <c r="R258" s="219">
        <v>11.22</v>
      </c>
      <c r="S258" s="219">
        <v>11.22</v>
      </c>
      <c r="T258" s="219">
        <v>11.22</v>
      </c>
      <c r="U258" s="219">
        <v>11.22</v>
      </c>
      <c r="V258" s="219">
        <v>11.22</v>
      </c>
      <c r="W258" s="219">
        <v>11.22</v>
      </c>
      <c r="X258" s="219">
        <v>11.22</v>
      </c>
      <c r="Y258" s="219">
        <v>11.22</v>
      </c>
      <c r="Z258" s="219">
        <v>0.45</v>
      </c>
      <c r="AA258" s="219">
        <v>0.45</v>
      </c>
      <c r="AB258" s="219">
        <v>0.45</v>
      </c>
      <c r="AC258" s="219">
        <v>0.45</v>
      </c>
      <c r="AD258" s="219">
        <v>0.45</v>
      </c>
      <c r="AE258" s="219">
        <v>0.45</v>
      </c>
      <c r="AF258" s="219">
        <v>0.45</v>
      </c>
      <c r="AG258" s="219">
        <v>0.45</v>
      </c>
      <c r="AH258" s="219">
        <v>0.45</v>
      </c>
      <c r="AI258" s="219">
        <v>0.45</v>
      </c>
      <c r="AJ258" s="219">
        <v>0.45</v>
      </c>
      <c r="AK258" s="219">
        <v>0.45</v>
      </c>
      <c r="AL258" s="229" t="s">
        <v>573</v>
      </c>
      <c r="AM258" s="219">
        <f t="shared" si="110"/>
        <v>0</v>
      </c>
      <c r="AN258" s="229" t="s">
        <v>573</v>
      </c>
      <c r="AO258" s="221">
        <f t="shared" si="111"/>
        <v>0</v>
      </c>
      <c r="AP258" s="222" t="s">
        <v>573</v>
      </c>
      <c r="AQ258" s="221">
        <f t="shared" si="112"/>
        <v>0</v>
      </c>
      <c r="AR258" s="222" t="s">
        <v>573</v>
      </c>
      <c r="AS258" s="58">
        <f t="shared" si="113"/>
        <v>0</v>
      </c>
      <c r="AT258" s="222" t="s">
        <v>573</v>
      </c>
      <c r="AU258" s="58">
        <f t="shared" si="114"/>
        <v>0</v>
      </c>
      <c r="AV258" s="222">
        <v>1440</v>
      </c>
      <c r="AW258" s="58">
        <f t="shared" si="115"/>
        <v>648</v>
      </c>
      <c r="AX258" s="251" t="s">
        <v>573</v>
      </c>
      <c r="AY258" s="58">
        <f t="shared" si="116"/>
        <v>0</v>
      </c>
      <c r="AZ258" s="222" t="s">
        <v>573</v>
      </c>
      <c r="BA258" s="58">
        <f t="shared" si="105"/>
        <v>0</v>
      </c>
      <c r="BB258" s="222" t="s">
        <v>573</v>
      </c>
      <c r="BC258" s="58">
        <f t="shared" si="106"/>
        <v>0</v>
      </c>
      <c r="BD258" s="222" t="s">
        <v>573</v>
      </c>
      <c r="BE258" s="58">
        <f t="shared" si="107"/>
        <v>0</v>
      </c>
      <c r="BF258" s="222">
        <v>2880</v>
      </c>
      <c r="BG258" s="58">
        <f t="shared" si="108"/>
        <v>1296</v>
      </c>
      <c r="BH258" s="223" t="s">
        <v>573</v>
      </c>
      <c r="BI258" s="58">
        <f t="shared" si="109"/>
        <v>0</v>
      </c>
      <c r="BJ258" s="220">
        <f t="shared" si="104"/>
        <v>4320</v>
      </c>
      <c r="BK258" s="58"/>
      <c r="BL258" s="58" t="s">
        <v>1111</v>
      </c>
      <c r="BM258" s="220" t="s">
        <v>1388</v>
      </c>
      <c r="BN258" s="213" t="s">
        <v>807</v>
      </c>
      <c r="BO258" s="58" t="s">
        <v>1194</v>
      </c>
      <c r="BP258" s="199">
        <v>46965</v>
      </c>
      <c r="BQ258" s="2" t="s">
        <v>1386</v>
      </c>
    </row>
    <row r="259" spans="1:69" ht="15.75" customHeight="1">
      <c r="A259" s="213" t="s">
        <v>788</v>
      </c>
      <c r="B259" s="58" t="s">
        <v>184</v>
      </c>
      <c r="C259" s="58" t="s">
        <v>752</v>
      </c>
      <c r="D259" s="214" t="s">
        <v>789</v>
      </c>
      <c r="E259" s="214" t="s">
        <v>789</v>
      </c>
      <c r="F259" s="215" t="s">
        <v>186</v>
      </c>
      <c r="G259" s="216">
        <v>2023</v>
      </c>
      <c r="H259" s="218" t="s">
        <v>824</v>
      </c>
      <c r="I259" s="218" t="s">
        <v>196</v>
      </c>
      <c r="J259" s="217" t="s">
        <v>890</v>
      </c>
      <c r="K259" s="213" t="s">
        <v>753</v>
      </c>
      <c r="L259" s="213" t="s">
        <v>192</v>
      </c>
      <c r="M259" s="219" t="s">
        <v>1389</v>
      </c>
      <c r="N259" s="219">
        <v>11.22</v>
      </c>
      <c r="O259" s="219">
        <v>11.22</v>
      </c>
      <c r="P259" s="219">
        <v>11.22</v>
      </c>
      <c r="Q259" s="219">
        <v>11.22</v>
      </c>
      <c r="R259" s="219">
        <v>11.22</v>
      </c>
      <c r="S259" s="219">
        <v>11.22</v>
      </c>
      <c r="T259" s="219">
        <v>11.22</v>
      </c>
      <c r="U259" s="219">
        <v>11.22</v>
      </c>
      <c r="V259" s="219">
        <v>11.22</v>
      </c>
      <c r="W259" s="219">
        <v>11.22</v>
      </c>
      <c r="X259" s="219">
        <v>11.22</v>
      </c>
      <c r="Y259" s="219">
        <v>11.22</v>
      </c>
      <c r="Z259" s="219">
        <v>0.45</v>
      </c>
      <c r="AA259" s="219">
        <v>0.45</v>
      </c>
      <c r="AB259" s="219">
        <v>0.45</v>
      </c>
      <c r="AC259" s="219">
        <v>0.45</v>
      </c>
      <c r="AD259" s="219">
        <v>0.45</v>
      </c>
      <c r="AE259" s="219">
        <v>0.45</v>
      </c>
      <c r="AF259" s="219">
        <v>0.45</v>
      </c>
      <c r="AG259" s="219">
        <v>0.45</v>
      </c>
      <c r="AH259" s="219">
        <v>0.45</v>
      </c>
      <c r="AI259" s="219">
        <v>0.45</v>
      </c>
      <c r="AJ259" s="219">
        <v>0.45</v>
      </c>
      <c r="AK259" s="219">
        <v>0.45</v>
      </c>
      <c r="AL259" s="229" t="s">
        <v>573</v>
      </c>
      <c r="AM259" s="219">
        <f t="shared" si="110"/>
        <v>0</v>
      </c>
      <c r="AN259" s="229" t="s">
        <v>573</v>
      </c>
      <c r="AO259" s="221">
        <f t="shared" si="111"/>
        <v>0</v>
      </c>
      <c r="AP259" s="222" t="s">
        <v>573</v>
      </c>
      <c r="AQ259" s="221">
        <f t="shared" si="112"/>
        <v>0</v>
      </c>
      <c r="AR259" s="222">
        <v>4320</v>
      </c>
      <c r="AS259" s="58">
        <f t="shared" si="113"/>
        <v>1944</v>
      </c>
      <c r="AT259" s="222">
        <v>17280</v>
      </c>
      <c r="AU259" s="58">
        <f t="shared" si="114"/>
        <v>7776</v>
      </c>
      <c r="AV259" s="222" t="s">
        <v>573</v>
      </c>
      <c r="AW259" s="58">
        <f t="shared" si="115"/>
        <v>0</v>
      </c>
      <c r="AX259" s="251" t="s">
        <v>573</v>
      </c>
      <c r="AY259" s="58">
        <f t="shared" si="116"/>
        <v>0</v>
      </c>
      <c r="AZ259" s="222" t="s">
        <v>573</v>
      </c>
      <c r="BA259" s="58">
        <f t="shared" si="105"/>
        <v>0</v>
      </c>
      <c r="BB259" s="222" t="s">
        <v>573</v>
      </c>
      <c r="BC259" s="58">
        <f t="shared" si="106"/>
        <v>0</v>
      </c>
      <c r="BD259" s="222" t="s">
        <v>573</v>
      </c>
      <c r="BE259" s="58">
        <f t="shared" si="107"/>
        <v>0</v>
      </c>
      <c r="BF259" s="222">
        <v>1440</v>
      </c>
      <c r="BG259" s="58">
        <f t="shared" si="108"/>
        <v>648</v>
      </c>
      <c r="BH259" s="223">
        <v>4320</v>
      </c>
      <c r="BI259" s="58">
        <f t="shared" si="109"/>
        <v>1944</v>
      </c>
      <c r="BJ259" s="220">
        <f t="shared" si="104"/>
        <v>27360</v>
      </c>
      <c r="BK259" s="58"/>
      <c r="BL259" s="58" t="s">
        <v>1112</v>
      </c>
      <c r="BM259" s="220" t="s">
        <v>1389</v>
      </c>
      <c r="BN259" s="213" t="s">
        <v>763</v>
      </c>
      <c r="BO259" s="58" t="s">
        <v>1196</v>
      </c>
      <c r="BP259" s="199">
        <v>46965</v>
      </c>
      <c r="BQ259" s="2" t="s">
        <v>1386</v>
      </c>
    </row>
    <row r="260" spans="1:69" ht="15.75" customHeight="1">
      <c r="A260" s="213" t="s">
        <v>788</v>
      </c>
      <c r="B260" s="58" t="s">
        <v>184</v>
      </c>
      <c r="C260" s="58" t="s">
        <v>752</v>
      </c>
      <c r="D260" s="214" t="s">
        <v>789</v>
      </c>
      <c r="E260" s="214" t="s">
        <v>789</v>
      </c>
      <c r="F260" s="215" t="s">
        <v>186</v>
      </c>
      <c r="G260" s="216">
        <v>2023</v>
      </c>
      <c r="H260" s="218" t="s">
        <v>824</v>
      </c>
      <c r="I260" s="218" t="s">
        <v>196</v>
      </c>
      <c r="J260" s="217" t="s">
        <v>890</v>
      </c>
      <c r="K260" s="213" t="s">
        <v>753</v>
      </c>
      <c r="L260" s="213" t="s">
        <v>192</v>
      </c>
      <c r="M260" s="219" t="s">
        <v>1388</v>
      </c>
      <c r="N260" s="219">
        <v>11.22</v>
      </c>
      <c r="O260" s="219">
        <v>11.22</v>
      </c>
      <c r="P260" s="219">
        <v>11.22</v>
      </c>
      <c r="Q260" s="219">
        <v>11.22</v>
      </c>
      <c r="R260" s="219">
        <v>11.22</v>
      </c>
      <c r="S260" s="219">
        <v>11.22</v>
      </c>
      <c r="T260" s="219">
        <v>11.22</v>
      </c>
      <c r="U260" s="219">
        <v>11.22</v>
      </c>
      <c r="V260" s="219">
        <v>11.22</v>
      </c>
      <c r="W260" s="219">
        <v>11.22</v>
      </c>
      <c r="X260" s="219">
        <v>11.22</v>
      </c>
      <c r="Y260" s="219">
        <v>11.22</v>
      </c>
      <c r="Z260" s="219">
        <v>0.45</v>
      </c>
      <c r="AA260" s="219">
        <v>0.45</v>
      </c>
      <c r="AB260" s="219">
        <v>0.45</v>
      </c>
      <c r="AC260" s="219">
        <v>0.45</v>
      </c>
      <c r="AD260" s="219">
        <v>0.45</v>
      </c>
      <c r="AE260" s="219">
        <v>0.45</v>
      </c>
      <c r="AF260" s="219">
        <v>0.45</v>
      </c>
      <c r="AG260" s="219">
        <v>0.45</v>
      </c>
      <c r="AH260" s="219">
        <v>0.45</v>
      </c>
      <c r="AI260" s="219">
        <v>0.45</v>
      </c>
      <c r="AJ260" s="219">
        <v>0.45</v>
      </c>
      <c r="AK260" s="219">
        <v>0.45</v>
      </c>
      <c r="AL260" s="229" t="s">
        <v>573</v>
      </c>
      <c r="AM260" s="219">
        <f t="shared" si="110"/>
        <v>0</v>
      </c>
      <c r="AN260" s="229" t="s">
        <v>573</v>
      </c>
      <c r="AO260" s="221">
        <f t="shared" si="111"/>
        <v>0</v>
      </c>
      <c r="AP260" s="222">
        <v>1440</v>
      </c>
      <c r="AQ260" s="221">
        <f t="shared" si="112"/>
        <v>648</v>
      </c>
      <c r="AR260" s="222" t="s">
        <v>573</v>
      </c>
      <c r="AS260" s="58">
        <f t="shared" si="113"/>
        <v>0</v>
      </c>
      <c r="AT260" s="222" t="s">
        <v>573</v>
      </c>
      <c r="AU260" s="58">
        <f t="shared" si="114"/>
        <v>0</v>
      </c>
      <c r="AV260" s="222" t="s">
        <v>573</v>
      </c>
      <c r="AW260" s="58">
        <f t="shared" si="115"/>
        <v>0</v>
      </c>
      <c r="AX260" s="251" t="s">
        <v>573</v>
      </c>
      <c r="AY260" s="58">
        <f t="shared" si="116"/>
        <v>0</v>
      </c>
      <c r="AZ260" s="222">
        <v>1440</v>
      </c>
      <c r="BA260" s="58">
        <f t="shared" si="105"/>
        <v>648</v>
      </c>
      <c r="BB260" s="222" t="s">
        <v>573</v>
      </c>
      <c r="BC260" s="58">
        <f t="shared" si="106"/>
        <v>0</v>
      </c>
      <c r="BD260" s="222">
        <v>1440</v>
      </c>
      <c r="BE260" s="58">
        <f t="shared" si="107"/>
        <v>648</v>
      </c>
      <c r="BF260" s="222" t="s">
        <v>573</v>
      </c>
      <c r="BG260" s="58">
        <f t="shared" si="108"/>
        <v>0</v>
      </c>
      <c r="BH260" s="223" t="s">
        <v>573</v>
      </c>
      <c r="BI260" s="58">
        <f t="shared" si="109"/>
        <v>0</v>
      </c>
      <c r="BJ260" s="220">
        <f t="shared" si="104"/>
        <v>4320</v>
      </c>
      <c r="BK260" s="58"/>
      <c r="BL260" s="58" t="s">
        <v>1113</v>
      </c>
      <c r="BM260" s="220" t="s">
        <v>1388</v>
      </c>
      <c r="BN260" s="213" t="s">
        <v>754</v>
      </c>
      <c r="BO260" s="58" t="s">
        <v>1197</v>
      </c>
      <c r="BP260" s="199">
        <v>46965</v>
      </c>
      <c r="BQ260" s="2" t="s">
        <v>1386</v>
      </c>
    </row>
    <row r="261" spans="1:69" ht="15.75" customHeight="1">
      <c r="A261" s="213" t="s">
        <v>788</v>
      </c>
      <c r="B261" s="58" t="s">
        <v>1293</v>
      </c>
      <c r="C261" s="58" t="s">
        <v>752</v>
      </c>
      <c r="D261" s="214" t="s">
        <v>789</v>
      </c>
      <c r="E261" s="214" t="s">
        <v>1294</v>
      </c>
      <c r="F261" s="215" t="s">
        <v>186</v>
      </c>
      <c r="G261" s="216">
        <v>2023</v>
      </c>
      <c r="H261" s="218" t="s">
        <v>825</v>
      </c>
      <c r="I261" s="217" t="s">
        <v>781</v>
      </c>
      <c r="J261" s="217" t="s">
        <v>890</v>
      </c>
      <c r="K261" s="213" t="s">
        <v>753</v>
      </c>
      <c r="L261" s="213" t="s">
        <v>192</v>
      </c>
      <c r="M261" s="219" t="s">
        <v>1402</v>
      </c>
      <c r="N261" s="219"/>
      <c r="O261" s="219"/>
      <c r="P261" s="219"/>
      <c r="Q261" s="219"/>
      <c r="R261" s="219">
        <v>31.36</v>
      </c>
      <c r="S261" s="219">
        <v>31.36</v>
      </c>
      <c r="T261" s="219">
        <v>31.36</v>
      </c>
      <c r="U261" s="219">
        <v>31.36</v>
      </c>
      <c r="V261" s="219">
        <v>31.36</v>
      </c>
      <c r="W261" s="219">
        <v>31.36</v>
      </c>
      <c r="X261" s="219">
        <v>31.36</v>
      </c>
      <c r="Y261" s="219">
        <v>31.36</v>
      </c>
      <c r="Z261" s="219"/>
      <c r="AA261" s="219"/>
      <c r="AB261" s="219"/>
      <c r="AC261" s="219"/>
      <c r="AD261" s="219">
        <v>0</v>
      </c>
      <c r="AE261" s="219">
        <v>0</v>
      </c>
      <c r="AF261" s="219">
        <v>0</v>
      </c>
      <c r="AG261" s="219">
        <v>0</v>
      </c>
      <c r="AH261" s="219">
        <v>0</v>
      </c>
      <c r="AI261" s="219">
        <v>0.01</v>
      </c>
      <c r="AJ261" s="219">
        <v>0.01</v>
      </c>
      <c r="AK261" s="219">
        <v>0.01</v>
      </c>
      <c r="AL261" s="229" t="s">
        <v>573</v>
      </c>
      <c r="AM261" s="219">
        <f t="shared" ref="AM261:AM263" si="117">Z261*AL261</f>
        <v>0</v>
      </c>
      <c r="AN261" s="229" t="s">
        <v>573</v>
      </c>
      <c r="AO261" s="221">
        <f t="shared" ref="AO261:AO263" si="118">AN261*AA261</f>
        <v>0</v>
      </c>
      <c r="AP261" s="222" t="s">
        <v>573</v>
      </c>
      <c r="AQ261" s="221">
        <f t="shared" ref="AQ261:AQ263" si="119">AP261*AB261</f>
        <v>0</v>
      </c>
      <c r="AR261" s="222" t="s">
        <v>573</v>
      </c>
      <c r="AS261" s="58">
        <f t="shared" ref="AS261:AS263" si="120">AR261*AC261</f>
        <v>0</v>
      </c>
      <c r="AT261" s="222">
        <v>0</v>
      </c>
      <c r="AU261" s="58">
        <f t="shared" ref="AU261:AU263" si="121">AT261*AD261</f>
        <v>0</v>
      </c>
      <c r="AV261" s="222">
        <v>2</v>
      </c>
      <c r="AW261" s="58">
        <f t="shared" ref="AW261:AW263" si="122">AV261*AE261</f>
        <v>0</v>
      </c>
      <c r="AX261" s="251">
        <v>8</v>
      </c>
      <c r="AY261" s="58">
        <f t="shared" ref="AY261:AY263" si="123">AX261*AF261</f>
        <v>0</v>
      </c>
      <c r="AZ261" s="222" t="s">
        <v>573</v>
      </c>
      <c r="BA261" s="58">
        <f t="shared" si="105"/>
        <v>0</v>
      </c>
      <c r="BB261" s="222" t="s">
        <v>573</v>
      </c>
      <c r="BC261" s="58">
        <f t="shared" si="106"/>
        <v>0</v>
      </c>
      <c r="BD261" s="222" t="s">
        <v>573</v>
      </c>
      <c r="BE261" s="58">
        <f t="shared" si="107"/>
        <v>0</v>
      </c>
      <c r="BF261" s="222">
        <v>20</v>
      </c>
      <c r="BG261" s="58">
        <f t="shared" si="108"/>
        <v>0.2</v>
      </c>
      <c r="BH261" s="223">
        <v>230</v>
      </c>
      <c r="BI261" s="58">
        <f t="shared" si="109"/>
        <v>2.3000000000000003</v>
      </c>
      <c r="BJ261" s="220">
        <f t="shared" si="104"/>
        <v>260</v>
      </c>
      <c r="BK261" s="58"/>
      <c r="BL261" s="58" t="s">
        <v>1368</v>
      </c>
      <c r="BM261" s="220" t="s">
        <v>1402</v>
      </c>
      <c r="BN261" s="213" t="s">
        <v>1329</v>
      </c>
      <c r="BO261" s="58" t="s">
        <v>1328</v>
      </c>
      <c r="BP261" s="199">
        <v>47057</v>
      </c>
      <c r="BQ261" s="2" t="s">
        <v>1387</v>
      </c>
    </row>
    <row r="262" spans="1:69" ht="15.75" customHeight="1">
      <c r="A262" s="213" t="s">
        <v>788</v>
      </c>
      <c r="B262" s="58" t="s">
        <v>1293</v>
      </c>
      <c r="C262" s="58" t="s">
        <v>752</v>
      </c>
      <c r="D262" s="214" t="s">
        <v>789</v>
      </c>
      <c r="E262" s="214" t="s">
        <v>1294</v>
      </c>
      <c r="F262" s="215" t="s">
        <v>186</v>
      </c>
      <c r="G262" s="216">
        <v>2023</v>
      </c>
      <c r="H262" s="218" t="s">
        <v>825</v>
      </c>
      <c r="I262" s="217" t="s">
        <v>781</v>
      </c>
      <c r="J262" s="217" t="s">
        <v>890</v>
      </c>
      <c r="K262" s="213" t="s">
        <v>753</v>
      </c>
      <c r="L262" s="213" t="s">
        <v>192</v>
      </c>
      <c r="M262" s="219" t="s">
        <v>1447</v>
      </c>
      <c r="N262" s="219"/>
      <c r="O262" s="219"/>
      <c r="P262" s="219"/>
      <c r="Q262" s="219"/>
      <c r="R262" s="219"/>
      <c r="S262" s="219"/>
      <c r="T262" s="219"/>
      <c r="U262" s="219"/>
      <c r="V262" s="219"/>
      <c r="W262" s="219">
        <v>33.659999999999997</v>
      </c>
      <c r="X262" s="219">
        <v>33.659999999999997</v>
      </c>
      <c r="Y262" s="219">
        <v>33.659999999999997</v>
      </c>
      <c r="Z262" s="219"/>
      <c r="AA262" s="219"/>
      <c r="AB262" s="219"/>
      <c r="AC262" s="219"/>
      <c r="AD262" s="219"/>
      <c r="AE262" s="219"/>
      <c r="AF262" s="219"/>
      <c r="AG262" s="219"/>
      <c r="AH262" s="219"/>
      <c r="AI262" s="219">
        <v>0.01</v>
      </c>
      <c r="AJ262" s="219">
        <v>0.01</v>
      </c>
      <c r="AK262" s="219">
        <v>0.01</v>
      </c>
      <c r="AL262" s="229" t="s">
        <v>573</v>
      </c>
      <c r="AM262" s="219">
        <f t="shared" ref="AM262" si="124">Z262*AL262</f>
        <v>0</v>
      </c>
      <c r="AN262" s="229" t="s">
        <v>573</v>
      </c>
      <c r="AO262" s="221">
        <f t="shared" ref="AO262" si="125">AN262*AA262</f>
        <v>0</v>
      </c>
      <c r="AP262" s="222" t="s">
        <v>573</v>
      </c>
      <c r="AQ262" s="221">
        <f t="shared" ref="AQ262" si="126">AP262*AB262</f>
        <v>0</v>
      </c>
      <c r="AR262" s="222" t="s">
        <v>573</v>
      </c>
      <c r="AS262" s="58">
        <f t="shared" ref="AS262" si="127">AR262*AC262</f>
        <v>0</v>
      </c>
      <c r="AT262" s="222">
        <v>0</v>
      </c>
      <c r="AU262" s="58">
        <f t="shared" ref="AU262" si="128">AT262*AD262</f>
        <v>0</v>
      </c>
      <c r="AV262" s="222">
        <v>0</v>
      </c>
      <c r="AW262" s="58">
        <f t="shared" ref="AW262" si="129">AV262*AE262</f>
        <v>0</v>
      </c>
      <c r="AX262" s="251">
        <v>0</v>
      </c>
      <c r="AY262" s="58">
        <f t="shared" ref="AY262" si="130">AX262*AF262</f>
        <v>0</v>
      </c>
      <c r="AZ262" s="222" t="s">
        <v>573</v>
      </c>
      <c r="BA262" s="58">
        <f t="shared" ref="BA262" si="131">AZ262*AG262</f>
        <v>0</v>
      </c>
      <c r="BB262" s="222" t="s">
        <v>573</v>
      </c>
      <c r="BC262" s="58">
        <f t="shared" ref="BC262" si="132">BB262*AH262</f>
        <v>0</v>
      </c>
      <c r="BD262" s="222" t="s">
        <v>573</v>
      </c>
      <c r="BE262" s="58">
        <f t="shared" ref="BE262" si="133">BD262*AI262</f>
        <v>0</v>
      </c>
      <c r="BF262" s="222">
        <v>0</v>
      </c>
      <c r="BG262" s="58">
        <f t="shared" ref="BG262" si="134">BF262*AJ262</f>
        <v>0</v>
      </c>
      <c r="BH262" s="223">
        <v>6480</v>
      </c>
      <c r="BI262" s="58">
        <f t="shared" ref="BI262" si="135">BH262*AK262</f>
        <v>64.8</v>
      </c>
      <c r="BJ262" s="220">
        <f t="shared" ref="BJ262" si="136">BH262+BF262+BD262+BB262+AZ262+AX262+AV262+AT262+AR262+AP262+AN262+AL262</f>
        <v>6480</v>
      </c>
      <c r="BK262" s="58"/>
      <c r="BL262" s="58"/>
      <c r="BM262" s="220" t="s">
        <v>1447</v>
      </c>
      <c r="BN262" s="213" t="s">
        <v>1329</v>
      </c>
      <c r="BO262" s="58" t="s">
        <v>1328</v>
      </c>
      <c r="BP262" s="199">
        <v>47057</v>
      </c>
      <c r="BQ262" s="2" t="s">
        <v>1387</v>
      </c>
    </row>
    <row r="263" spans="1:69" ht="15.75" customHeight="1">
      <c r="A263" s="213" t="s">
        <v>788</v>
      </c>
      <c r="B263" s="58" t="s">
        <v>1293</v>
      </c>
      <c r="C263" s="58" t="s">
        <v>752</v>
      </c>
      <c r="D263" s="214" t="s">
        <v>789</v>
      </c>
      <c r="E263" s="214" t="s">
        <v>1294</v>
      </c>
      <c r="F263" s="215" t="s">
        <v>186</v>
      </c>
      <c r="G263" s="216">
        <v>2023</v>
      </c>
      <c r="H263" s="218" t="s">
        <v>825</v>
      </c>
      <c r="I263" s="217" t="s">
        <v>781</v>
      </c>
      <c r="J263" s="217" t="s">
        <v>890</v>
      </c>
      <c r="K263" s="213" t="s">
        <v>753</v>
      </c>
      <c r="L263" s="213" t="s">
        <v>192</v>
      </c>
      <c r="M263" s="219" t="s">
        <v>1408</v>
      </c>
      <c r="N263" s="219"/>
      <c r="O263" s="219"/>
      <c r="P263" s="219"/>
      <c r="Q263" s="219"/>
      <c r="R263" s="219">
        <v>31.36</v>
      </c>
      <c r="S263" s="219">
        <v>31.36</v>
      </c>
      <c r="T263" s="219">
        <v>31.36</v>
      </c>
      <c r="U263" s="219">
        <v>31.36</v>
      </c>
      <c r="V263" s="219">
        <v>31.36</v>
      </c>
      <c r="W263" s="219">
        <v>31.36</v>
      </c>
      <c r="X263" s="219">
        <v>31.36</v>
      </c>
      <c r="Y263" s="219">
        <v>31.36</v>
      </c>
      <c r="Z263" s="219"/>
      <c r="AA263" s="219"/>
      <c r="AB263" s="219"/>
      <c r="AC263" s="219"/>
      <c r="AD263" s="219">
        <v>0</v>
      </c>
      <c r="AE263" s="219">
        <v>0</v>
      </c>
      <c r="AF263" s="219">
        <v>0</v>
      </c>
      <c r="AG263" s="219">
        <v>0</v>
      </c>
      <c r="AH263" s="219">
        <v>0</v>
      </c>
      <c r="AI263" s="219">
        <v>0.01</v>
      </c>
      <c r="AJ263" s="219">
        <v>0.01</v>
      </c>
      <c r="AK263" s="219">
        <v>0.01</v>
      </c>
      <c r="AL263" s="229" t="s">
        <v>573</v>
      </c>
      <c r="AM263" s="219">
        <f t="shared" si="117"/>
        <v>0</v>
      </c>
      <c r="AN263" s="229" t="s">
        <v>573</v>
      </c>
      <c r="AO263" s="221">
        <f t="shared" si="118"/>
        <v>0</v>
      </c>
      <c r="AP263" s="222" t="s">
        <v>573</v>
      </c>
      <c r="AQ263" s="221">
        <f t="shared" si="119"/>
        <v>0</v>
      </c>
      <c r="AR263" s="222" t="s">
        <v>573</v>
      </c>
      <c r="AS263" s="58">
        <f t="shared" si="120"/>
        <v>0</v>
      </c>
      <c r="AT263" s="222">
        <v>0</v>
      </c>
      <c r="AU263" s="58">
        <f t="shared" si="121"/>
        <v>0</v>
      </c>
      <c r="AV263" s="222">
        <v>0</v>
      </c>
      <c r="AW263" s="58">
        <f t="shared" si="122"/>
        <v>0</v>
      </c>
      <c r="AX263" s="251" t="s">
        <v>573</v>
      </c>
      <c r="AY263" s="58">
        <f t="shared" si="123"/>
        <v>0</v>
      </c>
      <c r="AZ263" s="222" t="s">
        <v>573</v>
      </c>
      <c r="BA263" s="58">
        <f t="shared" ref="BA263" si="137">AZ263*AG263</f>
        <v>0</v>
      </c>
      <c r="BB263" s="222" t="s">
        <v>573</v>
      </c>
      <c r="BC263" s="58">
        <f t="shared" ref="BC263" si="138">BB263*AH263</f>
        <v>0</v>
      </c>
      <c r="BD263" s="222">
        <v>200</v>
      </c>
      <c r="BE263" s="58">
        <f t="shared" ref="BE263" si="139">BD263*AI263</f>
        <v>2</v>
      </c>
      <c r="BF263" s="222" t="s">
        <v>573</v>
      </c>
      <c r="BG263" s="58">
        <f t="shared" ref="BG263" si="140">BF263*AJ263</f>
        <v>0</v>
      </c>
      <c r="BH263" s="223" t="s">
        <v>573</v>
      </c>
      <c r="BI263" s="58">
        <f t="shared" ref="BI263" si="141">BH263*AK263</f>
        <v>0</v>
      </c>
      <c r="BJ263" s="220">
        <f t="shared" si="104"/>
        <v>200</v>
      </c>
      <c r="BK263" s="58"/>
      <c r="BL263" s="58" t="s">
        <v>1353</v>
      </c>
      <c r="BM263" s="220" t="s">
        <v>1408</v>
      </c>
      <c r="BN263" s="213" t="s">
        <v>1329</v>
      </c>
      <c r="BO263" s="58" t="s">
        <v>1328</v>
      </c>
      <c r="BP263" s="199">
        <v>47057</v>
      </c>
      <c r="BQ263" s="2" t="s">
        <v>1387</v>
      </c>
    </row>
    <row r="264" spans="1:69" ht="15.75" customHeight="1">
      <c r="A264" s="213" t="s">
        <v>788</v>
      </c>
      <c r="B264" s="58" t="s">
        <v>1293</v>
      </c>
      <c r="C264" s="58" t="s">
        <v>752</v>
      </c>
      <c r="D264" s="214" t="s">
        <v>789</v>
      </c>
      <c r="E264" s="214" t="s">
        <v>1294</v>
      </c>
      <c r="F264" s="215" t="s">
        <v>186</v>
      </c>
      <c r="G264" s="216">
        <v>2023</v>
      </c>
      <c r="H264" s="218" t="s">
        <v>825</v>
      </c>
      <c r="I264" s="217" t="s">
        <v>781</v>
      </c>
      <c r="J264" s="217" t="s">
        <v>890</v>
      </c>
      <c r="K264" s="213" t="s">
        <v>753</v>
      </c>
      <c r="L264" s="213" t="s">
        <v>192</v>
      </c>
      <c r="M264" s="219" t="s">
        <v>1393</v>
      </c>
      <c r="N264" s="219"/>
      <c r="O264" s="219"/>
      <c r="P264" s="219"/>
      <c r="Q264" s="219"/>
      <c r="R264" s="219">
        <v>31.36</v>
      </c>
      <c r="S264" s="219">
        <v>31.36</v>
      </c>
      <c r="T264" s="219">
        <v>31.36</v>
      </c>
      <c r="U264" s="219">
        <v>31.36</v>
      </c>
      <c r="V264" s="219">
        <v>31.36</v>
      </c>
      <c r="W264" s="219">
        <v>31.36</v>
      </c>
      <c r="X264" s="219">
        <v>31.36</v>
      </c>
      <c r="Y264" s="219">
        <v>31.36</v>
      </c>
      <c r="Z264" s="219"/>
      <c r="AA264" s="219"/>
      <c r="AB264" s="219"/>
      <c r="AC264" s="219"/>
      <c r="AD264" s="219">
        <v>0</v>
      </c>
      <c r="AE264" s="219">
        <v>0</v>
      </c>
      <c r="AF264" s="219">
        <v>0</v>
      </c>
      <c r="AG264" s="219">
        <v>0</v>
      </c>
      <c r="AH264" s="219">
        <v>0</v>
      </c>
      <c r="AI264" s="219">
        <v>0.01</v>
      </c>
      <c r="AJ264" s="219">
        <v>0.01</v>
      </c>
      <c r="AK264" s="219">
        <v>0.01</v>
      </c>
      <c r="AL264" s="229" t="s">
        <v>573</v>
      </c>
      <c r="AM264" s="219">
        <f t="shared" ref="AM264" si="142">Z264*AL264</f>
        <v>0</v>
      </c>
      <c r="AN264" s="229" t="s">
        <v>573</v>
      </c>
      <c r="AO264" s="221">
        <f t="shared" ref="AO264" si="143">AN264*AA264</f>
        <v>0</v>
      </c>
      <c r="AP264" s="222" t="s">
        <v>573</v>
      </c>
      <c r="AQ264" s="221">
        <f t="shared" ref="AQ264" si="144">AP264*AB264</f>
        <v>0</v>
      </c>
      <c r="AR264" s="222" t="s">
        <v>573</v>
      </c>
      <c r="AS264" s="58">
        <f t="shared" ref="AS264" si="145">AR264*AC264</f>
        <v>0</v>
      </c>
      <c r="AT264" s="222">
        <v>0</v>
      </c>
      <c r="AU264" s="58">
        <f t="shared" ref="AU264" si="146">AT264*AD264</f>
        <v>0</v>
      </c>
      <c r="AV264" s="222">
        <v>360</v>
      </c>
      <c r="AW264" s="58">
        <f t="shared" ref="AW264" si="147">AV264*AE264</f>
        <v>0</v>
      </c>
      <c r="AX264" s="251" t="s">
        <v>573</v>
      </c>
      <c r="AY264" s="58">
        <f t="shared" ref="AY264" si="148">AX264*AF264</f>
        <v>0</v>
      </c>
      <c r="AZ264" s="222" t="s">
        <v>573</v>
      </c>
      <c r="BA264" s="58">
        <f t="shared" si="105"/>
        <v>0</v>
      </c>
      <c r="BB264" s="222" t="s">
        <v>573</v>
      </c>
      <c r="BC264" s="58">
        <f t="shared" si="106"/>
        <v>0</v>
      </c>
      <c r="BD264" s="222">
        <v>1080</v>
      </c>
      <c r="BE264" s="58">
        <f t="shared" si="107"/>
        <v>10.8</v>
      </c>
      <c r="BF264" s="222">
        <v>1080</v>
      </c>
      <c r="BG264" s="58">
        <f t="shared" si="108"/>
        <v>10.8</v>
      </c>
      <c r="BH264" s="223" t="s">
        <v>573</v>
      </c>
      <c r="BI264" s="58">
        <f t="shared" si="109"/>
        <v>0</v>
      </c>
      <c r="BJ264" s="220">
        <f t="shared" ref="BJ264:BJ334" si="149">BH264+BF264+BD264+BB264+AZ264+AX264+AV264+AT264+AR264+AP264+AN264+AL264</f>
        <v>2520</v>
      </c>
      <c r="BK264" s="58"/>
      <c r="BL264" s="58" t="s">
        <v>1369</v>
      </c>
      <c r="BM264" s="220" t="s">
        <v>1393</v>
      </c>
      <c r="BN264" s="213" t="s">
        <v>1329</v>
      </c>
      <c r="BO264" s="58" t="s">
        <v>1328</v>
      </c>
      <c r="BP264" s="199">
        <v>47057</v>
      </c>
      <c r="BQ264" s="2" t="s">
        <v>1387</v>
      </c>
    </row>
    <row r="265" spans="1:69" ht="15.75" customHeight="1">
      <c r="A265" s="213" t="s">
        <v>788</v>
      </c>
      <c r="B265" s="58" t="s">
        <v>1293</v>
      </c>
      <c r="C265" s="58" t="s">
        <v>752</v>
      </c>
      <c r="D265" s="214" t="s">
        <v>789</v>
      </c>
      <c r="E265" s="214" t="s">
        <v>1294</v>
      </c>
      <c r="F265" s="215" t="s">
        <v>186</v>
      </c>
      <c r="G265" s="216">
        <v>2023</v>
      </c>
      <c r="H265" s="218" t="s">
        <v>825</v>
      </c>
      <c r="I265" s="217" t="s">
        <v>781</v>
      </c>
      <c r="J265" s="217" t="s">
        <v>890</v>
      </c>
      <c r="K265" s="213" t="s">
        <v>753</v>
      </c>
      <c r="L265" s="213" t="s">
        <v>192</v>
      </c>
      <c r="M265" s="219" t="s">
        <v>1393</v>
      </c>
      <c r="N265" s="219"/>
      <c r="O265" s="219"/>
      <c r="P265" s="219"/>
      <c r="Q265" s="219"/>
      <c r="R265" s="219">
        <v>31.36</v>
      </c>
      <c r="S265" s="219">
        <v>31.36</v>
      </c>
      <c r="T265" s="219">
        <v>31.36</v>
      </c>
      <c r="U265" s="219">
        <v>31.36</v>
      </c>
      <c r="V265" s="219">
        <v>31.36</v>
      </c>
      <c r="W265" s="219">
        <v>31.36</v>
      </c>
      <c r="X265" s="219">
        <v>31.36</v>
      </c>
      <c r="Y265" s="219">
        <v>31.36</v>
      </c>
      <c r="Z265" s="219"/>
      <c r="AA265" s="219"/>
      <c r="AB265" s="219"/>
      <c r="AC265" s="219"/>
      <c r="AD265" s="219">
        <v>0</v>
      </c>
      <c r="AE265" s="219">
        <v>0</v>
      </c>
      <c r="AF265" s="219">
        <v>0</v>
      </c>
      <c r="AG265" s="219">
        <v>0</v>
      </c>
      <c r="AH265" s="219">
        <v>0</v>
      </c>
      <c r="AI265" s="219">
        <v>0.01</v>
      </c>
      <c r="AJ265" s="219">
        <v>0.01</v>
      </c>
      <c r="AK265" s="219">
        <v>0.01</v>
      </c>
      <c r="AL265" s="229" t="s">
        <v>573</v>
      </c>
      <c r="AM265" s="219">
        <f t="shared" ref="AM265" si="150">Z265*AL265</f>
        <v>0</v>
      </c>
      <c r="AN265" s="229" t="s">
        <v>573</v>
      </c>
      <c r="AO265" s="221">
        <f t="shared" ref="AO265" si="151">AN265*AA265</f>
        <v>0</v>
      </c>
      <c r="AP265" s="222" t="s">
        <v>573</v>
      </c>
      <c r="AQ265" s="221">
        <f t="shared" ref="AQ265" si="152">AP265*AB265</f>
        <v>0</v>
      </c>
      <c r="AR265" s="222" t="s">
        <v>573</v>
      </c>
      <c r="AS265" s="58">
        <f t="shared" ref="AS265" si="153">AR265*AC265</f>
        <v>0</v>
      </c>
      <c r="AT265" s="222">
        <v>0</v>
      </c>
      <c r="AU265" s="58">
        <f t="shared" ref="AU265" si="154">AT265*AD265</f>
        <v>0</v>
      </c>
      <c r="AV265" s="222">
        <v>0</v>
      </c>
      <c r="AW265" s="58">
        <f t="shared" ref="AW265" si="155">AV265*AE265</f>
        <v>0</v>
      </c>
      <c r="AX265" s="251">
        <v>360</v>
      </c>
      <c r="AY265" s="58">
        <f t="shared" ref="AY265" si="156">AX265*AF265</f>
        <v>0</v>
      </c>
      <c r="AZ265" s="222" t="s">
        <v>573</v>
      </c>
      <c r="BA265" s="58">
        <f t="shared" si="105"/>
        <v>0</v>
      </c>
      <c r="BB265" s="222" t="s">
        <v>573</v>
      </c>
      <c r="BC265" s="58">
        <f t="shared" si="106"/>
        <v>0</v>
      </c>
      <c r="BD265" s="222" t="s">
        <v>573</v>
      </c>
      <c r="BE265" s="58">
        <f t="shared" si="107"/>
        <v>0</v>
      </c>
      <c r="BF265" s="222" t="s">
        <v>573</v>
      </c>
      <c r="BG265" s="58">
        <f t="shared" si="108"/>
        <v>0</v>
      </c>
      <c r="BH265" s="223" t="s">
        <v>573</v>
      </c>
      <c r="BI265" s="58">
        <f t="shared" si="109"/>
        <v>0</v>
      </c>
      <c r="BJ265" s="220">
        <f t="shared" si="149"/>
        <v>360</v>
      </c>
      <c r="BK265" s="58"/>
      <c r="BL265" s="58" t="s">
        <v>1370</v>
      </c>
      <c r="BM265" s="220" t="s">
        <v>1393</v>
      </c>
      <c r="BN265" s="213" t="s">
        <v>1329</v>
      </c>
      <c r="BO265" s="58" t="s">
        <v>1337</v>
      </c>
      <c r="BP265" s="199">
        <v>47057</v>
      </c>
      <c r="BQ265" s="2" t="s">
        <v>1387</v>
      </c>
    </row>
    <row r="266" spans="1:69" ht="15.75" customHeight="1">
      <c r="A266" s="213" t="s">
        <v>788</v>
      </c>
      <c r="B266" s="58" t="s">
        <v>1293</v>
      </c>
      <c r="C266" s="58" t="s">
        <v>752</v>
      </c>
      <c r="D266" s="214" t="s">
        <v>789</v>
      </c>
      <c r="E266" s="214" t="s">
        <v>1294</v>
      </c>
      <c r="F266" s="215" t="s">
        <v>186</v>
      </c>
      <c r="G266" s="216">
        <v>2023</v>
      </c>
      <c r="H266" s="218" t="s">
        <v>825</v>
      </c>
      <c r="I266" s="217" t="s">
        <v>781</v>
      </c>
      <c r="J266" s="217" t="s">
        <v>890</v>
      </c>
      <c r="K266" s="213" t="s">
        <v>753</v>
      </c>
      <c r="L266" s="213" t="s">
        <v>192</v>
      </c>
      <c r="M266" s="219" t="s">
        <v>1408</v>
      </c>
      <c r="N266" s="219"/>
      <c r="O266" s="219"/>
      <c r="P266" s="219"/>
      <c r="Q266" s="219"/>
      <c r="R266" s="219">
        <v>31.36</v>
      </c>
      <c r="S266" s="219">
        <v>31.36</v>
      </c>
      <c r="T266" s="219">
        <v>31.36</v>
      </c>
      <c r="U266" s="219">
        <v>31.36</v>
      </c>
      <c r="V266" s="219">
        <v>31.36</v>
      </c>
      <c r="W266" s="219">
        <v>31.36</v>
      </c>
      <c r="X266" s="219">
        <v>31.36</v>
      </c>
      <c r="Y266" s="219">
        <v>31.36</v>
      </c>
      <c r="Z266" s="219"/>
      <c r="AA266" s="219"/>
      <c r="AB266" s="219"/>
      <c r="AC266" s="219"/>
      <c r="AD266" s="219">
        <v>0</v>
      </c>
      <c r="AE266" s="219">
        <v>0</v>
      </c>
      <c r="AF266" s="219">
        <v>0</v>
      </c>
      <c r="AG266" s="219">
        <v>0</v>
      </c>
      <c r="AH266" s="219">
        <v>0</v>
      </c>
      <c r="AI266" s="219">
        <v>0.01</v>
      </c>
      <c r="AJ266" s="219">
        <v>0.01</v>
      </c>
      <c r="AK266" s="219">
        <v>0.01</v>
      </c>
      <c r="AL266" s="229" t="s">
        <v>573</v>
      </c>
      <c r="AM266" s="219">
        <f t="shared" ref="AM266" si="157">Z266*AL266</f>
        <v>0</v>
      </c>
      <c r="AN266" s="229" t="s">
        <v>573</v>
      </c>
      <c r="AO266" s="221">
        <f t="shared" ref="AO266" si="158">AN266*AA266</f>
        <v>0</v>
      </c>
      <c r="AP266" s="222" t="s">
        <v>573</v>
      </c>
      <c r="AQ266" s="221">
        <f t="shared" ref="AQ266" si="159">AP266*AB266</f>
        <v>0</v>
      </c>
      <c r="AR266" s="222" t="s">
        <v>573</v>
      </c>
      <c r="AS266" s="58">
        <f t="shared" ref="AS266" si="160">AR266*AC266</f>
        <v>0</v>
      </c>
      <c r="AT266" s="222">
        <v>0</v>
      </c>
      <c r="AU266" s="58">
        <f t="shared" ref="AU266" si="161">AT266*AD266</f>
        <v>0</v>
      </c>
      <c r="AV266" s="222">
        <v>0</v>
      </c>
      <c r="AW266" s="58">
        <f t="shared" ref="AW266" si="162">AV266*AE266</f>
        <v>0</v>
      </c>
      <c r="AX266" s="251">
        <v>0</v>
      </c>
      <c r="AY266" s="58">
        <f t="shared" ref="AY266" si="163">AX266*AF266</f>
        <v>0</v>
      </c>
      <c r="AZ266" s="222" t="s">
        <v>573</v>
      </c>
      <c r="BA266" s="58">
        <f t="shared" ref="BA266" si="164">AZ266*AG266</f>
        <v>0</v>
      </c>
      <c r="BB266" s="222" t="s">
        <v>573</v>
      </c>
      <c r="BC266" s="58">
        <f t="shared" ref="BC266" si="165">BB266*AH266</f>
        <v>0</v>
      </c>
      <c r="BD266" s="222">
        <v>360</v>
      </c>
      <c r="BE266" s="58">
        <f t="shared" ref="BE266" si="166">BD266*AI266</f>
        <v>3.6</v>
      </c>
      <c r="BF266" s="222" t="s">
        <v>573</v>
      </c>
      <c r="BG266" s="58">
        <f t="shared" ref="BG266" si="167">BF266*AJ266</f>
        <v>0</v>
      </c>
      <c r="BH266" s="223" t="s">
        <v>573</v>
      </c>
      <c r="BI266" s="58">
        <f t="shared" ref="BI266" si="168">BH266*AK266</f>
        <v>0</v>
      </c>
      <c r="BJ266" s="220">
        <f t="shared" si="149"/>
        <v>360</v>
      </c>
      <c r="BK266" s="58"/>
      <c r="BL266" s="58" t="s">
        <v>1431</v>
      </c>
      <c r="BM266" s="220" t="s">
        <v>1408</v>
      </c>
      <c r="BN266" s="213" t="s">
        <v>1329</v>
      </c>
      <c r="BO266" s="58" t="s">
        <v>1337</v>
      </c>
      <c r="BP266" s="199">
        <v>47057</v>
      </c>
      <c r="BQ266" s="2" t="s">
        <v>1387</v>
      </c>
    </row>
    <row r="267" spans="1:69" ht="15.75" customHeight="1">
      <c r="A267" s="213" t="s">
        <v>788</v>
      </c>
      <c r="B267" s="58" t="s">
        <v>1293</v>
      </c>
      <c r="C267" s="58" t="s">
        <v>752</v>
      </c>
      <c r="D267" s="214" t="s">
        <v>789</v>
      </c>
      <c r="E267" s="214" t="s">
        <v>1294</v>
      </c>
      <c r="F267" s="215" t="s">
        <v>186</v>
      </c>
      <c r="G267" s="216">
        <v>2023</v>
      </c>
      <c r="H267" s="218" t="s">
        <v>825</v>
      </c>
      <c r="I267" s="217" t="s">
        <v>781</v>
      </c>
      <c r="J267" s="217" t="s">
        <v>890</v>
      </c>
      <c r="K267" s="213" t="s">
        <v>753</v>
      </c>
      <c r="L267" s="213" t="s">
        <v>192</v>
      </c>
      <c r="M267" s="219" t="s">
        <v>1408</v>
      </c>
      <c r="N267" s="219"/>
      <c r="O267" s="219"/>
      <c r="P267" s="219"/>
      <c r="Q267" s="219"/>
      <c r="R267" s="219">
        <v>31.36</v>
      </c>
      <c r="S267" s="219">
        <v>31.36</v>
      </c>
      <c r="T267" s="219">
        <v>31.36</v>
      </c>
      <c r="U267" s="219">
        <v>31.36</v>
      </c>
      <c r="V267" s="219">
        <v>31.36</v>
      </c>
      <c r="W267" s="219">
        <v>31.36</v>
      </c>
      <c r="X267" s="219">
        <v>31.36</v>
      </c>
      <c r="Y267" s="219">
        <v>31.36</v>
      </c>
      <c r="Z267" s="219"/>
      <c r="AA267" s="219"/>
      <c r="AB267" s="219"/>
      <c r="AC267" s="219"/>
      <c r="AD267" s="219">
        <v>0</v>
      </c>
      <c r="AE267" s="219">
        <v>0</v>
      </c>
      <c r="AF267" s="219">
        <v>0</v>
      </c>
      <c r="AG267" s="219">
        <v>0</v>
      </c>
      <c r="AH267" s="219">
        <v>0</v>
      </c>
      <c r="AI267" s="219">
        <v>0.01</v>
      </c>
      <c r="AJ267" s="219">
        <v>0.01</v>
      </c>
      <c r="AK267" s="219">
        <v>0.01</v>
      </c>
      <c r="AL267" s="229" t="s">
        <v>573</v>
      </c>
      <c r="AM267" s="219">
        <f t="shared" ref="AM267" si="169">Z267*AL267</f>
        <v>0</v>
      </c>
      <c r="AN267" s="229" t="s">
        <v>573</v>
      </c>
      <c r="AO267" s="221">
        <f t="shared" ref="AO267" si="170">AN267*AA267</f>
        <v>0</v>
      </c>
      <c r="AP267" s="222" t="s">
        <v>573</v>
      </c>
      <c r="AQ267" s="221">
        <f t="shared" ref="AQ267" si="171">AP267*AB267</f>
        <v>0</v>
      </c>
      <c r="AR267" s="222" t="s">
        <v>573</v>
      </c>
      <c r="AS267" s="58">
        <f t="shared" ref="AS267" si="172">AR267*AC267</f>
        <v>0</v>
      </c>
      <c r="AT267" s="222">
        <v>0</v>
      </c>
      <c r="AU267" s="58">
        <f t="shared" ref="AU267" si="173">AT267*AD267</f>
        <v>0</v>
      </c>
      <c r="AV267" s="222">
        <v>0</v>
      </c>
      <c r="AW267" s="58">
        <f t="shared" ref="AW267" si="174">AV267*AE267</f>
        <v>0</v>
      </c>
      <c r="AX267" s="251">
        <v>0</v>
      </c>
      <c r="AY267" s="58">
        <f t="shared" ref="AY267" si="175">AX267*AF267</f>
        <v>0</v>
      </c>
      <c r="AZ267" s="222" t="s">
        <v>573</v>
      </c>
      <c r="BA267" s="58">
        <f t="shared" ref="BA267" si="176">AZ267*AG267</f>
        <v>0</v>
      </c>
      <c r="BB267" s="222" t="s">
        <v>573</v>
      </c>
      <c r="BC267" s="58">
        <f t="shared" ref="BC267" si="177">BB267*AH267</f>
        <v>0</v>
      </c>
      <c r="BD267" s="222">
        <v>0</v>
      </c>
      <c r="BE267" s="58">
        <f t="shared" ref="BE267" si="178">BD267*AI267</f>
        <v>0</v>
      </c>
      <c r="BF267" s="222">
        <v>360</v>
      </c>
      <c r="BG267" s="58">
        <f t="shared" ref="BG267" si="179">BF267*AJ267</f>
        <v>3.6</v>
      </c>
      <c r="BH267" s="223" t="s">
        <v>573</v>
      </c>
      <c r="BI267" s="58">
        <f t="shared" ref="BI267" si="180">BH267*AK267</f>
        <v>0</v>
      </c>
      <c r="BJ267" s="220">
        <f t="shared" ref="BJ267" si="181">BH267+BF267+BD267+BB267+AZ267+AX267+AV267+AT267+AR267+AP267+AN267+AL267</f>
        <v>360</v>
      </c>
      <c r="BK267" s="58"/>
      <c r="BL267" s="58" t="s">
        <v>1431</v>
      </c>
      <c r="BM267" s="220" t="s">
        <v>1408</v>
      </c>
      <c r="BN267" s="213" t="s">
        <v>1329</v>
      </c>
      <c r="BO267" s="58" t="s">
        <v>1444</v>
      </c>
      <c r="BP267" s="199">
        <v>47057</v>
      </c>
      <c r="BQ267" s="2" t="s">
        <v>1387</v>
      </c>
    </row>
    <row r="268" spans="1:69" ht="15.75" customHeight="1">
      <c r="A268" s="213" t="s">
        <v>788</v>
      </c>
      <c r="B268" s="58" t="s">
        <v>1293</v>
      </c>
      <c r="C268" s="58" t="s">
        <v>752</v>
      </c>
      <c r="D268" s="214" t="s">
        <v>789</v>
      </c>
      <c r="E268" s="214" t="s">
        <v>1294</v>
      </c>
      <c r="F268" s="215" t="s">
        <v>186</v>
      </c>
      <c r="G268" s="216">
        <v>2023</v>
      </c>
      <c r="H268" s="218" t="s">
        <v>825</v>
      </c>
      <c r="I268" s="217" t="s">
        <v>781</v>
      </c>
      <c r="J268" s="217" t="s">
        <v>890</v>
      </c>
      <c r="K268" s="213" t="s">
        <v>753</v>
      </c>
      <c r="L268" s="213" t="s">
        <v>192</v>
      </c>
      <c r="M268" s="219" t="s">
        <v>1408</v>
      </c>
      <c r="N268" s="219"/>
      <c r="O268" s="219"/>
      <c r="P268" s="219"/>
      <c r="Q268" s="219"/>
      <c r="R268" s="219">
        <v>31.36</v>
      </c>
      <c r="S268" s="219">
        <v>31.36</v>
      </c>
      <c r="T268" s="219">
        <v>31.36</v>
      </c>
      <c r="U268" s="219">
        <v>31.36</v>
      </c>
      <c r="V268" s="219">
        <v>31.36</v>
      </c>
      <c r="W268" s="219">
        <v>31.36</v>
      </c>
      <c r="X268" s="219">
        <v>31.36</v>
      </c>
      <c r="Y268" s="219">
        <v>31.36</v>
      </c>
      <c r="Z268" s="219"/>
      <c r="AA268" s="219"/>
      <c r="AB268" s="219"/>
      <c r="AC268" s="219"/>
      <c r="AD268" s="219">
        <v>0</v>
      </c>
      <c r="AE268" s="219">
        <v>0</v>
      </c>
      <c r="AF268" s="219">
        <v>0</v>
      </c>
      <c r="AG268" s="219">
        <v>0</v>
      </c>
      <c r="AH268" s="219">
        <v>0</v>
      </c>
      <c r="AI268" s="219">
        <v>0.01</v>
      </c>
      <c r="AJ268" s="219">
        <v>0.01</v>
      </c>
      <c r="AK268" s="219">
        <v>0.01</v>
      </c>
      <c r="AL268" s="229" t="s">
        <v>573</v>
      </c>
      <c r="AM268" s="219">
        <f t="shared" ref="AM268" si="182">Z268*AL268</f>
        <v>0</v>
      </c>
      <c r="AN268" s="229" t="s">
        <v>573</v>
      </c>
      <c r="AO268" s="221">
        <f t="shared" ref="AO268" si="183">AN268*AA268</f>
        <v>0</v>
      </c>
      <c r="AP268" s="222" t="s">
        <v>573</v>
      </c>
      <c r="AQ268" s="221">
        <f t="shared" ref="AQ268" si="184">AP268*AB268</f>
        <v>0</v>
      </c>
      <c r="AR268" s="222" t="s">
        <v>573</v>
      </c>
      <c r="AS268" s="58">
        <f t="shared" ref="AS268" si="185">AR268*AC268</f>
        <v>0</v>
      </c>
      <c r="AT268" s="222">
        <v>0</v>
      </c>
      <c r="AU268" s="58">
        <f t="shared" ref="AU268" si="186">AT268*AD268</f>
        <v>0</v>
      </c>
      <c r="AV268" s="222">
        <v>0</v>
      </c>
      <c r="AW268" s="58">
        <f t="shared" ref="AW268" si="187">AV268*AE268</f>
        <v>0</v>
      </c>
      <c r="AX268" s="251">
        <v>0</v>
      </c>
      <c r="AY268" s="58">
        <f t="shared" ref="AY268" si="188">AX268*AF268</f>
        <v>0</v>
      </c>
      <c r="AZ268" s="222" t="s">
        <v>573</v>
      </c>
      <c r="BA268" s="58">
        <f t="shared" ref="BA268" si="189">AZ268*AG268</f>
        <v>0</v>
      </c>
      <c r="BB268" s="222" t="s">
        <v>573</v>
      </c>
      <c r="BC268" s="58">
        <f t="shared" ref="BC268" si="190">BB268*AH268</f>
        <v>0</v>
      </c>
      <c r="BD268" s="222">
        <v>360</v>
      </c>
      <c r="BE268" s="58">
        <f t="shared" ref="BE268" si="191">BD268*AI268</f>
        <v>3.6</v>
      </c>
      <c r="BF268" s="222" t="s">
        <v>573</v>
      </c>
      <c r="BG268" s="58">
        <f t="shared" ref="BG268" si="192">BF268*AJ268</f>
        <v>0</v>
      </c>
      <c r="BH268" s="223" t="s">
        <v>573</v>
      </c>
      <c r="BI268" s="58">
        <f t="shared" ref="BI268" si="193">BH268*AK268</f>
        <v>0</v>
      </c>
      <c r="BJ268" s="220">
        <f t="shared" si="149"/>
        <v>360</v>
      </c>
      <c r="BK268" s="58"/>
      <c r="BL268" s="58" t="s">
        <v>1431</v>
      </c>
      <c r="BM268" s="220" t="s">
        <v>1408</v>
      </c>
      <c r="BN268" s="213" t="s">
        <v>1329</v>
      </c>
      <c r="BO268" s="58" t="s">
        <v>1434</v>
      </c>
      <c r="BP268" s="199">
        <v>47057</v>
      </c>
      <c r="BQ268" s="2" t="s">
        <v>1387</v>
      </c>
    </row>
    <row r="269" spans="1:69" ht="15.75" customHeight="1">
      <c r="A269" s="213" t="s">
        <v>788</v>
      </c>
      <c r="B269" s="58" t="s">
        <v>1293</v>
      </c>
      <c r="C269" s="58" t="s">
        <v>752</v>
      </c>
      <c r="D269" s="214" t="s">
        <v>789</v>
      </c>
      <c r="E269" s="214" t="s">
        <v>1294</v>
      </c>
      <c r="F269" s="215" t="s">
        <v>186</v>
      </c>
      <c r="G269" s="216">
        <v>2023</v>
      </c>
      <c r="H269" s="218" t="s">
        <v>825</v>
      </c>
      <c r="I269" s="217" t="s">
        <v>781</v>
      </c>
      <c r="J269" s="217" t="s">
        <v>890</v>
      </c>
      <c r="K269" s="213" t="s">
        <v>753</v>
      </c>
      <c r="L269" s="213" t="s">
        <v>192</v>
      </c>
      <c r="M269" s="219" t="s">
        <v>1408</v>
      </c>
      <c r="N269" s="219"/>
      <c r="O269" s="219"/>
      <c r="P269" s="219"/>
      <c r="Q269" s="219"/>
      <c r="R269" s="219">
        <v>31.36</v>
      </c>
      <c r="S269" s="219">
        <v>31.36</v>
      </c>
      <c r="T269" s="219">
        <v>31.36</v>
      </c>
      <c r="U269" s="219">
        <v>31.36</v>
      </c>
      <c r="V269" s="219">
        <v>31.36</v>
      </c>
      <c r="W269" s="219">
        <v>31.36</v>
      </c>
      <c r="X269" s="219">
        <v>31.36</v>
      </c>
      <c r="Y269" s="219">
        <v>31.36</v>
      </c>
      <c r="Z269" s="219"/>
      <c r="AA269" s="219"/>
      <c r="AB269" s="219"/>
      <c r="AC269" s="219"/>
      <c r="AD269" s="219">
        <v>0</v>
      </c>
      <c r="AE269" s="219">
        <v>0</v>
      </c>
      <c r="AF269" s="219">
        <v>0</v>
      </c>
      <c r="AG269" s="219">
        <v>0</v>
      </c>
      <c r="AH269" s="219">
        <v>0</v>
      </c>
      <c r="AI269" s="219">
        <v>0.01</v>
      </c>
      <c r="AJ269" s="219">
        <v>0.01</v>
      </c>
      <c r="AK269" s="219">
        <v>0.01</v>
      </c>
      <c r="AL269" s="229" t="s">
        <v>573</v>
      </c>
      <c r="AM269" s="219">
        <f t="shared" ref="AM269" si="194">Z269*AL269</f>
        <v>0</v>
      </c>
      <c r="AN269" s="229" t="s">
        <v>573</v>
      </c>
      <c r="AO269" s="221">
        <f t="shared" ref="AO269" si="195">AN269*AA269</f>
        <v>0</v>
      </c>
      <c r="AP269" s="222" t="s">
        <v>573</v>
      </c>
      <c r="AQ269" s="221">
        <f t="shared" ref="AQ269" si="196">AP269*AB269</f>
        <v>0</v>
      </c>
      <c r="AR269" s="222" t="s">
        <v>573</v>
      </c>
      <c r="AS269" s="58">
        <f t="shared" ref="AS269" si="197">AR269*AC269</f>
        <v>0</v>
      </c>
      <c r="AT269" s="222">
        <v>0</v>
      </c>
      <c r="AU269" s="58">
        <f t="shared" ref="AU269" si="198">AT269*AD269</f>
        <v>0</v>
      </c>
      <c r="AV269" s="222">
        <v>0</v>
      </c>
      <c r="AW269" s="58">
        <f t="shared" ref="AW269" si="199">AV269*AE269</f>
        <v>0</v>
      </c>
      <c r="AX269" s="251">
        <v>0</v>
      </c>
      <c r="AY269" s="58">
        <f t="shared" ref="AY269" si="200">AX269*AF269</f>
        <v>0</v>
      </c>
      <c r="AZ269" s="222" t="s">
        <v>573</v>
      </c>
      <c r="BA269" s="58">
        <f t="shared" ref="BA269" si="201">AZ269*AG269</f>
        <v>0</v>
      </c>
      <c r="BB269" s="222" t="s">
        <v>573</v>
      </c>
      <c r="BC269" s="58">
        <f t="shared" ref="BC269" si="202">BB269*AH269</f>
        <v>0</v>
      </c>
      <c r="BD269" s="222">
        <v>360</v>
      </c>
      <c r="BE269" s="58">
        <f t="shared" ref="BE269" si="203">BD269*AI269</f>
        <v>3.6</v>
      </c>
      <c r="BF269" s="222" t="s">
        <v>573</v>
      </c>
      <c r="BG269" s="58">
        <f t="shared" ref="BG269" si="204">BF269*AJ269</f>
        <v>0</v>
      </c>
      <c r="BH269" s="223" t="s">
        <v>573</v>
      </c>
      <c r="BI269" s="58">
        <f t="shared" ref="BI269" si="205">BH269*AK269</f>
        <v>0</v>
      </c>
      <c r="BJ269" s="220">
        <f t="shared" si="149"/>
        <v>360</v>
      </c>
      <c r="BK269" s="58"/>
      <c r="BL269" s="58" t="s">
        <v>1431</v>
      </c>
      <c r="BM269" s="220" t="s">
        <v>1408</v>
      </c>
      <c r="BN269" s="213" t="s">
        <v>1329</v>
      </c>
      <c r="BO269" s="58" t="s">
        <v>1435</v>
      </c>
      <c r="BP269" s="199">
        <v>47057</v>
      </c>
      <c r="BQ269" s="2" t="s">
        <v>1387</v>
      </c>
    </row>
    <row r="270" spans="1:69" ht="15.75" customHeight="1">
      <c r="A270" s="213" t="s">
        <v>788</v>
      </c>
      <c r="B270" s="58" t="s">
        <v>1293</v>
      </c>
      <c r="C270" s="58" t="s">
        <v>752</v>
      </c>
      <c r="D270" s="214" t="s">
        <v>789</v>
      </c>
      <c r="E270" s="214" t="s">
        <v>1294</v>
      </c>
      <c r="F270" s="215" t="s">
        <v>186</v>
      </c>
      <c r="G270" s="216">
        <v>2023</v>
      </c>
      <c r="H270" s="218" t="s">
        <v>825</v>
      </c>
      <c r="I270" s="217" t="s">
        <v>781</v>
      </c>
      <c r="J270" s="217" t="s">
        <v>890</v>
      </c>
      <c r="K270" s="213" t="s">
        <v>753</v>
      </c>
      <c r="L270" s="213" t="s">
        <v>192</v>
      </c>
      <c r="M270" s="219" t="s">
        <v>1393</v>
      </c>
      <c r="N270" s="219"/>
      <c r="O270" s="219"/>
      <c r="P270" s="219"/>
      <c r="Q270" s="219"/>
      <c r="R270" s="219">
        <v>31.36</v>
      </c>
      <c r="S270" s="219">
        <v>31.36</v>
      </c>
      <c r="T270" s="219">
        <v>31.36</v>
      </c>
      <c r="U270" s="219">
        <v>31.36</v>
      </c>
      <c r="V270" s="219">
        <v>31.36</v>
      </c>
      <c r="W270" s="219">
        <v>31.36</v>
      </c>
      <c r="X270" s="219">
        <v>31.36</v>
      </c>
      <c r="Y270" s="219">
        <v>31.36</v>
      </c>
      <c r="Z270" s="219"/>
      <c r="AA270" s="219"/>
      <c r="AB270" s="219"/>
      <c r="AC270" s="219"/>
      <c r="AD270" s="219">
        <v>0</v>
      </c>
      <c r="AE270" s="219">
        <v>0</v>
      </c>
      <c r="AF270" s="219">
        <v>0</v>
      </c>
      <c r="AG270" s="219">
        <v>0</v>
      </c>
      <c r="AH270" s="219">
        <v>0</v>
      </c>
      <c r="AI270" s="219">
        <v>0.01</v>
      </c>
      <c r="AJ270" s="219">
        <v>0.01</v>
      </c>
      <c r="AK270" s="219">
        <v>0.01</v>
      </c>
      <c r="AL270" s="229" t="s">
        <v>573</v>
      </c>
      <c r="AM270" s="219">
        <f t="shared" ref="AM270" si="206">Z270*AL270</f>
        <v>0</v>
      </c>
      <c r="AN270" s="229" t="s">
        <v>573</v>
      </c>
      <c r="AO270" s="221">
        <f t="shared" ref="AO270" si="207">AN270*AA270</f>
        <v>0</v>
      </c>
      <c r="AP270" s="222" t="s">
        <v>573</v>
      </c>
      <c r="AQ270" s="221">
        <f t="shared" ref="AQ270" si="208">AP270*AB270</f>
        <v>0</v>
      </c>
      <c r="AR270" s="222" t="s">
        <v>573</v>
      </c>
      <c r="AS270" s="58">
        <f t="shared" ref="AS270" si="209">AR270*AC270</f>
        <v>0</v>
      </c>
      <c r="AT270" s="222">
        <v>0</v>
      </c>
      <c r="AU270" s="58">
        <f t="shared" ref="AU270" si="210">AT270*AD270</f>
        <v>0</v>
      </c>
      <c r="AV270" s="222">
        <v>0</v>
      </c>
      <c r="AW270" s="58">
        <f t="shared" ref="AW270" si="211">AV270*AE270</f>
        <v>0</v>
      </c>
      <c r="AX270" s="251">
        <v>1080</v>
      </c>
      <c r="AY270" s="58">
        <f t="shared" ref="AY270" si="212">AX270*AF270</f>
        <v>0</v>
      </c>
      <c r="AZ270" s="222" t="s">
        <v>573</v>
      </c>
      <c r="BA270" s="58">
        <f t="shared" si="105"/>
        <v>0</v>
      </c>
      <c r="BB270" s="222" t="s">
        <v>573</v>
      </c>
      <c r="BC270" s="58">
        <f t="shared" si="106"/>
        <v>0</v>
      </c>
      <c r="BD270" s="222" t="s">
        <v>573</v>
      </c>
      <c r="BE270" s="58">
        <f t="shared" si="107"/>
        <v>0</v>
      </c>
      <c r="BF270" s="222">
        <v>1080</v>
      </c>
      <c r="BG270" s="58">
        <f t="shared" si="108"/>
        <v>10.8</v>
      </c>
      <c r="BH270" s="223" t="s">
        <v>573</v>
      </c>
      <c r="BI270" s="58">
        <f t="shared" si="109"/>
        <v>0</v>
      </c>
      <c r="BJ270" s="220">
        <f t="shared" si="149"/>
        <v>2160</v>
      </c>
      <c r="BK270" s="58"/>
      <c r="BL270" s="58" t="s">
        <v>1371</v>
      </c>
      <c r="BM270" s="220" t="s">
        <v>1393</v>
      </c>
      <c r="BN270" s="213" t="s">
        <v>1329</v>
      </c>
      <c r="BO270" s="58" t="s">
        <v>1338</v>
      </c>
      <c r="BP270" s="199">
        <v>47057</v>
      </c>
      <c r="BQ270" s="2" t="s">
        <v>1387</v>
      </c>
    </row>
    <row r="271" spans="1:69" ht="15.75" customHeight="1">
      <c r="A271" s="213" t="s">
        <v>788</v>
      </c>
      <c r="B271" s="58" t="s">
        <v>1293</v>
      </c>
      <c r="C271" s="58" t="s">
        <v>752</v>
      </c>
      <c r="D271" s="214" t="s">
        <v>789</v>
      </c>
      <c r="E271" s="214" t="s">
        <v>1294</v>
      </c>
      <c r="F271" s="215" t="s">
        <v>186</v>
      </c>
      <c r="G271" s="216">
        <v>2023</v>
      </c>
      <c r="H271" s="218" t="s">
        <v>825</v>
      </c>
      <c r="I271" s="217" t="s">
        <v>781</v>
      </c>
      <c r="J271" s="217" t="s">
        <v>890</v>
      </c>
      <c r="K271" s="213" t="s">
        <v>753</v>
      </c>
      <c r="L271" s="213" t="s">
        <v>192</v>
      </c>
      <c r="M271" s="219" t="s">
        <v>1393</v>
      </c>
      <c r="N271" s="219"/>
      <c r="O271" s="219"/>
      <c r="P271" s="219"/>
      <c r="Q271" s="219"/>
      <c r="R271" s="219">
        <v>31.36</v>
      </c>
      <c r="S271" s="219">
        <v>31.36</v>
      </c>
      <c r="T271" s="219">
        <v>31.36</v>
      </c>
      <c r="U271" s="219">
        <v>31.36</v>
      </c>
      <c r="V271" s="219">
        <v>31.36</v>
      </c>
      <c r="W271" s="219">
        <v>31.36</v>
      </c>
      <c r="X271" s="219">
        <v>31.36</v>
      </c>
      <c r="Y271" s="219">
        <v>31.36</v>
      </c>
      <c r="Z271" s="219"/>
      <c r="AA271" s="219"/>
      <c r="AB271" s="219"/>
      <c r="AC271" s="219"/>
      <c r="AD271" s="219">
        <v>0</v>
      </c>
      <c r="AE271" s="219">
        <v>0</v>
      </c>
      <c r="AF271" s="219">
        <v>0</v>
      </c>
      <c r="AG271" s="219">
        <v>0</v>
      </c>
      <c r="AH271" s="219">
        <v>0</v>
      </c>
      <c r="AI271" s="219">
        <v>0.01</v>
      </c>
      <c r="AJ271" s="219">
        <v>0.01</v>
      </c>
      <c r="AK271" s="219">
        <v>0.01</v>
      </c>
      <c r="AL271" s="229" t="s">
        <v>573</v>
      </c>
      <c r="AM271" s="219">
        <f t="shared" ref="AM271" si="213">Z271*AL271</f>
        <v>0</v>
      </c>
      <c r="AN271" s="229" t="s">
        <v>573</v>
      </c>
      <c r="AO271" s="221">
        <f t="shared" ref="AO271" si="214">AN271*AA271</f>
        <v>0</v>
      </c>
      <c r="AP271" s="222" t="s">
        <v>573</v>
      </c>
      <c r="AQ271" s="221">
        <f t="shared" ref="AQ271" si="215">AP271*AB271</f>
        <v>0</v>
      </c>
      <c r="AR271" s="222" t="s">
        <v>573</v>
      </c>
      <c r="AS271" s="58">
        <f t="shared" ref="AS271" si="216">AR271*AC271</f>
        <v>0</v>
      </c>
      <c r="AT271" s="222">
        <v>0</v>
      </c>
      <c r="AU271" s="58">
        <f t="shared" ref="AU271" si="217">AT271*AD271</f>
        <v>0</v>
      </c>
      <c r="AV271" s="222">
        <v>0</v>
      </c>
      <c r="AW271" s="58">
        <f t="shared" ref="AW271" si="218">AV271*AE271</f>
        <v>0</v>
      </c>
      <c r="AX271" s="251">
        <v>0</v>
      </c>
      <c r="AY271" s="58">
        <f t="shared" ref="AY271" si="219">AX271*AF271</f>
        <v>0</v>
      </c>
      <c r="AZ271" s="222" t="s">
        <v>573</v>
      </c>
      <c r="BA271" s="58">
        <f t="shared" ref="BA271" si="220">AZ271*AG271</f>
        <v>0</v>
      </c>
      <c r="BB271" s="222" t="s">
        <v>573</v>
      </c>
      <c r="BC271" s="58">
        <f t="shared" ref="BC271" si="221">BB271*AH271</f>
        <v>0</v>
      </c>
      <c r="BD271" s="222" t="s">
        <v>573</v>
      </c>
      <c r="BE271" s="58">
        <f t="shared" ref="BE271" si="222">BD271*AI271</f>
        <v>0</v>
      </c>
      <c r="BF271" s="222">
        <v>0</v>
      </c>
      <c r="BG271" s="58">
        <f t="shared" ref="BG271" si="223">BF271*AJ271</f>
        <v>0</v>
      </c>
      <c r="BH271" s="223">
        <v>120</v>
      </c>
      <c r="BI271" s="58">
        <f t="shared" ref="BI271" si="224">BH271*AK271</f>
        <v>1.2</v>
      </c>
      <c r="BJ271" s="220">
        <f t="shared" ref="BJ271" si="225">BH271+BF271+BD271+BB271+AZ271+AX271+AV271+AT271+AR271+AP271+AN271+AL271</f>
        <v>120</v>
      </c>
      <c r="BK271" s="58"/>
      <c r="BL271" s="58"/>
      <c r="BM271" s="220" t="s">
        <v>1414</v>
      </c>
      <c r="BN271" s="213" t="s">
        <v>1329</v>
      </c>
      <c r="BO271" s="58" t="s">
        <v>1338</v>
      </c>
      <c r="BP271" s="199">
        <v>47057</v>
      </c>
      <c r="BQ271" s="2" t="s">
        <v>1387</v>
      </c>
    </row>
    <row r="272" spans="1:69" ht="15.75" customHeight="1">
      <c r="A272" s="213" t="s">
        <v>788</v>
      </c>
      <c r="B272" s="58" t="s">
        <v>1293</v>
      </c>
      <c r="C272" s="58" t="s">
        <v>752</v>
      </c>
      <c r="D272" s="214" t="s">
        <v>789</v>
      </c>
      <c r="E272" s="214" t="s">
        <v>1294</v>
      </c>
      <c r="F272" s="215" t="s">
        <v>186</v>
      </c>
      <c r="G272" s="216">
        <v>2023</v>
      </c>
      <c r="H272" s="218" t="s">
        <v>825</v>
      </c>
      <c r="I272" s="217" t="s">
        <v>781</v>
      </c>
      <c r="J272" s="217" t="s">
        <v>890</v>
      </c>
      <c r="K272" s="213" t="s">
        <v>753</v>
      </c>
      <c r="L272" s="213" t="s">
        <v>192</v>
      </c>
      <c r="M272" s="219" t="s">
        <v>1393</v>
      </c>
      <c r="N272" s="219"/>
      <c r="O272" s="219"/>
      <c r="P272" s="219"/>
      <c r="Q272" s="219"/>
      <c r="R272" s="219">
        <v>31.36</v>
      </c>
      <c r="S272" s="219">
        <v>31.36</v>
      </c>
      <c r="T272" s="219">
        <v>31.36</v>
      </c>
      <c r="U272" s="219">
        <v>31.36</v>
      </c>
      <c r="V272" s="219">
        <v>31.36</v>
      </c>
      <c r="W272" s="219">
        <v>31.36</v>
      </c>
      <c r="X272" s="219">
        <v>31.36</v>
      </c>
      <c r="Y272" s="219">
        <v>31.36</v>
      </c>
      <c r="Z272" s="219"/>
      <c r="AA272" s="219"/>
      <c r="AB272" s="219"/>
      <c r="AC272" s="219"/>
      <c r="AD272" s="219">
        <v>0</v>
      </c>
      <c r="AE272" s="219">
        <v>0</v>
      </c>
      <c r="AF272" s="219">
        <v>0</v>
      </c>
      <c r="AG272" s="219">
        <v>0</v>
      </c>
      <c r="AH272" s="219">
        <v>0</v>
      </c>
      <c r="AI272" s="219">
        <v>0.01</v>
      </c>
      <c r="AJ272" s="219">
        <v>0.01</v>
      </c>
      <c r="AK272" s="219">
        <v>0.01</v>
      </c>
      <c r="AL272" s="229" t="s">
        <v>573</v>
      </c>
      <c r="AM272" s="219">
        <f t="shared" ref="AM272" si="226">Z272*AL272</f>
        <v>0</v>
      </c>
      <c r="AN272" s="229" t="s">
        <v>573</v>
      </c>
      <c r="AO272" s="221">
        <f t="shared" ref="AO272" si="227">AN272*AA272</f>
        <v>0</v>
      </c>
      <c r="AP272" s="222" t="s">
        <v>573</v>
      </c>
      <c r="AQ272" s="221">
        <f t="shared" ref="AQ272" si="228">AP272*AB272</f>
        <v>0</v>
      </c>
      <c r="AR272" s="222" t="s">
        <v>573</v>
      </c>
      <c r="AS272" s="58">
        <f t="shared" ref="AS272" si="229">AR272*AC272</f>
        <v>0</v>
      </c>
      <c r="AT272" s="222">
        <v>0</v>
      </c>
      <c r="AU272" s="58">
        <f t="shared" ref="AU272" si="230">AT272*AD272</f>
        <v>0</v>
      </c>
      <c r="AV272" s="222">
        <v>0</v>
      </c>
      <c r="AW272" s="58">
        <f t="shared" ref="AW272" si="231">AV272*AE272</f>
        <v>0</v>
      </c>
      <c r="AX272" s="251">
        <v>360</v>
      </c>
      <c r="AY272" s="58">
        <f t="shared" ref="AY272" si="232">AX272*AF272</f>
        <v>0</v>
      </c>
      <c r="AZ272" s="222" t="s">
        <v>573</v>
      </c>
      <c r="BA272" s="58">
        <f t="shared" si="105"/>
        <v>0</v>
      </c>
      <c r="BB272" s="222" t="s">
        <v>573</v>
      </c>
      <c r="BC272" s="58">
        <f t="shared" si="106"/>
        <v>0</v>
      </c>
      <c r="BD272" s="222" t="s">
        <v>573</v>
      </c>
      <c r="BE272" s="58">
        <f t="shared" si="107"/>
        <v>0</v>
      </c>
      <c r="BF272" s="222" t="s">
        <v>573</v>
      </c>
      <c r="BG272" s="58">
        <f t="shared" si="108"/>
        <v>0</v>
      </c>
      <c r="BH272" s="223" t="s">
        <v>573</v>
      </c>
      <c r="BI272" s="58">
        <f t="shared" si="109"/>
        <v>0</v>
      </c>
      <c r="BJ272" s="220">
        <f t="shared" si="149"/>
        <v>360</v>
      </c>
      <c r="BK272" s="58"/>
      <c r="BL272" s="58" t="s">
        <v>1372</v>
      </c>
      <c r="BM272" s="220" t="s">
        <v>1393</v>
      </c>
      <c r="BN272" s="213" t="s">
        <v>1329</v>
      </c>
      <c r="BO272" s="58" t="s">
        <v>1339</v>
      </c>
      <c r="BP272" s="199">
        <v>47057</v>
      </c>
      <c r="BQ272" s="2" t="s">
        <v>1387</v>
      </c>
    </row>
    <row r="273" spans="1:69" ht="15.75" customHeight="1">
      <c r="A273" s="213" t="s">
        <v>788</v>
      </c>
      <c r="B273" s="58" t="s">
        <v>1293</v>
      </c>
      <c r="C273" s="58" t="s">
        <v>752</v>
      </c>
      <c r="D273" s="214" t="s">
        <v>789</v>
      </c>
      <c r="E273" s="214" t="s">
        <v>1294</v>
      </c>
      <c r="F273" s="215" t="s">
        <v>186</v>
      </c>
      <c r="G273" s="216">
        <v>2023</v>
      </c>
      <c r="H273" s="218" t="s">
        <v>825</v>
      </c>
      <c r="I273" s="217" t="s">
        <v>781</v>
      </c>
      <c r="J273" s="217" t="s">
        <v>890</v>
      </c>
      <c r="K273" s="213" t="s">
        <v>753</v>
      </c>
      <c r="L273" s="213" t="s">
        <v>192</v>
      </c>
      <c r="M273" s="219" t="s">
        <v>1408</v>
      </c>
      <c r="N273" s="219"/>
      <c r="O273" s="219"/>
      <c r="P273" s="219"/>
      <c r="Q273" s="219"/>
      <c r="R273" s="219">
        <v>31.36</v>
      </c>
      <c r="S273" s="219">
        <v>31.36</v>
      </c>
      <c r="T273" s="219">
        <v>31.36</v>
      </c>
      <c r="U273" s="219">
        <v>31.36</v>
      </c>
      <c r="V273" s="219">
        <v>31.36</v>
      </c>
      <c r="W273" s="219">
        <v>31.36</v>
      </c>
      <c r="X273" s="219">
        <v>31.36</v>
      </c>
      <c r="Y273" s="219">
        <v>31.36</v>
      </c>
      <c r="Z273" s="219"/>
      <c r="AA273" s="219"/>
      <c r="AB273" s="219"/>
      <c r="AC273" s="219"/>
      <c r="AD273" s="219">
        <v>0</v>
      </c>
      <c r="AE273" s="219">
        <v>0</v>
      </c>
      <c r="AF273" s="219">
        <v>0</v>
      </c>
      <c r="AG273" s="219">
        <v>0</v>
      </c>
      <c r="AH273" s="219">
        <v>0</v>
      </c>
      <c r="AI273" s="219">
        <v>0.01</v>
      </c>
      <c r="AJ273" s="219">
        <v>0.01</v>
      </c>
      <c r="AK273" s="219">
        <v>0.01</v>
      </c>
      <c r="AL273" s="229" t="s">
        <v>573</v>
      </c>
      <c r="AM273" s="219">
        <f t="shared" ref="AM273" si="233">Z273*AL273</f>
        <v>0</v>
      </c>
      <c r="AN273" s="229" t="s">
        <v>573</v>
      </c>
      <c r="AO273" s="221">
        <f t="shared" ref="AO273" si="234">AN273*AA273</f>
        <v>0</v>
      </c>
      <c r="AP273" s="222" t="s">
        <v>573</v>
      </c>
      <c r="AQ273" s="221">
        <f t="shared" ref="AQ273" si="235">AP273*AB273</f>
        <v>0</v>
      </c>
      <c r="AR273" s="222" t="s">
        <v>573</v>
      </c>
      <c r="AS273" s="58">
        <f t="shared" ref="AS273" si="236">AR273*AC273</f>
        <v>0</v>
      </c>
      <c r="AT273" s="222">
        <v>0</v>
      </c>
      <c r="AU273" s="58">
        <f t="shared" ref="AU273" si="237">AT273*AD273</f>
        <v>0</v>
      </c>
      <c r="AV273" s="222">
        <v>0</v>
      </c>
      <c r="AW273" s="58">
        <f t="shared" ref="AW273" si="238">AV273*AE273</f>
        <v>0</v>
      </c>
      <c r="AX273" s="251">
        <v>0</v>
      </c>
      <c r="AY273" s="58">
        <f t="shared" ref="AY273" si="239">AX273*AF273</f>
        <v>0</v>
      </c>
      <c r="AZ273" s="222" t="s">
        <v>573</v>
      </c>
      <c r="BA273" s="58">
        <f t="shared" ref="BA273" si="240">AZ273*AG273</f>
        <v>0</v>
      </c>
      <c r="BB273" s="222">
        <v>10</v>
      </c>
      <c r="BC273" s="58">
        <f t="shared" ref="BC273" si="241">BB273*AH273</f>
        <v>0</v>
      </c>
      <c r="BD273" s="222">
        <v>350</v>
      </c>
      <c r="BE273" s="58">
        <f t="shared" ref="BE273" si="242">BD273*AI273</f>
        <v>3.5</v>
      </c>
      <c r="BF273" s="222" t="s">
        <v>573</v>
      </c>
      <c r="BG273" s="58">
        <f t="shared" ref="BG273" si="243">BF273*AJ273</f>
        <v>0</v>
      </c>
      <c r="BH273" s="223" t="s">
        <v>573</v>
      </c>
      <c r="BI273" s="58">
        <f t="shared" ref="BI273" si="244">BH273*AK273</f>
        <v>0</v>
      </c>
      <c r="BJ273" s="220">
        <f t="shared" si="149"/>
        <v>360</v>
      </c>
      <c r="BK273" s="58"/>
      <c r="BL273" s="58" t="s">
        <v>1430</v>
      </c>
      <c r="BM273" s="220" t="s">
        <v>1408</v>
      </c>
      <c r="BN273" s="213" t="s">
        <v>1329</v>
      </c>
      <c r="BO273" s="58" t="s">
        <v>1339</v>
      </c>
      <c r="BP273" s="199">
        <v>47057</v>
      </c>
      <c r="BQ273" s="2" t="s">
        <v>1387</v>
      </c>
    </row>
    <row r="274" spans="1:69" ht="15.75" customHeight="1">
      <c r="A274" s="213" t="s">
        <v>788</v>
      </c>
      <c r="B274" s="58" t="s">
        <v>1293</v>
      </c>
      <c r="C274" s="58" t="s">
        <v>752</v>
      </c>
      <c r="D274" s="214" t="s">
        <v>789</v>
      </c>
      <c r="E274" s="214" t="s">
        <v>1294</v>
      </c>
      <c r="F274" s="215" t="s">
        <v>186</v>
      </c>
      <c r="G274" s="216">
        <v>2023</v>
      </c>
      <c r="H274" s="218" t="s">
        <v>825</v>
      </c>
      <c r="I274" s="217" t="s">
        <v>781</v>
      </c>
      <c r="J274" s="217" t="s">
        <v>890</v>
      </c>
      <c r="K274" s="213" t="s">
        <v>753</v>
      </c>
      <c r="L274" s="213" t="s">
        <v>192</v>
      </c>
      <c r="M274" s="219" t="s">
        <v>1393</v>
      </c>
      <c r="N274" s="219"/>
      <c r="O274" s="219"/>
      <c r="P274" s="219"/>
      <c r="Q274" s="219"/>
      <c r="R274" s="219">
        <v>31.36</v>
      </c>
      <c r="S274" s="219">
        <v>31.36</v>
      </c>
      <c r="T274" s="219">
        <v>31.36</v>
      </c>
      <c r="U274" s="219">
        <v>31.36</v>
      </c>
      <c r="V274" s="219">
        <v>31.36</v>
      </c>
      <c r="W274" s="219">
        <v>31.36</v>
      </c>
      <c r="X274" s="219">
        <v>31.36</v>
      </c>
      <c r="Y274" s="219">
        <v>31.36</v>
      </c>
      <c r="Z274" s="219"/>
      <c r="AA274" s="219"/>
      <c r="AB274" s="219"/>
      <c r="AC274" s="219"/>
      <c r="AD274" s="219">
        <v>0</v>
      </c>
      <c r="AE274" s="219">
        <v>0</v>
      </c>
      <c r="AF274" s="219">
        <v>0</v>
      </c>
      <c r="AG274" s="219">
        <v>0</v>
      </c>
      <c r="AH274" s="219">
        <v>0</v>
      </c>
      <c r="AI274" s="219">
        <v>0.01</v>
      </c>
      <c r="AJ274" s="219">
        <v>0.01</v>
      </c>
      <c r="AK274" s="219">
        <v>0.01</v>
      </c>
      <c r="AL274" s="229" t="s">
        <v>573</v>
      </c>
      <c r="AM274" s="219">
        <f t="shared" ref="AM274" si="245">Z274*AL274</f>
        <v>0</v>
      </c>
      <c r="AN274" s="229" t="s">
        <v>573</v>
      </c>
      <c r="AO274" s="221">
        <f t="shared" ref="AO274" si="246">AN274*AA274</f>
        <v>0</v>
      </c>
      <c r="AP274" s="222" t="s">
        <v>573</v>
      </c>
      <c r="AQ274" s="221">
        <f t="shared" ref="AQ274" si="247">AP274*AB274</f>
        <v>0</v>
      </c>
      <c r="AR274" s="222" t="s">
        <v>573</v>
      </c>
      <c r="AS274" s="58">
        <f t="shared" ref="AS274" si="248">AR274*AC274</f>
        <v>0</v>
      </c>
      <c r="AT274" s="222">
        <v>0</v>
      </c>
      <c r="AU274" s="58">
        <f t="shared" ref="AU274" si="249">AT274*AD274</f>
        <v>0</v>
      </c>
      <c r="AV274" s="222">
        <v>0</v>
      </c>
      <c r="AW274" s="58">
        <f t="shared" ref="AW274" si="250">AV274*AE274</f>
        <v>0</v>
      </c>
      <c r="AX274" s="251">
        <v>360</v>
      </c>
      <c r="AY274" s="58">
        <f t="shared" ref="AY274" si="251">AX274*AF274</f>
        <v>0</v>
      </c>
      <c r="AZ274" s="222" t="s">
        <v>573</v>
      </c>
      <c r="BA274" s="58">
        <f t="shared" si="105"/>
        <v>0</v>
      </c>
      <c r="BB274" s="222" t="s">
        <v>573</v>
      </c>
      <c r="BC274" s="58">
        <f t="shared" si="106"/>
        <v>0</v>
      </c>
      <c r="BD274" s="222" t="s">
        <v>573</v>
      </c>
      <c r="BE274" s="58">
        <f t="shared" si="107"/>
        <v>0</v>
      </c>
      <c r="BF274" s="222" t="s">
        <v>573</v>
      </c>
      <c r="BG274" s="58">
        <f t="shared" si="108"/>
        <v>0</v>
      </c>
      <c r="BH274" s="223" t="s">
        <v>573</v>
      </c>
      <c r="BI274" s="58">
        <f t="shared" si="109"/>
        <v>0</v>
      </c>
      <c r="BJ274" s="220">
        <f t="shared" si="149"/>
        <v>360</v>
      </c>
      <c r="BK274" s="58"/>
      <c r="BL274" s="58" t="s">
        <v>1373</v>
      </c>
      <c r="BM274" s="220" t="s">
        <v>1393</v>
      </c>
      <c r="BN274" s="213" t="s">
        <v>1329</v>
      </c>
      <c r="BO274" s="58" t="s">
        <v>1340</v>
      </c>
      <c r="BP274" s="199">
        <v>47057</v>
      </c>
      <c r="BQ274" s="2" t="s">
        <v>1387</v>
      </c>
    </row>
    <row r="275" spans="1:69" ht="15.75" customHeight="1">
      <c r="A275" s="213" t="s">
        <v>788</v>
      </c>
      <c r="B275" s="58" t="s">
        <v>1293</v>
      </c>
      <c r="C275" s="58" t="s">
        <v>752</v>
      </c>
      <c r="D275" s="214" t="s">
        <v>789</v>
      </c>
      <c r="E275" s="214" t="s">
        <v>1294</v>
      </c>
      <c r="F275" s="215" t="s">
        <v>186</v>
      </c>
      <c r="G275" s="216">
        <v>2023</v>
      </c>
      <c r="H275" s="218" t="s">
        <v>825</v>
      </c>
      <c r="I275" s="217" t="s">
        <v>781</v>
      </c>
      <c r="J275" s="217" t="s">
        <v>890</v>
      </c>
      <c r="K275" s="213" t="s">
        <v>753</v>
      </c>
      <c r="L275" s="213" t="s">
        <v>192</v>
      </c>
      <c r="M275" s="219" t="s">
        <v>1393</v>
      </c>
      <c r="N275" s="219"/>
      <c r="O275" s="219"/>
      <c r="P275" s="219"/>
      <c r="Q275" s="219"/>
      <c r="R275" s="219">
        <v>31.36</v>
      </c>
      <c r="S275" s="219">
        <v>31.36</v>
      </c>
      <c r="T275" s="219">
        <v>31.36</v>
      </c>
      <c r="U275" s="219">
        <v>31.36</v>
      </c>
      <c r="V275" s="219">
        <v>31.36</v>
      </c>
      <c r="W275" s="219">
        <v>31.36</v>
      </c>
      <c r="X275" s="219">
        <v>31.36</v>
      </c>
      <c r="Y275" s="219">
        <v>31.36</v>
      </c>
      <c r="Z275" s="219"/>
      <c r="AA275" s="219"/>
      <c r="AB275" s="219"/>
      <c r="AC275" s="219"/>
      <c r="AD275" s="219">
        <v>0</v>
      </c>
      <c r="AE275" s="219">
        <v>0</v>
      </c>
      <c r="AF275" s="219">
        <v>0</v>
      </c>
      <c r="AG275" s="219">
        <v>0</v>
      </c>
      <c r="AH275" s="219">
        <v>0</v>
      </c>
      <c r="AI275" s="219">
        <v>0.01</v>
      </c>
      <c r="AJ275" s="219">
        <v>0.01</v>
      </c>
      <c r="AK275" s="219">
        <v>0.01</v>
      </c>
      <c r="AL275" s="229" t="s">
        <v>573</v>
      </c>
      <c r="AM275" s="219">
        <f t="shared" ref="AM275" si="252">Z275*AL275</f>
        <v>0</v>
      </c>
      <c r="AN275" s="229" t="s">
        <v>573</v>
      </c>
      <c r="AO275" s="221">
        <f t="shared" ref="AO275" si="253">AN275*AA275</f>
        <v>0</v>
      </c>
      <c r="AP275" s="222" t="s">
        <v>573</v>
      </c>
      <c r="AQ275" s="221">
        <f t="shared" ref="AQ275" si="254">AP275*AB275</f>
        <v>0</v>
      </c>
      <c r="AR275" s="222" t="s">
        <v>573</v>
      </c>
      <c r="AS275" s="58">
        <f t="shared" ref="AS275" si="255">AR275*AC275</f>
        <v>0</v>
      </c>
      <c r="AT275" s="222">
        <v>0</v>
      </c>
      <c r="AU275" s="58">
        <f t="shared" ref="AU275" si="256">AT275*AD275</f>
        <v>0</v>
      </c>
      <c r="AV275" s="222">
        <v>0</v>
      </c>
      <c r="AW275" s="58">
        <f t="shared" ref="AW275" si="257">AV275*AE275</f>
        <v>0</v>
      </c>
      <c r="AX275" s="251">
        <v>360</v>
      </c>
      <c r="AY275" s="58">
        <f t="shared" ref="AY275" si="258">AX275*AF275</f>
        <v>0</v>
      </c>
      <c r="AZ275" s="222" t="s">
        <v>573</v>
      </c>
      <c r="BA275" s="58">
        <f t="shared" si="105"/>
        <v>0</v>
      </c>
      <c r="BB275" s="222" t="s">
        <v>573</v>
      </c>
      <c r="BC275" s="58">
        <f t="shared" si="106"/>
        <v>0</v>
      </c>
      <c r="BD275" s="222" t="s">
        <v>573</v>
      </c>
      <c r="BE275" s="58">
        <f t="shared" si="107"/>
        <v>0</v>
      </c>
      <c r="BF275" s="222" t="s">
        <v>573</v>
      </c>
      <c r="BG275" s="58">
        <f t="shared" si="108"/>
        <v>0</v>
      </c>
      <c r="BH275" s="223" t="s">
        <v>573</v>
      </c>
      <c r="BI275" s="58">
        <f t="shared" si="109"/>
        <v>0</v>
      </c>
      <c r="BJ275" s="220">
        <f t="shared" si="149"/>
        <v>360</v>
      </c>
      <c r="BK275" s="58"/>
      <c r="BL275" s="58" t="s">
        <v>1374</v>
      </c>
      <c r="BM275" s="220" t="s">
        <v>1393</v>
      </c>
      <c r="BN275" s="213" t="s">
        <v>1329</v>
      </c>
      <c r="BO275" s="58" t="s">
        <v>1341</v>
      </c>
      <c r="BP275" s="199">
        <v>47057</v>
      </c>
      <c r="BQ275" s="2" t="s">
        <v>1387</v>
      </c>
    </row>
    <row r="276" spans="1:69" ht="15.75" customHeight="1">
      <c r="A276" s="213" t="s">
        <v>788</v>
      </c>
      <c r="B276" s="58" t="s">
        <v>1293</v>
      </c>
      <c r="C276" s="58" t="s">
        <v>752</v>
      </c>
      <c r="D276" s="214" t="s">
        <v>789</v>
      </c>
      <c r="E276" s="214" t="s">
        <v>1294</v>
      </c>
      <c r="F276" s="215" t="s">
        <v>186</v>
      </c>
      <c r="G276" s="216">
        <v>2023</v>
      </c>
      <c r="H276" s="218" t="s">
        <v>825</v>
      </c>
      <c r="I276" s="217" t="s">
        <v>781</v>
      </c>
      <c r="J276" s="217" t="s">
        <v>890</v>
      </c>
      <c r="K276" s="213" t="s">
        <v>753</v>
      </c>
      <c r="L276" s="213" t="s">
        <v>192</v>
      </c>
      <c r="M276" s="219" t="s">
        <v>1393</v>
      </c>
      <c r="N276" s="219"/>
      <c r="O276" s="219"/>
      <c r="P276" s="219"/>
      <c r="Q276" s="219"/>
      <c r="R276" s="219">
        <v>31.36</v>
      </c>
      <c r="S276" s="219">
        <v>31.36</v>
      </c>
      <c r="T276" s="219">
        <v>31.36</v>
      </c>
      <c r="U276" s="219">
        <v>31.36</v>
      </c>
      <c r="V276" s="219">
        <v>31.36</v>
      </c>
      <c r="W276" s="219">
        <v>31.36</v>
      </c>
      <c r="X276" s="219">
        <v>31.36</v>
      </c>
      <c r="Y276" s="219">
        <v>31.36</v>
      </c>
      <c r="Z276" s="219"/>
      <c r="AA276" s="219"/>
      <c r="AB276" s="219"/>
      <c r="AC276" s="219"/>
      <c r="AD276" s="219">
        <v>0</v>
      </c>
      <c r="AE276" s="219">
        <v>0</v>
      </c>
      <c r="AF276" s="219">
        <v>0</v>
      </c>
      <c r="AG276" s="219">
        <v>0</v>
      </c>
      <c r="AH276" s="219">
        <v>0</v>
      </c>
      <c r="AI276" s="219">
        <v>0.01</v>
      </c>
      <c r="AJ276" s="219">
        <v>0.01</v>
      </c>
      <c r="AK276" s="219">
        <v>0.01</v>
      </c>
      <c r="AL276" s="229" t="s">
        <v>573</v>
      </c>
      <c r="AM276" s="219">
        <f t="shared" ref="AM276" si="259">Z276*AL276</f>
        <v>0</v>
      </c>
      <c r="AN276" s="229" t="s">
        <v>573</v>
      </c>
      <c r="AO276" s="221">
        <f t="shared" ref="AO276" si="260">AN276*AA276</f>
        <v>0</v>
      </c>
      <c r="AP276" s="222" t="s">
        <v>573</v>
      </c>
      <c r="AQ276" s="221">
        <f t="shared" ref="AQ276" si="261">AP276*AB276</f>
        <v>0</v>
      </c>
      <c r="AR276" s="222" t="s">
        <v>573</v>
      </c>
      <c r="AS276" s="58">
        <f t="shared" ref="AS276" si="262">AR276*AC276</f>
        <v>0</v>
      </c>
      <c r="AT276" s="222">
        <v>0</v>
      </c>
      <c r="AU276" s="58">
        <f t="shared" ref="AU276" si="263">AT276*AD276</f>
        <v>0</v>
      </c>
      <c r="AV276" s="222">
        <v>0</v>
      </c>
      <c r="AW276" s="58">
        <f t="shared" ref="AW276" si="264">AV276*AE276</f>
        <v>0</v>
      </c>
      <c r="AX276" s="251">
        <v>360</v>
      </c>
      <c r="AY276" s="58">
        <f t="shared" ref="AY276" si="265">AX276*AF276</f>
        <v>0</v>
      </c>
      <c r="AZ276" s="222" t="s">
        <v>573</v>
      </c>
      <c r="BA276" s="58">
        <f t="shared" si="105"/>
        <v>0</v>
      </c>
      <c r="BB276" s="222" t="s">
        <v>573</v>
      </c>
      <c r="BC276" s="58">
        <f t="shared" si="106"/>
        <v>0</v>
      </c>
      <c r="BD276" s="222" t="s">
        <v>573</v>
      </c>
      <c r="BE276" s="58">
        <f t="shared" si="107"/>
        <v>0</v>
      </c>
      <c r="BF276" s="222" t="s">
        <v>573</v>
      </c>
      <c r="BG276" s="58">
        <f t="shared" si="108"/>
        <v>0</v>
      </c>
      <c r="BH276" s="223" t="s">
        <v>573</v>
      </c>
      <c r="BI276" s="58">
        <f t="shared" si="109"/>
        <v>0</v>
      </c>
      <c r="BJ276" s="220">
        <f t="shared" si="149"/>
        <v>360</v>
      </c>
      <c r="BK276" s="58"/>
      <c r="BL276" s="58" t="s">
        <v>1375</v>
      </c>
      <c r="BM276" s="220" t="s">
        <v>1393</v>
      </c>
      <c r="BN276" s="213" t="s">
        <v>1329</v>
      </c>
      <c r="BO276" s="58" t="s">
        <v>1342</v>
      </c>
      <c r="BP276" s="199">
        <v>47057</v>
      </c>
      <c r="BQ276" s="2" t="s">
        <v>1387</v>
      </c>
    </row>
    <row r="277" spans="1:69" ht="15.75" customHeight="1">
      <c r="A277" s="213" t="s">
        <v>788</v>
      </c>
      <c r="B277" s="58" t="s">
        <v>1293</v>
      </c>
      <c r="C277" s="58" t="s">
        <v>752</v>
      </c>
      <c r="D277" s="214" t="s">
        <v>789</v>
      </c>
      <c r="E277" s="214" t="s">
        <v>1294</v>
      </c>
      <c r="F277" s="215" t="s">
        <v>186</v>
      </c>
      <c r="G277" s="216">
        <v>2023</v>
      </c>
      <c r="H277" s="218" t="s">
        <v>825</v>
      </c>
      <c r="I277" s="217" t="s">
        <v>781</v>
      </c>
      <c r="J277" s="217" t="s">
        <v>890</v>
      </c>
      <c r="K277" s="213" t="s">
        <v>753</v>
      </c>
      <c r="L277" s="213" t="s">
        <v>192</v>
      </c>
      <c r="M277" s="219" t="s">
        <v>1393</v>
      </c>
      <c r="N277" s="219"/>
      <c r="O277" s="219"/>
      <c r="P277" s="219"/>
      <c r="Q277" s="219"/>
      <c r="R277" s="219">
        <v>31.36</v>
      </c>
      <c r="S277" s="219">
        <v>31.36</v>
      </c>
      <c r="T277" s="219">
        <v>31.36</v>
      </c>
      <c r="U277" s="219">
        <v>31.36</v>
      </c>
      <c r="V277" s="219">
        <v>31.36</v>
      </c>
      <c r="W277" s="219">
        <v>31.36</v>
      </c>
      <c r="X277" s="219">
        <v>31.36</v>
      </c>
      <c r="Y277" s="219">
        <v>31.36</v>
      </c>
      <c r="Z277" s="219"/>
      <c r="AA277" s="219"/>
      <c r="AB277" s="219"/>
      <c r="AC277" s="219"/>
      <c r="AD277" s="219">
        <v>0</v>
      </c>
      <c r="AE277" s="219">
        <v>0</v>
      </c>
      <c r="AF277" s="219">
        <v>0</v>
      </c>
      <c r="AG277" s="219">
        <v>0</v>
      </c>
      <c r="AH277" s="219">
        <v>0</v>
      </c>
      <c r="AI277" s="219">
        <v>0.01</v>
      </c>
      <c r="AJ277" s="219">
        <v>0.01</v>
      </c>
      <c r="AK277" s="219">
        <v>0.01</v>
      </c>
      <c r="AL277" s="229" t="s">
        <v>573</v>
      </c>
      <c r="AM277" s="219">
        <f t="shared" ref="AM277" si="266">Z277*AL277</f>
        <v>0</v>
      </c>
      <c r="AN277" s="229" t="s">
        <v>573</v>
      </c>
      <c r="AO277" s="221">
        <f t="shared" ref="AO277" si="267">AN277*AA277</f>
        <v>0</v>
      </c>
      <c r="AP277" s="222" t="s">
        <v>573</v>
      </c>
      <c r="AQ277" s="221">
        <f t="shared" ref="AQ277" si="268">AP277*AB277</f>
        <v>0</v>
      </c>
      <c r="AR277" s="222" t="s">
        <v>573</v>
      </c>
      <c r="AS277" s="58">
        <f t="shared" ref="AS277" si="269">AR277*AC277</f>
        <v>0</v>
      </c>
      <c r="AT277" s="222">
        <v>0</v>
      </c>
      <c r="AU277" s="58">
        <f t="shared" ref="AU277" si="270">AT277*AD277</f>
        <v>0</v>
      </c>
      <c r="AV277" s="222">
        <v>0</v>
      </c>
      <c r="AW277" s="58">
        <f t="shared" ref="AW277" si="271">AV277*AE277</f>
        <v>0</v>
      </c>
      <c r="AX277" s="251">
        <v>360</v>
      </c>
      <c r="AY277" s="58">
        <f t="shared" ref="AY277" si="272">AX277*AF277</f>
        <v>0</v>
      </c>
      <c r="AZ277" s="222" t="s">
        <v>573</v>
      </c>
      <c r="BA277" s="58">
        <f t="shared" si="105"/>
        <v>0</v>
      </c>
      <c r="BB277" s="222" t="s">
        <v>573</v>
      </c>
      <c r="BC277" s="58">
        <f t="shared" si="106"/>
        <v>0</v>
      </c>
      <c r="BD277" s="222" t="s">
        <v>573</v>
      </c>
      <c r="BE277" s="58">
        <f t="shared" si="107"/>
        <v>0</v>
      </c>
      <c r="BF277" s="222" t="s">
        <v>573</v>
      </c>
      <c r="BG277" s="58">
        <f t="shared" si="108"/>
        <v>0</v>
      </c>
      <c r="BH277" s="223" t="s">
        <v>573</v>
      </c>
      <c r="BI277" s="58">
        <f t="shared" si="109"/>
        <v>0</v>
      </c>
      <c r="BJ277" s="220">
        <f t="shared" si="149"/>
        <v>360</v>
      </c>
      <c r="BK277" s="58"/>
      <c r="BL277" s="58" t="s">
        <v>1376</v>
      </c>
      <c r="BM277" s="220" t="s">
        <v>1393</v>
      </c>
      <c r="BN277" s="213" t="s">
        <v>1329</v>
      </c>
      <c r="BO277" s="58" t="s">
        <v>1343</v>
      </c>
      <c r="BP277" s="199">
        <v>47057</v>
      </c>
      <c r="BQ277" s="2" t="s">
        <v>1387</v>
      </c>
    </row>
    <row r="278" spans="1:69" ht="15.75" customHeight="1">
      <c r="A278" s="213" t="s">
        <v>788</v>
      </c>
      <c r="B278" s="58" t="s">
        <v>1293</v>
      </c>
      <c r="C278" s="58" t="s">
        <v>752</v>
      </c>
      <c r="D278" s="214" t="s">
        <v>789</v>
      </c>
      <c r="E278" s="214" t="s">
        <v>1294</v>
      </c>
      <c r="F278" s="215" t="s">
        <v>186</v>
      </c>
      <c r="G278" s="216">
        <v>2023</v>
      </c>
      <c r="H278" s="218" t="s">
        <v>825</v>
      </c>
      <c r="I278" s="217" t="s">
        <v>781</v>
      </c>
      <c r="J278" s="217" t="s">
        <v>890</v>
      </c>
      <c r="K278" s="213" t="s">
        <v>753</v>
      </c>
      <c r="L278" s="213" t="s">
        <v>192</v>
      </c>
      <c r="M278" s="219" t="s">
        <v>1451</v>
      </c>
      <c r="N278" s="219"/>
      <c r="O278" s="219"/>
      <c r="P278" s="219"/>
      <c r="Q278" s="219"/>
      <c r="R278" s="219">
        <v>31.36</v>
      </c>
      <c r="S278" s="219">
        <v>31.36</v>
      </c>
      <c r="T278" s="219">
        <v>31.36</v>
      </c>
      <c r="U278" s="219">
        <v>31.36</v>
      </c>
      <c r="V278" s="219">
        <v>31.36</v>
      </c>
      <c r="W278" s="219">
        <v>31.36</v>
      </c>
      <c r="X278" s="219">
        <v>31.36</v>
      </c>
      <c r="Y278" s="219">
        <v>31.36</v>
      </c>
      <c r="Z278" s="219"/>
      <c r="AA278" s="219"/>
      <c r="AB278" s="219"/>
      <c r="AC278" s="219"/>
      <c r="AD278" s="219">
        <v>0</v>
      </c>
      <c r="AE278" s="219">
        <v>0</v>
      </c>
      <c r="AF278" s="219">
        <v>0</v>
      </c>
      <c r="AG278" s="219">
        <v>0</v>
      </c>
      <c r="AH278" s="219">
        <v>0</v>
      </c>
      <c r="AI278" s="219">
        <v>0.01</v>
      </c>
      <c r="AJ278" s="219">
        <v>0.01</v>
      </c>
      <c r="AK278" s="219">
        <v>0.01</v>
      </c>
      <c r="AL278" s="229" t="s">
        <v>573</v>
      </c>
      <c r="AM278" s="219">
        <f t="shared" ref="AM278" si="273">Z278*AL278</f>
        <v>0</v>
      </c>
      <c r="AN278" s="229" t="s">
        <v>573</v>
      </c>
      <c r="AO278" s="221">
        <f t="shared" ref="AO278" si="274">AN278*AA278</f>
        <v>0</v>
      </c>
      <c r="AP278" s="222" t="s">
        <v>573</v>
      </c>
      <c r="AQ278" s="221">
        <f t="shared" ref="AQ278" si="275">AP278*AB278</f>
        <v>0</v>
      </c>
      <c r="AR278" s="222" t="s">
        <v>573</v>
      </c>
      <c r="AS278" s="58">
        <f t="shared" ref="AS278" si="276">AR278*AC278</f>
        <v>0</v>
      </c>
      <c r="AT278" s="222">
        <v>0</v>
      </c>
      <c r="AU278" s="58">
        <f t="shared" ref="AU278" si="277">AT278*AD278</f>
        <v>0</v>
      </c>
      <c r="AV278" s="222">
        <v>0</v>
      </c>
      <c r="AW278" s="58">
        <f t="shared" ref="AW278" si="278">AV278*AE278</f>
        <v>0</v>
      </c>
      <c r="AX278" s="251">
        <v>0</v>
      </c>
      <c r="AY278" s="58">
        <f t="shared" ref="AY278" si="279">AX278*AF278</f>
        <v>0</v>
      </c>
      <c r="AZ278" s="222" t="s">
        <v>573</v>
      </c>
      <c r="BA278" s="58">
        <f t="shared" ref="BA278" si="280">AZ278*AG278</f>
        <v>0</v>
      </c>
      <c r="BB278" s="222" t="s">
        <v>573</v>
      </c>
      <c r="BC278" s="58">
        <f t="shared" ref="BC278" si="281">BB278*AH278</f>
        <v>0</v>
      </c>
      <c r="BD278" s="222" t="s">
        <v>573</v>
      </c>
      <c r="BE278" s="58">
        <f t="shared" ref="BE278" si="282">BD278*AI278</f>
        <v>0</v>
      </c>
      <c r="BF278" s="222" t="s">
        <v>573</v>
      </c>
      <c r="BG278" s="58">
        <f t="shared" ref="BG278" si="283">BF278*AJ278</f>
        <v>0</v>
      </c>
      <c r="BH278" s="223">
        <v>360</v>
      </c>
      <c r="BI278" s="58">
        <f t="shared" ref="BI278" si="284">BH278*AK278</f>
        <v>3.6</v>
      </c>
      <c r="BJ278" s="220">
        <f t="shared" ref="BJ278" si="285">BH278+BF278+BD278+BB278+AZ278+AX278+AV278+AT278+AR278+AP278+AN278+AL278</f>
        <v>360</v>
      </c>
      <c r="BK278" s="58"/>
      <c r="BL278" s="58" t="s">
        <v>890</v>
      </c>
      <c r="BM278" s="220" t="s">
        <v>1451</v>
      </c>
      <c r="BN278" s="213" t="s">
        <v>1329</v>
      </c>
      <c r="BO278" s="58" t="s">
        <v>1343</v>
      </c>
      <c r="BP278" s="199">
        <v>47057</v>
      </c>
      <c r="BQ278" s="2" t="s">
        <v>1387</v>
      </c>
    </row>
    <row r="279" spans="1:69" ht="15.75" customHeight="1">
      <c r="A279" s="213" t="s">
        <v>788</v>
      </c>
      <c r="B279" s="58" t="s">
        <v>1293</v>
      </c>
      <c r="C279" s="58" t="s">
        <v>752</v>
      </c>
      <c r="D279" s="214" t="s">
        <v>789</v>
      </c>
      <c r="E279" s="214" t="s">
        <v>1294</v>
      </c>
      <c r="F279" s="215" t="s">
        <v>186</v>
      </c>
      <c r="G279" s="216">
        <v>2023</v>
      </c>
      <c r="H279" s="218" t="s">
        <v>825</v>
      </c>
      <c r="I279" s="217" t="s">
        <v>781</v>
      </c>
      <c r="J279" s="217" t="s">
        <v>890</v>
      </c>
      <c r="K279" s="213" t="s">
        <v>753</v>
      </c>
      <c r="L279" s="213" t="s">
        <v>192</v>
      </c>
      <c r="M279" s="219" t="s">
        <v>1393</v>
      </c>
      <c r="N279" s="219"/>
      <c r="O279" s="219"/>
      <c r="P279" s="219"/>
      <c r="Q279" s="219"/>
      <c r="R279" s="219">
        <v>31.36</v>
      </c>
      <c r="S279" s="219">
        <v>31.36</v>
      </c>
      <c r="T279" s="219">
        <v>31.36</v>
      </c>
      <c r="U279" s="219">
        <v>31.36</v>
      </c>
      <c r="V279" s="219">
        <v>31.36</v>
      </c>
      <c r="W279" s="219">
        <v>31.36</v>
      </c>
      <c r="X279" s="219">
        <v>31.36</v>
      </c>
      <c r="Y279" s="219">
        <v>31.36</v>
      </c>
      <c r="Z279" s="219"/>
      <c r="AA279" s="219"/>
      <c r="AB279" s="219"/>
      <c r="AC279" s="219"/>
      <c r="AD279" s="219">
        <v>0</v>
      </c>
      <c r="AE279" s="219">
        <v>0</v>
      </c>
      <c r="AF279" s="219">
        <v>0</v>
      </c>
      <c r="AG279" s="219">
        <v>0</v>
      </c>
      <c r="AH279" s="219">
        <v>0</v>
      </c>
      <c r="AI279" s="219">
        <v>0.01</v>
      </c>
      <c r="AJ279" s="219">
        <v>0.01</v>
      </c>
      <c r="AK279" s="219">
        <v>0.01</v>
      </c>
      <c r="AL279" s="229" t="s">
        <v>573</v>
      </c>
      <c r="AM279" s="219">
        <f t="shared" ref="AM279" si="286">Z279*AL279</f>
        <v>0</v>
      </c>
      <c r="AN279" s="229" t="s">
        <v>573</v>
      </c>
      <c r="AO279" s="221">
        <f t="shared" ref="AO279" si="287">AN279*AA279</f>
        <v>0</v>
      </c>
      <c r="AP279" s="222" t="s">
        <v>573</v>
      </c>
      <c r="AQ279" s="221">
        <f t="shared" ref="AQ279" si="288">AP279*AB279</f>
        <v>0</v>
      </c>
      <c r="AR279" s="222" t="s">
        <v>573</v>
      </c>
      <c r="AS279" s="58">
        <f t="shared" ref="AS279" si="289">AR279*AC279</f>
        <v>0</v>
      </c>
      <c r="AT279" s="222">
        <v>0</v>
      </c>
      <c r="AU279" s="58">
        <f t="shared" ref="AU279" si="290">AT279*AD279</f>
        <v>0</v>
      </c>
      <c r="AV279" s="222">
        <v>0</v>
      </c>
      <c r="AW279" s="58">
        <f t="shared" ref="AW279" si="291">AV279*AE279</f>
        <v>0</v>
      </c>
      <c r="AX279" s="251">
        <v>360</v>
      </c>
      <c r="AY279" s="58">
        <f t="shared" ref="AY279" si="292">AX279*AF279</f>
        <v>0</v>
      </c>
      <c r="AZ279" s="222" t="s">
        <v>573</v>
      </c>
      <c r="BA279" s="58">
        <f t="shared" si="105"/>
        <v>0</v>
      </c>
      <c r="BB279" s="222" t="s">
        <v>573</v>
      </c>
      <c r="BC279" s="58">
        <f t="shared" si="106"/>
        <v>0</v>
      </c>
      <c r="BD279" s="222" t="s">
        <v>573</v>
      </c>
      <c r="BE279" s="58">
        <f t="shared" si="107"/>
        <v>0</v>
      </c>
      <c r="BF279" s="222" t="s">
        <v>573</v>
      </c>
      <c r="BG279" s="58">
        <f t="shared" si="108"/>
        <v>0</v>
      </c>
      <c r="BH279" s="223" t="s">
        <v>573</v>
      </c>
      <c r="BI279" s="58">
        <f t="shared" si="109"/>
        <v>0</v>
      </c>
      <c r="BJ279" s="220">
        <f t="shared" si="149"/>
        <v>360</v>
      </c>
      <c r="BK279" s="58"/>
      <c r="BL279" s="58" t="s">
        <v>890</v>
      </c>
      <c r="BM279" s="220" t="s">
        <v>1393</v>
      </c>
      <c r="BN279" s="213" t="s">
        <v>1329</v>
      </c>
      <c r="BO279" s="58" t="s">
        <v>1344</v>
      </c>
      <c r="BP279" s="199">
        <v>47057</v>
      </c>
      <c r="BQ279" s="2" t="s">
        <v>1387</v>
      </c>
    </row>
    <row r="280" spans="1:69" ht="15.75" customHeight="1">
      <c r="A280" s="213" t="s">
        <v>788</v>
      </c>
      <c r="B280" s="58" t="s">
        <v>1293</v>
      </c>
      <c r="C280" s="58" t="s">
        <v>752</v>
      </c>
      <c r="D280" s="214" t="s">
        <v>789</v>
      </c>
      <c r="E280" s="214" t="s">
        <v>1294</v>
      </c>
      <c r="F280" s="215" t="s">
        <v>186</v>
      </c>
      <c r="G280" s="216">
        <v>2023</v>
      </c>
      <c r="H280" s="218" t="s">
        <v>825</v>
      </c>
      <c r="I280" s="217" t="s">
        <v>781</v>
      </c>
      <c r="J280" s="217" t="s">
        <v>890</v>
      </c>
      <c r="K280" s="213" t="s">
        <v>753</v>
      </c>
      <c r="L280" s="213" t="s">
        <v>192</v>
      </c>
      <c r="M280" s="219" t="s">
        <v>1392</v>
      </c>
      <c r="N280" s="219"/>
      <c r="O280" s="219"/>
      <c r="P280" s="219"/>
      <c r="Q280" s="219"/>
      <c r="R280" s="219">
        <v>31.36</v>
      </c>
      <c r="S280" s="219">
        <v>31.36</v>
      </c>
      <c r="T280" s="219">
        <v>31.36</v>
      </c>
      <c r="U280" s="219">
        <v>31.36</v>
      </c>
      <c r="V280" s="219">
        <v>31.36</v>
      </c>
      <c r="W280" s="219">
        <v>31.36</v>
      </c>
      <c r="X280" s="219">
        <v>31.36</v>
      </c>
      <c r="Y280" s="219">
        <v>31.36</v>
      </c>
      <c r="Z280" s="219"/>
      <c r="AA280" s="219"/>
      <c r="AB280" s="219"/>
      <c r="AC280" s="219"/>
      <c r="AD280" s="219">
        <v>0</v>
      </c>
      <c r="AE280" s="219">
        <v>0</v>
      </c>
      <c r="AF280" s="219">
        <v>0</v>
      </c>
      <c r="AG280" s="219">
        <v>0</v>
      </c>
      <c r="AH280" s="219">
        <v>0</v>
      </c>
      <c r="AI280" s="219">
        <v>0.01</v>
      </c>
      <c r="AJ280" s="219">
        <v>0.01</v>
      </c>
      <c r="AK280" s="219">
        <v>0.01</v>
      </c>
      <c r="AL280" s="229" t="s">
        <v>573</v>
      </c>
      <c r="AM280" s="219">
        <f t="shared" ref="AM280:AM282" si="293">Z280*AL280</f>
        <v>0</v>
      </c>
      <c r="AN280" s="229" t="s">
        <v>573</v>
      </c>
      <c r="AO280" s="221">
        <f t="shared" ref="AO280:AO282" si="294">AN280*AA280</f>
        <v>0</v>
      </c>
      <c r="AP280" s="222" t="s">
        <v>573</v>
      </c>
      <c r="AQ280" s="221">
        <f t="shared" ref="AQ280:AQ282" si="295">AP280*AB280</f>
        <v>0</v>
      </c>
      <c r="AR280" s="222" t="s">
        <v>573</v>
      </c>
      <c r="AS280" s="58">
        <f t="shared" ref="AS280:AS282" si="296">AR280*AC280</f>
        <v>0</v>
      </c>
      <c r="AT280" s="222">
        <v>0</v>
      </c>
      <c r="AU280" s="58">
        <f t="shared" ref="AU280:AU282" si="297">AT280*AD280</f>
        <v>0</v>
      </c>
      <c r="AV280" s="222">
        <v>100</v>
      </c>
      <c r="AW280" s="58">
        <f t="shared" ref="AW280:AW282" si="298">AV280*AE280</f>
        <v>0</v>
      </c>
      <c r="AX280" s="251">
        <v>260</v>
      </c>
      <c r="AY280" s="58">
        <f t="shared" ref="AY280:AY282" si="299">AX280*AF280</f>
        <v>0</v>
      </c>
      <c r="AZ280" s="222">
        <v>1080</v>
      </c>
      <c r="BA280" s="58">
        <f t="shared" si="105"/>
        <v>0</v>
      </c>
      <c r="BB280" s="222">
        <v>100</v>
      </c>
      <c r="BC280" s="58">
        <f t="shared" si="106"/>
        <v>0</v>
      </c>
      <c r="BD280" s="222">
        <v>2060</v>
      </c>
      <c r="BE280" s="58">
        <f t="shared" si="107"/>
        <v>20.6</v>
      </c>
      <c r="BF280" s="222">
        <v>2160</v>
      </c>
      <c r="BG280" s="58">
        <f t="shared" si="108"/>
        <v>21.6</v>
      </c>
      <c r="BH280" s="223">
        <v>2160</v>
      </c>
      <c r="BI280" s="58">
        <f t="shared" si="109"/>
        <v>21.6</v>
      </c>
      <c r="BJ280" s="220">
        <f t="shared" si="149"/>
        <v>7920</v>
      </c>
      <c r="BK280" s="58"/>
      <c r="BL280" s="58" t="s">
        <v>1377</v>
      </c>
      <c r="BM280" s="220" t="s">
        <v>1392</v>
      </c>
      <c r="BN280" s="213" t="s">
        <v>1329</v>
      </c>
      <c r="BO280" s="58" t="s">
        <v>1330</v>
      </c>
      <c r="BP280" s="199">
        <v>47057</v>
      </c>
      <c r="BQ280" s="2" t="s">
        <v>1387</v>
      </c>
    </row>
    <row r="281" spans="1:69" ht="15.75" customHeight="1">
      <c r="A281" s="213" t="s">
        <v>788</v>
      </c>
      <c r="B281" s="58" t="s">
        <v>1293</v>
      </c>
      <c r="C281" s="58" t="s">
        <v>752</v>
      </c>
      <c r="D281" s="214" t="s">
        <v>789</v>
      </c>
      <c r="E281" s="214" t="s">
        <v>1294</v>
      </c>
      <c r="F281" s="215" t="s">
        <v>186</v>
      </c>
      <c r="G281" s="216">
        <v>2023</v>
      </c>
      <c r="H281" s="218" t="s">
        <v>825</v>
      </c>
      <c r="I281" s="217" t="s">
        <v>781</v>
      </c>
      <c r="J281" s="217" t="s">
        <v>890</v>
      </c>
      <c r="K281" s="213" t="s">
        <v>753</v>
      </c>
      <c r="L281" s="213" t="s">
        <v>192</v>
      </c>
      <c r="M281" s="219" t="s">
        <v>1392</v>
      </c>
      <c r="N281" s="219"/>
      <c r="O281" s="219"/>
      <c r="P281" s="219"/>
      <c r="Q281" s="219"/>
      <c r="R281" s="219">
        <v>31.36</v>
      </c>
      <c r="S281" s="219">
        <v>31.36</v>
      </c>
      <c r="T281" s="219">
        <v>31.36</v>
      </c>
      <c r="U281" s="219">
        <v>31.36</v>
      </c>
      <c r="V281" s="219">
        <v>31.36</v>
      </c>
      <c r="W281" s="219">
        <v>31.36</v>
      </c>
      <c r="X281" s="219">
        <v>31.36</v>
      </c>
      <c r="Y281" s="219">
        <v>31.36</v>
      </c>
      <c r="Z281" s="219"/>
      <c r="AA281" s="219"/>
      <c r="AB281" s="219"/>
      <c r="AC281" s="219"/>
      <c r="AD281" s="219">
        <v>0</v>
      </c>
      <c r="AE281" s="219">
        <v>0</v>
      </c>
      <c r="AF281" s="219">
        <v>0</v>
      </c>
      <c r="AG281" s="219">
        <v>0</v>
      </c>
      <c r="AH281" s="219">
        <v>0</v>
      </c>
      <c r="AI281" s="219">
        <v>0.01</v>
      </c>
      <c r="AJ281" s="219">
        <v>0.01</v>
      </c>
      <c r="AK281" s="219">
        <v>0.01</v>
      </c>
      <c r="AL281" s="229" t="s">
        <v>573</v>
      </c>
      <c r="AM281" s="219">
        <f t="shared" ref="AM281" si="300">Z281*AL281</f>
        <v>0</v>
      </c>
      <c r="AN281" s="229" t="s">
        <v>573</v>
      </c>
      <c r="AO281" s="221">
        <f t="shared" ref="AO281" si="301">AN281*AA281</f>
        <v>0</v>
      </c>
      <c r="AP281" s="222" t="s">
        <v>573</v>
      </c>
      <c r="AQ281" s="221">
        <f t="shared" ref="AQ281" si="302">AP281*AB281</f>
        <v>0</v>
      </c>
      <c r="AR281" s="222" t="s">
        <v>573</v>
      </c>
      <c r="AS281" s="58">
        <f t="shared" ref="AS281" si="303">AR281*AC281</f>
        <v>0</v>
      </c>
      <c r="AT281" s="222">
        <v>0</v>
      </c>
      <c r="AU281" s="58">
        <f t="shared" ref="AU281" si="304">AT281*AD281</f>
        <v>0</v>
      </c>
      <c r="AV281" s="222">
        <v>0</v>
      </c>
      <c r="AW281" s="58">
        <f t="shared" ref="AW281" si="305">AV281*AE281</f>
        <v>0</v>
      </c>
      <c r="AX281" s="251">
        <v>0</v>
      </c>
      <c r="AY281" s="58">
        <f t="shared" ref="AY281" si="306">AX281*AF281</f>
        <v>0</v>
      </c>
      <c r="AZ281" s="222">
        <v>0</v>
      </c>
      <c r="BA281" s="58">
        <f t="shared" ref="BA281" si="307">AZ281*AG281</f>
        <v>0</v>
      </c>
      <c r="BB281" s="222">
        <v>0</v>
      </c>
      <c r="BC281" s="58">
        <f t="shared" ref="BC281" si="308">BB281*AH281</f>
        <v>0</v>
      </c>
      <c r="BD281" s="222">
        <v>0</v>
      </c>
      <c r="BE281" s="58">
        <f t="shared" ref="BE281" si="309">BD281*AI281</f>
        <v>0</v>
      </c>
      <c r="BF281" s="222">
        <v>0</v>
      </c>
      <c r="BG281" s="58">
        <f t="shared" ref="BG281" si="310">BF281*AJ281</f>
        <v>0</v>
      </c>
      <c r="BH281" s="223">
        <v>360</v>
      </c>
      <c r="BI281" s="58">
        <f t="shared" ref="BI281" si="311">BH281*AK281</f>
        <v>3.6</v>
      </c>
      <c r="BJ281" s="220">
        <f t="shared" ref="BJ281" si="312">BH281+BF281+BD281+BB281+AZ281+AX281+AV281+AT281+AR281+AP281+AN281+AL281</f>
        <v>360</v>
      </c>
      <c r="BK281" s="58"/>
      <c r="BL281" s="58" t="s">
        <v>890</v>
      </c>
      <c r="BM281" s="220" t="s">
        <v>1392</v>
      </c>
      <c r="BN281" s="213" t="s">
        <v>1329</v>
      </c>
      <c r="BO281" s="58" t="s">
        <v>1448</v>
      </c>
      <c r="BP281" s="199">
        <v>47057</v>
      </c>
      <c r="BQ281" s="2" t="s">
        <v>1387</v>
      </c>
    </row>
    <row r="282" spans="1:69" ht="15.75" customHeight="1">
      <c r="A282" s="213" t="s">
        <v>788</v>
      </c>
      <c r="B282" s="58" t="s">
        <v>1293</v>
      </c>
      <c r="C282" s="58" t="s">
        <v>752</v>
      </c>
      <c r="D282" s="214" t="s">
        <v>789</v>
      </c>
      <c r="E282" s="214" t="s">
        <v>1294</v>
      </c>
      <c r="F282" s="215" t="s">
        <v>186</v>
      </c>
      <c r="G282" s="216">
        <v>2023</v>
      </c>
      <c r="H282" s="218" t="s">
        <v>825</v>
      </c>
      <c r="I282" s="217" t="s">
        <v>781</v>
      </c>
      <c r="J282" s="217" t="s">
        <v>890</v>
      </c>
      <c r="K282" s="213" t="s">
        <v>753</v>
      </c>
      <c r="L282" s="213" t="s">
        <v>192</v>
      </c>
      <c r="M282" s="219" t="s">
        <v>1402</v>
      </c>
      <c r="N282" s="219"/>
      <c r="O282" s="219"/>
      <c r="P282" s="219"/>
      <c r="Q282" s="219"/>
      <c r="R282" s="219">
        <v>31.36</v>
      </c>
      <c r="S282" s="219">
        <v>31.36</v>
      </c>
      <c r="T282" s="219">
        <v>31.36</v>
      </c>
      <c r="U282" s="219">
        <v>31.36</v>
      </c>
      <c r="V282" s="219">
        <v>31.36</v>
      </c>
      <c r="W282" s="219">
        <v>31.36</v>
      </c>
      <c r="X282" s="219">
        <v>31.36</v>
      </c>
      <c r="Y282" s="219">
        <v>31.36</v>
      </c>
      <c r="Z282" s="219"/>
      <c r="AA282" s="219"/>
      <c r="AB282" s="219"/>
      <c r="AC282" s="219"/>
      <c r="AD282" s="219">
        <v>0</v>
      </c>
      <c r="AE282" s="219">
        <v>0</v>
      </c>
      <c r="AF282" s="219">
        <v>0</v>
      </c>
      <c r="AG282" s="219">
        <v>0</v>
      </c>
      <c r="AH282" s="219">
        <v>0</v>
      </c>
      <c r="AI282" s="219">
        <v>0.01</v>
      </c>
      <c r="AJ282" s="219">
        <v>0.01</v>
      </c>
      <c r="AK282" s="219">
        <v>0.01</v>
      </c>
      <c r="AL282" s="229" t="s">
        <v>573</v>
      </c>
      <c r="AM282" s="219">
        <f t="shared" si="293"/>
        <v>0</v>
      </c>
      <c r="AN282" s="229" t="s">
        <v>573</v>
      </c>
      <c r="AO282" s="221">
        <f t="shared" si="294"/>
        <v>0</v>
      </c>
      <c r="AP282" s="222" t="s">
        <v>573</v>
      </c>
      <c r="AQ282" s="221">
        <f t="shared" si="295"/>
        <v>0</v>
      </c>
      <c r="AR282" s="222" t="s">
        <v>573</v>
      </c>
      <c r="AS282" s="58">
        <f t="shared" si="296"/>
        <v>0</v>
      </c>
      <c r="AT282" s="222">
        <v>0</v>
      </c>
      <c r="AU282" s="58">
        <f t="shared" si="297"/>
        <v>0</v>
      </c>
      <c r="AV282" s="222" t="s">
        <v>573</v>
      </c>
      <c r="AW282" s="58">
        <f t="shared" si="298"/>
        <v>0</v>
      </c>
      <c r="AX282" s="251">
        <v>10</v>
      </c>
      <c r="AY282" s="58">
        <f t="shared" si="299"/>
        <v>0</v>
      </c>
      <c r="AZ282" s="222" t="s">
        <v>573</v>
      </c>
      <c r="BA282" s="58">
        <f t="shared" si="105"/>
        <v>0</v>
      </c>
      <c r="BB282" s="222" t="s">
        <v>573</v>
      </c>
      <c r="BC282" s="58">
        <f t="shared" si="106"/>
        <v>0</v>
      </c>
      <c r="BD282" s="222">
        <v>10</v>
      </c>
      <c r="BE282" s="58">
        <f t="shared" si="107"/>
        <v>0.1</v>
      </c>
      <c r="BF282" s="222">
        <v>20</v>
      </c>
      <c r="BG282" s="58">
        <f t="shared" si="108"/>
        <v>0.2</v>
      </c>
      <c r="BH282" s="223" t="s">
        <v>573</v>
      </c>
      <c r="BI282" s="58">
        <f t="shared" si="109"/>
        <v>0</v>
      </c>
      <c r="BJ282" s="220">
        <f t="shared" si="149"/>
        <v>40</v>
      </c>
      <c r="BK282" s="58"/>
      <c r="BL282" s="58" t="s">
        <v>1378</v>
      </c>
      <c r="BM282" s="220" t="s">
        <v>1402</v>
      </c>
      <c r="BN282" s="213" t="s">
        <v>1329</v>
      </c>
      <c r="BO282" s="58" t="s">
        <v>1341</v>
      </c>
      <c r="BP282" s="199">
        <v>47057</v>
      </c>
      <c r="BQ282" s="2" t="s">
        <v>1387</v>
      </c>
    </row>
    <row r="283" spans="1:69" ht="15.75" customHeight="1">
      <c r="A283" s="213" t="s">
        <v>788</v>
      </c>
      <c r="B283" s="58" t="s">
        <v>1293</v>
      </c>
      <c r="C283" s="58" t="s">
        <v>752</v>
      </c>
      <c r="D283" s="214" t="s">
        <v>789</v>
      </c>
      <c r="E283" s="214" t="s">
        <v>1294</v>
      </c>
      <c r="F283" s="215" t="s">
        <v>186</v>
      </c>
      <c r="G283" s="216">
        <v>2023</v>
      </c>
      <c r="H283" s="218" t="s">
        <v>825</v>
      </c>
      <c r="I283" s="217" t="s">
        <v>781</v>
      </c>
      <c r="J283" s="217" t="s">
        <v>890</v>
      </c>
      <c r="K283" s="213" t="s">
        <v>753</v>
      </c>
      <c r="L283" s="213" t="s">
        <v>192</v>
      </c>
      <c r="M283" s="219" t="s">
        <v>1402</v>
      </c>
      <c r="N283" s="219"/>
      <c r="O283" s="219"/>
      <c r="P283" s="219"/>
      <c r="Q283" s="219"/>
      <c r="R283" s="219">
        <v>31.36</v>
      </c>
      <c r="S283" s="219">
        <v>31.36</v>
      </c>
      <c r="T283" s="219">
        <v>31.36</v>
      </c>
      <c r="U283" s="219">
        <v>31.36</v>
      </c>
      <c r="V283" s="219">
        <v>31.36</v>
      </c>
      <c r="W283" s="219">
        <v>31.36</v>
      </c>
      <c r="X283" s="219">
        <v>31.36</v>
      </c>
      <c r="Y283" s="219">
        <v>31.36</v>
      </c>
      <c r="Z283" s="219"/>
      <c r="AA283" s="219"/>
      <c r="AB283" s="219"/>
      <c r="AC283" s="219"/>
      <c r="AD283" s="219">
        <v>0</v>
      </c>
      <c r="AE283" s="219">
        <v>0</v>
      </c>
      <c r="AF283" s="219">
        <v>0</v>
      </c>
      <c r="AG283" s="219">
        <v>0</v>
      </c>
      <c r="AH283" s="219">
        <v>0</v>
      </c>
      <c r="AI283" s="219">
        <v>0.01</v>
      </c>
      <c r="AJ283" s="219">
        <v>0.01</v>
      </c>
      <c r="AK283" s="219">
        <v>0.01</v>
      </c>
      <c r="AL283" s="229" t="s">
        <v>573</v>
      </c>
      <c r="AM283" s="219">
        <f t="shared" si="110"/>
        <v>0</v>
      </c>
      <c r="AN283" s="229" t="s">
        <v>573</v>
      </c>
      <c r="AO283" s="221">
        <f t="shared" si="111"/>
        <v>0</v>
      </c>
      <c r="AP283" s="222" t="s">
        <v>573</v>
      </c>
      <c r="AQ283" s="221">
        <f t="shared" si="112"/>
        <v>0</v>
      </c>
      <c r="AR283" s="222" t="s">
        <v>573</v>
      </c>
      <c r="AS283" s="58">
        <f t="shared" si="113"/>
        <v>0</v>
      </c>
      <c r="AT283" s="222">
        <v>240</v>
      </c>
      <c r="AU283" s="58">
        <f t="shared" si="114"/>
        <v>0</v>
      </c>
      <c r="AV283" s="222" t="s">
        <v>573</v>
      </c>
      <c r="AW283" s="58">
        <f t="shared" si="115"/>
        <v>0</v>
      </c>
      <c r="AX283" s="251" t="s">
        <v>573</v>
      </c>
      <c r="AY283" s="58">
        <f t="shared" si="116"/>
        <v>0</v>
      </c>
      <c r="AZ283" s="222" t="s">
        <v>573</v>
      </c>
      <c r="BA283" s="58">
        <f t="shared" si="105"/>
        <v>0</v>
      </c>
      <c r="BB283" s="222" t="s">
        <v>573</v>
      </c>
      <c r="BC283" s="58">
        <f t="shared" si="106"/>
        <v>0</v>
      </c>
      <c r="BD283" s="222" t="s">
        <v>573</v>
      </c>
      <c r="BE283" s="58">
        <f t="shared" si="107"/>
        <v>0</v>
      </c>
      <c r="BF283" s="222" t="s">
        <v>573</v>
      </c>
      <c r="BG283" s="58">
        <f t="shared" si="108"/>
        <v>0</v>
      </c>
      <c r="BH283" s="223" t="s">
        <v>573</v>
      </c>
      <c r="BI283" s="58">
        <f t="shared" si="109"/>
        <v>0</v>
      </c>
      <c r="BJ283" s="220">
        <f t="shared" si="149"/>
        <v>240</v>
      </c>
      <c r="BK283" s="58"/>
      <c r="BL283" s="58" t="s">
        <v>1379</v>
      </c>
      <c r="BM283" s="220" t="s">
        <v>1402</v>
      </c>
      <c r="BN283" s="213" t="s">
        <v>1329</v>
      </c>
      <c r="BO283" s="58" t="s">
        <v>1295</v>
      </c>
      <c r="BP283" s="199">
        <v>47057</v>
      </c>
      <c r="BQ283" s="2" t="s">
        <v>1387</v>
      </c>
    </row>
    <row r="284" spans="1:69" ht="15.75" customHeight="1">
      <c r="A284" s="213" t="s">
        <v>788</v>
      </c>
      <c r="B284" s="58" t="s">
        <v>1293</v>
      </c>
      <c r="C284" s="58" t="s">
        <v>752</v>
      </c>
      <c r="D284" s="214" t="s">
        <v>789</v>
      </c>
      <c r="E284" s="214" t="s">
        <v>1294</v>
      </c>
      <c r="F284" s="215" t="s">
        <v>186</v>
      </c>
      <c r="G284" s="216">
        <v>2023</v>
      </c>
      <c r="H284" s="218" t="s">
        <v>825</v>
      </c>
      <c r="I284" s="217" t="s">
        <v>781</v>
      </c>
      <c r="J284" s="217" t="s">
        <v>890</v>
      </c>
      <c r="K284" s="213" t="s">
        <v>753</v>
      </c>
      <c r="L284" s="213" t="s">
        <v>192</v>
      </c>
      <c r="M284" s="219" t="s">
        <v>1402</v>
      </c>
      <c r="N284" s="219"/>
      <c r="O284" s="219"/>
      <c r="P284" s="219"/>
      <c r="Q284" s="219"/>
      <c r="R284" s="219">
        <v>31.36</v>
      </c>
      <c r="S284" s="219">
        <v>31.36</v>
      </c>
      <c r="T284" s="219">
        <v>31.36</v>
      </c>
      <c r="U284" s="219">
        <v>31.36</v>
      </c>
      <c r="V284" s="219">
        <v>31.36</v>
      </c>
      <c r="W284" s="219">
        <v>31.36</v>
      </c>
      <c r="X284" s="219">
        <v>31.36</v>
      </c>
      <c r="Y284" s="219">
        <v>31.36</v>
      </c>
      <c r="Z284" s="219"/>
      <c r="AA284" s="219"/>
      <c r="AB284" s="219"/>
      <c r="AC284" s="219"/>
      <c r="AD284" s="219">
        <v>0</v>
      </c>
      <c r="AE284" s="219">
        <v>0</v>
      </c>
      <c r="AF284" s="219">
        <v>0</v>
      </c>
      <c r="AG284" s="219">
        <v>0</v>
      </c>
      <c r="AH284" s="219">
        <v>0</v>
      </c>
      <c r="AI284" s="219">
        <v>0.01</v>
      </c>
      <c r="AJ284" s="219">
        <v>0.01</v>
      </c>
      <c r="AK284" s="219">
        <v>0.01</v>
      </c>
      <c r="AL284" s="229" t="s">
        <v>573</v>
      </c>
      <c r="AM284" s="219">
        <f t="shared" si="110"/>
        <v>0</v>
      </c>
      <c r="AN284" s="229" t="s">
        <v>573</v>
      </c>
      <c r="AO284" s="221">
        <f t="shared" si="111"/>
        <v>0</v>
      </c>
      <c r="AP284" s="222" t="s">
        <v>573</v>
      </c>
      <c r="AQ284" s="221">
        <f t="shared" si="112"/>
        <v>0</v>
      </c>
      <c r="AR284" s="222" t="s">
        <v>573</v>
      </c>
      <c r="AS284" s="58">
        <f t="shared" si="113"/>
        <v>0</v>
      </c>
      <c r="AT284" s="222">
        <v>0</v>
      </c>
      <c r="AU284" s="58">
        <f t="shared" si="114"/>
        <v>0</v>
      </c>
      <c r="AV284" s="222" t="s">
        <v>573</v>
      </c>
      <c r="AW284" s="58">
        <f t="shared" si="115"/>
        <v>0</v>
      </c>
      <c r="AX284" s="251">
        <v>10</v>
      </c>
      <c r="AY284" s="58">
        <f t="shared" si="116"/>
        <v>0</v>
      </c>
      <c r="AZ284" s="222" t="s">
        <v>573</v>
      </c>
      <c r="BA284" s="58">
        <f t="shared" si="105"/>
        <v>0</v>
      </c>
      <c r="BB284" s="222" t="s">
        <v>573</v>
      </c>
      <c r="BC284" s="58">
        <f t="shared" si="106"/>
        <v>0</v>
      </c>
      <c r="BD284" s="222" t="s">
        <v>573</v>
      </c>
      <c r="BE284" s="58">
        <f t="shared" si="107"/>
        <v>0</v>
      </c>
      <c r="BF284" s="222" t="s">
        <v>573</v>
      </c>
      <c r="BG284" s="58">
        <f t="shared" si="108"/>
        <v>0</v>
      </c>
      <c r="BH284" s="223" t="s">
        <v>573</v>
      </c>
      <c r="BI284" s="58">
        <f t="shared" si="109"/>
        <v>0</v>
      </c>
      <c r="BJ284" s="220">
        <f t="shared" si="149"/>
        <v>10</v>
      </c>
      <c r="BK284" s="58"/>
      <c r="BL284" s="58" t="s">
        <v>1380</v>
      </c>
      <c r="BM284" s="220" t="s">
        <v>1402</v>
      </c>
      <c r="BN284" s="213" t="s">
        <v>1329</v>
      </c>
      <c r="BO284" s="58" t="s">
        <v>1343</v>
      </c>
      <c r="BP284" s="199">
        <v>47057</v>
      </c>
      <c r="BQ284" s="2" t="s">
        <v>1387</v>
      </c>
    </row>
    <row r="285" spans="1:69" ht="15.75" customHeight="1">
      <c r="A285" s="213" t="s">
        <v>788</v>
      </c>
      <c r="B285" s="58" t="s">
        <v>1293</v>
      </c>
      <c r="C285" s="58" t="s">
        <v>752</v>
      </c>
      <c r="D285" s="214" t="s">
        <v>789</v>
      </c>
      <c r="E285" s="214" t="s">
        <v>1294</v>
      </c>
      <c r="F285" s="215" t="s">
        <v>186</v>
      </c>
      <c r="G285" s="216">
        <v>2023</v>
      </c>
      <c r="H285" s="218" t="s">
        <v>825</v>
      </c>
      <c r="I285" s="217" t="s">
        <v>781</v>
      </c>
      <c r="J285" s="217" t="s">
        <v>890</v>
      </c>
      <c r="K285" s="213" t="s">
        <v>753</v>
      </c>
      <c r="L285" s="213" t="s">
        <v>192</v>
      </c>
      <c r="M285" s="219" t="s">
        <v>1390</v>
      </c>
      <c r="N285" s="219"/>
      <c r="O285" s="219"/>
      <c r="P285" s="219"/>
      <c r="Q285" s="219"/>
      <c r="R285" s="219">
        <v>29.66</v>
      </c>
      <c r="S285" s="219">
        <v>29.66</v>
      </c>
      <c r="T285" s="219">
        <v>29.66</v>
      </c>
      <c r="U285" s="219">
        <v>29.66</v>
      </c>
      <c r="V285" s="219">
        <v>29.66</v>
      </c>
      <c r="W285" s="219">
        <v>29.66</v>
      </c>
      <c r="X285" s="219">
        <v>29.66</v>
      </c>
      <c r="Y285" s="219">
        <v>29.66</v>
      </c>
      <c r="Z285" s="219"/>
      <c r="AA285" s="219"/>
      <c r="AB285" s="219"/>
      <c r="AC285" s="219"/>
      <c r="AD285" s="219">
        <v>0</v>
      </c>
      <c r="AE285" s="219">
        <v>0</v>
      </c>
      <c r="AF285" s="219">
        <v>0</v>
      </c>
      <c r="AG285" s="219">
        <v>0</v>
      </c>
      <c r="AH285" s="219">
        <v>0</v>
      </c>
      <c r="AI285" s="219">
        <v>0.01</v>
      </c>
      <c r="AJ285" s="219">
        <v>0.01</v>
      </c>
      <c r="AK285" s="219">
        <v>0.01</v>
      </c>
      <c r="AL285" s="229" t="s">
        <v>573</v>
      </c>
      <c r="AM285" s="219">
        <f t="shared" si="110"/>
        <v>0</v>
      </c>
      <c r="AN285" s="229" t="s">
        <v>573</v>
      </c>
      <c r="AO285" s="221">
        <f t="shared" si="111"/>
        <v>0</v>
      </c>
      <c r="AP285" s="222" t="s">
        <v>573</v>
      </c>
      <c r="AQ285" s="221">
        <f t="shared" si="112"/>
        <v>0</v>
      </c>
      <c r="AR285" s="222" t="s">
        <v>573</v>
      </c>
      <c r="AS285" s="58">
        <f t="shared" si="113"/>
        <v>0</v>
      </c>
      <c r="AT285" s="222">
        <v>0</v>
      </c>
      <c r="AU285" s="58">
        <f t="shared" si="114"/>
        <v>0</v>
      </c>
      <c r="AV285" s="222">
        <v>16500</v>
      </c>
      <c r="AW285" s="58">
        <f t="shared" si="115"/>
        <v>0</v>
      </c>
      <c r="AX285" s="251">
        <v>7400</v>
      </c>
      <c r="AY285" s="58">
        <f t="shared" si="116"/>
        <v>0</v>
      </c>
      <c r="AZ285" s="222">
        <v>7000</v>
      </c>
      <c r="BA285" s="58">
        <f t="shared" si="105"/>
        <v>0</v>
      </c>
      <c r="BB285" s="222">
        <v>11000</v>
      </c>
      <c r="BC285" s="58">
        <f t="shared" si="106"/>
        <v>0</v>
      </c>
      <c r="BD285" s="222">
        <v>1000</v>
      </c>
      <c r="BE285" s="58">
        <f t="shared" si="107"/>
        <v>10</v>
      </c>
      <c r="BF285" s="222">
        <v>1200</v>
      </c>
      <c r="BG285" s="58">
        <f t="shared" si="108"/>
        <v>12</v>
      </c>
      <c r="BH285" s="223">
        <v>5800</v>
      </c>
      <c r="BI285" s="58">
        <f t="shared" si="109"/>
        <v>58</v>
      </c>
      <c r="BJ285" s="220">
        <f t="shared" si="149"/>
        <v>49900</v>
      </c>
      <c r="BK285" s="58"/>
      <c r="BL285" s="58" t="s">
        <v>1381</v>
      </c>
      <c r="BM285" s="220" t="s">
        <v>1390</v>
      </c>
      <c r="BN285" s="213" t="s">
        <v>1329</v>
      </c>
      <c r="BO285" s="58" t="s">
        <v>1301</v>
      </c>
      <c r="BP285" s="199">
        <v>47057</v>
      </c>
      <c r="BQ285" s="2" t="s">
        <v>1387</v>
      </c>
    </row>
    <row r="286" spans="1:69" ht="15.75" customHeight="1">
      <c r="A286" s="213" t="s">
        <v>788</v>
      </c>
      <c r="B286" s="58" t="s">
        <v>1346</v>
      </c>
      <c r="C286" s="58" t="s">
        <v>752</v>
      </c>
      <c r="D286" s="214" t="s">
        <v>789</v>
      </c>
      <c r="E286" s="214" t="s">
        <v>789</v>
      </c>
      <c r="F286" s="215" t="s">
        <v>186</v>
      </c>
      <c r="G286" s="216">
        <v>2023</v>
      </c>
      <c r="H286" s="218" t="s">
        <v>825</v>
      </c>
      <c r="I286" s="217" t="s">
        <v>781</v>
      </c>
      <c r="J286" s="217" t="s">
        <v>890</v>
      </c>
      <c r="K286" s="213" t="s">
        <v>753</v>
      </c>
      <c r="L286" s="213" t="s">
        <v>192</v>
      </c>
      <c r="M286" s="219" t="s">
        <v>1388</v>
      </c>
      <c r="N286" s="219">
        <v>29.21</v>
      </c>
      <c r="O286" s="219">
        <v>29.21</v>
      </c>
      <c r="P286" s="219">
        <v>29.21</v>
      </c>
      <c r="Q286" s="219">
        <v>29.21</v>
      </c>
      <c r="R286" s="219">
        <v>29.21</v>
      </c>
      <c r="S286" s="219">
        <v>29.21</v>
      </c>
      <c r="T286" s="219">
        <v>29.21</v>
      </c>
      <c r="U286" s="219">
        <v>29.21</v>
      </c>
      <c r="V286" s="219">
        <v>29.21</v>
      </c>
      <c r="W286" s="219">
        <v>29.21</v>
      </c>
      <c r="X286" s="219">
        <v>29.21</v>
      </c>
      <c r="Y286" s="219">
        <v>29.21</v>
      </c>
      <c r="Z286" s="219">
        <v>1.36</v>
      </c>
      <c r="AA286" s="219">
        <v>1.36</v>
      </c>
      <c r="AB286" s="219">
        <v>1.36</v>
      </c>
      <c r="AC286" s="219">
        <v>1.36</v>
      </c>
      <c r="AD286" s="219">
        <v>1.36</v>
      </c>
      <c r="AE286" s="219">
        <v>1.36</v>
      </c>
      <c r="AF286" s="219">
        <v>1.36</v>
      </c>
      <c r="AG286" s="219">
        <v>1.36</v>
      </c>
      <c r="AH286" s="219">
        <v>1.36</v>
      </c>
      <c r="AI286" s="219">
        <v>1.36</v>
      </c>
      <c r="AJ286" s="219">
        <v>1.36</v>
      </c>
      <c r="AK286" s="219">
        <v>1.36</v>
      </c>
      <c r="AL286" s="229" t="s">
        <v>573</v>
      </c>
      <c r="AM286" s="219">
        <f t="shared" si="110"/>
        <v>0</v>
      </c>
      <c r="AN286" s="229" t="s">
        <v>573</v>
      </c>
      <c r="AO286" s="221">
        <f t="shared" si="111"/>
        <v>0</v>
      </c>
      <c r="AP286" s="222" t="s">
        <v>573</v>
      </c>
      <c r="AQ286" s="221">
        <f t="shared" si="112"/>
        <v>0</v>
      </c>
      <c r="AR286" s="222" t="s">
        <v>573</v>
      </c>
      <c r="AS286" s="58">
        <f t="shared" si="113"/>
        <v>0</v>
      </c>
      <c r="AT286" s="222" t="s">
        <v>573</v>
      </c>
      <c r="AU286" s="58">
        <f t="shared" si="114"/>
        <v>0</v>
      </c>
      <c r="AV286" s="222" t="s">
        <v>573</v>
      </c>
      <c r="AW286" s="58">
        <f t="shared" si="115"/>
        <v>0</v>
      </c>
      <c r="AX286" s="251" t="s">
        <v>573</v>
      </c>
      <c r="AY286" s="58">
        <f t="shared" si="116"/>
        <v>0</v>
      </c>
      <c r="AZ286" s="222" t="s">
        <v>573</v>
      </c>
      <c r="BA286" s="58">
        <f t="shared" si="105"/>
        <v>0</v>
      </c>
      <c r="BB286" s="222" t="s">
        <v>573</v>
      </c>
      <c r="BC286" s="58">
        <f t="shared" si="106"/>
        <v>0</v>
      </c>
      <c r="BD286" s="222" t="s">
        <v>573</v>
      </c>
      <c r="BE286" s="58">
        <f t="shared" si="107"/>
        <v>0</v>
      </c>
      <c r="BF286" s="222" t="s">
        <v>573</v>
      </c>
      <c r="BG286" s="58">
        <f t="shared" si="108"/>
        <v>0</v>
      </c>
      <c r="BH286" s="223" t="s">
        <v>573</v>
      </c>
      <c r="BI286" s="58">
        <f t="shared" si="109"/>
        <v>0</v>
      </c>
      <c r="BJ286" s="220">
        <f t="shared" si="149"/>
        <v>0</v>
      </c>
      <c r="BK286" s="58"/>
      <c r="BL286" s="58" t="s">
        <v>1114</v>
      </c>
      <c r="BM286" s="220" t="s">
        <v>1388</v>
      </c>
      <c r="BN286" s="213" t="s">
        <v>197</v>
      </c>
      <c r="BO286" s="58" t="s">
        <v>1198</v>
      </c>
      <c r="BP286" s="199">
        <v>47057</v>
      </c>
      <c r="BQ286" s="2" t="s">
        <v>1386</v>
      </c>
    </row>
    <row r="287" spans="1:69" ht="15.75" customHeight="1">
      <c r="A287" s="213" t="s">
        <v>788</v>
      </c>
      <c r="B287" s="58" t="s">
        <v>1346</v>
      </c>
      <c r="C287" s="58" t="s">
        <v>752</v>
      </c>
      <c r="D287" s="214" t="s">
        <v>789</v>
      </c>
      <c r="E287" s="214" t="s">
        <v>789</v>
      </c>
      <c r="F287" s="215" t="s">
        <v>186</v>
      </c>
      <c r="G287" s="216">
        <v>2023</v>
      </c>
      <c r="H287" s="218" t="s">
        <v>825</v>
      </c>
      <c r="I287" s="218" t="s">
        <v>201</v>
      </c>
      <c r="J287" s="217" t="s">
        <v>890</v>
      </c>
      <c r="K287" s="213" t="s">
        <v>753</v>
      </c>
      <c r="L287" s="213" t="s">
        <v>192</v>
      </c>
      <c r="M287" s="219" t="s">
        <v>1388</v>
      </c>
      <c r="N287" s="219">
        <v>29.21</v>
      </c>
      <c r="O287" s="219">
        <v>29.21</v>
      </c>
      <c r="P287" s="219">
        <v>29.21</v>
      </c>
      <c r="Q287" s="219">
        <v>29.21</v>
      </c>
      <c r="R287" s="219">
        <v>29.21</v>
      </c>
      <c r="S287" s="219">
        <v>29.21</v>
      </c>
      <c r="T287" s="219">
        <v>29.21</v>
      </c>
      <c r="U287" s="219">
        <v>29.21</v>
      </c>
      <c r="V287" s="219">
        <v>29.21</v>
      </c>
      <c r="W287" s="219">
        <v>29.21</v>
      </c>
      <c r="X287" s="219">
        <v>29.21</v>
      </c>
      <c r="Y287" s="219">
        <v>29.21</v>
      </c>
      <c r="Z287" s="219">
        <v>1.36</v>
      </c>
      <c r="AA287" s="219">
        <v>1.36</v>
      </c>
      <c r="AB287" s="219">
        <v>1.36</v>
      </c>
      <c r="AC287" s="219">
        <v>1.36</v>
      </c>
      <c r="AD287" s="219">
        <v>1.36</v>
      </c>
      <c r="AE287" s="219">
        <v>1.36</v>
      </c>
      <c r="AF287" s="219">
        <v>1.36</v>
      </c>
      <c r="AG287" s="219">
        <v>1.36</v>
      </c>
      <c r="AH287" s="219">
        <v>1.36</v>
      </c>
      <c r="AI287" s="219">
        <v>1.36</v>
      </c>
      <c r="AJ287" s="219">
        <v>1.36</v>
      </c>
      <c r="AK287" s="219">
        <v>1.36</v>
      </c>
      <c r="AL287" s="229" t="s">
        <v>573</v>
      </c>
      <c r="AM287" s="219">
        <f t="shared" si="110"/>
        <v>0</v>
      </c>
      <c r="AN287" s="229" t="s">
        <v>573</v>
      </c>
      <c r="AO287" s="221">
        <f t="shared" si="111"/>
        <v>0</v>
      </c>
      <c r="AP287" s="222" t="s">
        <v>573</v>
      </c>
      <c r="AQ287" s="221">
        <f t="shared" si="112"/>
        <v>0</v>
      </c>
      <c r="AR287" s="222" t="s">
        <v>573</v>
      </c>
      <c r="AS287" s="58">
        <f t="shared" si="113"/>
        <v>0</v>
      </c>
      <c r="AT287" s="222" t="s">
        <v>573</v>
      </c>
      <c r="AU287" s="58">
        <f t="shared" si="114"/>
        <v>0</v>
      </c>
      <c r="AV287" s="222" t="s">
        <v>573</v>
      </c>
      <c r="AW287" s="58">
        <f t="shared" si="115"/>
        <v>0</v>
      </c>
      <c r="AX287" s="251" t="s">
        <v>573</v>
      </c>
      <c r="AY287" s="58">
        <f t="shared" si="116"/>
        <v>0</v>
      </c>
      <c r="AZ287" s="222" t="s">
        <v>573</v>
      </c>
      <c r="BA287" s="58">
        <f t="shared" si="105"/>
        <v>0</v>
      </c>
      <c r="BB287" s="222" t="s">
        <v>573</v>
      </c>
      <c r="BC287" s="58">
        <f t="shared" si="106"/>
        <v>0</v>
      </c>
      <c r="BD287" s="222" t="s">
        <v>573</v>
      </c>
      <c r="BE287" s="58">
        <f t="shared" si="107"/>
        <v>0</v>
      </c>
      <c r="BF287" s="222" t="s">
        <v>573</v>
      </c>
      <c r="BG287" s="58">
        <f t="shared" si="108"/>
        <v>0</v>
      </c>
      <c r="BH287" s="223" t="s">
        <v>573</v>
      </c>
      <c r="BI287" s="58">
        <f t="shared" si="109"/>
        <v>0</v>
      </c>
      <c r="BJ287" s="220">
        <f t="shared" si="149"/>
        <v>0</v>
      </c>
      <c r="BK287" s="58"/>
      <c r="BL287" s="58" t="s">
        <v>1115</v>
      </c>
      <c r="BM287" s="220" t="s">
        <v>1388</v>
      </c>
      <c r="BN287" s="213" t="s">
        <v>754</v>
      </c>
      <c r="BO287" s="58" t="s">
        <v>1199</v>
      </c>
      <c r="BP287" s="199">
        <v>47057</v>
      </c>
      <c r="BQ287" s="2" t="s">
        <v>1387</v>
      </c>
    </row>
    <row r="288" spans="1:69" ht="15.75" customHeight="1">
      <c r="A288" s="213" t="s">
        <v>788</v>
      </c>
      <c r="B288" s="58" t="s">
        <v>1346</v>
      </c>
      <c r="C288" s="58" t="s">
        <v>752</v>
      </c>
      <c r="D288" s="214" t="s">
        <v>789</v>
      </c>
      <c r="E288" s="214" t="s">
        <v>789</v>
      </c>
      <c r="F288" s="215" t="s">
        <v>186</v>
      </c>
      <c r="G288" s="216">
        <v>2023</v>
      </c>
      <c r="H288" s="218" t="s">
        <v>825</v>
      </c>
      <c r="I288" s="218" t="s">
        <v>201</v>
      </c>
      <c r="J288" s="217" t="s">
        <v>890</v>
      </c>
      <c r="K288" s="213" t="s">
        <v>753</v>
      </c>
      <c r="L288" s="213" t="s">
        <v>192</v>
      </c>
      <c r="M288" s="219" t="s">
        <v>1390</v>
      </c>
      <c r="N288" s="219">
        <v>29.21</v>
      </c>
      <c r="O288" s="219">
        <v>29.21</v>
      </c>
      <c r="P288" s="219">
        <v>29.21</v>
      </c>
      <c r="Q288" s="219">
        <v>29.21</v>
      </c>
      <c r="R288" s="219">
        <v>29.21</v>
      </c>
      <c r="S288" s="219">
        <v>29.21</v>
      </c>
      <c r="T288" s="219">
        <v>29.21</v>
      </c>
      <c r="U288" s="219">
        <v>29.21</v>
      </c>
      <c r="V288" s="219">
        <v>29.21</v>
      </c>
      <c r="W288" s="219">
        <v>29.21</v>
      </c>
      <c r="X288" s="219">
        <v>29.21</v>
      </c>
      <c r="Y288" s="219">
        <v>29.21</v>
      </c>
      <c r="Z288" s="219">
        <v>1.36</v>
      </c>
      <c r="AA288" s="219">
        <v>1.36</v>
      </c>
      <c r="AB288" s="219">
        <v>1.36</v>
      </c>
      <c r="AC288" s="219">
        <v>1.36</v>
      </c>
      <c r="AD288" s="219">
        <v>1.36</v>
      </c>
      <c r="AE288" s="219">
        <v>1.36</v>
      </c>
      <c r="AF288" s="219">
        <v>1.36</v>
      </c>
      <c r="AG288" s="219">
        <v>1.36</v>
      </c>
      <c r="AH288" s="219">
        <v>1.36</v>
      </c>
      <c r="AI288" s="219">
        <v>1.36</v>
      </c>
      <c r="AJ288" s="219">
        <v>1.36</v>
      </c>
      <c r="AK288" s="219">
        <v>1.36</v>
      </c>
      <c r="AL288" s="229">
        <v>1040</v>
      </c>
      <c r="AM288" s="219">
        <f t="shared" si="110"/>
        <v>1414.4</v>
      </c>
      <c r="AN288" s="229">
        <v>2000</v>
      </c>
      <c r="AO288" s="221">
        <f t="shared" si="111"/>
        <v>2720</v>
      </c>
      <c r="AP288" s="222">
        <v>3120</v>
      </c>
      <c r="AQ288" s="221">
        <f t="shared" si="112"/>
        <v>4243.2000000000007</v>
      </c>
      <c r="AR288" s="222">
        <v>1040</v>
      </c>
      <c r="AS288" s="58">
        <f t="shared" si="113"/>
        <v>1414.4</v>
      </c>
      <c r="AT288" s="222">
        <v>2080</v>
      </c>
      <c r="AU288" s="58">
        <f t="shared" si="114"/>
        <v>2828.8</v>
      </c>
      <c r="AV288" s="222">
        <v>3120</v>
      </c>
      <c r="AW288" s="58">
        <f t="shared" si="115"/>
        <v>4243.2000000000007</v>
      </c>
      <c r="AX288" s="251" t="s">
        <v>573</v>
      </c>
      <c r="AY288" s="58">
        <f t="shared" si="116"/>
        <v>0</v>
      </c>
      <c r="AZ288" s="222">
        <v>1040</v>
      </c>
      <c r="BA288" s="58">
        <f t="shared" si="105"/>
        <v>1414.4</v>
      </c>
      <c r="BB288" s="222">
        <v>2800</v>
      </c>
      <c r="BC288" s="58">
        <f t="shared" si="106"/>
        <v>3808.0000000000005</v>
      </c>
      <c r="BD288" s="222">
        <v>4200</v>
      </c>
      <c r="BE288" s="58">
        <f t="shared" si="107"/>
        <v>5712</v>
      </c>
      <c r="BF288" s="222" t="s">
        <v>573</v>
      </c>
      <c r="BG288" s="58">
        <f t="shared" si="108"/>
        <v>0</v>
      </c>
      <c r="BH288" s="223" t="s">
        <v>573</v>
      </c>
      <c r="BI288" s="58">
        <f t="shared" si="109"/>
        <v>0</v>
      </c>
      <c r="BJ288" s="220">
        <f t="shared" si="149"/>
        <v>20440</v>
      </c>
      <c r="BK288" s="58"/>
      <c r="BL288" s="58" t="s">
        <v>1164</v>
      </c>
      <c r="BM288" s="220" t="s">
        <v>1390</v>
      </c>
      <c r="BN288" s="213" t="s">
        <v>763</v>
      </c>
      <c r="BO288" s="58" t="s">
        <v>1163</v>
      </c>
      <c r="BP288" s="199">
        <v>47057</v>
      </c>
      <c r="BQ288" s="2" t="s">
        <v>1386</v>
      </c>
    </row>
    <row r="289" spans="1:69" ht="15.75" customHeight="1">
      <c r="A289" s="213" t="s">
        <v>788</v>
      </c>
      <c r="B289" s="58" t="s">
        <v>1346</v>
      </c>
      <c r="C289" s="58" t="s">
        <v>752</v>
      </c>
      <c r="D289" s="214" t="s">
        <v>789</v>
      </c>
      <c r="E289" s="214" t="s">
        <v>789</v>
      </c>
      <c r="F289" s="215" t="s">
        <v>186</v>
      </c>
      <c r="G289" s="216">
        <v>2023</v>
      </c>
      <c r="H289" s="218" t="s">
        <v>825</v>
      </c>
      <c r="I289" s="218" t="s">
        <v>201</v>
      </c>
      <c r="J289" s="217" t="s">
        <v>890</v>
      </c>
      <c r="K289" s="213" t="s">
        <v>753</v>
      </c>
      <c r="L289" s="213" t="s">
        <v>192</v>
      </c>
      <c r="M289" s="219" t="s">
        <v>1388</v>
      </c>
      <c r="N289" s="219">
        <v>29.21</v>
      </c>
      <c r="O289" s="219">
        <v>29.21</v>
      </c>
      <c r="P289" s="219">
        <v>29.21</v>
      </c>
      <c r="Q289" s="219">
        <v>29.21</v>
      </c>
      <c r="R289" s="219">
        <v>29.21</v>
      </c>
      <c r="S289" s="219">
        <v>29.21</v>
      </c>
      <c r="T289" s="219">
        <v>29.21</v>
      </c>
      <c r="U289" s="219">
        <v>29.21</v>
      </c>
      <c r="V289" s="219">
        <v>29.21</v>
      </c>
      <c r="W289" s="219">
        <v>29.21</v>
      </c>
      <c r="X289" s="219">
        <v>29.21</v>
      </c>
      <c r="Y289" s="219">
        <v>29.21</v>
      </c>
      <c r="Z289" s="219">
        <v>1.36</v>
      </c>
      <c r="AA289" s="219">
        <v>1.36</v>
      </c>
      <c r="AB289" s="219">
        <v>1.36</v>
      </c>
      <c r="AC289" s="219">
        <v>1.36</v>
      </c>
      <c r="AD289" s="219">
        <v>1.36</v>
      </c>
      <c r="AE289" s="219">
        <v>1.36</v>
      </c>
      <c r="AF289" s="219">
        <v>1.36</v>
      </c>
      <c r="AG289" s="219">
        <v>1.36</v>
      </c>
      <c r="AH289" s="219">
        <v>1.36</v>
      </c>
      <c r="AI289" s="219">
        <v>1.36</v>
      </c>
      <c r="AJ289" s="219">
        <v>1.36</v>
      </c>
      <c r="AK289" s="219">
        <v>1.36</v>
      </c>
      <c r="AL289" s="229" t="s">
        <v>573</v>
      </c>
      <c r="AM289" s="219">
        <f t="shared" si="110"/>
        <v>0</v>
      </c>
      <c r="AN289" s="229" t="s">
        <v>573</v>
      </c>
      <c r="AO289" s="221">
        <f t="shared" si="111"/>
        <v>0</v>
      </c>
      <c r="AP289" s="222" t="s">
        <v>573</v>
      </c>
      <c r="AQ289" s="221">
        <f t="shared" si="112"/>
        <v>0</v>
      </c>
      <c r="AR289" s="222" t="s">
        <v>573</v>
      </c>
      <c r="AS289" s="58">
        <f t="shared" si="113"/>
        <v>0</v>
      </c>
      <c r="AT289" s="222" t="s">
        <v>573</v>
      </c>
      <c r="AU289" s="58">
        <f t="shared" si="114"/>
        <v>0</v>
      </c>
      <c r="AV289" s="222" t="s">
        <v>573</v>
      </c>
      <c r="AW289" s="58">
        <f t="shared" si="115"/>
        <v>0</v>
      </c>
      <c r="AX289" s="251" t="s">
        <v>573</v>
      </c>
      <c r="AY289" s="58">
        <f t="shared" si="116"/>
        <v>0</v>
      </c>
      <c r="AZ289" s="222" t="s">
        <v>573</v>
      </c>
      <c r="BA289" s="58">
        <f t="shared" si="105"/>
        <v>0</v>
      </c>
      <c r="BB289" s="222" t="s">
        <v>573</v>
      </c>
      <c r="BC289" s="58">
        <f t="shared" si="106"/>
        <v>0</v>
      </c>
      <c r="BD289" s="222" t="s">
        <v>573</v>
      </c>
      <c r="BE289" s="58">
        <f t="shared" si="107"/>
        <v>0</v>
      </c>
      <c r="BF289" s="222" t="s">
        <v>573</v>
      </c>
      <c r="BG289" s="58">
        <f t="shared" si="108"/>
        <v>0</v>
      </c>
      <c r="BH289" s="223" t="s">
        <v>573</v>
      </c>
      <c r="BI289" s="58">
        <f t="shared" si="109"/>
        <v>0</v>
      </c>
      <c r="BJ289" s="220">
        <f t="shared" si="149"/>
        <v>0</v>
      </c>
      <c r="BK289" s="58"/>
      <c r="BL289" s="58" t="s">
        <v>1116</v>
      </c>
      <c r="BM289" s="220" t="s">
        <v>1388</v>
      </c>
      <c r="BN289" s="213" t="s">
        <v>754</v>
      </c>
      <c r="BO289" s="58" t="s">
        <v>1200</v>
      </c>
      <c r="BP289" s="199">
        <v>47057</v>
      </c>
      <c r="BQ289" s="2" t="s">
        <v>1386</v>
      </c>
    </row>
    <row r="290" spans="1:69" ht="15.75" customHeight="1">
      <c r="A290" s="213" t="s">
        <v>788</v>
      </c>
      <c r="B290" s="58" t="s">
        <v>1346</v>
      </c>
      <c r="C290" s="58" t="s">
        <v>752</v>
      </c>
      <c r="D290" s="214" t="s">
        <v>789</v>
      </c>
      <c r="E290" s="214" t="s">
        <v>789</v>
      </c>
      <c r="F290" s="215" t="s">
        <v>186</v>
      </c>
      <c r="G290" s="216">
        <v>2023</v>
      </c>
      <c r="H290" s="218" t="s">
        <v>825</v>
      </c>
      <c r="I290" s="218" t="s">
        <v>201</v>
      </c>
      <c r="J290" s="217" t="s">
        <v>890</v>
      </c>
      <c r="K290" s="213" t="s">
        <v>753</v>
      </c>
      <c r="L290" s="213" t="s">
        <v>192</v>
      </c>
      <c r="M290" s="219" t="s">
        <v>1388</v>
      </c>
      <c r="N290" s="219">
        <v>29.26</v>
      </c>
      <c r="O290" s="219">
        <v>29.26</v>
      </c>
      <c r="P290" s="219">
        <v>29.26</v>
      </c>
      <c r="Q290" s="219">
        <v>29.26</v>
      </c>
      <c r="R290" s="219">
        <v>29.26</v>
      </c>
      <c r="S290" s="219">
        <v>29.26</v>
      </c>
      <c r="T290" s="219">
        <v>29.26</v>
      </c>
      <c r="U290" s="219">
        <v>29.26</v>
      </c>
      <c r="V290" s="219">
        <v>29.26</v>
      </c>
      <c r="W290" s="219">
        <v>29.26</v>
      </c>
      <c r="X290" s="219">
        <v>29.25</v>
      </c>
      <c r="Y290" s="219">
        <v>29.26</v>
      </c>
      <c r="Z290" s="219">
        <v>1.36</v>
      </c>
      <c r="AA290" s="219">
        <v>1.36</v>
      </c>
      <c r="AB290" s="219">
        <v>1.36</v>
      </c>
      <c r="AC290" s="219">
        <v>1.36</v>
      </c>
      <c r="AD290" s="219">
        <v>1.36</v>
      </c>
      <c r="AE290" s="219">
        <v>1.36</v>
      </c>
      <c r="AF290" s="219">
        <v>1.36</v>
      </c>
      <c r="AG290" s="219">
        <v>1.36</v>
      </c>
      <c r="AH290" s="219">
        <v>1.36</v>
      </c>
      <c r="AI290" s="219">
        <v>1.36</v>
      </c>
      <c r="AJ290" s="219">
        <v>1.36</v>
      </c>
      <c r="AK290" s="219">
        <v>1.36</v>
      </c>
      <c r="AL290" s="229" t="s">
        <v>573</v>
      </c>
      <c r="AM290" s="219">
        <f t="shared" si="110"/>
        <v>0</v>
      </c>
      <c r="AN290" s="229" t="s">
        <v>573</v>
      </c>
      <c r="AO290" s="221">
        <f t="shared" si="111"/>
        <v>0</v>
      </c>
      <c r="AP290" s="222" t="s">
        <v>573</v>
      </c>
      <c r="AQ290" s="221">
        <f t="shared" si="112"/>
        <v>0</v>
      </c>
      <c r="AR290" s="222">
        <v>1040</v>
      </c>
      <c r="AS290" s="58">
        <f t="shared" si="113"/>
        <v>1414.4</v>
      </c>
      <c r="AT290" s="222" t="s">
        <v>573</v>
      </c>
      <c r="AU290" s="58">
        <f t="shared" si="114"/>
        <v>0</v>
      </c>
      <c r="AV290" s="222">
        <v>1040</v>
      </c>
      <c r="AW290" s="58">
        <f t="shared" si="115"/>
        <v>1414.4</v>
      </c>
      <c r="AX290" s="251" t="s">
        <v>573</v>
      </c>
      <c r="AY290" s="58">
        <f t="shared" si="116"/>
        <v>0</v>
      </c>
      <c r="AZ290" s="222">
        <v>2080</v>
      </c>
      <c r="BA290" s="58">
        <f t="shared" si="105"/>
        <v>2828.8</v>
      </c>
      <c r="BB290" s="222" t="s">
        <v>573</v>
      </c>
      <c r="BC290" s="58">
        <f t="shared" si="106"/>
        <v>0</v>
      </c>
      <c r="BD290" s="222" t="s">
        <v>573</v>
      </c>
      <c r="BE290" s="58">
        <f t="shared" si="107"/>
        <v>0</v>
      </c>
      <c r="BF290" s="222">
        <v>1040</v>
      </c>
      <c r="BG290" s="58">
        <f t="shared" si="108"/>
        <v>1414.4</v>
      </c>
      <c r="BH290" s="223" t="s">
        <v>573</v>
      </c>
      <c r="BI290" s="58">
        <f t="shared" si="109"/>
        <v>0</v>
      </c>
      <c r="BJ290" s="220">
        <f t="shared" si="149"/>
        <v>5200</v>
      </c>
      <c r="BK290" s="58"/>
      <c r="BL290" s="58" t="s">
        <v>1117</v>
      </c>
      <c r="BM290" s="220" t="s">
        <v>1388</v>
      </c>
      <c r="BN290" s="213" t="s">
        <v>197</v>
      </c>
      <c r="BO290" s="58" t="s">
        <v>782</v>
      </c>
      <c r="BP290" s="199">
        <v>47057</v>
      </c>
      <c r="BQ290" s="2" t="s">
        <v>1386</v>
      </c>
    </row>
    <row r="291" spans="1:69" ht="15.75" customHeight="1">
      <c r="A291" s="213" t="s">
        <v>788</v>
      </c>
      <c r="B291" s="58" t="s">
        <v>1346</v>
      </c>
      <c r="C291" s="58" t="s">
        <v>752</v>
      </c>
      <c r="D291" s="214" t="s">
        <v>789</v>
      </c>
      <c r="E291" s="214" t="s">
        <v>789</v>
      </c>
      <c r="F291" s="215" t="s">
        <v>186</v>
      </c>
      <c r="G291" s="216">
        <v>2023</v>
      </c>
      <c r="H291" s="218" t="s">
        <v>825</v>
      </c>
      <c r="I291" s="218" t="s">
        <v>201</v>
      </c>
      <c r="J291" s="217" t="s">
        <v>890</v>
      </c>
      <c r="K291" s="213" t="s">
        <v>753</v>
      </c>
      <c r="L291" s="213" t="s">
        <v>192</v>
      </c>
      <c r="M291" s="219" t="s">
        <v>1388</v>
      </c>
      <c r="N291" s="219">
        <v>29.26</v>
      </c>
      <c r="O291" s="219">
        <v>29.26</v>
      </c>
      <c r="P291" s="219">
        <v>29.26</v>
      </c>
      <c r="Q291" s="219">
        <v>29.26</v>
      </c>
      <c r="R291" s="219">
        <v>29.26</v>
      </c>
      <c r="S291" s="219">
        <v>29.26</v>
      </c>
      <c r="T291" s="219">
        <v>29.26</v>
      </c>
      <c r="U291" s="219">
        <v>29.26</v>
      </c>
      <c r="V291" s="219">
        <v>29.26</v>
      </c>
      <c r="W291" s="219">
        <v>29.26</v>
      </c>
      <c r="X291" s="219">
        <v>29.26</v>
      </c>
      <c r="Y291" s="219">
        <v>29.26</v>
      </c>
      <c r="Z291" s="219">
        <v>1.36</v>
      </c>
      <c r="AA291" s="219">
        <v>1.36</v>
      </c>
      <c r="AB291" s="219">
        <v>1.36</v>
      </c>
      <c r="AC291" s="219">
        <v>1.36</v>
      </c>
      <c r="AD291" s="219">
        <v>1.36</v>
      </c>
      <c r="AE291" s="219">
        <v>1.36</v>
      </c>
      <c r="AF291" s="219">
        <v>1.36</v>
      </c>
      <c r="AG291" s="219">
        <v>1.36</v>
      </c>
      <c r="AH291" s="219">
        <v>1.36</v>
      </c>
      <c r="AI291" s="219">
        <v>1.36</v>
      </c>
      <c r="AJ291" s="219">
        <v>1.36</v>
      </c>
      <c r="AK291" s="219">
        <v>1.36</v>
      </c>
      <c r="AL291" s="229" t="s">
        <v>573</v>
      </c>
      <c r="AM291" s="219">
        <f t="shared" si="110"/>
        <v>0</v>
      </c>
      <c r="AN291" s="229" t="s">
        <v>573</v>
      </c>
      <c r="AO291" s="221">
        <f t="shared" si="111"/>
        <v>0</v>
      </c>
      <c r="AP291" s="222" t="s">
        <v>573</v>
      </c>
      <c r="AQ291" s="221">
        <f t="shared" si="112"/>
        <v>0</v>
      </c>
      <c r="AR291" s="222" t="s">
        <v>573</v>
      </c>
      <c r="AS291" s="58">
        <f t="shared" si="113"/>
        <v>0</v>
      </c>
      <c r="AT291" s="222" t="s">
        <v>573</v>
      </c>
      <c r="AU291" s="58">
        <f t="shared" si="114"/>
        <v>0</v>
      </c>
      <c r="AV291" s="222" t="s">
        <v>573</v>
      </c>
      <c r="AW291" s="58">
        <f t="shared" si="115"/>
        <v>0</v>
      </c>
      <c r="AX291" s="251" t="s">
        <v>573</v>
      </c>
      <c r="AY291" s="58">
        <f t="shared" si="116"/>
        <v>0</v>
      </c>
      <c r="AZ291" s="222" t="s">
        <v>573</v>
      </c>
      <c r="BA291" s="58">
        <f t="shared" si="105"/>
        <v>0</v>
      </c>
      <c r="BB291" s="222" t="s">
        <v>573</v>
      </c>
      <c r="BC291" s="58">
        <f t="shared" si="106"/>
        <v>0</v>
      </c>
      <c r="BD291" s="222" t="s">
        <v>573</v>
      </c>
      <c r="BE291" s="58">
        <f t="shared" si="107"/>
        <v>0</v>
      </c>
      <c r="BF291" s="222" t="s">
        <v>573</v>
      </c>
      <c r="BG291" s="58">
        <f t="shared" si="108"/>
        <v>0</v>
      </c>
      <c r="BH291" s="223" t="s">
        <v>573</v>
      </c>
      <c r="BI291" s="58">
        <f t="shared" si="109"/>
        <v>0</v>
      </c>
      <c r="BJ291" s="220">
        <f t="shared" si="149"/>
        <v>0</v>
      </c>
      <c r="BK291" s="58"/>
      <c r="BL291" s="58" t="s">
        <v>1118</v>
      </c>
      <c r="BM291" s="220" t="s">
        <v>1388</v>
      </c>
      <c r="BN291" s="213" t="s">
        <v>754</v>
      </c>
      <c r="BO291" s="58" t="s">
        <v>783</v>
      </c>
      <c r="BP291" s="199">
        <v>47057</v>
      </c>
      <c r="BQ291" s="2" t="s">
        <v>1386</v>
      </c>
    </row>
    <row r="292" spans="1:69" ht="15.75" customHeight="1">
      <c r="A292" s="213" t="s">
        <v>788</v>
      </c>
      <c r="B292" s="58" t="s">
        <v>1346</v>
      </c>
      <c r="C292" s="58" t="s">
        <v>752</v>
      </c>
      <c r="D292" s="214" t="s">
        <v>789</v>
      </c>
      <c r="E292" s="214" t="s">
        <v>789</v>
      </c>
      <c r="F292" s="215" t="s">
        <v>186</v>
      </c>
      <c r="G292" s="216">
        <v>2023</v>
      </c>
      <c r="H292" s="218" t="s">
        <v>825</v>
      </c>
      <c r="I292" s="218" t="s">
        <v>201</v>
      </c>
      <c r="J292" s="217" t="s">
        <v>890</v>
      </c>
      <c r="K292" s="213" t="s">
        <v>753</v>
      </c>
      <c r="L292" s="213" t="s">
        <v>192</v>
      </c>
      <c r="M292" s="219" t="s">
        <v>1390</v>
      </c>
      <c r="N292" s="219">
        <v>29.26</v>
      </c>
      <c r="O292" s="219">
        <v>29.26</v>
      </c>
      <c r="P292" s="219">
        <v>29.26</v>
      </c>
      <c r="Q292" s="219">
        <v>29.26</v>
      </c>
      <c r="R292" s="219">
        <v>29.26</v>
      </c>
      <c r="S292" s="219">
        <v>29.26</v>
      </c>
      <c r="T292" s="219">
        <v>29.26</v>
      </c>
      <c r="U292" s="219">
        <v>29.26</v>
      </c>
      <c r="V292" s="219">
        <v>29.26</v>
      </c>
      <c r="W292" s="219">
        <v>29.26</v>
      </c>
      <c r="X292" s="219">
        <v>29.26</v>
      </c>
      <c r="Y292" s="219">
        <v>29.26</v>
      </c>
      <c r="Z292" s="219">
        <v>1.36</v>
      </c>
      <c r="AA292" s="219">
        <v>1.36</v>
      </c>
      <c r="AB292" s="219">
        <v>1.36</v>
      </c>
      <c r="AC292" s="219">
        <v>1.36</v>
      </c>
      <c r="AD292" s="219">
        <v>1.36</v>
      </c>
      <c r="AE292" s="219">
        <v>1.36</v>
      </c>
      <c r="AF292" s="219">
        <v>1.36</v>
      </c>
      <c r="AG292" s="219">
        <v>1.36</v>
      </c>
      <c r="AH292" s="219">
        <v>1.36</v>
      </c>
      <c r="AI292" s="219">
        <v>1.36</v>
      </c>
      <c r="AJ292" s="219">
        <v>1.36</v>
      </c>
      <c r="AK292" s="219">
        <v>1.36</v>
      </c>
      <c r="AL292" s="229">
        <v>1040</v>
      </c>
      <c r="AM292" s="219">
        <f t="shared" si="110"/>
        <v>1414.4</v>
      </c>
      <c r="AN292" s="229">
        <v>5040</v>
      </c>
      <c r="AO292" s="221">
        <f t="shared" si="111"/>
        <v>6854.4000000000005</v>
      </c>
      <c r="AP292" s="222">
        <v>10700</v>
      </c>
      <c r="AQ292" s="221">
        <f t="shared" si="112"/>
        <v>14552.000000000002</v>
      </c>
      <c r="AR292" s="222">
        <v>4400</v>
      </c>
      <c r="AS292" s="58">
        <f t="shared" si="113"/>
        <v>5984</v>
      </c>
      <c r="AT292" s="222">
        <v>1200</v>
      </c>
      <c r="AU292" s="58">
        <f t="shared" si="114"/>
        <v>1632.0000000000002</v>
      </c>
      <c r="AV292" s="222">
        <v>11800</v>
      </c>
      <c r="AW292" s="58">
        <f t="shared" si="115"/>
        <v>16048.000000000002</v>
      </c>
      <c r="AX292" s="251">
        <v>2600</v>
      </c>
      <c r="AY292" s="58">
        <f t="shared" si="116"/>
        <v>3536.0000000000005</v>
      </c>
      <c r="AZ292" s="222">
        <v>19500</v>
      </c>
      <c r="BA292" s="58">
        <f t="shared" si="105"/>
        <v>26520.000000000004</v>
      </c>
      <c r="BB292" s="222">
        <v>15600</v>
      </c>
      <c r="BC292" s="58">
        <f t="shared" si="106"/>
        <v>21216</v>
      </c>
      <c r="BD292" s="222">
        <v>12200</v>
      </c>
      <c r="BE292" s="58">
        <f t="shared" si="107"/>
        <v>16592</v>
      </c>
      <c r="BF292" s="222">
        <v>24000</v>
      </c>
      <c r="BG292" s="58">
        <f t="shared" si="108"/>
        <v>32640.000000000004</v>
      </c>
      <c r="BH292" s="223">
        <v>5600</v>
      </c>
      <c r="BI292" s="58">
        <f t="shared" si="109"/>
        <v>7616.0000000000009</v>
      </c>
      <c r="BJ292" s="220">
        <f t="shared" si="149"/>
        <v>113680</v>
      </c>
      <c r="BK292" s="58"/>
      <c r="BL292" s="58" t="s">
        <v>1165</v>
      </c>
      <c r="BM292" s="220" t="s">
        <v>1390</v>
      </c>
      <c r="BN292" s="213" t="s">
        <v>763</v>
      </c>
      <c r="BO292" s="58" t="s">
        <v>784</v>
      </c>
      <c r="BP292" s="199">
        <v>47057</v>
      </c>
      <c r="BQ292" s="2" t="s">
        <v>1386</v>
      </c>
    </row>
    <row r="293" spans="1:69" ht="15.75" customHeight="1">
      <c r="A293" s="213" t="s">
        <v>788</v>
      </c>
      <c r="B293" s="58" t="s">
        <v>1346</v>
      </c>
      <c r="C293" s="58" t="s">
        <v>752</v>
      </c>
      <c r="D293" s="214" t="s">
        <v>789</v>
      </c>
      <c r="E293" s="214" t="s">
        <v>789</v>
      </c>
      <c r="F293" s="215" t="s">
        <v>186</v>
      </c>
      <c r="G293" s="216">
        <v>2023</v>
      </c>
      <c r="H293" s="218" t="s">
        <v>825</v>
      </c>
      <c r="I293" s="218" t="s">
        <v>201</v>
      </c>
      <c r="J293" s="217" t="s">
        <v>890</v>
      </c>
      <c r="K293" s="213" t="s">
        <v>753</v>
      </c>
      <c r="L293" s="213" t="s">
        <v>192</v>
      </c>
      <c r="M293" s="219" t="s">
        <v>1390</v>
      </c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>
        <v>29.25</v>
      </c>
      <c r="Z293" s="219"/>
      <c r="AA293" s="219"/>
      <c r="AB293" s="219"/>
      <c r="AC293" s="219"/>
      <c r="AD293" s="219"/>
      <c r="AE293" s="219"/>
      <c r="AF293" s="219"/>
      <c r="AG293" s="219"/>
      <c r="AH293" s="219"/>
      <c r="AI293" s="219"/>
      <c r="AJ293" s="219"/>
      <c r="AK293" s="219">
        <v>1.36</v>
      </c>
      <c r="AL293" s="229">
        <v>0</v>
      </c>
      <c r="AM293" s="219">
        <f t="shared" ref="AM293" si="313">Z293*AL293</f>
        <v>0</v>
      </c>
      <c r="AN293" s="229">
        <v>0</v>
      </c>
      <c r="AO293" s="221">
        <f t="shared" ref="AO293" si="314">AN293*AA293</f>
        <v>0</v>
      </c>
      <c r="AP293" s="222">
        <v>0</v>
      </c>
      <c r="AQ293" s="221">
        <f t="shared" ref="AQ293" si="315">AP293*AB293</f>
        <v>0</v>
      </c>
      <c r="AR293" s="222">
        <v>0</v>
      </c>
      <c r="AS293" s="58">
        <f t="shared" ref="AS293" si="316">AR293*AC293</f>
        <v>0</v>
      </c>
      <c r="AT293" s="222">
        <v>0</v>
      </c>
      <c r="AU293" s="58">
        <f t="shared" ref="AU293" si="317">AT293*AD293</f>
        <v>0</v>
      </c>
      <c r="AV293" s="222">
        <v>0</v>
      </c>
      <c r="AW293" s="58">
        <f t="shared" ref="AW293" si="318">AV293*AE293</f>
        <v>0</v>
      </c>
      <c r="AX293" s="251">
        <v>0</v>
      </c>
      <c r="AY293" s="58">
        <f t="shared" ref="AY293" si="319">AX293*AF293</f>
        <v>0</v>
      </c>
      <c r="AZ293" s="222">
        <v>0</v>
      </c>
      <c r="BA293" s="58">
        <f t="shared" ref="BA293" si="320">AZ293*AG293</f>
        <v>0</v>
      </c>
      <c r="BB293" s="222">
        <v>0</v>
      </c>
      <c r="BC293" s="58">
        <f t="shared" ref="BC293" si="321">BB293*AH293</f>
        <v>0</v>
      </c>
      <c r="BD293" s="222">
        <v>0</v>
      </c>
      <c r="BE293" s="58">
        <f t="shared" ref="BE293" si="322">BD293*AI293</f>
        <v>0</v>
      </c>
      <c r="BF293" s="222">
        <v>0</v>
      </c>
      <c r="BG293" s="58">
        <f t="shared" ref="BG293" si="323">BF293*AJ293</f>
        <v>0</v>
      </c>
      <c r="BH293" s="223">
        <v>3500</v>
      </c>
      <c r="BI293" s="58">
        <f t="shared" ref="BI293" si="324">BH293*AK293</f>
        <v>4760</v>
      </c>
      <c r="BJ293" s="220">
        <f t="shared" ref="BJ293" si="325">BH293+BF293+BD293+BB293+AZ293+AX293+AV293+AT293+AR293+AP293+AN293+AL293</f>
        <v>3500</v>
      </c>
      <c r="BK293" s="58"/>
      <c r="BL293" s="58" t="s">
        <v>1165</v>
      </c>
      <c r="BM293" s="220" t="s">
        <v>1390</v>
      </c>
      <c r="BN293" s="213" t="s">
        <v>763</v>
      </c>
      <c r="BO293" s="58" t="s">
        <v>784</v>
      </c>
      <c r="BP293" s="199">
        <v>47057</v>
      </c>
      <c r="BQ293" s="2" t="s">
        <v>1386</v>
      </c>
    </row>
    <row r="294" spans="1:69" ht="15.75" customHeight="1">
      <c r="A294" s="213" t="s">
        <v>788</v>
      </c>
      <c r="B294" s="58" t="s">
        <v>1346</v>
      </c>
      <c r="C294" s="58" t="s">
        <v>752</v>
      </c>
      <c r="D294" s="214" t="s">
        <v>789</v>
      </c>
      <c r="E294" s="214" t="s">
        <v>789</v>
      </c>
      <c r="F294" s="215" t="s">
        <v>186</v>
      </c>
      <c r="G294" s="216">
        <v>2023</v>
      </c>
      <c r="H294" s="218" t="s">
        <v>825</v>
      </c>
      <c r="I294" s="218" t="s">
        <v>201</v>
      </c>
      <c r="J294" s="217" t="s">
        <v>890</v>
      </c>
      <c r="K294" s="213" t="s">
        <v>753</v>
      </c>
      <c r="L294" s="213" t="s">
        <v>192</v>
      </c>
      <c r="M294" s="219" t="s">
        <v>1388</v>
      </c>
      <c r="N294" s="219">
        <v>29.26</v>
      </c>
      <c r="O294" s="219">
        <v>29.26</v>
      </c>
      <c r="P294" s="219">
        <v>29.26</v>
      </c>
      <c r="Q294" s="219">
        <v>29.26</v>
      </c>
      <c r="R294" s="219">
        <v>29.26</v>
      </c>
      <c r="S294" s="219">
        <v>29.26</v>
      </c>
      <c r="T294" s="219">
        <v>29.26</v>
      </c>
      <c r="U294" s="219">
        <v>29.26</v>
      </c>
      <c r="V294" s="219">
        <v>29.26</v>
      </c>
      <c r="W294" s="219">
        <v>29.26</v>
      </c>
      <c r="X294" s="219">
        <v>29.26</v>
      </c>
      <c r="Y294" s="219">
        <v>29.25</v>
      </c>
      <c r="Z294" s="219">
        <v>1.36</v>
      </c>
      <c r="AA294" s="219">
        <v>1.36</v>
      </c>
      <c r="AB294" s="219">
        <v>1.36</v>
      </c>
      <c r="AC294" s="219">
        <v>1.36</v>
      </c>
      <c r="AD294" s="219">
        <v>1.36</v>
      </c>
      <c r="AE294" s="219">
        <v>1.36</v>
      </c>
      <c r="AF294" s="219">
        <v>1.36</v>
      </c>
      <c r="AG294" s="219">
        <v>1.36</v>
      </c>
      <c r="AH294" s="219">
        <v>1.36</v>
      </c>
      <c r="AI294" s="219">
        <v>1.36</v>
      </c>
      <c r="AJ294" s="219">
        <v>1.36</v>
      </c>
      <c r="AK294" s="219">
        <v>1.36</v>
      </c>
      <c r="AL294" s="229" t="s">
        <v>573</v>
      </c>
      <c r="AM294" s="219">
        <f t="shared" si="110"/>
        <v>0</v>
      </c>
      <c r="AN294" s="229" t="s">
        <v>573</v>
      </c>
      <c r="AO294" s="221">
        <f t="shared" si="111"/>
        <v>0</v>
      </c>
      <c r="AP294" s="222" t="s">
        <v>573</v>
      </c>
      <c r="AQ294" s="221">
        <f t="shared" si="112"/>
        <v>0</v>
      </c>
      <c r="AR294" s="222" t="s">
        <v>573</v>
      </c>
      <c r="AS294" s="58">
        <f t="shared" si="113"/>
        <v>0</v>
      </c>
      <c r="AT294" s="222" t="s">
        <v>573</v>
      </c>
      <c r="AU294" s="58">
        <f t="shared" si="114"/>
        <v>0</v>
      </c>
      <c r="AV294" s="222">
        <v>1040</v>
      </c>
      <c r="AW294" s="58">
        <f t="shared" si="115"/>
        <v>1414.4</v>
      </c>
      <c r="AX294" s="251" t="s">
        <v>573</v>
      </c>
      <c r="AY294" s="58">
        <f t="shared" si="116"/>
        <v>0</v>
      </c>
      <c r="AZ294" s="222" t="s">
        <v>573</v>
      </c>
      <c r="BA294" s="58">
        <f t="shared" si="105"/>
        <v>0</v>
      </c>
      <c r="BB294" s="222" t="s">
        <v>573</v>
      </c>
      <c r="BC294" s="58">
        <f t="shared" si="106"/>
        <v>0</v>
      </c>
      <c r="BD294" s="222">
        <v>1040</v>
      </c>
      <c r="BE294" s="58">
        <f t="shared" si="107"/>
        <v>1414.4</v>
      </c>
      <c r="BF294" s="222" t="s">
        <v>573</v>
      </c>
      <c r="BG294" s="58">
        <f t="shared" si="108"/>
        <v>0</v>
      </c>
      <c r="BH294" s="223">
        <v>1040</v>
      </c>
      <c r="BI294" s="58">
        <f t="shared" si="109"/>
        <v>1414.4</v>
      </c>
      <c r="BJ294" s="220">
        <f t="shared" si="149"/>
        <v>3120</v>
      </c>
      <c r="BK294" s="58"/>
      <c r="BL294" s="58" t="s">
        <v>1119</v>
      </c>
      <c r="BM294" s="220" t="s">
        <v>1388</v>
      </c>
      <c r="BN294" s="213" t="s">
        <v>754</v>
      </c>
      <c r="BO294" s="58" t="s">
        <v>785</v>
      </c>
      <c r="BP294" s="199">
        <v>47057</v>
      </c>
      <c r="BQ294" s="2" t="s">
        <v>1386</v>
      </c>
    </row>
    <row r="295" spans="1:69" ht="15.75" customHeight="1">
      <c r="A295" s="213" t="s">
        <v>788</v>
      </c>
      <c r="B295" s="58" t="s">
        <v>1346</v>
      </c>
      <c r="C295" s="58" t="s">
        <v>752</v>
      </c>
      <c r="D295" s="214" t="s">
        <v>789</v>
      </c>
      <c r="E295" s="214" t="s">
        <v>789</v>
      </c>
      <c r="F295" s="215" t="s">
        <v>186</v>
      </c>
      <c r="G295" s="216">
        <v>2023</v>
      </c>
      <c r="H295" s="218" t="s">
        <v>826</v>
      </c>
      <c r="I295" s="218" t="s">
        <v>780</v>
      </c>
      <c r="J295" s="217" t="s">
        <v>890</v>
      </c>
      <c r="K295" s="213" t="s">
        <v>753</v>
      </c>
      <c r="L295" s="213" t="s">
        <v>192</v>
      </c>
      <c r="M295" s="219" t="s">
        <v>1388</v>
      </c>
      <c r="N295" s="219">
        <v>20.91</v>
      </c>
      <c r="O295" s="219">
        <v>20.91</v>
      </c>
      <c r="P295" s="219">
        <v>20.91</v>
      </c>
      <c r="Q295" s="219">
        <v>20.91</v>
      </c>
      <c r="R295" s="219">
        <v>20.91</v>
      </c>
      <c r="S295" s="219">
        <v>20.91</v>
      </c>
      <c r="T295" s="219">
        <v>20.91</v>
      </c>
      <c r="U295" s="219">
        <v>20.91</v>
      </c>
      <c r="V295" s="219">
        <v>20.91</v>
      </c>
      <c r="W295" s="219">
        <v>20.91</v>
      </c>
      <c r="X295" s="219">
        <v>20.91</v>
      </c>
      <c r="Y295" s="219">
        <v>20.91</v>
      </c>
      <c r="Z295" s="219">
        <v>0.94</v>
      </c>
      <c r="AA295" s="219">
        <v>0.94</v>
      </c>
      <c r="AB295" s="219">
        <v>0.94</v>
      </c>
      <c r="AC295" s="219">
        <v>0.94</v>
      </c>
      <c r="AD295" s="219">
        <v>0.94</v>
      </c>
      <c r="AE295" s="219">
        <v>0.94</v>
      </c>
      <c r="AF295" s="219">
        <v>0.94</v>
      </c>
      <c r="AG295" s="219">
        <v>0.94</v>
      </c>
      <c r="AH295" s="219">
        <v>0.94</v>
      </c>
      <c r="AI295" s="219">
        <v>0.94</v>
      </c>
      <c r="AJ295" s="219">
        <v>0.94</v>
      </c>
      <c r="AK295" s="219">
        <v>0.94</v>
      </c>
      <c r="AL295" s="229" t="s">
        <v>573</v>
      </c>
      <c r="AM295" s="219">
        <f t="shared" si="110"/>
        <v>0</v>
      </c>
      <c r="AN295" s="229" t="s">
        <v>573</v>
      </c>
      <c r="AO295" s="221">
        <f t="shared" si="111"/>
        <v>0</v>
      </c>
      <c r="AP295" s="222" t="s">
        <v>573</v>
      </c>
      <c r="AQ295" s="221">
        <f t="shared" si="112"/>
        <v>0</v>
      </c>
      <c r="AR295" s="222" t="s">
        <v>573</v>
      </c>
      <c r="AS295" s="58">
        <f t="shared" si="113"/>
        <v>0</v>
      </c>
      <c r="AT295" s="222" t="s">
        <v>573</v>
      </c>
      <c r="AU295" s="58">
        <f t="shared" si="114"/>
        <v>0</v>
      </c>
      <c r="AV295" s="222" t="s">
        <v>573</v>
      </c>
      <c r="AW295" s="58">
        <f t="shared" si="115"/>
        <v>0</v>
      </c>
      <c r="AX295" s="251" t="s">
        <v>573</v>
      </c>
      <c r="AY295" s="58">
        <f t="shared" si="116"/>
        <v>0</v>
      </c>
      <c r="AZ295" s="222" t="s">
        <v>573</v>
      </c>
      <c r="BA295" s="58">
        <f t="shared" si="105"/>
        <v>0</v>
      </c>
      <c r="BB295" s="222" t="s">
        <v>573</v>
      </c>
      <c r="BC295" s="58">
        <f t="shared" si="106"/>
        <v>0</v>
      </c>
      <c r="BD295" s="222" t="s">
        <v>573</v>
      </c>
      <c r="BE295" s="58">
        <f t="shared" si="107"/>
        <v>0</v>
      </c>
      <c r="BF295" s="222" t="s">
        <v>573</v>
      </c>
      <c r="BG295" s="58">
        <f t="shared" si="108"/>
        <v>0</v>
      </c>
      <c r="BH295" s="223" t="s">
        <v>573</v>
      </c>
      <c r="BI295" s="58">
        <f t="shared" si="109"/>
        <v>0</v>
      </c>
      <c r="BJ295" s="220">
        <f t="shared" si="149"/>
        <v>0</v>
      </c>
      <c r="BK295" s="58"/>
      <c r="BL295" s="58" t="s">
        <v>1120</v>
      </c>
      <c r="BM295" s="220" t="s">
        <v>1388</v>
      </c>
      <c r="BN295" s="213" t="s">
        <v>197</v>
      </c>
      <c r="BO295" s="58" t="s">
        <v>1201</v>
      </c>
      <c r="BP295" s="199">
        <v>47057</v>
      </c>
      <c r="BQ295" s="2" t="s">
        <v>1386</v>
      </c>
    </row>
    <row r="296" spans="1:69" ht="15.75" customHeight="1">
      <c r="A296" s="213" t="s">
        <v>788</v>
      </c>
      <c r="B296" s="58" t="s">
        <v>1346</v>
      </c>
      <c r="C296" s="58" t="s">
        <v>752</v>
      </c>
      <c r="D296" s="214" t="s">
        <v>789</v>
      </c>
      <c r="E296" s="214" t="s">
        <v>789</v>
      </c>
      <c r="F296" s="215" t="s">
        <v>186</v>
      </c>
      <c r="G296" s="216">
        <v>2023</v>
      </c>
      <c r="H296" s="218" t="s">
        <v>826</v>
      </c>
      <c r="I296" s="218" t="s">
        <v>780</v>
      </c>
      <c r="J296" s="217" t="s">
        <v>890</v>
      </c>
      <c r="K296" s="213" t="s">
        <v>753</v>
      </c>
      <c r="L296" s="213" t="s">
        <v>192</v>
      </c>
      <c r="M296" s="219" t="s">
        <v>1388</v>
      </c>
      <c r="N296" s="219">
        <v>20.91</v>
      </c>
      <c r="O296" s="219">
        <v>20.91</v>
      </c>
      <c r="P296" s="219">
        <v>20.91</v>
      </c>
      <c r="Q296" s="219">
        <v>20.91</v>
      </c>
      <c r="R296" s="219">
        <v>20.91</v>
      </c>
      <c r="S296" s="219">
        <v>20.91</v>
      </c>
      <c r="T296" s="219">
        <v>20.91</v>
      </c>
      <c r="U296" s="219">
        <v>20.91</v>
      </c>
      <c r="V296" s="219">
        <v>20.91</v>
      </c>
      <c r="W296" s="219">
        <v>20.91</v>
      </c>
      <c r="X296" s="219">
        <v>20.91</v>
      </c>
      <c r="Y296" s="219">
        <v>20.91</v>
      </c>
      <c r="Z296" s="219">
        <v>0.94</v>
      </c>
      <c r="AA296" s="219">
        <v>0.94</v>
      </c>
      <c r="AB296" s="219">
        <v>0.94</v>
      </c>
      <c r="AC296" s="219">
        <v>0.94</v>
      </c>
      <c r="AD296" s="219">
        <v>0.94</v>
      </c>
      <c r="AE296" s="219">
        <v>0.94</v>
      </c>
      <c r="AF296" s="219">
        <v>0.94</v>
      </c>
      <c r="AG296" s="219">
        <v>0.94</v>
      </c>
      <c r="AH296" s="219">
        <v>0.94</v>
      </c>
      <c r="AI296" s="219">
        <v>0.94</v>
      </c>
      <c r="AJ296" s="219">
        <v>0.94</v>
      </c>
      <c r="AK296" s="219">
        <v>0.94</v>
      </c>
      <c r="AL296" s="229">
        <v>1200</v>
      </c>
      <c r="AM296" s="219">
        <f t="shared" si="110"/>
        <v>1128</v>
      </c>
      <c r="AN296" s="229" t="s">
        <v>573</v>
      </c>
      <c r="AO296" s="221">
        <f t="shared" si="111"/>
        <v>0</v>
      </c>
      <c r="AP296" s="222" t="s">
        <v>573</v>
      </c>
      <c r="AQ296" s="221">
        <f t="shared" si="112"/>
        <v>0</v>
      </c>
      <c r="AR296" s="222" t="s">
        <v>573</v>
      </c>
      <c r="AS296" s="58">
        <f t="shared" si="113"/>
        <v>0</v>
      </c>
      <c r="AT296" s="222" t="s">
        <v>573</v>
      </c>
      <c r="AU296" s="58">
        <f t="shared" si="114"/>
        <v>0</v>
      </c>
      <c r="AV296" s="222" t="s">
        <v>573</v>
      </c>
      <c r="AW296" s="58">
        <f t="shared" si="115"/>
        <v>0</v>
      </c>
      <c r="AX296" s="251" t="s">
        <v>573</v>
      </c>
      <c r="AY296" s="58">
        <f t="shared" si="116"/>
        <v>0</v>
      </c>
      <c r="AZ296" s="222" t="s">
        <v>573</v>
      </c>
      <c r="BA296" s="58">
        <f t="shared" si="105"/>
        <v>0</v>
      </c>
      <c r="BB296" s="222" t="s">
        <v>573</v>
      </c>
      <c r="BC296" s="58">
        <f t="shared" si="106"/>
        <v>0</v>
      </c>
      <c r="BD296" s="222" t="s">
        <v>573</v>
      </c>
      <c r="BE296" s="58">
        <f t="shared" si="107"/>
        <v>0</v>
      </c>
      <c r="BF296" s="222" t="s">
        <v>573</v>
      </c>
      <c r="BG296" s="58">
        <f t="shared" si="108"/>
        <v>0</v>
      </c>
      <c r="BH296" s="223" t="s">
        <v>573</v>
      </c>
      <c r="BI296" s="58">
        <f t="shared" si="109"/>
        <v>0</v>
      </c>
      <c r="BJ296" s="220">
        <f t="shared" si="149"/>
        <v>1200</v>
      </c>
      <c r="BK296" s="58"/>
      <c r="BL296" s="58" t="s">
        <v>1121</v>
      </c>
      <c r="BM296" s="220" t="s">
        <v>1388</v>
      </c>
      <c r="BN296" s="213" t="s">
        <v>754</v>
      </c>
      <c r="BO296" s="58" t="s">
        <v>1202</v>
      </c>
      <c r="BP296" s="199">
        <v>47057</v>
      </c>
      <c r="BQ296" s="2" t="s">
        <v>1386</v>
      </c>
    </row>
    <row r="297" spans="1:69" ht="15.75" customHeight="1">
      <c r="A297" s="213" t="s">
        <v>788</v>
      </c>
      <c r="B297" s="58" t="s">
        <v>1346</v>
      </c>
      <c r="C297" s="58" t="s">
        <v>752</v>
      </c>
      <c r="D297" s="214" t="s">
        <v>789</v>
      </c>
      <c r="E297" s="214" t="s">
        <v>789</v>
      </c>
      <c r="F297" s="215" t="s">
        <v>186</v>
      </c>
      <c r="G297" s="216">
        <v>2023</v>
      </c>
      <c r="H297" s="218" t="s">
        <v>826</v>
      </c>
      <c r="I297" s="218" t="s">
        <v>780</v>
      </c>
      <c r="J297" s="217" t="s">
        <v>890</v>
      </c>
      <c r="K297" s="213" t="s">
        <v>753</v>
      </c>
      <c r="L297" s="213" t="s">
        <v>192</v>
      </c>
      <c r="M297" s="219" t="s">
        <v>1388</v>
      </c>
      <c r="N297" s="219">
        <v>20.91</v>
      </c>
      <c r="O297" s="219">
        <v>20.91</v>
      </c>
      <c r="P297" s="219">
        <v>20.91</v>
      </c>
      <c r="Q297" s="219">
        <v>20.91</v>
      </c>
      <c r="R297" s="219">
        <v>20.91</v>
      </c>
      <c r="S297" s="219">
        <v>20.91</v>
      </c>
      <c r="T297" s="219">
        <v>20.91</v>
      </c>
      <c r="U297" s="219">
        <v>20.91</v>
      </c>
      <c r="V297" s="219">
        <v>20.91</v>
      </c>
      <c r="W297" s="219">
        <v>20.91</v>
      </c>
      <c r="X297" s="219">
        <v>20.9</v>
      </c>
      <c r="Y297" s="219">
        <v>20.9</v>
      </c>
      <c r="Z297" s="219">
        <v>0.94</v>
      </c>
      <c r="AA297" s="219">
        <v>0.94</v>
      </c>
      <c r="AB297" s="219">
        <v>0.94</v>
      </c>
      <c r="AC297" s="219">
        <v>0.94</v>
      </c>
      <c r="AD297" s="219">
        <v>0.94</v>
      </c>
      <c r="AE297" s="219">
        <v>0.94</v>
      </c>
      <c r="AF297" s="219">
        <v>0.94</v>
      </c>
      <c r="AG297" s="219">
        <v>0.94</v>
      </c>
      <c r="AH297" s="219">
        <v>0.94</v>
      </c>
      <c r="AI297" s="219">
        <v>0.94</v>
      </c>
      <c r="AJ297" s="219">
        <v>0.94</v>
      </c>
      <c r="AK297" s="219">
        <v>0.94</v>
      </c>
      <c r="AL297" s="229">
        <v>1200</v>
      </c>
      <c r="AM297" s="219">
        <f t="shared" si="110"/>
        <v>1128</v>
      </c>
      <c r="AN297" s="229" t="s">
        <v>573</v>
      </c>
      <c r="AO297" s="221">
        <f t="shared" si="111"/>
        <v>0</v>
      </c>
      <c r="AP297" s="222" t="s">
        <v>573</v>
      </c>
      <c r="AQ297" s="221">
        <f t="shared" si="112"/>
        <v>0</v>
      </c>
      <c r="AR297" s="222" t="s">
        <v>573</v>
      </c>
      <c r="AS297" s="58">
        <f t="shared" si="113"/>
        <v>0</v>
      </c>
      <c r="AT297" s="222" t="s">
        <v>573</v>
      </c>
      <c r="AU297" s="58">
        <f t="shared" si="114"/>
        <v>0</v>
      </c>
      <c r="AV297" s="222" t="s">
        <v>573</v>
      </c>
      <c r="AW297" s="58">
        <f t="shared" si="115"/>
        <v>0</v>
      </c>
      <c r="AX297" s="251" t="s">
        <v>573</v>
      </c>
      <c r="AY297" s="58">
        <f t="shared" si="116"/>
        <v>0</v>
      </c>
      <c r="AZ297" s="222" t="s">
        <v>573</v>
      </c>
      <c r="BA297" s="58">
        <f t="shared" si="105"/>
        <v>0</v>
      </c>
      <c r="BB297" s="222" t="s">
        <v>573</v>
      </c>
      <c r="BC297" s="58">
        <f t="shared" si="106"/>
        <v>0</v>
      </c>
      <c r="BD297" s="222" t="s">
        <v>573</v>
      </c>
      <c r="BE297" s="58">
        <f t="shared" si="107"/>
        <v>0</v>
      </c>
      <c r="BF297" s="222">
        <v>1200</v>
      </c>
      <c r="BG297" s="58">
        <f t="shared" si="108"/>
        <v>1128</v>
      </c>
      <c r="BH297" s="223" t="s">
        <v>573</v>
      </c>
      <c r="BI297" s="58">
        <f t="shared" si="109"/>
        <v>0</v>
      </c>
      <c r="BJ297" s="220">
        <f t="shared" si="149"/>
        <v>2400</v>
      </c>
      <c r="BK297" s="58"/>
      <c r="BL297" s="58" t="s">
        <v>1122</v>
      </c>
      <c r="BM297" s="220" t="s">
        <v>1388</v>
      </c>
      <c r="BN297" s="213" t="s">
        <v>1310</v>
      </c>
      <c r="BO297" s="58" t="s">
        <v>1203</v>
      </c>
      <c r="BP297" s="199">
        <v>47057</v>
      </c>
      <c r="BQ297" s="2" t="s">
        <v>1386</v>
      </c>
    </row>
    <row r="298" spans="1:69" ht="15.75" customHeight="1">
      <c r="A298" s="213" t="s">
        <v>788</v>
      </c>
      <c r="B298" s="58" t="s">
        <v>1346</v>
      </c>
      <c r="C298" s="58" t="s">
        <v>752</v>
      </c>
      <c r="D298" s="214" t="s">
        <v>789</v>
      </c>
      <c r="E298" s="214" t="s">
        <v>789</v>
      </c>
      <c r="F298" s="215" t="s">
        <v>186</v>
      </c>
      <c r="G298" s="216">
        <v>2023</v>
      </c>
      <c r="H298" s="218" t="s">
        <v>826</v>
      </c>
      <c r="I298" s="218" t="s">
        <v>780</v>
      </c>
      <c r="J298" s="217" t="s">
        <v>890</v>
      </c>
      <c r="K298" s="213" t="s">
        <v>753</v>
      </c>
      <c r="L298" s="213" t="s">
        <v>192</v>
      </c>
      <c r="M298" s="219" t="s">
        <v>1390</v>
      </c>
      <c r="N298" s="219">
        <v>20.91</v>
      </c>
      <c r="O298" s="219">
        <v>20.91</v>
      </c>
      <c r="P298" s="219">
        <v>20.91</v>
      </c>
      <c r="Q298" s="219">
        <v>20.91</v>
      </c>
      <c r="R298" s="219">
        <v>20.91</v>
      </c>
      <c r="S298" s="219">
        <v>20.91</v>
      </c>
      <c r="T298" s="219">
        <v>20.91</v>
      </c>
      <c r="U298" s="219">
        <v>20.91</v>
      </c>
      <c r="V298" s="219">
        <v>20.91</v>
      </c>
      <c r="W298" s="219">
        <v>20.91</v>
      </c>
      <c r="X298" s="219">
        <v>20.91</v>
      </c>
      <c r="Y298" s="219">
        <v>20.9</v>
      </c>
      <c r="Z298" s="219">
        <v>0.94</v>
      </c>
      <c r="AA298" s="219">
        <v>0.94</v>
      </c>
      <c r="AB298" s="219">
        <v>0.94</v>
      </c>
      <c r="AC298" s="219">
        <v>0.94</v>
      </c>
      <c r="AD298" s="219">
        <v>0.94</v>
      </c>
      <c r="AE298" s="219">
        <v>0.94</v>
      </c>
      <c r="AF298" s="219">
        <v>0.94</v>
      </c>
      <c r="AG298" s="219">
        <v>0.94</v>
      </c>
      <c r="AH298" s="219">
        <v>0.94</v>
      </c>
      <c r="AI298" s="219">
        <v>0.94</v>
      </c>
      <c r="AJ298" s="219">
        <v>0.94</v>
      </c>
      <c r="AK298" s="219">
        <v>0.94</v>
      </c>
      <c r="AL298" s="229">
        <v>1200</v>
      </c>
      <c r="AM298" s="219">
        <f t="shared" si="110"/>
        <v>1128</v>
      </c>
      <c r="AN298" s="229" t="s">
        <v>573</v>
      </c>
      <c r="AO298" s="221">
        <f t="shared" si="111"/>
        <v>0</v>
      </c>
      <c r="AP298" s="222">
        <v>2400</v>
      </c>
      <c r="AQ298" s="221">
        <f t="shared" si="112"/>
        <v>2256</v>
      </c>
      <c r="AR298" s="222" t="s">
        <v>573</v>
      </c>
      <c r="AS298" s="58">
        <f t="shared" si="113"/>
        <v>0</v>
      </c>
      <c r="AT298" s="222" t="s">
        <v>573</v>
      </c>
      <c r="AU298" s="58">
        <f t="shared" si="114"/>
        <v>0</v>
      </c>
      <c r="AV298" s="222" t="s">
        <v>573</v>
      </c>
      <c r="AW298" s="58">
        <f t="shared" si="115"/>
        <v>0</v>
      </c>
      <c r="AX298" s="251" t="s">
        <v>573</v>
      </c>
      <c r="AY298" s="58">
        <f t="shared" si="116"/>
        <v>0</v>
      </c>
      <c r="AZ298" s="222" t="s">
        <v>573</v>
      </c>
      <c r="BA298" s="58">
        <f t="shared" si="105"/>
        <v>0</v>
      </c>
      <c r="BB298" s="222">
        <v>1200</v>
      </c>
      <c r="BC298" s="58">
        <f t="shared" si="106"/>
        <v>1128</v>
      </c>
      <c r="BD298" s="222">
        <v>3600</v>
      </c>
      <c r="BE298" s="58">
        <f t="shared" si="107"/>
        <v>3384</v>
      </c>
      <c r="BF298" s="222" t="s">
        <v>573</v>
      </c>
      <c r="BG298" s="58">
        <f t="shared" si="108"/>
        <v>0</v>
      </c>
      <c r="BH298" s="223">
        <v>2400</v>
      </c>
      <c r="BI298" s="58">
        <f t="shared" si="109"/>
        <v>2256</v>
      </c>
      <c r="BJ298" s="220">
        <f t="shared" si="149"/>
        <v>10800</v>
      </c>
      <c r="BK298" s="58"/>
      <c r="BL298" s="58" t="s">
        <v>1167</v>
      </c>
      <c r="BM298" s="220" t="s">
        <v>1390</v>
      </c>
      <c r="BN298" s="213" t="s">
        <v>763</v>
      </c>
      <c r="BO298" s="58" t="s">
        <v>1166</v>
      </c>
      <c r="BP298" s="199">
        <v>47057</v>
      </c>
      <c r="BQ298" s="2" t="s">
        <v>1386</v>
      </c>
    </row>
    <row r="299" spans="1:69" ht="15.75" customHeight="1">
      <c r="A299" s="213" t="s">
        <v>788</v>
      </c>
      <c r="B299" s="58" t="s">
        <v>1346</v>
      </c>
      <c r="C299" s="58" t="s">
        <v>752</v>
      </c>
      <c r="D299" s="214" t="s">
        <v>789</v>
      </c>
      <c r="E299" s="214" t="s">
        <v>789</v>
      </c>
      <c r="F299" s="215" t="s">
        <v>186</v>
      </c>
      <c r="G299" s="216">
        <v>2023</v>
      </c>
      <c r="H299" s="218" t="s">
        <v>826</v>
      </c>
      <c r="I299" s="218" t="s">
        <v>780</v>
      </c>
      <c r="J299" s="217" t="s">
        <v>890</v>
      </c>
      <c r="K299" s="213" t="s">
        <v>753</v>
      </c>
      <c r="L299" s="213" t="s">
        <v>192</v>
      </c>
      <c r="M299" s="219" t="s">
        <v>1388</v>
      </c>
      <c r="N299" s="219">
        <v>20.91</v>
      </c>
      <c r="O299" s="219">
        <v>20.91</v>
      </c>
      <c r="P299" s="219">
        <v>20.91</v>
      </c>
      <c r="Q299" s="219">
        <v>20.91</v>
      </c>
      <c r="R299" s="219">
        <v>20.91</v>
      </c>
      <c r="S299" s="219">
        <v>20.91</v>
      </c>
      <c r="T299" s="219">
        <v>20.91</v>
      </c>
      <c r="U299" s="219">
        <v>20.91</v>
      </c>
      <c r="V299" s="219">
        <v>20.91</v>
      </c>
      <c r="W299" s="219">
        <v>20.91</v>
      </c>
      <c r="X299" s="219">
        <v>20.91</v>
      </c>
      <c r="Y299" s="219">
        <v>20.91</v>
      </c>
      <c r="Z299" s="219">
        <v>0.94</v>
      </c>
      <c r="AA299" s="219">
        <v>0.94</v>
      </c>
      <c r="AB299" s="219">
        <v>0.94</v>
      </c>
      <c r="AC299" s="219">
        <v>0.94</v>
      </c>
      <c r="AD299" s="219">
        <v>0.94</v>
      </c>
      <c r="AE299" s="219">
        <v>0.94</v>
      </c>
      <c r="AF299" s="219">
        <v>0.94</v>
      </c>
      <c r="AG299" s="219">
        <v>0.94</v>
      </c>
      <c r="AH299" s="219">
        <v>0.94</v>
      </c>
      <c r="AI299" s="219">
        <v>0.94</v>
      </c>
      <c r="AJ299" s="219">
        <v>0.94</v>
      </c>
      <c r="AK299" s="219">
        <v>0.94</v>
      </c>
      <c r="AL299" s="229" t="s">
        <v>573</v>
      </c>
      <c r="AM299" s="219">
        <f t="shared" si="110"/>
        <v>0</v>
      </c>
      <c r="AN299" s="229" t="s">
        <v>573</v>
      </c>
      <c r="AO299" s="221">
        <f t="shared" si="111"/>
        <v>0</v>
      </c>
      <c r="AP299" s="222" t="s">
        <v>573</v>
      </c>
      <c r="AQ299" s="221">
        <f t="shared" si="112"/>
        <v>0</v>
      </c>
      <c r="AR299" s="222" t="s">
        <v>573</v>
      </c>
      <c r="AS299" s="58">
        <f t="shared" si="113"/>
        <v>0</v>
      </c>
      <c r="AT299" s="222" t="s">
        <v>573</v>
      </c>
      <c r="AU299" s="58">
        <f t="shared" si="114"/>
        <v>0</v>
      </c>
      <c r="AV299" s="222" t="s">
        <v>573</v>
      </c>
      <c r="AW299" s="58">
        <f t="shared" si="115"/>
        <v>0</v>
      </c>
      <c r="AX299" s="251" t="s">
        <v>573</v>
      </c>
      <c r="AY299" s="58">
        <f t="shared" si="116"/>
        <v>0</v>
      </c>
      <c r="AZ299" s="222" t="s">
        <v>573</v>
      </c>
      <c r="BA299" s="58">
        <f t="shared" si="105"/>
        <v>0</v>
      </c>
      <c r="BB299" s="222" t="s">
        <v>573</v>
      </c>
      <c r="BC299" s="58">
        <f t="shared" si="106"/>
        <v>0</v>
      </c>
      <c r="BD299" s="222" t="s">
        <v>573</v>
      </c>
      <c r="BE299" s="58">
        <f t="shared" si="107"/>
        <v>0</v>
      </c>
      <c r="BF299" s="222" t="s">
        <v>573</v>
      </c>
      <c r="BG299" s="58">
        <f t="shared" si="108"/>
        <v>0</v>
      </c>
      <c r="BH299" s="223" t="s">
        <v>573</v>
      </c>
      <c r="BI299" s="58">
        <f t="shared" si="109"/>
        <v>0</v>
      </c>
      <c r="BJ299" s="220">
        <f t="shared" si="149"/>
        <v>0</v>
      </c>
      <c r="BK299" s="58"/>
      <c r="BL299" s="58" t="s">
        <v>1123</v>
      </c>
      <c r="BM299" s="220" t="s">
        <v>1388</v>
      </c>
      <c r="BN299" s="213" t="s">
        <v>754</v>
      </c>
      <c r="BO299" s="58" t="s">
        <v>1204</v>
      </c>
      <c r="BP299" s="199">
        <v>47057</v>
      </c>
      <c r="BQ299" s="2" t="s">
        <v>1386</v>
      </c>
    </row>
    <row r="300" spans="1:69" ht="15.75" customHeight="1">
      <c r="A300" s="213" t="s">
        <v>788</v>
      </c>
      <c r="B300" s="58" t="s">
        <v>1346</v>
      </c>
      <c r="C300" s="58" t="s">
        <v>752</v>
      </c>
      <c r="D300" s="214" t="s">
        <v>789</v>
      </c>
      <c r="E300" s="214" t="s">
        <v>789</v>
      </c>
      <c r="F300" s="215" t="s">
        <v>186</v>
      </c>
      <c r="G300" s="216">
        <v>2023</v>
      </c>
      <c r="H300" s="218" t="s">
        <v>826</v>
      </c>
      <c r="I300" s="218" t="s">
        <v>780</v>
      </c>
      <c r="J300" s="217" t="s">
        <v>890</v>
      </c>
      <c r="K300" s="213" t="s">
        <v>753</v>
      </c>
      <c r="L300" s="213" t="s">
        <v>192</v>
      </c>
      <c r="M300" s="219" t="s">
        <v>1388</v>
      </c>
      <c r="N300" s="219">
        <v>20.96</v>
      </c>
      <c r="O300" s="219">
        <v>20.96</v>
      </c>
      <c r="P300" s="219">
        <v>20.96</v>
      </c>
      <c r="Q300" s="219">
        <v>20.96</v>
      </c>
      <c r="R300" s="219">
        <v>20.96</v>
      </c>
      <c r="S300" s="219">
        <v>20.96</v>
      </c>
      <c r="T300" s="219">
        <v>20.96</v>
      </c>
      <c r="U300" s="219">
        <v>20.96</v>
      </c>
      <c r="V300" s="219">
        <v>20.96</v>
      </c>
      <c r="W300" s="219">
        <v>20.96</v>
      </c>
      <c r="X300" s="219">
        <v>20.96</v>
      </c>
      <c r="Y300" s="219">
        <v>20.96</v>
      </c>
      <c r="Z300" s="219">
        <v>0.94</v>
      </c>
      <c r="AA300" s="219">
        <v>0.94</v>
      </c>
      <c r="AB300" s="219">
        <v>0.94</v>
      </c>
      <c r="AC300" s="219">
        <v>0.94</v>
      </c>
      <c r="AD300" s="219">
        <v>0.94</v>
      </c>
      <c r="AE300" s="219">
        <v>0.94</v>
      </c>
      <c r="AF300" s="219">
        <v>0.94</v>
      </c>
      <c r="AG300" s="219">
        <v>0.94</v>
      </c>
      <c r="AH300" s="219">
        <v>0.94</v>
      </c>
      <c r="AI300" s="219">
        <v>0.94</v>
      </c>
      <c r="AJ300" s="219">
        <v>0.94</v>
      </c>
      <c r="AK300" s="219">
        <v>0.94</v>
      </c>
      <c r="AL300" s="229" t="s">
        <v>573</v>
      </c>
      <c r="AM300" s="219">
        <f t="shared" si="110"/>
        <v>0</v>
      </c>
      <c r="AN300" s="229" t="s">
        <v>573</v>
      </c>
      <c r="AO300" s="221">
        <f t="shared" si="111"/>
        <v>0</v>
      </c>
      <c r="AP300" s="222" t="s">
        <v>573</v>
      </c>
      <c r="AQ300" s="221">
        <f t="shared" si="112"/>
        <v>0</v>
      </c>
      <c r="AR300" s="222" t="s">
        <v>573</v>
      </c>
      <c r="AS300" s="58">
        <f t="shared" si="113"/>
        <v>0</v>
      </c>
      <c r="AT300" s="222" t="s">
        <v>573</v>
      </c>
      <c r="AU300" s="58">
        <f t="shared" si="114"/>
        <v>0</v>
      </c>
      <c r="AV300" s="222" t="s">
        <v>573</v>
      </c>
      <c r="AW300" s="58">
        <f t="shared" si="115"/>
        <v>0</v>
      </c>
      <c r="AX300" s="251" t="s">
        <v>573</v>
      </c>
      <c r="AY300" s="58">
        <f t="shared" si="116"/>
        <v>0</v>
      </c>
      <c r="AZ300" s="222" t="s">
        <v>573</v>
      </c>
      <c r="BA300" s="58">
        <f t="shared" si="105"/>
        <v>0</v>
      </c>
      <c r="BB300" s="222" t="s">
        <v>573</v>
      </c>
      <c r="BC300" s="58">
        <f t="shared" si="106"/>
        <v>0</v>
      </c>
      <c r="BD300" s="222" t="s">
        <v>573</v>
      </c>
      <c r="BE300" s="58">
        <f t="shared" si="107"/>
        <v>0</v>
      </c>
      <c r="BF300" s="222" t="s">
        <v>573</v>
      </c>
      <c r="BG300" s="58">
        <f t="shared" si="108"/>
        <v>0</v>
      </c>
      <c r="BH300" s="223" t="s">
        <v>573</v>
      </c>
      <c r="BI300" s="58">
        <f t="shared" si="109"/>
        <v>0</v>
      </c>
      <c r="BJ300" s="220">
        <f t="shared" si="149"/>
        <v>0</v>
      </c>
      <c r="BK300" s="58"/>
      <c r="BL300" s="58" t="s">
        <v>1124</v>
      </c>
      <c r="BM300" s="220" t="s">
        <v>1388</v>
      </c>
      <c r="BN300" s="213" t="s">
        <v>197</v>
      </c>
      <c r="BO300" s="58" t="s">
        <v>1205</v>
      </c>
      <c r="BP300" s="199">
        <v>47057</v>
      </c>
      <c r="BQ300" s="2" t="s">
        <v>1386</v>
      </c>
    </row>
    <row r="301" spans="1:69" ht="15.75" customHeight="1">
      <c r="A301" s="213" t="s">
        <v>788</v>
      </c>
      <c r="B301" s="58" t="s">
        <v>1346</v>
      </c>
      <c r="C301" s="58" t="s">
        <v>752</v>
      </c>
      <c r="D301" s="214" t="s">
        <v>789</v>
      </c>
      <c r="E301" s="214" t="s">
        <v>789</v>
      </c>
      <c r="F301" s="215" t="s">
        <v>186</v>
      </c>
      <c r="G301" s="216">
        <v>2023</v>
      </c>
      <c r="H301" s="218" t="s">
        <v>826</v>
      </c>
      <c r="I301" s="218" t="s">
        <v>780</v>
      </c>
      <c r="J301" s="217" t="s">
        <v>890</v>
      </c>
      <c r="K301" s="213" t="s">
        <v>753</v>
      </c>
      <c r="L301" s="213" t="s">
        <v>192</v>
      </c>
      <c r="M301" s="219" t="s">
        <v>1388</v>
      </c>
      <c r="N301" s="219">
        <v>20.96</v>
      </c>
      <c r="O301" s="219">
        <v>20.96</v>
      </c>
      <c r="P301" s="219">
        <v>20.96</v>
      </c>
      <c r="Q301" s="219">
        <v>20.96</v>
      </c>
      <c r="R301" s="219">
        <v>20.96</v>
      </c>
      <c r="S301" s="219">
        <v>20.96</v>
      </c>
      <c r="T301" s="219">
        <v>20.96</v>
      </c>
      <c r="U301" s="219">
        <v>20.96</v>
      </c>
      <c r="V301" s="219">
        <v>20.96</v>
      </c>
      <c r="W301" s="219">
        <v>20.96</v>
      </c>
      <c r="X301" s="219">
        <v>20.96</v>
      </c>
      <c r="Y301" s="219">
        <v>20.96</v>
      </c>
      <c r="Z301" s="219">
        <v>0.94</v>
      </c>
      <c r="AA301" s="219">
        <v>0.94</v>
      </c>
      <c r="AB301" s="219">
        <v>0.94</v>
      </c>
      <c r="AC301" s="219">
        <v>0.94</v>
      </c>
      <c r="AD301" s="219">
        <v>0.94</v>
      </c>
      <c r="AE301" s="219">
        <v>0.94</v>
      </c>
      <c r="AF301" s="219">
        <v>0.94</v>
      </c>
      <c r="AG301" s="219">
        <v>0.94</v>
      </c>
      <c r="AH301" s="219">
        <v>0.94</v>
      </c>
      <c r="AI301" s="219">
        <v>0.94</v>
      </c>
      <c r="AJ301" s="219">
        <v>0.94</v>
      </c>
      <c r="AK301" s="219">
        <v>0.94</v>
      </c>
      <c r="AL301" s="229">
        <v>1200</v>
      </c>
      <c r="AM301" s="219">
        <f t="shared" si="110"/>
        <v>1128</v>
      </c>
      <c r="AN301" s="229" t="s">
        <v>573</v>
      </c>
      <c r="AO301" s="221">
        <f t="shared" si="111"/>
        <v>0</v>
      </c>
      <c r="AP301" s="222" t="s">
        <v>573</v>
      </c>
      <c r="AQ301" s="221">
        <f t="shared" si="112"/>
        <v>0</v>
      </c>
      <c r="AR301" s="222" t="s">
        <v>573</v>
      </c>
      <c r="AS301" s="58">
        <f t="shared" si="113"/>
        <v>0</v>
      </c>
      <c r="AT301" s="222" t="s">
        <v>573</v>
      </c>
      <c r="AU301" s="58">
        <f t="shared" si="114"/>
        <v>0</v>
      </c>
      <c r="AV301" s="222" t="s">
        <v>573</v>
      </c>
      <c r="AW301" s="58">
        <f t="shared" si="115"/>
        <v>0</v>
      </c>
      <c r="AX301" s="251" t="s">
        <v>573</v>
      </c>
      <c r="AY301" s="58">
        <f t="shared" si="116"/>
        <v>0</v>
      </c>
      <c r="AZ301" s="222" t="s">
        <v>573</v>
      </c>
      <c r="BA301" s="58">
        <f t="shared" si="105"/>
        <v>0</v>
      </c>
      <c r="BB301" s="222" t="s">
        <v>573</v>
      </c>
      <c r="BC301" s="58">
        <f t="shared" si="106"/>
        <v>0</v>
      </c>
      <c r="BD301" s="222" t="s">
        <v>573</v>
      </c>
      <c r="BE301" s="58">
        <f t="shared" si="107"/>
        <v>0</v>
      </c>
      <c r="BF301" s="222" t="s">
        <v>573</v>
      </c>
      <c r="BG301" s="58">
        <f t="shared" si="108"/>
        <v>0</v>
      </c>
      <c r="BH301" s="223" t="s">
        <v>573</v>
      </c>
      <c r="BI301" s="58">
        <f t="shared" si="109"/>
        <v>0</v>
      </c>
      <c r="BJ301" s="220">
        <f t="shared" si="149"/>
        <v>1200</v>
      </c>
      <c r="BK301" s="58"/>
      <c r="BL301" s="58" t="s">
        <v>1125</v>
      </c>
      <c r="BM301" s="220" t="s">
        <v>1388</v>
      </c>
      <c r="BN301" s="213" t="s">
        <v>754</v>
      </c>
      <c r="BO301" s="58" t="s">
        <v>1206</v>
      </c>
      <c r="BP301" s="199">
        <v>47057</v>
      </c>
      <c r="BQ301" s="2" t="s">
        <v>1386</v>
      </c>
    </row>
    <row r="302" spans="1:69" ht="15.75" customHeight="1">
      <c r="A302" s="213" t="s">
        <v>788</v>
      </c>
      <c r="B302" s="58" t="s">
        <v>1346</v>
      </c>
      <c r="C302" s="58" t="s">
        <v>752</v>
      </c>
      <c r="D302" s="214" t="s">
        <v>789</v>
      </c>
      <c r="E302" s="214" t="s">
        <v>789</v>
      </c>
      <c r="F302" s="215" t="s">
        <v>186</v>
      </c>
      <c r="G302" s="216">
        <v>2023</v>
      </c>
      <c r="H302" s="218" t="s">
        <v>826</v>
      </c>
      <c r="I302" s="218" t="s">
        <v>780</v>
      </c>
      <c r="J302" s="217" t="s">
        <v>890</v>
      </c>
      <c r="K302" s="213" t="s">
        <v>753</v>
      </c>
      <c r="L302" s="213" t="s">
        <v>192</v>
      </c>
      <c r="M302" s="219" t="s">
        <v>1388</v>
      </c>
      <c r="N302" s="219">
        <v>20.96</v>
      </c>
      <c r="O302" s="219">
        <v>20.96</v>
      </c>
      <c r="P302" s="219">
        <v>20.96</v>
      </c>
      <c r="Q302" s="219">
        <v>20.96</v>
      </c>
      <c r="R302" s="219">
        <v>20.96</v>
      </c>
      <c r="S302" s="219">
        <v>20.96</v>
      </c>
      <c r="T302" s="219">
        <v>20.96</v>
      </c>
      <c r="U302" s="219">
        <v>20.96</v>
      </c>
      <c r="V302" s="219">
        <v>20.96</v>
      </c>
      <c r="W302" s="219">
        <v>20.96</v>
      </c>
      <c r="X302" s="219">
        <v>20.96</v>
      </c>
      <c r="Y302" s="219">
        <v>20.96</v>
      </c>
      <c r="Z302" s="219">
        <v>0.94</v>
      </c>
      <c r="AA302" s="219">
        <v>0.94</v>
      </c>
      <c r="AB302" s="219">
        <v>0.94</v>
      </c>
      <c r="AC302" s="219">
        <v>0.94</v>
      </c>
      <c r="AD302" s="219">
        <v>0.94</v>
      </c>
      <c r="AE302" s="219">
        <v>0.94</v>
      </c>
      <c r="AF302" s="219">
        <v>0.94</v>
      </c>
      <c r="AG302" s="219">
        <v>0.94</v>
      </c>
      <c r="AH302" s="219">
        <v>0.94</v>
      </c>
      <c r="AI302" s="219">
        <v>0.94</v>
      </c>
      <c r="AJ302" s="219">
        <v>0.94</v>
      </c>
      <c r="AK302" s="219">
        <v>0.94</v>
      </c>
      <c r="AL302" s="229">
        <v>1200</v>
      </c>
      <c r="AM302" s="219">
        <f t="shared" si="110"/>
        <v>1128</v>
      </c>
      <c r="AN302" s="229" t="s">
        <v>573</v>
      </c>
      <c r="AO302" s="221">
        <f t="shared" si="111"/>
        <v>0</v>
      </c>
      <c r="AP302" s="222" t="s">
        <v>573</v>
      </c>
      <c r="AQ302" s="221">
        <f t="shared" si="112"/>
        <v>0</v>
      </c>
      <c r="AR302" s="222" t="s">
        <v>573</v>
      </c>
      <c r="AS302" s="58">
        <f t="shared" si="113"/>
        <v>0</v>
      </c>
      <c r="AT302" s="222" t="s">
        <v>573</v>
      </c>
      <c r="AU302" s="58">
        <f t="shared" si="114"/>
        <v>0</v>
      </c>
      <c r="AV302" s="222" t="s">
        <v>573</v>
      </c>
      <c r="AW302" s="58">
        <f t="shared" si="115"/>
        <v>0</v>
      </c>
      <c r="AX302" s="251" t="s">
        <v>573</v>
      </c>
      <c r="AY302" s="58">
        <f t="shared" si="116"/>
        <v>0</v>
      </c>
      <c r="AZ302" s="222" t="s">
        <v>573</v>
      </c>
      <c r="BA302" s="58">
        <f t="shared" si="105"/>
        <v>0</v>
      </c>
      <c r="BB302" s="222" t="s">
        <v>573</v>
      </c>
      <c r="BC302" s="58">
        <f t="shared" si="106"/>
        <v>0</v>
      </c>
      <c r="BD302" s="222" t="s">
        <v>573</v>
      </c>
      <c r="BE302" s="58">
        <f t="shared" si="107"/>
        <v>0</v>
      </c>
      <c r="BF302" s="222" t="s">
        <v>573</v>
      </c>
      <c r="BG302" s="58">
        <f t="shared" si="108"/>
        <v>0</v>
      </c>
      <c r="BH302" s="223" t="s">
        <v>573</v>
      </c>
      <c r="BI302" s="58">
        <f t="shared" si="109"/>
        <v>0</v>
      </c>
      <c r="BJ302" s="220">
        <f t="shared" si="149"/>
        <v>1200</v>
      </c>
      <c r="BK302" s="58"/>
      <c r="BL302" s="58" t="s">
        <v>1126</v>
      </c>
      <c r="BM302" s="220" t="s">
        <v>1388</v>
      </c>
      <c r="BN302" s="213" t="s">
        <v>1310</v>
      </c>
      <c r="BO302" s="58" t="s">
        <v>1207</v>
      </c>
      <c r="BP302" s="199">
        <v>47057</v>
      </c>
      <c r="BQ302" s="2" t="s">
        <v>1386</v>
      </c>
    </row>
    <row r="303" spans="1:69" ht="15.75" customHeight="1">
      <c r="A303" s="213" t="s">
        <v>788</v>
      </c>
      <c r="B303" s="58" t="s">
        <v>1346</v>
      </c>
      <c r="C303" s="58" t="s">
        <v>752</v>
      </c>
      <c r="D303" s="214" t="s">
        <v>789</v>
      </c>
      <c r="E303" s="214" t="s">
        <v>789</v>
      </c>
      <c r="F303" s="215" t="s">
        <v>186</v>
      </c>
      <c r="G303" s="216">
        <v>2023</v>
      </c>
      <c r="H303" s="218" t="s">
        <v>826</v>
      </c>
      <c r="I303" s="218" t="s">
        <v>780</v>
      </c>
      <c r="J303" s="217" t="s">
        <v>890</v>
      </c>
      <c r="K303" s="213" t="s">
        <v>753</v>
      </c>
      <c r="L303" s="213" t="s">
        <v>192</v>
      </c>
      <c r="M303" s="219" t="s">
        <v>1390</v>
      </c>
      <c r="N303" s="219">
        <v>20.96</v>
      </c>
      <c r="O303" s="219">
        <v>20.96</v>
      </c>
      <c r="P303" s="219">
        <v>20.96</v>
      </c>
      <c r="Q303" s="219">
        <v>20.96</v>
      </c>
      <c r="R303" s="219">
        <v>20.96</v>
      </c>
      <c r="S303" s="219">
        <v>20.96</v>
      </c>
      <c r="T303" s="219">
        <v>20.96</v>
      </c>
      <c r="U303" s="219">
        <v>20.96</v>
      </c>
      <c r="V303" s="219">
        <v>20.96</v>
      </c>
      <c r="W303" s="219">
        <v>20.96</v>
      </c>
      <c r="X303" s="219">
        <v>20.95</v>
      </c>
      <c r="Y303" s="219">
        <v>20.95</v>
      </c>
      <c r="Z303" s="219">
        <v>0.94</v>
      </c>
      <c r="AA303" s="219">
        <v>0.94</v>
      </c>
      <c r="AB303" s="219">
        <v>0.94</v>
      </c>
      <c r="AC303" s="219">
        <v>0.94</v>
      </c>
      <c r="AD303" s="219">
        <v>0.94</v>
      </c>
      <c r="AE303" s="219">
        <v>0.94</v>
      </c>
      <c r="AF303" s="219">
        <v>0.94</v>
      </c>
      <c r="AG303" s="219">
        <v>0.94</v>
      </c>
      <c r="AH303" s="219">
        <v>0.94</v>
      </c>
      <c r="AI303" s="219">
        <v>0.94</v>
      </c>
      <c r="AJ303" s="219">
        <v>0.94</v>
      </c>
      <c r="AK303" s="219">
        <v>0.94</v>
      </c>
      <c r="AL303" s="229" t="s">
        <v>573</v>
      </c>
      <c r="AM303" s="219">
        <f t="shared" si="110"/>
        <v>0</v>
      </c>
      <c r="AN303" s="229">
        <v>2400</v>
      </c>
      <c r="AO303" s="221">
        <f t="shared" si="111"/>
        <v>2256</v>
      </c>
      <c r="AP303" s="222">
        <v>1200</v>
      </c>
      <c r="AQ303" s="221">
        <f t="shared" si="112"/>
        <v>1128</v>
      </c>
      <c r="AR303" s="222">
        <v>1200</v>
      </c>
      <c r="AS303" s="58">
        <f t="shared" si="113"/>
        <v>1128</v>
      </c>
      <c r="AT303" s="222" t="s">
        <v>573</v>
      </c>
      <c r="AU303" s="58">
        <f t="shared" si="114"/>
        <v>0</v>
      </c>
      <c r="AV303" s="222" t="s">
        <v>573</v>
      </c>
      <c r="AW303" s="58">
        <f t="shared" si="115"/>
        <v>0</v>
      </c>
      <c r="AX303" s="251" t="s">
        <v>573</v>
      </c>
      <c r="AY303" s="58">
        <f t="shared" si="116"/>
        <v>0</v>
      </c>
      <c r="AZ303" s="222" t="s">
        <v>573</v>
      </c>
      <c r="BA303" s="58">
        <f t="shared" si="105"/>
        <v>0</v>
      </c>
      <c r="BB303" s="222" t="s">
        <v>573</v>
      </c>
      <c r="BC303" s="58">
        <f t="shared" si="106"/>
        <v>0</v>
      </c>
      <c r="BD303" s="222">
        <v>3600</v>
      </c>
      <c r="BE303" s="58">
        <f t="shared" si="107"/>
        <v>3384</v>
      </c>
      <c r="BF303" s="222">
        <v>2800</v>
      </c>
      <c r="BG303" s="58">
        <f t="shared" si="108"/>
        <v>2632</v>
      </c>
      <c r="BH303" s="223">
        <v>1200</v>
      </c>
      <c r="BI303" s="58">
        <f t="shared" si="109"/>
        <v>1128</v>
      </c>
      <c r="BJ303" s="220">
        <f t="shared" si="149"/>
        <v>12400</v>
      </c>
      <c r="BK303" s="58"/>
      <c r="BL303" s="58" t="s">
        <v>1169</v>
      </c>
      <c r="BM303" s="220" t="s">
        <v>1390</v>
      </c>
      <c r="BN303" s="213" t="s">
        <v>763</v>
      </c>
      <c r="BO303" s="58" t="s">
        <v>1168</v>
      </c>
      <c r="BP303" s="199">
        <v>47057</v>
      </c>
      <c r="BQ303" s="2" t="s">
        <v>1386</v>
      </c>
    </row>
    <row r="304" spans="1:69" ht="15.75" customHeight="1">
      <c r="A304" s="213" t="s">
        <v>788</v>
      </c>
      <c r="B304" s="58" t="s">
        <v>1346</v>
      </c>
      <c r="C304" s="58" t="s">
        <v>752</v>
      </c>
      <c r="D304" s="214" t="s">
        <v>789</v>
      </c>
      <c r="E304" s="214" t="s">
        <v>789</v>
      </c>
      <c r="F304" s="215" t="s">
        <v>186</v>
      </c>
      <c r="G304" s="216">
        <v>2023</v>
      </c>
      <c r="H304" s="218" t="s">
        <v>826</v>
      </c>
      <c r="I304" s="218" t="s">
        <v>780</v>
      </c>
      <c r="J304" s="217" t="s">
        <v>890</v>
      </c>
      <c r="K304" s="213" t="s">
        <v>753</v>
      </c>
      <c r="L304" s="213" t="s">
        <v>192</v>
      </c>
      <c r="M304" s="219" t="s">
        <v>1390</v>
      </c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>
        <v>20.96</v>
      </c>
      <c r="Y304" s="219"/>
      <c r="Z304" s="219"/>
      <c r="AA304" s="219"/>
      <c r="AB304" s="219"/>
      <c r="AC304" s="219"/>
      <c r="AD304" s="219"/>
      <c r="AE304" s="219"/>
      <c r="AF304" s="219"/>
      <c r="AG304" s="219"/>
      <c r="AH304" s="219"/>
      <c r="AI304" s="219"/>
      <c r="AJ304" s="219">
        <v>0.94</v>
      </c>
      <c r="AK304" s="219"/>
      <c r="AL304" s="229" t="s">
        <v>573</v>
      </c>
      <c r="AM304" s="219">
        <f t="shared" ref="AM304" si="326">Z304*AL304</f>
        <v>0</v>
      </c>
      <c r="AN304" s="229">
        <v>0</v>
      </c>
      <c r="AO304" s="221">
        <f t="shared" ref="AO304" si="327">AN304*AA304</f>
        <v>0</v>
      </c>
      <c r="AP304" s="222">
        <v>0</v>
      </c>
      <c r="AQ304" s="221">
        <f t="shared" ref="AQ304" si="328">AP304*AB304</f>
        <v>0</v>
      </c>
      <c r="AR304" s="222">
        <v>0</v>
      </c>
      <c r="AS304" s="58">
        <f t="shared" ref="AS304" si="329">AR304*AC304</f>
        <v>0</v>
      </c>
      <c r="AT304" s="222" t="s">
        <v>573</v>
      </c>
      <c r="AU304" s="58">
        <f t="shared" ref="AU304" si="330">AT304*AD304</f>
        <v>0</v>
      </c>
      <c r="AV304" s="222" t="s">
        <v>573</v>
      </c>
      <c r="AW304" s="58">
        <f t="shared" ref="AW304" si="331">AV304*AE304</f>
        <v>0</v>
      </c>
      <c r="AX304" s="251" t="s">
        <v>573</v>
      </c>
      <c r="AY304" s="58">
        <f t="shared" ref="AY304" si="332">AX304*AF304</f>
        <v>0</v>
      </c>
      <c r="AZ304" s="222" t="s">
        <v>573</v>
      </c>
      <c r="BA304" s="58">
        <f t="shared" ref="BA304" si="333">AZ304*AG304</f>
        <v>0</v>
      </c>
      <c r="BB304" s="222" t="s">
        <v>573</v>
      </c>
      <c r="BC304" s="58">
        <f t="shared" ref="BC304" si="334">BB304*AH304</f>
        <v>0</v>
      </c>
      <c r="BD304" s="222">
        <v>0</v>
      </c>
      <c r="BE304" s="58">
        <f t="shared" ref="BE304" si="335">BD304*AI304</f>
        <v>0</v>
      </c>
      <c r="BF304" s="222">
        <v>2200</v>
      </c>
      <c r="BG304" s="58">
        <f t="shared" ref="BG304" si="336">BF304*AJ304</f>
        <v>2068</v>
      </c>
      <c r="BH304" s="223">
        <v>0</v>
      </c>
      <c r="BI304" s="58">
        <f t="shared" ref="BI304" si="337">BH304*AK304</f>
        <v>0</v>
      </c>
      <c r="BJ304" s="220">
        <f t="shared" ref="BJ304" si="338">BH304+BF304+BD304+BB304+AZ304+AX304+AV304+AT304+AR304+AP304+AN304+AL304</f>
        <v>2200</v>
      </c>
      <c r="BK304" s="58"/>
      <c r="BL304" s="58" t="s">
        <v>1169</v>
      </c>
      <c r="BM304" s="220" t="s">
        <v>1390</v>
      </c>
      <c r="BN304" s="213" t="s">
        <v>763</v>
      </c>
      <c r="BO304" s="58" t="s">
        <v>1168</v>
      </c>
      <c r="BP304" s="199">
        <v>47057</v>
      </c>
      <c r="BQ304" s="2" t="s">
        <v>1386</v>
      </c>
    </row>
    <row r="305" spans="1:69" ht="15.75" customHeight="1">
      <c r="A305" s="213" t="s">
        <v>788</v>
      </c>
      <c r="B305" s="58" t="s">
        <v>1346</v>
      </c>
      <c r="C305" s="58" t="s">
        <v>752</v>
      </c>
      <c r="D305" s="214" t="s">
        <v>789</v>
      </c>
      <c r="E305" s="214" t="s">
        <v>789</v>
      </c>
      <c r="F305" s="215" t="s">
        <v>186</v>
      </c>
      <c r="G305" s="216">
        <v>2023</v>
      </c>
      <c r="H305" s="218" t="s">
        <v>826</v>
      </c>
      <c r="I305" s="218" t="s">
        <v>780</v>
      </c>
      <c r="J305" s="217" t="s">
        <v>890</v>
      </c>
      <c r="K305" s="213" t="s">
        <v>753</v>
      </c>
      <c r="L305" s="213" t="s">
        <v>192</v>
      </c>
      <c r="M305" s="219" t="s">
        <v>1388</v>
      </c>
      <c r="N305" s="219">
        <v>20.96</v>
      </c>
      <c r="O305" s="219">
        <v>20.96</v>
      </c>
      <c r="P305" s="219">
        <v>20.96</v>
      </c>
      <c r="Q305" s="219">
        <v>20.96</v>
      </c>
      <c r="R305" s="219">
        <v>20.96</v>
      </c>
      <c r="S305" s="219">
        <v>20.96</v>
      </c>
      <c r="T305" s="219">
        <v>20.96</v>
      </c>
      <c r="U305" s="219">
        <v>20.96</v>
      </c>
      <c r="V305" s="219">
        <v>20.96</v>
      </c>
      <c r="W305" s="219">
        <v>20.96</v>
      </c>
      <c r="X305" s="219">
        <v>20.96</v>
      </c>
      <c r="Y305" s="219">
        <v>20.96</v>
      </c>
      <c r="Z305" s="219">
        <v>0.94</v>
      </c>
      <c r="AA305" s="219">
        <v>0.94</v>
      </c>
      <c r="AB305" s="219">
        <v>0.94</v>
      </c>
      <c r="AC305" s="219">
        <v>0.94</v>
      </c>
      <c r="AD305" s="219">
        <v>0.94</v>
      </c>
      <c r="AE305" s="219">
        <v>0.94</v>
      </c>
      <c r="AF305" s="219">
        <v>0.94</v>
      </c>
      <c r="AG305" s="219">
        <v>0.94</v>
      </c>
      <c r="AH305" s="219">
        <v>0.94</v>
      </c>
      <c r="AI305" s="219">
        <v>0.94</v>
      </c>
      <c r="AJ305" s="219">
        <v>0.94</v>
      </c>
      <c r="AK305" s="219">
        <v>0.94</v>
      </c>
      <c r="AL305" s="229" t="s">
        <v>573</v>
      </c>
      <c r="AM305" s="219">
        <f t="shared" si="110"/>
        <v>0</v>
      </c>
      <c r="AN305" s="229" t="s">
        <v>573</v>
      </c>
      <c r="AO305" s="221">
        <f t="shared" si="111"/>
        <v>0</v>
      </c>
      <c r="AP305" s="222" t="s">
        <v>573</v>
      </c>
      <c r="AQ305" s="221">
        <f t="shared" si="112"/>
        <v>0</v>
      </c>
      <c r="AR305" s="222" t="s">
        <v>573</v>
      </c>
      <c r="AS305" s="58">
        <f t="shared" si="113"/>
        <v>0</v>
      </c>
      <c r="AT305" s="222" t="s">
        <v>573</v>
      </c>
      <c r="AU305" s="58">
        <f t="shared" si="114"/>
        <v>0</v>
      </c>
      <c r="AV305" s="222" t="s">
        <v>573</v>
      </c>
      <c r="AW305" s="58">
        <f t="shared" si="115"/>
        <v>0</v>
      </c>
      <c r="AX305" s="251" t="s">
        <v>573</v>
      </c>
      <c r="AY305" s="58">
        <f t="shared" si="116"/>
        <v>0</v>
      </c>
      <c r="AZ305" s="222" t="s">
        <v>573</v>
      </c>
      <c r="BA305" s="58">
        <f t="shared" si="105"/>
        <v>0</v>
      </c>
      <c r="BB305" s="222" t="s">
        <v>573</v>
      </c>
      <c r="BC305" s="58">
        <f t="shared" si="106"/>
        <v>0</v>
      </c>
      <c r="BD305" s="222" t="s">
        <v>573</v>
      </c>
      <c r="BE305" s="58">
        <f t="shared" si="107"/>
        <v>0</v>
      </c>
      <c r="BF305" s="222" t="s">
        <v>573</v>
      </c>
      <c r="BG305" s="58">
        <f t="shared" si="108"/>
        <v>0</v>
      </c>
      <c r="BH305" s="223" t="s">
        <v>573</v>
      </c>
      <c r="BI305" s="58">
        <f t="shared" si="109"/>
        <v>0</v>
      </c>
      <c r="BJ305" s="220">
        <f t="shared" si="149"/>
        <v>0</v>
      </c>
      <c r="BK305" s="58"/>
      <c r="BL305" s="58" t="s">
        <v>1127</v>
      </c>
      <c r="BM305" s="220" t="s">
        <v>1388</v>
      </c>
      <c r="BN305" s="213" t="s">
        <v>754</v>
      </c>
      <c r="BO305" s="58" t="s">
        <v>1208</v>
      </c>
      <c r="BP305" s="199">
        <v>47057</v>
      </c>
      <c r="BQ305" s="2" t="s">
        <v>1386</v>
      </c>
    </row>
    <row r="306" spans="1:69" ht="15.75" customHeight="1">
      <c r="A306" s="213" t="s">
        <v>788</v>
      </c>
      <c r="B306" s="58" t="s">
        <v>199</v>
      </c>
      <c r="C306" s="58" t="s">
        <v>752</v>
      </c>
      <c r="D306" s="214" t="s">
        <v>789</v>
      </c>
      <c r="E306" s="214" t="s">
        <v>789</v>
      </c>
      <c r="F306" s="215" t="s">
        <v>186</v>
      </c>
      <c r="G306" s="216">
        <v>2020</v>
      </c>
      <c r="H306" s="218" t="s">
        <v>208</v>
      </c>
      <c r="I306" s="218" t="s">
        <v>201</v>
      </c>
      <c r="J306" s="217" t="s">
        <v>890</v>
      </c>
      <c r="K306" s="213" t="s">
        <v>755</v>
      </c>
      <c r="L306" s="213" t="s">
        <v>192</v>
      </c>
      <c r="M306" s="219" t="s">
        <v>1388</v>
      </c>
      <c r="N306" s="219">
        <v>10.77</v>
      </c>
      <c r="O306" s="219">
        <v>10.77</v>
      </c>
      <c r="P306" s="219">
        <v>10.77</v>
      </c>
      <c r="Q306" s="219">
        <v>10.77</v>
      </c>
      <c r="R306" s="219">
        <v>10.77</v>
      </c>
      <c r="S306" s="219">
        <v>10.77</v>
      </c>
      <c r="T306" s="219">
        <v>10.77</v>
      </c>
      <c r="U306" s="219">
        <v>10.77</v>
      </c>
      <c r="V306" s="219">
        <v>10.77</v>
      </c>
      <c r="W306" s="219">
        <v>10.77</v>
      </c>
      <c r="X306" s="219">
        <v>10.77</v>
      </c>
      <c r="Y306" s="219">
        <v>10.77</v>
      </c>
      <c r="Z306" s="219">
        <v>0.21</v>
      </c>
      <c r="AA306" s="219">
        <v>0.21</v>
      </c>
      <c r="AB306" s="219">
        <v>0.21</v>
      </c>
      <c r="AC306" s="219">
        <v>0.21</v>
      </c>
      <c r="AD306" s="219">
        <v>0.21</v>
      </c>
      <c r="AE306" s="219">
        <v>0.21</v>
      </c>
      <c r="AF306" s="219">
        <v>0.21</v>
      </c>
      <c r="AG306" s="219">
        <v>0.21</v>
      </c>
      <c r="AH306" s="219">
        <v>0.21</v>
      </c>
      <c r="AI306" s="219">
        <v>0.21</v>
      </c>
      <c r="AJ306" s="219">
        <v>0.21</v>
      </c>
      <c r="AK306" s="219">
        <v>0.21</v>
      </c>
      <c r="AL306" s="229">
        <v>2880</v>
      </c>
      <c r="AM306" s="219">
        <f t="shared" si="110"/>
        <v>604.79999999999995</v>
      </c>
      <c r="AN306" s="229" t="s">
        <v>573</v>
      </c>
      <c r="AO306" s="221">
        <f t="shared" si="111"/>
        <v>0</v>
      </c>
      <c r="AP306" s="222" t="s">
        <v>573</v>
      </c>
      <c r="AQ306" s="221">
        <f t="shared" si="112"/>
        <v>0</v>
      </c>
      <c r="AR306" s="222" t="s">
        <v>573</v>
      </c>
      <c r="AS306" s="58">
        <f t="shared" si="113"/>
        <v>0</v>
      </c>
      <c r="AT306" s="222" t="s">
        <v>573</v>
      </c>
      <c r="AU306" s="58">
        <f t="shared" si="114"/>
        <v>0</v>
      </c>
      <c r="AV306" s="222" t="s">
        <v>573</v>
      </c>
      <c r="AW306" s="58">
        <f t="shared" si="115"/>
        <v>0</v>
      </c>
      <c r="AX306" s="251" t="s">
        <v>573</v>
      </c>
      <c r="AY306" s="58">
        <f t="shared" si="116"/>
        <v>0</v>
      </c>
      <c r="AZ306" s="222" t="s">
        <v>573</v>
      </c>
      <c r="BA306" s="58">
        <f t="shared" si="105"/>
        <v>0</v>
      </c>
      <c r="BB306" s="222" t="s">
        <v>573</v>
      </c>
      <c r="BC306" s="58">
        <f t="shared" si="106"/>
        <v>0</v>
      </c>
      <c r="BD306" s="222" t="s">
        <v>573</v>
      </c>
      <c r="BE306" s="58">
        <f t="shared" si="107"/>
        <v>0</v>
      </c>
      <c r="BF306" s="222" t="s">
        <v>573</v>
      </c>
      <c r="BG306" s="58">
        <f t="shared" si="108"/>
        <v>0</v>
      </c>
      <c r="BH306" s="223" t="s">
        <v>573</v>
      </c>
      <c r="BI306" s="58">
        <f t="shared" si="109"/>
        <v>0</v>
      </c>
      <c r="BJ306" s="220">
        <f t="shared" si="149"/>
        <v>2880</v>
      </c>
      <c r="BK306" s="58"/>
      <c r="BL306" s="58" t="s">
        <v>1128</v>
      </c>
      <c r="BM306" s="220" t="s">
        <v>1388</v>
      </c>
      <c r="BN306" s="213" t="s">
        <v>807</v>
      </c>
      <c r="BO306" s="58" t="s">
        <v>827</v>
      </c>
      <c r="BP306" s="199"/>
      <c r="BQ306" s="2" t="s">
        <v>1386</v>
      </c>
    </row>
    <row r="307" spans="1:69" ht="15.75" customHeight="1">
      <c r="A307" s="213" t="s">
        <v>788</v>
      </c>
      <c r="B307" s="58" t="s">
        <v>184</v>
      </c>
      <c r="C307" s="58" t="s">
        <v>752</v>
      </c>
      <c r="D307" s="214" t="s">
        <v>789</v>
      </c>
      <c r="E307" s="214" t="s">
        <v>789</v>
      </c>
      <c r="F307" s="215" t="s">
        <v>186</v>
      </c>
      <c r="G307" s="216">
        <v>2023</v>
      </c>
      <c r="H307" s="218" t="s">
        <v>828</v>
      </c>
      <c r="I307" s="218" t="s">
        <v>196</v>
      </c>
      <c r="J307" s="217" t="s">
        <v>890</v>
      </c>
      <c r="K307" s="213" t="s">
        <v>221</v>
      </c>
      <c r="L307" s="213" t="s">
        <v>192</v>
      </c>
      <c r="M307" s="219" t="s">
        <v>1393</v>
      </c>
      <c r="N307" s="219">
        <v>11.55</v>
      </c>
      <c r="O307" s="219">
        <v>11.55</v>
      </c>
      <c r="P307" s="219">
        <v>11.55</v>
      </c>
      <c r="Q307" s="219">
        <v>11.55</v>
      </c>
      <c r="R307" s="219">
        <v>11.55</v>
      </c>
      <c r="S307" s="219">
        <v>11.55</v>
      </c>
      <c r="T307" s="219">
        <v>11.55</v>
      </c>
      <c r="U307" s="219">
        <v>11.55</v>
      </c>
      <c r="V307" s="219">
        <v>11.55</v>
      </c>
      <c r="W307" s="219">
        <v>11.55</v>
      </c>
      <c r="X307" s="219">
        <v>11.55</v>
      </c>
      <c r="Y307" s="219">
        <v>11.55</v>
      </c>
      <c r="Z307" s="219">
        <v>0.45</v>
      </c>
      <c r="AA307" s="219">
        <v>0.45</v>
      </c>
      <c r="AB307" s="219">
        <v>0.45</v>
      </c>
      <c r="AC307" s="219">
        <v>0.45</v>
      </c>
      <c r="AD307" s="219">
        <v>0.45</v>
      </c>
      <c r="AE307" s="219">
        <v>0.45</v>
      </c>
      <c r="AF307" s="219">
        <v>0.45</v>
      </c>
      <c r="AG307" s="219">
        <v>0.45</v>
      </c>
      <c r="AH307" s="219">
        <v>0.45</v>
      </c>
      <c r="AI307" s="219">
        <v>0.45</v>
      </c>
      <c r="AJ307" s="219">
        <v>0.45</v>
      </c>
      <c r="AK307" s="219">
        <v>0.45</v>
      </c>
      <c r="AL307" s="229" t="s">
        <v>573</v>
      </c>
      <c r="AM307" s="219">
        <f t="shared" ref="AM307" si="339">Z307*AL307</f>
        <v>0</v>
      </c>
      <c r="AN307" s="229">
        <v>1440</v>
      </c>
      <c r="AO307" s="221">
        <f t="shared" ref="AO307" si="340">AN307*AA307</f>
        <v>648</v>
      </c>
      <c r="AP307" s="222" t="s">
        <v>573</v>
      </c>
      <c r="AQ307" s="221">
        <f t="shared" ref="AQ307" si="341">AP307*AB307</f>
        <v>0</v>
      </c>
      <c r="AR307" s="222" t="s">
        <v>573</v>
      </c>
      <c r="AS307" s="58">
        <f t="shared" ref="AS307" si="342">AR307*AC307</f>
        <v>0</v>
      </c>
      <c r="AT307" s="222" t="s">
        <v>573</v>
      </c>
      <c r="AU307" s="58">
        <f t="shared" ref="AU307" si="343">AT307*AD307</f>
        <v>0</v>
      </c>
      <c r="AV307" s="222" t="s">
        <v>573</v>
      </c>
      <c r="AW307" s="58">
        <f t="shared" ref="AW307" si="344">AV307*AE307</f>
        <v>0</v>
      </c>
      <c r="AX307" s="251" t="s">
        <v>573</v>
      </c>
      <c r="AY307" s="58">
        <f t="shared" ref="AY307" si="345">AX307*AF307</f>
        <v>0</v>
      </c>
      <c r="AZ307" s="222" t="s">
        <v>573</v>
      </c>
      <c r="BA307" s="58">
        <f t="shared" si="105"/>
        <v>0</v>
      </c>
      <c r="BB307" s="222" t="s">
        <v>573</v>
      </c>
      <c r="BC307" s="58">
        <f t="shared" si="106"/>
        <v>0</v>
      </c>
      <c r="BD307" s="222" t="s">
        <v>573</v>
      </c>
      <c r="BE307" s="58">
        <f t="shared" si="107"/>
        <v>0</v>
      </c>
      <c r="BF307" s="222" t="s">
        <v>573</v>
      </c>
      <c r="BG307" s="58">
        <f t="shared" si="108"/>
        <v>0</v>
      </c>
      <c r="BH307" s="223" t="s">
        <v>573</v>
      </c>
      <c r="BI307" s="58">
        <f t="shared" si="109"/>
        <v>0</v>
      </c>
      <c r="BJ307" s="220">
        <f t="shared" si="149"/>
        <v>1440</v>
      </c>
      <c r="BK307" s="58"/>
      <c r="BL307" s="58" t="s">
        <v>1170</v>
      </c>
      <c r="BM307" s="220" t="s">
        <v>1393</v>
      </c>
      <c r="BN307" s="213" t="s">
        <v>1347</v>
      </c>
      <c r="BO307" s="58" t="s">
        <v>829</v>
      </c>
      <c r="BP307" s="199"/>
      <c r="BQ307" s="2" t="s">
        <v>1386</v>
      </c>
    </row>
    <row r="308" spans="1:69" ht="15.75" customHeight="1">
      <c r="A308" s="213" t="s">
        <v>788</v>
      </c>
      <c r="B308" s="58" t="s">
        <v>184</v>
      </c>
      <c r="C308" s="58" t="s">
        <v>752</v>
      </c>
      <c r="D308" s="214" t="s">
        <v>789</v>
      </c>
      <c r="E308" s="214" t="s">
        <v>789</v>
      </c>
      <c r="F308" s="215" t="s">
        <v>186</v>
      </c>
      <c r="G308" s="216">
        <v>2023</v>
      </c>
      <c r="H308" s="218" t="s">
        <v>828</v>
      </c>
      <c r="I308" s="218" t="s">
        <v>196</v>
      </c>
      <c r="J308" s="217" t="s">
        <v>890</v>
      </c>
      <c r="K308" s="213" t="s">
        <v>221</v>
      </c>
      <c r="L308" s="213" t="s">
        <v>192</v>
      </c>
      <c r="M308" s="219" t="s">
        <v>1393</v>
      </c>
      <c r="N308" s="219">
        <v>11.55</v>
      </c>
      <c r="O308" s="219">
        <v>11.55</v>
      </c>
      <c r="P308" s="219">
        <v>11.55</v>
      </c>
      <c r="Q308" s="219">
        <v>11.55</v>
      </c>
      <c r="R308" s="219">
        <v>11.55</v>
      </c>
      <c r="S308" s="219">
        <v>11.55</v>
      </c>
      <c r="T308" s="219">
        <v>11.55</v>
      </c>
      <c r="U308" s="219">
        <v>11.55</v>
      </c>
      <c r="V308" s="219">
        <v>11.55</v>
      </c>
      <c r="W308" s="219">
        <v>11.55</v>
      </c>
      <c r="X308" s="219">
        <v>11.55</v>
      </c>
      <c r="Y308" s="219">
        <v>11.55</v>
      </c>
      <c r="Z308" s="219">
        <v>0.45</v>
      </c>
      <c r="AA308" s="219">
        <v>0.45</v>
      </c>
      <c r="AB308" s="219">
        <v>0.45</v>
      </c>
      <c r="AC308" s="219">
        <v>0.45</v>
      </c>
      <c r="AD308" s="219">
        <v>0.45</v>
      </c>
      <c r="AE308" s="219">
        <v>0.45</v>
      </c>
      <c r="AF308" s="219">
        <v>0.45</v>
      </c>
      <c r="AG308" s="219">
        <v>0.45</v>
      </c>
      <c r="AH308" s="219">
        <v>0.45</v>
      </c>
      <c r="AI308" s="219">
        <v>0.45</v>
      </c>
      <c r="AJ308" s="219">
        <v>0.45</v>
      </c>
      <c r="AK308" s="219">
        <v>0.45</v>
      </c>
      <c r="AL308" s="229" t="s">
        <v>573</v>
      </c>
      <c r="AM308" s="219">
        <f t="shared" si="110"/>
        <v>0</v>
      </c>
      <c r="AN308" s="229">
        <v>0</v>
      </c>
      <c r="AO308" s="221">
        <f t="shared" si="111"/>
        <v>0</v>
      </c>
      <c r="AP308" s="222" t="s">
        <v>573</v>
      </c>
      <c r="AQ308" s="221">
        <f t="shared" si="112"/>
        <v>0</v>
      </c>
      <c r="AR308" s="222" t="s">
        <v>573</v>
      </c>
      <c r="AS308" s="58">
        <f t="shared" si="113"/>
        <v>0</v>
      </c>
      <c r="AT308" s="222" t="s">
        <v>573</v>
      </c>
      <c r="AU308" s="58">
        <f t="shared" si="114"/>
        <v>0</v>
      </c>
      <c r="AV308" s="222" t="s">
        <v>573</v>
      </c>
      <c r="AW308" s="58">
        <f t="shared" si="115"/>
        <v>0</v>
      </c>
      <c r="AX308" s="251">
        <v>1440</v>
      </c>
      <c r="AY308" s="58">
        <f t="shared" si="116"/>
        <v>648</v>
      </c>
      <c r="AZ308" s="222" t="s">
        <v>573</v>
      </c>
      <c r="BA308" s="58">
        <f t="shared" si="105"/>
        <v>0</v>
      </c>
      <c r="BB308" s="222" t="s">
        <v>573</v>
      </c>
      <c r="BC308" s="58">
        <f t="shared" si="106"/>
        <v>0</v>
      </c>
      <c r="BD308" s="222" t="s">
        <v>573</v>
      </c>
      <c r="BE308" s="58">
        <f t="shared" si="107"/>
        <v>0</v>
      </c>
      <c r="BF308" s="222" t="s">
        <v>573</v>
      </c>
      <c r="BG308" s="58">
        <f t="shared" si="108"/>
        <v>0</v>
      </c>
      <c r="BH308" s="223" t="s">
        <v>573</v>
      </c>
      <c r="BI308" s="58">
        <f t="shared" si="109"/>
        <v>0</v>
      </c>
      <c r="BJ308" s="220">
        <f t="shared" si="149"/>
        <v>1440</v>
      </c>
      <c r="BK308" s="58"/>
      <c r="BL308" s="58" t="s">
        <v>1335</v>
      </c>
      <c r="BM308" s="220" t="s">
        <v>1393</v>
      </c>
      <c r="BN308" s="213" t="s">
        <v>1347</v>
      </c>
      <c r="BO308" s="58" t="s">
        <v>1336</v>
      </c>
      <c r="BP308" s="199"/>
      <c r="BQ308" s="2" t="s">
        <v>1386</v>
      </c>
    </row>
    <row r="309" spans="1:69" ht="15.75" customHeight="1">
      <c r="A309" s="213" t="s">
        <v>788</v>
      </c>
      <c r="B309" s="58" t="s">
        <v>184</v>
      </c>
      <c r="C309" s="58" t="s">
        <v>752</v>
      </c>
      <c r="D309" s="214" t="s">
        <v>789</v>
      </c>
      <c r="E309" s="214" t="s">
        <v>789</v>
      </c>
      <c r="F309" s="215" t="s">
        <v>186</v>
      </c>
      <c r="G309" s="216">
        <v>2023</v>
      </c>
      <c r="H309" s="218" t="s">
        <v>828</v>
      </c>
      <c r="I309" s="218" t="s">
        <v>196</v>
      </c>
      <c r="J309" s="217" t="s">
        <v>890</v>
      </c>
      <c r="K309" s="213" t="s">
        <v>221</v>
      </c>
      <c r="L309" s="213" t="s">
        <v>192</v>
      </c>
      <c r="M309" s="219" t="s">
        <v>1451</v>
      </c>
      <c r="N309" s="219">
        <v>11.55</v>
      </c>
      <c r="O309" s="219">
        <v>11.55</v>
      </c>
      <c r="P309" s="219">
        <v>11.55</v>
      </c>
      <c r="Q309" s="219">
        <v>11.55</v>
      </c>
      <c r="R309" s="219">
        <v>11.55</v>
      </c>
      <c r="S309" s="219">
        <v>11.55</v>
      </c>
      <c r="T309" s="219">
        <v>11.55</v>
      </c>
      <c r="U309" s="219">
        <v>11.55</v>
      </c>
      <c r="V309" s="219">
        <v>11.55</v>
      </c>
      <c r="W309" s="219">
        <v>11.55</v>
      </c>
      <c r="X309" s="219">
        <v>11.55</v>
      </c>
      <c r="Y309" s="219">
        <v>11.55</v>
      </c>
      <c r="Z309" s="219">
        <v>0.45</v>
      </c>
      <c r="AA309" s="219">
        <v>0.45</v>
      </c>
      <c r="AB309" s="219">
        <v>0.45</v>
      </c>
      <c r="AC309" s="219">
        <v>0.45</v>
      </c>
      <c r="AD309" s="219">
        <v>0.45</v>
      </c>
      <c r="AE309" s="219">
        <v>0.45</v>
      </c>
      <c r="AF309" s="219">
        <v>0.45</v>
      </c>
      <c r="AG309" s="219">
        <v>0.45</v>
      </c>
      <c r="AH309" s="219">
        <v>0.45</v>
      </c>
      <c r="AI309" s="219">
        <v>0.45</v>
      </c>
      <c r="AJ309" s="219">
        <v>0.45</v>
      </c>
      <c r="AK309" s="219">
        <v>0.45</v>
      </c>
      <c r="AL309" s="229" t="s">
        <v>573</v>
      </c>
      <c r="AM309" s="219">
        <f t="shared" ref="AM309" si="346">Z309*AL309</f>
        <v>0</v>
      </c>
      <c r="AN309" s="229">
        <v>0</v>
      </c>
      <c r="AO309" s="221">
        <f t="shared" ref="AO309" si="347">AN309*AA309</f>
        <v>0</v>
      </c>
      <c r="AP309" s="222" t="s">
        <v>573</v>
      </c>
      <c r="AQ309" s="221">
        <f t="shared" ref="AQ309" si="348">AP309*AB309</f>
        <v>0</v>
      </c>
      <c r="AR309" s="222" t="s">
        <v>573</v>
      </c>
      <c r="AS309" s="58">
        <f t="shared" ref="AS309" si="349">AR309*AC309</f>
        <v>0</v>
      </c>
      <c r="AT309" s="222" t="s">
        <v>573</v>
      </c>
      <c r="AU309" s="58">
        <f t="shared" ref="AU309" si="350">AT309*AD309</f>
        <v>0</v>
      </c>
      <c r="AV309" s="222" t="s">
        <v>573</v>
      </c>
      <c r="AW309" s="58">
        <f t="shared" ref="AW309" si="351">AV309*AE309</f>
        <v>0</v>
      </c>
      <c r="AX309" s="251">
        <v>0</v>
      </c>
      <c r="AY309" s="58">
        <f t="shared" ref="AY309" si="352">AX309*AF309</f>
        <v>0</v>
      </c>
      <c r="AZ309" s="222" t="s">
        <v>573</v>
      </c>
      <c r="BA309" s="58">
        <f t="shared" ref="BA309" si="353">AZ309*AG309</f>
        <v>0</v>
      </c>
      <c r="BB309" s="222" t="s">
        <v>573</v>
      </c>
      <c r="BC309" s="58">
        <f t="shared" ref="BC309" si="354">BB309*AH309</f>
        <v>0</v>
      </c>
      <c r="BD309" s="222" t="s">
        <v>573</v>
      </c>
      <c r="BE309" s="58">
        <f t="shared" ref="BE309" si="355">BD309*AI309</f>
        <v>0</v>
      </c>
      <c r="BF309" s="222" t="s">
        <v>573</v>
      </c>
      <c r="BG309" s="58">
        <f t="shared" ref="BG309" si="356">BF309*AJ309</f>
        <v>0</v>
      </c>
      <c r="BH309" s="223">
        <v>1440</v>
      </c>
      <c r="BI309" s="58">
        <f t="shared" ref="BI309" si="357">BH309*AK309</f>
        <v>648</v>
      </c>
      <c r="BJ309" s="220">
        <f t="shared" ref="BJ309" si="358">BH309+BF309+BD309+BB309+AZ309+AX309+AV309+AT309+AR309+AP309+AN309+AL309</f>
        <v>1440</v>
      </c>
      <c r="BK309" s="58"/>
      <c r="BL309" s="58" t="s">
        <v>890</v>
      </c>
      <c r="BM309" s="220" t="s">
        <v>1451</v>
      </c>
      <c r="BN309" s="213" t="s">
        <v>1347</v>
      </c>
      <c r="BO309" s="58" t="s">
        <v>1336</v>
      </c>
      <c r="BP309" s="199"/>
      <c r="BQ309" s="2" t="s">
        <v>1386</v>
      </c>
    </row>
    <row r="310" spans="1:69" ht="15.75" customHeight="1">
      <c r="A310" s="213" t="s">
        <v>788</v>
      </c>
      <c r="B310" s="58" t="s">
        <v>766</v>
      </c>
      <c r="C310" s="58" t="s">
        <v>752</v>
      </c>
      <c r="D310" s="214" t="s">
        <v>789</v>
      </c>
      <c r="E310" s="214" t="s">
        <v>789</v>
      </c>
      <c r="F310" s="215" t="s">
        <v>186</v>
      </c>
      <c r="G310" s="216">
        <v>2023</v>
      </c>
      <c r="H310" s="218" t="s">
        <v>1320</v>
      </c>
      <c r="I310" s="218" t="s">
        <v>212</v>
      </c>
      <c r="J310" s="217" t="s">
        <v>890</v>
      </c>
      <c r="K310" s="213" t="s">
        <v>221</v>
      </c>
      <c r="L310" s="213" t="s">
        <v>192</v>
      </c>
      <c r="M310" s="219" t="s">
        <v>1390</v>
      </c>
      <c r="N310" s="219">
        <v>6.6</v>
      </c>
      <c r="O310" s="219">
        <v>6.6</v>
      </c>
      <c r="P310" s="219">
        <v>6.6</v>
      </c>
      <c r="Q310" s="219">
        <v>6.6</v>
      </c>
      <c r="R310" s="219">
        <v>6.6</v>
      </c>
      <c r="S310" s="219">
        <v>6.6</v>
      </c>
      <c r="T310" s="219">
        <v>6.6</v>
      </c>
      <c r="U310" s="219">
        <v>6.6</v>
      </c>
      <c r="V310" s="219">
        <v>6.6</v>
      </c>
      <c r="W310" s="219">
        <v>6.6</v>
      </c>
      <c r="X310" s="219">
        <v>6.6</v>
      </c>
      <c r="Y310" s="219">
        <v>6.6</v>
      </c>
      <c r="Z310" s="219">
        <v>0.06</v>
      </c>
      <c r="AA310" s="219">
        <v>0.06</v>
      </c>
      <c r="AB310" s="219">
        <v>0.06</v>
      </c>
      <c r="AC310" s="219">
        <v>0.06</v>
      </c>
      <c r="AD310" s="219">
        <v>0.06</v>
      </c>
      <c r="AE310" s="219">
        <v>0.06</v>
      </c>
      <c r="AF310" s="219">
        <v>0.06</v>
      </c>
      <c r="AG310" s="219">
        <v>0.06</v>
      </c>
      <c r="AH310" s="219">
        <v>0.06</v>
      </c>
      <c r="AI310" s="219">
        <v>0.06</v>
      </c>
      <c r="AJ310" s="219">
        <v>0.06</v>
      </c>
      <c r="AK310" s="219">
        <v>0.06</v>
      </c>
      <c r="AL310" s="229" t="s">
        <v>573</v>
      </c>
      <c r="AM310" s="219">
        <f t="shared" si="110"/>
        <v>0</v>
      </c>
      <c r="AN310" s="229" t="s">
        <v>573</v>
      </c>
      <c r="AO310" s="221">
        <f t="shared" si="111"/>
        <v>0</v>
      </c>
      <c r="AP310" s="222" t="s">
        <v>573</v>
      </c>
      <c r="AQ310" s="221">
        <f t="shared" si="112"/>
        <v>0</v>
      </c>
      <c r="AR310" s="222" t="s">
        <v>573</v>
      </c>
      <c r="AS310" s="58">
        <f t="shared" si="113"/>
        <v>0</v>
      </c>
      <c r="AT310" s="222" t="s">
        <v>573</v>
      </c>
      <c r="AU310" s="58">
        <f t="shared" si="114"/>
        <v>0</v>
      </c>
      <c r="AV310" s="222" t="s">
        <v>573</v>
      </c>
      <c r="AW310" s="58">
        <f t="shared" si="115"/>
        <v>0</v>
      </c>
      <c r="AX310" s="251">
        <v>2700</v>
      </c>
      <c r="AY310" s="58">
        <f t="shared" si="116"/>
        <v>162</v>
      </c>
      <c r="AZ310" s="222" t="s">
        <v>573</v>
      </c>
      <c r="BA310" s="58">
        <f t="shared" si="105"/>
        <v>0</v>
      </c>
      <c r="BB310" s="222" t="s">
        <v>573</v>
      </c>
      <c r="BC310" s="58">
        <f t="shared" si="106"/>
        <v>0</v>
      </c>
      <c r="BD310" s="222" t="s">
        <v>573</v>
      </c>
      <c r="BE310" s="58">
        <f t="shared" si="107"/>
        <v>0</v>
      </c>
      <c r="BF310" s="222" t="s">
        <v>573</v>
      </c>
      <c r="BG310" s="58">
        <f t="shared" si="108"/>
        <v>0</v>
      </c>
      <c r="BH310" s="223" t="s">
        <v>573</v>
      </c>
      <c r="BI310" s="58">
        <f t="shared" si="109"/>
        <v>0</v>
      </c>
      <c r="BJ310" s="220">
        <f t="shared" si="149"/>
        <v>2700</v>
      </c>
      <c r="BK310" s="58"/>
      <c r="BL310" s="58" t="s">
        <v>1349</v>
      </c>
      <c r="BM310" s="220" t="s">
        <v>1390</v>
      </c>
      <c r="BN310" s="213" t="s">
        <v>806</v>
      </c>
      <c r="BO310" s="58" t="s">
        <v>1348</v>
      </c>
      <c r="BP310" s="199">
        <v>45961</v>
      </c>
      <c r="BQ310" s="2" t="s">
        <v>1386</v>
      </c>
    </row>
    <row r="311" spans="1:69" ht="15.75" customHeight="1">
      <c r="A311" s="213" t="s">
        <v>788</v>
      </c>
      <c r="B311" s="58" t="s">
        <v>1293</v>
      </c>
      <c r="C311" s="58" t="s">
        <v>752</v>
      </c>
      <c r="D311" s="214" t="s">
        <v>789</v>
      </c>
      <c r="E311" s="214" t="s">
        <v>1294</v>
      </c>
      <c r="F311" s="215" t="s">
        <v>186</v>
      </c>
      <c r="G311" s="216">
        <v>2023</v>
      </c>
      <c r="H311" s="218" t="s">
        <v>825</v>
      </c>
      <c r="I311" s="217" t="s">
        <v>781</v>
      </c>
      <c r="J311" s="217" t="s">
        <v>890</v>
      </c>
      <c r="K311" s="213" t="s">
        <v>753</v>
      </c>
      <c r="L311" s="213" t="s">
        <v>192</v>
      </c>
      <c r="M311" s="219" t="s">
        <v>1393</v>
      </c>
      <c r="N311" s="219">
        <v>31.36</v>
      </c>
      <c r="O311" s="219">
        <v>31.36</v>
      </c>
      <c r="P311" s="219">
        <v>31.36</v>
      </c>
      <c r="Q311" s="219">
        <v>31.36</v>
      </c>
      <c r="R311" s="219">
        <v>31.36</v>
      </c>
      <c r="S311" s="219">
        <v>31.36</v>
      </c>
      <c r="T311" s="219">
        <v>31.36</v>
      </c>
      <c r="U311" s="219">
        <v>31.36</v>
      </c>
      <c r="V311" s="219">
        <v>31.36</v>
      </c>
      <c r="W311" s="219">
        <v>31.36</v>
      </c>
      <c r="X311" s="219">
        <v>31.36</v>
      </c>
      <c r="Y311" s="219">
        <v>31.36</v>
      </c>
      <c r="Z311" s="219"/>
      <c r="AA311" s="219"/>
      <c r="AB311" s="219"/>
      <c r="AC311" s="219"/>
      <c r="AD311" s="219">
        <v>0</v>
      </c>
      <c r="AE311" s="219">
        <v>0</v>
      </c>
      <c r="AF311" s="219">
        <v>0</v>
      </c>
      <c r="AG311" s="219">
        <v>0</v>
      </c>
      <c r="AH311" s="219">
        <v>0</v>
      </c>
      <c r="AI311" s="219">
        <v>0.01</v>
      </c>
      <c r="AJ311" s="219">
        <v>0.01</v>
      </c>
      <c r="AK311" s="219">
        <v>0.01</v>
      </c>
      <c r="AL311" s="229" t="s">
        <v>573</v>
      </c>
      <c r="AM311" s="219">
        <f t="shared" ref="AM311:AM316" si="359">Z311*AL311</f>
        <v>0</v>
      </c>
      <c r="AN311" s="229" t="s">
        <v>573</v>
      </c>
      <c r="AO311" s="221">
        <f t="shared" ref="AO311:AO316" si="360">AN311*AA311</f>
        <v>0</v>
      </c>
      <c r="AP311" s="222" t="s">
        <v>573</v>
      </c>
      <c r="AQ311" s="221">
        <f t="shared" ref="AQ311:AQ316" si="361">AP311*AB311</f>
        <v>0</v>
      </c>
      <c r="AR311" s="222" t="s">
        <v>573</v>
      </c>
      <c r="AS311" s="58">
        <f t="shared" ref="AS311:AS316" si="362">AR311*AC311</f>
        <v>0</v>
      </c>
      <c r="AT311" s="222">
        <v>0</v>
      </c>
      <c r="AU311" s="58">
        <f t="shared" ref="AU311:AU316" si="363">AT311*AD311</f>
        <v>0</v>
      </c>
      <c r="AV311" s="222" t="s">
        <v>573</v>
      </c>
      <c r="AW311" s="58">
        <f t="shared" ref="AW311:AW316" si="364">AV311*AE311</f>
        <v>0</v>
      </c>
      <c r="AX311" s="251">
        <v>10</v>
      </c>
      <c r="AY311" s="58">
        <f t="shared" ref="AY311:AY316" si="365">AX311*AF311</f>
        <v>0</v>
      </c>
      <c r="AZ311" s="222">
        <v>20</v>
      </c>
      <c r="BA311" s="58">
        <f t="shared" si="105"/>
        <v>0</v>
      </c>
      <c r="BB311" s="222">
        <v>340</v>
      </c>
      <c r="BC311" s="58">
        <f t="shared" si="106"/>
        <v>0</v>
      </c>
      <c r="BD311" s="222" t="s">
        <v>573</v>
      </c>
      <c r="BE311" s="58">
        <f t="shared" si="107"/>
        <v>0</v>
      </c>
      <c r="BF311" s="222" t="s">
        <v>573</v>
      </c>
      <c r="BG311" s="58">
        <f t="shared" si="108"/>
        <v>0</v>
      </c>
      <c r="BH311" s="223" t="s">
        <v>573</v>
      </c>
      <c r="BI311" s="58">
        <f t="shared" si="109"/>
        <v>0</v>
      </c>
      <c r="BJ311" s="220">
        <f t="shared" si="149"/>
        <v>370</v>
      </c>
      <c r="BK311" s="58"/>
      <c r="BL311" s="58" t="s">
        <v>1382</v>
      </c>
      <c r="BM311" s="220" t="s">
        <v>1393</v>
      </c>
      <c r="BN311" s="213" t="s">
        <v>1329</v>
      </c>
      <c r="BO311" s="58" t="s">
        <v>1295</v>
      </c>
      <c r="BP311" s="199">
        <v>47057</v>
      </c>
      <c r="BQ311" s="2" t="s">
        <v>1387</v>
      </c>
    </row>
    <row r="312" spans="1:69" ht="15.6" customHeight="1">
      <c r="A312" s="213" t="s">
        <v>788</v>
      </c>
      <c r="B312" s="58" t="s">
        <v>184</v>
      </c>
      <c r="C312" s="58" t="s">
        <v>752</v>
      </c>
      <c r="D312" s="214" t="s">
        <v>789</v>
      </c>
      <c r="E312" s="214" t="s">
        <v>789</v>
      </c>
      <c r="F312" s="215" t="s">
        <v>186</v>
      </c>
      <c r="G312" s="216">
        <v>2016</v>
      </c>
      <c r="H312" s="218" t="s">
        <v>794</v>
      </c>
      <c r="I312" s="218" t="s">
        <v>196</v>
      </c>
      <c r="J312" s="217" t="s">
        <v>890</v>
      </c>
      <c r="K312" s="213" t="s">
        <v>249</v>
      </c>
      <c r="L312" s="213" t="s">
        <v>192</v>
      </c>
      <c r="M312" s="219" t="s">
        <v>1395</v>
      </c>
      <c r="N312" s="219">
        <v>5.29</v>
      </c>
      <c r="O312" s="219">
        <v>5.29</v>
      </c>
      <c r="P312" s="219">
        <v>5.29</v>
      </c>
      <c r="Q312" s="219">
        <v>5.29</v>
      </c>
      <c r="R312" s="219">
        <v>5.29</v>
      </c>
      <c r="S312" s="219">
        <v>5.29</v>
      </c>
      <c r="T312" s="219">
        <v>5.79</v>
      </c>
      <c r="U312" s="219">
        <v>5.29</v>
      </c>
      <c r="V312" s="219">
        <v>5.29</v>
      </c>
      <c r="W312" s="219">
        <v>5.29</v>
      </c>
      <c r="X312" s="219">
        <v>5.29</v>
      </c>
      <c r="Y312" s="219">
        <v>5.29</v>
      </c>
      <c r="Z312" s="219">
        <v>0.05</v>
      </c>
      <c r="AA312" s="219">
        <v>0.05</v>
      </c>
      <c r="AB312" s="219">
        <v>0.05</v>
      </c>
      <c r="AC312" s="219">
        <v>0.05</v>
      </c>
      <c r="AD312" s="219">
        <v>0.05</v>
      </c>
      <c r="AE312" s="219">
        <v>0.05</v>
      </c>
      <c r="AF312" s="219">
        <v>0.05</v>
      </c>
      <c r="AG312" s="219">
        <v>0.05</v>
      </c>
      <c r="AH312" s="219">
        <v>0.05</v>
      </c>
      <c r="AI312" s="219">
        <v>0.05</v>
      </c>
      <c r="AJ312" s="219">
        <v>0.05</v>
      </c>
      <c r="AK312" s="219">
        <v>0.05</v>
      </c>
      <c r="AL312" s="229" t="s">
        <v>573</v>
      </c>
      <c r="AM312" s="219">
        <f t="shared" si="359"/>
        <v>0</v>
      </c>
      <c r="AN312" s="229" t="s">
        <v>573</v>
      </c>
      <c r="AO312" s="221">
        <f t="shared" si="360"/>
        <v>0</v>
      </c>
      <c r="AP312" s="222" t="s">
        <v>573</v>
      </c>
      <c r="AQ312" s="221">
        <f t="shared" si="361"/>
        <v>0</v>
      </c>
      <c r="AR312" s="222" t="s">
        <v>573</v>
      </c>
      <c r="AS312" s="58">
        <f t="shared" si="362"/>
        <v>0</v>
      </c>
      <c r="AT312" s="222" t="s">
        <v>573</v>
      </c>
      <c r="AU312" s="58">
        <f t="shared" si="363"/>
        <v>0</v>
      </c>
      <c r="AV312" s="222" t="s">
        <v>573</v>
      </c>
      <c r="AW312" s="58">
        <f t="shared" si="364"/>
        <v>0</v>
      </c>
      <c r="AX312" s="251">
        <v>1000</v>
      </c>
      <c r="AY312" s="58">
        <f t="shared" si="365"/>
        <v>50</v>
      </c>
      <c r="AZ312" s="222" t="s">
        <v>573</v>
      </c>
      <c r="BA312" s="58">
        <f t="shared" si="105"/>
        <v>0</v>
      </c>
      <c r="BB312" s="222" t="s">
        <v>573</v>
      </c>
      <c r="BC312" s="58">
        <f t="shared" si="106"/>
        <v>0</v>
      </c>
      <c r="BD312" s="222" t="s">
        <v>573</v>
      </c>
      <c r="BE312" s="58">
        <f t="shared" si="107"/>
        <v>0</v>
      </c>
      <c r="BF312" s="222" t="s">
        <v>573</v>
      </c>
      <c r="BG312" s="58">
        <f t="shared" si="108"/>
        <v>0</v>
      </c>
      <c r="BH312" s="223" t="s">
        <v>573</v>
      </c>
      <c r="BI312" s="58">
        <f t="shared" si="109"/>
        <v>0</v>
      </c>
      <c r="BJ312" s="220">
        <f t="shared" si="149"/>
        <v>1000</v>
      </c>
      <c r="BK312" s="58"/>
      <c r="BL312" s="58" t="s">
        <v>1383</v>
      </c>
      <c r="BM312" s="220" t="s">
        <v>1395</v>
      </c>
      <c r="BN312" s="213" t="s">
        <v>1347</v>
      </c>
      <c r="BO312" s="213" t="s">
        <v>1350</v>
      </c>
      <c r="BP312" s="199">
        <v>45657</v>
      </c>
      <c r="BQ312" s="2" t="s">
        <v>1386</v>
      </c>
    </row>
    <row r="313" spans="1:69" ht="15.6" customHeight="1">
      <c r="A313" s="213" t="s">
        <v>788</v>
      </c>
      <c r="B313" s="58" t="s">
        <v>184</v>
      </c>
      <c r="C313" s="58" t="s">
        <v>752</v>
      </c>
      <c r="D313" s="214" t="s">
        <v>789</v>
      </c>
      <c r="E313" s="214" t="s">
        <v>789</v>
      </c>
      <c r="F313" s="215" t="s">
        <v>186</v>
      </c>
      <c r="G313" s="216">
        <v>2016</v>
      </c>
      <c r="H313" s="218" t="s">
        <v>794</v>
      </c>
      <c r="I313" s="218" t="s">
        <v>196</v>
      </c>
      <c r="J313" s="217" t="s">
        <v>890</v>
      </c>
      <c r="K313" s="213" t="s">
        <v>249</v>
      </c>
      <c r="L313" s="213" t="s">
        <v>192</v>
      </c>
      <c r="M313" s="219" t="s">
        <v>1408</v>
      </c>
      <c r="N313" s="219">
        <v>5.29</v>
      </c>
      <c r="O313" s="219">
        <v>5.29</v>
      </c>
      <c r="P313" s="219">
        <v>5.29</v>
      </c>
      <c r="Q313" s="219">
        <v>5.29</v>
      </c>
      <c r="R313" s="219">
        <v>5.29</v>
      </c>
      <c r="S313" s="219">
        <v>5.29</v>
      </c>
      <c r="T313" s="219">
        <v>5.79</v>
      </c>
      <c r="U313" s="219">
        <v>5.29</v>
      </c>
      <c r="V313" s="219">
        <v>5.29</v>
      </c>
      <c r="W313" s="219">
        <v>5.29</v>
      </c>
      <c r="X313" s="219">
        <v>5.29</v>
      </c>
      <c r="Y313" s="219">
        <v>5.29</v>
      </c>
      <c r="Z313" s="219">
        <v>0.05</v>
      </c>
      <c r="AA313" s="219">
        <v>0.05</v>
      </c>
      <c r="AB313" s="219">
        <v>0.05</v>
      </c>
      <c r="AC313" s="219">
        <v>0.05</v>
      </c>
      <c r="AD313" s="219">
        <v>0.05</v>
      </c>
      <c r="AE313" s="219">
        <v>0.05</v>
      </c>
      <c r="AF313" s="219">
        <v>0.05</v>
      </c>
      <c r="AG313" s="219">
        <v>0.05</v>
      </c>
      <c r="AH313" s="219">
        <v>0.05</v>
      </c>
      <c r="AI313" s="219">
        <v>0.05</v>
      </c>
      <c r="AJ313" s="219">
        <v>0.05</v>
      </c>
      <c r="AK313" s="219">
        <v>0.05</v>
      </c>
      <c r="AL313" s="229" t="s">
        <v>573</v>
      </c>
      <c r="AM313" s="219">
        <f t="shared" ref="AM313" si="366">Z313*AL313</f>
        <v>0</v>
      </c>
      <c r="AN313" s="229" t="s">
        <v>573</v>
      </c>
      <c r="AO313" s="221">
        <f t="shared" ref="AO313" si="367">AN313*AA313</f>
        <v>0</v>
      </c>
      <c r="AP313" s="222" t="s">
        <v>573</v>
      </c>
      <c r="AQ313" s="221">
        <f t="shared" ref="AQ313" si="368">AP313*AB313</f>
        <v>0</v>
      </c>
      <c r="AR313" s="222" t="s">
        <v>573</v>
      </c>
      <c r="AS313" s="58">
        <f t="shared" ref="AS313" si="369">AR313*AC313</f>
        <v>0</v>
      </c>
      <c r="AT313" s="222" t="s">
        <v>573</v>
      </c>
      <c r="AU313" s="58">
        <f t="shared" ref="AU313" si="370">AT313*AD313</f>
        <v>0</v>
      </c>
      <c r="AV313" s="222" t="s">
        <v>573</v>
      </c>
      <c r="AW313" s="58">
        <f t="shared" ref="AW313" si="371">AV313*AE313</f>
        <v>0</v>
      </c>
      <c r="AX313" s="251">
        <v>0</v>
      </c>
      <c r="AY313" s="58">
        <f t="shared" ref="AY313" si="372">AX313*AF313</f>
        <v>0</v>
      </c>
      <c r="AZ313" s="222" t="s">
        <v>573</v>
      </c>
      <c r="BA313" s="58">
        <f t="shared" ref="BA313" si="373">AZ313*AG313</f>
        <v>0</v>
      </c>
      <c r="BB313" s="222" t="s">
        <v>573</v>
      </c>
      <c r="BC313" s="58">
        <f t="shared" ref="BC313" si="374">BB313*AH313</f>
        <v>0</v>
      </c>
      <c r="BD313" s="222">
        <v>3600</v>
      </c>
      <c r="BE313" s="58">
        <f t="shared" ref="BE313" si="375">BD313*AI313</f>
        <v>180</v>
      </c>
      <c r="BF313" s="222" t="s">
        <v>573</v>
      </c>
      <c r="BG313" s="58">
        <f t="shared" ref="BG313" si="376">BF313*AJ313</f>
        <v>0</v>
      </c>
      <c r="BH313" s="223" t="s">
        <v>573</v>
      </c>
      <c r="BI313" s="58">
        <f t="shared" ref="BI313" si="377">BH313*AK313</f>
        <v>0</v>
      </c>
      <c r="BJ313" s="220">
        <f t="shared" si="149"/>
        <v>3600</v>
      </c>
      <c r="BK313" s="58"/>
      <c r="BL313" s="58" t="s">
        <v>1431</v>
      </c>
      <c r="BM313" s="220" t="s">
        <v>1408</v>
      </c>
      <c r="BN313" s="213" t="s">
        <v>1347</v>
      </c>
      <c r="BO313" s="213" t="s">
        <v>1350</v>
      </c>
      <c r="BP313" s="199">
        <v>45657</v>
      </c>
      <c r="BQ313" s="2" t="s">
        <v>1386</v>
      </c>
    </row>
    <row r="314" spans="1:69" ht="15.75" customHeight="1">
      <c r="A314" s="213" t="s">
        <v>788</v>
      </c>
      <c r="B314" s="58" t="s">
        <v>184</v>
      </c>
      <c r="C314" s="58" t="s">
        <v>752</v>
      </c>
      <c r="D314" s="214" t="s">
        <v>789</v>
      </c>
      <c r="E314" s="214" t="s">
        <v>789</v>
      </c>
      <c r="F314" s="215" t="s">
        <v>186</v>
      </c>
      <c r="G314" s="216">
        <v>2023</v>
      </c>
      <c r="H314" s="218" t="s">
        <v>824</v>
      </c>
      <c r="I314" s="218" t="s">
        <v>196</v>
      </c>
      <c r="J314" s="217" t="s">
        <v>890</v>
      </c>
      <c r="K314" s="213" t="s">
        <v>753</v>
      </c>
      <c r="L314" s="213" t="s">
        <v>192</v>
      </c>
      <c r="M314" s="219" t="s">
        <v>1393</v>
      </c>
      <c r="N314" s="219">
        <v>11.55</v>
      </c>
      <c r="O314" s="219">
        <v>11.55</v>
      </c>
      <c r="P314" s="219">
        <v>11.55</v>
      </c>
      <c r="Q314" s="219">
        <v>11.55</v>
      </c>
      <c r="R314" s="219">
        <v>11.55</v>
      </c>
      <c r="S314" s="219">
        <v>11.55</v>
      </c>
      <c r="T314" s="219">
        <v>11.55</v>
      </c>
      <c r="U314" s="219">
        <v>11.55</v>
      </c>
      <c r="V314" s="219">
        <v>11.55</v>
      </c>
      <c r="W314" s="219">
        <v>11.55</v>
      </c>
      <c r="X314" s="219">
        <v>11.55</v>
      </c>
      <c r="Y314" s="219">
        <v>11.55</v>
      </c>
      <c r="Z314" s="219">
        <v>0.45</v>
      </c>
      <c r="AA314" s="219">
        <v>0.45</v>
      </c>
      <c r="AB314" s="219">
        <v>0.45</v>
      </c>
      <c r="AC314" s="219">
        <v>0.45</v>
      </c>
      <c r="AD314" s="219">
        <v>0.45</v>
      </c>
      <c r="AE314" s="219">
        <v>0.45</v>
      </c>
      <c r="AF314" s="219">
        <v>0.45</v>
      </c>
      <c r="AG314" s="219">
        <v>0.45</v>
      </c>
      <c r="AH314" s="219">
        <v>0.45</v>
      </c>
      <c r="AI314" s="219">
        <v>0.45</v>
      </c>
      <c r="AJ314" s="219">
        <v>0.45</v>
      </c>
      <c r="AK314" s="219">
        <v>0.45</v>
      </c>
      <c r="AL314" s="229" t="s">
        <v>573</v>
      </c>
      <c r="AM314" s="219">
        <f t="shared" si="359"/>
        <v>0</v>
      </c>
      <c r="AN314" s="229" t="s">
        <v>573</v>
      </c>
      <c r="AO314" s="221">
        <f t="shared" si="360"/>
        <v>0</v>
      </c>
      <c r="AP314" s="222" t="s">
        <v>573</v>
      </c>
      <c r="AQ314" s="221">
        <f t="shared" si="361"/>
        <v>0</v>
      </c>
      <c r="AR314" s="222" t="s">
        <v>573</v>
      </c>
      <c r="AS314" s="58">
        <f t="shared" si="362"/>
        <v>0</v>
      </c>
      <c r="AT314" s="222" t="s">
        <v>573</v>
      </c>
      <c r="AU314" s="58">
        <f t="shared" si="363"/>
        <v>0</v>
      </c>
      <c r="AV314" s="222" t="s">
        <v>573</v>
      </c>
      <c r="AW314" s="58">
        <f t="shared" si="364"/>
        <v>0</v>
      </c>
      <c r="AX314" s="251" t="s">
        <v>573</v>
      </c>
      <c r="AY314" s="58">
        <f t="shared" si="365"/>
        <v>0</v>
      </c>
      <c r="AZ314" s="222">
        <v>1440</v>
      </c>
      <c r="BA314" s="58">
        <f t="shared" si="105"/>
        <v>648</v>
      </c>
      <c r="BB314" s="222" t="s">
        <v>573</v>
      </c>
      <c r="BC314" s="58">
        <f t="shared" si="106"/>
        <v>0</v>
      </c>
      <c r="BD314" s="222" t="s">
        <v>573</v>
      </c>
      <c r="BE314" s="58">
        <f t="shared" si="107"/>
        <v>0</v>
      </c>
      <c r="BF314" s="222" t="s">
        <v>573</v>
      </c>
      <c r="BG314" s="58">
        <f t="shared" si="108"/>
        <v>0</v>
      </c>
      <c r="BH314" s="223" t="s">
        <v>573</v>
      </c>
      <c r="BI314" s="58">
        <f t="shared" si="109"/>
        <v>0</v>
      </c>
      <c r="BJ314" s="220">
        <f t="shared" si="149"/>
        <v>1440</v>
      </c>
      <c r="BK314" s="58"/>
      <c r="BL314" s="58" t="s">
        <v>1352</v>
      </c>
      <c r="BM314" s="220" t="s">
        <v>1393</v>
      </c>
      <c r="BN314" s="213" t="s">
        <v>1347</v>
      </c>
      <c r="BO314" s="58" t="s">
        <v>1351</v>
      </c>
      <c r="BP314" s="199">
        <v>46965</v>
      </c>
      <c r="BQ314" s="2" t="s">
        <v>1386</v>
      </c>
    </row>
    <row r="315" spans="1:69" ht="15.75" customHeight="1">
      <c r="A315" s="213" t="s">
        <v>788</v>
      </c>
      <c r="B315" s="58" t="s">
        <v>184</v>
      </c>
      <c r="C315" s="58" t="s">
        <v>752</v>
      </c>
      <c r="D315" s="214" t="s">
        <v>789</v>
      </c>
      <c r="E315" s="214" t="s">
        <v>789</v>
      </c>
      <c r="F315" s="215" t="s">
        <v>186</v>
      </c>
      <c r="G315" s="216">
        <v>2023</v>
      </c>
      <c r="H315" s="218" t="s">
        <v>824</v>
      </c>
      <c r="I315" s="218" t="s">
        <v>196</v>
      </c>
      <c r="J315" s="217" t="s">
        <v>890</v>
      </c>
      <c r="K315" s="213" t="s">
        <v>753</v>
      </c>
      <c r="L315" s="213" t="s">
        <v>192</v>
      </c>
      <c r="M315" s="219" t="s">
        <v>1408</v>
      </c>
      <c r="N315" s="219">
        <v>11.55</v>
      </c>
      <c r="O315" s="219">
        <v>11.55</v>
      </c>
      <c r="P315" s="219">
        <v>11.55</v>
      </c>
      <c r="Q315" s="219">
        <v>11.55</v>
      </c>
      <c r="R315" s="219">
        <v>11.55</v>
      </c>
      <c r="S315" s="219">
        <v>11.55</v>
      </c>
      <c r="T315" s="219">
        <v>11.55</v>
      </c>
      <c r="U315" s="219">
        <v>11.55</v>
      </c>
      <c r="V315" s="219">
        <v>11.55</v>
      </c>
      <c r="W315" s="219">
        <v>11.55</v>
      </c>
      <c r="X315" s="219">
        <v>11.55</v>
      </c>
      <c r="Y315" s="219">
        <v>11.55</v>
      </c>
      <c r="Z315" s="219">
        <v>0.45</v>
      </c>
      <c r="AA315" s="219">
        <v>0.45</v>
      </c>
      <c r="AB315" s="219">
        <v>0.45</v>
      </c>
      <c r="AC315" s="219">
        <v>0.45</v>
      </c>
      <c r="AD315" s="219">
        <v>0.45</v>
      </c>
      <c r="AE315" s="219">
        <v>0.45</v>
      </c>
      <c r="AF315" s="219">
        <v>0.45</v>
      </c>
      <c r="AG315" s="219">
        <v>0.45</v>
      </c>
      <c r="AH315" s="219">
        <v>0.45</v>
      </c>
      <c r="AI315" s="219">
        <v>0.45</v>
      </c>
      <c r="AJ315" s="219">
        <v>0.45</v>
      </c>
      <c r="AK315" s="219">
        <v>0.45</v>
      </c>
      <c r="AL315" s="229" t="s">
        <v>573</v>
      </c>
      <c r="AM315" s="219">
        <f t="shared" ref="AM315" si="378">Z315*AL315</f>
        <v>0</v>
      </c>
      <c r="AN315" s="229" t="s">
        <v>573</v>
      </c>
      <c r="AO315" s="221">
        <f t="shared" ref="AO315" si="379">AN315*AA315</f>
        <v>0</v>
      </c>
      <c r="AP315" s="222" t="s">
        <v>573</v>
      </c>
      <c r="AQ315" s="221">
        <f t="shared" ref="AQ315" si="380">AP315*AB315</f>
        <v>0</v>
      </c>
      <c r="AR315" s="222" t="s">
        <v>573</v>
      </c>
      <c r="AS315" s="58">
        <f t="shared" ref="AS315" si="381">AR315*AC315</f>
        <v>0</v>
      </c>
      <c r="AT315" s="222" t="s">
        <v>573</v>
      </c>
      <c r="AU315" s="58">
        <f t="shared" ref="AU315" si="382">AT315*AD315</f>
        <v>0</v>
      </c>
      <c r="AV315" s="222" t="s">
        <v>573</v>
      </c>
      <c r="AW315" s="58">
        <f t="shared" ref="AW315" si="383">AV315*AE315</f>
        <v>0</v>
      </c>
      <c r="AX315" s="251" t="s">
        <v>573</v>
      </c>
      <c r="AY315" s="58">
        <f t="shared" ref="AY315" si="384">AX315*AF315</f>
        <v>0</v>
      </c>
      <c r="AZ315" s="222">
        <v>0</v>
      </c>
      <c r="BA315" s="58">
        <f t="shared" ref="BA315" si="385">AZ315*AG315</f>
        <v>0</v>
      </c>
      <c r="BB315" s="222">
        <v>0</v>
      </c>
      <c r="BC315" s="58">
        <f t="shared" ref="BC315" si="386">BB315*AH315</f>
        <v>0</v>
      </c>
      <c r="BD315" s="222">
        <v>1440</v>
      </c>
      <c r="BE315" s="58">
        <f t="shared" ref="BE315" si="387">BD315*AI315</f>
        <v>648</v>
      </c>
      <c r="BF315" s="222" t="s">
        <v>573</v>
      </c>
      <c r="BG315" s="58">
        <f t="shared" ref="BG315" si="388">BF315*AJ315</f>
        <v>0</v>
      </c>
      <c r="BH315" s="223" t="s">
        <v>573</v>
      </c>
      <c r="BI315" s="58">
        <f t="shared" ref="BI315" si="389">BH315*AK315</f>
        <v>0</v>
      </c>
      <c r="BJ315" s="220">
        <f t="shared" si="149"/>
        <v>1440</v>
      </c>
      <c r="BK315" s="58"/>
      <c r="BL315" s="58" t="s">
        <v>1431</v>
      </c>
      <c r="BM315" s="220" t="s">
        <v>1408</v>
      </c>
      <c r="BN315" s="213" t="s">
        <v>1347</v>
      </c>
      <c r="BO315" s="58" t="s">
        <v>1351</v>
      </c>
      <c r="BP315" s="199">
        <v>46965</v>
      </c>
      <c r="BQ315" s="2" t="s">
        <v>1386</v>
      </c>
    </row>
    <row r="316" spans="1:69" ht="15.75" customHeight="1">
      <c r="A316" s="213" t="s">
        <v>788</v>
      </c>
      <c r="B316" s="58" t="s">
        <v>1293</v>
      </c>
      <c r="C316" s="58" t="s">
        <v>752</v>
      </c>
      <c r="D316" s="214" t="s">
        <v>789</v>
      </c>
      <c r="E316" s="214" t="s">
        <v>1294</v>
      </c>
      <c r="F316" s="215" t="s">
        <v>186</v>
      </c>
      <c r="G316" s="216">
        <v>2023</v>
      </c>
      <c r="H316" s="218" t="s">
        <v>825</v>
      </c>
      <c r="I316" s="217" t="s">
        <v>781</v>
      </c>
      <c r="J316" s="217" t="s">
        <v>890</v>
      </c>
      <c r="K316" s="213" t="s">
        <v>753</v>
      </c>
      <c r="L316" s="213" t="s">
        <v>192</v>
      </c>
      <c r="M316" s="219" t="s">
        <v>1392</v>
      </c>
      <c r="N316" s="219"/>
      <c r="O316" s="219"/>
      <c r="P316" s="219"/>
      <c r="Q316" s="219"/>
      <c r="R316" s="219">
        <v>31.36</v>
      </c>
      <c r="S316" s="219">
        <v>31.36</v>
      </c>
      <c r="T316" s="219">
        <v>31.36</v>
      </c>
      <c r="U316" s="219">
        <v>31.36</v>
      </c>
      <c r="V316" s="219">
        <v>31.36</v>
      </c>
      <c r="W316" s="219">
        <v>31.36</v>
      </c>
      <c r="X316" s="219">
        <v>31.36</v>
      </c>
      <c r="Y316" s="219">
        <v>31.36</v>
      </c>
      <c r="Z316" s="219"/>
      <c r="AA316" s="219"/>
      <c r="AB316" s="219"/>
      <c r="AC316" s="219"/>
      <c r="AD316" s="219">
        <v>0</v>
      </c>
      <c r="AE316" s="219">
        <v>0</v>
      </c>
      <c r="AF316" s="219">
        <v>0</v>
      </c>
      <c r="AG316" s="219">
        <v>0</v>
      </c>
      <c r="AH316" s="219">
        <v>0</v>
      </c>
      <c r="AI316" s="219">
        <v>0.01</v>
      </c>
      <c r="AJ316" s="219">
        <v>0.01</v>
      </c>
      <c r="AK316" s="219">
        <v>0.01</v>
      </c>
      <c r="AL316" s="229" t="s">
        <v>573</v>
      </c>
      <c r="AM316" s="219">
        <f t="shared" si="359"/>
        <v>0</v>
      </c>
      <c r="AN316" s="229" t="s">
        <v>573</v>
      </c>
      <c r="AO316" s="221">
        <f t="shared" si="360"/>
        <v>0</v>
      </c>
      <c r="AP316" s="222" t="s">
        <v>573</v>
      </c>
      <c r="AQ316" s="221">
        <f t="shared" si="361"/>
        <v>0</v>
      </c>
      <c r="AR316" s="222" t="s">
        <v>573</v>
      </c>
      <c r="AS316" s="58">
        <f t="shared" si="362"/>
        <v>0</v>
      </c>
      <c r="AT316" s="222">
        <v>0</v>
      </c>
      <c r="AU316" s="58">
        <f t="shared" si="363"/>
        <v>0</v>
      </c>
      <c r="AV316" s="222">
        <v>0</v>
      </c>
      <c r="AW316" s="58">
        <f t="shared" si="364"/>
        <v>0</v>
      </c>
      <c r="AX316" s="251" t="s">
        <v>573</v>
      </c>
      <c r="AY316" s="58">
        <f t="shared" si="365"/>
        <v>0</v>
      </c>
      <c r="AZ316" s="222">
        <v>880</v>
      </c>
      <c r="BA316" s="58">
        <f t="shared" si="105"/>
        <v>0</v>
      </c>
      <c r="BB316" s="222" t="s">
        <v>573</v>
      </c>
      <c r="BC316" s="58">
        <f t="shared" si="106"/>
        <v>0</v>
      </c>
      <c r="BD316" s="222" t="s">
        <v>573</v>
      </c>
      <c r="BE316" s="58">
        <f t="shared" si="107"/>
        <v>0</v>
      </c>
      <c r="BF316" s="222" t="s">
        <v>573</v>
      </c>
      <c r="BG316" s="58">
        <f t="shared" si="108"/>
        <v>0</v>
      </c>
      <c r="BH316" s="223" t="s">
        <v>573</v>
      </c>
      <c r="BI316" s="58">
        <f t="shared" si="109"/>
        <v>0</v>
      </c>
      <c r="BJ316" s="220">
        <f t="shared" si="149"/>
        <v>880</v>
      </c>
      <c r="BK316" s="58"/>
      <c r="BL316" s="58" t="s">
        <v>1353</v>
      </c>
      <c r="BM316" s="220" t="s">
        <v>1392</v>
      </c>
      <c r="BN316" s="213" t="s">
        <v>1329</v>
      </c>
      <c r="BO316" s="58" t="s">
        <v>1328</v>
      </c>
      <c r="BP316" s="199">
        <v>47057</v>
      </c>
      <c r="BQ316" s="2" t="s">
        <v>1387</v>
      </c>
    </row>
    <row r="317" spans="1:69" ht="15.75" customHeight="1">
      <c r="A317" s="213" t="s">
        <v>788</v>
      </c>
      <c r="B317" s="58" t="s">
        <v>1293</v>
      </c>
      <c r="C317" s="58" t="s">
        <v>752</v>
      </c>
      <c r="D317" s="214" t="s">
        <v>789</v>
      </c>
      <c r="E317" s="214" t="s">
        <v>1294</v>
      </c>
      <c r="F317" s="215" t="s">
        <v>186</v>
      </c>
      <c r="G317" s="216">
        <v>2023</v>
      </c>
      <c r="H317" s="218" t="s">
        <v>825</v>
      </c>
      <c r="I317" s="217" t="s">
        <v>781</v>
      </c>
      <c r="J317" s="217" t="s">
        <v>890</v>
      </c>
      <c r="K317" s="213" t="s">
        <v>753</v>
      </c>
      <c r="L317" s="213" t="s">
        <v>192</v>
      </c>
      <c r="M317" s="219" t="s">
        <v>1392</v>
      </c>
      <c r="N317" s="219"/>
      <c r="O317" s="219"/>
      <c r="P317" s="219"/>
      <c r="Q317" s="219"/>
      <c r="R317" s="219">
        <v>31.36</v>
      </c>
      <c r="S317" s="219">
        <v>31.36</v>
      </c>
      <c r="T317" s="219">
        <v>31.36</v>
      </c>
      <c r="U317" s="219">
        <v>31.36</v>
      </c>
      <c r="V317" s="219">
        <v>31.36</v>
      </c>
      <c r="W317" s="219">
        <v>31.36</v>
      </c>
      <c r="X317" s="219">
        <v>31.36</v>
      </c>
      <c r="Y317" s="219">
        <v>31.36</v>
      </c>
      <c r="Z317" s="219"/>
      <c r="AA317" s="219"/>
      <c r="AB317" s="219"/>
      <c r="AC317" s="219"/>
      <c r="AD317" s="219">
        <v>0</v>
      </c>
      <c r="AE317" s="219">
        <v>0</v>
      </c>
      <c r="AF317" s="219">
        <v>0</v>
      </c>
      <c r="AG317" s="219">
        <v>0</v>
      </c>
      <c r="AH317" s="219">
        <v>0</v>
      </c>
      <c r="AI317" s="219">
        <v>0.01</v>
      </c>
      <c r="AJ317" s="219">
        <v>0.01</v>
      </c>
      <c r="AK317" s="219">
        <v>0.01</v>
      </c>
      <c r="AL317" s="229" t="s">
        <v>573</v>
      </c>
      <c r="AM317" s="219">
        <f t="shared" ref="AM317" si="390">Z317*AL317</f>
        <v>0</v>
      </c>
      <c r="AN317" s="229" t="s">
        <v>573</v>
      </c>
      <c r="AO317" s="221">
        <f t="shared" ref="AO317" si="391">AN317*AA317</f>
        <v>0</v>
      </c>
      <c r="AP317" s="222" t="s">
        <v>573</v>
      </c>
      <c r="AQ317" s="221">
        <f t="shared" ref="AQ317" si="392">AP317*AB317</f>
        <v>0</v>
      </c>
      <c r="AR317" s="222" t="s">
        <v>573</v>
      </c>
      <c r="AS317" s="58">
        <f t="shared" ref="AS317" si="393">AR317*AC317</f>
        <v>0</v>
      </c>
      <c r="AT317" s="222">
        <v>0</v>
      </c>
      <c r="AU317" s="58">
        <f t="shared" ref="AU317" si="394">AT317*AD317</f>
        <v>0</v>
      </c>
      <c r="AV317" s="222">
        <v>0</v>
      </c>
      <c r="AW317" s="58">
        <f t="shared" ref="AW317" si="395">AV317*AE317</f>
        <v>0</v>
      </c>
      <c r="AX317" s="251" t="s">
        <v>573</v>
      </c>
      <c r="AY317" s="58">
        <f t="shared" ref="AY317" si="396">AX317*AF317</f>
        <v>0</v>
      </c>
      <c r="AZ317" s="222">
        <v>360</v>
      </c>
      <c r="BA317" s="58">
        <f t="shared" si="105"/>
        <v>0</v>
      </c>
      <c r="BB317" s="222" t="s">
        <v>573</v>
      </c>
      <c r="BC317" s="58">
        <f t="shared" si="106"/>
        <v>0</v>
      </c>
      <c r="BD317" s="222" t="s">
        <v>573</v>
      </c>
      <c r="BE317" s="58">
        <f t="shared" si="107"/>
        <v>0</v>
      </c>
      <c r="BF317" s="222" t="s">
        <v>573</v>
      </c>
      <c r="BG317" s="58">
        <f t="shared" si="108"/>
        <v>0</v>
      </c>
      <c r="BH317" s="223" t="s">
        <v>573</v>
      </c>
      <c r="BI317" s="58">
        <f t="shared" si="109"/>
        <v>0</v>
      </c>
      <c r="BJ317" s="220">
        <f t="shared" si="149"/>
        <v>360</v>
      </c>
      <c r="BK317" s="58"/>
      <c r="BL317" s="58" t="s">
        <v>1356</v>
      </c>
      <c r="BM317" s="220" t="s">
        <v>1392</v>
      </c>
      <c r="BN317" s="213" t="s">
        <v>1329</v>
      </c>
      <c r="BO317" s="58" t="s">
        <v>1354</v>
      </c>
      <c r="BP317" s="199">
        <v>47057</v>
      </c>
      <c r="BQ317" s="2" t="s">
        <v>1387</v>
      </c>
    </row>
    <row r="318" spans="1:69" ht="15.75" customHeight="1">
      <c r="A318" s="213" t="s">
        <v>788</v>
      </c>
      <c r="B318" s="58" t="s">
        <v>1293</v>
      </c>
      <c r="C318" s="58" t="s">
        <v>752</v>
      </c>
      <c r="D318" s="214" t="s">
        <v>789</v>
      </c>
      <c r="E318" s="214" t="s">
        <v>1294</v>
      </c>
      <c r="F318" s="215" t="s">
        <v>186</v>
      </c>
      <c r="G318" s="216">
        <v>2023</v>
      </c>
      <c r="H318" s="218" t="s">
        <v>825</v>
      </c>
      <c r="I318" s="217" t="s">
        <v>781</v>
      </c>
      <c r="J318" s="217" t="s">
        <v>890</v>
      </c>
      <c r="K318" s="213" t="s">
        <v>753</v>
      </c>
      <c r="L318" s="213" t="s">
        <v>192</v>
      </c>
      <c r="M318" s="219" t="s">
        <v>1392</v>
      </c>
      <c r="N318" s="219"/>
      <c r="O318" s="219"/>
      <c r="P318" s="219"/>
      <c r="Q318" s="219"/>
      <c r="R318" s="219">
        <v>31.36</v>
      </c>
      <c r="S318" s="219">
        <v>31.36</v>
      </c>
      <c r="T318" s="219">
        <v>31.36</v>
      </c>
      <c r="U318" s="219">
        <v>31.36</v>
      </c>
      <c r="V318" s="219">
        <v>31.36</v>
      </c>
      <c r="W318" s="219">
        <v>31.36</v>
      </c>
      <c r="X318" s="219">
        <v>31.36</v>
      </c>
      <c r="Y318" s="219">
        <v>31.36</v>
      </c>
      <c r="Z318" s="219"/>
      <c r="AA318" s="219"/>
      <c r="AB318" s="219"/>
      <c r="AC318" s="219"/>
      <c r="AD318" s="219">
        <v>0</v>
      </c>
      <c r="AE318" s="219">
        <v>0</v>
      </c>
      <c r="AF318" s="219">
        <v>0</v>
      </c>
      <c r="AG318" s="219">
        <v>0</v>
      </c>
      <c r="AH318" s="219">
        <v>0</v>
      </c>
      <c r="AI318" s="219">
        <v>0.01</v>
      </c>
      <c r="AJ318" s="219">
        <v>0.01</v>
      </c>
      <c r="AK318" s="219">
        <v>0.01</v>
      </c>
      <c r="AL318" s="229" t="s">
        <v>573</v>
      </c>
      <c r="AM318" s="219">
        <f t="shared" ref="AM318" si="397">Z318*AL318</f>
        <v>0</v>
      </c>
      <c r="AN318" s="229" t="s">
        <v>573</v>
      </c>
      <c r="AO318" s="221">
        <f t="shared" ref="AO318" si="398">AN318*AA318</f>
        <v>0</v>
      </c>
      <c r="AP318" s="222" t="s">
        <v>573</v>
      </c>
      <c r="AQ318" s="221">
        <f t="shared" ref="AQ318" si="399">AP318*AB318</f>
        <v>0</v>
      </c>
      <c r="AR318" s="222" t="s">
        <v>573</v>
      </c>
      <c r="AS318" s="58">
        <f t="shared" ref="AS318" si="400">AR318*AC318</f>
        <v>0</v>
      </c>
      <c r="AT318" s="222">
        <v>0</v>
      </c>
      <c r="AU318" s="58">
        <f t="shared" ref="AU318" si="401">AT318*AD318</f>
        <v>0</v>
      </c>
      <c r="AV318" s="222">
        <v>0</v>
      </c>
      <c r="AW318" s="58">
        <f t="shared" ref="AW318" si="402">AV318*AE318</f>
        <v>0</v>
      </c>
      <c r="AX318" s="251" t="s">
        <v>573</v>
      </c>
      <c r="AY318" s="58">
        <f t="shared" ref="AY318" si="403">AX318*AF318</f>
        <v>0</v>
      </c>
      <c r="AZ318" s="222">
        <v>360</v>
      </c>
      <c r="BA318" s="58">
        <f t="shared" si="105"/>
        <v>0</v>
      </c>
      <c r="BB318" s="222" t="s">
        <v>573</v>
      </c>
      <c r="BC318" s="58">
        <f t="shared" si="106"/>
        <v>0</v>
      </c>
      <c r="BD318" s="222" t="s">
        <v>573</v>
      </c>
      <c r="BE318" s="58">
        <f t="shared" si="107"/>
        <v>0</v>
      </c>
      <c r="BF318" s="222" t="s">
        <v>573</v>
      </c>
      <c r="BG318" s="58">
        <f t="shared" si="108"/>
        <v>0</v>
      </c>
      <c r="BH318" s="223" t="s">
        <v>573</v>
      </c>
      <c r="BI318" s="58">
        <f t="shared" si="109"/>
        <v>0</v>
      </c>
      <c r="BJ318" s="220">
        <f t="shared" si="149"/>
        <v>360</v>
      </c>
      <c r="BK318" s="58"/>
      <c r="BL318" s="58" t="s">
        <v>1357</v>
      </c>
      <c r="BM318" s="220" t="s">
        <v>1392</v>
      </c>
      <c r="BN318" s="213" t="s">
        <v>1329</v>
      </c>
      <c r="BO318" s="58" t="s">
        <v>1355</v>
      </c>
      <c r="BP318" s="199">
        <v>47057</v>
      </c>
      <c r="BQ318" s="2" t="s">
        <v>1387</v>
      </c>
    </row>
    <row r="319" spans="1:69" ht="15.75" customHeight="1">
      <c r="A319" s="213" t="s">
        <v>788</v>
      </c>
      <c r="B319" s="58" t="s">
        <v>1293</v>
      </c>
      <c r="C319" s="58" t="s">
        <v>752</v>
      </c>
      <c r="D319" s="214" t="s">
        <v>789</v>
      </c>
      <c r="E319" s="214" t="s">
        <v>1294</v>
      </c>
      <c r="F319" s="215" t="s">
        <v>186</v>
      </c>
      <c r="G319" s="216">
        <v>2023</v>
      </c>
      <c r="H319" s="218" t="s">
        <v>825</v>
      </c>
      <c r="I319" s="217" t="s">
        <v>781</v>
      </c>
      <c r="J319" s="217" t="s">
        <v>890</v>
      </c>
      <c r="K319" s="213" t="s">
        <v>753</v>
      </c>
      <c r="L319" s="213" t="s">
        <v>192</v>
      </c>
      <c r="M319" s="219" t="s">
        <v>1392</v>
      </c>
      <c r="N319" s="219"/>
      <c r="O319" s="219"/>
      <c r="P319" s="219"/>
      <c r="Q319" s="219"/>
      <c r="R319" s="219">
        <v>31.36</v>
      </c>
      <c r="S319" s="219">
        <v>31.36</v>
      </c>
      <c r="T319" s="219">
        <v>31.36</v>
      </c>
      <c r="U319" s="219">
        <v>31.36</v>
      </c>
      <c r="V319" s="219">
        <v>31.36</v>
      </c>
      <c r="W319" s="219">
        <v>31.36</v>
      </c>
      <c r="X319" s="219">
        <v>31.36</v>
      </c>
      <c r="Y319" s="219">
        <v>31.36</v>
      </c>
      <c r="Z319" s="219"/>
      <c r="AA319" s="219"/>
      <c r="AB319" s="219"/>
      <c r="AC319" s="219"/>
      <c r="AD319" s="219">
        <v>0</v>
      </c>
      <c r="AE319" s="219">
        <v>0</v>
      </c>
      <c r="AF319" s="219">
        <v>0</v>
      </c>
      <c r="AG319" s="219">
        <v>0</v>
      </c>
      <c r="AH319" s="219">
        <v>0</v>
      </c>
      <c r="AI319" s="219">
        <v>0.01</v>
      </c>
      <c r="AJ319" s="219">
        <v>0.01</v>
      </c>
      <c r="AK319" s="219">
        <v>0.01</v>
      </c>
      <c r="AL319" s="229" t="s">
        <v>573</v>
      </c>
      <c r="AM319" s="219">
        <f t="shared" ref="AM319" si="404">Z319*AL319</f>
        <v>0</v>
      </c>
      <c r="AN319" s="229" t="s">
        <v>573</v>
      </c>
      <c r="AO319" s="221">
        <f t="shared" ref="AO319" si="405">AN319*AA319</f>
        <v>0</v>
      </c>
      <c r="AP319" s="222" t="s">
        <v>573</v>
      </c>
      <c r="AQ319" s="221">
        <f t="shared" ref="AQ319" si="406">AP319*AB319</f>
        <v>0</v>
      </c>
      <c r="AR319" s="222" t="s">
        <v>573</v>
      </c>
      <c r="AS319" s="58">
        <f t="shared" ref="AS319" si="407">AR319*AC319</f>
        <v>0</v>
      </c>
      <c r="AT319" s="222">
        <v>0</v>
      </c>
      <c r="AU319" s="58">
        <f t="shared" ref="AU319" si="408">AT319*AD319</f>
        <v>0</v>
      </c>
      <c r="AV319" s="222">
        <v>0</v>
      </c>
      <c r="AW319" s="58">
        <f t="shared" ref="AW319" si="409">AV319*AE319</f>
        <v>0</v>
      </c>
      <c r="AX319" s="251" t="s">
        <v>573</v>
      </c>
      <c r="AY319" s="58">
        <f t="shared" ref="AY319" si="410">AX319*AF319</f>
        <v>0</v>
      </c>
      <c r="AZ319" s="222">
        <v>0</v>
      </c>
      <c r="BA319" s="58">
        <f t="shared" ref="BA319" si="411">AZ319*AG319</f>
        <v>0</v>
      </c>
      <c r="BB319" s="222" t="s">
        <v>573</v>
      </c>
      <c r="BC319" s="58">
        <f t="shared" ref="BC319" si="412">BB319*AH319</f>
        <v>0</v>
      </c>
      <c r="BD319" s="222">
        <v>360</v>
      </c>
      <c r="BE319" s="58">
        <f t="shared" ref="BE319" si="413">BD319*AI319</f>
        <v>3.6</v>
      </c>
      <c r="BF319" s="222" t="s">
        <v>573</v>
      </c>
      <c r="BG319" s="58">
        <f t="shared" ref="BG319" si="414">BF319*AJ319</f>
        <v>0</v>
      </c>
      <c r="BH319" s="223" t="s">
        <v>573</v>
      </c>
      <c r="BI319" s="58">
        <f t="shared" ref="BI319" si="415">BH319*AK319</f>
        <v>0</v>
      </c>
      <c r="BJ319" s="220">
        <f t="shared" si="149"/>
        <v>360</v>
      </c>
      <c r="BK319" s="58"/>
      <c r="BL319" s="58" t="s">
        <v>1433</v>
      </c>
      <c r="BM319" s="220" t="s">
        <v>1392</v>
      </c>
      <c r="BN319" s="213" t="s">
        <v>1329</v>
      </c>
      <c r="BO319" s="58" t="s">
        <v>1432</v>
      </c>
      <c r="BP319" s="199">
        <v>47057</v>
      </c>
      <c r="BQ319" s="2" t="s">
        <v>1387</v>
      </c>
    </row>
    <row r="320" spans="1:69" ht="15.75" customHeight="1">
      <c r="A320" s="213" t="s">
        <v>788</v>
      </c>
      <c r="B320" s="58" t="s">
        <v>1293</v>
      </c>
      <c r="C320" s="58" t="s">
        <v>752</v>
      </c>
      <c r="D320" s="214" t="s">
        <v>789</v>
      </c>
      <c r="E320" s="214" t="s">
        <v>1294</v>
      </c>
      <c r="F320" s="215" t="s">
        <v>186</v>
      </c>
      <c r="G320" s="216">
        <v>2023</v>
      </c>
      <c r="H320" s="218" t="s">
        <v>825</v>
      </c>
      <c r="I320" s="217" t="s">
        <v>781</v>
      </c>
      <c r="J320" s="217" t="s">
        <v>890</v>
      </c>
      <c r="K320" s="213" t="s">
        <v>753</v>
      </c>
      <c r="L320" s="213" t="s">
        <v>192</v>
      </c>
      <c r="M320" s="219" t="s">
        <v>1392</v>
      </c>
      <c r="N320" s="219"/>
      <c r="O320" s="219"/>
      <c r="P320" s="219"/>
      <c r="Q320" s="219"/>
      <c r="R320" s="219">
        <v>31.36</v>
      </c>
      <c r="S320" s="219">
        <v>31.36</v>
      </c>
      <c r="T320" s="219">
        <v>31.36</v>
      </c>
      <c r="U320" s="219">
        <v>31.36</v>
      </c>
      <c r="V320" s="219">
        <v>31.36</v>
      </c>
      <c r="W320" s="219">
        <v>31.36</v>
      </c>
      <c r="X320" s="219">
        <v>31.36</v>
      </c>
      <c r="Y320" s="219">
        <v>31.36</v>
      </c>
      <c r="Z320" s="219"/>
      <c r="AA320" s="219"/>
      <c r="AB320" s="219"/>
      <c r="AC320" s="219"/>
      <c r="AD320" s="219">
        <v>0</v>
      </c>
      <c r="AE320" s="219">
        <v>0</v>
      </c>
      <c r="AF320" s="219">
        <v>0</v>
      </c>
      <c r="AG320" s="219">
        <v>0</v>
      </c>
      <c r="AH320" s="219">
        <v>0</v>
      </c>
      <c r="AI320" s="219">
        <v>0.01</v>
      </c>
      <c r="AJ320" s="219">
        <v>0.01</v>
      </c>
      <c r="AK320" s="219">
        <v>0.01</v>
      </c>
      <c r="AL320" s="229" t="s">
        <v>573</v>
      </c>
      <c r="AM320" s="219">
        <f t="shared" ref="AM320" si="416">Z320*AL320</f>
        <v>0</v>
      </c>
      <c r="AN320" s="229" t="s">
        <v>573</v>
      </c>
      <c r="AO320" s="221">
        <f t="shared" ref="AO320" si="417">AN320*AA320</f>
        <v>0</v>
      </c>
      <c r="AP320" s="222" t="s">
        <v>573</v>
      </c>
      <c r="AQ320" s="221">
        <f t="shared" ref="AQ320" si="418">AP320*AB320</f>
        <v>0</v>
      </c>
      <c r="AR320" s="222" t="s">
        <v>573</v>
      </c>
      <c r="AS320" s="58">
        <f t="shared" ref="AS320" si="419">AR320*AC320</f>
        <v>0</v>
      </c>
      <c r="AT320" s="222">
        <v>0</v>
      </c>
      <c r="AU320" s="58">
        <f t="shared" ref="AU320" si="420">AT320*AD320</f>
        <v>0</v>
      </c>
      <c r="AV320" s="222">
        <v>0</v>
      </c>
      <c r="AW320" s="58">
        <f t="shared" ref="AW320" si="421">AV320*AE320</f>
        <v>0</v>
      </c>
      <c r="AX320" s="251" t="s">
        <v>573</v>
      </c>
      <c r="AY320" s="58">
        <f t="shared" ref="AY320" si="422">AX320*AF320</f>
        <v>0</v>
      </c>
      <c r="AZ320" s="222">
        <v>360</v>
      </c>
      <c r="BA320" s="58">
        <f t="shared" si="105"/>
        <v>0</v>
      </c>
      <c r="BB320" s="222" t="s">
        <v>573</v>
      </c>
      <c r="BC320" s="58">
        <f t="shared" si="106"/>
        <v>0</v>
      </c>
      <c r="BD320" s="222" t="s">
        <v>573</v>
      </c>
      <c r="BE320" s="58">
        <f t="shared" si="107"/>
        <v>0</v>
      </c>
      <c r="BF320" s="222" t="s">
        <v>573</v>
      </c>
      <c r="BG320" s="58">
        <f t="shared" si="108"/>
        <v>0</v>
      </c>
      <c r="BH320" s="223" t="s">
        <v>573</v>
      </c>
      <c r="BI320" s="58">
        <f t="shared" si="109"/>
        <v>0</v>
      </c>
      <c r="BJ320" s="220">
        <f t="shared" si="149"/>
        <v>360</v>
      </c>
      <c r="BK320" s="58"/>
      <c r="BL320" s="58" t="s">
        <v>1358</v>
      </c>
      <c r="BM320" s="220" t="s">
        <v>1392</v>
      </c>
      <c r="BN320" s="213" t="s">
        <v>1329</v>
      </c>
      <c r="BO320" s="58" t="s">
        <v>1359</v>
      </c>
      <c r="BP320" s="199">
        <v>47057</v>
      </c>
      <c r="BQ320" s="2" t="s">
        <v>1387</v>
      </c>
    </row>
    <row r="321" spans="1:69" ht="15.75" customHeight="1">
      <c r="A321" s="213" t="s">
        <v>788</v>
      </c>
      <c r="B321" s="58" t="s">
        <v>1293</v>
      </c>
      <c r="C321" s="58" t="s">
        <v>752</v>
      </c>
      <c r="D321" s="214" t="s">
        <v>789</v>
      </c>
      <c r="E321" s="214" t="s">
        <v>1294</v>
      </c>
      <c r="F321" s="215" t="s">
        <v>186</v>
      </c>
      <c r="G321" s="216">
        <v>2023</v>
      </c>
      <c r="H321" s="218" t="s">
        <v>825</v>
      </c>
      <c r="I321" s="217" t="s">
        <v>781</v>
      </c>
      <c r="J321" s="217" t="s">
        <v>890</v>
      </c>
      <c r="K321" s="213" t="s">
        <v>753</v>
      </c>
      <c r="L321" s="213" t="s">
        <v>192</v>
      </c>
      <c r="M321" s="219" t="s">
        <v>1392</v>
      </c>
      <c r="N321" s="219"/>
      <c r="O321" s="219"/>
      <c r="P321" s="219"/>
      <c r="Q321" s="219"/>
      <c r="R321" s="219">
        <v>31.36</v>
      </c>
      <c r="S321" s="219">
        <v>31.36</v>
      </c>
      <c r="T321" s="219">
        <v>31.36</v>
      </c>
      <c r="U321" s="219">
        <v>31.36</v>
      </c>
      <c r="V321" s="219">
        <v>31.36</v>
      </c>
      <c r="W321" s="219">
        <v>31.36</v>
      </c>
      <c r="X321" s="219">
        <v>31.36</v>
      </c>
      <c r="Y321" s="219">
        <v>31.36</v>
      </c>
      <c r="Z321" s="219"/>
      <c r="AA321" s="219"/>
      <c r="AB321" s="219"/>
      <c r="AC321" s="219"/>
      <c r="AD321" s="219">
        <v>0</v>
      </c>
      <c r="AE321" s="219">
        <v>0</v>
      </c>
      <c r="AF321" s="219">
        <v>0</v>
      </c>
      <c r="AG321" s="219">
        <v>0</v>
      </c>
      <c r="AH321" s="219">
        <v>0</v>
      </c>
      <c r="AI321" s="219">
        <v>0.01</v>
      </c>
      <c r="AJ321" s="219">
        <v>0.01</v>
      </c>
      <c r="AK321" s="219">
        <v>0.01</v>
      </c>
      <c r="AL321" s="229" t="s">
        <v>573</v>
      </c>
      <c r="AM321" s="219">
        <f t="shared" ref="AM321" si="423">Z321*AL321</f>
        <v>0</v>
      </c>
      <c r="AN321" s="229" t="s">
        <v>573</v>
      </c>
      <c r="AO321" s="221">
        <f t="shared" ref="AO321" si="424">AN321*AA321</f>
        <v>0</v>
      </c>
      <c r="AP321" s="222" t="s">
        <v>573</v>
      </c>
      <c r="AQ321" s="221">
        <f t="shared" ref="AQ321" si="425">AP321*AB321</f>
        <v>0</v>
      </c>
      <c r="AR321" s="222" t="s">
        <v>573</v>
      </c>
      <c r="AS321" s="58">
        <f t="shared" ref="AS321" si="426">AR321*AC321</f>
        <v>0</v>
      </c>
      <c r="AT321" s="222">
        <v>0</v>
      </c>
      <c r="AU321" s="58">
        <f t="shared" ref="AU321" si="427">AT321*AD321</f>
        <v>0</v>
      </c>
      <c r="AV321" s="222">
        <v>0</v>
      </c>
      <c r="AW321" s="58">
        <f t="shared" ref="AW321" si="428">AV321*AE321</f>
        <v>0</v>
      </c>
      <c r="AX321" s="251" t="s">
        <v>573</v>
      </c>
      <c r="AY321" s="58">
        <f t="shared" ref="AY321" si="429">AX321*AF321</f>
        <v>0</v>
      </c>
      <c r="AZ321" s="222">
        <v>360</v>
      </c>
      <c r="BA321" s="58">
        <f t="shared" si="105"/>
        <v>0</v>
      </c>
      <c r="BB321" s="222" t="s">
        <v>573</v>
      </c>
      <c r="BC321" s="58">
        <f t="shared" si="106"/>
        <v>0</v>
      </c>
      <c r="BD321" s="222" t="s">
        <v>573</v>
      </c>
      <c r="BE321" s="58">
        <f t="shared" si="107"/>
        <v>0</v>
      </c>
      <c r="BF321" s="222" t="s">
        <v>573</v>
      </c>
      <c r="BG321" s="58">
        <f t="shared" si="108"/>
        <v>0</v>
      </c>
      <c r="BH321" s="223" t="s">
        <v>573</v>
      </c>
      <c r="BI321" s="58">
        <f t="shared" si="109"/>
        <v>0</v>
      </c>
      <c r="BJ321" s="220">
        <f t="shared" si="149"/>
        <v>360</v>
      </c>
      <c r="BK321" s="58"/>
      <c r="BL321" s="58" t="s">
        <v>1360</v>
      </c>
      <c r="BM321" s="220" t="s">
        <v>1392</v>
      </c>
      <c r="BN321" s="213" t="s">
        <v>1329</v>
      </c>
      <c r="BO321" s="58" t="s">
        <v>1341</v>
      </c>
      <c r="BP321" s="199">
        <v>47057</v>
      </c>
      <c r="BQ321" s="2" t="s">
        <v>1387</v>
      </c>
    </row>
    <row r="322" spans="1:69" ht="15.75" customHeight="1">
      <c r="A322" s="213" t="s">
        <v>788</v>
      </c>
      <c r="B322" s="58" t="s">
        <v>1293</v>
      </c>
      <c r="C322" s="58" t="s">
        <v>752</v>
      </c>
      <c r="D322" s="214" t="s">
        <v>789</v>
      </c>
      <c r="E322" s="214" t="s">
        <v>1294</v>
      </c>
      <c r="F322" s="215" t="s">
        <v>186</v>
      </c>
      <c r="G322" s="216">
        <v>2023</v>
      </c>
      <c r="H322" s="218" t="s">
        <v>825</v>
      </c>
      <c r="I322" s="217" t="s">
        <v>781</v>
      </c>
      <c r="J322" s="217" t="s">
        <v>890</v>
      </c>
      <c r="K322" s="213" t="s">
        <v>753</v>
      </c>
      <c r="L322" s="213" t="s">
        <v>192</v>
      </c>
      <c r="M322" s="219" t="s">
        <v>1392</v>
      </c>
      <c r="N322" s="219"/>
      <c r="O322" s="219"/>
      <c r="P322" s="219"/>
      <c r="Q322" s="219"/>
      <c r="R322" s="219">
        <v>31.36</v>
      </c>
      <c r="S322" s="219">
        <v>31.36</v>
      </c>
      <c r="T322" s="219">
        <v>31.36</v>
      </c>
      <c r="U322" s="219">
        <v>31.36</v>
      </c>
      <c r="V322" s="219">
        <v>31.36</v>
      </c>
      <c r="W322" s="219">
        <v>31.36</v>
      </c>
      <c r="X322" s="219">
        <v>31.36</v>
      </c>
      <c r="Y322" s="219">
        <v>31.36</v>
      </c>
      <c r="Z322" s="219"/>
      <c r="AA322" s="219"/>
      <c r="AB322" s="219"/>
      <c r="AC322" s="219"/>
      <c r="AD322" s="219">
        <v>0</v>
      </c>
      <c r="AE322" s="219">
        <v>0</v>
      </c>
      <c r="AF322" s="219">
        <v>0</v>
      </c>
      <c r="AG322" s="219">
        <v>0</v>
      </c>
      <c r="AH322" s="219">
        <v>0</v>
      </c>
      <c r="AI322" s="219">
        <v>0.01</v>
      </c>
      <c r="AJ322" s="219">
        <v>0.01</v>
      </c>
      <c r="AK322" s="219">
        <v>0.01</v>
      </c>
      <c r="AL322" s="229" t="s">
        <v>573</v>
      </c>
      <c r="AM322" s="219">
        <f t="shared" ref="AM322" si="430">Z322*AL322</f>
        <v>0</v>
      </c>
      <c r="AN322" s="229" t="s">
        <v>573</v>
      </c>
      <c r="AO322" s="221">
        <f t="shared" ref="AO322" si="431">AN322*AA322</f>
        <v>0</v>
      </c>
      <c r="AP322" s="222" t="s">
        <v>573</v>
      </c>
      <c r="AQ322" s="221">
        <f t="shared" ref="AQ322" si="432">AP322*AB322</f>
        <v>0</v>
      </c>
      <c r="AR322" s="222" t="s">
        <v>573</v>
      </c>
      <c r="AS322" s="58">
        <f t="shared" ref="AS322" si="433">AR322*AC322</f>
        <v>0</v>
      </c>
      <c r="AT322" s="222">
        <v>0</v>
      </c>
      <c r="AU322" s="58">
        <f t="shared" ref="AU322" si="434">AT322*AD322</f>
        <v>0</v>
      </c>
      <c r="AV322" s="222">
        <v>0</v>
      </c>
      <c r="AW322" s="58">
        <f t="shared" ref="AW322" si="435">AV322*AE322</f>
        <v>0</v>
      </c>
      <c r="AX322" s="251" t="s">
        <v>573</v>
      </c>
      <c r="AY322" s="58">
        <f t="shared" ref="AY322" si="436">AX322*AF322</f>
        <v>0</v>
      </c>
      <c r="AZ322" s="222">
        <v>360</v>
      </c>
      <c r="BA322" s="58">
        <f t="shared" si="105"/>
        <v>0</v>
      </c>
      <c r="BB322" s="222" t="s">
        <v>573</v>
      </c>
      <c r="BC322" s="58">
        <f t="shared" si="106"/>
        <v>0</v>
      </c>
      <c r="BD322" s="222" t="s">
        <v>573</v>
      </c>
      <c r="BE322" s="58">
        <f t="shared" si="107"/>
        <v>0</v>
      </c>
      <c r="BF322" s="222" t="s">
        <v>573</v>
      </c>
      <c r="BG322" s="58">
        <f t="shared" si="108"/>
        <v>0</v>
      </c>
      <c r="BH322" s="223" t="s">
        <v>573</v>
      </c>
      <c r="BI322" s="58">
        <f t="shared" si="109"/>
        <v>0</v>
      </c>
      <c r="BJ322" s="220">
        <f t="shared" si="149"/>
        <v>360</v>
      </c>
      <c r="BK322" s="58"/>
      <c r="BL322" s="58" t="s">
        <v>1361</v>
      </c>
      <c r="BM322" s="220" t="s">
        <v>1392</v>
      </c>
      <c r="BN322" s="213" t="s">
        <v>1329</v>
      </c>
      <c r="BO322" s="58" t="s">
        <v>1295</v>
      </c>
      <c r="BP322" s="199">
        <v>47057</v>
      </c>
      <c r="BQ322" s="2" t="s">
        <v>1387</v>
      </c>
    </row>
    <row r="323" spans="1:69" ht="15.75" customHeight="1">
      <c r="A323" s="213" t="s">
        <v>788</v>
      </c>
      <c r="B323" s="58" t="s">
        <v>1293</v>
      </c>
      <c r="C323" s="58" t="s">
        <v>752</v>
      </c>
      <c r="D323" s="214" t="s">
        <v>789</v>
      </c>
      <c r="E323" s="214" t="s">
        <v>1294</v>
      </c>
      <c r="F323" s="215" t="s">
        <v>186</v>
      </c>
      <c r="G323" s="216">
        <v>2023</v>
      </c>
      <c r="H323" s="218" t="s">
        <v>825</v>
      </c>
      <c r="I323" s="217" t="s">
        <v>781</v>
      </c>
      <c r="J323" s="217" t="s">
        <v>890</v>
      </c>
      <c r="K323" s="213" t="s">
        <v>753</v>
      </c>
      <c r="L323" s="213" t="s">
        <v>192</v>
      </c>
      <c r="M323" s="219" t="s">
        <v>1392</v>
      </c>
      <c r="N323" s="219"/>
      <c r="O323" s="219"/>
      <c r="P323" s="219"/>
      <c r="Q323" s="219"/>
      <c r="R323" s="219">
        <v>31.36</v>
      </c>
      <c r="S323" s="219">
        <v>31.36</v>
      </c>
      <c r="T323" s="219">
        <v>31.36</v>
      </c>
      <c r="U323" s="219">
        <v>31.36</v>
      </c>
      <c r="V323" s="219">
        <v>31.36</v>
      </c>
      <c r="W323" s="219">
        <v>31.36</v>
      </c>
      <c r="X323" s="219">
        <v>31.36</v>
      </c>
      <c r="Y323" s="219">
        <v>31.36</v>
      </c>
      <c r="Z323" s="219"/>
      <c r="AA323" s="219"/>
      <c r="AB323" s="219"/>
      <c r="AC323" s="219"/>
      <c r="AD323" s="219">
        <v>0</v>
      </c>
      <c r="AE323" s="219">
        <v>0</v>
      </c>
      <c r="AF323" s="219">
        <v>0</v>
      </c>
      <c r="AG323" s="219">
        <v>0</v>
      </c>
      <c r="AH323" s="219">
        <v>0</v>
      </c>
      <c r="AI323" s="219">
        <v>0.01</v>
      </c>
      <c r="AJ323" s="219">
        <v>0.01</v>
      </c>
      <c r="AK323" s="219">
        <v>0.01</v>
      </c>
      <c r="AL323" s="229" t="s">
        <v>573</v>
      </c>
      <c r="AM323" s="219">
        <f t="shared" ref="AM323:AM330" si="437">Z323*AL323</f>
        <v>0</v>
      </c>
      <c r="AN323" s="229" t="s">
        <v>573</v>
      </c>
      <c r="AO323" s="221">
        <f t="shared" ref="AO323:AO330" si="438">AN323*AA323</f>
        <v>0</v>
      </c>
      <c r="AP323" s="222" t="s">
        <v>573</v>
      </c>
      <c r="AQ323" s="221">
        <f t="shared" ref="AQ323:AQ330" si="439">AP323*AB323</f>
        <v>0</v>
      </c>
      <c r="AR323" s="222" t="s">
        <v>573</v>
      </c>
      <c r="AS323" s="58">
        <f t="shared" ref="AS323:AS330" si="440">AR323*AC323</f>
        <v>0</v>
      </c>
      <c r="AT323" s="222">
        <v>0</v>
      </c>
      <c r="AU323" s="58">
        <f t="shared" ref="AU323:AU330" si="441">AT323*AD323</f>
        <v>0</v>
      </c>
      <c r="AV323" s="222">
        <v>0</v>
      </c>
      <c r="AW323" s="58">
        <f t="shared" ref="AW323:AW330" si="442">AV323*AE323</f>
        <v>0</v>
      </c>
      <c r="AX323" s="251" t="s">
        <v>573</v>
      </c>
      <c r="AY323" s="58">
        <f t="shared" ref="AY323:AY330" si="443">AX323*AF323</f>
        <v>0</v>
      </c>
      <c r="AZ323" s="222">
        <v>360</v>
      </c>
      <c r="BA323" s="58">
        <f t="shared" si="105"/>
        <v>0</v>
      </c>
      <c r="BB323" s="222" t="s">
        <v>573</v>
      </c>
      <c r="BC323" s="58">
        <f t="shared" si="106"/>
        <v>0</v>
      </c>
      <c r="BD323" s="222" t="s">
        <v>573</v>
      </c>
      <c r="BE323" s="58">
        <f t="shared" si="107"/>
        <v>0</v>
      </c>
      <c r="BF323" s="222" t="s">
        <v>573</v>
      </c>
      <c r="BG323" s="58">
        <f t="shared" si="108"/>
        <v>0</v>
      </c>
      <c r="BH323" s="223" t="s">
        <v>573</v>
      </c>
      <c r="BI323" s="58">
        <f t="shared" si="109"/>
        <v>0</v>
      </c>
      <c r="BJ323" s="220">
        <f t="shared" si="149"/>
        <v>360</v>
      </c>
      <c r="BK323" s="58"/>
      <c r="BL323" s="58" t="s">
        <v>890</v>
      </c>
      <c r="BM323" s="220" t="s">
        <v>1392</v>
      </c>
      <c r="BN323" s="213" t="s">
        <v>1329</v>
      </c>
      <c r="BO323" s="58" t="s">
        <v>1362</v>
      </c>
      <c r="BP323" s="199">
        <v>47057</v>
      </c>
      <c r="BQ323" s="2" t="s">
        <v>1387</v>
      </c>
    </row>
    <row r="324" spans="1:69" ht="15.75" customHeight="1">
      <c r="A324" s="213" t="s">
        <v>788</v>
      </c>
      <c r="B324" s="58" t="s">
        <v>199</v>
      </c>
      <c r="C324" s="58" t="s">
        <v>752</v>
      </c>
      <c r="D324" s="214" t="s">
        <v>789</v>
      </c>
      <c r="E324" s="214" t="s">
        <v>789</v>
      </c>
      <c r="F324" s="215" t="s">
        <v>186</v>
      </c>
      <c r="G324" s="216">
        <v>2022</v>
      </c>
      <c r="H324" s="218" t="s">
        <v>793</v>
      </c>
      <c r="I324" s="218" t="s">
        <v>212</v>
      </c>
      <c r="J324" s="217" t="s">
        <v>890</v>
      </c>
      <c r="K324" s="213" t="s">
        <v>221</v>
      </c>
      <c r="L324" s="213" t="s">
        <v>192</v>
      </c>
      <c r="M324" s="219" t="s">
        <v>1388</v>
      </c>
      <c r="N324" s="219">
        <v>3.81</v>
      </c>
      <c r="O324" s="219">
        <v>3.81</v>
      </c>
      <c r="P324" s="219">
        <v>3.81</v>
      </c>
      <c r="Q324" s="219">
        <v>3.81</v>
      </c>
      <c r="R324" s="219">
        <v>3.81</v>
      </c>
      <c r="S324" s="219">
        <v>3.81</v>
      </c>
      <c r="T324" s="219">
        <v>3.81</v>
      </c>
      <c r="U324" s="219">
        <v>3.81</v>
      </c>
      <c r="V324" s="219">
        <v>3.81</v>
      </c>
      <c r="W324" s="219">
        <v>3.81</v>
      </c>
      <c r="X324" s="219">
        <v>3.81</v>
      </c>
      <c r="Y324" s="219">
        <v>3.81</v>
      </c>
      <c r="Z324" s="219">
        <v>0.21</v>
      </c>
      <c r="AA324" s="219">
        <v>0.21</v>
      </c>
      <c r="AB324" s="219">
        <v>0.21</v>
      </c>
      <c r="AC324" s="219">
        <v>0.21</v>
      </c>
      <c r="AD324" s="219">
        <v>0.21</v>
      </c>
      <c r="AE324" s="219">
        <v>0.21</v>
      </c>
      <c r="AF324" s="219">
        <v>0.21</v>
      </c>
      <c r="AG324" s="219">
        <v>0.21</v>
      </c>
      <c r="AH324" s="219">
        <v>0.21</v>
      </c>
      <c r="AI324" s="219">
        <v>0.21</v>
      </c>
      <c r="AJ324" s="219">
        <v>0.21</v>
      </c>
      <c r="AK324" s="219">
        <v>0.21</v>
      </c>
      <c r="AL324" s="229" t="s">
        <v>573</v>
      </c>
      <c r="AM324" s="219">
        <f t="shared" si="437"/>
        <v>0</v>
      </c>
      <c r="AN324" s="229" t="s">
        <v>573</v>
      </c>
      <c r="AO324" s="221">
        <f t="shared" si="438"/>
        <v>0</v>
      </c>
      <c r="AP324" s="222" t="s">
        <v>573</v>
      </c>
      <c r="AQ324" s="221">
        <f t="shared" si="439"/>
        <v>0</v>
      </c>
      <c r="AR324" s="222" t="s">
        <v>573</v>
      </c>
      <c r="AS324" s="58">
        <f t="shared" si="440"/>
        <v>0</v>
      </c>
      <c r="AT324" s="222" t="s">
        <v>573</v>
      </c>
      <c r="AU324" s="58">
        <f t="shared" si="441"/>
        <v>0</v>
      </c>
      <c r="AV324" s="222" t="s">
        <v>573</v>
      </c>
      <c r="AW324" s="58">
        <f t="shared" si="442"/>
        <v>0</v>
      </c>
      <c r="AX324" s="251" t="s">
        <v>573</v>
      </c>
      <c r="AY324" s="58">
        <f t="shared" si="443"/>
        <v>0</v>
      </c>
      <c r="AZ324" s="222">
        <v>5600</v>
      </c>
      <c r="BA324" s="58">
        <f t="shared" si="105"/>
        <v>1176</v>
      </c>
      <c r="BB324" s="222" t="s">
        <v>573</v>
      </c>
      <c r="BC324" s="58">
        <f t="shared" si="106"/>
        <v>0</v>
      </c>
      <c r="BD324" s="222" t="s">
        <v>573</v>
      </c>
      <c r="BE324" s="58">
        <f t="shared" si="107"/>
        <v>0</v>
      </c>
      <c r="BF324" s="222" t="s">
        <v>573</v>
      </c>
      <c r="BG324" s="58">
        <f t="shared" si="108"/>
        <v>0</v>
      </c>
      <c r="BH324" s="223" t="s">
        <v>573</v>
      </c>
      <c r="BI324" s="58">
        <f t="shared" si="109"/>
        <v>0</v>
      </c>
      <c r="BJ324" s="220">
        <f t="shared" si="149"/>
        <v>5600</v>
      </c>
      <c r="BK324" s="58"/>
      <c r="BL324" s="58" t="s">
        <v>1366</v>
      </c>
      <c r="BM324" s="220" t="s">
        <v>1388</v>
      </c>
      <c r="BN324" s="213" t="s">
        <v>1364</v>
      </c>
      <c r="BO324" s="58" t="s">
        <v>1367</v>
      </c>
      <c r="BP324" s="199">
        <v>45443</v>
      </c>
      <c r="BQ324" s="2" t="s">
        <v>1386</v>
      </c>
    </row>
    <row r="325" spans="1:69" ht="15.75" customHeight="1">
      <c r="A325" s="213" t="s">
        <v>788</v>
      </c>
      <c r="B325" s="58" t="s">
        <v>1293</v>
      </c>
      <c r="C325" s="58" t="s">
        <v>752</v>
      </c>
      <c r="D325" s="214" t="s">
        <v>789</v>
      </c>
      <c r="E325" s="214" t="s">
        <v>1294</v>
      </c>
      <c r="F325" s="215" t="s">
        <v>186</v>
      </c>
      <c r="G325" s="216">
        <v>2023</v>
      </c>
      <c r="H325" s="218" t="s">
        <v>825</v>
      </c>
      <c r="I325" s="217" t="s">
        <v>781</v>
      </c>
      <c r="J325" s="217" t="s">
        <v>890</v>
      </c>
      <c r="K325" s="213" t="s">
        <v>753</v>
      </c>
      <c r="L325" s="213" t="s">
        <v>192</v>
      </c>
      <c r="M325" s="219" t="s">
        <v>1392</v>
      </c>
      <c r="N325" s="219"/>
      <c r="O325" s="219"/>
      <c r="P325" s="219"/>
      <c r="Q325" s="219"/>
      <c r="R325" s="219">
        <v>31.36</v>
      </c>
      <c r="S325" s="219">
        <v>31.36</v>
      </c>
      <c r="T325" s="219">
        <v>31.36</v>
      </c>
      <c r="U325" s="219">
        <v>31.36</v>
      </c>
      <c r="V325" s="219">
        <v>31.36</v>
      </c>
      <c r="W325" s="219">
        <v>31.36</v>
      </c>
      <c r="X325" s="219">
        <v>31.36</v>
      </c>
      <c r="Y325" s="219">
        <v>31.36</v>
      </c>
      <c r="Z325" s="219"/>
      <c r="AA325" s="219"/>
      <c r="AB325" s="219"/>
      <c r="AC325" s="219"/>
      <c r="AD325" s="219">
        <v>0</v>
      </c>
      <c r="AE325" s="219">
        <v>0</v>
      </c>
      <c r="AF325" s="219">
        <v>0</v>
      </c>
      <c r="AG325" s="219">
        <v>0</v>
      </c>
      <c r="AH325" s="219">
        <v>0</v>
      </c>
      <c r="AI325" s="219">
        <v>0.01</v>
      </c>
      <c r="AJ325" s="219">
        <v>0.01</v>
      </c>
      <c r="AK325" s="219">
        <v>0.01</v>
      </c>
      <c r="AL325" s="229" t="s">
        <v>573</v>
      </c>
      <c r="AM325" s="219">
        <f t="shared" si="437"/>
        <v>0</v>
      </c>
      <c r="AN325" s="229" t="s">
        <v>573</v>
      </c>
      <c r="AO325" s="221">
        <f t="shared" si="438"/>
        <v>0</v>
      </c>
      <c r="AP325" s="222" t="s">
        <v>573</v>
      </c>
      <c r="AQ325" s="221">
        <f t="shared" si="439"/>
        <v>0</v>
      </c>
      <c r="AR325" s="222" t="s">
        <v>573</v>
      </c>
      <c r="AS325" s="58">
        <f t="shared" si="440"/>
        <v>0</v>
      </c>
      <c r="AT325" s="222">
        <v>0</v>
      </c>
      <c r="AU325" s="58">
        <f t="shared" si="441"/>
        <v>0</v>
      </c>
      <c r="AV325" s="222">
        <v>0</v>
      </c>
      <c r="AW325" s="58">
        <f t="shared" si="442"/>
        <v>0</v>
      </c>
      <c r="AX325" s="251" t="s">
        <v>573</v>
      </c>
      <c r="AY325" s="58">
        <f t="shared" si="443"/>
        <v>0</v>
      </c>
      <c r="AZ325" s="222">
        <v>360</v>
      </c>
      <c r="BA325" s="58">
        <f t="shared" ref="BA325:BA330" si="444">AZ325*AG325</f>
        <v>0</v>
      </c>
      <c r="BB325" s="222" t="s">
        <v>573</v>
      </c>
      <c r="BC325" s="58">
        <f t="shared" ref="BC325:BC330" si="445">BB325*AH325</f>
        <v>0</v>
      </c>
      <c r="BD325" s="222" t="s">
        <v>573</v>
      </c>
      <c r="BE325" s="58">
        <f t="shared" ref="BE325:BE330" si="446">BD325*AI325</f>
        <v>0</v>
      </c>
      <c r="BF325" s="222" t="s">
        <v>573</v>
      </c>
      <c r="BG325" s="58">
        <f t="shared" ref="BG325:BG330" si="447">BF325*AJ325</f>
        <v>0</v>
      </c>
      <c r="BH325" s="223" t="s">
        <v>573</v>
      </c>
      <c r="BI325" s="58">
        <f t="shared" ref="BI325:BI330" si="448">BH325*AK325</f>
        <v>0</v>
      </c>
      <c r="BJ325" s="220">
        <f t="shared" si="149"/>
        <v>360</v>
      </c>
      <c r="BK325" s="58"/>
      <c r="BL325" s="58" t="s">
        <v>1417</v>
      </c>
      <c r="BM325" s="220" t="s">
        <v>1392</v>
      </c>
      <c r="BN325" s="213" t="s">
        <v>1329</v>
      </c>
      <c r="BO325" s="58" t="s">
        <v>1406</v>
      </c>
      <c r="BP325" s="199">
        <v>47057</v>
      </c>
      <c r="BQ325" s="2" t="s">
        <v>1387</v>
      </c>
    </row>
    <row r="326" spans="1:69" ht="15.75" customHeight="1">
      <c r="A326" s="213" t="s">
        <v>788</v>
      </c>
      <c r="B326" s="58" t="s">
        <v>1293</v>
      </c>
      <c r="C326" s="58" t="s">
        <v>752</v>
      </c>
      <c r="D326" s="214" t="s">
        <v>789</v>
      </c>
      <c r="E326" s="214" t="s">
        <v>1294</v>
      </c>
      <c r="F326" s="215" t="s">
        <v>186</v>
      </c>
      <c r="G326" s="216">
        <v>2023</v>
      </c>
      <c r="H326" s="218" t="s">
        <v>825</v>
      </c>
      <c r="I326" s="217" t="s">
        <v>781</v>
      </c>
      <c r="J326" s="217" t="s">
        <v>890</v>
      </c>
      <c r="K326" s="213" t="s">
        <v>753</v>
      </c>
      <c r="L326" s="213" t="s">
        <v>192</v>
      </c>
      <c r="M326" s="219" t="s">
        <v>1392</v>
      </c>
      <c r="N326" s="219"/>
      <c r="O326" s="219"/>
      <c r="P326" s="219"/>
      <c r="Q326" s="219"/>
      <c r="R326" s="219">
        <v>31.36</v>
      </c>
      <c r="S326" s="219">
        <v>31.36</v>
      </c>
      <c r="T326" s="219">
        <v>31.36</v>
      </c>
      <c r="U326" s="219">
        <v>31.36</v>
      </c>
      <c r="V326" s="219">
        <v>31.36</v>
      </c>
      <c r="W326" s="219">
        <v>31.36</v>
      </c>
      <c r="X326" s="219">
        <v>31.36</v>
      </c>
      <c r="Y326" s="219">
        <v>31.36</v>
      </c>
      <c r="Z326" s="219"/>
      <c r="AA326" s="219"/>
      <c r="AB326" s="219"/>
      <c r="AC326" s="219"/>
      <c r="AD326" s="219">
        <v>0</v>
      </c>
      <c r="AE326" s="219">
        <v>0</v>
      </c>
      <c r="AF326" s="219">
        <v>0</v>
      </c>
      <c r="AG326" s="219">
        <v>0</v>
      </c>
      <c r="AH326" s="219">
        <v>0</v>
      </c>
      <c r="AI326" s="219">
        <v>0.01</v>
      </c>
      <c r="AJ326" s="219">
        <v>0.01</v>
      </c>
      <c r="AK326" s="219">
        <v>0.01</v>
      </c>
      <c r="AL326" s="229" t="s">
        <v>573</v>
      </c>
      <c r="AM326" s="219">
        <f t="shared" ref="AM326" si="449">Z326*AL326</f>
        <v>0</v>
      </c>
      <c r="AN326" s="229" t="s">
        <v>573</v>
      </c>
      <c r="AO326" s="221">
        <f t="shared" ref="AO326" si="450">AN326*AA326</f>
        <v>0</v>
      </c>
      <c r="AP326" s="222" t="s">
        <v>573</v>
      </c>
      <c r="AQ326" s="221">
        <f t="shared" ref="AQ326" si="451">AP326*AB326</f>
        <v>0</v>
      </c>
      <c r="AR326" s="222" t="s">
        <v>573</v>
      </c>
      <c r="AS326" s="58">
        <f t="shared" ref="AS326" si="452">AR326*AC326</f>
        <v>0</v>
      </c>
      <c r="AT326" s="222">
        <v>0</v>
      </c>
      <c r="AU326" s="58">
        <f t="shared" ref="AU326" si="453">AT326*AD326</f>
        <v>0</v>
      </c>
      <c r="AV326" s="222">
        <v>0</v>
      </c>
      <c r="AW326" s="58">
        <f t="shared" ref="AW326" si="454">AV326*AE326</f>
        <v>0</v>
      </c>
      <c r="AX326" s="251" t="s">
        <v>573</v>
      </c>
      <c r="AY326" s="58">
        <f t="shared" ref="AY326" si="455">AX326*AF326</f>
        <v>0</v>
      </c>
      <c r="AZ326" s="222">
        <v>0</v>
      </c>
      <c r="BA326" s="58">
        <f t="shared" ref="BA326" si="456">AZ326*AG326</f>
        <v>0</v>
      </c>
      <c r="BB326" s="222" t="s">
        <v>573</v>
      </c>
      <c r="BC326" s="58">
        <f t="shared" ref="BC326" si="457">BB326*AH326</f>
        <v>0</v>
      </c>
      <c r="BD326" s="222" t="s">
        <v>573</v>
      </c>
      <c r="BE326" s="58">
        <f t="shared" ref="BE326" si="458">BD326*AI326</f>
        <v>0</v>
      </c>
      <c r="BF326" s="222">
        <v>360</v>
      </c>
      <c r="BG326" s="58">
        <f t="shared" ref="BG326" si="459">BF326*AJ326</f>
        <v>3.6</v>
      </c>
      <c r="BH326" s="223" t="s">
        <v>573</v>
      </c>
      <c r="BI326" s="58">
        <f t="shared" ref="BI326" si="460">BH326*AK326</f>
        <v>0</v>
      </c>
      <c r="BJ326" s="220">
        <f t="shared" si="149"/>
        <v>360</v>
      </c>
      <c r="BK326" s="58"/>
      <c r="BL326" s="58" t="s">
        <v>1431</v>
      </c>
      <c r="BM326" s="220" t="s">
        <v>1392</v>
      </c>
      <c r="BN326" s="213" t="s">
        <v>1329</v>
      </c>
      <c r="BO326" s="58" t="s">
        <v>1436</v>
      </c>
      <c r="BP326" s="199">
        <v>47057</v>
      </c>
      <c r="BQ326" s="2" t="s">
        <v>1387</v>
      </c>
    </row>
    <row r="327" spans="1:69" ht="15.75" customHeight="1">
      <c r="A327" s="213" t="s">
        <v>788</v>
      </c>
      <c r="B327" s="58" t="s">
        <v>1293</v>
      </c>
      <c r="C327" s="58" t="s">
        <v>752</v>
      </c>
      <c r="D327" s="214" t="s">
        <v>789</v>
      </c>
      <c r="E327" s="214" t="s">
        <v>1294</v>
      </c>
      <c r="F327" s="215" t="s">
        <v>186</v>
      </c>
      <c r="G327" s="216">
        <v>2023</v>
      </c>
      <c r="H327" s="218" t="s">
        <v>825</v>
      </c>
      <c r="I327" s="217" t="s">
        <v>781</v>
      </c>
      <c r="J327" s="217" t="s">
        <v>890</v>
      </c>
      <c r="K327" s="213" t="s">
        <v>753</v>
      </c>
      <c r="L327" s="213" t="s">
        <v>192</v>
      </c>
      <c r="M327" s="219" t="s">
        <v>1407</v>
      </c>
      <c r="N327" s="219"/>
      <c r="O327" s="219"/>
      <c r="P327" s="219"/>
      <c r="Q327" s="219"/>
      <c r="R327" s="219">
        <v>31.36</v>
      </c>
      <c r="S327" s="219">
        <v>31.36</v>
      </c>
      <c r="T327" s="219">
        <v>31.36</v>
      </c>
      <c r="U327" s="219">
        <v>31.36</v>
      </c>
      <c r="V327" s="219">
        <v>31.36</v>
      </c>
      <c r="W327" s="219">
        <v>31.36</v>
      </c>
      <c r="X327" s="219">
        <v>31.36</v>
      </c>
      <c r="Y327" s="219">
        <v>31.36</v>
      </c>
      <c r="Z327" s="219"/>
      <c r="AA327" s="219"/>
      <c r="AB327" s="219"/>
      <c r="AC327" s="219"/>
      <c r="AD327" s="219">
        <v>0</v>
      </c>
      <c r="AE327" s="219">
        <v>0</v>
      </c>
      <c r="AF327" s="219">
        <v>0</v>
      </c>
      <c r="AG327" s="219">
        <v>0</v>
      </c>
      <c r="AH327" s="219">
        <v>0</v>
      </c>
      <c r="AI327" s="219">
        <v>0.01</v>
      </c>
      <c r="AJ327" s="219">
        <v>0.01</v>
      </c>
      <c r="AK327" s="219">
        <v>0.01</v>
      </c>
      <c r="AL327" s="229" t="s">
        <v>573</v>
      </c>
      <c r="AM327" s="219">
        <f t="shared" si="437"/>
        <v>0</v>
      </c>
      <c r="AN327" s="229" t="s">
        <v>573</v>
      </c>
      <c r="AO327" s="221">
        <f t="shared" si="438"/>
        <v>0</v>
      </c>
      <c r="AP327" s="222" t="s">
        <v>573</v>
      </c>
      <c r="AQ327" s="221">
        <f t="shared" si="439"/>
        <v>0</v>
      </c>
      <c r="AR327" s="222" t="s">
        <v>573</v>
      </c>
      <c r="AS327" s="58">
        <f t="shared" si="440"/>
        <v>0</v>
      </c>
      <c r="AT327" s="222">
        <v>0</v>
      </c>
      <c r="AU327" s="58">
        <f t="shared" si="441"/>
        <v>0</v>
      </c>
      <c r="AV327" s="222">
        <v>0</v>
      </c>
      <c r="AW327" s="58">
        <f t="shared" si="442"/>
        <v>0</v>
      </c>
      <c r="AX327" s="251">
        <v>0</v>
      </c>
      <c r="AY327" s="58">
        <f t="shared" si="443"/>
        <v>0</v>
      </c>
      <c r="AZ327" s="222">
        <v>10</v>
      </c>
      <c r="BA327" s="58">
        <f t="shared" si="444"/>
        <v>0</v>
      </c>
      <c r="BB327" s="222" t="s">
        <v>573</v>
      </c>
      <c r="BC327" s="58">
        <f t="shared" si="445"/>
        <v>0</v>
      </c>
      <c r="BD327" s="222" t="s">
        <v>573</v>
      </c>
      <c r="BE327" s="58">
        <f t="shared" si="446"/>
        <v>0</v>
      </c>
      <c r="BF327" s="222" t="s">
        <v>573</v>
      </c>
      <c r="BG327" s="58">
        <f t="shared" si="447"/>
        <v>0</v>
      </c>
      <c r="BH327" s="223" t="s">
        <v>573</v>
      </c>
      <c r="BI327" s="58">
        <f t="shared" si="448"/>
        <v>0</v>
      </c>
      <c r="BJ327" s="220">
        <f t="shared" si="149"/>
        <v>10</v>
      </c>
      <c r="BK327" s="58"/>
      <c r="BL327" s="58" t="s">
        <v>1418</v>
      </c>
      <c r="BM327" s="220" t="s">
        <v>1407</v>
      </c>
      <c r="BN327" s="213" t="s">
        <v>1329</v>
      </c>
      <c r="BO327" s="58" t="s">
        <v>1330</v>
      </c>
      <c r="BP327" s="199">
        <v>47057</v>
      </c>
      <c r="BQ327" s="2" t="s">
        <v>1387</v>
      </c>
    </row>
    <row r="328" spans="1:69" ht="15.75" customHeight="1">
      <c r="A328" s="213" t="s">
        <v>788</v>
      </c>
      <c r="B328" s="58" t="s">
        <v>1293</v>
      </c>
      <c r="C328" s="58" t="s">
        <v>752</v>
      </c>
      <c r="D328" s="214" t="s">
        <v>789</v>
      </c>
      <c r="E328" s="214" t="s">
        <v>1294</v>
      </c>
      <c r="F328" s="215" t="s">
        <v>186</v>
      </c>
      <c r="G328" s="216">
        <v>2023</v>
      </c>
      <c r="H328" s="218" t="s">
        <v>825</v>
      </c>
      <c r="I328" s="217" t="s">
        <v>781</v>
      </c>
      <c r="J328" s="217" t="s">
        <v>890</v>
      </c>
      <c r="K328" s="213" t="s">
        <v>753</v>
      </c>
      <c r="L328" s="213" t="s">
        <v>192</v>
      </c>
      <c r="M328" s="219" t="s">
        <v>1408</v>
      </c>
      <c r="N328" s="219"/>
      <c r="O328" s="219"/>
      <c r="P328" s="219"/>
      <c r="Q328" s="219"/>
      <c r="R328" s="219">
        <v>31.36</v>
      </c>
      <c r="S328" s="219">
        <v>31.36</v>
      </c>
      <c r="T328" s="219">
        <v>31.36</v>
      </c>
      <c r="U328" s="219">
        <v>31.36</v>
      </c>
      <c r="V328" s="219">
        <v>31.36</v>
      </c>
      <c r="W328" s="219">
        <v>31.36</v>
      </c>
      <c r="X328" s="219">
        <v>31.36</v>
      </c>
      <c r="Y328" s="219">
        <v>31.36</v>
      </c>
      <c r="Z328" s="219"/>
      <c r="AA328" s="219"/>
      <c r="AB328" s="219"/>
      <c r="AC328" s="219"/>
      <c r="AD328" s="219">
        <v>0</v>
      </c>
      <c r="AE328" s="219">
        <v>0</v>
      </c>
      <c r="AF328" s="219">
        <v>0</v>
      </c>
      <c r="AG328" s="219">
        <v>0</v>
      </c>
      <c r="AH328" s="219">
        <v>0</v>
      </c>
      <c r="AI328" s="219">
        <v>0.01</v>
      </c>
      <c r="AJ328" s="219">
        <v>0.01</v>
      </c>
      <c r="AK328" s="219">
        <v>0.01</v>
      </c>
      <c r="AL328" s="229" t="s">
        <v>573</v>
      </c>
      <c r="AM328" s="219">
        <f t="shared" si="437"/>
        <v>0</v>
      </c>
      <c r="AN328" s="229" t="s">
        <v>573</v>
      </c>
      <c r="AO328" s="221">
        <f t="shared" si="438"/>
        <v>0</v>
      </c>
      <c r="AP328" s="222" t="s">
        <v>573</v>
      </c>
      <c r="AQ328" s="221">
        <f t="shared" si="439"/>
        <v>0</v>
      </c>
      <c r="AR328" s="222" t="s">
        <v>573</v>
      </c>
      <c r="AS328" s="58">
        <f t="shared" si="440"/>
        <v>0</v>
      </c>
      <c r="AT328" s="222">
        <v>0</v>
      </c>
      <c r="AU328" s="58">
        <f t="shared" si="441"/>
        <v>0</v>
      </c>
      <c r="AV328" s="222">
        <v>0</v>
      </c>
      <c r="AW328" s="58">
        <f t="shared" si="442"/>
        <v>0</v>
      </c>
      <c r="AX328" s="251">
        <v>0</v>
      </c>
      <c r="AY328" s="58">
        <f t="shared" si="443"/>
        <v>0</v>
      </c>
      <c r="AZ328" s="222">
        <v>100</v>
      </c>
      <c r="BA328" s="58">
        <f t="shared" si="444"/>
        <v>0</v>
      </c>
      <c r="BB328" s="222" t="s">
        <v>573</v>
      </c>
      <c r="BC328" s="58">
        <f t="shared" si="445"/>
        <v>0</v>
      </c>
      <c r="BD328" s="222">
        <v>260</v>
      </c>
      <c r="BE328" s="58">
        <f t="shared" si="446"/>
        <v>2.6</v>
      </c>
      <c r="BF328" s="222" t="s">
        <v>573</v>
      </c>
      <c r="BG328" s="58">
        <f t="shared" si="447"/>
        <v>0</v>
      </c>
      <c r="BH328" s="223" t="s">
        <v>573</v>
      </c>
      <c r="BI328" s="58">
        <f t="shared" si="448"/>
        <v>0</v>
      </c>
      <c r="BJ328" s="220">
        <f t="shared" si="149"/>
        <v>360</v>
      </c>
      <c r="BK328" s="58"/>
      <c r="BL328" s="58" t="s">
        <v>1419</v>
      </c>
      <c r="BM328" s="220" t="s">
        <v>1408</v>
      </c>
      <c r="BN328" s="213" t="s">
        <v>1329</v>
      </c>
      <c r="BO328" s="58" t="s">
        <v>1338</v>
      </c>
      <c r="BP328" s="199">
        <v>47057</v>
      </c>
      <c r="BQ328" s="2" t="s">
        <v>1387</v>
      </c>
    </row>
    <row r="329" spans="1:69" ht="15.75" customHeight="1">
      <c r="A329" s="213" t="s">
        <v>788</v>
      </c>
      <c r="B329" s="58" t="s">
        <v>1293</v>
      </c>
      <c r="C329" s="58" t="s">
        <v>752</v>
      </c>
      <c r="D329" s="214" t="s">
        <v>789</v>
      </c>
      <c r="E329" s="214" t="s">
        <v>1294</v>
      </c>
      <c r="F329" s="215" t="s">
        <v>186</v>
      </c>
      <c r="G329" s="216">
        <v>2023</v>
      </c>
      <c r="H329" s="218" t="s">
        <v>825</v>
      </c>
      <c r="I329" s="217" t="s">
        <v>781</v>
      </c>
      <c r="J329" s="217" t="s">
        <v>890</v>
      </c>
      <c r="K329" s="213" t="s">
        <v>753</v>
      </c>
      <c r="L329" s="213" t="s">
        <v>192</v>
      </c>
      <c r="M329" s="219" t="s">
        <v>1408</v>
      </c>
      <c r="N329" s="219"/>
      <c r="O329" s="219"/>
      <c r="P329" s="219"/>
      <c r="Q329" s="219"/>
      <c r="R329" s="219">
        <v>31.36</v>
      </c>
      <c r="S329" s="219">
        <v>31.36</v>
      </c>
      <c r="T329" s="219">
        <v>31.36</v>
      </c>
      <c r="U329" s="219">
        <v>31.36</v>
      </c>
      <c r="V329" s="219">
        <v>31.36</v>
      </c>
      <c r="W329" s="219">
        <v>31.36</v>
      </c>
      <c r="X329" s="219">
        <v>31.36</v>
      </c>
      <c r="Y329" s="219">
        <v>31.36</v>
      </c>
      <c r="Z329" s="219"/>
      <c r="AA329" s="219"/>
      <c r="AB329" s="219"/>
      <c r="AC329" s="219"/>
      <c r="AD329" s="219">
        <v>0</v>
      </c>
      <c r="AE329" s="219">
        <v>0</v>
      </c>
      <c r="AF329" s="219">
        <v>0</v>
      </c>
      <c r="AG329" s="219">
        <v>0</v>
      </c>
      <c r="AH329" s="219">
        <v>0</v>
      </c>
      <c r="AI329" s="219">
        <v>0.01</v>
      </c>
      <c r="AJ329" s="219">
        <v>0.01</v>
      </c>
      <c r="AK329" s="219">
        <v>0.01</v>
      </c>
      <c r="AL329" s="229" t="s">
        <v>573</v>
      </c>
      <c r="AM329" s="219">
        <f t="shared" si="437"/>
        <v>0</v>
      </c>
      <c r="AN329" s="229" t="s">
        <v>573</v>
      </c>
      <c r="AO329" s="221">
        <f t="shared" si="438"/>
        <v>0</v>
      </c>
      <c r="AP329" s="222" t="s">
        <v>573</v>
      </c>
      <c r="AQ329" s="221">
        <f t="shared" si="439"/>
        <v>0</v>
      </c>
      <c r="AR329" s="222" t="s">
        <v>573</v>
      </c>
      <c r="AS329" s="58">
        <f t="shared" si="440"/>
        <v>0</v>
      </c>
      <c r="AT329" s="222">
        <v>0</v>
      </c>
      <c r="AU329" s="58">
        <f t="shared" si="441"/>
        <v>0</v>
      </c>
      <c r="AV329" s="222">
        <v>0</v>
      </c>
      <c r="AW329" s="58">
        <f t="shared" si="442"/>
        <v>0</v>
      </c>
      <c r="AX329" s="251">
        <v>0</v>
      </c>
      <c r="AY329" s="58">
        <f t="shared" si="443"/>
        <v>0</v>
      </c>
      <c r="AZ329" s="222">
        <v>10</v>
      </c>
      <c r="BA329" s="58">
        <f t="shared" si="444"/>
        <v>0</v>
      </c>
      <c r="BB329" s="222">
        <v>350</v>
      </c>
      <c r="BC329" s="58">
        <f t="shared" si="445"/>
        <v>0</v>
      </c>
      <c r="BD329" s="222" t="s">
        <v>573</v>
      </c>
      <c r="BE329" s="58">
        <f t="shared" si="446"/>
        <v>0</v>
      </c>
      <c r="BF329" s="222" t="s">
        <v>573</v>
      </c>
      <c r="BG329" s="58">
        <f t="shared" si="447"/>
        <v>0</v>
      </c>
      <c r="BH329" s="223" t="s">
        <v>573</v>
      </c>
      <c r="BI329" s="58">
        <f t="shared" si="448"/>
        <v>0</v>
      </c>
      <c r="BJ329" s="220">
        <f t="shared" si="149"/>
        <v>360</v>
      </c>
      <c r="BK329" s="58"/>
      <c r="BL329" s="58" t="s">
        <v>1420</v>
      </c>
      <c r="BM329" s="220" t="s">
        <v>1408</v>
      </c>
      <c r="BN329" s="213" t="s">
        <v>1329</v>
      </c>
      <c r="BO329" s="58" t="s">
        <v>1344</v>
      </c>
      <c r="BP329" s="199">
        <v>47057</v>
      </c>
      <c r="BQ329" s="2" t="s">
        <v>1387</v>
      </c>
    </row>
    <row r="330" spans="1:69" ht="15.75" customHeight="1">
      <c r="A330" s="213" t="s">
        <v>788</v>
      </c>
      <c r="B330" s="58" t="s">
        <v>184</v>
      </c>
      <c r="C330" s="58" t="s">
        <v>752</v>
      </c>
      <c r="D330" s="214" t="s">
        <v>789</v>
      </c>
      <c r="E330" s="214" t="s">
        <v>789</v>
      </c>
      <c r="F330" s="215" t="s">
        <v>186</v>
      </c>
      <c r="G330" s="216">
        <v>2016</v>
      </c>
      <c r="H330" s="218" t="s">
        <v>794</v>
      </c>
      <c r="I330" s="218" t="s">
        <v>196</v>
      </c>
      <c r="J330" s="217" t="s">
        <v>890</v>
      </c>
      <c r="K330" s="213" t="s">
        <v>249</v>
      </c>
      <c r="L330" s="213" t="s">
        <v>192</v>
      </c>
      <c r="M330" s="219" t="s">
        <v>1392</v>
      </c>
      <c r="N330" s="219"/>
      <c r="O330" s="219"/>
      <c r="P330" s="219"/>
      <c r="Q330" s="219"/>
      <c r="R330" s="219"/>
      <c r="S330" s="219"/>
      <c r="T330" s="219"/>
      <c r="U330" s="219">
        <v>5.29</v>
      </c>
      <c r="V330" s="219">
        <v>5.29</v>
      </c>
      <c r="W330" s="219">
        <v>5.29</v>
      </c>
      <c r="X330" s="219">
        <v>5.29</v>
      </c>
      <c r="Y330" s="219">
        <v>5.29</v>
      </c>
      <c r="Z330" s="219"/>
      <c r="AA330" s="219"/>
      <c r="AB330" s="219"/>
      <c r="AC330" s="219"/>
      <c r="AD330" s="219"/>
      <c r="AE330" s="219"/>
      <c r="AF330" s="219"/>
      <c r="AG330" s="219">
        <v>0.05</v>
      </c>
      <c r="AH330" s="219">
        <v>0.05</v>
      </c>
      <c r="AI330" s="219">
        <v>0.05</v>
      </c>
      <c r="AJ330" s="219">
        <v>0.05</v>
      </c>
      <c r="AK330" s="219">
        <v>0.05</v>
      </c>
      <c r="AL330" s="229" t="s">
        <v>573</v>
      </c>
      <c r="AM330" s="219">
        <f t="shared" si="437"/>
        <v>0</v>
      </c>
      <c r="AN330" s="229" t="s">
        <v>573</v>
      </c>
      <c r="AO330" s="221">
        <f t="shared" si="438"/>
        <v>0</v>
      </c>
      <c r="AP330" s="222" t="s">
        <v>573</v>
      </c>
      <c r="AQ330" s="221">
        <f t="shared" si="439"/>
        <v>0</v>
      </c>
      <c r="AR330" s="222" t="s">
        <v>573</v>
      </c>
      <c r="AS330" s="58">
        <f t="shared" si="440"/>
        <v>0</v>
      </c>
      <c r="AT330" s="222" t="s">
        <v>573</v>
      </c>
      <c r="AU330" s="58">
        <f t="shared" si="441"/>
        <v>0</v>
      </c>
      <c r="AV330" s="222" t="s">
        <v>573</v>
      </c>
      <c r="AW330" s="58">
        <f t="shared" si="442"/>
        <v>0</v>
      </c>
      <c r="AX330" s="251" t="s">
        <v>573</v>
      </c>
      <c r="AY330" s="58">
        <f t="shared" si="443"/>
        <v>0</v>
      </c>
      <c r="AZ330" s="222">
        <v>10800</v>
      </c>
      <c r="BA330" s="58">
        <f t="shared" si="444"/>
        <v>540</v>
      </c>
      <c r="BB330" s="222">
        <v>7200</v>
      </c>
      <c r="BC330" s="58">
        <f t="shared" si="445"/>
        <v>360</v>
      </c>
      <c r="BD330" s="222">
        <v>3600</v>
      </c>
      <c r="BE330" s="58">
        <f t="shared" si="446"/>
        <v>180</v>
      </c>
      <c r="BF330" s="222">
        <v>3600</v>
      </c>
      <c r="BG330" s="58">
        <f t="shared" si="447"/>
        <v>180</v>
      </c>
      <c r="BH330" s="223">
        <v>3600</v>
      </c>
      <c r="BI330" s="58">
        <f t="shared" si="448"/>
        <v>180</v>
      </c>
      <c r="BJ330" s="220">
        <f t="shared" si="149"/>
        <v>28800</v>
      </c>
      <c r="BK330" s="58"/>
      <c r="BL330" s="58" t="s">
        <v>1421</v>
      </c>
      <c r="BM330" s="220" t="s">
        <v>1392</v>
      </c>
      <c r="BN330" s="213" t="s">
        <v>1347</v>
      </c>
      <c r="BO330" s="213" t="s">
        <v>1409</v>
      </c>
      <c r="BP330" s="199">
        <v>45657</v>
      </c>
      <c r="BQ330" s="2" t="s">
        <v>1387</v>
      </c>
    </row>
    <row r="331" spans="1:69" ht="15.75" customHeight="1">
      <c r="A331" s="213" t="s">
        <v>788</v>
      </c>
      <c r="B331" s="58" t="s">
        <v>1293</v>
      </c>
      <c r="C331" s="58" t="s">
        <v>752</v>
      </c>
      <c r="D331" s="214" t="s">
        <v>789</v>
      </c>
      <c r="E331" s="214" t="s">
        <v>1294</v>
      </c>
      <c r="F331" s="215" t="s">
        <v>186</v>
      </c>
      <c r="G331" s="216">
        <v>2023</v>
      </c>
      <c r="H331" s="218" t="s">
        <v>825</v>
      </c>
      <c r="I331" s="217" t="s">
        <v>781</v>
      </c>
      <c r="J331" s="217" t="s">
        <v>890</v>
      </c>
      <c r="K331" s="213" t="s">
        <v>753</v>
      </c>
      <c r="L331" s="213" t="s">
        <v>192</v>
      </c>
      <c r="M331" s="219" t="s">
        <v>1408</v>
      </c>
      <c r="N331" s="219"/>
      <c r="O331" s="219"/>
      <c r="P331" s="219"/>
      <c r="Q331" s="219"/>
      <c r="R331" s="219">
        <v>31.36</v>
      </c>
      <c r="S331" s="219">
        <v>31.36</v>
      </c>
      <c r="T331" s="219">
        <v>31.36</v>
      </c>
      <c r="U331" s="219">
        <v>31.36</v>
      </c>
      <c r="V331" s="219">
        <v>31.36</v>
      </c>
      <c r="W331" s="219">
        <v>31.36</v>
      </c>
      <c r="X331" s="219">
        <v>31.36</v>
      </c>
      <c r="Y331" s="219">
        <v>31.36</v>
      </c>
      <c r="Z331" s="219"/>
      <c r="AA331" s="219"/>
      <c r="AB331" s="219"/>
      <c r="AC331" s="219"/>
      <c r="AD331" s="219">
        <v>0</v>
      </c>
      <c r="AE331" s="219">
        <v>0</v>
      </c>
      <c r="AF331" s="219">
        <v>0</v>
      </c>
      <c r="AG331" s="219">
        <v>0</v>
      </c>
      <c r="AH331" s="219">
        <v>0</v>
      </c>
      <c r="AI331" s="219">
        <v>0.01</v>
      </c>
      <c r="AJ331" s="219">
        <v>0.01</v>
      </c>
      <c r="AK331" s="219">
        <v>0.01</v>
      </c>
      <c r="AL331" s="229" t="s">
        <v>573</v>
      </c>
      <c r="AM331" s="219">
        <f t="shared" ref="AM331" si="461">Z331*AL331</f>
        <v>0</v>
      </c>
      <c r="AN331" s="229" t="s">
        <v>573</v>
      </c>
      <c r="AO331" s="221">
        <f t="shared" ref="AO331" si="462">AN331*AA331</f>
        <v>0</v>
      </c>
      <c r="AP331" s="222" t="s">
        <v>573</v>
      </c>
      <c r="AQ331" s="221">
        <f t="shared" ref="AQ331" si="463">AP331*AB331</f>
        <v>0</v>
      </c>
      <c r="AR331" s="222" t="s">
        <v>573</v>
      </c>
      <c r="AS331" s="58">
        <f t="shared" ref="AS331" si="464">AR331*AC331</f>
        <v>0</v>
      </c>
      <c r="AT331" s="222">
        <v>0</v>
      </c>
      <c r="AU331" s="58">
        <f t="shared" ref="AU331" si="465">AT331*AD331</f>
        <v>0</v>
      </c>
      <c r="AV331" s="222">
        <v>0</v>
      </c>
      <c r="AW331" s="58">
        <f t="shared" ref="AW331" si="466">AV331*AE331</f>
        <v>0</v>
      </c>
      <c r="AX331" s="251">
        <v>0</v>
      </c>
      <c r="AY331" s="58">
        <f t="shared" ref="AY331" si="467">AX331*AF331</f>
        <v>0</v>
      </c>
      <c r="AZ331" s="222">
        <v>0</v>
      </c>
      <c r="BA331" s="58">
        <f t="shared" ref="BA331" si="468">AZ331*AG331</f>
        <v>0</v>
      </c>
      <c r="BB331" s="222">
        <v>360</v>
      </c>
      <c r="BC331" s="58">
        <f t="shared" ref="BC331" si="469">BB331*AH331</f>
        <v>0</v>
      </c>
      <c r="BD331" s="222" t="s">
        <v>573</v>
      </c>
      <c r="BE331" s="58">
        <f t="shared" ref="BE331" si="470">BD331*AI331</f>
        <v>0</v>
      </c>
      <c r="BF331" s="222" t="s">
        <v>573</v>
      </c>
      <c r="BG331" s="58">
        <f t="shared" ref="BG331" si="471">BF331*AJ331</f>
        <v>0</v>
      </c>
      <c r="BH331" s="223" t="s">
        <v>573</v>
      </c>
      <c r="BI331" s="58">
        <f t="shared" ref="BI331" si="472">BH331*AK331</f>
        <v>0</v>
      </c>
      <c r="BJ331" s="220">
        <f t="shared" si="149"/>
        <v>360</v>
      </c>
      <c r="BK331" s="58"/>
      <c r="BL331" s="58" t="s">
        <v>1422</v>
      </c>
      <c r="BM331" s="220" t="s">
        <v>1408</v>
      </c>
      <c r="BN331" s="213" t="s">
        <v>1329</v>
      </c>
      <c r="BO331" s="58" t="s">
        <v>1410</v>
      </c>
      <c r="BP331" s="199">
        <v>47057</v>
      </c>
      <c r="BQ331" s="2" t="s">
        <v>1387</v>
      </c>
    </row>
    <row r="332" spans="1:69" ht="15.75" customHeight="1">
      <c r="A332" s="213" t="s">
        <v>788</v>
      </c>
      <c r="B332" s="58" t="s">
        <v>1293</v>
      </c>
      <c r="C332" s="58" t="s">
        <v>752</v>
      </c>
      <c r="D332" s="214" t="s">
        <v>789</v>
      </c>
      <c r="E332" s="214" t="s">
        <v>1294</v>
      </c>
      <c r="F332" s="215" t="s">
        <v>186</v>
      </c>
      <c r="G332" s="216">
        <v>2023</v>
      </c>
      <c r="H332" s="218" t="s">
        <v>825</v>
      </c>
      <c r="I332" s="217" t="s">
        <v>781</v>
      </c>
      <c r="J332" s="217" t="s">
        <v>890</v>
      </c>
      <c r="K332" s="213" t="s">
        <v>753</v>
      </c>
      <c r="L332" s="213" t="s">
        <v>192</v>
      </c>
      <c r="M332" s="219" t="s">
        <v>1408</v>
      </c>
      <c r="N332" s="219"/>
      <c r="O332" s="219"/>
      <c r="P332" s="219"/>
      <c r="Q332" s="219"/>
      <c r="R332" s="219">
        <v>31.36</v>
      </c>
      <c r="S332" s="219">
        <v>31.36</v>
      </c>
      <c r="T332" s="219">
        <v>31.36</v>
      </c>
      <c r="U332" s="219">
        <v>31.36</v>
      </c>
      <c r="V332" s="219">
        <v>31.36</v>
      </c>
      <c r="W332" s="219">
        <v>31.36</v>
      </c>
      <c r="X332" s="219">
        <v>31.36</v>
      </c>
      <c r="Y332" s="219">
        <v>31.36</v>
      </c>
      <c r="Z332" s="219"/>
      <c r="AA332" s="219"/>
      <c r="AB332" s="219"/>
      <c r="AC332" s="219"/>
      <c r="AD332" s="219">
        <v>0</v>
      </c>
      <c r="AE332" s="219">
        <v>0</v>
      </c>
      <c r="AF332" s="219">
        <v>0</v>
      </c>
      <c r="AG332" s="219">
        <v>0</v>
      </c>
      <c r="AH332" s="219">
        <v>0</v>
      </c>
      <c r="AI332" s="219">
        <v>0.01</v>
      </c>
      <c r="AJ332" s="219">
        <v>0.01</v>
      </c>
      <c r="AK332" s="219">
        <v>0.01</v>
      </c>
      <c r="AL332" s="229" t="s">
        <v>573</v>
      </c>
      <c r="AM332" s="219">
        <f t="shared" ref="AM332" si="473">Z332*AL332</f>
        <v>0</v>
      </c>
      <c r="AN332" s="229" t="s">
        <v>573</v>
      </c>
      <c r="AO332" s="221">
        <f t="shared" ref="AO332" si="474">AN332*AA332</f>
        <v>0</v>
      </c>
      <c r="AP332" s="222" t="s">
        <v>573</v>
      </c>
      <c r="AQ332" s="221">
        <f t="shared" ref="AQ332" si="475">AP332*AB332</f>
        <v>0</v>
      </c>
      <c r="AR332" s="222" t="s">
        <v>573</v>
      </c>
      <c r="AS332" s="58">
        <f t="shared" ref="AS332" si="476">AR332*AC332</f>
        <v>0</v>
      </c>
      <c r="AT332" s="222">
        <v>0</v>
      </c>
      <c r="AU332" s="58">
        <f t="shared" ref="AU332" si="477">AT332*AD332</f>
        <v>0</v>
      </c>
      <c r="AV332" s="222">
        <v>0</v>
      </c>
      <c r="AW332" s="58">
        <f t="shared" ref="AW332" si="478">AV332*AE332</f>
        <v>0</v>
      </c>
      <c r="AX332" s="251">
        <v>0</v>
      </c>
      <c r="AY332" s="58">
        <f t="shared" ref="AY332" si="479">AX332*AF332</f>
        <v>0</v>
      </c>
      <c r="AZ332" s="222">
        <v>0</v>
      </c>
      <c r="BA332" s="58">
        <f t="shared" ref="BA332" si="480">AZ332*AG332</f>
        <v>0</v>
      </c>
      <c r="BB332" s="222">
        <v>0</v>
      </c>
      <c r="BC332" s="58">
        <f t="shared" ref="BC332" si="481">BB332*AH332</f>
        <v>0</v>
      </c>
      <c r="BD332" s="222" t="s">
        <v>573</v>
      </c>
      <c r="BE332" s="58">
        <f t="shared" ref="BE332" si="482">BD332*AI332</f>
        <v>0</v>
      </c>
      <c r="BF332" s="222" t="s">
        <v>573</v>
      </c>
      <c r="BG332" s="58">
        <f t="shared" ref="BG332" si="483">BF332*AJ332</f>
        <v>0</v>
      </c>
      <c r="BH332" s="223" t="s">
        <v>573</v>
      </c>
      <c r="BI332" s="58">
        <f t="shared" ref="BI332" si="484">BH332*AK332</f>
        <v>0</v>
      </c>
      <c r="BJ332" s="220">
        <f t="shared" si="149"/>
        <v>0</v>
      </c>
      <c r="BK332" s="58"/>
      <c r="BL332" s="58" t="s">
        <v>1431</v>
      </c>
      <c r="BM332" s="220" t="s">
        <v>1407</v>
      </c>
      <c r="BN332" s="213" t="s">
        <v>1329</v>
      </c>
      <c r="BO332" s="58" t="s">
        <v>1410</v>
      </c>
      <c r="BP332" s="199">
        <v>47057</v>
      </c>
      <c r="BQ332" s="2" t="s">
        <v>1387</v>
      </c>
    </row>
    <row r="333" spans="1:69" ht="15.75" customHeight="1">
      <c r="A333" s="213" t="s">
        <v>788</v>
      </c>
      <c r="B333" s="58" t="s">
        <v>1293</v>
      </c>
      <c r="C333" s="58" t="s">
        <v>752</v>
      </c>
      <c r="D333" s="214" t="s">
        <v>789</v>
      </c>
      <c r="E333" s="214" t="s">
        <v>1294</v>
      </c>
      <c r="F333" s="215" t="s">
        <v>186</v>
      </c>
      <c r="G333" s="216">
        <v>2023</v>
      </c>
      <c r="H333" s="218" t="s">
        <v>825</v>
      </c>
      <c r="I333" s="217" t="s">
        <v>781</v>
      </c>
      <c r="J333" s="217" t="s">
        <v>890</v>
      </c>
      <c r="K333" s="213" t="s">
        <v>753</v>
      </c>
      <c r="L333" s="213" t="s">
        <v>192</v>
      </c>
      <c r="M333" s="219" t="s">
        <v>1408</v>
      </c>
      <c r="N333" s="219"/>
      <c r="O333" s="219"/>
      <c r="P333" s="219"/>
      <c r="Q333" s="219"/>
      <c r="R333" s="219">
        <v>31.36</v>
      </c>
      <c r="S333" s="219">
        <v>31.36</v>
      </c>
      <c r="T333" s="219">
        <v>31.36</v>
      </c>
      <c r="U333" s="219">
        <v>31.36</v>
      </c>
      <c r="V333" s="219">
        <v>31.36</v>
      </c>
      <c r="W333" s="219">
        <v>31.36</v>
      </c>
      <c r="X333" s="219">
        <v>31.36</v>
      </c>
      <c r="Y333" s="219">
        <v>31.36</v>
      </c>
      <c r="Z333" s="219"/>
      <c r="AA333" s="219"/>
      <c r="AB333" s="219"/>
      <c r="AC333" s="219"/>
      <c r="AD333" s="219">
        <v>0</v>
      </c>
      <c r="AE333" s="219">
        <v>0</v>
      </c>
      <c r="AF333" s="219">
        <v>0</v>
      </c>
      <c r="AG333" s="219">
        <v>0</v>
      </c>
      <c r="AH333" s="219">
        <v>0</v>
      </c>
      <c r="AI333" s="219">
        <v>0.01</v>
      </c>
      <c r="AJ333" s="219">
        <v>0.01</v>
      </c>
      <c r="AK333" s="219">
        <v>0.01</v>
      </c>
      <c r="AL333" s="229" t="s">
        <v>573</v>
      </c>
      <c r="AM333" s="219">
        <f t="shared" ref="AM333" si="485">Z333*AL333</f>
        <v>0</v>
      </c>
      <c r="AN333" s="229" t="s">
        <v>573</v>
      </c>
      <c r="AO333" s="221">
        <f t="shared" ref="AO333" si="486">AN333*AA333</f>
        <v>0</v>
      </c>
      <c r="AP333" s="222" t="s">
        <v>573</v>
      </c>
      <c r="AQ333" s="221">
        <f t="shared" ref="AQ333" si="487">AP333*AB333</f>
        <v>0</v>
      </c>
      <c r="AR333" s="222" t="s">
        <v>573</v>
      </c>
      <c r="AS333" s="58">
        <f t="shared" ref="AS333" si="488">AR333*AC333</f>
        <v>0</v>
      </c>
      <c r="AT333" s="222">
        <v>0</v>
      </c>
      <c r="AU333" s="58">
        <f t="shared" ref="AU333" si="489">AT333*AD333</f>
        <v>0</v>
      </c>
      <c r="AV333" s="222">
        <v>0</v>
      </c>
      <c r="AW333" s="58">
        <f t="shared" ref="AW333" si="490">AV333*AE333</f>
        <v>0</v>
      </c>
      <c r="AX333" s="251">
        <v>0</v>
      </c>
      <c r="AY333" s="58">
        <f t="shared" ref="AY333" si="491">AX333*AF333</f>
        <v>0</v>
      </c>
      <c r="AZ333" s="222">
        <v>0</v>
      </c>
      <c r="BA333" s="58">
        <f t="shared" ref="BA333" si="492">AZ333*AG333</f>
        <v>0</v>
      </c>
      <c r="BB333" s="222">
        <v>360</v>
      </c>
      <c r="BC333" s="58">
        <f t="shared" ref="BC333" si="493">BB333*AH333</f>
        <v>0</v>
      </c>
      <c r="BD333" s="222" t="s">
        <v>573</v>
      </c>
      <c r="BE333" s="58">
        <f t="shared" ref="BE333" si="494">BD333*AI333</f>
        <v>0</v>
      </c>
      <c r="BF333" s="222" t="s">
        <v>573</v>
      </c>
      <c r="BG333" s="58">
        <f t="shared" ref="BG333" si="495">BF333*AJ333</f>
        <v>0</v>
      </c>
      <c r="BH333" s="223" t="s">
        <v>573</v>
      </c>
      <c r="BI333" s="58">
        <f t="shared" ref="BI333" si="496">BH333*AK333</f>
        <v>0</v>
      </c>
      <c r="BJ333" s="220">
        <f t="shared" si="149"/>
        <v>360</v>
      </c>
      <c r="BK333" s="58"/>
      <c r="BL333" s="58" t="s">
        <v>1423</v>
      </c>
      <c r="BM333" s="220" t="s">
        <v>1408</v>
      </c>
      <c r="BN333" s="213" t="s">
        <v>1329</v>
      </c>
      <c r="BO333" s="58" t="s">
        <v>1411</v>
      </c>
      <c r="BP333" s="199">
        <v>47057</v>
      </c>
      <c r="BQ333" s="2" t="s">
        <v>1387</v>
      </c>
    </row>
    <row r="334" spans="1:69" ht="15.75" customHeight="1">
      <c r="A334" s="213" t="s">
        <v>788</v>
      </c>
      <c r="B334" s="58" t="s">
        <v>1293</v>
      </c>
      <c r="C334" s="58" t="s">
        <v>752</v>
      </c>
      <c r="D334" s="214" t="s">
        <v>789</v>
      </c>
      <c r="E334" s="214" t="s">
        <v>1294</v>
      </c>
      <c r="F334" s="215" t="s">
        <v>186</v>
      </c>
      <c r="G334" s="216">
        <v>2023</v>
      </c>
      <c r="H334" s="218" t="s">
        <v>825</v>
      </c>
      <c r="I334" s="217" t="s">
        <v>781</v>
      </c>
      <c r="J334" s="217" t="s">
        <v>890</v>
      </c>
      <c r="K334" s="213" t="s">
        <v>753</v>
      </c>
      <c r="L334" s="213" t="s">
        <v>192</v>
      </c>
      <c r="M334" s="219" t="s">
        <v>1408</v>
      </c>
      <c r="N334" s="219"/>
      <c r="O334" s="219"/>
      <c r="P334" s="219"/>
      <c r="Q334" s="219"/>
      <c r="R334" s="219">
        <v>31.36</v>
      </c>
      <c r="S334" s="219">
        <v>31.36</v>
      </c>
      <c r="T334" s="219">
        <v>31.36</v>
      </c>
      <c r="U334" s="219">
        <v>31.36</v>
      </c>
      <c r="V334" s="219">
        <v>31.36</v>
      </c>
      <c r="W334" s="219">
        <v>31.36</v>
      </c>
      <c r="X334" s="219">
        <v>31.36</v>
      </c>
      <c r="Y334" s="219">
        <v>31.36</v>
      </c>
      <c r="Z334" s="219"/>
      <c r="AA334" s="219"/>
      <c r="AB334" s="219"/>
      <c r="AC334" s="219"/>
      <c r="AD334" s="219">
        <v>0</v>
      </c>
      <c r="AE334" s="219">
        <v>0</v>
      </c>
      <c r="AF334" s="219">
        <v>0</v>
      </c>
      <c r="AG334" s="219">
        <v>0</v>
      </c>
      <c r="AH334" s="219">
        <v>0</v>
      </c>
      <c r="AI334" s="219">
        <v>0.01</v>
      </c>
      <c r="AJ334" s="219">
        <v>0.01</v>
      </c>
      <c r="AK334" s="219">
        <v>0.01</v>
      </c>
      <c r="AL334" s="229" t="s">
        <v>573</v>
      </c>
      <c r="AM334" s="219">
        <f t="shared" ref="AM334:AM335" si="497">Z334*AL334</f>
        <v>0</v>
      </c>
      <c r="AN334" s="229" t="s">
        <v>573</v>
      </c>
      <c r="AO334" s="221">
        <f t="shared" ref="AO334:AO335" si="498">AN334*AA334</f>
        <v>0</v>
      </c>
      <c r="AP334" s="222" t="s">
        <v>573</v>
      </c>
      <c r="AQ334" s="221">
        <f t="shared" ref="AQ334:AQ335" si="499">AP334*AB334</f>
        <v>0</v>
      </c>
      <c r="AR334" s="222" t="s">
        <v>573</v>
      </c>
      <c r="AS334" s="58">
        <f t="shared" ref="AS334:AS335" si="500">AR334*AC334</f>
        <v>0</v>
      </c>
      <c r="AT334" s="222">
        <v>0</v>
      </c>
      <c r="AU334" s="58">
        <f t="shared" ref="AU334:AU335" si="501">AT334*AD334</f>
        <v>0</v>
      </c>
      <c r="AV334" s="222">
        <v>0</v>
      </c>
      <c r="AW334" s="58">
        <f t="shared" ref="AW334:AW335" si="502">AV334*AE334</f>
        <v>0</v>
      </c>
      <c r="AX334" s="251">
        <v>0</v>
      </c>
      <c r="AY334" s="58">
        <f t="shared" ref="AY334:AY335" si="503">AX334*AF334</f>
        <v>0</v>
      </c>
      <c r="AZ334" s="222">
        <v>0</v>
      </c>
      <c r="BA334" s="58">
        <f t="shared" ref="BA334:BA335" si="504">AZ334*AG334</f>
        <v>0</v>
      </c>
      <c r="BB334" s="222">
        <v>360</v>
      </c>
      <c r="BC334" s="58">
        <f t="shared" ref="BC334:BC335" si="505">BB334*AH334</f>
        <v>0</v>
      </c>
      <c r="BD334" s="222" t="s">
        <v>573</v>
      </c>
      <c r="BE334" s="58">
        <f t="shared" ref="BE334:BE335" si="506">BD334*AI334</f>
        <v>0</v>
      </c>
      <c r="BF334" s="222" t="s">
        <v>573</v>
      </c>
      <c r="BG334" s="58">
        <f t="shared" ref="BG334:BG335" si="507">BF334*AJ334</f>
        <v>0</v>
      </c>
      <c r="BH334" s="223" t="s">
        <v>573</v>
      </c>
      <c r="BI334" s="58">
        <f t="shared" ref="BI334:BI335" si="508">BH334*AK334</f>
        <v>0</v>
      </c>
      <c r="BJ334" s="220">
        <f t="shared" si="149"/>
        <v>360</v>
      </c>
      <c r="BK334" s="58"/>
      <c r="BL334" s="58" t="s">
        <v>1424</v>
      </c>
      <c r="BM334" s="220" t="s">
        <v>1408</v>
      </c>
      <c r="BN334" s="213" t="s">
        <v>1329</v>
      </c>
      <c r="BO334" s="58" t="s">
        <v>1412</v>
      </c>
      <c r="BP334" s="199">
        <v>47057</v>
      </c>
      <c r="BQ334" s="2" t="s">
        <v>1387</v>
      </c>
    </row>
    <row r="335" spans="1:69" ht="15.75" customHeight="1">
      <c r="A335" s="213" t="s">
        <v>788</v>
      </c>
      <c r="B335" s="58" t="s">
        <v>1293</v>
      </c>
      <c r="C335" s="58" t="s">
        <v>752</v>
      </c>
      <c r="D335" s="214" t="s">
        <v>789</v>
      </c>
      <c r="E335" s="214" t="s">
        <v>1294</v>
      </c>
      <c r="F335" s="215" t="s">
        <v>186</v>
      </c>
      <c r="G335" s="216">
        <v>2023</v>
      </c>
      <c r="H335" s="218" t="s">
        <v>825</v>
      </c>
      <c r="I335" s="217" t="s">
        <v>781</v>
      </c>
      <c r="J335" s="217" t="s">
        <v>890</v>
      </c>
      <c r="K335" s="213" t="s">
        <v>753</v>
      </c>
      <c r="L335" s="213" t="s">
        <v>192</v>
      </c>
      <c r="M335" s="219" t="s">
        <v>1408</v>
      </c>
      <c r="N335" s="219"/>
      <c r="O335" s="219"/>
      <c r="P335" s="219"/>
      <c r="Q335" s="219"/>
      <c r="R335" s="219">
        <v>31.36</v>
      </c>
      <c r="S335" s="219">
        <v>31.36</v>
      </c>
      <c r="T335" s="219">
        <v>31.36</v>
      </c>
      <c r="U335" s="219">
        <v>31.36</v>
      </c>
      <c r="V335" s="219">
        <v>31.36</v>
      </c>
      <c r="W335" s="219">
        <v>31.36</v>
      </c>
      <c r="X335" s="219">
        <v>31.36</v>
      </c>
      <c r="Y335" s="219">
        <v>31.36</v>
      </c>
      <c r="Z335" s="219"/>
      <c r="AA335" s="219"/>
      <c r="AB335" s="219"/>
      <c r="AC335" s="219"/>
      <c r="AD335" s="219">
        <v>0</v>
      </c>
      <c r="AE335" s="219">
        <v>0</v>
      </c>
      <c r="AF335" s="219">
        <v>0</v>
      </c>
      <c r="AG335" s="219">
        <v>0</v>
      </c>
      <c r="AH335" s="219">
        <v>0</v>
      </c>
      <c r="AI335" s="219">
        <v>0.01</v>
      </c>
      <c r="AJ335" s="219">
        <v>0.01</v>
      </c>
      <c r="AK335" s="219">
        <v>0.01</v>
      </c>
      <c r="AL335" s="229" t="s">
        <v>573</v>
      </c>
      <c r="AM335" s="219">
        <f t="shared" si="497"/>
        <v>0</v>
      </c>
      <c r="AN335" s="229" t="s">
        <v>573</v>
      </c>
      <c r="AO335" s="221">
        <f t="shared" si="498"/>
        <v>0</v>
      </c>
      <c r="AP335" s="222" t="s">
        <v>573</v>
      </c>
      <c r="AQ335" s="221">
        <f t="shared" si="499"/>
        <v>0</v>
      </c>
      <c r="AR335" s="222" t="s">
        <v>573</v>
      </c>
      <c r="AS335" s="58">
        <f t="shared" si="500"/>
        <v>0</v>
      </c>
      <c r="AT335" s="222">
        <v>0</v>
      </c>
      <c r="AU335" s="58">
        <f t="shared" si="501"/>
        <v>0</v>
      </c>
      <c r="AV335" s="222">
        <v>0</v>
      </c>
      <c r="AW335" s="58">
        <f t="shared" si="502"/>
        <v>0</v>
      </c>
      <c r="AX335" s="251">
        <v>0</v>
      </c>
      <c r="AY335" s="58">
        <f t="shared" si="503"/>
        <v>0</v>
      </c>
      <c r="AZ335" s="222" t="s">
        <v>573</v>
      </c>
      <c r="BA335" s="58">
        <f t="shared" si="504"/>
        <v>0</v>
      </c>
      <c r="BB335" s="222">
        <v>360</v>
      </c>
      <c r="BC335" s="58">
        <f t="shared" si="505"/>
        <v>0</v>
      </c>
      <c r="BD335" s="222">
        <v>1080</v>
      </c>
      <c r="BE335" s="58">
        <f t="shared" si="506"/>
        <v>10.8</v>
      </c>
      <c r="BF335" s="222" t="s">
        <v>573</v>
      </c>
      <c r="BG335" s="58">
        <f t="shared" si="507"/>
        <v>0</v>
      </c>
      <c r="BH335" s="223" t="s">
        <v>573</v>
      </c>
      <c r="BI335" s="58">
        <f t="shared" si="508"/>
        <v>0</v>
      </c>
      <c r="BJ335" s="220">
        <f t="shared" ref="BJ335:BJ339" si="509">BH335+BF335+BD335+BB335+AZ335+AX335+AV335+AT335+AR335+AP335+AN335+AL335</f>
        <v>1440</v>
      </c>
      <c r="BK335" s="58"/>
      <c r="BL335" s="58" t="s">
        <v>1425</v>
      </c>
      <c r="BM335" s="220" t="s">
        <v>1408</v>
      </c>
      <c r="BN335" s="213" t="s">
        <v>1329</v>
      </c>
      <c r="BO335" s="58" t="s">
        <v>1342</v>
      </c>
      <c r="BP335" s="199">
        <v>47057</v>
      </c>
      <c r="BQ335" s="2" t="s">
        <v>1387</v>
      </c>
    </row>
    <row r="336" spans="1:69" ht="15.75" customHeight="1">
      <c r="A336" s="213" t="s">
        <v>788</v>
      </c>
      <c r="B336" s="58" t="s">
        <v>1293</v>
      </c>
      <c r="C336" s="58" t="s">
        <v>752</v>
      </c>
      <c r="D336" s="214" t="s">
        <v>789</v>
      </c>
      <c r="E336" s="214" t="s">
        <v>1294</v>
      </c>
      <c r="F336" s="215" t="s">
        <v>186</v>
      </c>
      <c r="G336" s="216">
        <v>2023</v>
      </c>
      <c r="H336" s="218" t="s">
        <v>825</v>
      </c>
      <c r="I336" s="217" t="s">
        <v>781</v>
      </c>
      <c r="J336" s="217" t="s">
        <v>890</v>
      </c>
      <c r="K336" s="213" t="s">
        <v>753</v>
      </c>
      <c r="L336" s="213" t="s">
        <v>192</v>
      </c>
      <c r="M336" s="219" t="s">
        <v>1408</v>
      </c>
      <c r="N336" s="219"/>
      <c r="O336" s="219"/>
      <c r="P336" s="219"/>
      <c r="Q336" s="219"/>
      <c r="R336" s="219">
        <v>31.36</v>
      </c>
      <c r="S336" s="219">
        <v>31.36</v>
      </c>
      <c r="T336" s="219">
        <v>31.36</v>
      </c>
      <c r="U336" s="219">
        <v>31.36</v>
      </c>
      <c r="V336" s="219">
        <v>31.36</v>
      </c>
      <c r="W336" s="219">
        <v>31.36</v>
      </c>
      <c r="X336" s="219">
        <v>31.36</v>
      </c>
      <c r="Y336" s="219">
        <v>31.36</v>
      </c>
      <c r="Z336" s="219"/>
      <c r="AA336" s="219"/>
      <c r="AB336" s="219"/>
      <c r="AC336" s="219"/>
      <c r="AD336" s="219">
        <v>0</v>
      </c>
      <c r="AE336" s="219">
        <v>0</v>
      </c>
      <c r="AF336" s="219">
        <v>0</v>
      </c>
      <c r="AG336" s="219">
        <v>0</v>
      </c>
      <c r="AH336" s="219">
        <v>0</v>
      </c>
      <c r="AI336" s="219">
        <v>0.01</v>
      </c>
      <c r="AJ336" s="219">
        <v>0.01</v>
      </c>
      <c r="AK336" s="219">
        <v>0.01</v>
      </c>
      <c r="AL336" s="229" t="s">
        <v>573</v>
      </c>
      <c r="AM336" s="219">
        <f t="shared" ref="AM336" si="510">Z336*AL336</f>
        <v>0</v>
      </c>
      <c r="AN336" s="229" t="s">
        <v>573</v>
      </c>
      <c r="AO336" s="221">
        <f t="shared" ref="AO336" si="511">AN336*AA336</f>
        <v>0</v>
      </c>
      <c r="AP336" s="222" t="s">
        <v>573</v>
      </c>
      <c r="AQ336" s="221">
        <f t="shared" ref="AQ336" si="512">AP336*AB336</f>
        <v>0</v>
      </c>
      <c r="AR336" s="222" t="s">
        <v>573</v>
      </c>
      <c r="AS336" s="58">
        <f t="shared" ref="AS336" si="513">AR336*AC336</f>
        <v>0</v>
      </c>
      <c r="AT336" s="222">
        <v>0</v>
      </c>
      <c r="AU336" s="58">
        <f t="shared" ref="AU336" si="514">AT336*AD336</f>
        <v>0</v>
      </c>
      <c r="AV336" s="222">
        <v>0</v>
      </c>
      <c r="AW336" s="58">
        <f t="shared" ref="AW336" si="515">AV336*AE336</f>
        <v>0</v>
      </c>
      <c r="AX336" s="251">
        <v>0</v>
      </c>
      <c r="AY336" s="58">
        <f t="shared" ref="AY336" si="516">AX336*AF336</f>
        <v>0</v>
      </c>
      <c r="AZ336" s="222" t="s">
        <v>573</v>
      </c>
      <c r="BA336" s="58">
        <f t="shared" ref="BA336" si="517">AZ336*AG336</f>
        <v>0</v>
      </c>
      <c r="BB336" s="222">
        <v>360</v>
      </c>
      <c r="BC336" s="58">
        <f t="shared" ref="BC336" si="518">BB336*AH336</f>
        <v>0</v>
      </c>
      <c r="BD336" s="222" t="s">
        <v>573</v>
      </c>
      <c r="BE336" s="58">
        <f t="shared" ref="BE336" si="519">BD336*AI336</f>
        <v>0</v>
      </c>
      <c r="BF336" s="222" t="s">
        <v>573</v>
      </c>
      <c r="BG336" s="58">
        <f t="shared" ref="BG336" si="520">BF336*AJ336</f>
        <v>0</v>
      </c>
      <c r="BH336" s="223" t="s">
        <v>573</v>
      </c>
      <c r="BI336" s="58">
        <f t="shared" ref="BI336" si="521">BH336*AK336</f>
        <v>0</v>
      </c>
      <c r="BJ336" s="220">
        <f t="shared" si="509"/>
        <v>360</v>
      </c>
      <c r="BK336" s="58"/>
      <c r="BL336" s="58" t="s">
        <v>1426</v>
      </c>
      <c r="BM336" s="220" t="s">
        <v>1408</v>
      </c>
      <c r="BN336" s="213" t="s">
        <v>1329</v>
      </c>
      <c r="BO336" s="58" t="s">
        <v>1413</v>
      </c>
      <c r="BP336" s="199">
        <v>47057</v>
      </c>
      <c r="BQ336" s="2" t="s">
        <v>1387</v>
      </c>
    </row>
    <row r="337" spans="1:69" ht="15.75" customHeight="1">
      <c r="A337" s="213" t="s">
        <v>788</v>
      </c>
      <c r="B337" s="58" t="s">
        <v>1293</v>
      </c>
      <c r="C337" s="58" t="s">
        <v>752</v>
      </c>
      <c r="D337" s="214" t="s">
        <v>789</v>
      </c>
      <c r="E337" s="214" t="s">
        <v>1294</v>
      </c>
      <c r="F337" s="215" t="s">
        <v>186</v>
      </c>
      <c r="G337" s="216">
        <v>2023</v>
      </c>
      <c r="H337" s="218" t="s">
        <v>825</v>
      </c>
      <c r="I337" s="217" t="s">
        <v>781</v>
      </c>
      <c r="J337" s="217" t="s">
        <v>890</v>
      </c>
      <c r="K337" s="213" t="s">
        <v>753</v>
      </c>
      <c r="L337" s="213" t="s">
        <v>192</v>
      </c>
      <c r="M337" s="219" t="s">
        <v>1414</v>
      </c>
      <c r="N337" s="219"/>
      <c r="O337" s="219"/>
      <c r="P337" s="219"/>
      <c r="Q337" s="219"/>
      <c r="R337" s="219">
        <v>31.36</v>
      </c>
      <c r="S337" s="219">
        <v>31.36</v>
      </c>
      <c r="T337" s="219">
        <v>31.36</v>
      </c>
      <c r="U337" s="219">
        <v>31.36</v>
      </c>
      <c r="V337" s="219">
        <v>31.36</v>
      </c>
      <c r="W337" s="219">
        <v>31.36</v>
      </c>
      <c r="X337" s="219">
        <v>31.36</v>
      </c>
      <c r="Y337" s="219">
        <v>31.36</v>
      </c>
      <c r="Z337" s="219"/>
      <c r="AA337" s="219"/>
      <c r="AB337" s="219"/>
      <c r="AC337" s="219"/>
      <c r="AD337" s="219">
        <v>0</v>
      </c>
      <c r="AE337" s="219">
        <v>0</v>
      </c>
      <c r="AF337" s="219">
        <v>0</v>
      </c>
      <c r="AG337" s="219">
        <v>0</v>
      </c>
      <c r="AH337" s="219">
        <v>0</v>
      </c>
      <c r="AI337" s="219">
        <v>0.01</v>
      </c>
      <c r="AJ337" s="219">
        <v>0.01</v>
      </c>
      <c r="AK337" s="219">
        <v>0.01</v>
      </c>
      <c r="AL337" s="229" t="s">
        <v>573</v>
      </c>
      <c r="AM337" s="219">
        <f t="shared" ref="AM337" si="522">Z337*AL337</f>
        <v>0</v>
      </c>
      <c r="AN337" s="229" t="s">
        <v>573</v>
      </c>
      <c r="AO337" s="221">
        <f t="shared" ref="AO337" si="523">AN337*AA337</f>
        <v>0</v>
      </c>
      <c r="AP337" s="222" t="s">
        <v>573</v>
      </c>
      <c r="AQ337" s="221">
        <f t="shared" ref="AQ337" si="524">AP337*AB337</f>
        <v>0</v>
      </c>
      <c r="AR337" s="222" t="s">
        <v>573</v>
      </c>
      <c r="AS337" s="58">
        <f t="shared" ref="AS337" si="525">AR337*AC337</f>
        <v>0</v>
      </c>
      <c r="AT337" s="222">
        <v>0</v>
      </c>
      <c r="AU337" s="58">
        <f t="shared" ref="AU337" si="526">AT337*AD337</f>
        <v>0</v>
      </c>
      <c r="AV337" s="222">
        <v>0</v>
      </c>
      <c r="AW337" s="58">
        <f t="shared" ref="AW337" si="527">AV337*AE337</f>
        <v>0</v>
      </c>
      <c r="AX337" s="251">
        <v>0</v>
      </c>
      <c r="AY337" s="58">
        <f t="shared" ref="AY337" si="528">AX337*AF337</f>
        <v>0</v>
      </c>
      <c r="AZ337" s="222" t="s">
        <v>573</v>
      </c>
      <c r="BA337" s="58">
        <f t="shared" ref="BA337" si="529">AZ337*AG337</f>
        <v>0</v>
      </c>
      <c r="BB337" s="222" t="s">
        <v>573</v>
      </c>
      <c r="BC337" s="58">
        <f t="shared" ref="BC337" si="530">BB337*AH337</f>
        <v>0</v>
      </c>
      <c r="BD337" s="222">
        <v>10</v>
      </c>
      <c r="BE337" s="58">
        <f t="shared" ref="BE337" si="531">BD337*AI337</f>
        <v>0.1</v>
      </c>
      <c r="BF337" s="222" t="s">
        <v>573</v>
      </c>
      <c r="BG337" s="58">
        <f t="shared" ref="BG337" si="532">BF337*AJ337</f>
        <v>0</v>
      </c>
      <c r="BH337" s="223" t="s">
        <v>573</v>
      </c>
      <c r="BI337" s="58">
        <f t="shared" ref="BI337" si="533">BH337*AK337</f>
        <v>0</v>
      </c>
      <c r="BJ337" s="220">
        <f t="shared" si="509"/>
        <v>10</v>
      </c>
      <c r="BK337" s="58"/>
      <c r="BL337" s="58" t="s">
        <v>1427</v>
      </c>
      <c r="BM337" s="220" t="s">
        <v>1416</v>
      </c>
      <c r="BN337" s="213" t="s">
        <v>1329</v>
      </c>
      <c r="BO337" s="58" t="s">
        <v>1415</v>
      </c>
      <c r="BP337" s="199">
        <v>47057</v>
      </c>
      <c r="BQ337" s="2" t="s">
        <v>1387</v>
      </c>
    </row>
    <row r="338" spans="1:69" ht="15.75" customHeight="1">
      <c r="A338" s="213" t="s">
        <v>788</v>
      </c>
      <c r="B338" s="58" t="s">
        <v>1293</v>
      </c>
      <c r="C338" s="58" t="s">
        <v>752</v>
      </c>
      <c r="D338" s="214" t="s">
        <v>789</v>
      </c>
      <c r="E338" s="214" t="s">
        <v>1294</v>
      </c>
      <c r="F338" s="215" t="s">
        <v>186</v>
      </c>
      <c r="G338" s="216">
        <v>2023</v>
      </c>
      <c r="H338" s="218" t="s">
        <v>825</v>
      </c>
      <c r="I338" s="217" t="s">
        <v>781</v>
      </c>
      <c r="J338" s="217" t="s">
        <v>890</v>
      </c>
      <c r="K338" s="213" t="s">
        <v>753</v>
      </c>
      <c r="L338" s="213" t="s">
        <v>192</v>
      </c>
      <c r="M338" s="219" t="s">
        <v>1407</v>
      </c>
      <c r="N338" s="219"/>
      <c r="O338" s="219"/>
      <c r="P338" s="219"/>
      <c r="Q338" s="219"/>
      <c r="R338" s="219">
        <v>31.36</v>
      </c>
      <c r="S338" s="219">
        <v>31.36</v>
      </c>
      <c r="T338" s="219">
        <v>31.36</v>
      </c>
      <c r="U338" s="219">
        <v>31.36</v>
      </c>
      <c r="V338" s="219">
        <v>31.36</v>
      </c>
      <c r="W338" s="219">
        <v>31.36</v>
      </c>
      <c r="X338" s="219">
        <v>31.36</v>
      </c>
      <c r="Y338" s="219">
        <v>31.36</v>
      </c>
      <c r="Z338" s="219"/>
      <c r="AA338" s="219"/>
      <c r="AB338" s="219"/>
      <c r="AC338" s="219"/>
      <c r="AD338" s="219">
        <v>0</v>
      </c>
      <c r="AE338" s="219">
        <v>0</v>
      </c>
      <c r="AF338" s="219">
        <v>0</v>
      </c>
      <c r="AG338" s="219">
        <v>0</v>
      </c>
      <c r="AH338" s="219">
        <v>0</v>
      </c>
      <c r="AI338" s="219">
        <v>0.01</v>
      </c>
      <c r="AJ338" s="219">
        <v>0.01</v>
      </c>
      <c r="AK338" s="219">
        <v>0.01</v>
      </c>
      <c r="AL338" s="229" t="s">
        <v>573</v>
      </c>
      <c r="AM338" s="219">
        <f t="shared" ref="AM338" si="534">Z338*AL338</f>
        <v>0</v>
      </c>
      <c r="AN338" s="229" t="s">
        <v>573</v>
      </c>
      <c r="AO338" s="221">
        <f t="shared" ref="AO338" si="535">AN338*AA338</f>
        <v>0</v>
      </c>
      <c r="AP338" s="222" t="s">
        <v>573</v>
      </c>
      <c r="AQ338" s="221">
        <f t="shared" ref="AQ338" si="536">AP338*AB338</f>
        <v>0</v>
      </c>
      <c r="AR338" s="222" t="s">
        <v>573</v>
      </c>
      <c r="AS338" s="58">
        <f t="shared" ref="AS338" si="537">AR338*AC338</f>
        <v>0</v>
      </c>
      <c r="AT338" s="222">
        <v>0</v>
      </c>
      <c r="AU338" s="58">
        <f t="shared" ref="AU338" si="538">AT338*AD338</f>
        <v>0</v>
      </c>
      <c r="AV338" s="222">
        <v>0</v>
      </c>
      <c r="AW338" s="58">
        <f t="shared" ref="AW338" si="539">AV338*AE338</f>
        <v>0</v>
      </c>
      <c r="AX338" s="251">
        <v>0</v>
      </c>
      <c r="AY338" s="58">
        <f t="shared" ref="AY338" si="540">AX338*AF338</f>
        <v>0</v>
      </c>
      <c r="AZ338" s="222" t="s">
        <v>573</v>
      </c>
      <c r="BA338" s="58">
        <f t="shared" ref="BA338" si="541">AZ338*AG338</f>
        <v>0</v>
      </c>
      <c r="BB338" s="222">
        <v>360</v>
      </c>
      <c r="BC338" s="58">
        <f t="shared" ref="BC338" si="542">BB338*AH338</f>
        <v>0</v>
      </c>
      <c r="BD338" s="222" t="s">
        <v>573</v>
      </c>
      <c r="BE338" s="58">
        <f t="shared" ref="BE338" si="543">BD338*AI338</f>
        <v>0</v>
      </c>
      <c r="BF338" s="222" t="s">
        <v>573</v>
      </c>
      <c r="BG338" s="58">
        <f t="shared" ref="BG338" si="544">BF338*AJ338</f>
        <v>0</v>
      </c>
      <c r="BH338" s="223" t="s">
        <v>573</v>
      </c>
      <c r="BI338" s="58">
        <f t="shared" ref="BI338" si="545">BH338*AK338</f>
        <v>0</v>
      </c>
      <c r="BJ338" s="220">
        <f t="shared" si="509"/>
        <v>360</v>
      </c>
      <c r="BK338" s="58"/>
      <c r="BL338" s="58" t="s">
        <v>1428</v>
      </c>
      <c r="BM338" s="220" t="s">
        <v>1407</v>
      </c>
      <c r="BN338" s="213" t="s">
        <v>1329</v>
      </c>
      <c r="BO338" s="58" t="s">
        <v>1415</v>
      </c>
      <c r="BP338" s="199">
        <v>47057</v>
      </c>
      <c r="BQ338" s="2" t="s">
        <v>1387</v>
      </c>
    </row>
    <row r="339" spans="1:69" ht="15.75" customHeight="1">
      <c r="A339" s="213" t="s">
        <v>788</v>
      </c>
      <c r="B339" s="58" t="s">
        <v>1293</v>
      </c>
      <c r="C339" s="58" t="s">
        <v>752</v>
      </c>
      <c r="D339" s="214" t="s">
        <v>789</v>
      </c>
      <c r="E339" s="214" t="s">
        <v>1294</v>
      </c>
      <c r="F339" s="215" t="s">
        <v>186</v>
      </c>
      <c r="G339" s="216">
        <v>2023</v>
      </c>
      <c r="H339" s="218" t="s">
        <v>825</v>
      </c>
      <c r="I339" s="217" t="s">
        <v>781</v>
      </c>
      <c r="J339" s="217" t="s">
        <v>890</v>
      </c>
      <c r="K339" s="213" t="s">
        <v>753</v>
      </c>
      <c r="L339" s="213" t="s">
        <v>192</v>
      </c>
      <c r="M339" s="219" t="s">
        <v>1408</v>
      </c>
      <c r="N339" s="219"/>
      <c r="O339" s="219"/>
      <c r="P339" s="219"/>
      <c r="Q339" s="219"/>
      <c r="R339" s="219">
        <v>31.36</v>
      </c>
      <c r="S339" s="219">
        <v>31.36</v>
      </c>
      <c r="T339" s="219">
        <v>31.36</v>
      </c>
      <c r="U339" s="219">
        <v>31.36</v>
      </c>
      <c r="V339" s="219">
        <v>31.36</v>
      </c>
      <c r="W339" s="219">
        <v>31.36</v>
      </c>
      <c r="X339" s="219">
        <v>31.36</v>
      </c>
      <c r="Y339" s="219">
        <v>31.36</v>
      </c>
      <c r="Z339" s="219"/>
      <c r="AA339" s="219"/>
      <c r="AB339" s="219"/>
      <c r="AC339" s="219"/>
      <c r="AD339" s="219">
        <v>0</v>
      </c>
      <c r="AE339" s="219">
        <v>0</v>
      </c>
      <c r="AF339" s="219">
        <v>0</v>
      </c>
      <c r="AG339" s="219">
        <v>0</v>
      </c>
      <c r="AH339" s="219">
        <v>0</v>
      </c>
      <c r="AI339" s="219">
        <v>0.01</v>
      </c>
      <c r="AJ339" s="219">
        <v>0.01</v>
      </c>
      <c r="AK339" s="219">
        <v>0.01</v>
      </c>
      <c r="AL339" s="229" t="s">
        <v>573</v>
      </c>
      <c r="AM339" s="219">
        <f t="shared" ref="AM339" si="546">Z339*AL339</f>
        <v>0</v>
      </c>
      <c r="AN339" s="229" t="s">
        <v>573</v>
      </c>
      <c r="AO339" s="221">
        <f t="shared" ref="AO339" si="547">AN339*AA339</f>
        <v>0</v>
      </c>
      <c r="AP339" s="222" t="s">
        <v>573</v>
      </c>
      <c r="AQ339" s="221">
        <f t="shared" ref="AQ339" si="548">AP339*AB339</f>
        <v>0</v>
      </c>
      <c r="AR339" s="222" t="s">
        <v>573</v>
      </c>
      <c r="AS339" s="58">
        <f t="shared" ref="AS339" si="549">AR339*AC339</f>
        <v>0</v>
      </c>
      <c r="AT339" s="222">
        <v>0</v>
      </c>
      <c r="AU339" s="58">
        <f t="shared" ref="AU339" si="550">AT339*AD339</f>
        <v>0</v>
      </c>
      <c r="AV339" s="222">
        <v>0</v>
      </c>
      <c r="AW339" s="58">
        <f t="shared" ref="AW339" si="551">AV339*AE339</f>
        <v>0</v>
      </c>
      <c r="AX339" s="251">
        <v>0</v>
      </c>
      <c r="AY339" s="58">
        <f t="shared" ref="AY339" si="552">AX339*AF339</f>
        <v>0</v>
      </c>
      <c r="AZ339" s="222" t="s">
        <v>573</v>
      </c>
      <c r="BA339" s="58">
        <f t="shared" ref="BA339" si="553">AZ339*AG339</f>
        <v>0</v>
      </c>
      <c r="BB339" s="222">
        <v>360</v>
      </c>
      <c r="BC339" s="58">
        <f t="shared" ref="BC339" si="554">BB339*AH339</f>
        <v>0</v>
      </c>
      <c r="BD339" s="222" t="s">
        <v>573</v>
      </c>
      <c r="BE339" s="58">
        <f t="shared" ref="BE339" si="555">BD339*AI339</f>
        <v>0</v>
      </c>
      <c r="BF339" s="222" t="s">
        <v>573</v>
      </c>
      <c r="BG339" s="58">
        <f t="shared" ref="BG339" si="556">BF339*AJ339</f>
        <v>0</v>
      </c>
      <c r="BH339" s="223" t="s">
        <v>573</v>
      </c>
      <c r="BI339" s="58">
        <f t="shared" ref="BI339" si="557">BH339*AK339</f>
        <v>0</v>
      </c>
      <c r="BJ339" s="220">
        <f t="shared" si="509"/>
        <v>360</v>
      </c>
      <c r="BK339" s="58"/>
      <c r="BL339" s="58" t="s">
        <v>1429</v>
      </c>
      <c r="BM339" s="220" t="s">
        <v>1408</v>
      </c>
      <c r="BN339" s="213" t="s">
        <v>1329</v>
      </c>
      <c r="BO339" s="58" t="s">
        <v>1415</v>
      </c>
      <c r="BP339" s="199">
        <v>47057</v>
      </c>
      <c r="BQ339" s="2" t="s">
        <v>1387</v>
      </c>
    </row>
    <row r="340" spans="1:69" ht="15.75" customHeight="1" thickBot="1">
      <c r="A340" s="4"/>
      <c r="C340" s="166"/>
      <c r="D340" s="167"/>
      <c r="E340" s="167"/>
      <c r="F340" s="164"/>
      <c r="G340" s="168"/>
      <c r="H340" s="99"/>
      <c r="I340" s="99"/>
      <c r="J340" s="99"/>
      <c r="K340" s="4"/>
      <c r="L340" s="4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202"/>
      <c r="AN340" s="202"/>
      <c r="AO340" s="16"/>
      <c r="AP340" s="202"/>
      <c r="AR340" s="203"/>
      <c r="AT340" s="203"/>
      <c r="AV340" s="204"/>
      <c r="AX340" s="204"/>
      <c r="AZ340" s="204"/>
      <c r="BB340" s="198"/>
      <c r="BD340" s="198"/>
      <c r="BF340" s="198"/>
      <c r="BH340" s="202"/>
      <c r="BM340" s="198"/>
      <c r="BN340" s="4"/>
      <c r="BO340" s="4"/>
      <c r="BP340" s="199"/>
    </row>
    <row r="341" spans="1:69" ht="15.75" customHeight="1" thickBot="1">
      <c r="A341" s="4"/>
      <c r="C341" s="166"/>
      <c r="D341" s="167"/>
      <c r="E341" s="167"/>
      <c r="F341" s="164"/>
      <c r="G341" s="168"/>
      <c r="H341" s="99"/>
      <c r="I341" s="99"/>
      <c r="J341" s="99"/>
      <c r="K341" s="4"/>
      <c r="L341" s="4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207">
        <f>SUM(AL3:AL308)</f>
        <v>721596</v>
      </c>
      <c r="AN341" s="207">
        <f>SUM(AN3:AN308)</f>
        <v>629306</v>
      </c>
      <c r="AO341" s="206"/>
      <c r="AP341" s="207">
        <f>SUM(AP3:AP308)</f>
        <v>500556</v>
      </c>
      <c r="AQ341" s="208"/>
      <c r="AR341" s="207">
        <f>SUM(AR3:AR308)</f>
        <v>317860</v>
      </c>
      <c r="AS341" s="166"/>
      <c r="AT341" s="207">
        <f>SUM(AT3:AT308)</f>
        <v>555924</v>
      </c>
      <c r="AU341" s="166"/>
      <c r="AV341" s="207">
        <f>SUM(AV3:AV308)</f>
        <v>516612</v>
      </c>
      <c r="AW341" s="166"/>
      <c r="AX341" s="207">
        <f>SUM(AX3:AX312)</f>
        <v>361714</v>
      </c>
      <c r="AY341" s="166"/>
      <c r="AZ341" s="207">
        <f>SUM(AZ3:AZ339)</f>
        <v>615460</v>
      </c>
      <c r="BA341" s="166"/>
      <c r="BB341" s="207">
        <f>SUM(BB3:BB339)</f>
        <v>645380</v>
      </c>
      <c r="BC341" s="166"/>
      <c r="BD341" s="207">
        <f>SUM(BD3:BD339)</f>
        <v>604860</v>
      </c>
      <c r="BE341" s="166"/>
      <c r="BF341" s="207">
        <f>SUM(BF3:BF339)</f>
        <v>602094</v>
      </c>
      <c r="BG341" s="166"/>
      <c r="BH341" s="207">
        <f>SUM(BH3:BH339)</f>
        <v>522166</v>
      </c>
      <c r="BI341" s="166"/>
      <c r="BJ341" s="166"/>
      <c r="BK341" s="166"/>
      <c r="BL341" s="166"/>
      <c r="BM341" s="205"/>
      <c r="BN341" s="169"/>
      <c r="BO341" s="169"/>
      <c r="BP341" s="199"/>
    </row>
    <row r="342" spans="1:69" s="237" customFormat="1" ht="15" customHeight="1" thickBot="1">
      <c r="A342" s="231"/>
      <c r="B342" s="232"/>
      <c r="C342" s="232"/>
      <c r="D342" s="233"/>
      <c r="E342" s="233"/>
      <c r="F342" s="234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  <c r="AA342" s="232"/>
      <c r="AB342" s="232"/>
      <c r="AC342" s="232"/>
      <c r="AD342" s="232"/>
      <c r="AE342" s="232"/>
      <c r="AF342" s="232"/>
      <c r="AG342" s="232"/>
      <c r="AH342" s="232"/>
      <c r="AI342" s="232"/>
      <c r="AJ342" s="232"/>
      <c r="AK342" s="232"/>
      <c r="AL342" s="209">
        <f>SUMPRODUCT(AL3:AL341,N3:N341)</f>
        <v>4293644.68</v>
      </c>
      <c r="AM342" s="235"/>
      <c r="AN342" s="209">
        <f>SUMPRODUCT(AN3:AN324,O3:O324)</f>
        <v>3597855.8600000008</v>
      </c>
      <c r="AO342" s="209"/>
      <c r="AP342" s="209">
        <f>SUMPRODUCT(AP3:AP324,P3:P324)</f>
        <v>3180279.8400000003</v>
      </c>
      <c r="AQ342" s="209"/>
      <c r="AR342" s="209">
        <f>SUMPRODUCT(AR3:AR324,Q3:Q324)</f>
        <v>2086614.4999999998</v>
      </c>
      <c r="AS342" s="210"/>
      <c r="AT342" s="209">
        <f>SUMPRODUCT(AT3:AT324,R3:R324)</f>
        <v>3262119.8399999994</v>
      </c>
      <c r="AU342" s="210"/>
      <c r="AV342" s="209">
        <f>SUMPRODUCT(AV3:AV324,S3:S324)</f>
        <v>3697502.82</v>
      </c>
      <c r="AW342" s="210"/>
      <c r="AX342" s="209">
        <f>SUMPRODUCT(AX3:AX324,T3:T324)</f>
        <v>2537056.4400000013</v>
      </c>
      <c r="AY342" s="210"/>
      <c r="AZ342" s="209">
        <f>SUMPRODUCT(AZ3:AZ339,U3:U339)</f>
        <v>4017523.7000000007</v>
      </c>
      <c r="BA342" s="210"/>
      <c r="BB342" s="209">
        <f>SUMPRODUCT(BB3:BB339,V3:V339)</f>
        <v>4458087.9999999981</v>
      </c>
      <c r="BC342" s="210"/>
      <c r="BD342" s="209">
        <f>SUMPRODUCT(BD3:BD339,W3:W339)</f>
        <v>3958526.9</v>
      </c>
      <c r="BE342" s="210"/>
      <c r="BF342" s="209">
        <f>SUMPRODUCT(BF3:BF339,X3:X339)</f>
        <v>4375952.9800000004</v>
      </c>
      <c r="BG342" s="210"/>
      <c r="BH342" s="209">
        <f>SUMPRODUCT(BH3:BH339,Y3:Y339)</f>
        <v>3386146.7199999997</v>
      </c>
      <c r="BI342" s="210"/>
      <c r="BJ342" s="210"/>
      <c r="BK342" s="210"/>
      <c r="BL342" s="236">
        <f>SUM(AL342:BH342)</f>
        <v>42851312.280000001</v>
      </c>
      <c r="BM342" s="210"/>
      <c r="BN342" s="210"/>
      <c r="BO342" s="210"/>
    </row>
    <row r="343" spans="1:69">
      <c r="A343" s="93"/>
      <c r="AL343" s="230"/>
      <c r="AO343" s="204"/>
      <c r="AQ343" s="204"/>
      <c r="AR343" s="202"/>
      <c r="AT343" s="202"/>
    </row>
    <row r="344" spans="1:69">
      <c r="A344" s="93"/>
      <c r="AR344" s="16"/>
      <c r="BL344" s="239">
        <f>BL342/[6]FY24!BM287</f>
        <v>1.1025410775352371</v>
      </c>
    </row>
    <row r="350" spans="1:69">
      <c r="AO350" s="16"/>
    </row>
    <row r="351" spans="1:69">
      <c r="BP351" s="198"/>
    </row>
    <row r="352" spans="1:69">
      <c r="AK352" s="114"/>
    </row>
    <row r="353" spans="1:68">
      <c r="AK353" s="114"/>
    </row>
    <row r="354" spans="1:68">
      <c r="AK354" s="114"/>
      <c r="BL354" s="241"/>
    </row>
    <row r="355" spans="1:68">
      <c r="AK355" s="114"/>
    </row>
    <row r="356" spans="1:68">
      <c r="AK356" s="114"/>
    </row>
    <row r="357" spans="1:68">
      <c r="AK357" s="114"/>
    </row>
    <row r="358" spans="1:68" s="204" customFormat="1">
      <c r="A358" s="2"/>
      <c r="B358" s="2"/>
      <c r="C358" s="2"/>
      <c r="D358" s="2"/>
      <c r="E358" s="2"/>
      <c r="F358" s="2"/>
      <c r="G358" s="2"/>
      <c r="H358" s="2"/>
      <c r="I358" s="2"/>
      <c r="J358" s="211"/>
      <c r="K358" s="2"/>
      <c r="L358" s="2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14"/>
      <c r="AL358" s="203"/>
      <c r="AM358" s="40"/>
      <c r="AN358" s="203"/>
      <c r="AO358" s="40"/>
      <c r="AQ358" s="40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</row>
    <row r="359" spans="1:68" s="204" customFormat="1">
      <c r="A359" s="2"/>
      <c r="B359" s="2"/>
      <c r="C359" s="2"/>
      <c r="D359" s="2"/>
      <c r="E359" s="2"/>
      <c r="F359" s="2"/>
      <c r="G359" s="2"/>
      <c r="H359" s="2"/>
      <c r="I359" s="2"/>
      <c r="J359" s="211"/>
      <c r="K359" s="2"/>
      <c r="L359" s="2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14"/>
      <c r="AL359" s="203"/>
      <c r="AM359" s="40"/>
      <c r="AN359" s="203"/>
      <c r="AO359" s="40"/>
      <c r="AQ359" s="40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</row>
    <row r="360" spans="1:68" s="204" customFormat="1">
      <c r="A360" s="2"/>
      <c r="B360" s="2"/>
      <c r="C360" s="2"/>
      <c r="D360" s="2"/>
      <c r="E360" s="2"/>
      <c r="F360" s="2"/>
      <c r="G360" s="2"/>
      <c r="H360" s="2"/>
      <c r="I360" s="2"/>
      <c r="J360" s="211"/>
      <c r="K360" s="2"/>
      <c r="L360" s="2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14"/>
      <c r="AL360" s="203"/>
      <c r="AM360" s="40"/>
      <c r="AN360" s="203"/>
      <c r="AO360" s="40"/>
      <c r="AQ360" s="40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</row>
    <row r="361" spans="1:68" s="204" customFormat="1">
      <c r="A361" s="2"/>
      <c r="B361" s="2"/>
      <c r="C361" s="2"/>
      <c r="D361" s="2"/>
      <c r="E361" s="2"/>
      <c r="F361" s="2"/>
      <c r="G361" s="2"/>
      <c r="H361" s="2"/>
      <c r="I361" s="2"/>
      <c r="J361" s="211"/>
      <c r="K361" s="2"/>
      <c r="L361" s="2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14"/>
      <c r="AL361" s="203"/>
      <c r="AM361" s="40"/>
      <c r="AN361" s="203"/>
      <c r="AO361" s="40"/>
      <c r="AQ361" s="40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</row>
    <row r="362" spans="1:68" s="204" customFormat="1">
      <c r="A362" s="2"/>
      <c r="B362" s="2"/>
      <c r="C362" s="2"/>
      <c r="D362" s="2"/>
      <c r="E362" s="2"/>
      <c r="F362" s="2"/>
      <c r="G362" s="2"/>
      <c r="H362" s="2"/>
      <c r="I362" s="2"/>
      <c r="J362" s="211"/>
      <c r="K362" s="2"/>
      <c r="L362" s="2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14"/>
      <c r="AL362" s="203"/>
      <c r="AM362" s="40"/>
      <c r="AN362" s="203"/>
      <c r="AO362" s="40"/>
      <c r="AQ362" s="40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</row>
    <row r="363" spans="1:68" s="204" customFormat="1">
      <c r="A363" s="2"/>
      <c r="B363" s="2"/>
      <c r="C363" s="2"/>
      <c r="D363" s="2"/>
      <c r="E363" s="2"/>
      <c r="F363" s="2"/>
      <c r="G363" s="2"/>
      <c r="H363" s="2"/>
      <c r="I363" s="2"/>
      <c r="J363" s="211"/>
      <c r="K363" s="2"/>
      <c r="L363" s="2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14"/>
      <c r="AL363" s="203"/>
      <c r="AM363" s="40"/>
      <c r="AN363" s="203"/>
      <c r="AO363" s="40"/>
      <c r="AQ363" s="40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</row>
    <row r="364" spans="1:68" s="204" customFormat="1">
      <c r="A364" s="2"/>
      <c r="B364" s="2"/>
      <c r="C364" s="2"/>
      <c r="D364" s="2"/>
      <c r="E364" s="2"/>
      <c r="F364" s="2"/>
      <c r="G364" s="2"/>
      <c r="H364" s="2"/>
      <c r="I364" s="2"/>
      <c r="J364" s="211"/>
      <c r="K364" s="2"/>
      <c r="L364" s="2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14"/>
      <c r="AL364" s="203"/>
      <c r="AM364" s="40"/>
      <c r="AN364" s="203"/>
      <c r="AO364" s="40"/>
      <c r="AQ364" s="40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</row>
    <row r="365" spans="1:68" s="204" customFormat="1">
      <c r="A365" s="2"/>
      <c r="B365" s="2"/>
      <c r="C365" s="2"/>
      <c r="D365" s="2"/>
      <c r="E365" s="2"/>
      <c r="F365" s="2"/>
      <c r="G365" s="2"/>
      <c r="H365" s="2"/>
      <c r="I365" s="2"/>
      <c r="J365" s="211"/>
      <c r="K365" s="2"/>
      <c r="L365" s="2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14"/>
      <c r="AL365" s="203"/>
      <c r="AM365" s="40"/>
      <c r="AN365" s="203"/>
      <c r="AO365" s="40"/>
      <c r="AQ365" s="40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</row>
    <row r="366" spans="1:68" s="204" customFormat="1">
      <c r="A366" s="2"/>
      <c r="B366" s="2"/>
      <c r="C366" s="2"/>
      <c r="D366" s="2"/>
      <c r="E366" s="2"/>
      <c r="F366" s="2"/>
      <c r="G366" s="2"/>
      <c r="H366" s="2"/>
      <c r="I366" s="2"/>
      <c r="J366" s="211"/>
      <c r="K366" s="2"/>
      <c r="L366" s="2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14"/>
      <c r="AL366" s="203"/>
      <c r="AM366" s="40"/>
      <c r="AN366" s="203"/>
      <c r="AO366" s="40"/>
      <c r="AQ366" s="40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</row>
    <row r="367" spans="1:68" s="204" customFormat="1">
      <c r="A367" s="2"/>
      <c r="B367" s="2"/>
      <c r="C367" s="2"/>
      <c r="D367" s="2"/>
      <c r="E367" s="2"/>
      <c r="F367" s="2"/>
      <c r="G367" s="2"/>
      <c r="H367" s="2"/>
      <c r="I367" s="2"/>
      <c r="J367" s="211"/>
      <c r="K367" s="2"/>
      <c r="L367" s="2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14"/>
      <c r="AL367" s="203"/>
      <c r="AM367" s="40"/>
      <c r="AN367" s="203"/>
      <c r="AO367" s="40"/>
      <c r="AQ367" s="40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</row>
    <row r="368" spans="1:68" s="204" customFormat="1">
      <c r="A368" s="2"/>
      <c r="B368" s="2"/>
      <c r="C368" s="2"/>
      <c r="D368" s="2"/>
      <c r="E368" s="2"/>
      <c r="F368" s="2"/>
      <c r="G368" s="2"/>
      <c r="H368" s="2"/>
      <c r="I368" s="2"/>
      <c r="J368" s="211"/>
      <c r="K368" s="2"/>
      <c r="L368" s="2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14"/>
      <c r="AL368" s="203"/>
      <c r="AM368" s="40"/>
      <c r="AN368" s="203"/>
      <c r="AO368" s="40"/>
      <c r="AQ368" s="40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</row>
    <row r="369" spans="1:68" s="204" customFormat="1">
      <c r="A369" s="2"/>
      <c r="B369" s="2"/>
      <c r="C369" s="2"/>
      <c r="D369" s="2"/>
      <c r="E369" s="2"/>
      <c r="F369" s="2"/>
      <c r="G369" s="2"/>
      <c r="H369" s="2"/>
      <c r="I369" s="2"/>
      <c r="J369" s="211"/>
      <c r="K369" s="2"/>
      <c r="L369" s="2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14"/>
      <c r="AL369" s="203"/>
      <c r="AM369" s="40"/>
      <c r="AN369" s="203"/>
      <c r="AO369" s="40"/>
      <c r="AQ369" s="40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</row>
    <row r="370" spans="1:68" s="204" customFormat="1">
      <c r="A370" s="2"/>
      <c r="B370" s="2"/>
      <c r="C370" s="2"/>
      <c r="D370" s="2"/>
      <c r="E370" s="2"/>
      <c r="F370" s="2"/>
      <c r="G370" s="2"/>
      <c r="H370" s="2"/>
      <c r="I370" s="2"/>
      <c r="J370" s="211"/>
      <c r="K370" s="2"/>
      <c r="L370" s="2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14"/>
      <c r="AL370" s="203"/>
      <c r="AM370" s="40"/>
      <c r="AN370" s="203"/>
      <c r="AO370" s="40"/>
      <c r="AQ370" s="40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</row>
    <row r="371" spans="1:68" s="204" customFormat="1">
      <c r="A371" s="2"/>
      <c r="B371" s="2"/>
      <c r="C371" s="2"/>
      <c r="D371" s="2"/>
      <c r="E371" s="2"/>
      <c r="F371" s="2"/>
      <c r="G371" s="2"/>
      <c r="H371" s="2"/>
      <c r="I371" s="2"/>
      <c r="J371" s="211"/>
      <c r="K371" s="2"/>
      <c r="L371" s="2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14"/>
      <c r="AL371" s="203"/>
      <c r="AM371" s="40"/>
      <c r="AN371" s="203"/>
      <c r="AO371" s="40"/>
      <c r="AQ371" s="40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</row>
    <row r="372" spans="1:68" s="204" customFormat="1">
      <c r="A372" s="2"/>
      <c r="B372" s="2"/>
      <c r="C372" s="2"/>
      <c r="D372" s="2"/>
      <c r="E372" s="2"/>
      <c r="F372" s="2"/>
      <c r="G372" s="2"/>
      <c r="H372" s="2"/>
      <c r="I372" s="2"/>
      <c r="J372" s="211"/>
      <c r="K372" s="2"/>
      <c r="L372" s="2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14"/>
      <c r="AL372" s="203"/>
      <c r="AM372" s="40"/>
      <c r="AN372" s="203"/>
      <c r="AO372" s="40"/>
      <c r="AQ372" s="40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</row>
    <row r="373" spans="1:68" s="204" customFormat="1">
      <c r="A373" s="2"/>
      <c r="B373" s="2"/>
      <c r="C373" s="2"/>
      <c r="D373" s="2"/>
      <c r="E373" s="2"/>
      <c r="F373" s="2"/>
      <c r="G373" s="2"/>
      <c r="H373" s="2"/>
      <c r="I373" s="2"/>
      <c r="J373" s="211"/>
      <c r="K373" s="2"/>
      <c r="L373" s="2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14"/>
      <c r="AL373" s="203"/>
      <c r="AM373" s="40"/>
      <c r="AN373" s="203"/>
      <c r="AO373" s="40"/>
      <c r="AQ373" s="40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66EE-525C-49BC-A593-5C43BF03191E}">
  <dimension ref="A1:BM405"/>
  <sheetViews>
    <sheetView tabSelected="1" topLeftCell="U1" zoomScale="90" zoomScaleNormal="90" workbookViewId="0">
      <pane ySplit="2" topLeftCell="A369" activePane="bottomLeft" state="frozen"/>
      <selection activeCell="C5" sqref="C5"/>
      <selection pane="bottomLeft" activeCell="AT2" sqref="AT2"/>
    </sheetView>
  </sheetViews>
  <sheetFormatPr defaultColWidth="9" defaultRowHeight="14.4"/>
  <cols>
    <col min="1" max="1" width="5.109375" style="2" bestFit="1" customWidth="1"/>
    <col min="2" max="2" width="11.6640625" style="2" customWidth="1"/>
    <col min="3" max="3" width="7.33203125" style="2" bestFit="1" customWidth="1"/>
    <col min="4" max="4" width="11.21875" style="2" bestFit="1" customWidth="1"/>
    <col min="5" max="5" width="11.44140625" style="2" bestFit="1" customWidth="1"/>
    <col min="6" max="6" width="9.6640625" style="2" bestFit="1" customWidth="1"/>
    <col min="7" max="7" width="15.88671875" style="2" bestFit="1" customWidth="1"/>
    <col min="8" max="8" width="16.88671875" style="2" bestFit="1" customWidth="1"/>
    <col min="9" max="9" width="15.44140625" style="2" bestFit="1" customWidth="1"/>
    <col min="10" max="10" width="8" style="211" customWidth="1"/>
    <col min="11" max="11" width="20.21875" style="2" customWidth="1"/>
    <col min="12" max="12" width="17.33203125" style="2" bestFit="1" customWidth="1"/>
    <col min="13" max="13" width="22.21875" style="16" bestFit="1" customWidth="1"/>
    <col min="14" max="25" width="7.6640625" style="16" customWidth="1"/>
    <col min="26" max="27" width="7" style="16" customWidth="1"/>
    <col min="28" max="28" width="8" style="16" customWidth="1"/>
    <col min="29" max="33" width="7" style="16" customWidth="1"/>
    <col min="34" max="34" width="6.88671875" style="16" customWidth="1"/>
    <col min="35" max="35" width="7" style="16" customWidth="1"/>
    <col min="36" max="36" width="6.109375" style="16" customWidth="1"/>
    <col min="37" max="37" width="7" style="16" customWidth="1"/>
    <col min="38" max="38" width="11.109375" style="203" customWidth="1"/>
    <col min="39" max="39" width="10.44140625" style="40" customWidth="1"/>
    <col min="40" max="40" width="11.109375" style="203" customWidth="1"/>
    <col min="41" max="41" width="10.21875" style="40" customWidth="1"/>
    <col min="42" max="42" width="11.77734375" style="204" customWidth="1"/>
    <col min="43" max="43" width="10.109375" style="40" customWidth="1"/>
    <col min="44" max="44" width="12.88671875" style="2" customWidth="1"/>
    <col min="45" max="45" width="10.21875" style="2" customWidth="1"/>
    <col min="46" max="46" width="13.21875" style="2" customWidth="1"/>
    <col min="47" max="47" width="10.44140625" style="2" customWidth="1"/>
    <col min="48" max="48" width="13" style="2" customWidth="1"/>
    <col min="49" max="49" width="10.109375" style="2" customWidth="1"/>
    <col min="50" max="50" width="11.109375" style="2" customWidth="1"/>
    <col min="51" max="51" width="10.88671875" style="2" customWidth="1"/>
    <col min="52" max="52" width="11.109375" style="2" customWidth="1"/>
    <col min="53" max="53" width="10.5546875" style="2" customWidth="1"/>
    <col min="54" max="56" width="11.109375" style="2" customWidth="1"/>
    <col min="57" max="57" width="10.33203125" style="2" customWidth="1"/>
    <col min="58" max="58" width="11.109375" style="2" customWidth="1"/>
    <col min="59" max="59" width="10.21875" style="2" customWidth="1"/>
    <col min="60" max="60" width="11.109375" style="2" customWidth="1"/>
    <col min="61" max="61" width="11.77734375" style="2" customWidth="1"/>
    <col min="62" max="62" width="19.44140625" style="2" customWidth="1"/>
    <col min="63" max="63" width="15.88671875" style="2" customWidth="1"/>
    <col min="64" max="64" width="11.44140625" style="2" customWidth="1"/>
    <col min="65" max="65" width="13.44140625" style="2" customWidth="1"/>
    <col min="66" max="66" width="9" style="2" customWidth="1"/>
    <col min="67" max="16384" width="9" style="2"/>
  </cols>
  <sheetData>
    <row r="1" spans="1:65" ht="57.6">
      <c r="A1" s="224"/>
      <c r="B1" s="37"/>
      <c r="C1" s="37"/>
      <c r="D1" s="37" t="s">
        <v>115</v>
      </c>
      <c r="E1" s="23" t="s">
        <v>116</v>
      </c>
      <c r="F1" s="8"/>
      <c r="G1" s="18" t="s">
        <v>856</v>
      </c>
      <c r="H1" s="18" t="s">
        <v>857</v>
      </c>
      <c r="I1" s="22" t="s">
        <v>858</v>
      </c>
      <c r="J1" s="22" t="s">
        <v>867</v>
      </c>
      <c r="K1" s="22" t="s">
        <v>868</v>
      </c>
      <c r="L1" s="22" t="s">
        <v>859</v>
      </c>
      <c r="M1" s="22" t="s">
        <v>1345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54"/>
      <c r="AM1" s="255">
        <f>SUM(AM3:AM1155)</f>
        <v>69515.300000000017</v>
      </c>
      <c r="AN1" s="256"/>
      <c r="AO1" s="255">
        <f>SUM(AO3:AO1163)</f>
        <v>66742.3</v>
      </c>
      <c r="AP1" s="255"/>
      <c r="AQ1" s="255">
        <f>SUM(AQ3:AQ1163)</f>
        <v>88524.680000000008</v>
      </c>
      <c r="AR1" s="257"/>
      <c r="AS1" s="257">
        <f>SUM(AS3:AS1163)</f>
        <v>30305.999999999996</v>
      </c>
      <c r="AT1" s="257"/>
      <c r="AU1" s="257">
        <f>SUM(AU3:AU1023)</f>
        <v>77087.520000000033</v>
      </c>
      <c r="AV1" s="257"/>
      <c r="AW1" s="257">
        <f>SUM(AW3:AW1023)</f>
        <v>85791.880000000019</v>
      </c>
      <c r="AX1" s="257"/>
      <c r="AY1" s="257">
        <f>SUM(AY3:AY1023)</f>
        <v>53019.869999999988</v>
      </c>
      <c r="AZ1" s="257"/>
      <c r="BA1" s="257">
        <f>SUM(BA3:BA1023)</f>
        <v>74783.530000000042</v>
      </c>
      <c r="BB1" s="257"/>
      <c r="BC1" s="257">
        <f>SUM(BC3:BC1023)</f>
        <v>83380.890000000043</v>
      </c>
      <c r="BD1" s="257"/>
      <c r="BE1" s="257">
        <f>SUM(BE3:BE1023)</f>
        <v>86088.93</v>
      </c>
      <c r="BF1" s="257"/>
      <c r="BG1" s="257">
        <f>SUM(BG3:BG1023)</f>
        <v>66951.289999999994</v>
      </c>
      <c r="BH1" s="257"/>
      <c r="BI1" s="257">
        <f>SUM(BI3:BI1023)</f>
        <v>50819.990000000005</v>
      </c>
      <c r="BJ1" s="22" t="s">
        <v>860</v>
      </c>
      <c r="BK1" s="22" t="s">
        <v>861</v>
      </c>
      <c r="BL1" s="22" t="s">
        <v>862</v>
      </c>
      <c r="BM1" s="22" t="s">
        <v>863</v>
      </c>
    </row>
    <row r="2" spans="1:65" s="7" customFormat="1" ht="61.95" customHeight="1">
      <c r="A2" s="59" t="s">
        <v>1438</v>
      </c>
      <c r="B2" s="225" t="s">
        <v>124</v>
      </c>
      <c r="C2" s="226" t="s">
        <v>125</v>
      </c>
      <c r="D2" s="215" t="s">
        <v>126</v>
      </c>
      <c r="E2" s="215" t="s">
        <v>78</v>
      </c>
      <c r="F2" s="215" t="s">
        <v>127</v>
      </c>
      <c r="G2" s="66" t="s">
        <v>128</v>
      </c>
      <c r="H2" s="215" t="s">
        <v>0</v>
      </c>
      <c r="I2" s="66" t="s">
        <v>129</v>
      </c>
      <c r="J2" s="67" t="s">
        <v>130</v>
      </c>
      <c r="K2" s="66" t="s">
        <v>131</v>
      </c>
      <c r="L2" s="66" t="s">
        <v>132</v>
      </c>
      <c r="M2" s="227" t="s">
        <v>133</v>
      </c>
      <c r="N2" s="118" t="s">
        <v>135</v>
      </c>
      <c r="O2" s="118" t="s">
        <v>136</v>
      </c>
      <c r="P2" s="118" t="s">
        <v>137</v>
      </c>
      <c r="Q2" s="118" t="s">
        <v>138</v>
      </c>
      <c r="R2" s="118" t="s">
        <v>139</v>
      </c>
      <c r="S2" s="118" t="s">
        <v>140</v>
      </c>
      <c r="T2" s="118" t="s">
        <v>141</v>
      </c>
      <c r="U2" s="118" t="s">
        <v>142</v>
      </c>
      <c r="V2" s="118" t="s">
        <v>143</v>
      </c>
      <c r="W2" s="118" t="s">
        <v>3</v>
      </c>
      <c r="X2" s="118" t="s">
        <v>144</v>
      </c>
      <c r="Y2" s="118" t="s">
        <v>145</v>
      </c>
      <c r="Z2" s="46" t="s">
        <v>147</v>
      </c>
      <c r="AA2" s="46" t="s">
        <v>148</v>
      </c>
      <c r="AB2" s="46" t="s">
        <v>149</v>
      </c>
      <c r="AC2" s="46" t="s">
        <v>150</v>
      </c>
      <c r="AD2" s="46" t="s">
        <v>151</v>
      </c>
      <c r="AE2" s="46" t="s">
        <v>152</v>
      </c>
      <c r="AF2" s="46" t="s">
        <v>153</v>
      </c>
      <c r="AG2" s="46" t="s">
        <v>154</v>
      </c>
      <c r="AH2" s="46" t="s">
        <v>155</v>
      </c>
      <c r="AI2" s="46" t="s">
        <v>156</v>
      </c>
      <c r="AJ2" s="46" t="s">
        <v>157</v>
      </c>
      <c r="AK2" s="46" t="s">
        <v>158</v>
      </c>
      <c r="AL2" s="228" t="s">
        <v>159</v>
      </c>
      <c r="AM2" s="44" t="s">
        <v>160</v>
      </c>
      <c r="AN2" s="228" t="s">
        <v>161</v>
      </c>
      <c r="AO2" s="44" t="s">
        <v>162</v>
      </c>
      <c r="AP2" s="44" t="s">
        <v>163</v>
      </c>
      <c r="AQ2" s="44" t="s">
        <v>164</v>
      </c>
      <c r="AR2" s="62" t="s">
        <v>165</v>
      </c>
      <c r="AS2" s="47" t="s">
        <v>166</v>
      </c>
      <c r="AT2" s="62" t="s">
        <v>167</v>
      </c>
      <c r="AU2" s="47" t="s">
        <v>168</v>
      </c>
      <c r="AV2" s="47" t="s">
        <v>169</v>
      </c>
      <c r="AW2" s="47" t="s">
        <v>170</v>
      </c>
      <c r="AX2" s="64" t="s">
        <v>171</v>
      </c>
      <c r="AY2" s="48" t="s">
        <v>172</v>
      </c>
      <c r="AZ2" s="64" t="s">
        <v>173</v>
      </c>
      <c r="BA2" s="48" t="s">
        <v>174</v>
      </c>
      <c r="BB2" s="64" t="s">
        <v>748</v>
      </c>
      <c r="BC2" s="48" t="s">
        <v>176</v>
      </c>
      <c r="BD2" s="65" t="s">
        <v>177</v>
      </c>
      <c r="BE2" s="45" t="s">
        <v>178</v>
      </c>
      <c r="BF2" s="65" t="s">
        <v>179</v>
      </c>
      <c r="BG2" s="45" t="s">
        <v>180</v>
      </c>
      <c r="BH2" s="45" t="s">
        <v>181</v>
      </c>
      <c r="BI2" s="45" t="s">
        <v>182</v>
      </c>
      <c r="BJ2" s="119" t="s">
        <v>2</v>
      </c>
      <c r="BK2" s="119" t="s">
        <v>1403</v>
      </c>
      <c r="BL2" s="119" t="s">
        <v>749</v>
      </c>
      <c r="BM2" s="119" t="s">
        <v>1519</v>
      </c>
    </row>
    <row r="3" spans="1:65">
      <c r="A3" s="213" t="s">
        <v>1439</v>
      </c>
      <c r="B3" s="58" t="s">
        <v>184</v>
      </c>
      <c r="C3" s="58" t="s">
        <v>752</v>
      </c>
      <c r="D3" s="214" t="s">
        <v>186</v>
      </c>
      <c r="E3" s="214" t="s">
        <v>186</v>
      </c>
      <c r="F3" s="215" t="s">
        <v>186</v>
      </c>
      <c r="G3" s="216">
        <v>2018</v>
      </c>
      <c r="H3" s="213" t="s">
        <v>790</v>
      </c>
      <c r="I3" s="213" t="s">
        <v>196</v>
      </c>
      <c r="J3" s="217" t="s">
        <v>890</v>
      </c>
      <c r="K3" s="213" t="s">
        <v>753</v>
      </c>
      <c r="L3" s="218" t="s">
        <v>192</v>
      </c>
      <c r="M3" s="219" t="s">
        <v>1388</v>
      </c>
      <c r="N3" s="265">
        <v>2</v>
      </c>
      <c r="O3" s="265">
        <v>2</v>
      </c>
      <c r="P3" s="265">
        <v>2</v>
      </c>
      <c r="Q3" s="265">
        <v>2</v>
      </c>
      <c r="R3" s="265">
        <v>2</v>
      </c>
      <c r="S3" s="265">
        <v>2</v>
      </c>
      <c r="T3" s="265">
        <v>2</v>
      </c>
      <c r="U3" s="265">
        <v>2</v>
      </c>
      <c r="V3" s="265">
        <v>2</v>
      </c>
      <c r="W3" s="265">
        <v>2</v>
      </c>
      <c r="X3" s="265">
        <v>2</v>
      </c>
      <c r="Y3" s="265">
        <v>2</v>
      </c>
      <c r="Z3" s="265">
        <v>0</v>
      </c>
      <c r="AA3" s="265">
        <v>0</v>
      </c>
      <c r="AB3" s="265">
        <v>0</v>
      </c>
      <c r="AC3" s="265">
        <v>0</v>
      </c>
      <c r="AD3" s="265">
        <v>0</v>
      </c>
      <c r="AE3" s="265">
        <v>0</v>
      </c>
      <c r="AF3" s="265">
        <v>0</v>
      </c>
      <c r="AG3" s="265">
        <v>0</v>
      </c>
      <c r="AH3" s="265">
        <v>0</v>
      </c>
      <c r="AI3" s="265">
        <v>0</v>
      </c>
      <c r="AJ3" s="265">
        <v>0</v>
      </c>
      <c r="AK3" s="265">
        <v>0</v>
      </c>
      <c r="AL3" s="266" t="s">
        <v>573</v>
      </c>
      <c r="AM3" s="265">
        <f t="shared" ref="AM3:AM34" si="0">Z3*AL3</f>
        <v>0</v>
      </c>
      <c r="AN3" s="266" t="s">
        <v>573</v>
      </c>
      <c r="AO3" s="265">
        <f t="shared" ref="AO3:AO66" si="1">AN3*AA3</f>
        <v>0</v>
      </c>
      <c r="AP3" s="266">
        <v>2880</v>
      </c>
      <c r="AQ3" s="265">
        <f t="shared" ref="AQ3:AQ34" si="2">AP3*AB3</f>
        <v>0</v>
      </c>
      <c r="AR3" s="266">
        <v>0</v>
      </c>
      <c r="AS3" s="262">
        <f t="shared" ref="AS3:AS34" si="3">AR3*AC3</f>
        <v>0</v>
      </c>
      <c r="AT3" s="266">
        <v>0</v>
      </c>
      <c r="AU3" s="260">
        <f t="shared" ref="AU3:AU34" si="4">AT3*AD3</f>
        <v>0</v>
      </c>
      <c r="AV3" s="259">
        <v>0</v>
      </c>
      <c r="AW3" s="260">
        <f t="shared" ref="AW3:AW34" si="5">AV3*AE3</f>
        <v>0</v>
      </c>
      <c r="AX3" s="261" t="s">
        <v>573</v>
      </c>
      <c r="AY3" s="260">
        <f t="shared" ref="AY3:AY34" si="6">AX3*AF3</f>
        <v>0</v>
      </c>
      <c r="AZ3" s="259" t="s">
        <v>573</v>
      </c>
      <c r="BA3" s="260">
        <f t="shared" ref="BA3:BA34" si="7">AZ3*AG3</f>
        <v>0</v>
      </c>
      <c r="BB3" s="259" t="s">
        <v>573</v>
      </c>
      <c r="BC3" s="260">
        <f t="shared" ref="BC3:BC34" si="8">BB3*AH3</f>
        <v>0</v>
      </c>
      <c r="BD3" s="259">
        <v>2880</v>
      </c>
      <c r="BE3" s="260">
        <f t="shared" ref="BE3:BE34" si="9">BD3*AI3</f>
        <v>0</v>
      </c>
      <c r="BF3" s="259" t="s">
        <v>573</v>
      </c>
      <c r="BG3" s="260">
        <f t="shared" ref="BG3:BG34" si="10">BF3*AJ3</f>
        <v>0</v>
      </c>
      <c r="BH3" s="259" t="s">
        <v>573</v>
      </c>
      <c r="BI3" s="260">
        <f t="shared" ref="BI3:BI66" si="11">BH3*AK3</f>
        <v>0</v>
      </c>
      <c r="BJ3" s="58"/>
      <c r="BK3" s="220"/>
      <c r="BL3" s="213" t="s">
        <v>754</v>
      </c>
      <c r="BM3" s="58" t="s">
        <v>579</v>
      </c>
    </row>
    <row r="4" spans="1:65" ht="15.75" customHeight="1">
      <c r="A4" s="213" t="s">
        <v>1439</v>
      </c>
      <c r="B4" s="58" t="s">
        <v>184</v>
      </c>
      <c r="C4" s="58" t="s">
        <v>752</v>
      </c>
      <c r="D4" s="214" t="s">
        <v>186</v>
      </c>
      <c r="E4" s="214" t="s">
        <v>186</v>
      </c>
      <c r="F4" s="215" t="s">
        <v>186</v>
      </c>
      <c r="G4" s="216">
        <v>2018</v>
      </c>
      <c r="H4" s="213" t="s">
        <v>791</v>
      </c>
      <c r="I4" s="213" t="s">
        <v>196</v>
      </c>
      <c r="J4" s="217" t="s">
        <v>890</v>
      </c>
      <c r="K4" s="213" t="s">
        <v>191</v>
      </c>
      <c r="L4" s="218" t="s">
        <v>192</v>
      </c>
      <c r="M4" s="219" t="s">
        <v>1389</v>
      </c>
      <c r="N4" s="265">
        <v>1.79</v>
      </c>
      <c r="O4" s="265">
        <v>1.79</v>
      </c>
      <c r="P4" s="265">
        <v>1.79</v>
      </c>
      <c r="Q4" s="265">
        <v>1.79</v>
      </c>
      <c r="R4" s="265">
        <v>1.79</v>
      </c>
      <c r="S4" s="265">
        <v>1.79</v>
      </c>
      <c r="T4" s="265">
        <v>1.79</v>
      </c>
      <c r="U4" s="265">
        <v>1.79</v>
      </c>
      <c r="V4" s="265">
        <v>1.79</v>
      </c>
      <c r="W4" s="265">
        <v>1.79</v>
      </c>
      <c r="X4" s="265">
        <v>1.79</v>
      </c>
      <c r="Y4" s="265">
        <v>1.79</v>
      </c>
      <c r="Z4" s="265">
        <v>0</v>
      </c>
      <c r="AA4" s="265">
        <v>0</v>
      </c>
      <c r="AB4" s="265">
        <v>0</v>
      </c>
      <c r="AC4" s="265">
        <v>0</v>
      </c>
      <c r="AD4" s="265">
        <v>0</v>
      </c>
      <c r="AE4" s="265">
        <v>0</v>
      </c>
      <c r="AF4" s="265">
        <v>0</v>
      </c>
      <c r="AG4" s="265">
        <v>0</v>
      </c>
      <c r="AH4" s="265">
        <v>0</v>
      </c>
      <c r="AI4" s="265">
        <v>0</v>
      </c>
      <c r="AJ4" s="265">
        <v>0</v>
      </c>
      <c r="AK4" s="265">
        <v>0</v>
      </c>
      <c r="AL4" s="266">
        <v>16320</v>
      </c>
      <c r="AM4" s="265">
        <f t="shared" si="0"/>
        <v>0</v>
      </c>
      <c r="AN4" s="266">
        <v>14400</v>
      </c>
      <c r="AO4" s="265">
        <f t="shared" si="1"/>
        <v>0</v>
      </c>
      <c r="AP4" s="266">
        <v>6720</v>
      </c>
      <c r="AQ4" s="265">
        <f t="shared" si="2"/>
        <v>0</v>
      </c>
      <c r="AR4" s="266">
        <v>13440</v>
      </c>
      <c r="AS4" s="262">
        <f t="shared" si="3"/>
        <v>0</v>
      </c>
      <c r="AT4" s="266">
        <v>0</v>
      </c>
      <c r="AU4" s="260">
        <f t="shared" si="4"/>
        <v>0</v>
      </c>
      <c r="AV4" s="259">
        <v>0</v>
      </c>
      <c r="AW4" s="260">
        <f t="shared" si="5"/>
        <v>0</v>
      </c>
      <c r="AX4" s="261" t="s">
        <v>573</v>
      </c>
      <c r="AY4" s="260">
        <f t="shared" si="6"/>
        <v>0</v>
      </c>
      <c r="AZ4" s="259">
        <v>9031</v>
      </c>
      <c r="BA4" s="260">
        <f t="shared" si="7"/>
        <v>0</v>
      </c>
      <c r="BB4" s="259">
        <v>13440</v>
      </c>
      <c r="BC4" s="260">
        <f t="shared" si="8"/>
        <v>0</v>
      </c>
      <c r="BD4" s="259">
        <v>20160</v>
      </c>
      <c r="BE4" s="260">
        <f t="shared" si="9"/>
        <v>0</v>
      </c>
      <c r="BF4" s="259">
        <v>6720</v>
      </c>
      <c r="BG4" s="260">
        <f t="shared" si="10"/>
        <v>0</v>
      </c>
      <c r="BH4" s="259">
        <v>26880</v>
      </c>
      <c r="BI4" s="260">
        <f t="shared" si="11"/>
        <v>0</v>
      </c>
      <c r="BJ4" s="58"/>
      <c r="BK4" s="220"/>
      <c r="BL4" s="213" t="s">
        <v>763</v>
      </c>
      <c r="BM4" s="58" t="s">
        <v>577</v>
      </c>
    </row>
    <row r="5" spans="1:65" ht="15.75" customHeight="1">
      <c r="A5" s="213" t="s">
        <v>1437</v>
      </c>
      <c r="B5" s="58" t="s">
        <v>184</v>
      </c>
      <c r="C5" s="58" t="s">
        <v>752</v>
      </c>
      <c r="D5" s="214" t="s">
        <v>186</v>
      </c>
      <c r="E5" s="214" t="s">
        <v>186</v>
      </c>
      <c r="F5" s="215" t="s">
        <v>186</v>
      </c>
      <c r="G5" s="216">
        <v>2018</v>
      </c>
      <c r="H5" s="213" t="s">
        <v>791</v>
      </c>
      <c r="I5" s="213" t="s">
        <v>196</v>
      </c>
      <c r="J5" s="217" t="s">
        <v>890</v>
      </c>
      <c r="K5" s="213" t="s">
        <v>191</v>
      </c>
      <c r="L5" s="218" t="s">
        <v>192</v>
      </c>
      <c r="M5" s="219" t="s">
        <v>1388</v>
      </c>
      <c r="N5" s="265">
        <v>2.04</v>
      </c>
      <c r="O5" s="265">
        <v>2.04</v>
      </c>
      <c r="P5" s="265">
        <v>2.04</v>
      </c>
      <c r="Q5" s="265">
        <v>2.04</v>
      </c>
      <c r="R5" s="265">
        <v>2.04</v>
      </c>
      <c r="S5" s="265">
        <v>2.04</v>
      </c>
      <c r="T5" s="265">
        <v>2.04</v>
      </c>
      <c r="U5" s="265">
        <v>2.04</v>
      </c>
      <c r="V5" s="265">
        <v>2.04</v>
      </c>
      <c r="W5" s="265">
        <v>2.04</v>
      </c>
      <c r="X5" s="265">
        <v>2.04</v>
      </c>
      <c r="Y5" s="265">
        <v>2.04</v>
      </c>
      <c r="Z5" s="265">
        <v>0</v>
      </c>
      <c r="AA5" s="265">
        <v>0</v>
      </c>
      <c r="AB5" s="265">
        <v>0</v>
      </c>
      <c r="AC5" s="265">
        <v>0</v>
      </c>
      <c r="AD5" s="265">
        <v>0</v>
      </c>
      <c r="AE5" s="265">
        <v>0</v>
      </c>
      <c r="AF5" s="265">
        <v>0</v>
      </c>
      <c r="AG5" s="265">
        <v>0</v>
      </c>
      <c r="AH5" s="265">
        <v>0</v>
      </c>
      <c r="AI5" s="265">
        <v>0</v>
      </c>
      <c r="AJ5" s="265">
        <v>0</v>
      </c>
      <c r="AK5" s="265">
        <v>0</v>
      </c>
      <c r="AL5" s="266">
        <v>2880</v>
      </c>
      <c r="AM5" s="265">
        <f t="shared" si="0"/>
        <v>0</v>
      </c>
      <c r="AN5" s="266">
        <v>2880</v>
      </c>
      <c r="AO5" s="265">
        <f t="shared" si="1"/>
        <v>0</v>
      </c>
      <c r="AP5" s="266">
        <v>0</v>
      </c>
      <c r="AQ5" s="265">
        <f t="shared" si="2"/>
        <v>0</v>
      </c>
      <c r="AR5" s="266">
        <v>0</v>
      </c>
      <c r="AS5" s="262">
        <f t="shared" si="3"/>
        <v>0</v>
      </c>
      <c r="AT5" s="266">
        <v>0</v>
      </c>
      <c r="AU5" s="260">
        <f t="shared" si="4"/>
        <v>0</v>
      </c>
      <c r="AV5" s="259">
        <v>0</v>
      </c>
      <c r="AW5" s="260">
        <f t="shared" si="5"/>
        <v>0</v>
      </c>
      <c r="AX5" s="261" t="s">
        <v>573</v>
      </c>
      <c r="AY5" s="260">
        <f t="shared" si="6"/>
        <v>0</v>
      </c>
      <c r="AZ5" s="259" t="s">
        <v>573</v>
      </c>
      <c r="BA5" s="260">
        <f t="shared" si="7"/>
        <v>0</v>
      </c>
      <c r="BB5" s="259">
        <v>2880</v>
      </c>
      <c r="BC5" s="260">
        <f t="shared" si="8"/>
        <v>0</v>
      </c>
      <c r="BD5" s="259">
        <v>2880</v>
      </c>
      <c r="BE5" s="260">
        <f t="shared" si="9"/>
        <v>0</v>
      </c>
      <c r="BF5" s="259">
        <v>2880</v>
      </c>
      <c r="BG5" s="260">
        <f t="shared" si="10"/>
        <v>0</v>
      </c>
      <c r="BH5" s="259" t="s">
        <v>573</v>
      </c>
      <c r="BI5" s="260">
        <f t="shared" si="11"/>
        <v>0</v>
      </c>
      <c r="BJ5" s="58"/>
      <c r="BK5" s="220"/>
      <c r="BL5" s="213" t="s">
        <v>807</v>
      </c>
      <c r="BM5" s="58" t="s">
        <v>578</v>
      </c>
    </row>
    <row r="6" spans="1:65" ht="15" customHeight="1">
      <c r="A6" s="213" t="s">
        <v>1437</v>
      </c>
      <c r="B6" s="58" t="s">
        <v>199</v>
      </c>
      <c r="C6" s="58" t="s">
        <v>752</v>
      </c>
      <c r="D6" s="214" t="s">
        <v>186</v>
      </c>
      <c r="E6" s="214" t="s">
        <v>186</v>
      </c>
      <c r="F6" s="215" t="s">
        <v>186</v>
      </c>
      <c r="G6" s="216">
        <v>2020</v>
      </c>
      <c r="H6" s="218" t="s">
        <v>200</v>
      </c>
      <c r="I6" s="218" t="s">
        <v>201</v>
      </c>
      <c r="J6" s="217" t="s">
        <v>890</v>
      </c>
      <c r="K6" s="213" t="s">
        <v>753</v>
      </c>
      <c r="L6" s="213" t="s">
        <v>192</v>
      </c>
      <c r="M6" s="219" t="s">
        <v>1388</v>
      </c>
      <c r="N6" s="265">
        <v>9</v>
      </c>
      <c r="O6" s="265">
        <v>9</v>
      </c>
      <c r="P6" s="265">
        <v>9</v>
      </c>
      <c r="Q6" s="265">
        <v>9</v>
      </c>
      <c r="R6" s="265">
        <v>9</v>
      </c>
      <c r="S6" s="265">
        <v>9</v>
      </c>
      <c r="T6" s="265">
        <v>9</v>
      </c>
      <c r="U6" s="265">
        <v>9</v>
      </c>
      <c r="V6" s="265">
        <v>9</v>
      </c>
      <c r="W6" s="265">
        <v>9</v>
      </c>
      <c r="X6" s="265">
        <v>9</v>
      </c>
      <c r="Y6" s="265">
        <v>9</v>
      </c>
      <c r="Z6" s="265">
        <v>0.18</v>
      </c>
      <c r="AA6" s="265">
        <v>0.18</v>
      </c>
      <c r="AB6" s="265">
        <v>0.18</v>
      </c>
      <c r="AC6" s="265">
        <v>0.18</v>
      </c>
      <c r="AD6" s="265">
        <v>0.18</v>
      </c>
      <c r="AE6" s="265">
        <v>0.18</v>
      </c>
      <c r="AF6" s="265">
        <v>0.18</v>
      </c>
      <c r="AG6" s="265">
        <v>0.18</v>
      </c>
      <c r="AH6" s="265">
        <v>0.18</v>
      </c>
      <c r="AI6" s="265">
        <v>0.18</v>
      </c>
      <c r="AJ6" s="265">
        <v>0.18</v>
      </c>
      <c r="AK6" s="265">
        <v>0.18</v>
      </c>
      <c r="AL6" s="266" t="s">
        <v>573</v>
      </c>
      <c r="AM6" s="265">
        <f t="shared" si="0"/>
        <v>0</v>
      </c>
      <c r="AN6" s="266">
        <v>1280</v>
      </c>
      <c r="AO6" s="265">
        <f t="shared" si="1"/>
        <v>230.39999999999998</v>
      </c>
      <c r="AP6" s="266">
        <v>2560</v>
      </c>
      <c r="AQ6" s="265">
        <f t="shared" si="2"/>
        <v>460.79999999999995</v>
      </c>
      <c r="AR6" s="266">
        <v>0</v>
      </c>
      <c r="AS6" s="262">
        <f t="shared" si="3"/>
        <v>0</v>
      </c>
      <c r="AT6" s="266">
        <v>0</v>
      </c>
      <c r="AU6" s="260">
        <f t="shared" si="4"/>
        <v>0</v>
      </c>
      <c r="AV6" s="259">
        <v>1280</v>
      </c>
      <c r="AW6" s="260">
        <f t="shared" si="5"/>
        <v>230.39999999999998</v>
      </c>
      <c r="AX6" s="261" t="s">
        <v>573</v>
      </c>
      <c r="AY6" s="260">
        <f t="shared" si="6"/>
        <v>0</v>
      </c>
      <c r="AZ6" s="259" t="s">
        <v>573</v>
      </c>
      <c r="BA6" s="260">
        <f t="shared" si="7"/>
        <v>0</v>
      </c>
      <c r="BB6" s="259">
        <v>1280</v>
      </c>
      <c r="BC6" s="260">
        <f t="shared" si="8"/>
        <v>230.39999999999998</v>
      </c>
      <c r="BD6" s="259" t="s">
        <v>573</v>
      </c>
      <c r="BE6" s="260">
        <f t="shared" si="9"/>
        <v>0</v>
      </c>
      <c r="BF6" s="259" t="s">
        <v>573</v>
      </c>
      <c r="BG6" s="260">
        <f t="shared" si="10"/>
        <v>0</v>
      </c>
      <c r="BH6" s="259" t="s">
        <v>573</v>
      </c>
      <c r="BI6" s="260">
        <f t="shared" si="11"/>
        <v>0</v>
      </c>
      <c r="BJ6" s="58"/>
      <c r="BK6" s="220"/>
      <c r="BL6" s="213" t="s">
        <v>754</v>
      </c>
      <c r="BM6" s="58" t="s">
        <v>27</v>
      </c>
    </row>
    <row r="7" spans="1:65" ht="15.75" customHeight="1">
      <c r="A7" s="213" t="s">
        <v>1437</v>
      </c>
      <c r="B7" s="58" t="s">
        <v>199</v>
      </c>
      <c r="C7" s="58" t="s">
        <v>752</v>
      </c>
      <c r="D7" s="214" t="s">
        <v>186</v>
      </c>
      <c r="E7" s="214" t="s">
        <v>186</v>
      </c>
      <c r="F7" s="215" t="s">
        <v>186</v>
      </c>
      <c r="G7" s="216">
        <v>2020</v>
      </c>
      <c r="H7" s="218" t="s">
        <v>200</v>
      </c>
      <c r="I7" s="218" t="s">
        <v>201</v>
      </c>
      <c r="J7" s="217" t="s">
        <v>890</v>
      </c>
      <c r="K7" s="213" t="s">
        <v>753</v>
      </c>
      <c r="L7" s="213" t="s">
        <v>192</v>
      </c>
      <c r="M7" s="219" t="s">
        <v>1390</v>
      </c>
      <c r="N7" s="265">
        <v>9.01</v>
      </c>
      <c r="O7" s="265">
        <v>9.01</v>
      </c>
      <c r="P7" s="265">
        <v>9.01</v>
      </c>
      <c r="Q7" s="265">
        <v>9.01</v>
      </c>
      <c r="R7" s="265">
        <v>9.01</v>
      </c>
      <c r="S7" s="265">
        <v>9.01</v>
      </c>
      <c r="T7" s="265">
        <v>9.01</v>
      </c>
      <c r="U7" s="265">
        <v>9.01</v>
      </c>
      <c r="V7" s="265">
        <v>9.01</v>
      </c>
      <c r="W7" s="265">
        <v>9.01</v>
      </c>
      <c r="X7" s="265">
        <v>9.01</v>
      </c>
      <c r="Y7" s="265">
        <v>9.01</v>
      </c>
      <c r="Z7" s="265">
        <v>0.18</v>
      </c>
      <c r="AA7" s="265">
        <v>0.18</v>
      </c>
      <c r="AB7" s="265">
        <v>0.18</v>
      </c>
      <c r="AC7" s="265">
        <v>0.18</v>
      </c>
      <c r="AD7" s="265">
        <v>0.18</v>
      </c>
      <c r="AE7" s="265">
        <v>0.18</v>
      </c>
      <c r="AF7" s="265">
        <v>0.18</v>
      </c>
      <c r="AG7" s="265">
        <v>0.18</v>
      </c>
      <c r="AH7" s="265">
        <v>0.18</v>
      </c>
      <c r="AI7" s="265">
        <v>0.18</v>
      </c>
      <c r="AJ7" s="265">
        <v>0.18</v>
      </c>
      <c r="AK7" s="265">
        <v>0.18</v>
      </c>
      <c r="AL7" s="266">
        <v>25000</v>
      </c>
      <c r="AM7" s="265">
        <f t="shared" si="0"/>
        <v>4500</v>
      </c>
      <c r="AN7" s="266">
        <v>59800</v>
      </c>
      <c r="AO7" s="265">
        <f t="shared" si="1"/>
        <v>10764</v>
      </c>
      <c r="AP7" s="266">
        <v>58400</v>
      </c>
      <c r="AQ7" s="265">
        <f t="shared" si="2"/>
        <v>10512</v>
      </c>
      <c r="AR7" s="266">
        <v>0</v>
      </c>
      <c r="AS7" s="262">
        <f t="shared" si="3"/>
        <v>0</v>
      </c>
      <c r="AT7" s="266">
        <v>11600</v>
      </c>
      <c r="AU7" s="260">
        <f t="shared" si="4"/>
        <v>2088</v>
      </c>
      <c r="AV7" s="259">
        <v>0</v>
      </c>
      <c r="AW7" s="260">
        <f t="shared" si="5"/>
        <v>0</v>
      </c>
      <c r="AX7" s="261">
        <v>16860</v>
      </c>
      <c r="AY7" s="260">
        <f t="shared" si="6"/>
        <v>3034.7999999999997</v>
      </c>
      <c r="AZ7" s="259">
        <v>15360</v>
      </c>
      <c r="BA7" s="260">
        <f t="shared" si="7"/>
        <v>2764.7999999999997</v>
      </c>
      <c r="BB7" s="259">
        <v>16860</v>
      </c>
      <c r="BC7" s="260">
        <f t="shared" si="8"/>
        <v>3034.7999999999997</v>
      </c>
      <c r="BD7" s="259">
        <v>26240</v>
      </c>
      <c r="BE7" s="260">
        <f t="shared" si="9"/>
        <v>4723.2</v>
      </c>
      <c r="BF7" s="259">
        <v>43360</v>
      </c>
      <c r="BG7" s="260">
        <f t="shared" si="10"/>
        <v>7804.7999999999993</v>
      </c>
      <c r="BH7" s="259">
        <v>19100</v>
      </c>
      <c r="BI7" s="260">
        <f t="shared" si="11"/>
        <v>3438</v>
      </c>
      <c r="BJ7" s="58"/>
      <c r="BK7" s="220"/>
      <c r="BL7" s="213" t="s">
        <v>763</v>
      </c>
      <c r="BM7" s="58" t="s">
        <v>7</v>
      </c>
    </row>
    <row r="8" spans="1:65" ht="14.85" customHeight="1">
      <c r="A8" s="213" t="s">
        <v>1437</v>
      </c>
      <c r="B8" s="58" t="s">
        <v>199</v>
      </c>
      <c r="C8" s="58" t="s">
        <v>752</v>
      </c>
      <c r="D8" s="214" t="s">
        <v>186</v>
      </c>
      <c r="E8" s="214" t="s">
        <v>186</v>
      </c>
      <c r="F8" s="215" t="s">
        <v>186</v>
      </c>
      <c r="G8" s="216">
        <v>2020</v>
      </c>
      <c r="H8" s="218" t="s">
        <v>208</v>
      </c>
      <c r="I8" s="218" t="s">
        <v>201</v>
      </c>
      <c r="J8" s="217" t="s">
        <v>890</v>
      </c>
      <c r="K8" s="213" t="s">
        <v>755</v>
      </c>
      <c r="L8" s="213" t="s">
        <v>192</v>
      </c>
      <c r="M8" s="219" t="s">
        <v>1390</v>
      </c>
      <c r="N8" s="265">
        <v>10.92</v>
      </c>
      <c r="O8" s="265">
        <v>10.92</v>
      </c>
      <c r="P8" s="265">
        <v>10.92</v>
      </c>
      <c r="Q8" s="265">
        <v>10.92</v>
      </c>
      <c r="R8" s="265">
        <v>10.92</v>
      </c>
      <c r="S8" s="265">
        <v>10.92</v>
      </c>
      <c r="T8" s="265">
        <v>10.92</v>
      </c>
      <c r="U8" s="265">
        <v>10.92</v>
      </c>
      <c r="V8" s="265">
        <v>10.92</v>
      </c>
      <c r="W8" s="265">
        <v>10.92</v>
      </c>
      <c r="X8" s="265">
        <v>10.92</v>
      </c>
      <c r="Y8" s="265">
        <v>10.92</v>
      </c>
      <c r="Z8" s="265">
        <v>0.21</v>
      </c>
      <c r="AA8" s="265">
        <v>0.21</v>
      </c>
      <c r="AB8" s="265">
        <v>0.21</v>
      </c>
      <c r="AC8" s="265">
        <v>0.21</v>
      </c>
      <c r="AD8" s="265">
        <v>0.21</v>
      </c>
      <c r="AE8" s="265">
        <v>0.21</v>
      </c>
      <c r="AF8" s="265">
        <v>0.21</v>
      </c>
      <c r="AG8" s="265">
        <v>0.21</v>
      </c>
      <c r="AH8" s="265">
        <v>0.21</v>
      </c>
      <c r="AI8" s="265">
        <v>0.21</v>
      </c>
      <c r="AJ8" s="265">
        <v>0.21</v>
      </c>
      <c r="AK8" s="265">
        <v>0.21</v>
      </c>
      <c r="AL8" s="266" t="s">
        <v>573</v>
      </c>
      <c r="AM8" s="265">
        <f t="shared" si="0"/>
        <v>0</v>
      </c>
      <c r="AN8" s="266" t="s">
        <v>573</v>
      </c>
      <c r="AO8" s="265">
        <f t="shared" si="1"/>
        <v>0</v>
      </c>
      <c r="AP8" s="266">
        <v>8640</v>
      </c>
      <c r="AQ8" s="265">
        <f t="shared" si="2"/>
        <v>1814.3999999999999</v>
      </c>
      <c r="AR8" s="266">
        <v>2880</v>
      </c>
      <c r="AS8" s="262">
        <f t="shared" si="3"/>
        <v>604.79999999999995</v>
      </c>
      <c r="AT8" s="266">
        <v>5760</v>
      </c>
      <c r="AU8" s="260">
        <f t="shared" si="4"/>
        <v>1209.5999999999999</v>
      </c>
      <c r="AV8" s="259">
        <v>0</v>
      </c>
      <c r="AW8" s="260">
        <f t="shared" si="5"/>
        <v>0</v>
      </c>
      <c r="AX8" s="261">
        <v>12707</v>
      </c>
      <c r="AY8" s="260">
        <f t="shared" si="6"/>
        <v>2668.47</v>
      </c>
      <c r="AZ8" s="259">
        <v>1647</v>
      </c>
      <c r="BA8" s="260">
        <f t="shared" si="7"/>
        <v>345.87</v>
      </c>
      <c r="BB8" s="259">
        <v>7407</v>
      </c>
      <c r="BC8" s="260">
        <f t="shared" si="8"/>
        <v>1555.47</v>
      </c>
      <c r="BD8" s="259">
        <v>1647</v>
      </c>
      <c r="BE8" s="260">
        <f t="shared" si="9"/>
        <v>345.87</v>
      </c>
      <c r="BF8" s="259">
        <v>12407</v>
      </c>
      <c r="BG8" s="260">
        <f t="shared" si="10"/>
        <v>2605.4699999999998</v>
      </c>
      <c r="BH8" s="259">
        <v>7528</v>
      </c>
      <c r="BI8" s="260">
        <f t="shared" si="11"/>
        <v>1580.8799999999999</v>
      </c>
      <c r="BJ8" s="58"/>
      <c r="BK8" s="220"/>
      <c r="BL8" s="213" t="s">
        <v>763</v>
      </c>
      <c r="BM8" s="58" t="s">
        <v>551</v>
      </c>
    </row>
    <row r="9" spans="1:65" ht="15.75" customHeight="1">
      <c r="A9" s="213" t="s">
        <v>1437</v>
      </c>
      <c r="B9" s="58" t="s">
        <v>199</v>
      </c>
      <c r="C9" s="58" t="s">
        <v>752</v>
      </c>
      <c r="D9" s="214" t="s">
        <v>186</v>
      </c>
      <c r="E9" s="214" t="s">
        <v>186</v>
      </c>
      <c r="F9" s="215" t="s">
        <v>186</v>
      </c>
      <c r="G9" s="216">
        <v>2021</v>
      </c>
      <c r="H9" s="218" t="s">
        <v>891</v>
      </c>
      <c r="I9" s="218" t="s">
        <v>212</v>
      </c>
      <c r="J9" s="217" t="s">
        <v>890</v>
      </c>
      <c r="K9" s="213" t="s">
        <v>753</v>
      </c>
      <c r="L9" s="218" t="s">
        <v>192</v>
      </c>
      <c r="M9" s="219" t="s">
        <v>1390</v>
      </c>
      <c r="N9" s="265">
        <v>7.58</v>
      </c>
      <c r="O9" s="265">
        <v>7.58</v>
      </c>
      <c r="P9" s="265">
        <v>7.58</v>
      </c>
      <c r="Q9" s="265">
        <v>7.58</v>
      </c>
      <c r="R9" s="265">
        <v>7.58</v>
      </c>
      <c r="S9" s="265">
        <v>7.58</v>
      </c>
      <c r="T9" s="265">
        <v>7.58</v>
      </c>
      <c r="U9" s="265">
        <v>7.58</v>
      </c>
      <c r="V9" s="265">
        <v>7.58</v>
      </c>
      <c r="W9" s="265">
        <v>7.58</v>
      </c>
      <c r="X9" s="265">
        <v>7.58</v>
      </c>
      <c r="Y9" s="265">
        <v>7.58</v>
      </c>
      <c r="Z9" s="265">
        <v>0.15</v>
      </c>
      <c r="AA9" s="265">
        <v>0.15</v>
      </c>
      <c r="AB9" s="265">
        <v>0.15</v>
      </c>
      <c r="AC9" s="265">
        <v>0.15</v>
      </c>
      <c r="AD9" s="265">
        <v>0.15</v>
      </c>
      <c r="AE9" s="265">
        <v>0.15</v>
      </c>
      <c r="AF9" s="265">
        <v>0.15</v>
      </c>
      <c r="AG9" s="265">
        <v>0.15</v>
      </c>
      <c r="AH9" s="265">
        <v>0.15</v>
      </c>
      <c r="AI9" s="265">
        <v>0.15</v>
      </c>
      <c r="AJ9" s="265">
        <v>0.15</v>
      </c>
      <c r="AK9" s="265">
        <v>0.15</v>
      </c>
      <c r="AL9" s="266">
        <v>4000</v>
      </c>
      <c r="AM9" s="265">
        <f t="shared" si="0"/>
        <v>600</v>
      </c>
      <c r="AN9" s="266">
        <v>6840</v>
      </c>
      <c r="AO9" s="265">
        <f t="shared" si="1"/>
        <v>1026</v>
      </c>
      <c r="AP9" s="266">
        <v>14560</v>
      </c>
      <c r="AQ9" s="265">
        <f t="shared" si="2"/>
        <v>2184</v>
      </c>
      <c r="AR9" s="266">
        <v>6000</v>
      </c>
      <c r="AS9" s="262">
        <f t="shared" si="3"/>
        <v>900</v>
      </c>
      <c r="AT9" s="266">
        <v>0</v>
      </c>
      <c r="AU9" s="260">
        <f t="shared" si="4"/>
        <v>0</v>
      </c>
      <c r="AV9" s="259">
        <v>0</v>
      </c>
      <c r="AW9" s="260">
        <f t="shared" si="5"/>
        <v>0</v>
      </c>
      <c r="AX9" s="261">
        <v>3860</v>
      </c>
      <c r="AY9" s="260">
        <f t="shared" si="6"/>
        <v>579</v>
      </c>
      <c r="AZ9" s="259">
        <v>2000</v>
      </c>
      <c r="BA9" s="260">
        <f t="shared" si="7"/>
        <v>300</v>
      </c>
      <c r="BB9" s="259">
        <v>3840</v>
      </c>
      <c r="BC9" s="260">
        <f t="shared" si="8"/>
        <v>576</v>
      </c>
      <c r="BD9" s="259">
        <v>1280</v>
      </c>
      <c r="BE9" s="260">
        <f t="shared" si="9"/>
        <v>192</v>
      </c>
      <c r="BF9" s="259">
        <v>4000</v>
      </c>
      <c r="BG9" s="260">
        <f t="shared" si="10"/>
        <v>600</v>
      </c>
      <c r="BH9" s="259">
        <v>3840</v>
      </c>
      <c r="BI9" s="260">
        <f t="shared" si="11"/>
        <v>576</v>
      </c>
      <c r="BJ9" s="58"/>
      <c r="BK9" s="220"/>
      <c r="BL9" s="213" t="s">
        <v>763</v>
      </c>
      <c r="BM9" s="58" t="s">
        <v>547</v>
      </c>
    </row>
    <row r="10" spans="1:65" ht="15.75" customHeight="1">
      <c r="A10" s="213" t="s">
        <v>1437</v>
      </c>
      <c r="B10" s="58" t="s">
        <v>184</v>
      </c>
      <c r="C10" s="58" t="s">
        <v>752</v>
      </c>
      <c r="D10" s="214" t="s">
        <v>186</v>
      </c>
      <c r="E10" s="214" t="s">
        <v>186</v>
      </c>
      <c r="F10" s="215" t="s">
        <v>186</v>
      </c>
      <c r="G10" s="216">
        <v>2020</v>
      </c>
      <c r="H10" s="218" t="s">
        <v>215</v>
      </c>
      <c r="I10" s="218" t="s">
        <v>196</v>
      </c>
      <c r="J10" s="217" t="s">
        <v>890</v>
      </c>
      <c r="K10" s="213" t="s">
        <v>218</v>
      </c>
      <c r="L10" s="213" t="s">
        <v>192</v>
      </c>
      <c r="M10" s="219" t="s">
        <v>1389</v>
      </c>
      <c r="N10" s="265">
        <v>30.45</v>
      </c>
      <c r="O10" s="265">
        <v>30.45</v>
      </c>
      <c r="P10" s="265">
        <v>30.45</v>
      </c>
      <c r="Q10" s="265">
        <v>30.45</v>
      </c>
      <c r="R10" s="265">
        <v>30.45</v>
      </c>
      <c r="S10" s="265">
        <v>30.45</v>
      </c>
      <c r="T10" s="265">
        <v>30.45</v>
      </c>
      <c r="U10" s="265">
        <v>30.45</v>
      </c>
      <c r="V10" s="265">
        <v>30.45</v>
      </c>
      <c r="W10" s="265">
        <v>30.45</v>
      </c>
      <c r="X10" s="265">
        <v>30.45</v>
      </c>
      <c r="Y10" s="265">
        <v>30.45</v>
      </c>
      <c r="Z10" s="265">
        <v>7.0000000000000007E-2</v>
      </c>
      <c r="AA10" s="265">
        <v>7.0000000000000007E-2</v>
      </c>
      <c r="AB10" s="265">
        <v>7.0000000000000007E-2</v>
      </c>
      <c r="AC10" s="265">
        <v>7.0000000000000007E-2</v>
      </c>
      <c r="AD10" s="265">
        <v>7.0000000000000007E-2</v>
      </c>
      <c r="AE10" s="265">
        <v>7.0000000000000007E-2</v>
      </c>
      <c r="AF10" s="265">
        <v>7.0000000000000007E-2</v>
      </c>
      <c r="AG10" s="265">
        <v>7.0000000000000007E-2</v>
      </c>
      <c r="AH10" s="265">
        <v>7.0000000000000007E-2</v>
      </c>
      <c r="AI10" s="265">
        <v>7.0000000000000007E-2</v>
      </c>
      <c r="AJ10" s="265">
        <v>7.0000000000000007E-2</v>
      </c>
      <c r="AK10" s="265">
        <v>7.0000000000000007E-2</v>
      </c>
      <c r="AL10" s="266" t="s">
        <v>573</v>
      </c>
      <c r="AM10" s="265">
        <f t="shared" si="0"/>
        <v>0</v>
      </c>
      <c r="AN10" s="266" t="s">
        <v>573</v>
      </c>
      <c r="AO10" s="265">
        <f t="shared" si="1"/>
        <v>0</v>
      </c>
      <c r="AP10" s="266">
        <v>0</v>
      </c>
      <c r="AQ10" s="265">
        <f t="shared" si="2"/>
        <v>0</v>
      </c>
      <c r="AR10" s="266">
        <v>0</v>
      </c>
      <c r="AS10" s="262">
        <f t="shared" si="3"/>
        <v>0</v>
      </c>
      <c r="AT10" s="266">
        <v>0</v>
      </c>
      <c r="AU10" s="260">
        <f t="shared" si="4"/>
        <v>0</v>
      </c>
      <c r="AV10" s="259">
        <v>0</v>
      </c>
      <c r="AW10" s="260">
        <f t="shared" si="5"/>
        <v>0</v>
      </c>
      <c r="AX10" s="261" t="s">
        <v>573</v>
      </c>
      <c r="AY10" s="260">
        <f t="shared" si="6"/>
        <v>0</v>
      </c>
      <c r="AZ10" s="259" t="s">
        <v>573</v>
      </c>
      <c r="BA10" s="260">
        <f t="shared" si="7"/>
        <v>0</v>
      </c>
      <c r="BB10" s="259" t="s">
        <v>573</v>
      </c>
      <c r="BC10" s="260">
        <f t="shared" si="8"/>
        <v>0</v>
      </c>
      <c r="BD10" s="259" t="s">
        <v>573</v>
      </c>
      <c r="BE10" s="260">
        <f t="shared" si="9"/>
        <v>0</v>
      </c>
      <c r="BF10" s="259">
        <v>0</v>
      </c>
      <c r="BG10" s="260">
        <f t="shared" si="10"/>
        <v>0</v>
      </c>
      <c r="BH10" s="259" t="s">
        <v>573</v>
      </c>
      <c r="BI10" s="260">
        <f t="shared" si="11"/>
        <v>0</v>
      </c>
      <c r="BJ10" s="58"/>
      <c r="BK10" s="220"/>
      <c r="BL10" s="213" t="s">
        <v>763</v>
      </c>
      <c r="BM10" s="58" t="s">
        <v>508</v>
      </c>
    </row>
    <row r="11" spans="1:65" ht="15.75" customHeight="1">
      <c r="A11" s="213" t="s">
        <v>1437</v>
      </c>
      <c r="B11" s="58" t="s">
        <v>184</v>
      </c>
      <c r="C11" s="58" t="s">
        <v>752</v>
      </c>
      <c r="D11" s="214" t="s">
        <v>186</v>
      </c>
      <c r="E11" s="214" t="s">
        <v>186</v>
      </c>
      <c r="F11" s="215" t="s">
        <v>186</v>
      </c>
      <c r="G11" s="216">
        <v>2020</v>
      </c>
      <c r="H11" s="218" t="s">
        <v>215</v>
      </c>
      <c r="I11" s="218" t="s">
        <v>196</v>
      </c>
      <c r="J11" s="217" t="s">
        <v>890</v>
      </c>
      <c r="K11" s="213" t="s">
        <v>216</v>
      </c>
      <c r="L11" s="213" t="s">
        <v>192</v>
      </c>
      <c r="M11" s="219" t="s">
        <v>1389</v>
      </c>
      <c r="N11" s="265">
        <v>30.35</v>
      </c>
      <c r="O11" s="265">
        <v>30.35</v>
      </c>
      <c r="P11" s="265">
        <v>30.35</v>
      </c>
      <c r="Q11" s="265">
        <v>30.35</v>
      </c>
      <c r="R11" s="265">
        <v>30.35</v>
      </c>
      <c r="S11" s="265">
        <v>30.35</v>
      </c>
      <c r="T11" s="265">
        <v>30.35</v>
      </c>
      <c r="U11" s="265">
        <v>30.35</v>
      </c>
      <c r="V11" s="265">
        <v>30.35</v>
      </c>
      <c r="W11" s="265">
        <v>30.35</v>
      </c>
      <c r="X11" s="265">
        <v>30.35</v>
      </c>
      <c r="Y11" s="265">
        <v>30.35</v>
      </c>
      <c r="Z11" s="265">
        <v>7.0000000000000007E-2</v>
      </c>
      <c r="AA11" s="265">
        <v>7.0000000000000007E-2</v>
      </c>
      <c r="AB11" s="265">
        <v>7.0000000000000007E-2</v>
      </c>
      <c r="AC11" s="265">
        <v>7.0000000000000007E-2</v>
      </c>
      <c r="AD11" s="265">
        <v>7.0000000000000007E-2</v>
      </c>
      <c r="AE11" s="265">
        <v>7.0000000000000007E-2</v>
      </c>
      <c r="AF11" s="265">
        <v>7.0000000000000007E-2</v>
      </c>
      <c r="AG11" s="265">
        <v>7.0000000000000007E-2</v>
      </c>
      <c r="AH11" s="265">
        <v>7.0000000000000007E-2</v>
      </c>
      <c r="AI11" s="265">
        <v>7.0000000000000007E-2</v>
      </c>
      <c r="AJ11" s="265">
        <v>7.0000000000000007E-2</v>
      </c>
      <c r="AK11" s="265">
        <v>7.0000000000000007E-2</v>
      </c>
      <c r="AL11" s="266" t="s">
        <v>573</v>
      </c>
      <c r="AM11" s="265">
        <f t="shared" si="0"/>
        <v>0</v>
      </c>
      <c r="AN11" s="266" t="s">
        <v>573</v>
      </c>
      <c r="AO11" s="265">
        <f t="shared" si="1"/>
        <v>0</v>
      </c>
      <c r="AP11" s="266">
        <v>0</v>
      </c>
      <c r="AQ11" s="265">
        <f t="shared" si="2"/>
        <v>0</v>
      </c>
      <c r="AR11" s="266">
        <v>0</v>
      </c>
      <c r="AS11" s="262">
        <f t="shared" si="3"/>
        <v>0</v>
      </c>
      <c r="AT11" s="266">
        <v>0</v>
      </c>
      <c r="AU11" s="260">
        <f t="shared" si="4"/>
        <v>0</v>
      </c>
      <c r="AV11" s="259">
        <v>0</v>
      </c>
      <c r="AW11" s="260">
        <f t="shared" si="5"/>
        <v>0</v>
      </c>
      <c r="AX11" s="261">
        <v>0</v>
      </c>
      <c r="AY11" s="260">
        <f t="shared" si="6"/>
        <v>0</v>
      </c>
      <c r="AZ11" s="259" t="s">
        <v>573</v>
      </c>
      <c r="BA11" s="260">
        <f t="shared" si="7"/>
        <v>0</v>
      </c>
      <c r="BB11" s="259" t="s">
        <v>573</v>
      </c>
      <c r="BC11" s="260">
        <f t="shared" si="8"/>
        <v>0</v>
      </c>
      <c r="BD11" s="259" t="s">
        <v>573</v>
      </c>
      <c r="BE11" s="260">
        <f t="shared" si="9"/>
        <v>0</v>
      </c>
      <c r="BF11" s="259" t="s">
        <v>573</v>
      </c>
      <c r="BG11" s="260">
        <f t="shared" si="10"/>
        <v>0</v>
      </c>
      <c r="BH11" s="259">
        <v>0</v>
      </c>
      <c r="BI11" s="260">
        <f t="shared" si="11"/>
        <v>0</v>
      </c>
      <c r="BJ11" s="58"/>
      <c r="BK11" s="220"/>
      <c r="BL11" s="213" t="s">
        <v>763</v>
      </c>
      <c r="BM11" s="58" t="s">
        <v>506</v>
      </c>
    </row>
    <row r="12" spans="1:65" ht="15.75" customHeight="1">
      <c r="A12" s="213" t="s">
        <v>1437</v>
      </c>
      <c r="B12" s="58" t="s">
        <v>184</v>
      </c>
      <c r="C12" s="58" t="s">
        <v>752</v>
      </c>
      <c r="D12" s="214" t="s">
        <v>186</v>
      </c>
      <c r="E12" s="214" t="s">
        <v>186</v>
      </c>
      <c r="F12" s="215" t="s">
        <v>186</v>
      </c>
      <c r="G12" s="216">
        <v>2020</v>
      </c>
      <c r="H12" s="218" t="s">
        <v>215</v>
      </c>
      <c r="I12" s="218" t="s">
        <v>196</v>
      </c>
      <c r="J12" s="217" t="s">
        <v>890</v>
      </c>
      <c r="K12" s="213" t="s">
        <v>218</v>
      </c>
      <c r="L12" s="213" t="s">
        <v>192</v>
      </c>
      <c r="M12" s="219" t="s">
        <v>1391</v>
      </c>
      <c r="N12" s="265">
        <v>30.45</v>
      </c>
      <c r="O12" s="265">
        <v>30.45</v>
      </c>
      <c r="P12" s="265">
        <v>30.45</v>
      </c>
      <c r="Q12" s="265">
        <v>30.45</v>
      </c>
      <c r="R12" s="265">
        <v>30.45</v>
      </c>
      <c r="S12" s="265">
        <v>30.45</v>
      </c>
      <c r="T12" s="265">
        <v>30.45</v>
      </c>
      <c r="U12" s="265">
        <v>30.45</v>
      </c>
      <c r="V12" s="265">
        <v>30.45</v>
      </c>
      <c r="W12" s="265">
        <v>30.45</v>
      </c>
      <c r="X12" s="265">
        <v>30.45</v>
      </c>
      <c r="Y12" s="265">
        <v>30.45</v>
      </c>
      <c r="Z12" s="265">
        <v>7.0000000000000007E-2</v>
      </c>
      <c r="AA12" s="265">
        <v>7.0000000000000007E-2</v>
      </c>
      <c r="AB12" s="265">
        <v>7.0000000000000007E-2</v>
      </c>
      <c r="AC12" s="265">
        <v>7.0000000000000007E-2</v>
      </c>
      <c r="AD12" s="265">
        <v>7.0000000000000007E-2</v>
      </c>
      <c r="AE12" s="265">
        <v>7.0000000000000007E-2</v>
      </c>
      <c r="AF12" s="265">
        <v>7.0000000000000007E-2</v>
      </c>
      <c r="AG12" s="265">
        <v>7.0000000000000007E-2</v>
      </c>
      <c r="AH12" s="265">
        <v>7.0000000000000007E-2</v>
      </c>
      <c r="AI12" s="265">
        <v>7.0000000000000007E-2</v>
      </c>
      <c r="AJ12" s="265">
        <v>7.0000000000000007E-2</v>
      </c>
      <c r="AK12" s="265">
        <v>7.0000000000000007E-2</v>
      </c>
      <c r="AL12" s="266" t="s">
        <v>573</v>
      </c>
      <c r="AM12" s="265">
        <f t="shared" si="0"/>
        <v>0</v>
      </c>
      <c r="AN12" s="266" t="s">
        <v>573</v>
      </c>
      <c r="AO12" s="265">
        <f t="shared" si="1"/>
        <v>0</v>
      </c>
      <c r="AP12" s="266">
        <v>0</v>
      </c>
      <c r="AQ12" s="265">
        <f t="shared" si="2"/>
        <v>0</v>
      </c>
      <c r="AR12" s="266">
        <v>0</v>
      </c>
      <c r="AS12" s="262">
        <f t="shared" si="3"/>
        <v>0</v>
      </c>
      <c r="AT12" s="266">
        <v>0</v>
      </c>
      <c r="AU12" s="260">
        <f t="shared" si="4"/>
        <v>0</v>
      </c>
      <c r="AV12" s="259">
        <v>0</v>
      </c>
      <c r="AW12" s="260">
        <f t="shared" si="5"/>
        <v>0</v>
      </c>
      <c r="AX12" s="261" t="s">
        <v>573</v>
      </c>
      <c r="AY12" s="260">
        <f t="shared" si="6"/>
        <v>0</v>
      </c>
      <c r="AZ12" s="259" t="s">
        <v>573</v>
      </c>
      <c r="BA12" s="260">
        <f t="shared" si="7"/>
        <v>0</v>
      </c>
      <c r="BB12" s="259" t="s">
        <v>573</v>
      </c>
      <c r="BC12" s="260">
        <f t="shared" si="8"/>
        <v>0</v>
      </c>
      <c r="BD12" s="259" t="s">
        <v>573</v>
      </c>
      <c r="BE12" s="260">
        <f t="shared" si="9"/>
        <v>0</v>
      </c>
      <c r="BF12" s="259" t="s">
        <v>573</v>
      </c>
      <c r="BG12" s="260">
        <f t="shared" si="10"/>
        <v>0</v>
      </c>
      <c r="BH12" s="259" t="s">
        <v>573</v>
      </c>
      <c r="BI12" s="260">
        <f t="shared" si="11"/>
        <v>0</v>
      </c>
      <c r="BJ12" s="58"/>
      <c r="BK12" s="220"/>
      <c r="BL12" s="213" t="s">
        <v>807</v>
      </c>
      <c r="BM12" s="58" t="s">
        <v>1480</v>
      </c>
    </row>
    <row r="13" spans="1:65" ht="15.75" customHeight="1">
      <c r="A13" s="213" t="s">
        <v>1437</v>
      </c>
      <c r="B13" s="58" t="s">
        <v>199</v>
      </c>
      <c r="C13" s="58" t="s">
        <v>752</v>
      </c>
      <c r="D13" s="214" t="s">
        <v>186</v>
      </c>
      <c r="E13" s="214" t="s">
        <v>186</v>
      </c>
      <c r="F13" s="215" t="s">
        <v>186</v>
      </c>
      <c r="G13" s="216">
        <v>2020</v>
      </c>
      <c r="H13" s="218" t="s">
        <v>792</v>
      </c>
      <c r="I13" s="218" t="s">
        <v>201</v>
      </c>
      <c r="J13" s="217" t="s">
        <v>890</v>
      </c>
      <c r="K13" s="213" t="s">
        <v>221</v>
      </c>
      <c r="L13" s="213" t="s">
        <v>192</v>
      </c>
      <c r="M13" s="219" t="s">
        <v>1390</v>
      </c>
      <c r="N13" s="265">
        <v>5.14</v>
      </c>
      <c r="O13" s="265">
        <v>5.14</v>
      </c>
      <c r="P13" s="265">
        <v>5.14</v>
      </c>
      <c r="Q13" s="265">
        <v>5.14</v>
      </c>
      <c r="R13" s="265">
        <v>5.14</v>
      </c>
      <c r="S13" s="265">
        <v>5.14</v>
      </c>
      <c r="T13" s="265">
        <v>5.14</v>
      </c>
      <c r="U13" s="265">
        <v>5.14</v>
      </c>
      <c r="V13" s="265">
        <v>5.14</v>
      </c>
      <c r="W13" s="265">
        <v>5.14</v>
      </c>
      <c r="X13" s="265">
        <v>5.14</v>
      </c>
      <c r="Y13" s="265">
        <v>5.14</v>
      </c>
      <c r="Z13" s="265">
        <v>0</v>
      </c>
      <c r="AA13" s="265">
        <v>0</v>
      </c>
      <c r="AB13" s="265">
        <v>0</v>
      </c>
      <c r="AC13" s="265">
        <v>0</v>
      </c>
      <c r="AD13" s="265">
        <v>0</v>
      </c>
      <c r="AE13" s="265">
        <v>0</v>
      </c>
      <c r="AF13" s="265">
        <v>0</v>
      </c>
      <c r="AG13" s="265">
        <v>0</v>
      </c>
      <c r="AH13" s="265">
        <v>0</v>
      </c>
      <c r="AI13" s="265">
        <v>0</v>
      </c>
      <c r="AJ13" s="265">
        <v>0</v>
      </c>
      <c r="AK13" s="265">
        <v>0</v>
      </c>
      <c r="AL13" s="266">
        <v>5200</v>
      </c>
      <c r="AM13" s="265">
        <f t="shared" si="0"/>
        <v>0</v>
      </c>
      <c r="AN13" s="266">
        <v>13000</v>
      </c>
      <c r="AO13" s="265">
        <f t="shared" si="1"/>
        <v>0</v>
      </c>
      <c r="AP13" s="266">
        <v>18200</v>
      </c>
      <c r="AQ13" s="265">
        <f t="shared" si="2"/>
        <v>0</v>
      </c>
      <c r="AR13" s="266">
        <v>10400</v>
      </c>
      <c r="AS13" s="262">
        <f t="shared" si="3"/>
        <v>0</v>
      </c>
      <c r="AT13" s="266">
        <v>10200</v>
      </c>
      <c r="AU13" s="260">
        <f t="shared" si="4"/>
        <v>0</v>
      </c>
      <c r="AV13" s="259">
        <v>6600</v>
      </c>
      <c r="AW13" s="260">
        <f t="shared" si="5"/>
        <v>0</v>
      </c>
      <c r="AX13" s="261">
        <v>18468</v>
      </c>
      <c r="AY13" s="260">
        <f t="shared" si="6"/>
        <v>0</v>
      </c>
      <c r="AZ13" s="259">
        <v>27168</v>
      </c>
      <c r="BA13" s="260">
        <f t="shared" si="7"/>
        <v>0</v>
      </c>
      <c r="BB13" s="259">
        <v>20368</v>
      </c>
      <c r="BC13" s="260">
        <f t="shared" si="8"/>
        <v>0</v>
      </c>
      <c r="BD13" s="259">
        <v>22368</v>
      </c>
      <c r="BE13" s="260">
        <f t="shared" si="9"/>
        <v>0</v>
      </c>
      <c r="BF13" s="259">
        <v>19368</v>
      </c>
      <c r="BG13" s="260">
        <f t="shared" si="10"/>
        <v>0</v>
      </c>
      <c r="BH13" s="259">
        <v>16670</v>
      </c>
      <c r="BI13" s="260">
        <f t="shared" si="11"/>
        <v>0</v>
      </c>
      <c r="BJ13" s="58"/>
      <c r="BK13" s="220"/>
      <c r="BL13" s="213" t="s">
        <v>763</v>
      </c>
      <c r="BM13" s="58" t="s">
        <v>516</v>
      </c>
    </row>
    <row r="14" spans="1:65" s="201" customFormat="1" ht="15.75" customHeight="1">
      <c r="A14" s="213" t="s">
        <v>1437</v>
      </c>
      <c r="B14" s="58" t="s">
        <v>199</v>
      </c>
      <c r="C14" s="58" t="s">
        <v>752</v>
      </c>
      <c r="D14" s="214" t="s">
        <v>186</v>
      </c>
      <c r="E14" s="214" t="s">
        <v>186</v>
      </c>
      <c r="F14" s="215" t="s">
        <v>186</v>
      </c>
      <c r="G14" s="216">
        <v>2022</v>
      </c>
      <c r="H14" s="218" t="s">
        <v>793</v>
      </c>
      <c r="I14" s="218" t="s">
        <v>212</v>
      </c>
      <c r="J14" s="217" t="s">
        <v>890</v>
      </c>
      <c r="K14" s="213" t="s">
        <v>221</v>
      </c>
      <c r="L14" s="213" t="s">
        <v>192</v>
      </c>
      <c r="M14" s="219" t="s">
        <v>1390</v>
      </c>
      <c r="N14" s="265">
        <v>3.9</v>
      </c>
      <c r="O14" s="265">
        <v>3.9</v>
      </c>
      <c r="P14" s="265">
        <v>3.9</v>
      </c>
      <c r="Q14" s="265">
        <v>3.9</v>
      </c>
      <c r="R14" s="265">
        <v>3.9</v>
      </c>
      <c r="S14" s="265">
        <v>3.9</v>
      </c>
      <c r="T14" s="265">
        <v>3.9</v>
      </c>
      <c r="U14" s="265">
        <v>3.9</v>
      </c>
      <c r="V14" s="265">
        <v>3.9</v>
      </c>
      <c r="W14" s="265">
        <v>3.9</v>
      </c>
      <c r="X14" s="265">
        <v>3.9</v>
      </c>
      <c r="Y14" s="265">
        <v>3.9</v>
      </c>
      <c r="Z14" s="265">
        <v>0.21</v>
      </c>
      <c r="AA14" s="265">
        <v>0.21</v>
      </c>
      <c r="AB14" s="265">
        <v>0.21</v>
      </c>
      <c r="AC14" s="265">
        <v>0.21</v>
      </c>
      <c r="AD14" s="265">
        <v>0.21</v>
      </c>
      <c r="AE14" s="265">
        <v>0.21</v>
      </c>
      <c r="AF14" s="265">
        <v>0.21</v>
      </c>
      <c r="AG14" s="265">
        <v>0.21</v>
      </c>
      <c r="AH14" s="265">
        <v>0.21</v>
      </c>
      <c r="AI14" s="265">
        <v>0.21</v>
      </c>
      <c r="AJ14" s="265">
        <v>0.21</v>
      </c>
      <c r="AK14" s="265">
        <v>0.21</v>
      </c>
      <c r="AL14" s="266">
        <v>5600</v>
      </c>
      <c r="AM14" s="265">
        <f t="shared" si="0"/>
        <v>1176</v>
      </c>
      <c r="AN14" s="266">
        <v>5600</v>
      </c>
      <c r="AO14" s="265">
        <f t="shared" si="1"/>
        <v>1176</v>
      </c>
      <c r="AP14" s="266">
        <v>23100</v>
      </c>
      <c r="AQ14" s="265">
        <f t="shared" si="2"/>
        <v>4851</v>
      </c>
      <c r="AR14" s="266">
        <v>0</v>
      </c>
      <c r="AS14" s="262">
        <f t="shared" si="3"/>
        <v>0</v>
      </c>
      <c r="AT14" s="266">
        <v>0</v>
      </c>
      <c r="AU14" s="260">
        <f t="shared" si="4"/>
        <v>0</v>
      </c>
      <c r="AV14" s="259">
        <v>2800</v>
      </c>
      <c r="AW14" s="260">
        <f t="shared" si="5"/>
        <v>588</v>
      </c>
      <c r="AX14" s="261">
        <v>27335</v>
      </c>
      <c r="AY14" s="260">
        <f t="shared" si="6"/>
        <v>5740.3499999999995</v>
      </c>
      <c r="AZ14" s="259">
        <v>32935</v>
      </c>
      <c r="BA14" s="260">
        <f t="shared" si="7"/>
        <v>6916.3499999999995</v>
      </c>
      <c r="BB14" s="259">
        <v>27335</v>
      </c>
      <c r="BC14" s="260">
        <f t="shared" si="8"/>
        <v>5740.3499999999995</v>
      </c>
      <c r="BD14" s="259">
        <v>32935</v>
      </c>
      <c r="BE14" s="260">
        <f t="shared" si="9"/>
        <v>6916.3499999999995</v>
      </c>
      <c r="BF14" s="259">
        <v>30135</v>
      </c>
      <c r="BG14" s="260">
        <f t="shared" si="10"/>
        <v>6328.3499999999995</v>
      </c>
      <c r="BH14" s="259">
        <v>32934</v>
      </c>
      <c r="BI14" s="260">
        <f t="shared" si="11"/>
        <v>6916.1399999999994</v>
      </c>
      <c r="BJ14" s="58"/>
      <c r="BK14" s="220"/>
      <c r="BL14" s="213" t="s">
        <v>763</v>
      </c>
      <c r="BM14" s="58" t="s">
        <v>584</v>
      </c>
    </row>
    <row r="15" spans="1:65" ht="15.75" customHeight="1">
      <c r="A15" s="213" t="s">
        <v>1437</v>
      </c>
      <c r="B15" s="58" t="s">
        <v>184</v>
      </c>
      <c r="C15" s="58" t="s">
        <v>752</v>
      </c>
      <c r="D15" s="214" t="s">
        <v>186</v>
      </c>
      <c r="E15" s="214" t="s">
        <v>186</v>
      </c>
      <c r="F15" s="215" t="s">
        <v>186</v>
      </c>
      <c r="G15" s="216">
        <v>2016</v>
      </c>
      <c r="H15" s="218" t="s">
        <v>794</v>
      </c>
      <c r="I15" s="218" t="s">
        <v>196</v>
      </c>
      <c r="J15" s="217" t="s">
        <v>890</v>
      </c>
      <c r="K15" s="213" t="s">
        <v>221</v>
      </c>
      <c r="L15" s="213" t="s">
        <v>192</v>
      </c>
      <c r="M15" s="219" t="s">
        <v>1389</v>
      </c>
      <c r="N15" s="265">
        <v>4.79</v>
      </c>
      <c r="O15" s="265">
        <v>4.79</v>
      </c>
      <c r="P15" s="265">
        <v>4.79</v>
      </c>
      <c r="Q15" s="265">
        <v>4.79</v>
      </c>
      <c r="R15" s="265">
        <v>4.79</v>
      </c>
      <c r="S15" s="265">
        <v>4.79</v>
      </c>
      <c r="T15" s="265">
        <v>4.79</v>
      </c>
      <c r="U15" s="265">
        <v>4.79</v>
      </c>
      <c r="V15" s="265">
        <v>4.79</v>
      </c>
      <c r="W15" s="265">
        <v>4.79</v>
      </c>
      <c r="X15" s="265">
        <v>4.79</v>
      </c>
      <c r="Y15" s="265">
        <v>4.79</v>
      </c>
      <c r="Z15" s="265">
        <v>0.05</v>
      </c>
      <c r="AA15" s="265">
        <v>0.05</v>
      </c>
      <c r="AB15" s="265">
        <v>0.05</v>
      </c>
      <c r="AC15" s="265">
        <v>0.05</v>
      </c>
      <c r="AD15" s="265">
        <v>0.05</v>
      </c>
      <c r="AE15" s="265">
        <v>0.05</v>
      </c>
      <c r="AF15" s="265">
        <v>0.05</v>
      </c>
      <c r="AG15" s="265">
        <v>0.05</v>
      </c>
      <c r="AH15" s="265">
        <v>0.05</v>
      </c>
      <c r="AI15" s="265">
        <v>0.05</v>
      </c>
      <c r="AJ15" s="265">
        <v>0.05</v>
      </c>
      <c r="AK15" s="265">
        <v>0.05</v>
      </c>
      <c r="AL15" s="266">
        <v>4320</v>
      </c>
      <c r="AM15" s="265">
        <f t="shared" si="0"/>
        <v>216</v>
      </c>
      <c r="AN15" s="266">
        <v>8640</v>
      </c>
      <c r="AO15" s="265">
        <f t="shared" si="1"/>
        <v>432</v>
      </c>
      <c r="AP15" s="266">
        <v>0</v>
      </c>
      <c r="AQ15" s="265">
        <f t="shared" si="2"/>
        <v>0</v>
      </c>
      <c r="AR15" s="266">
        <v>0</v>
      </c>
      <c r="AS15" s="262">
        <f t="shared" si="3"/>
        <v>0</v>
      </c>
      <c r="AT15" s="266">
        <v>0</v>
      </c>
      <c r="AU15" s="260">
        <f t="shared" si="4"/>
        <v>0</v>
      </c>
      <c r="AV15" s="259">
        <v>0</v>
      </c>
      <c r="AW15" s="260">
        <f t="shared" si="5"/>
        <v>0</v>
      </c>
      <c r="AX15" s="261">
        <v>0</v>
      </c>
      <c r="AY15" s="260">
        <f t="shared" si="6"/>
        <v>0</v>
      </c>
      <c r="AZ15" s="259">
        <v>0</v>
      </c>
      <c r="BA15" s="260">
        <f t="shared" si="7"/>
        <v>0</v>
      </c>
      <c r="BB15" s="259">
        <v>0</v>
      </c>
      <c r="BC15" s="260">
        <f t="shared" si="8"/>
        <v>0</v>
      </c>
      <c r="BD15" s="259" t="s">
        <v>573</v>
      </c>
      <c r="BE15" s="260">
        <f t="shared" si="9"/>
        <v>0</v>
      </c>
      <c r="BF15" s="259">
        <v>0</v>
      </c>
      <c r="BG15" s="260">
        <f t="shared" si="10"/>
        <v>0</v>
      </c>
      <c r="BH15" s="259">
        <v>0</v>
      </c>
      <c r="BI15" s="260">
        <f t="shared" si="11"/>
        <v>0</v>
      </c>
      <c r="BJ15" s="58"/>
      <c r="BK15" s="220"/>
      <c r="BL15" s="213" t="s">
        <v>763</v>
      </c>
      <c r="BM15" s="58" t="s">
        <v>698</v>
      </c>
    </row>
    <row r="16" spans="1:65" ht="15.75" customHeight="1">
      <c r="A16" s="213" t="s">
        <v>1437</v>
      </c>
      <c r="B16" s="58" t="s">
        <v>184</v>
      </c>
      <c r="C16" s="58" t="s">
        <v>752</v>
      </c>
      <c r="D16" s="214" t="s">
        <v>186</v>
      </c>
      <c r="E16" s="214" t="s">
        <v>186</v>
      </c>
      <c r="F16" s="215" t="s">
        <v>186</v>
      </c>
      <c r="G16" s="216">
        <v>2019</v>
      </c>
      <c r="H16" s="218" t="s">
        <v>795</v>
      </c>
      <c r="I16" s="218" t="s">
        <v>196</v>
      </c>
      <c r="J16" s="217" t="s">
        <v>890</v>
      </c>
      <c r="K16" s="213" t="s">
        <v>753</v>
      </c>
      <c r="L16" s="213" t="s">
        <v>192</v>
      </c>
      <c r="M16" s="219" t="s">
        <v>1389</v>
      </c>
      <c r="N16" s="265">
        <v>1.8</v>
      </c>
      <c r="O16" s="265">
        <v>1.8</v>
      </c>
      <c r="P16" s="265">
        <v>1.8</v>
      </c>
      <c r="Q16" s="265">
        <v>1.8</v>
      </c>
      <c r="R16" s="265">
        <v>1.8</v>
      </c>
      <c r="S16" s="265">
        <v>1.8</v>
      </c>
      <c r="T16" s="265">
        <v>1.8</v>
      </c>
      <c r="U16" s="265">
        <v>1.8</v>
      </c>
      <c r="V16" s="265">
        <v>1.8</v>
      </c>
      <c r="W16" s="265">
        <v>1.8</v>
      </c>
      <c r="X16" s="265">
        <v>1.8</v>
      </c>
      <c r="Y16" s="265">
        <v>1.8</v>
      </c>
      <c r="Z16" s="265">
        <v>0</v>
      </c>
      <c r="AA16" s="265">
        <v>0</v>
      </c>
      <c r="AB16" s="265">
        <v>0</v>
      </c>
      <c r="AC16" s="265">
        <v>0</v>
      </c>
      <c r="AD16" s="265">
        <v>0</v>
      </c>
      <c r="AE16" s="265">
        <v>0</v>
      </c>
      <c r="AF16" s="265">
        <v>0</v>
      </c>
      <c r="AG16" s="265">
        <v>0</v>
      </c>
      <c r="AH16" s="265">
        <v>0</v>
      </c>
      <c r="AI16" s="265">
        <v>0</v>
      </c>
      <c r="AJ16" s="265">
        <v>0</v>
      </c>
      <c r="AK16" s="265">
        <v>0</v>
      </c>
      <c r="AL16" s="266">
        <v>20160</v>
      </c>
      <c r="AM16" s="265">
        <f t="shared" si="0"/>
        <v>0</v>
      </c>
      <c r="AN16" s="266">
        <v>23040</v>
      </c>
      <c r="AO16" s="265">
        <f t="shared" si="1"/>
        <v>0</v>
      </c>
      <c r="AP16" s="266">
        <v>28800</v>
      </c>
      <c r="AQ16" s="265">
        <f t="shared" si="2"/>
        <v>0</v>
      </c>
      <c r="AR16" s="266">
        <v>8640</v>
      </c>
      <c r="AS16" s="262">
        <f t="shared" si="3"/>
        <v>0</v>
      </c>
      <c r="AT16" s="266">
        <v>2880</v>
      </c>
      <c r="AU16" s="260">
        <f t="shared" si="4"/>
        <v>0</v>
      </c>
      <c r="AV16" s="259">
        <v>0</v>
      </c>
      <c r="AW16" s="260">
        <f t="shared" si="5"/>
        <v>0</v>
      </c>
      <c r="AX16" s="261">
        <v>24722</v>
      </c>
      <c r="AY16" s="260">
        <f t="shared" si="6"/>
        <v>0</v>
      </c>
      <c r="AZ16" s="259">
        <v>27602</v>
      </c>
      <c r="BA16" s="260">
        <f t="shared" si="7"/>
        <v>0</v>
      </c>
      <c r="BB16" s="259">
        <v>13202</v>
      </c>
      <c r="BC16" s="260">
        <f t="shared" si="8"/>
        <v>0</v>
      </c>
      <c r="BD16" s="259">
        <v>30482</v>
      </c>
      <c r="BE16" s="260">
        <f t="shared" si="9"/>
        <v>0</v>
      </c>
      <c r="BF16" s="259">
        <v>4562</v>
      </c>
      <c r="BG16" s="260">
        <f t="shared" si="10"/>
        <v>0</v>
      </c>
      <c r="BH16" s="259">
        <v>21845</v>
      </c>
      <c r="BI16" s="260">
        <f t="shared" si="11"/>
        <v>0</v>
      </c>
      <c r="BJ16" s="58"/>
      <c r="BK16" s="220"/>
      <c r="BL16" s="213" t="s">
        <v>763</v>
      </c>
      <c r="BM16" s="58" t="s">
        <v>608</v>
      </c>
    </row>
    <row r="17" spans="1:65" ht="15.75" customHeight="1">
      <c r="A17" s="213" t="s">
        <v>1437</v>
      </c>
      <c r="B17" s="58" t="s">
        <v>199</v>
      </c>
      <c r="C17" s="58" t="s">
        <v>752</v>
      </c>
      <c r="D17" s="214" t="s">
        <v>186</v>
      </c>
      <c r="E17" s="214" t="s">
        <v>186</v>
      </c>
      <c r="F17" s="215" t="s">
        <v>186</v>
      </c>
      <c r="G17" s="216">
        <v>2020</v>
      </c>
      <c r="H17" s="218" t="s">
        <v>796</v>
      </c>
      <c r="I17" s="218" t="s">
        <v>201</v>
      </c>
      <c r="J17" s="217" t="s">
        <v>890</v>
      </c>
      <c r="K17" s="213" t="s">
        <v>221</v>
      </c>
      <c r="L17" s="213" t="s">
        <v>192</v>
      </c>
      <c r="M17" s="219" t="s">
        <v>1390</v>
      </c>
      <c r="N17" s="265">
        <v>8.0500000000000007</v>
      </c>
      <c r="O17" s="265">
        <v>8.0500000000000007</v>
      </c>
      <c r="P17" s="265">
        <v>8.0500000000000007</v>
      </c>
      <c r="Q17" s="265">
        <v>8.0500000000000007</v>
      </c>
      <c r="R17" s="265">
        <v>8.0500000000000007</v>
      </c>
      <c r="S17" s="265">
        <v>8.0500000000000007</v>
      </c>
      <c r="T17" s="265">
        <v>8.0500000000000007</v>
      </c>
      <c r="U17" s="265">
        <v>8.0500000000000007</v>
      </c>
      <c r="V17" s="265">
        <v>8.0500000000000007</v>
      </c>
      <c r="W17" s="265">
        <v>8.0500000000000007</v>
      </c>
      <c r="X17" s="265">
        <v>8.0500000000000007</v>
      </c>
      <c r="Y17" s="265">
        <v>8.0500000000000007</v>
      </c>
      <c r="Z17" s="265">
        <v>0.08</v>
      </c>
      <c r="AA17" s="265">
        <v>0.08</v>
      </c>
      <c r="AB17" s="265">
        <v>0.08</v>
      </c>
      <c r="AC17" s="265">
        <v>0.08</v>
      </c>
      <c r="AD17" s="265">
        <v>0.08</v>
      </c>
      <c r="AE17" s="265">
        <v>0.08</v>
      </c>
      <c r="AF17" s="265">
        <v>0.08</v>
      </c>
      <c r="AG17" s="265">
        <v>0.08</v>
      </c>
      <c r="AH17" s="265">
        <v>0.08</v>
      </c>
      <c r="AI17" s="265">
        <v>0.08</v>
      </c>
      <c r="AJ17" s="265">
        <v>0.08</v>
      </c>
      <c r="AK17" s="265">
        <v>0.08</v>
      </c>
      <c r="AL17" s="266">
        <v>6500</v>
      </c>
      <c r="AM17" s="265">
        <f t="shared" si="0"/>
        <v>520</v>
      </c>
      <c r="AN17" s="266">
        <v>21980</v>
      </c>
      <c r="AO17" s="265">
        <f t="shared" si="1"/>
        <v>1758.4</v>
      </c>
      <c r="AP17" s="266">
        <v>20980</v>
      </c>
      <c r="AQ17" s="265">
        <f t="shared" si="2"/>
        <v>1678.4</v>
      </c>
      <c r="AR17" s="266">
        <v>2700</v>
      </c>
      <c r="AS17" s="262">
        <f t="shared" si="3"/>
        <v>216</v>
      </c>
      <c r="AT17" s="266">
        <v>5400</v>
      </c>
      <c r="AU17" s="260">
        <f t="shared" si="4"/>
        <v>432</v>
      </c>
      <c r="AV17" s="259">
        <v>5400</v>
      </c>
      <c r="AW17" s="260">
        <f t="shared" si="5"/>
        <v>432</v>
      </c>
      <c r="AX17" s="261">
        <v>12013</v>
      </c>
      <c r="AY17" s="260">
        <f t="shared" si="6"/>
        <v>961.04</v>
      </c>
      <c r="AZ17" s="259">
        <v>10013</v>
      </c>
      <c r="BA17" s="260">
        <f t="shared" si="7"/>
        <v>801.04</v>
      </c>
      <c r="BB17" s="259">
        <v>6313</v>
      </c>
      <c r="BC17" s="260">
        <f t="shared" si="8"/>
        <v>505.04</v>
      </c>
      <c r="BD17" s="259">
        <v>7713</v>
      </c>
      <c r="BE17" s="260">
        <f t="shared" si="9"/>
        <v>617.04</v>
      </c>
      <c r="BF17" s="259">
        <v>12873</v>
      </c>
      <c r="BG17" s="260">
        <f t="shared" si="10"/>
        <v>1029.8399999999999</v>
      </c>
      <c r="BH17" s="259">
        <v>7589</v>
      </c>
      <c r="BI17" s="260">
        <f t="shared" si="11"/>
        <v>607.12</v>
      </c>
      <c r="BJ17" s="58"/>
      <c r="BK17" s="220"/>
      <c r="BL17" s="213" t="s">
        <v>763</v>
      </c>
      <c r="BM17" s="58" t="s">
        <v>538</v>
      </c>
    </row>
    <row r="18" spans="1:65" ht="15.75" customHeight="1">
      <c r="A18" s="213" t="s">
        <v>1437</v>
      </c>
      <c r="B18" s="58" t="s">
        <v>184</v>
      </c>
      <c r="C18" s="58" t="s">
        <v>752</v>
      </c>
      <c r="D18" s="214" t="s">
        <v>186</v>
      </c>
      <c r="E18" s="214" t="s">
        <v>186</v>
      </c>
      <c r="F18" s="215" t="s">
        <v>186</v>
      </c>
      <c r="G18" s="216">
        <v>2020</v>
      </c>
      <c r="H18" s="218" t="s">
        <v>797</v>
      </c>
      <c r="I18" s="218" t="s">
        <v>196</v>
      </c>
      <c r="J18" s="217" t="s">
        <v>890</v>
      </c>
      <c r="K18" s="213" t="s">
        <v>216</v>
      </c>
      <c r="L18" s="213" t="s">
        <v>192</v>
      </c>
      <c r="M18" s="219" t="s">
        <v>1389</v>
      </c>
      <c r="N18" s="265">
        <v>22.72</v>
      </c>
      <c r="O18" s="265">
        <v>22.72</v>
      </c>
      <c r="P18" s="265">
        <v>22.72</v>
      </c>
      <c r="Q18" s="265">
        <v>22.72</v>
      </c>
      <c r="R18" s="265">
        <v>22.72</v>
      </c>
      <c r="S18" s="265">
        <v>22.72</v>
      </c>
      <c r="T18" s="265">
        <v>22.72</v>
      </c>
      <c r="U18" s="265">
        <v>22.72</v>
      </c>
      <c r="V18" s="265">
        <v>22.72</v>
      </c>
      <c r="W18" s="265">
        <v>22.72</v>
      </c>
      <c r="X18" s="265">
        <v>22.72</v>
      </c>
      <c r="Y18" s="265">
        <v>22.72</v>
      </c>
      <c r="Z18" s="265">
        <v>0.06</v>
      </c>
      <c r="AA18" s="265">
        <v>0.06</v>
      </c>
      <c r="AB18" s="265">
        <v>0.06</v>
      </c>
      <c r="AC18" s="265">
        <v>0.06</v>
      </c>
      <c r="AD18" s="265">
        <v>0.06</v>
      </c>
      <c r="AE18" s="265">
        <v>0.06</v>
      </c>
      <c r="AF18" s="265">
        <v>0.06</v>
      </c>
      <c r="AG18" s="265">
        <v>0.06</v>
      </c>
      <c r="AH18" s="265">
        <v>0.06</v>
      </c>
      <c r="AI18" s="265">
        <v>0.06</v>
      </c>
      <c r="AJ18" s="265">
        <v>0.06</v>
      </c>
      <c r="AK18" s="265">
        <v>0.06</v>
      </c>
      <c r="AL18" s="266" t="s">
        <v>573</v>
      </c>
      <c r="AM18" s="265">
        <f t="shared" si="0"/>
        <v>0</v>
      </c>
      <c r="AN18" s="266" t="s">
        <v>573</v>
      </c>
      <c r="AO18" s="265">
        <f t="shared" si="1"/>
        <v>0</v>
      </c>
      <c r="AP18" s="266">
        <v>0</v>
      </c>
      <c r="AQ18" s="265">
        <f t="shared" si="2"/>
        <v>0</v>
      </c>
      <c r="AR18" s="266">
        <v>0</v>
      </c>
      <c r="AS18" s="262">
        <f t="shared" si="3"/>
        <v>0</v>
      </c>
      <c r="AT18" s="266">
        <v>0</v>
      </c>
      <c r="AU18" s="260">
        <f t="shared" si="4"/>
        <v>0</v>
      </c>
      <c r="AV18" s="259">
        <v>0</v>
      </c>
      <c r="AW18" s="260">
        <f t="shared" si="5"/>
        <v>0</v>
      </c>
      <c r="AX18" s="261" t="s">
        <v>573</v>
      </c>
      <c r="AY18" s="260">
        <f t="shared" si="6"/>
        <v>0</v>
      </c>
      <c r="AZ18" s="259" t="s">
        <v>573</v>
      </c>
      <c r="BA18" s="260">
        <f t="shared" si="7"/>
        <v>0</v>
      </c>
      <c r="BB18" s="259" t="s">
        <v>573</v>
      </c>
      <c r="BC18" s="260">
        <f t="shared" si="8"/>
        <v>0</v>
      </c>
      <c r="BD18" s="259" t="s">
        <v>573</v>
      </c>
      <c r="BE18" s="260">
        <f t="shared" si="9"/>
        <v>0</v>
      </c>
      <c r="BF18" s="259">
        <v>0</v>
      </c>
      <c r="BG18" s="260">
        <f t="shared" si="10"/>
        <v>0</v>
      </c>
      <c r="BH18" s="259">
        <v>0</v>
      </c>
      <c r="BI18" s="260">
        <f t="shared" si="11"/>
        <v>0</v>
      </c>
      <c r="BJ18" s="58"/>
      <c r="BK18" s="220"/>
      <c r="BL18" s="213" t="s">
        <v>763</v>
      </c>
      <c r="BM18" s="58" t="s">
        <v>503</v>
      </c>
    </row>
    <row r="19" spans="1:65" s="201" customFormat="1" ht="14.85" customHeight="1">
      <c r="A19" s="213" t="s">
        <v>1437</v>
      </c>
      <c r="B19" s="58" t="s">
        <v>199</v>
      </c>
      <c r="C19" s="58" t="s">
        <v>752</v>
      </c>
      <c r="D19" s="214" t="s">
        <v>186</v>
      </c>
      <c r="E19" s="214" t="s">
        <v>186</v>
      </c>
      <c r="F19" s="215" t="s">
        <v>186</v>
      </c>
      <c r="G19" s="216">
        <v>2019</v>
      </c>
      <c r="H19" s="218" t="s">
        <v>798</v>
      </c>
      <c r="I19" s="218" t="s">
        <v>201</v>
      </c>
      <c r="J19" s="217" t="s">
        <v>890</v>
      </c>
      <c r="K19" s="213" t="s">
        <v>753</v>
      </c>
      <c r="L19" s="213" t="s">
        <v>192</v>
      </c>
      <c r="M19" s="219" t="s">
        <v>1390</v>
      </c>
      <c r="N19" s="265">
        <v>10.31</v>
      </c>
      <c r="O19" s="265">
        <v>10.31</v>
      </c>
      <c r="P19" s="265">
        <v>10.31</v>
      </c>
      <c r="Q19" s="265">
        <v>10.31</v>
      </c>
      <c r="R19" s="265">
        <v>10.31</v>
      </c>
      <c r="S19" s="265">
        <v>10.31</v>
      </c>
      <c r="T19" s="265">
        <v>10.31</v>
      </c>
      <c r="U19" s="265">
        <v>10.31</v>
      </c>
      <c r="V19" s="265">
        <v>10.31</v>
      </c>
      <c r="W19" s="265">
        <v>10.31</v>
      </c>
      <c r="X19" s="265">
        <v>10.31</v>
      </c>
      <c r="Y19" s="265">
        <v>10.31</v>
      </c>
      <c r="Z19" s="265">
        <v>0</v>
      </c>
      <c r="AA19" s="265">
        <v>0</v>
      </c>
      <c r="AB19" s="265">
        <v>0</v>
      </c>
      <c r="AC19" s="265">
        <v>0</v>
      </c>
      <c r="AD19" s="265">
        <v>0</v>
      </c>
      <c r="AE19" s="265">
        <v>0</v>
      </c>
      <c r="AF19" s="265">
        <v>0</v>
      </c>
      <c r="AG19" s="265">
        <v>0</v>
      </c>
      <c r="AH19" s="265">
        <v>0</v>
      </c>
      <c r="AI19" s="265">
        <v>0</v>
      </c>
      <c r="AJ19" s="265">
        <v>0</v>
      </c>
      <c r="AK19" s="265">
        <v>0</v>
      </c>
      <c r="AL19" s="266" t="s">
        <v>573</v>
      </c>
      <c r="AM19" s="265">
        <f t="shared" si="0"/>
        <v>0</v>
      </c>
      <c r="AN19" s="266" t="s">
        <v>573</v>
      </c>
      <c r="AO19" s="265">
        <f t="shared" si="1"/>
        <v>0</v>
      </c>
      <c r="AP19" s="266">
        <v>0</v>
      </c>
      <c r="AQ19" s="265">
        <f t="shared" si="2"/>
        <v>0</v>
      </c>
      <c r="AR19" s="266">
        <v>0</v>
      </c>
      <c r="AS19" s="262">
        <f t="shared" si="3"/>
        <v>0</v>
      </c>
      <c r="AT19" s="266">
        <v>0</v>
      </c>
      <c r="AU19" s="260">
        <f t="shared" si="4"/>
        <v>0</v>
      </c>
      <c r="AV19" s="259">
        <v>0</v>
      </c>
      <c r="AW19" s="260">
        <f t="shared" si="5"/>
        <v>0</v>
      </c>
      <c r="AX19" s="261" t="s">
        <v>573</v>
      </c>
      <c r="AY19" s="260">
        <f t="shared" si="6"/>
        <v>0</v>
      </c>
      <c r="AZ19" s="259" t="s">
        <v>573</v>
      </c>
      <c r="BA19" s="260">
        <f t="shared" si="7"/>
        <v>0</v>
      </c>
      <c r="BB19" s="259" t="s">
        <v>573</v>
      </c>
      <c r="BC19" s="260">
        <f t="shared" si="8"/>
        <v>0</v>
      </c>
      <c r="BD19" s="259" t="s">
        <v>573</v>
      </c>
      <c r="BE19" s="260">
        <f t="shared" si="9"/>
        <v>0</v>
      </c>
      <c r="BF19" s="259" t="s">
        <v>573</v>
      </c>
      <c r="BG19" s="260">
        <f t="shared" si="10"/>
        <v>0</v>
      </c>
      <c r="BH19" s="259" t="s">
        <v>573</v>
      </c>
      <c r="BI19" s="260">
        <f t="shared" si="11"/>
        <v>0</v>
      </c>
      <c r="BJ19" s="58"/>
      <c r="BK19" s="220"/>
      <c r="BL19" s="213" t="s">
        <v>763</v>
      </c>
      <c r="BM19" s="58" t="s">
        <v>555</v>
      </c>
    </row>
    <row r="20" spans="1:65" ht="15.75" customHeight="1">
      <c r="A20" s="213" t="s">
        <v>1437</v>
      </c>
      <c r="B20" s="58" t="s">
        <v>184</v>
      </c>
      <c r="C20" s="58" t="s">
        <v>752</v>
      </c>
      <c r="D20" s="214" t="s">
        <v>186</v>
      </c>
      <c r="E20" s="214" t="s">
        <v>186</v>
      </c>
      <c r="F20" s="215" t="s">
        <v>186</v>
      </c>
      <c r="G20" s="216">
        <v>2020</v>
      </c>
      <c r="H20" s="213" t="s">
        <v>799</v>
      </c>
      <c r="I20" s="213" t="s">
        <v>196</v>
      </c>
      <c r="J20" s="217" t="s">
        <v>890</v>
      </c>
      <c r="K20" s="213" t="s">
        <v>221</v>
      </c>
      <c r="L20" s="213" t="s">
        <v>192</v>
      </c>
      <c r="M20" s="219" t="s">
        <v>1389</v>
      </c>
      <c r="N20" s="265">
        <v>3.28</v>
      </c>
      <c r="O20" s="265">
        <v>3.28</v>
      </c>
      <c r="P20" s="265">
        <v>3.28</v>
      </c>
      <c r="Q20" s="265">
        <v>3.28</v>
      </c>
      <c r="R20" s="265">
        <v>3.28</v>
      </c>
      <c r="S20" s="265">
        <v>3.28</v>
      </c>
      <c r="T20" s="265">
        <v>3.28</v>
      </c>
      <c r="U20" s="265">
        <v>3.28</v>
      </c>
      <c r="V20" s="265">
        <v>3.28</v>
      </c>
      <c r="W20" s="265">
        <v>3.28</v>
      </c>
      <c r="X20" s="265">
        <v>3.28</v>
      </c>
      <c r="Y20" s="265">
        <v>3.28</v>
      </c>
      <c r="Z20" s="265">
        <v>0</v>
      </c>
      <c r="AA20" s="265">
        <v>0</v>
      </c>
      <c r="AB20" s="265">
        <v>0</v>
      </c>
      <c r="AC20" s="265">
        <v>0</v>
      </c>
      <c r="AD20" s="265">
        <v>0</v>
      </c>
      <c r="AE20" s="265">
        <v>0</v>
      </c>
      <c r="AF20" s="265">
        <v>0</v>
      </c>
      <c r="AG20" s="265">
        <v>0</v>
      </c>
      <c r="AH20" s="265">
        <v>0</v>
      </c>
      <c r="AI20" s="265">
        <v>0</v>
      </c>
      <c r="AJ20" s="265">
        <v>0</v>
      </c>
      <c r="AK20" s="265">
        <v>0</v>
      </c>
      <c r="AL20" s="266">
        <v>25920</v>
      </c>
      <c r="AM20" s="265">
        <f t="shared" si="0"/>
        <v>0</v>
      </c>
      <c r="AN20" s="266">
        <v>26880</v>
      </c>
      <c r="AO20" s="265">
        <f t="shared" si="1"/>
        <v>0</v>
      </c>
      <c r="AP20" s="266">
        <v>6720</v>
      </c>
      <c r="AQ20" s="265">
        <f t="shared" si="2"/>
        <v>0</v>
      </c>
      <c r="AR20" s="266">
        <v>26880</v>
      </c>
      <c r="AS20" s="262">
        <f t="shared" si="3"/>
        <v>0</v>
      </c>
      <c r="AT20" s="266">
        <v>13440</v>
      </c>
      <c r="AU20" s="260">
        <f t="shared" si="4"/>
        <v>0</v>
      </c>
      <c r="AV20" s="259">
        <v>0</v>
      </c>
      <c r="AW20" s="260">
        <f t="shared" si="5"/>
        <v>0</v>
      </c>
      <c r="AX20" s="261">
        <v>4137</v>
      </c>
      <c r="AY20" s="260">
        <f t="shared" si="6"/>
        <v>0</v>
      </c>
      <c r="AZ20" s="259">
        <v>37737</v>
      </c>
      <c r="BA20" s="260">
        <f t="shared" si="7"/>
        <v>0</v>
      </c>
      <c r="BB20" s="259" t="s">
        <v>573</v>
      </c>
      <c r="BC20" s="260">
        <f t="shared" si="8"/>
        <v>0</v>
      </c>
      <c r="BD20" s="259">
        <v>14994</v>
      </c>
      <c r="BE20" s="260">
        <f t="shared" si="9"/>
        <v>0</v>
      </c>
      <c r="BF20" s="259">
        <v>1541</v>
      </c>
      <c r="BG20" s="260">
        <f t="shared" si="10"/>
        <v>0</v>
      </c>
      <c r="BH20" s="259">
        <v>4137</v>
      </c>
      <c r="BI20" s="260">
        <f t="shared" si="11"/>
        <v>0</v>
      </c>
      <c r="BJ20" s="58"/>
      <c r="BK20" s="220"/>
      <c r="BL20" s="213" t="s">
        <v>763</v>
      </c>
      <c r="BM20" s="58" t="s">
        <v>530</v>
      </c>
    </row>
    <row r="21" spans="1:65" ht="15.75" customHeight="1">
      <c r="A21" s="213" t="s">
        <v>1437</v>
      </c>
      <c r="B21" s="58" t="s">
        <v>184</v>
      </c>
      <c r="C21" s="58" t="s">
        <v>752</v>
      </c>
      <c r="D21" s="214" t="s">
        <v>186</v>
      </c>
      <c r="E21" s="214" t="s">
        <v>186</v>
      </c>
      <c r="F21" s="215" t="s">
        <v>186</v>
      </c>
      <c r="G21" s="216">
        <v>2023</v>
      </c>
      <c r="H21" s="218" t="s">
        <v>800</v>
      </c>
      <c r="I21" s="218" t="s">
        <v>196</v>
      </c>
      <c r="J21" s="217" t="s">
        <v>890</v>
      </c>
      <c r="K21" s="213" t="s">
        <v>221</v>
      </c>
      <c r="L21" s="213" t="s">
        <v>192</v>
      </c>
      <c r="M21" s="219" t="s">
        <v>1389</v>
      </c>
      <c r="N21" s="265">
        <v>24.21</v>
      </c>
      <c r="O21" s="265">
        <v>24.21</v>
      </c>
      <c r="P21" s="265">
        <v>24.21</v>
      </c>
      <c r="Q21" s="265">
        <v>24.21</v>
      </c>
      <c r="R21" s="265">
        <v>24.21</v>
      </c>
      <c r="S21" s="265">
        <v>24.21</v>
      </c>
      <c r="T21" s="265">
        <v>24.21</v>
      </c>
      <c r="U21" s="265">
        <v>24.21</v>
      </c>
      <c r="V21" s="265">
        <v>24.21</v>
      </c>
      <c r="W21" s="265">
        <v>24.21</v>
      </c>
      <c r="X21" s="265">
        <v>24.21</v>
      </c>
      <c r="Y21" s="265">
        <v>24.21</v>
      </c>
      <c r="Z21" s="265">
        <v>0.83</v>
      </c>
      <c r="AA21" s="265">
        <v>0.83</v>
      </c>
      <c r="AB21" s="265">
        <v>0.83</v>
      </c>
      <c r="AC21" s="265">
        <v>0.83</v>
      </c>
      <c r="AD21" s="265">
        <v>0.83</v>
      </c>
      <c r="AE21" s="265">
        <v>0.83</v>
      </c>
      <c r="AF21" s="265">
        <v>0.83</v>
      </c>
      <c r="AG21" s="265">
        <v>0.83</v>
      </c>
      <c r="AH21" s="265">
        <v>0.83</v>
      </c>
      <c r="AI21" s="265">
        <v>0.83</v>
      </c>
      <c r="AJ21" s="265">
        <v>0.83</v>
      </c>
      <c r="AK21" s="265">
        <v>0.83</v>
      </c>
      <c r="AL21" s="266">
        <v>1200</v>
      </c>
      <c r="AM21" s="265">
        <f t="shared" si="0"/>
        <v>996</v>
      </c>
      <c r="AN21" s="266" t="s">
        <v>573</v>
      </c>
      <c r="AO21" s="265">
        <f t="shared" si="1"/>
        <v>0</v>
      </c>
      <c r="AP21" s="266">
        <v>4800</v>
      </c>
      <c r="AQ21" s="265">
        <f t="shared" si="2"/>
        <v>3984</v>
      </c>
      <c r="AR21" s="266">
        <v>0</v>
      </c>
      <c r="AS21" s="262">
        <f t="shared" si="3"/>
        <v>0</v>
      </c>
      <c r="AT21" s="266">
        <v>1200</v>
      </c>
      <c r="AU21" s="260">
        <f t="shared" si="4"/>
        <v>996</v>
      </c>
      <c r="AV21" s="259">
        <v>7200</v>
      </c>
      <c r="AW21" s="260">
        <f t="shared" si="5"/>
        <v>5976</v>
      </c>
      <c r="AX21" s="261">
        <v>0</v>
      </c>
      <c r="AY21" s="260">
        <f t="shared" si="6"/>
        <v>0</v>
      </c>
      <c r="AZ21" s="259">
        <v>0</v>
      </c>
      <c r="BA21" s="260">
        <f t="shared" si="7"/>
        <v>0</v>
      </c>
      <c r="BB21" s="259">
        <v>0</v>
      </c>
      <c r="BC21" s="260">
        <f t="shared" si="8"/>
        <v>0</v>
      </c>
      <c r="BD21" s="259">
        <v>0</v>
      </c>
      <c r="BE21" s="260">
        <f t="shared" si="9"/>
        <v>0</v>
      </c>
      <c r="BF21" s="259" t="s">
        <v>573</v>
      </c>
      <c r="BG21" s="260">
        <f t="shared" si="10"/>
        <v>0</v>
      </c>
      <c r="BH21" s="259">
        <v>0</v>
      </c>
      <c r="BI21" s="260">
        <f t="shared" si="11"/>
        <v>0</v>
      </c>
      <c r="BJ21" s="58"/>
      <c r="BK21" s="220"/>
      <c r="BL21" s="213" t="s">
        <v>763</v>
      </c>
      <c r="BM21" s="58" t="s">
        <v>593</v>
      </c>
    </row>
    <row r="22" spans="1:65" ht="15.75" customHeight="1">
      <c r="A22" s="213" t="s">
        <v>1437</v>
      </c>
      <c r="B22" s="58" t="s">
        <v>184</v>
      </c>
      <c r="C22" s="58" t="s">
        <v>752</v>
      </c>
      <c r="D22" s="214" t="s">
        <v>186</v>
      </c>
      <c r="E22" s="214" t="s">
        <v>186</v>
      </c>
      <c r="F22" s="215" t="s">
        <v>186</v>
      </c>
      <c r="G22" s="216">
        <v>2021</v>
      </c>
      <c r="H22" s="218" t="s">
        <v>801</v>
      </c>
      <c r="I22" s="218" t="s">
        <v>196</v>
      </c>
      <c r="J22" s="217" t="s">
        <v>890</v>
      </c>
      <c r="K22" s="213" t="s">
        <v>281</v>
      </c>
      <c r="L22" s="213" t="s">
        <v>192</v>
      </c>
      <c r="M22" s="219" t="s">
        <v>1389</v>
      </c>
      <c r="N22" s="265">
        <v>4.6100000000000003</v>
      </c>
      <c r="O22" s="265">
        <v>4.6100000000000003</v>
      </c>
      <c r="P22" s="265">
        <v>4.6100000000000003</v>
      </c>
      <c r="Q22" s="265">
        <v>4.6100000000000003</v>
      </c>
      <c r="R22" s="265">
        <v>4.6100000000000003</v>
      </c>
      <c r="S22" s="265">
        <v>4.6100000000000003</v>
      </c>
      <c r="T22" s="265">
        <v>4.6100000000000003</v>
      </c>
      <c r="U22" s="265">
        <v>4.6100000000000003</v>
      </c>
      <c r="V22" s="265">
        <v>4.6100000000000003</v>
      </c>
      <c r="W22" s="265">
        <v>4.6100000000000003</v>
      </c>
      <c r="X22" s="265">
        <v>4.6100000000000003</v>
      </c>
      <c r="Y22" s="265">
        <v>4.6100000000000003</v>
      </c>
      <c r="Z22" s="265">
        <v>7.0000000000000007E-2</v>
      </c>
      <c r="AA22" s="265">
        <v>7.0000000000000007E-2</v>
      </c>
      <c r="AB22" s="265">
        <v>7.0000000000000007E-2</v>
      </c>
      <c r="AC22" s="265">
        <v>7.0000000000000007E-2</v>
      </c>
      <c r="AD22" s="265">
        <v>7.0000000000000007E-2</v>
      </c>
      <c r="AE22" s="265">
        <v>7.0000000000000007E-2</v>
      </c>
      <c r="AF22" s="265">
        <v>7.0000000000000007E-2</v>
      </c>
      <c r="AG22" s="265">
        <v>7.0000000000000007E-2</v>
      </c>
      <c r="AH22" s="265">
        <v>7.0000000000000007E-2</v>
      </c>
      <c r="AI22" s="265">
        <v>7.0000000000000007E-2</v>
      </c>
      <c r="AJ22" s="265">
        <v>7.0000000000000007E-2</v>
      </c>
      <c r="AK22" s="265">
        <v>7.0000000000000007E-2</v>
      </c>
      <c r="AL22" s="266">
        <v>2880</v>
      </c>
      <c r="AM22" s="265">
        <f t="shared" si="0"/>
        <v>201.60000000000002</v>
      </c>
      <c r="AN22" s="266" t="s">
        <v>573</v>
      </c>
      <c r="AO22" s="265">
        <f t="shared" si="1"/>
        <v>0</v>
      </c>
      <c r="AP22" s="266">
        <v>0</v>
      </c>
      <c r="AQ22" s="265">
        <f t="shared" si="2"/>
        <v>0</v>
      </c>
      <c r="AR22" s="266">
        <v>0</v>
      </c>
      <c r="AS22" s="262">
        <f t="shared" si="3"/>
        <v>0</v>
      </c>
      <c r="AT22" s="266">
        <v>0</v>
      </c>
      <c r="AU22" s="260">
        <f t="shared" si="4"/>
        <v>0</v>
      </c>
      <c r="AV22" s="259">
        <v>0</v>
      </c>
      <c r="AW22" s="260">
        <f t="shared" si="5"/>
        <v>0</v>
      </c>
      <c r="AX22" s="261" t="s">
        <v>573</v>
      </c>
      <c r="AY22" s="260">
        <f t="shared" si="6"/>
        <v>0</v>
      </c>
      <c r="AZ22" s="259">
        <v>0</v>
      </c>
      <c r="BA22" s="260">
        <f t="shared" si="7"/>
        <v>0</v>
      </c>
      <c r="BB22" s="259">
        <v>0</v>
      </c>
      <c r="BC22" s="260">
        <f t="shared" si="8"/>
        <v>0</v>
      </c>
      <c r="BD22" s="259">
        <v>0</v>
      </c>
      <c r="BE22" s="260">
        <f t="shared" si="9"/>
        <v>0</v>
      </c>
      <c r="BF22" s="259">
        <v>0</v>
      </c>
      <c r="BG22" s="260">
        <f t="shared" si="10"/>
        <v>0</v>
      </c>
      <c r="BH22" s="259">
        <v>0</v>
      </c>
      <c r="BI22" s="260">
        <f t="shared" si="11"/>
        <v>0</v>
      </c>
      <c r="BJ22" s="58"/>
      <c r="BK22" s="220"/>
      <c r="BL22" s="213" t="s">
        <v>763</v>
      </c>
      <c r="BM22" s="58" t="s">
        <v>561</v>
      </c>
    </row>
    <row r="23" spans="1:65" ht="15.75" customHeight="1">
      <c r="A23" s="213" t="s">
        <v>1437</v>
      </c>
      <c r="B23" s="58" t="s">
        <v>184</v>
      </c>
      <c r="C23" s="58" t="s">
        <v>752</v>
      </c>
      <c r="D23" s="214" t="s">
        <v>186</v>
      </c>
      <c r="E23" s="214" t="s">
        <v>186</v>
      </c>
      <c r="F23" s="215" t="s">
        <v>186</v>
      </c>
      <c r="G23" s="216">
        <v>2018</v>
      </c>
      <c r="H23" s="218" t="s">
        <v>802</v>
      </c>
      <c r="I23" s="218" t="s">
        <v>196</v>
      </c>
      <c r="J23" s="217" t="s">
        <v>890</v>
      </c>
      <c r="K23" s="213" t="s">
        <v>221</v>
      </c>
      <c r="L23" s="213" t="s">
        <v>869</v>
      </c>
      <c r="M23" s="219" t="s">
        <v>1391</v>
      </c>
      <c r="N23" s="265">
        <v>4.82</v>
      </c>
      <c r="O23" s="265">
        <v>4.82</v>
      </c>
      <c r="P23" s="265">
        <v>4.82</v>
      </c>
      <c r="Q23" s="265">
        <v>4.82</v>
      </c>
      <c r="R23" s="265">
        <v>4.82</v>
      </c>
      <c r="S23" s="265">
        <v>4.82</v>
      </c>
      <c r="T23" s="265">
        <v>4.82</v>
      </c>
      <c r="U23" s="265">
        <v>4.82</v>
      </c>
      <c r="V23" s="265">
        <v>4.82</v>
      </c>
      <c r="W23" s="265">
        <v>4.82</v>
      </c>
      <c r="X23" s="265">
        <v>4.82</v>
      </c>
      <c r="Y23" s="265">
        <v>4.82</v>
      </c>
      <c r="Z23" s="265">
        <v>0.05</v>
      </c>
      <c r="AA23" s="265">
        <v>0.05</v>
      </c>
      <c r="AB23" s="265">
        <v>0.05</v>
      </c>
      <c r="AC23" s="265">
        <v>0.05</v>
      </c>
      <c r="AD23" s="265">
        <v>0.05</v>
      </c>
      <c r="AE23" s="265">
        <v>0.05</v>
      </c>
      <c r="AF23" s="265">
        <v>0.05</v>
      </c>
      <c r="AG23" s="265">
        <v>0.05</v>
      </c>
      <c r="AH23" s="265">
        <v>0.05</v>
      </c>
      <c r="AI23" s="265">
        <v>0.05</v>
      </c>
      <c r="AJ23" s="265">
        <v>0.05</v>
      </c>
      <c r="AK23" s="265">
        <v>0.05</v>
      </c>
      <c r="AL23" s="266">
        <v>43200</v>
      </c>
      <c r="AM23" s="265">
        <f t="shared" si="0"/>
        <v>2160</v>
      </c>
      <c r="AN23" s="266" t="s">
        <v>573</v>
      </c>
      <c r="AO23" s="265">
        <f t="shared" si="1"/>
        <v>0</v>
      </c>
      <c r="AP23" s="266">
        <v>0</v>
      </c>
      <c r="AQ23" s="265">
        <f t="shared" si="2"/>
        <v>0</v>
      </c>
      <c r="AR23" s="266">
        <v>0</v>
      </c>
      <c r="AS23" s="262">
        <f t="shared" si="3"/>
        <v>0</v>
      </c>
      <c r="AT23" s="266">
        <v>43200</v>
      </c>
      <c r="AU23" s="260">
        <f t="shared" si="4"/>
        <v>2160</v>
      </c>
      <c r="AV23" s="259">
        <v>86400</v>
      </c>
      <c r="AW23" s="260">
        <f t="shared" si="5"/>
        <v>4320</v>
      </c>
      <c r="AX23" s="261" t="s">
        <v>573</v>
      </c>
      <c r="AY23" s="260">
        <f t="shared" si="6"/>
        <v>0</v>
      </c>
      <c r="AZ23" s="259">
        <v>32142</v>
      </c>
      <c r="BA23" s="260">
        <f t="shared" si="7"/>
        <v>1607.1000000000001</v>
      </c>
      <c r="BB23" s="259">
        <v>88480</v>
      </c>
      <c r="BC23" s="260">
        <f t="shared" si="8"/>
        <v>4424</v>
      </c>
      <c r="BD23" s="259">
        <v>70000</v>
      </c>
      <c r="BE23" s="260">
        <f t="shared" si="9"/>
        <v>3500</v>
      </c>
      <c r="BF23" s="259">
        <v>82080</v>
      </c>
      <c r="BG23" s="260">
        <f t="shared" si="10"/>
        <v>4104</v>
      </c>
      <c r="BH23" s="259" t="s">
        <v>573</v>
      </c>
      <c r="BI23" s="260">
        <f t="shared" si="11"/>
        <v>0</v>
      </c>
      <c r="BJ23" s="58"/>
      <c r="BK23" s="220"/>
      <c r="BL23" s="213" t="s">
        <v>197</v>
      </c>
      <c r="BM23" s="58" t="s">
        <v>588</v>
      </c>
    </row>
    <row r="24" spans="1:65" ht="15.75" customHeight="1">
      <c r="A24" s="213" t="s">
        <v>1437</v>
      </c>
      <c r="B24" s="58" t="s">
        <v>184</v>
      </c>
      <c r="C24" s="58" t="s">
        <v>752</v>
      </c>
      <c r="D24" s="214" t="s">
        <v>186</v>
      </c>
      <c r="E24" s="214" t="s">
        <v>186</v>
      </c>
      <c r="F24" s="215" t="s">
        <v>186</v>
      </c>
      <c r="G24" s="216">
        <v>2018</v>
      </c>
      <c r="H24" s="218" t="s">
        <v>802</v>
      </c>
      <c r="I24" s="218" t="s">
        <v>196</v>
      </c>
      <c r="J24" s="217" t="s">
        <v>890</v>
      </c>
      <c r="K24" s="213" t="s">
        <v>245</v>
      </c>
      <c r="L24" s="213" t="s">
        <v>869</v>
      </c>
      <c r="M24" s="219" t="s">
        <v>1391</v>
      </c>
      <c r="N24" s="265">
        <v>5.05</v>
      </c>
      <c r="O24" s="265">
        <v>5.05</v>
      </c>
      <c r="P24" s="265">
        <v>5.05</v>
      </c>
      <c r="Q24" s="265">
        <v>5.05</v>
      </c>
      <c r="R24" s="265">
        <v>5.05</v>
      </c>
      <c r="S24" s="265">
        <v>5.05</v>
      </c>
      <c r="T24" s="265">
        <v>5.05</v>
      </c>
      <c r="U24" s="265">
        <v>5.05</v>
      </c>
      <c r="V24" s="265">
        <v>5.05</v>
      </c>
      <c r="W24" s="265">
        <v>5.05</v>
      </c>
      <c r="X24" s="265">
        <v>5.05</v>
      </c>
      <c r="Y24" s="265">
        <v>5.05</v>
      </c>
      <c r="Z24" s="265">
        <v>0.05</v>
      </c>
      <c r="AA24" s="265">
        <v>0.05</v>
      </c>
      <c r="AB24" s="265">
        <v>0.05</v>
      </c>
      <c r="AC24" s="265">
        <v>0.05</v>
      </c>
      <c r="AD24" s="265">
        <v>0.05</v>
      </c>
      <c r="AE24" s="265">
        <v>0.05</v>
      </c>
      <c r="AF24" s="265">
        <v>0.05</v>
      </c>
      <c r="AG24" s="265">
        <v>0.05</v>
      </c>
      <c r="AH24" s="265">
        <v>0.05</v>
      </c>
      <c r="AI24" s="265">
        <v>0.05</v>
      </c>
      <c r="AJ24" s="265">
        <v>0.05</v>
      </c>
      <c r="AK24" s="265">
        <v>0.05</v>
      </c>
      <c r="AL24" s="266">
        <v>8640</v>
      </c>
      <c r="AM24" s="265">
        <f t="shared" si="0"/>
        <v>432</v>
      </c>
      <c r="AN24" s="266" t="s">
        <v>573</v>
      </c>
      <c r="AO24" s="265">
        <f t="shared" si="1"/>
        <v>0</v>
      </c>
      <c r="AP24" s="266">
        <v>0</v>
      </c>
      <c r="AQ24" s="265">
        <f t="shared" si="2"/>
        <v>0</v>
      </c>
      <c r="AR24" s="266">
        <v>0</v>
      </c>
      <c r="AS24" s="262">
        <f t="shared" si="3"/>
        <v>0</v>
      </c>
      <c r="AT24" s="266">
        <v>0</v>
      </c>
      <c r="AU24" s="260">
        <f t="shared" si="4"/>
        <v>0</v>
      </c>
      <c r="AV24" s="259">
        <v>0</v>
      </c>
      <c r="AW24" s="260">
        <f t="shared" si="5"/>
        <v>0</v>
      </c>
      <c r="AX24" s="261">
        <v>4320</v>
      </c>
      <c r="AY24" s="260">
        <f t="shared" si="6"/>
        <v>216</v>
      </c>
      <c r="AZ24" s="259">
        <v>4320</v>
      </c>
      <c r="BA24" s="260">
        <f t="shared" si="7"/>
        <v>216</v>
      </c>
      <c r="BB24" s="259">
        <v>8640</v>
      </c>
      <c r="BC24" s="260">
        <f t="shared" si="8"/>
        <v>432</v>
      </c>
      <c r="BD24" s="259">
        <v>4320</v>
      </c>
      <c r="BE24" s="260">
        <f t="shared" si="9"/>
        <v>216</v>
      </c>
      <c r="BF24" s="259">
        <v>4320</v>
      </c>
      <c r="BG24" s="260">
        <f t="shared" si="10"/>
        <v>216</v>
      </c>
      <c r="BH24" s="259" t="s">
        <v>573</v>
      </c>
      <c r="BI24" s="260">
        <f t="shared" si="11"/>
        <v>0</v>
      </c>
      <c r="BJ24" s="58"/>
      <c r="BK24" s="220"/>
      <c r="BL24" s="213" t="s">
        <v>197</v>
      </c>
      <c r="BM24" s="58" t="s">
        <v>589</v>
      </c>
    </row>
    <row r="25" spans="1:65" ht="15.75" customHeight="1">
      <c r="A25" s="213" t="s">
        <v>1437</v>
      </c>
      <c r="B25" s="58" t="s">
        <v>184</v>
      </c>
      <c r="C25" s="58" t="s">
        <v>752</v>
      </c>
      <c r="D25" s="214" t="s">
        <v>186</v>
      </c>
      <c r="E25" s="214" t="s">
        <v>186</v>
      </c>
      <c r="F25" s="215" t="s">
        <v>186</v>
      </c>
      <c r="G25" s="216">
        <v>2018</v>
      </c>
      <c r="H25" s="218" t="s">
        <v>802</v>
      </c>
      <c r="I25" s="218" t="s">
        <v>196</v>
      </c>
      <c r="J25" s="217" t="s">
        <v>890</v>
      </c>
      <c r="K25" s="213" t="s">
        <v>281</v>
      </c>
      <c r="L25" s="213" t="s">
        <v>869</v>
      </c>
      <c r="M25" s="219" t="s">
        <v>1391</v>
      </c>
      <c r="N25" s="265">
        <v>5.64</v>
      </c>
      <c r="O25" s="265">
        <v>5.64</v>
      </c>
      <c r="P25" s="265">
        <v>5.64</v>
      </c>
      <c r="Q25" s="265">
        <v>5.64</v>
      </c>
      <c r="R25" s="265">
        <v>5.64</v>
      </c>
      <c r="S25" s="265">
        <v>5.64</v>
      </c>
      <c r="T25" s="265">
        <v>5.64</v>
      </c>
      <c r="U25" s="265">
        <v>5.64</v>
      </c>
      <c r="V25" s="265">
        <v>5.64</v>
      </c>
      <c r="W25" s="265">
        <v>5.64</v>
      </c>
      <c r="X25" s="265">
        <v>5.64</v>
      </c>
      <c r="Y25" s="265">
        <v>5.64</v>
      </c>
      <c r="Z25" s="265">
        <v>0.05</v>
      </c>
      <c r="AA25" s="265">
        <v>0.05</v>
      </c>
      <c r="AB25" s="265">
        <v>0.05</v>
      </c>
      <c r="AC25" s="265">
        <v>0.05</v>
      </c>
      <c r="AD25" s="265">
        <v>0.05</v>
      </c>
      <c r="AE25" s="265">
        <v>0.05</v>
      </c>
      <c r="AF25" s="265">
        <v>0.05</v>
      </c>
      <c r="AG25" s="265">
        <v>0.05</v>
      </c>
      <c r="AH25" s="265">
        <v>0.05</v>
      </c>
      <c r="AI25" s="265">
        <v>0.05</v>
      </c>
      <c r="AJ25" s="265">
        <v>0.05</v>
      </c>
      <c r="AK25" s="265">
        <v>0.05</v>
      </c>
      <c r="AL25" s="266">
        <v>8640</v>
      </c>
      <c r="AM25" s="265">
        <f t="shared" si="0"/>
        <v>432</v>
      </c>
      <c r="AN25" s="266" t="s">
        <v>573</v>
      </c>
      <c r="AO25" s="265">
        <f t="shared" si="1"/>
        <v>0</v>
      </c>
      <c r="AP25" s="266">
        <v>0</v>
      </c>
      <c r="AQ25" s="265">
        <f t="shared" si="2"/>
        <v>0</v>
      </c>
      <c r="AR25" s="266">
        <v>0</v>
      </c>
      <c r="AS25" s="262">
        <f t="shared" si="3"/>
        <v>0</v>
      </c>
      <c r="AT25" s="266">
        <v>0</v>
      </c>
      <c r="AU25" s="260">
        <f t="shared" si="4"/>
        <v>0</v>
      </c>
      <c r="AV25" s="259">
        <v>0</v>
      </c>
      <c r="AW25" s="260">
        <f t="shared" si="5"/>
        <v>0</v>
      </c>
      <c r="AX25" s="261" t="s">
        <v>573</v>
      </c>
      <c r="AY25" s="260">
        <f t="shared" si="6"/>
        <v>0</v>
      </c>
      <c r="AZ25" s="259" t="s">
        <v>573</v>
      </c>
      <c r="BA25" s="260">
        <f t="shared" si="7"/>
        <v>0</v>
      </c>
      <c r="BB25" s="259">
        <v>17280</v>
      </c>
      <c r="BC25" s="260">
        <f t="shared" si="8"/>
        <v>864</v>
      </c>
      <c r="BD25" s="259">
        <v>0</v>
      </c>
      <c r="BE25" s="260">
        <f t="shared" si="9"/>
        <v>0</v>
      </c>
      <c r="BF25" s="259" t="s">
        <v>573</v>
      </c>
      <c r="BG25" s="260">
        <f t="shared" si="10"/>
        <v>0</v>
      </c>
      <c r="BH25" s="259" t="s">
        <v>573</v>
      </c>
      <c r="BI25" s="260">
        <f t="shared" si="11"/>
        <v>0</v>
      </c>
      <c r="BJ25" s="58"/>
      <c r="BK25" s="220"/>
      <c r="BL25" s="213" t="s">
        <v>197</v>
      </c>
      <c r="BM25" s="58" t="s">
        <v>590</v>
      </c>
    </row>
    <row r="26" spans="1:65" ht="15.75" customHeight="1">
      <c r="A26" s="213" t="s">
        <v>1437</v>
      </c>
      <c r="B26" s="58" t="s">
        <v>184</v>
      </c>
      <c r="C26" s="58" t="s">
        <v>752</v>
      </c>
      <c r="D26" s="214" t="s">
        <v>186</v>
      </c>
      <c r="E26" s="214" t="s">
        <v>186</v>
      </c>
      <c r="F26" s="215" t="s">
        <v>186</v>
      </c>
      <c r="G26" s="216">
        <v>2016</v>
      </c>
      <c r="H26" s="218" t="s">
        <v>803</v>
      </c>
      <c r="I26" s="218" t="s">
        <v>196</v>
      </c>
      <c r="J26" s="217" t="s">
        <v>890</v>
      </c>
      <c r="K26" s="213" t="s">
        <v>306</v>
      </c>
      <c r="L26" s="213" t="s">
        <v>192</v>
      </c>
      <c r="M26" s="219" t="s">
        <v>1389</v>
      </c>
      <c r="N26" s="265">
        <v>4.04</v>
      </c>
      <c r="O26" s="265">
        <v>4.04</v>
      </c>
      <c r="P26" s="265">
        <v>4.04</v>
      </c>
      <c r="Q26" s="265">
        <v>4.04</v>
      </c>
      <c r="R26" s="265">
        <v>4.04</v>
      </c>
      <c r="S26" s="265">
        <v>4.04</v>
      </c>
      <c r="T26" s="265">
        <v>4.04</v>
      </c>
      <c r="U26" s="265">
        <v>4.04</v>
      </c>
      <c r="V26" s="265">
        <v>4.04</v>
      </c>
      <c r="W26" s="265">
        <v>4.04</v>
      </c>
      <c r="X26" s="265">
        <v>4.04</v>
      </c>
      <c r="Y26" s="265">
        <v>4.04</v>
      </c>
      <c r="Z26" s="265">
        <v>0.04</v>
      </c>
      <c r="AA26" s="265">
        <v>0.04</v>
      </c>
      <c r="AB26" s="265">
        <v>0.04</v>
      </c>
      <c r="AC26" s="265">
        <v>0.04</v>
      </c>
      <c r="AD26" s="265">
        <v>0.04</v>
      </c>
      <c r="AE26" s="265">
        <v>0.04</v>
      </c>
      <c r="AF26" s="265">
        <v>0.04</v>
      </c>
      <c r="AG26" s="265">
        <v>0.04</v>
      </c>
      <c r="AH26" s="265">
        <v>0.04</v>
      </c>
      <c r="AI26" s="265">
        <v>0.04</v>
      </c>
      <c r="AJ26" s="265">
        <v>0.04</v>
      </c>
      <c r="AK26" s="265">
        <v>0.04</v>
      </c>
      <c r="AL26" s="266" t="s">
        <v>573</v>
      </c>
      <c r="AM26" s="265">
        <f t="shared" si="0"/>
        <v>0</v>
      </c>
      <c r="AN26" s="266" t="s">
        <v>573</v>
      </c>
      <c r="AO26" s="265">
        <f t="shared" si="1"/>
        <v>0</v>
      </c>
      <c r="AP26" s="266">
        <v>0</v>
      </c>
      <c r="AQ26" s="265">
        <f t="shared" si="2"/>
        <v>0</v>
      </c>
      <c r="AR26" s="266">
        <v>0</v>
      </c>
      <c r="AS26" s="262">
        <f t="shared" si="3"/>
        <v>0</v>
      </c>
      <c r="AT26" s="266">
        <v>0</v>
      </c>
      <c r="AU26" s="260">
        <f t="shared" si="4"/>
        <v>0</v>
      </c>
      <c r="AV26" s="259">
        <v>0</v>
      </c>
      <c r="AW26" s="260">
        <f t="shared" si="5"/>
        <v>0</v>
      </c>
      <c r="AX26" s="261">
        <v>4320</v>
      </c>
      <c r="AY26" s="260">
        <f t="shared" si="6"/>
        <v>172.8</v>
      </c>
      <c r="AZ26" s="259" t="s">
        <v>573</v>
      </c>
      <c r="BA26" s="260">
        <f t="shared" si="7"/>
        <v>0</v>
      </c>
      <c r="BB26" s="259" t="s">
        <v>573</v>
      </c>
      <c r="BC26" s="260">
        <f t="shared" si="8"/>
        <v>0</v>
      </c>
      <c r="BD26" s="259" t="s">
        <v>573</v>
      </c>
      <c r="BE26" s="260">
        <f t="shared" si="9"/>
        <v>0</v>
      </c>
      <c r="BF26" s="259" t="s">
        <v>573</v>
      </c>
      <c r="BG26" s="260">
        <f t="shared" si="10"/>
        <v>0</v>
      </c>
      <c r="BH26" s="259" t="s">
        <v>573</v>
      </c>
      <c r="BI26" s="260">
        <f t="shared" si="11"/>
        <v>0</v>
      </c>
      <c r="BJ26" s="58"/>
      <c r="BK26" s="220"/>
      <c r="BL26" s="213" t="s">
        <v>763</v>
      </c>
      <c r="BM26" s="58" t="s">
        <v>520</v>
      </c>
    </row>
    <row r="27" spans="1:65" ht="15.75" customHeight="1">
      <c r="A27" s="213" t="s">
        <v>1437</v>
      </c>
      <c r="B27" s="58" t="s">
        <v>184</v>
      </c>
      <c r="C27" s="58" t="s">
        <v>752</v>
      </c>
      <c r="D27" s="214" t="s">
        <v>186</v>
      </c>
      <c r="E27" s="214" t="s">
        <v>186</v>
      </c>
      <c r="F27" s="215" t="s">
        <v>186</v>
      </c>
      <c r="G27" s="216">
        <v>2018</v>
      </c>
      <c r="H27" s="218" t="s">
        <v>802</v>
      </c>
      <c r="I27" s="218" t="s">
        <v>196</v>
      </c>
      <c r="J27" s="217" t="s">
        <v>890</v>
      </c>
      <c r="K27" s="213" t="s">
        <v>221</v>
      </c>
      <c r="L27" s="213" t="s">
        <v>192</v>
      </c>
      <c r="M27" s="219" t="s">
        <v>1389</v>
      </c>
      <c r="N27" s="265">
        <v>4.54</v>
      </c>
      <c r="O27" s="265">
        <v>4.54</v>
      </c>
      <c r="P27" s="265">
        <v>4.54</v>
      </c>
      <c r="Q27" s="265">
        <v>4.54</v>
      </c>
      <c r="R27" s="265">
        <v>4.54</v>
      </c>
      <c r="S27" s="265">
        <v>4.54</v>
      </c>
      <c r="T27" s="265">
        <v>4.54</v>
      </c>
      <c r="U27" s="265">
        <v>4.54</v>
      </c>
      <c r="V27" s="265">
        <v>4.54</v>
      </c>
      <c r="W27" s="265">
        <v>4.54</v>
      </c>
      <c r="X27" s="265">
        <v>4.54</v>
      </c>
      <c r="Y27" s="265">
        <v>4.54</v>
      </c>
      <c r="Z27" s="265">
        <v>0.05</v>
      </c>
      <c r="AA27" s="265">
        <v>0.05</v>
      </c>
      <c r="AB27" s="265">
        <v>0.05</v>
      </c>
      <c r="AC27" s="265">
        <v>0.05</v>
      </c>
      <c r="AD27" s="265">
        <v>0.05</v>
      </c>
      <c r="AE27" s="265">
        <v>0.05</v>
      </c>
      <c r="AF27" s="265">
        <v>0.05</v>
      </c>
      <c r="AG27" s="265">
        <v>0.05</v>
      </c>
      <c r="AH27" s="265">
        <v>0.05</v>
      </c>
      <c r="AI27" s="265">
        <v>0.05</v>
      </c>
      <c r="AJ27" s="265">
        <v>0.05</v>
      </c>
      <c r="AK27" s="265">
        <v>0.05</v>
      </c>
      <c r="AL27" s="266" t="s">
        <v>573</v>
      </c>
      <c r="AM27" s="265">
        <f t="shared" si="0"/>
        <v>0</v>
      </c>
      <c r="AN27" s="266" t="s">
        <v>573</v>
      </c>
      <c r="AO27" s="265">
        <f t="shared" si="1"/>
        <v>0</v>
      </c>
      <c r="AP27" s="266">
        <v>0</v>
      </c>
      <c r="AQ27" s="265">
        <f t="shared" si="2"/>
        <v>0</v>
      </c>
      <c r="AR27" s="266">
        <v>0</v>
      </c>
      <c r="AS27" s="262">
        <f t="shared" si="3"/>
        <v>0</v>
      </c>
      <c r="AT27" s="266">
        <v>0</v>
      </c>
      <c r="AU27" s="260">
        <f t="shared" si="4"/>
        <v>0</v>
      </c>
      <c r="AV27" s="259">
        <v>0</v>
      </c>
      <c r="AW27" s="260">
        <f t="shared" si="5"/>
        <v>0</v>
      </c>
      <c r="AX27" s="261">
        <v>7000</v>
      </c>
      <c r="AY27" s="260">
        <f t="shared" si="6"/>
        <v>350</v>
      </c>
      <c r="AZ27" s="259">
        <v>9000</v>
      </c>
      <c r="BA27" s="260">
        <f t="shared" si="7"/>
        <v>450</v>
      </c>
      <c r="BB27" s="259">
        <v>5000</v>
      </c>
      <c r="BC27" s="260">
        <f t="shared" si="8"/>
        <v>250</v>
      </c>
      <c r="BD27" s="259">
        <v>6000</v>
      </c>
      <c r="BE27" s="260">
        <f t="shared" si="9"/>
        <v>300</v>
      </c>
      <c r="BF27" s="259">
        <v>6000</v>
      </c>
      <c r="BG27" s="260">
        <f t="shared" si="10"/>
        <v>300</v>
      </c>
      <c r="BH27" s="259">
        <v>7399</v>
      </c>
      <c r="BI27" s="260">
        <f t="shared" si="11"/>
        <v>369.95000000000005</v>
      </c>
      <c r="BJ27" s="58"/>
      <c r="BK27" s="220"/>
      <c r="BL27" s="213" t="s">
        <v>763</v>
      </c>
      <c r="BM27" s="58" t="s">
        <v>542</v>
      </c>
    </row>
    <row r="28" spans="1:65" ht="15.75" customHeight="1">
      <c r="A28" s="213" t="s">
        <v>1437</v>
      </c>
      <c r="B28" s="58" t="s">
        <v>184</v>
      </c>
      <c r="C28" s="58" t="s">
        <v>752</v>
      </c>
      <c r="D28" s="214" t="s">
        <v>186</v>
      </c>
      <c r="E28" s="214" t="s">
        <v>186</v>
      </c>
      <c r="F28" s="215" t="s">
        <v>186</v>
      </c>
      <c r="G28" s="216">
        <v>2018</v>
      </c>
      <c r="H28" s="218" t="s">
        <v>802</v>
      </c>
      <c r="I28" s="218" t="s">
        <v>196</v>
      </c>
      <c r="J28" s="217" t="s">
        <v>890</v>
      </c>
      <c r="K28" s="213" t="s">
        <v>221</v>
      </c>
      <c r="L28" s="213" t="s">
        <v>869</v>
      </c>
      <c r="M28" s="219" t="s">
        <v>1389</v>
      </c>
      <c r="N28" s="265">
        <v>4.54</v>
      </c>
      <c r="O28" s="265">
        <v>4.54</v>
      </c>
      <c r="P28" s="265">
        <v>4.54</v>
      </c>
      <c r="Q28" s="265">
        <v>4.54</v>
      </c>
      <c r="R28" s="265">
        <v>4.54</v>
      </c>
      <c r="S28" s="265">
        <v>4.54</v>
      </c>
      <c r="T28" s="265">
        <v>4.54</v>
      </c>
      <c r="U28" s="265">
        <v>4.54</v>
      </c>
      <c r="V28" s="265">
        <v>4.54</v>
      </c>
      <c r="W28" s="265">
        <v>4.54</v>
      </c>
      <c r="X28" s="265">
        <v>4.54</v>
      </c>
      <c r="Y28" s="265">
        <v>4.54</v>
      </c>
      <c r="Z28" s="265">
        <v>0.05</v>
      </c>
      <c r="AA28" s="265">
        <v>0.05</v>
      </c>
      <c r="AB28" s="265">
        <v>0.05</v>
      </c>
      <c r="AC28" s="265">
        <v>0.05</v>
      </c>
      <c r="AD28" s="265">
        <v>0.05</v>
      </c>
      <c r="AE28" s="265">
        <v>0.05</v>
      </c>
      <c r="AF28" s="265">
        <v>0.05</v>
      </c>
      <c r="AG28" s="265">
        <v>0.05</v>
      </c>
      <c r="AH28" s="265">
        <v>0.05</v>
      </c>
      <c r="AI28" s="265">
        <v>0.05</v>
      </c>
      <c r="AJ28" s="265">
        <v>0.05</v>
      </c>
      <c r="AK28" s="265">
        <v>0.05</v>
      </c>
      <c r="AL28" s="266">
        <v>12960</v>
      </c>
      <c r="AM28" s="265">
        <f t="shared" si="0"/>
        <v>648</v>
      </c>
      <c r="AN28" s="266">
        <v>4320</v>
      </c>
      <c r="AO28" s="265">
        <f t="shared" si="1"/>
        <v>216</v>
      </c>
      <c r="AP28" s="266">
        <v>8640</v>
      </c>
      <c r="AQ28" s="265">
        <f t="shared" si="2"/>
        <v>432</v>
      </c>
      <c r="AR28" s="266">
        <v>0</v>
      </c>
      <c r="AS28" s="262">
        <f t="shared" si="3"/>
        <v>0</v>
      </c>
      <c r="AT28" s="266">
        <v>0</v>
      </c>
      <c r="AU28" s="260">
        <f t="shared" si="4"/>
        <v>0</v>
      </c>
      <c r="AV28" s="259">
        <v>0</v>
      </c>
      <c r="AW28" s="260">
        <f t="shared" si="5"/>
        <v>0</v>
      </c>
      <c r="AX28" s="261">
        <v>0</v>
      </c>
      <c r="AY28" s="260">
        <f t="shared" si="6"/>
        <v>0</v>
      </c>
      <c r="AZ28" s="259">
        <v>0</v>
      </c>
      <c r="BA28" s="260">
        <f t="shared" si="7"/>
        <v>0</v>
      </c>
      <c r="BB28" s="259">
        <v>0</v>
      </c>
      <c r="BC28" s="260">
        <f t="shared" si="8"/>
        <v>0</v>
      </c>
      <c r="BD28" s="259">
        <v>0</v>
      </c>
      <c r="BE28" s="260">
        <f t="shared" si="9"/>
        <v>0</v>
      </c>
      <c r="BF28" s="259">
        <v>0</v>
      </c>
      <c r="BG28" s="260">
        <f t="shared" si="10"/>
        <v>0</v>
      </c>
      <c r="BH28" s="259">
        <v>0</v>
      </c>
      <c r="BI28" s="260">
        <f t="shared" si="11"/>
        <v>0</v>
      </c>
      <c r="BJ28" s="58"/>
      <c r="BK28" s="220"/>
      <c r="BL28" s="213" t="s">
        <v>763</v>
      </c>
      <c r="BM28" s="58" t="s">
        <v>542</v>
      </c>
    </row>
    <row r="29" spans="1:65" ht="14.85" customHeight="1">
      <c r="A29" s="213" t="s">
        <v>1437</v>
      </c>
      <c r="B29" s="58" t="s">
        <v>184</v>
      </c>
      <c r="C29" s="58" t="s">
        <v>752</v>
      </c>
      <c r="D29" s="214" t="s">
        <v>186</v>
      </c>
      <c r="E29" s="214" t="s">
        <v>186</v>
      </c>
      <c r="F29" s="215" t="s">
        <v>186</v>
      </c>
      <c r="G29" s="216">
        <v>2018</v>
      </c>
      <c r="H29" s="218" t="s">
        <v>802</v>
      </c>
      <c r="I29" s="218" t="s">
        <v>196</v>
      </c>
      <c r="J29" s="217" t="s">
        <v>890</v>
      </c>
      <c r="K29" s="213" t="s">
        <v>221</v>
      </c>
      <c r="L29" s="213" t="s">
        <v>192</v>
      </c>
      <c r="M29" s="219" t="s">
        <v>1388</v>
      </c>
      <c r="N29" s="265">
        <v>5.14</v>
      </c>
      <c r="O29" s="265">
        <v>5.14</v>
      </c>
      <c r="P29" s="265">
        <v>5.14</v>
      </c>
      <c r="Q29" s="265">
        <v>5.14</v>
      </c>
      <c r="R29" s="265">
        <v>5.14</v>
      </c>
      <c r="S29" s="265">
        <v>5.14</v>
      </c>
      <c r="T29" s="265">
        <v>5.14</v>
      </c>
      <c r="U29" s="265">
        <v>5.14</v>
      </c>
      <c r="V29" s="265">
        <v>5.14</v>
      </c>
      <c r="W29" s="265">
        <v>5.14</v>
      </c>
      <c r="X29" s="265">
        <v>5.14</v>
      </c>
      <c r="Y29" s="265">
        <v>5.14</v>
      </c>
      <c r="Z29" s="265">
        <v>0.14000000000000001</v>
      </c>
      <c r="AA29" s="265">
        <v>0.14000000000000001</v>
      </c>
      <c r="AB29" s="265">
        <v>0.14000000000000001</v>
      </c>
      <c r="AC29" s="265">
        <v>0.14000000000000001</v>
      </c>
      <c r="AD29" s="265">
        <v>0.14000000000000001</v>
      </c>
      <c r="AE29" s="265">
        <v>0.14000000000000001</v>
      </c>
      <c r="AF29" s="265">
        <v>0.14000000000000001</v>
      </c>
      <c r="AG29" s="265">
        <v>0.14000000000000001</v>
      </c>
      <c r="AH29" s="265">
        <v>0.14000000000000001</v>
      </c>
      <c r="AI29" s="265">
        <v>0.14000000000000001</v>
      </c>
      <c r="AJ29" s="265">
        <v>0.14000000000000001</v>
      </c>
      <c r="AK29" s="265">
        <v>0.14000000000000001</v>
      </c>
      <c r="AL29" s="266" t="s">
        <v>573</v>
      </c>
      <c r="AM29" s="265">
        <f t="shared" si="0"/>
        <v>0</v>
      </c>
      <c r="AN29" s="266" t="s">
        <v>573</v>
      </c>
      <c r="AO29" s="265">
        <f t="shared" si="1"/>
        <v>0</v>
      </c>
      <c r="AP29" s="266">
        <v>0</v>
      </c>
      <c r="AQ29" s="265">
        <f t="shared" si="2"/>
        <v>0</v>
      </c>
      <c r="AR29" s="266">
        <v>0</v>
      </c>
      <c r="AS29" s="262">
        <f t="shared" si="3"/>
        <v>0</v>
      </c>
      <c r="AT29" s="266">
        <v>0</v>
      </c>
      <c r="AU29" s="260">
        <f t="shared" si="4"/>
        <v>0</v>
      </c>
      <c r="AV29" s="259">
        <v>0</v>
      </c>
      <c r="AW29" s="260">
        <f t="shared" si="5"/>
        <v>0</v>
      </c>
      <c r="AX29" s="261" t="s">
        <v>573</v>
      </c>
      <c r="AY29" s="260">
        <f t="shared" si="6"/>
        <v>0</v>
      </c>
      <c r="AZ29" s="259" t="s">
        <v>573</v>
      </c>
      <c r="BA29" s="260">
        <f t="shared" si="7"/>
        <v>0</v>
      </c>
      <c r="BB29" s="259" t="s">
        <v>573</v>
      </c>
      <c r="BC29" s="260">
        <f t="shared" si="8"/>
        <v>0</v>
      </c>
      <c r="BD29" s="259" t="s">
        <v>573</v>
      </c>
      <c r="BE29" s="260">
        <f t="shared" si="9"/>
        <v>0</v>
      </c>
      <c r="BF29" s="259" t="s">
        <v>573</v>
      </c>
      <c r="BG29" s="260">
        <f t="shared" si="10"/>
        <v>0</v>
      </c>
      <c r="BH29" s="259" t="s">
        <v>573</v>
      </c>
      <c r="BI29" s="260">
        <f t="shared" si="11"/>
        <v>0</v>
      </c>
      <c r="BJ29" s="58"/>
      <c r="BK29" s="220"/>
      <c r="BL29" s="213" t="s">
        <v>754</v>
      </c>
      <c r="BM29" s="58" t="s">
        <v>543</v>
      </c>
    </row>
    <row r="30" spans="1:65" ht="15.75" customHeight="1">
      <c r="A30" s="213" t="s">
        <v>1437</v>
      </c>
      <c r="B30" s="58" t="s">
        <v>184</v>
      </c>
      <c r="C30" s="58" t="s">
        <v>752</v>
      </c>
      <c r="D30" s="214" t="s">
        <v>186</v>
      </c>
      <c r="E30" s="214" t="s">
        <v>186</v>
      </c>
      <c r="F30" s="215" t="s">
        <v>186</v>
      </c>
      <c r="G30" s="216">
        <v>2018</v>
      </c>
      <c r="H30" s="218" t="s">
        <v>802</v>
      </c>
      <c r="I30" s="218" t="s">
        <v>196</v>
      </c>
      <c r="J30" s="217" t="s">
        <v>890</v>
      </c>
      <c r="K30" s="213" t="s">
        <v>291</v>
      </c>
      <c r="L30" s="213" t="s">
        <v>192</v>
      </c>
      <c r="M30" s="219" t="s">
        <v>1389</v>
      </c>
      <c r="N30" s="265">
        <v>5.14</v>
      </c>
      <c r="O30" s="265">
        <v>5.14</v>
      </c>
      <c r="P30" s="265">
        <v>5.14</v>
      </c>
      <c r="Q30" s="265">
        <v>5.14</v>
      </c>
      <c r="R30" s="265">
        <v>5.14</v>
      </c>
      <c r="S30" s="265">
        <v>5.14</v>
      </c>
      <c r="T30" s="265">
        <v>5.14</v>
      </c>
      <c r="U30" s="265">
        <v>5.14</v>
      </c>
      <c r="V30" s="265">
        <v>5.14</v>
      </c>
      <c r="W30" s="265">
        <v>5.14</v>
      </c>
      <c r="X30" s="265">
        <v>5.14</v>
      </c>
      <c r="Y30" s="265">
        <v>5.14</v>
      </c>
      <c r="Z30" s="265">
        <v>0.05</v>
      </c>
      <c r="AA30" s="265">
        <v>0.05</v>
      </c>
      <c r="AB30" s="265">
        <v>0.05</v>
      </c>
      <c r="AC30" s="265">
        <v>0.05</v>
      </c>
      <c r="AD30" s="265">
        <v>0.05</v>
      </c>
      <c r="AE30" s="265">
        <v>0.05</v>
      </c>
      <c r="AF30" s="265">
        <v>0.05</v>
      </c>
      <c r="AG30" s="265">
        <v>0.05</v>
      </c>
      <c r="AH30" s="265">
        <v>0.05</v>
      </c>
      <c r="AI30" s="265">
        <v>0.05</v>
      </c>
      <c r="AJ30" s="265">
        <v>0.05</v>
      </c>
      <c r="AK30" s="265">
        <v>0.05</v>
      </c>
      <c r="AL30" s="266" t="s">
        <v>573</v>
      </c>
      <c r="AM30" s="265">
        <f t="shared" si="0"/>
        <v>0</v>
      </c>
      <c r="AN30" s="266" t="s">
        <v>573</v>
      </c>
      <c r="AO30" s="265">
        <f t="shared" si="1"/>
        <v>0</v>
      </c>
      <c r="AP30" s="266">
        <v>0</v>
      </c>
      <c r="AQ30" s="265">
        <f t="shared" si="2"/>
        <v>0</v>
      </c>
      <c r="AR30" s="266">
        <v>0</v>
      </c>
      <c r="AS30" s="262">
        <f t="shared" si="3"/>
        <v>0</v>
      </c>
      <c r="AT30" s="266">
        <v>0</v>
      </c>
      <c r="AU30" s="260">
        <f t="shared" si="4"/>
        <v>0</v>
      </c>
      <c r="AV30" s="259">
        <v>0</v>
      </c>
      <c r="AW30" s="260">
        <f t="shared" si="5"/>
        <v>0</v>
      </c>
      <c r="AX30" s="261" t="s">
        <v>573</v>
      </c>
      <c r="AY30" s="260">
        <f t="shared" si="6"/>
        <v>0</v>
      </c>
      <c r="AZ30" s="259">
        <v>1380</v>
      </c>
      <c r="BA30" s="260">
        <f t="shared" si="7"/>
        <v>69</v>
      </c>
      <c r="BB30" s="259" t="s">
        <v>573</v>
      </c>
      <c r="BC30" s="260">
        <f t="shared" si="8"/>
        <v>0</v>
      </c>
      <c r="BD30" s="259" t="s">
        <v>573</v>
      </c>
      <c r="BE30" s="260">
        <f t="shared" si="9"/>
        <v>0</v>
      </c>
      <c r="BF30" s="259" t="s">
        <v>573</v>
      </c>
      <c r="BG30" s="260">
        <f t="shared" si="10"/>
        <v>0</v>
      </c>
      <c r="BH30" s="259">
        <v>1380</v>
      </c>
      <c r="BI30" s="260">
        <f t="shared" si="11"/>
        <v>69</v>
      </c>
      <c r="BJ30" s="58"/>
      <c r="BK30" s="220"/>
      <c r="BL30" s="213" t="s">
        <v>763</v>
      </c>
      <c r="BM30" s="58" t="s">
        <v>621</v>
      </c>
    </row>
    <row r="31" spans="1:65" ht="15.75" customHeight="1">
      <c r="A31" s="213" t="s">
        <v>1437</v>
      </c>
      <c r="B31" s="58" t="s">
        <v>184</v>
      </c>
      <c r="C31" s="58" t="s">
        <v>752</v>
      </c>
      <c r="D31" s="214" t="s">
        <v>186</v>
      </c>
      <c r="E31" s="214" t="s">
        <v>186</v>
      </c>
      <c r="F31" s="215" t="s">
        <v>186</v>
      </c>
      <c r="G31" s="216">
        <v>2018</v>
      </c>
      <c r="H31" s="218" t="s">
        <v>802</v>
      </c>
      <c r="I31" s="218" t="s">
        <v>196</v>
      </c>
      <c r="J31" s="217" t="s">
        <v>890</v>
      </c>
      <c r="K31" s="213" t="s">
        <v>291</v>
      </c>
      <c r="L31" s="213" t="s">
        <v>1449</v>
      </c>
      <c r="M31" s="219" t="s">
        <v>1389</v>
      </c>
      <c r="N31" s="265">
        <v>5.14</v>
      </c>
      <c r="O31" s="265">
        <v>5.14</v>
      </c>
      <c r="P31" s="265">
        <v>5.14</v>
      </c>
      <c r="Q31" s="265">
        <v>5.14</v>
      </c>
      <c r="R31" s="265">
        <v>5.14</v>
      </c>
      <c r="S31" s="265">
        <v>5.14</v>
      </c>
      <c r="T31" s="265">
        <v>5.14</v>
      </c>
      <c r="U31" s="265">
        <v>5.14</v>
      </c>
      <c r="V31" s="265">
        <v>5.14</v>
      </c>
      <c r="W31" s="265">
        <v>5.14</v>
      </c>
      <c r="X31" s="265">
        <v>5.14</v>
      </c>
      <c r="Y31" s="265">
        <v>5.14</v>
      </c>
      <c r="Z31" s="265">
        <v>0.05</v>
      </c>
      <c r="AA31" s="265">
        <v>0.05</v>
      </c>
      <c r="AB31" s="265">
        <v>0.05</v>
      </c>
      <c r="AC31" s="265">
        <v>0.05</v>
      </c>
      <c r="AD31" s="265">
        <v>0.05</v>
      </c>
      <c r="AE31" s="265">
        <v>0.05</v>
      </c>
      <c r="AF31" s="265">
        <v>0.05</v>
      </c>
      <c r="AG31" s="265">
        <v>0.05</v>
      </c>
      <c r="AH31" s="265">
        <v>0.05</v>
      </c>
      <c r="AI31" s="265">
        <v>0.05</v>
      </c>
      <c r="AJ31" s="265">
        <v>0.05</v>
      </c>
      <c r="AK31" s="265">
        <v>0.05</v>
      </c>
      <c r="AL31" s="266" t="s">
        <v>573</v>
      </c>
      <c r="AM31" s="265">
        <f t="shared" si="0"/>
        <v>0</v>
      </c>
      <c r="AN31" s="266">
        <v>1380</v>
      </c>
      <c r="AO31" s="265">
        <f t="shared" si="1"/>
        <v>69</v>
      </c>
      <c r="AP31" s="266">
        <v>2760</v>
      </c>
      <c r="AQ31" s="265">
        <f t="shared" si="2"/>
        <v>138</v>
      </c>
      <c r="AR31" s="266">
        <v>0</v>
      </c>
      <c r="AS31" s="262">
        <f t="shared" si="3"/>
        <v>0</v>
      </c>
      <c r="AT31" s="266">
        <v>0</v>
      </c>
      <c r="AU31" s="260">
        <f t="shared" si="4"/>
        <v>0</v>
      </c>
      <c r="AV31" s="259">
        <v>0</v>
      </c>
      <c r="AW31" s="260">
        <f t="shared" si="5"/>
        <v>0</v>
      </c>
      <c r="AX31" s="261" t="s">
        <v>573</v>
      </c>
      <c r="AY31" s="260">
        <f t="shared" si="6"/>
        <v>0</v>
      </c>
      <c r="AZ31" s="259">
        <v>0</v>
      </c>
      <c r="BA31" s="260">
        <f t="shared" si="7"/>
        <v>0</v>
      </c>
      <c r="BB31" s="259" t="s">
        <v>573</v>
      </c>
      <c r="BC31" s="260">
        <f t="shared" si="8"/>
        <v>0</v>
      </c>
      <c r="BD31" s="259" t="s">
        <v>573</v>
      </c>
      <c r="BE31" s="260">
        <f t="shared" si="9"/>
        <v>0</v>
      </c>
      <c r="BF31" s="259" t="s">
        <v>573</v>
      </c>
      <c r="BG31" s="260">
        <f t="shared" si="10"/>
        <v>0</v>
      </c>
      <c r="BH31" s="259">
        <v>0</v>
      </c>
      <c r="BI31" s="260">
        <f t="shared" si="11"/>
        <v>0</v>
      </c>
      <c r="BJ31" s="58"/>
      <c r="BK31" s="220"/>
      <c r="BL31" s="213" t="s">
        <v>763</v>
      </c>
      <c r="BM31" s="58" t="s">
        <v>621</v>
      </c>
    </row>
    <row r="32" spans="1:65" ht="15.75" customHeight="1">
      <c r="A32" s="213" t="s">
        <v>1437</v>
      </c>
      <c r="B32" s="58" t="s">
        <v>184</v>
      </c>
      <c r="C32" s="58" t="s">
        <v>752</v>
      </c>
      <c r="D32" s="214" t="s">
        <v>186</v>
      </c>
      <c r="E32" s="214" t="s">
        <v>186</v>
      </c>
      <c r="F32" s="215" t="s">
        <v>186</v>
      </c>
      <c r="G32" s="216">
        <v>2018</v>
      </c>
      <c r="H32" s="218" t="s">
        <v>802</v>
      </c>
      <c r="I32" s="218" t="s">
        <v>196</v>
      </c>
      <c r="J32" s="217" t="s">
        <v>890</v>
      </c>
      <c r="K32" s="213" t="s">
        <v>245</v>
      </c>
      <c r="L32" s="213" t="s">
        <v>1449</v>
      </c>
      <c r="M32" s="219" t="s">
        <v>1389</v>
      </c>
      <c r="N32" s="265">
        <v>5.14</v>
      </c>
      <c r="O32" s="265">
        <v>5.14</v>
      </c>
      <c r="P32" s="265">
        <v>5.14</v>
      </c>
      <c r="Q32" s="265">
        <v>5.14</v>
      </c>
      <c r="R32" s="265">
        <v>5.14</v>
      </c>
      <c r="S32" s="265">
        <v>5.14</v>
      </c>
      <c r="T32" s="265">
        <v>5.14</v>
      </c>
      <c r="U32" s="265">
        <v>5.14</v>
      </c>
      <c r="V32" s="265">
        <v>5.14</v>
      </c>
      <c r="W32" s="265">
        <v>5.14</v>
      </c>
      <c r="X32" s="265">
        <v>5.14</v>
      </c>
      <c r="Y32" s="265">
        <v>5.14</v>
      </c>
      <c r="Z32" s="265">
        <v>0.05</v>
      </c>
      <c r="AA32" s="265">
        <v>0.05</v>
      </c>
      <c r="AB32" s="265">
        <v>0.05</v>
      </c>
      <c r="AC32" s="265">
        <v>0.05</v>
      </c>
      <c r="AD32" s="265">
        <v>0.05</v>
      </c>
      <c r="AE32" s="265">
        <v>0.05</v>
      </c>
      <c r="AF32" s="265">
        <v>0.05</v>
      </c>
      <c r="AG32" s="265">
        <v>0.05</v>
      </c>
      <c r="AH32" s="265">
        <v>0.05</v>
      </c>
      <c r="AI32" s="265">
        <v>0.05</v>
      </c>
      <c r="AJ32" s="265">
        <v>0.05</v>
      </c>
      <c r="AK32" s="265">
        <v>0.05</v>
      </c>
      <c r="AL32" s="266" t="s">
        <v>573</v>
      </c>
      <c r="AM32" s="265">
        <f t="shared" si="0"/>
        <v>0</v>
      </c>
      <c r="AN32" s="266" t="s">
        <v>573</v>
      </c>
      <c r="AO32" s="265">
        <f t="shared" si="1"/>
        <v>0</v>
      </c>
      <c r="AP32" s="266">
        <v>2760</v>
      </c>
      <c r="AQ32" s="265">
        <f t="shared" si="2"/>
        <v>138</v>
      </c>
      <c r="AR32" s="266">
        <v>0</v>
      </c>
      <c r="AS32" s="262">
        <f t="shared" si="3"/>
        <v>0</v>
      </c>
      <c r="AT32" s="266">
        <v>1380</v>
      </c>
      <c r="AU32" s="260">
        <f t="shared" si="4"/>
        <v>69</v>
      </c>
      <c r="AV32" s="259">
        <v>1380</v>
      </c>
      <c r="AW32" s="260">
        <f t="shared" si="5"/>
        <v>69</v>
      </c>
      <c r="AX32" s="261" t="s">
        <v>573</v>
      </c>
      <c r="AY32" s="260">
        <f t="shared" si="6"/>
        <v>0</v>
      </c>
      <c r="AZ32" s="259">
        <v>1380</v>
      </c>
      <c r="BA32" s="260">
        <f t="shared" si="7"/>
        <v>69</v>
      </c>
      <c r="BB32" s="259" t="s">
        <v>573</v>
      </c>
      <c r="BC32" s="260">
        <f t="shared" si="8"/>
        <v>0</v>
      </c>
      <c r="BD32" s="259" t="s">
        <v>573</v>
      </c>
      <c r="BE32" s="260">
        <f t="shared" si="9"/>
        <v>0</v>
      </c>
      <c r="BF32" s="259" t="s">
        <v>573</v>
      </c>
      <c r="BG32" s="260">
        <f t="shared" si="10"/>
        <v>0</v>
      </c>
      <c r="BH32" s="259">
        <v>1380</v>
      </c>
      <c r="BI32" s="260">
        <f t="shared" si="11"/>
        <v>69</v>
      </c>
      <c r="BJ32" s="58"/>
      <c r="BK32" s="220"/>
      <c r="BL32" s="213" t="s">
        <v>763</v>
      </c>
      <c r="BM32" s="58" t="s">
        <v>622</v>
      </c>
    </row>
    <row r="33" spans="1:65" ht="15.75" customHeight="1">
      <c r="A33" s="213" t="s">
        <v>1437</v>
      </c>
      <c r="B33" s="58" t="s">
        <v>184</v>
      </c>
      <c r="C33" s="58" t="s">
        <v>752</v>
      </c>
      <c r="D33" s="214" t="s">
        <v>186</v>
      </c>
      <c r="E33" s="214" t="s">
        <v>186</v>
      </c>
      <c r="F33" s="215" t="s">
        <v>186</v>
      </c>
      <c r="G33" s="216">
        <v>2018</v>
      </c>
      <c r="H33" s="218" t="s">
        <v>802</v>
      </c>
      <c r="I33" s="218" t="s">
        <v>196</v>
      </c>
      <c r="J33" s="217" t="s">
        <v>890</v>
      </c>
      <c r="K33" s="213" t="s">
        <v>294</v>
      </c>
      <c r="L33" s="213" t="s">
        <v>1449</v>
      </c>
      <c r="M33" s="219" t="s">
        <v>1389</v>
      </c>
      <c r="N33" s="265">
        <v>5.14</v>
      </c>
      <c r="O33" s="265">
        <v>5.14</v>
      </c>
      <c r="P33" s="265">
        <v>5.14</v>
      </c>
      <c r="Q33" s="265">
        <v>5.14</v>
      </c>
      <c r="R33" s="265">
        <v>5.14</v>
      </c>
      <c r="S33" s="265">
        <v>5.14</v>
      </c>
      <c r="T33" s="265">
        <v>5.14</v>
      </c>
      <c r="U33" s="265">
        <v>5.14</v>
      </c>
      <c r="V33" s="265">
        <v>5.14</v>
      </c>
      <c r="W33" s="265">
        <v>5.14</v>
      </c>
      <c r="X33" s="265">
        <v>5.14</v>
      </c>
      <c r="Y33" s="265">
        <v>5.14</v>
      </c>
      <c r="Z33" s="265">
        <v>0.05</v>
      </c>
      <c r="AA33" s="265">
        <v>0.05</v>
      </c>
      <c r="AB33" s="265">
        <v>0.05</v>
      </c>
      <c r="AC33" s="265">
        <v>0.05</v>
      </c>
      <c r="AD33" s="265">
        <v>0.05</v>
      </c>
      <c r="AE33" s="265">
        <v>0.05</v>
      </c>
      <c r="AF33" s="265">
        <v>0.05</v>
      </c>
      <c r="AG33" s="265">
        <v>0.05</v>
      </c>
      <c r="AH33" s="265">
        <v>0.05</v>
      </c>
      <c r="AI33" s="265">
        <v>0.05</v>
      </c>
      <c r="AJ33" s="265">
        <v>0.05</v>
      </c>
      <c r="AK33" s="265">
        <v>0.05</v>
      </c>
      <c r="AL33" s="266" t="s">
        <v>573</v>
      </c>
      <c r="AM33" s="265">
        <f t="shared" si="0"/>
        <v>0</v>
      </c>
      <c r="AN33" s="266" t="s">
        <v>573</v>
      </c>
      <c r="AO33" s="265">
        <f t="shared" si="1"/>
        <v>0</v>
      </c>
      <c r="AP33" s="266">
        <v>5520</v>
      </c>
      <c r="AQ33" s="265">
        <f t="shared" si="2"/>
        <v>276</v>
      </c>
      <c r="AR33" s="266">
        <v>0</v>
      </c>
      <c r="AS33" s="262">
        <f t="shared" si="3"/>
        <v>0</v>
      </c>
      <c r="AT33" s="266">
        <v>0</v>
      </c>
      <c r="AU33" s="260">
        <f t="shared" si="4"/>
        <v>0</v>
      </c>
      <c r="AV33" s="259">
        <v>0</v>
      </c>
      <c r="AW33" s="260">
        <f t="shared" si="5"/>
        <v>0</v>
      </c>
      <c r="AX33" s="261">
        <v>1380</v>
      </c>
      <c r="AY33" s="260">
        <f t="shared" si="6"/>
        <v>69</v>
      </c>
      <c r="AZ33" s="259" t="s">
        <v>573</v>
      </c>
      <c r="BA33" s="260">
        <f t="shared" si="7"/>
        <v>0</v>
      </c>
      <c r="BB33" s="259" t="s">
        <v>573</v>
      </c>
      <c r="BC33" s="260">
        <f t="shared" si="8"/>
        <v>0</v>
      </c>
      <c r="BD33" s="259">
        <v>1320</v>
      </c>
      <c r="BE33" s="260">
        <f t="shared" si="9"/>
        <v>66</v>
      </c>
      <c r="BF33" s="259" t="s">
        <v>573</v>
      </c>
      <c r="BG33" s="260">
        <f t="shared" si="10"/>
        <v>0</v>
      </c>
      <c r="BH33" s="259">
        <v>4140</v>
      </c>
      <c r="BI33" s="260">
        <f t="shared" si="11"/>
        <v>207</v>
      </c>
      <c r="BJ33" s="58"/>
      <c r="BK33" s="220"/>
      <c r="BL33" s="213" t="s">
        <v>763</v>
      </c>
      <c r="BM33" s="58" t="s">
        <v>623</v>
      </c>
    </row>
    <row r="34" spans="1:65" ht="15.75" customHeight="1">
      <c r="A34" s="213" t="s">
        <v>1437</v>
      </c>
      <c r="B34" s="58" t="s">
        <v>184</v>
      </c>
      <c r="C34" s="58" t="s">
        <v>752</v>
      </c>
      <c r="D34" s="214" t="s">
        <v>186</v>
      </c>
      <c r="E34" s="214" t="s">
        <v>186</v>
      </c>
      <c r="F34" s="215" t="s">
        <v>186</v>
      </c>
      <c r="G34" s="216">
        <v>2023</v>
      </c>
      <c r="H34" s="213" t="s">
        <v>1317</v>
      </c>
      <c r="I34" s="218" t="s">
        <v>196</v>
      </c>
      <c r="J34" s="217" t="s">
        <v>890</v>
      </c>
      <c r="K34" s="213" t="s">
        <v>221</v>
      </c>
      <c r="L34" s="213" t="s">
        <v>192</v>
      </c>
      <c r="M34" s="219" t="s">
        <v>1388</v>
      </c>
      <c r="N34" s="265">
        <v>6.27</v>
      </c>
      <c r="O34" s="265">
        <v>6.27</v>
      </c>
      <c r="P34" s="265">
        <v>6.27</v>
      </c>
      <c r="Q34" s="265">
        <v>6.27</v>
      </c>
      <c r="R34" s="265">
        <v>6.27</v>
      </c>
      <c r="S34" s="265">
        <v>6.27</v>
      </c>
      <c r="T34" s="265">
        <v>6.27</v>
      </c>
      <c r="U34" s="265">
        <v>6.27</v>
      </c>
      <c r="V34" s="265">
        <v>6.27</v>
      </c>
      <c r="W34" s="265">
        <v>6.27</v>
      </c>
      <c r="X34" s="265">
        <v>6.27</v>
      </c>
      <c r="Y34" s="265">
        <v>6.27</v>
      </c>
      <c r="Z34" s="265">
        <v>0.3</v>
      </c>
      <c r="AA34" s="265">
        <v>0.3</v>
      </c>
      <c r="AB34" s="265">
        <v>0.3</v>
      </c>
      <c r="AC34" s="265">
        <v>0.3</v>
      </c>
      <c r="AD34" s="265">
        <v>0.3</v>
      </c>
      <c r="AE34" s="265">
        <v>0.3</v>
      </c>
      <c r="AF34" s="265">
        <v>0.3</v>
      </c>
      <c r="AG34" s="265">
        <v>0.3</v>
      </c>
      <c r="AH34" s="265">
        <v>0.3</v>
      </c>
      <c r="AI34" s="265">
        <v>0.3</v>
      </c>
      <c r="AJ34" s="265">
        <v>0.3</v>
      </c>
      <c r="AK34" s="265">
        <v>0.3</v>
      </c>
      <c r="AL34" s="266" t="s">
        <v>573</v>
      </c>
      <c r="AM34" s="265">
        <f t="shared" si="0"/>
        <v>0</v>
      </c>
      <c r="AN34" s="266">
        <v>2040</v>
      </c>
      <c r="AO34" s="265">
        <f t="shared" si="1"/>
        <v>612</v>
      </c>
      <c r="AP34" s="266">
        <v>0</v>
      </c>
      <c r="AQ34" s="265">
        <f t="shared" si="2"/>
        <v>0</v>
      </c>
      <c r="AR34" s="266">
        <v>0</v>
      </c>
      <c r="AS34" s="262">
        <f t="shared" si="3"/>
        <v>0</v>
      </c>
      <c r="AT34" s="266">
        <v>4080</v>
      </c>
      <c r="AU34" s="260">
        <f t="shared" si="4"/>
        <v>1224</v>
      </c>
      <c r="AV34" s="259">
        <v>2040</v>
      </c>
      <c r="AW34" s="260">
        <f t="shared" si="5"/>
        <v>612</v>
      </c>
      <c r="AX34" s="261" t="s">
        <v>573</v>
      </c>
      <c r="AY34" s="260">
        <f t="shared" si="6"/>
        <v>0</v>
      </c>
      <c r="AZ34" s="259">
        <v>2040</v>
      </c>
      <c r="BA34" s="260">
        <f t="shared" si="7"/>
        <v>612</v>
      </c>
      <c r="BB34" s="259">
        <v>3060</v>
      </c>
      <c r="BC34" s="260">
        <f t="shared" si="8"/>
        <v>918</v>
      </c>
      <c r="BD34" s="259" t="s">
        <v>573</v>
      </c>
      <c r="BE34" s="260">
        <f t="shared" si="9"/>
        <v>0</v>
      </c>
      <c r="BF34" s="259" t="s">
        <v>573</v>
      </c>
      <c r="BG34" s="260">
        <f t="shared" si="10"/>
        <v>0</v>
      </c>
      <c r="BH34" s="259">
        <v>2040</v>
      </c>
      <c r="BI34" s="260">
        <f t="shared" si="11"/>
        <v>612</v>
      </c>
      <c r="BJ34" s="58"/>
      <c r="BK34" s="220"/>
      <c r="BL34" s="213" t="s">
        <v>807</v>
      </c>
      <c r="BM34" s="58" t="s">
        <v>612</v>
      </c>
    </row>
    <row r="35" spans="1:65" ht="15.75" customHeight="1">
      <c r="A35" s="213" t="s">
        <v>1437</v>
      </c>
      <c r="B35" s="58" t="s">
        <v>184</v>
      </c>
      <c r="C35" s="58" t="s">
        <v>752</v>
      </c>
      <c r="D35" s="214" t="s">
        <v>186</v>
      </c>
      <c r="E35" s="214" t="s">
        <v>186</v>
      </c>
      <c r="F35" s="215" t="s">
        <v>186</v>
      </c>
      <c r="G35" s="216">
        <v>2023</v>
      </c>
      <c r="H35" s="213" t="s">
        <v>1317</v>
      </c>
      <c r="I35" s="218" t="s">
        <v>196</v>
      </c>
      <c r="J35" s="217" t="s">
        <v>890</v>
      </c>
      <c r="K35" s="213" t="s">
        <v>221</v>
      </c>
      <c r="L35" s="213" t="s">
        <v>192</v>
      </c>
      <c r="M35" s="219" t="s">
        <v>1389</v>
      </c>
      <c r="N35" s="265">
        <v>6.31</v>
      </c>
      <c r="O35" s="265">
        <v>6.31</v>
      </c>
      <c r="P35" s="265">
        <v>6.31</v>
      </c>
      <c r="Q35" s="265">
        <v>6.31</v>
      </c>
      <c r="R35" s="265">
        <v>6.31</v>
      </c>
      <c r="S35" s="265">
        <v>6.31</v>
      </c>
      <c r="T35" s="265">
        <v>6.31</v>
      </c>
      <c r="U35" s="265">
        <v>6.31</v>
      </c>
      <c r="V35" s="265">
        <v>6.31</v>
      </c>
      <c r="W35" s="265">
        <v>6.31</v>
      </c>
      <c r="X35" s="265">
        <v>6.31</v>
      </c>
      <c r="Y35" s="265">
        <v>6.31</v>
      </c>
      <c r="Z35" s="265">
        <v>0.3</v>
      </c>
      <c r="AA35" s="265">
        <v>0.3</v>
      </c>
      <c r="AB35" s="265">
        <v>0.3</v>
      </c>
      <c r="AC35" s="265">
        <v>0.3</v>
      </c>
      <c r="AD35" s="265">
        <v>0.3</v>
      </c>
      <c r="AE35" s="265">
        <v>0.3</v>
      </c>
      <c r="AF35" s="265">
        <v>0.3</v>
      </c>
      <c r="AG35" s="265">
        <v>0.3</v>
      </c>
      <c r="AH35" s="265">
        <v>0.3</v>
      </c>
      <c r="AI35" s="265">
        <v>0.3</v>
      </c>
      <c r="AJ35" s="265">
        <v>0.3</v>
      </c>
      <c r="AK35" s="265">
        <v>0.3</v>
      </c>
      <c r="AL35" s="266">
        <v>10200</v>
      </c>
      <c r="AM35" s="265">
        <f t="shared" ref="AM35:AM66" si="12">Z35*AL35</f>
        <v>3060</v>
      </c>
      <c r="AN35" s="266" t="s">
        <v>573</v>
      </c>
      <c r="AO35" s="265">
        <f t="shared" si="1"/>
        <v>0</v>
      </c>
      <c r="AP35" s="266">
        <v>1020</v>
      </c>
      <c r="AQ35" s="265">
        <f t="shared" ref="AQ35:AQ66" si="13">AP35*AB35</f>
        <v>306</v>
      </c>
      <c r="AR35" s="266">
        <v>0</v>
      </c>
      <c r="AS35" s="262">
        <f t="shared" ref="AS35:AS66" si="14">AR35*AC35</f>
        <v>0</v>
      </c>
      <c r="AT35" s="266">
        <v>0</v>
      </c>
      <c r="AU35" s="260">
        <f t="shared" ref="AU35:AU66" si="15">AT35*AD35</f>
        <v>0</v>
      </c>
      <c r="AV35" s="259">
        <v>0</v>
      </c>
      <c r="AW35" s="260">
        <f t="shared" ref="AW35:AW66" si="16">AV35*AE35</f>
        <v>0</v>
      </c>
      <c r="AX35" s="261">
        <v>10273</v>
      </c>
      <c r="AY35" s="260">
        <f t="shared" ref="AY35:AY66" si="17">AX35*AF35</f>
        <v>3081.9</v>
      </c>
      <c r="AZ35" s="259">
        <v>12313</v>
      </c>
      <c r="BA35" s="260">
        <f t="shared" ref="BA35:BA66" si="18">AZ35*AG35</f>
        <v>3693.8999999999996</v>
      </c>
      <c r="BB35" s="259">
        <v>12313</v>
      </c>
      <c r="BC35" s="260">
        <f t="shared" ref="BC35:BC66" si="19">BB35*AH35</f>
        <v>3693.8999999999996</v>
      </c>
      <c r="BD35" s="259">
        <v>15373</v>
      </c>
      <c r="BE35" s="260">
        <f t="shared" ref="BE35:BE66" si="20">BD35*AI35</f>
        <v>4611.8999999999996</v>
      </c>
      <c r="BF35" s="259">
        <v>10333</v>
      </c>
      <c r="BG35" s="260">
        <f t="shared" ref="BG35:BG66" si="21">BF35*AJ35</f>
        <v>3099.9</v>
      </c>
      <c r="BH35" s="259">
        <v>10273</v>
      </c>
      <c r="BI35" s="260">
        <f t="shared" si="11"/>
        <v>3081.9</v>
      </c>
      <c r="BJ35" s="58"/>
      <c r="BK35" s="220"/>
      <c r="BL35" s="213" t="s">
        <v>763</v>
      </c>
      <c r="BM35" s="58" t="s">
        <v>613</v>
      </c>
    </row>
    <row r="36" spans="1:65" ht="15.75" customHeight="1">
      <c r="A36" s="213" t="s">
        <v>1437</v>
      </c>
      <c r="B36" s="58" t="s">
        <v>184</v>
      </c>
      <c r="C36" s="58" t="s">
        <v>752</v>
      </c>
      <c r="D36" s="214" t="s">
        <v>186</v>
      </c>
      <c r="E36" s="214" t="s">
        <v>186</v>
      </c>
      <c r="F36" s="215" t="s">
        <v>186</v>
      </c>
      <c r="G36" s="216">
        <v>2023</v>
      </c>
      <c r="H36" s="213" t="s">
        <v>1317</v>
      </c>
      <c r="I36" s="218" t="s">
        <v>196</v>
      </c>
      <c r="J36" s="217" t="s">
        <v>890</v>
      </c>
      <c r="K36" s="213" t="s">
        <v>221</v>
      </c>
      <c r="L36" s="213" t="s">
        <v>192</v>
      </c>
      <c r="M36" s="219" t="s">
        <v>1388</v>
      </c>
      <c r="N36" s="265">
        <v>6.27</v>
      </c>
      <c r="O36" s="265">
        <v>6.27</v>
      </c>
      <c r="P36" s="265">
        <v>6.27</v>
      </c>
      <c r="Q36" s="265">
        <v>6.27</v>
      </c>
      <c r="R36" s="265">
        <v>6.27</v>
      </c>
      <c r="S36" s="265">
        <v>6.27</v>
      </c>
      <c r="T36" s="265">
        <v>6.27</v>
      </c>
      <c r="U36" s="265">
        <v>6.27</v>
      </c>
      <c r="V36" s="265">
        <v>6.27</v>
      </c>
      <c r="W36" s="265">
        <v>6.27</v>
      </c>
      <c r="X36" s="265">
        <v>6.27</v>
      </c>
      <c r="Y36" s="265">
        <v>6.27</v>
      </c>
      <c r="Z36" s="265">
        <v>0.3</v>
      </c>
      <c r="AA36" s="265">
        <v>0.3</v>
      </c>
      <c r="AB36" s="265">
        <v>0.3</v>
      </c>
      <c r="AC36" s="265">
        <v>0.3</v>
      </c>
      <c r="AD36" s="265">
        <v>0.3</v>
      </c>
      <c r="AE36" s="265">
        <v>0.3</v>
      </c>
      <c r="AF36" s="265">
        <v>0.3</v>
      </c>
      <c r="AG36" s="265">
        <v>0.3</v>
      </c>
      <c r="AH36" s="265">
        <v>0.3</v>
      </c>
      <c r="AI36" s="265">
        <v>0.3</v>
      </c>
      <c r="AJ36" s="265">
        <v>0.3</v>
      </c>
      <c r="AK36" s="265">
        <v>0.3</v>
      </c>
      <c r="AL36" s="266">
        <v>1020</v>
      </c>
      <c r="AM36" s="265">
        <f t="shared" si="12"/>
        <v>306</v>
      </c>
      <c r="AN36" s="266">
        <v>1020</v>
      </c>
      <c r="AO36" s="265">
        <f t="shared" si="1"/>
        <v>306</v>
      </c>
      <c r="AP36" s="266">
        <v>1020</v>
      </c>
      <c r="AQ36" s="265">
        <f t="shared" si="13"/>
        <v>306</v>
      </c>
      <c r="AR36" s="266">
        <v>1020</v>
      </c>
      <c r="AS36" s="262">
        <f t="shared" si="14"/>
        <v>306</v>
      </c>
      <c r="AT36" s="266">
        <v>3060</v>
      </c>
      <c r="AU36" s="260">
        <f t="shared" si="15"/>
        <v>918</v>
      </c>
      <c r="AV36" s="259">
        <v>1020</v>
      </c>
      <c r="AW36" s="260">
        <f t="shared" si="16"/>
        <v>306</v>
      </c>
      <c r="AX36" s="261">
        <v>1020</v>
      </c>
      <c r="AY36" s="260">
        <f t="shared" si="17"/>
        <v>306</v>
      </c>
      <c r="AZ36" s="259">
        <v>2040</v>
      </c>
      <c r="BA36" s="260">
        <f t="shared" si="18"/>
        <v>612</v>
      </c>
      <c r="BB36" s="259">
        <v>1020</v>
      </c>
      <c r="BC36" s="260">
        <f t="shared" si="19"/>
        <v>306</v>
      </c>
      <c r="BD36" s="259">
        <v>1020</v>
      </c>
      <c r="BE36" s="260">
        <f t="shared" si="20"/>
        <v>306</v>
      </c>
      <c r="BF36" s="259">
        <v>4080</v>
      </c>
      <c r="BG36" s="260">
        <f t="shared" si="21"/>
        <v>1224</v>
      </c>
      <c r="BH36" s="259">
        <v>2040</v>
      </c>
      <c r="BI36" s="260">
        <f t="shared" si="11"/>
        <v>612</v>
      </c>
      <c r="BJ36" s="58"/>
      <c r="BK36" s="220"/>
      <c r="BL36" s="213" t="s">
        <v>754</v>
      </c>
      <c r="BM36" s="58" t="s">
        <v>614</v>
      </c>
    </row>
    <row r="37" spans="1:65" ht="15.75" customHeight="1">
      <c r="A37" s="213" t="s">
        <v>1437</v>
      </c>
      <c r="B37" s="58" t="s">
        <v>184</v>
      </c>
      <c r="C37" s="58" t="s">
        <v>752</v>
      </c>
      <c r="D37" s="214" t="s">
        <v>186</v>
      </c>
      <c r="E37" s="214" t="s">
        <v>186</v>
      </c>
      <c r="F37" s="215" t="s">
        <v>186</v>
      </c>
      <c r="G37" s="216">
        <v>2023</v>
      </c>
      <c r="H37" s="213" t="s">
        <v>1317</v>
      </c>
      <c r="I37" s="218" t="s">
        <v>196</v>
      </c>
      <c r="J37" s="217" t="s">
        <v>890</v>
      </c>
      <c r="K37" s="213" t="s">
        <v>330</v>
      </c>
      <c r="L37" s="213" t="s">
        <v>192</v>
      </c>
      <c r="M37" s="219" t="s">
        <v>1388</v>
      </c>
      <c r="N37" s="265">
        <v>6.27</v>
      </c>
      <c r="O37" s="265">
        <v>6.27</v>
      </c>
      <c r="P37" s="265">
        <v>6.27</v>
      </c>
      <c r="Q37" s="265">
        <v>6.27</v>
      </c>
      <c r="R37" s="265">
        <v>6.27</v>
      </c>
      <c r="S37" s="265">
        <v>6.27</v>
      </c>
      <c r="T37" s="265">
        <v>6.27</v>
      </c>
      <c r="U37" s="265">
        <v>6.27</v>
      </c>
      <c r="V37" s="265">
        <v>6.27</v>
      </c>
      <c r="W37" s="265">
        <v>6.27</v>
      </c>
      <c r="X37" s="265">
        <v>6.27</v>
      </c>
      <c r="Y37" s="265">
        <v>6.27</v>
      </c>
      <c r="Z37" s="265">
        <v>0.3</v>
      </c>
      <c r="AA37" s="265">
        <v>0.3</v>
      </c>
      <c r="AB37" s="265">
        <v>0.3</v>
      </c>
      <c r="AC37" s="265">
        <v>0.3</v>
      </c>
      <c r="AD37" s="265">
        <v>0.3</v>
      </c>
      <c r="AE37" s="265">
        <v>0.3</v>
      </c>
      <c r="AF37" s="265">
        <v>0.3</v>
      </c>
      <c r="AG37" s="265">
        <v>0.3</v>
      </c>
      <c r="AH37" s="265">
        <v>0.3</v>
      </c>
      <c r="AI37" s="265">
        <v>0.3</v>
      </c>
      <c r="AJ37" s="265">
        <v>0.3</v>
      </c>
      <c r="AK37" s="265">
        <v>0.3</v>
      </c>
      <c r="AL37" s="266" t="s">
        <v>573</v>
      </c>
      <c r="AM37" s="265">
        <f t="shared" si="12"/>
        <v>0</v>
      </c>
      <c r="AN37" s="266">
        <v>1020</v>
      </c>
      <c r="AO37" s="265">
        <f t="shared" si="1"/>
        <v>306</v>
      </c>
      <c r="AP37" s="266">
        <v>0</v>
      </c>
      <c r="AQ37" s="265">
        <f t="shared" si="13"/>
        <v>0</v>
      </c>
      <c r="AR37" s="266">
        <v>0</v>
      </c>
      <c r="AS37" s="262">
        <f t="shared" si="14"/>
        <v>0</v>
      </c>
      <c r="AT37" s="266">
        <v>2040</v>
      </c>
      <c r="AU37" s="260">
        <f t="shared" si="15"/>
        <v>612</v>
      </c>
      <c r="AV37" s="259">
        <v>1020</v>
      </c>
      <c r="AW37" s="260">
        <f t="shared" si="16"/>
        <v>306</v>
      </c>
      <c r="AX37" s="261">
        <v>1020</v>
      </c>
      <c r="AY37" s="260">
        <f t="shared" si="17"/>
        <v>306</v>
      </c>
      <c r="AZ37" s="259">
        <v>3060</v>
      </c>
      <c r="BA37" s="260">
        <f t="shared" si="18"/>
        <v>918</v>
      </c>
      <c r="BB37" s="259">
        <v>1020</v>
      </c>
      <c r="BC37" s="260">
        <f t="shared" si="19"/>
        <v>306</v>
      </c>
      <c r="BD37" s="259">
        <v>1020</v>
      </c>
      <c r="BE37" s="260">
        <f t="shared" si="20"/>
        <v>306</v>
      </c>
      <c r="BF37" s="259" t="s">
        <v>573</v>
      </c>
      <c r="BG37" s="260">
        <f t="shared" si="21"/>
        <v>0</v>
      </c>
      <c r="BH37" s="259" t="s">
        <v>573</v>
      </c>
      <c r="BI37" s="260">
        <f t="shared" si="11"/>
        <v>0</v>
      </c>
      <c r="BJ37" s="58"/>
      <c r="BK37" s="220"/>
      <c r="BL37" s="213" t="s">
        <v>807</v>
      </c>
      <c r="BM37" s="213" t="s">
        <v>615</v>
      </c>
    </row>
    <row r="38" spans="1:65" ht="15.75" customHeight="1">
      <c r="A38" s="213" t="s">
        <v>1437</v>
      </c>
      <c r="B38" s="58" t="s">
        <v>184</v>
      </c>
      <c r="C38" s="58" t="s">
        <v>752</v>
      </c>
      <c r="D38" s="214" t="s">
        <v>186</v>
      </c>
      <c r="E38" s="214" t="s">
        <v>186</v>
      </c>
      <c r="F38" s="215" t="s">
        <v>186</v>
      </c>
      <c r="G38" s="216">
        <v>2023</v>
      </c>
      <c r="H38" s="213" t="s">
        <v>1317</v>
      </c>
      <c r="I38" s="218" t="s">
        <v>196</v>
      </c>
      <c r="J38" s="217" t="s">
        <v>890</v>
      </c>
      <c r="K38" s="213" t="s">
        <v>330</v>
      </c>
      <c r="L38" s="213" t="s">
        <v>192</v>
      </c>
      <c r="M38" s="219" t="s">
        <v>1389</v>
      </c>
      <c r="N38" s="265">
        <v>6.31</v>
      </c>
      <c r="O38" s="265">
        <v>6.31</v>
      </c>
      <c r="P38" s="265">
        <v>6.31</v>
      </c>
      <c r="Q38" s="265">
        <v>6.31</v>
      </c>
      <c r="R38" s="265">
        <v>6.31</v>
      </c>
      <c r="S38" s="265">
        <v>6.31</v>
      </c>
      <c r="T38" s="265">
        <v>6.31</v>
      </c>
      <c r="U38" s="265">
        <v>6.31</v>
      </c>
      <c r="V38" s="265">
        <v>6.31</v>
      </c>
      <c r="W38" s="265">
        <v>6.31</v>
      </c>
      <c r="X38" s="265">
        <v>6.31</v>
      </c>
      <c r="Y38" s="265">
        <v>6.31</v>
      </c>
      <c r="Z38" s="265">
        <v>0.3</v>
      </c>
      <c r="AA38" s="265">
        <v>0.3</v>
      </c>
      <c r="AB38" s="265">
        <v>0.3</v>
      </c>
      <c r="AC38" s="265">
        <v>0.3</v>
      </c>
      <c r="AD38" s="265">
        <v>0.3</v>
      </c>
      <c r="AE38" s="265">
        <v>0.3</v>
      </c>
      <c r="AF38" s="265">
        <v>0.3</v>
      </c>
      <c r="AG38" s="265">
        <v>0.3</v>
      </c>
      <c r="AH38" s="265">
        <v>0.3</v>
      </c>
      <c r="AI38" s="265">
        <v>0.3</v>
      </c>
      <c r="AJ38" s="265">
        <v>0.3</v>
      </c>
      <c r="AK38" s="265">
        <v>0.3</v>
      </c>
      <c r="AL38" s="266">
        <v>3060</v>
      </c>
      <c r="AM38" s="265">
        <f t="shared" si="12"/>
        <v>918</v>
      </c>
      <c r="AN38" s="266">
        <v>1020</v>
      </c>
      <c r="AO38" s="265">
        <f t="shared" si="1"/>
        <v>306</v>
      </c>
      <c r="AP38" s="266">
        <v>1020</v>
      </c>
      <c r="AQ38" s="265">
        <f t="shared" si="13"/>
        <v>306</v>
      </c>
      <c r="AR38" s="266">
        <v>0</v>
      </c>
      <c r="AS38" s="262">
        <f t="shared" si="14"/>
        <v>0</v>
      </c>
      <c r="AT38" s="266">
        <v>0</v>
      </c>
      <c r="AU38" s="260">
        <f t="shared" si="15"/>
        <v>0</v>
      </c>
      <c r="AV38" s="259">
        <v>0</v>
      </c>
      <c r="AW38" s="260">
        <f t="shared" si="16"/>
        <v>0</v>
      </c>
      <c r="AX38" s="261" t="s">
        <v>573</v>
      </c>
      <c r="AY38" s="260">
        <f t="shared" si="17"/>
        <v>0</v>
      </c>
      <c r="AZ38" s="259">
        <v>2040</v>
      </c>
      <c r="BA38" s="260">
        <f t="shared" si="18"/>
        <v>612</v>
      </c>
      <c r="BB38" s="259">
        <v>1020</v>
      </c>
      <c r="BC38" s="260">
        <f t="shared" si="19"/>
        <v>306</v>
      </c>
      <c r="BD38" s="259">
        <v>2040</v>
      </c>
      <c r="BE38" s="260">
        <f t="shared" si="20"/>
        <v>612</v>
      </c>
      <c r="BF38" s="259">
        <v>1020</v>
      </c>
      <c r="BG38" s="260">
        <f t="shared" si="21"/>
        <v>306</v>
      </c>
      <c r="BH38" s="259">
        <v>2040</v>
      </c>
      <c r="BI38" s="260">
        <f t="shared" si="11"/>
        <v>612</v>
      </c>
      <c r="BJ38" s="58"/>
      <c r="BK38" s="220"/>
      <c r="BL38" s="213" t="s">
        <v>763</v>
      </c>
      <c r="BM38" s="213" t="s">
        <v>616</v>
      </c>
    </row>
    <row r="39" spans="1:65" ht="15.75" customHeight="1">
      <c r="A39" s="213" t="s">
        <v>1437</v>
      </c>
      <c r="B39" s="58" t="s">
        <v>184</v>
      </c>
      <c r="C39" s="58" t="s">
        <v>752</v>
      </c>
      <c r="D39" s="214" t="s">
        <v>186</v>
      </c>
      <c r="E39" s="214" t="s">
        <v>186</v>
      </c>
      <c r="F39" s="215" t="s">
        <v>186</v>
      </c>
      <c r="G39" s="216">
        <v>2023</v>
      </c>
      <c r="H39" s="213" t="s">
        <v>1317</v>
      </c>
      <c r="I39" s="218" t="s">
        <v>196</v>
      </c>
      <c r="J39" s="217" t="s">
        <v>890</v>
      </c>
      <c r="K39" s="213" t="s">
        <v>330</v>
      </c>
      <c r="L39" s="213" t="s">
        <v>192</v>
      </c>
      <c r="M39" s="219" t="s">
        <v>1388</v>
      </c>
      <c r="N39" s="265">
        <v>6.27</v>
      </c>
      <c r="O39" s="265">
        <v>6.27</v>
      </c>
      <c r="P39" s="265">
        <v>6.27</v>
      </c>
      <c r="Q39" s="265">
        <v>6.27</v>
      </c>
      <c r="R39" s="265">
        <v>6.27</v>
      </c>
      <c r="S39" s="265">
        <v>6.27</v>
      </c>
      <c r="T39" s="265">
        <v>6.27</v>
      </c>
      <c r="U39" s="265">
        <v>6.27</v>
      </c>
      <c r="V39" s="265">
        <v>6.27</v>
      </c>
      <c r="W39" s="265">
        <v>6.27</v>
      </c>
      <c r="X39" s="265">
        <v>6.27</v>
      </c>
      <c r="Y39" s="265">
        <v>6.27</v>
      </c>
      <c r="Z39" s="265">
        <v>0.3</v>
      </c>
      <c r="AA39" s="265">
        <v>0.3</v>
      </c>
      <c r="AB39" s="265">
        <v>0.3</v>
      </c>
      <c r="AC39" s="265">
        <v>0.3</v>
      </c>
      <c r="AD39" s="265">
        <v>0.3</v>
      </c>
      <c r="AE39" s="265">
        <v>0.3</v>
      </c>
      <c r="AF39" s="265">
        <v>0.3</v>
      </c>
      <c r="AG39" s="265">
        <v>0.3</v>
      </c>
      <c r="AH39" s="265">
        <v>0.3</v>
      </c>
      <c r="AI39" s="265">
        <v>0.3</v>
      </c>
      <c r="AJ39" s="265">
        <v>0.3</v>
      </c>
      <c r="AK39" s="265">
        <v>0.3</v>
      </c>
      <c r="AL39" s="266">
        <v>1020</v>
      </c>
      <c r="AM39" s="265">
        <f t="shared" si="12"/>
        <v>306</v>
      </c>
      <c r="AN39" s="266">
        <v>6120</v>
      </c>
      <c r="AO39" s="265">
        <f t="shared" si="1"/>
        <v>1836</v>
      </c>
      <c r="AP39" s="266">
        <v>1020</v>
      </c>
      <c r="AQ39" s="265">
        <f t="shared" si="13"/>
        <v>306</v>
      </c>
      <c r="AR39" s="266">
        <v>0</v>
      </c>
      <c r="AS39" s="262">
        <f t="shared" si="14"/>
        <v>0</v>
      </c>
      <c r="AT39" s="266">
        <v>0</v>
      </c>
      <c r="AU39" s="260">
        <f t="shared" si="15"/>
        <v>0</v>
      </c>
      <c r="AV39" s="259">
        <v>0</v>
      </c>
      <c r="AW39" s="260">
        <f t="shared" si="16"/>
        <v>0</v>
      </c>
      <c r="AX39" s="261">
        <v>2040</v>
      </c>
      <c r="AY39" s="260">
        <f t="shared" si="17"/>
        <v>612</v>
      </c>
      <c r="AZ39" s="259">
        <v>1020</v>
      </c>
      <c r="BA39" s="260">
        <f t="shared" si="18"/>
        <v>306</v>
      </c>
      <c r="BB39" s="259" t="s">
        <v>573</v>
      </c>
      <c r="BC39" s="260">
        <f t="shared" si="19"/>
        <v>0</v>
      </c>
      <c r="BD39" s="259">
        <v>1020</v>
      </c>
      <c r="BE39" s="260">
        <f t="shared" si="20"/>
        <v>306</v>
      </c>
      <c r="BF39" s="259">
        <v>2040</v>
      </c>
      <c r="BG39" s="260">
        <f t="shared" si="21"/>
        <v>612</v>
      </c>
      <c r="BH39" s="259">
        <v>2040</v>
      </c>
      <c r="BI39" s="260">
        <f t="shared" si="11"/>
        <v>612</v>
      </c>
      <c r="BJ39" s="58"/>
      <c r="BK39" s="220"/>
      <c r="BL39" s="213" t="s">
        <v>754</v>
      </c>
      <c r="BM39" s="213" t="s">
        <v>617</v>
      </c>
    </row>
    <row r="40" spans="1:65" ht="15.75" customHeight="1">
      <c r="A40" s="213" t="s">
        <v>1437</v>
      </c>
      <c r="B40" s="58" t="s">
        <v>184</v>
      </c>
      <c r="C40" s="58" t="s">
        <v>752</v>
      </c>
      <c r="D40" s="214" t="s">
        <v>186</v>
      </c>
      <c r="E40" s="214" t="s">
        <v>186</v>
      </c>
      <c r="F40" s="215" t="s">
        <v>186</v>
      </c>
      <c r="G40" s="216">
        <v>2023</v>
      </c>
      <c r="H40" s="213" t="s">
        <v>1317</v>
      </c>
      <c r="I40" s="218" t="s">
        <v>196</v>
      </c>
      <c r="J40" s="217" t="s">
        <v>890</v>
      </c>
      <c r="K40" s="213" t="s">
        <v>758</v>
      </c>
      <c r="L40" s="213" t="s">
        <v>192</v>
      </c>
      <c r="M40" s="219" t="s">
        <v>1392</v>
      </c>
      <c r="N40" s="265">
        <v>6.75</v>
      </c>
      <c r="O40" s="265">
        <v>6.75</v>
      </c>
      <c r="P40" s="265">
        <v>6.75</v>
      </c>
      <c r="Q40" s="265">
        <v>6.75</v>
      </c>
      <c r="R40" s="265">
        <v>6.75</v>
      </c>
      <c r="S40" s="265">
        <v>6.75</v>
      </c>
      <c r="T40" s="265">
        <v>6.75</v>
      </c>
      <c r="U40" s="265">
        <v>6.75</v>
      </c>
      <c r="V40" s="265">
        <v>6.75</v>
      </c>
      <c r="W40" s="265">
        <v>6.75</v>
      </c>
      <c r="X40" s="265">
        <v>6.75</v>
      </c>
      <c r="Y40" s="265">
        <v>6.75</v>
      </c>
      <c r="Z40" s="265">
        <v>0.3</v>
      </c>
      <c r="AA40" s="265">
        <v>0.3</v>
      </c>
      <c r="AB40" s="265">
        <v>0.3</v>
      </c>
      <c r="AC40" s="265">
        <v>0.3</v>
      </c>
      <c r="AD40" s="265">
        <v>0.3</v>
      </c>
      <c r="AE40" s="265">
        <v>0.3</v>
      </c>
      <c r="AF40" s="265">
        <v>0.3</v>
      </c>
      <c r="AG40" s="265">
        <v>0.3</v>
      </c>
      <c r="AH40" s="265">
        <v>0.3</v>
      </c>
      <c r="AI40" s="265">
        <v>0.3</v>
      </c>
      <c r="AJ40" s="265">
        <v>0.3</v>
      </c>
      <c r="AK40" s="265">
        <v>0.3</v>
      </c>
      <c r="AL40" s="266" t="s">
        <v>573</v>
      </c>
      <c r="AM40" s="265">
        <f t="shared" si="12"/>
        <v>0</v>
      </c>
      <c r="AN40" s="266" t="s">
        <v>573</v>
      </c>
      <c r="AO40" s="265">
        <f t="shared" si="1"/>
        <v>0</v>
      </c>
      <c r="AP40" s="266">
        <v>0</v>
      </c>
      <c r="AQ40" s="265">
        <f t="shared" si="13"/>
        <v>0</v>
      </c>
      <c r="AR40" s="266">
        <v>0</v>
      </c>
      <c r="AS40" s="262">
        <f t="shared" si="14"/>
        <v>0</v>
      </c>
      <c r="AT40" s="266">
        <v>0</v>
      </c>
      <c r="AU40" s="260">
        <f t="shared" si="15"/>
        <v>0</v>
      </c>
      <c r="AV40" s="259">
        <v>0</v>
      </c>
      <c r="AW40" s="260">
        <f t="shared" si="16"/>
        <v>0</v>
      </c>
      <c r="AX40" s="261" t="s">
        <v>573</v>
      </c>
      <c r="AY40" s="260">
        <f t="shared" si="17"/>
        <v>0</v>
      </c>
      <c r="AZ40" s="259" t="s">
        <v>573</v>
      </c>
      <c r="BA40" s="260">
        <f t="shared" si="18"/>
        <v>0</v>
      </c>
      <c r="BB40" s="259" t="s">
        <v>573</v>
      </c>
      <c r="BC40" s="260">
        <f t="shared" si="19"/>
        <v>0</v>
      </c>
      <c r="BD40" s="259" t="s">
        <v>573</v>
      </c>
      <c r="BE40" s="260">
        <f t="shared" si="20"/>
        <v>0</v>
      </c>
      <c r="BF40" s="259" t="s">
        <v>573</v>
      </c>
      <c r="BG40" s="260">
        <f t="shared" si="21"/>
        <v>0</v>
      </c>
      <c r="BH40" s="259" t="s">
        <v>573</v>
      </c>
      <c r="BI40" s="260">
        <f t="shared" si="11"/>
        <v>0</v>
      </c>
      <c r="BJ40" s="58"/>
      <c r="BK40" s="220"/>
      <c r="BL40" s="213" t="s">
        <v>1347</v>
      </c>
      <c r="BM40" s="213" t="s">
        <v>695</v>
      </c>
    </row>
    <row r="41" spans="1:65" ht="15.75" customHeight="1">
      <c r="A41" s="213" t="s">
        <v>1437</v>
      </c>
      <c r="B41" s="58" t="s">
        <v>184</v>
      </c>
      <c r="C41" s="58" t="s">
        <v>752</v>
      </c>
      <c r="D41" s="214" t="s">
        <v>186</v>
      </c>
      <c r="E41" s="214" t="s">
        <v>186</v>
      </c>
      <c r="F41" s="215" t="s">
        <v>186</v>
      </c>
      <c r="G41" s="216">
        <v>2023</v>
      </c>
      <c r="H41" s="213" t="s">
        <v>1317</v>
      </c>
      <c r="I41" s="218" t="s">
        <v>196</v>
      </c>
      <c r="J41" s="217" t="s">
        <v>890</v>
      </c>
      <c r="K41" s="213" t="s">
        <v>758</v>
      </c>
      <c r="L41" s="213" t="s">
        <v>192</v>
      </c>
      <c r="M41" s="219" t="s">
        <v>1393</v>
      </c>
      <c r="N41" s="265">
        <v>6.75</v>
      </c>
      <c r="O41" s="265">
        <v>6.75</v>
      </c>
      <c r="P41" s="265">
        <v>6.75</v>
      </c>
      <c r="Q41" s="265">
        <v>6.75</v>
      </c>
      <c r="R41" s="265">
        <v>6.75</v>
      </c>
      <c r="S41" s="265">
        <v>6.75</v>
      </c>
      <c r="T41" s="265">
        <v>6.75</v>
      </c>
      <c r="U41" s="265">
        <v>6.75</v>
      </c>
      <c r="V41" s="265">
        <v>6.75</v>
      </c>
      <c r="W41" s="265">
        <v>6.75</v>
      </c>
      <c r="X41" s="265">
        <v>6.75</v>
      </c>
      <c r="Y41" s="265">
        <v>6.75</v>
      </c>
      <c r="Z41" s="265">
        <v>0.3</v>
      </c>
      <c r="AA41" s="265">
        <v>0.3</v>
      </c>
      <c r="AB41" s="265">
        <v>0.3</v>
      </c>
      <c r="AC41" s="265">
        <v>0.3</v>
      </c>
      <c r="AD41" s="265">
        <v>0.3</v>
      </c>
      <c r="AE41" s="265">
        <v>0.3</v>
      </c>
      <c r="AF41" s="265">
        <v>0.3</v>
      </c>
      <c r="AG41" s="265">
        <v>0.3</v>
      </c>
      <c r="AH41" s="265">
        <v>0.3</v>
      </c>
      <c r="AI41" s="265">
        <v>0.3</v>
      </c>
      <c r="AJ41" s="265">
        <v>0.3</v>
      </c>
      <c r="AK41" s="265">
        <v>0.3</v>
      </c>
      <c r="AL41" s="266" t="s">
        <v>573</v>
      </c>
      <c r="AM41" s="265">
        <f t="shared" si="12"/>
        <v>0</v>
      </c>
      <c r="AN41" s="266" t="s">
        <v>573</v>
      </c>
      <c r="AO41" s="265">
        <f t="shared" si="1"/>
        <v>0</v>
      </c>
      <c r="AP41" s="266">
        <v>0</v>
      </c>
      <c r="AQ41" s="265">
        <f t="shared" si="13"/>
        <v>0</v>
      </c>
      <c r="AR41" s="266">
        <v>0</v>
      </c>
      <c r="AS41" s="262">
        <f t="shared" si="14"/>
        <v>0</v>
      </c>
      <c r="AT41" s="266">
        <v>0</v>
      </c>
      <c r="AU41" s="260">
        <f t="shared" si="15"/>
        <v>0</v>
      </c>
      <c r="AV41" s="259">
        <v>0</v>
      </c>
      <c r="AW41" s="260">
        <f t="shared" si="16"/>
        <v>0</v>
      </c>
      <c r="AX41" s="261" t="s">
        <v>573</v>
      </c>
      <c r="AY41" s="260">
        <f t="shared" si="17"/>
        <v>0</v>
      </c>
      <c r="AZ41" s="259" t="s">
        <v>573</v>
      </c>
      <c r="BA41" s="260">
        <f t="shared" si="18"/>
        <v>0</v>
      </c>
      <c r="BB41" s="259" t="s">
        <v>573</v>
      </c>
      <c r="BC41" s="260">
        <f t="shared" si="19"/>
        <v>0</v>
      </c>
      <c r="BD41" s="259" t="s">
        <v>573</v>
      </c>
      <c r="BE41" s="260">
        <f t="shared" si="20"/>
        <v>0</v>
      </c>
      <c r="BF41" s="259" t="s">
        <v>573</v>
      </c>
      <c r="BG41" s="260">
        <f t="shared" si="21"/>
        <v>0</v>
      </c>
      <c r="BH41" s="259" t="s">
        <v>573</v>
      </c>
      <c r="BI41" s="260">
        <f t="shared" si="11"/>
        <v>0</v>
      </c>
      <c r="BJ41" s="58"/>
      <c r="BK41" s="220"/>
      <c r="BL41" s="213" t="s">
        <v>1347</v>
      </c>
      <c r="BM41" s="213" t="s">
        <v>695</v>
      </c>
    </row>
    <row r="42" spans="1:65" ht="15.75" customHeight="1">
      <c r="A42" s="213" t="s">
        <v>1437</v>
      </c>
      <c r="B42" s="58" t="s">
        <v>184</v>
      </c>
      <c r="C42" s="58" t="s">
        <v>752</v>
      </c>
      <c r="D42" s="214" t="s">
        <v>186</v>
      </c>
      <c r="E42" s="214" t="s">
        <v>186</v>
      </c>
      <c r="F42" s="215" t="s">
        <v>186</v>
      </c>
      <c r="G42" s="216">
        <v>2023</v>
      </c>
      <c r="H42" s="213" t="s">
        <v>1317</v>
      </c>
      <c r="I42" s="218" t="s">
        <v>196</v>
      </c>
      <c r="J42" s="217" t="s">
        <v>890</v>
      </c>
      <c r="K42" s="213" t="s">
        <v>758</v>
      </c>
      <c r="L42" s="213" t="s">
        <v>192</v>
      </c>
      <c r="M42" s="219" t="s">
        <v>1394</v>
      </c>
      <c r="N42" s="265">
        <v>6.75</v>
      </c>
      <c r="O42" s="265">
        <v>6.75</v>
      </c>
      <c r="P42" s="265">
        <v>6.75</v>
      </c>
      <c r="Q42" s="265">
        <v>6.75</v>
      </c>
      <c r="R42" s="265">
        <v>6.75</v>
      </c>
      <c r="S42" s="265">
        <v>6.75</v>
      </c>
      <c r="T42" s="265">
        <v>6.75</v>
      </c>
      <c r="U42" s="265">
        <v>6.75</v>
      </c>
      <c r="V42" s="265">
        <v>6.75</v>
      </c>
      <c r="W42" s="265">
        <v>6.75</v>
      </c>
      <c r="X42" s="265">
        <v>6.75</v>
      </c>
      <c r="Y42" s="265">
        <v>6.75</v>
      </c>
      <c r="Z42" s="265">
        <v>0.3</v>
      </c>
      <c r="AA42" s="265">
        <v>0.3</v>
      </c>
      <c r="AB42" s="265">
        <v>0.3</v>
      </c>
      <c r="AC42" s="265">
        <v>0.3</v>
      </c>
      <c r="AD42" s="265">
        <v>0.3</v>
      </c>
      <c r="AE42" s="265">
        <v>0.3</v>
      </c>
      <c r="AF42" s="265">
        <v>0.3</v>
      </c>
      <c r="AG42" s="265">
        <v>0.3</v>
      </c>
      <c r="AH42" s="265">
        <v>0.3</v>
      </c>
      <c r="AI42" s="265">
        <v>0.3</v>
      </c>
      <c r="AJ42" s="265">
        <v>0.3</v>
      </c>
      <c r="AK42" s="265">
        <v>0.3</v>
      </c>
      <c r="AL42" s="266" t="s">
        <v>573</v>
      </c>
      <c r="AM42" s="265">
        <f t="shared" si="12"/>
        <v>0</v>
      </c>
      <c r="AN42" s="266" t="s">
        <v>573</v>
      </c>
      <c r="AO42" s="265">
        <f t="shared" si="1"/>
        <v>0</v>
      </c>
      <c r="AP42" s="266">
        <v>0</v>
      </c>
      <c r="AQ42" s="265">
        <f t="shared" si="13"/>
        <v>0</v>
      </c>
      <c r="AR42" s="266">
        <v>0</v>
      </c>
      <c r="AS42" s="262">
        <f t="shared" si="14"/>
        <v>0</v>
      </c>
      <c r="AT42" s="266">
        <v>0</v>
      </c>
      <c r="AU42" s="260">
        <f t="shared" si="15"/>
        <v>0</v>
      </c>
      <c r="AV42" s="259">
        <v>0</v>
      </c>
      <c r="AW42" s="260">
        <f t="shared" si="16"/>
        <v>0</v>
      </c>
      <c r="AX42" s="261" t="s">
        <v>573</v>
      </c>
      <c r="AY42" s="260">
        <f t="shared" si="17"/>
        <v>0</v>
      </c>
      <c r="AZ42" s="259" t="s">
        <v>573</v>
      </c>
      <c r="BA42" s="260">
        <f t="shared" si="18"/>
        <v>0</v>
      </c>
      <c r="BB42" s="259" t="s">
        <v>573</v>
      </c>
      <c r="BC42" s="260">
        <f t="shared" si="19"/>
        <v>0</v>
      </c>
      <c r="BD42" s="259" t="s">
        <v>573</v>
      </c>
      <c r="BE42" s="260">
        <f t="shared" si="20"/>
        <v>0</v>
      </c>
      <c r="BF42" s="259" t="s">
        <v>573</v>
      </c>
      <c r="BG42" s="260">
        <f t="shared" si="21"/>
        <v>0</v>
      </c>
      <c r="BH42" s="259" t="s">
        <v>573</v>
      </c>
      <c r="BI42" s="260">
        <f t="shared" si="11"/>
        <v>0</v>
      </c>
      <c r="BJ42" s="58"/>
      <c r="BK42" s="220"/>
      <c r="BL42" s="213" t="s">
        <v>1347</v>
      </c>
      <c r="BM42" s="213" t="s">
        <v>695</v>
      </c>
    </row>
    <row r="43" spans="1:65" ht="15.75" customHeight="1">
      <c r="A43" s="213" t="s">
        <v>1437</v>
      </c>
      <c r="B43" s="58" t="s">
        <v>184</v>
      </c>
      <c r="C43" s="58" t="s">
        <v>752</v>
      </c>
      <c r="D43" s="214" t="s">
        <v>186</v>
      </c>
      <c r="E43" s="214" t="s">
        <v>186</v>
      </c>
      <c r="F43" s="215" t="s">
        <v>186</v>
      </c>
      <c r="G43" s="216">
        <v>2023</v>
      </c>
      <c r="H43" s="213" t="s">
        <v>1317</v>
      </c>
      <c r="I43" s="218" t="s">
        <v>196</v>
      </c>
      <c r="J43" s="217" t="s">
        <v>890</v>
      </c>
      <c r="K43" s="213" t="s">
        <v>758</v>
      </c>
      <c r="L43" s="213" t="s">
        <v>192</v>
      </c>
      <c r="M43" s="219" t="s">
        <v>1395</v>
      </c>
      <c r="N43" s="265">
        <v>6.75</v>
      </c>
      <c r="O43" s="265">
        <v>6.75</v>
      </c>
      <c r="P43" s="265">
        <v>6.75</v>
      </c>
      <c r="Q43" s="265">
        <v>6.75</v>
      </c>
      <c r="R43" s="265">
        <v>6.75</v>
      </c>
      <c r="S43" s="265">
        <v>6.75</v>
      </c>
      <c r="T43" s="265">
        <v>6.75</v>
      </c>
      <c r="U43" s="265">
        <v>6.75</v>
      </c>
      <c r="V43" s="265">
        <v>6.75</v>
      </c>
      <c r="W43" s="265">
        <v>6.75</v>
      </c>
      <c r="X43" s="265">
        <v>6.75</v>
      </c>
      <c r="Y43" s="265">
        <v>6.75</v>
      </c>
      <c r="Z43" s="265">
        <v>0.3</v>
      </c>
      <c r="AA43" s="265">
        <v>0.3</v>
      </c>
      <c r="AB43" s="265">
        <v>0.3</v>
      </c>
      <c r="AC43" s="265">
        <v>0.3</v>
      </c>
      <c r="AD43" s="265">
        <v>0.3</v>
      </c>
      <c r="AE43" s="265">
        <v>0.3</v>
      </c>
      <c r="AF43" s="265">
        <v>0.3</v>
      </c>
      <c r="AG43" s="265">
        <v>0.3</v>
      </c>
      <c r="AH43" s="265">
        <v>0.3</v>
      </c>
      <c r="AI43" s="265">
        <v>0.3</v>
      </c>
      <c r="AJ43" s="265">
        <v>0.3</v>
      </c>
      <c r="AK43" s="265">
        <v>0.3</v>
      </c>
      <c r="AL43" s="266" t="s">
        <v>573</v>
      </c>
      <c r="AM43" s="265">
        <f t="shared" si="12"/>
        <v>0</v>
      </c>
      <c r="AN43" s="266" t="s">
        <v>573</v>
      </c>
      <c r="AO43" s="265">
        <f t="shared" si="1"/>
        <v>0</v>
      </c>
      <c r="AP43" s="266">
        <v>0</v>
      </c>
      <c r="AQ43" s="265">
        <f t="shared" si="13"/>
        <v>0</v>
      </c>
      <c r="AR43" s="266">
        <v>0</v>
      </c>
      <c r="AS43" s="262">
        <f t="shared" si="14"/>
        <v>0</v>
      </c>
      <c r="AT43" s="266">
        <v>0</v>
      </c>
      <c r="AU43" s="260">
        <f t="shared" si="15"/>
        <v>0</v>
      </c>
      <c r="AV43" s="259">
        <v>0</v>
      </c>
      <c r="AW43" s="260">
        <f t="shared" si="16"/>
        <v>0</v>
      </c>
      <c r="AX43" s="261" t="s">
        <v>573</v>
      </c>
      <c r="AY43" s="260">
        <f t="shared" si="17"/>
        <v>0</v>
      </c>
      <c r="AZ43" s="259" t="s">
        <v>573</v>
      </c>
      <c r="BA43" s="260">
        <f t="shared" si="18"/>
        <v>0</v>
      </c>
      <c r="BB43" s="259" t="s">
        <v>573</v>
      </c>
      <c r="BC43" s="260">
        <f t="shared" si="19"/>
        <v>0</v>
      </c>
      <c r="BD43" s="259" t="s">
        <v>573</v>
      </c>
      <c r="BE43" s="260">
        <f t="shared" si="20"/>
        <v>0</v>
      </c>
      <c r="BF43" s="259" t="s">
        <v>573</v>
      </c>
      <c r="BG43" s="260">
        <f t="shared" si="21"/>
        <v>0</v>
      </c>
      <c r="BH43" s="259" t="s">
        <v>573</v>
      </c>
      <c r="BI43" s="260">
        <f t="shared" si="11"/>
        <v>0</v>
      </c>
      <c r="BJ43" s="58"/>
      <c r="BK43" s="220"/>
      <c r="BL43" s="213" t="s">
        <v>1347</v>
      </c>
      <c r="BM43" s="213" t="s">
        <v>695</v>
      </c>
    </row>
    <row r="44" spans="1:65" ht="15.75" customHeight="1">
      <c r="A44" s="213" t="s">
        <v>1437</v>
      </c>
      <c r="B44" s="58" t="s">
        <v>184</v>
      </c>
      <c r="C44" s="58" t="s">
        <v>752</v>
      </c>
      <c r="D44" s="214" t="s">
        <v>186</v>
      </c>
      <c r="E44" s="214" t="s">
        <v>186</v>
      </c>
      <c r="F44" s="215" t="s">
        <v>186</v>
      </c>
      <c r="G44" s="216">
        <v>2023</v>
      </c>
      <c r="H44" s="213" t="s">
        <v>1317</v>
      </c>
      <c r="I44" s="218" t="s">
        <v>196</v>
      </c>
      <c r="J44" s="217" t="s">
        <v>890</v>
      </c>
      <c r="K44" s="213" t="s">
        <v>758</v>
      </c>
      <c r="L44" s="213" t="s">
        <v>192</v>
      </c>
      <c r="M44" s="219" t="s">
        <v>1392</v>
      </c>
      <c r="N44" s="265">
        <v>6.75</v>
      </c>
      <c r="O44" s="265">
        <v>6.75</v>
      </c>
      <c r="P44" s="265">
        <v>6.75</v>
      </c>
      <c r="Q44" s="265">
        <v>6.75</v>
      </c>
      <c r="R44" s="265">
        <v>6.75</v>
      </c>
      <c r="S44" s="265">
        <v>6.75</v>
      </c>
      <c r="T44" s="265">
        <v>6.75</v>
      </c>
      <c r="U44" s="265">
        <v>6.75</v>
      </c>
      <c r="V44" s="265">
        <v>6.75</v>
      </c>
      <c r="W44" s="265">
        <v>6.75</v>
      </c>
      <c r="X44" s="265">
        <v>6.75</v>
      </c>
      <c r="Y44" s="265">
        <v>6.75</v>
      </c>
      <c r="Z44" s="265">
        <v>0.3</v>
      </c>
      <c r="AA44" s="265">
        <v>0.3</v>
      </c>
      <c r="AB44" s="265">
        <v>0.3</v>
      </c>
      <c r="AC44" s="265">
        <v>0.3</v>
      </c>
      <c r="AD44" s="265">
        <v>0.3</v>
      </c>
      <c r="AE44" s="265">
        <v>0.3</v>
      </c>
      <c r="AF44" s="265">
        <v>0.3</v>
      </c>
      <c r="AG44" s="265">
        <v>0.3</v>
      </c>
      <c r="AH44" s="265">
        <v>0.3</v>
      </c>
      <c r="AI44" s="265">
        <v>0.3</v>
      </c>
      <c r="AJ44" s="265">
        <v>0.3</v>
      </c>
      <c r="AK44" s="265">
        <v>0.3</v>
      </c>
      <c r="AL44" s="266" t="s">
        <v>573</v>
      </c>
      <c r="AM44" s="265">
        <f t="shared" si="12"/>
        <v>0</v>
      </c>
      <c r="AN44" s="266" t="s">
        <v>573</v>
      </c>
      <c r="AO44" s="265">
        <f t="shared" si="1"/>
        <v>0</v>
      </c>
      <c r="AP44" s="266">
        <v>0</v>
      </c>
      <c r="AQ44" s="265">
        <f t="shared" si="13"/>
        <v>0</v>
      </c>
      <c r="AR44" s="266">
        <v>0</v>
      </c>
      <c r="AS44" s="262">
        <f t="shared" si="14"/>
        <v>0</v>
      </c>
      <c r="AT44" s="266">
        <v>0</v>
      </c>
      <c r="AU44" s="260">
        <f t="shared" si="15"/>
        <v>0</v>
      </c>
      <c r="AV44" s="259">
        <v>0</v>
      </c>
      <c r="AW44" s="260">
        <f t="shared" si="16"/>
        <v>0</v>
      </c>
      <c r="AX44" s="261" t="s">
        <v>573</v>
      </c>
      <c r="AY44" s="260">
        <f t="shared" si="17"/>
        <v>0</v>
      </c>
      <c r="AZ44" s="259" t="s">
        <v>573</v>
      </c>
      <c r="BA44" s="260">
        <f t="shared" si="18"/>
        <v>0</v>
      </c>
      <c r="BB44" s="259" t="s">
        <v>573</v>
      </c>
      <c r="BC44" s="260">
        <f t="shared" si="19"/>
        <v>0</v>
      </c>
      <c r="BD44" s="259" t="s">
        <v>573</v>
      </c>
      <c r="BE44" s="260">
        <f t="shared" si="20"/>
        <v>0</v>
      </c>
      <c r="BF44" s="259" t="s">
        <v>573</v>
      </c>
      <c r="BG44" s="260">
        <f t="shared" si="21"/>
        <v>0</v>
      </c>
      <c r="BH44" s="259" t="s">
        <v>573</v>
      </c>
      <c r="BI44" s="260">
        <f t="shared" si="11"/>
        <v>0</v>
      </c>
      <c r="BJ44" s="58"/>
      <c r="BK44" s="220"/>
      <c r="BL44" s="213" t="s">
        <v>1347</v>
      </c>
      <c r="BM44" s="213" t="s">
        <v>694</v>
      </c>
    </row>
    <row r="45" spans="1:65" ht="15.75" customHeight="1">
      <c r="A45" s="213" t="s">
        <v>1437</v>
      </c>
      <c r="B45" s="58" t="s">
        <v>184</v>
      </c>
      <c r="C45" s="58" t="s">
        <v>752</v>
      </c>
      <c r="D45" s="214" t="s">
        <v>186</v>
      </c>
      <c r="E45" s="214" t="s">
        <v>186</v>
      </c>
      <c r="F45" s="215" t="s">
        <v>186</v>
      </c>
      <c r="G45" s="216">
        <v>2023</v>
      </c>
      <c r="H45" s="213" t="s">
        <v>1317</v>
      </c>
      <c r="I45" s="218" t="s">
        <v>196</v>
      </c>
      <c r="J45" s="217" t="s">
        <v>890</v>
      </c>
      <c r="K45" s="213" t="s">
        <v>758</v>
      </c>
      <c r="L45" s="213" t="s">
        <v>192</v>
      </c>
      <c r="M45" s="219" t="s">
        <v>1393</v>
      </c>
      <c r="N45" s="265">
        <v>6.75</v>
      </c>
      <c r="O45" s="265">
        <v>6.75</v>
      </c>
      <c r="P45" s="265">
        <v>6.75</v>
      </c>
      <c r="Q45" s="265">
        <v>6.75</v>
      </c>
      <c r="R45" s="265">
        <v>6.75</v>
      </c>
      <c r="S45" s="265">
        <v>6.75</v>
      </c>
      <c r="T45" s="265">
        <v>6.75</v>
      </c>
      <c r="U45" s="265">
        <v>6.75</v>
      </c>
      <c r="V45" s="265">
        <v>6.75</v>
      </c>
      <c r="W45" s="265">
        <v>6.75</v>
      </c>
      <c r="X45" s="265">
        <v>6.75</v>
      </c>
      <c r="Y45" s="265">
        <v>6.75</v>
      </c>
      <c r="Z45" s="265">
        <v>0.3</v>
      </c>
      <c r="AA45" s="265">
        <v>0.3</v>
      </c>
      <c r="AB45" s="265">
        <v>0.3</v>
      </c>
      <c r="AC45" s="265">
        <v>0.3</v>
      </c>
      <c r="AD45" s="265">
        <v>0.3</v>
      </c>
      <c r="AE45" s="265">
        <v>0.3</v>
      </c>
      <c r="AF45" s="265">
        <v>0.3</v>
      </c>
      <c r="AG45" s="265">
        <v>0.3</v>
      </c>
      <c r="AH45" s="265">
        <v>0.3</v>
      </c>
      <c r="AI45" s="265">
        <v>0.3</v>
      </c>
      <c r="AJ45" s="265">
        <v>0.3</v>
      </c>
      <c r="AK45" s="265">
        <v>0.3</v>
      </c>
      <c r="AL45" s="266" t="s">
        <v>573</v>
      </c>
      <c r="AM45" s="265">
        <f t="shared" si="12"/>
        <v>0</v>
      </c>
      <c r="AN45" s="266" t="s">
        <v>573</v>
      </c>
      <c r="AO45" s="265">
        <f t="shared" si="1"/>
        <v>0</v>
      </c>
      <c r="AP45" s="266">
        <v>0</v>
      </c>
      <c r="AQ45" s="265">
        <f t="shared" si="13"/>
        <v>0</v>
      </c>
      <c r="AR45" s="266">
        <v>0</v>
      </c>
      <c r="AS45" s="262">
        <f t="shared" si="14"/>
        <v>0</v>
      </c>
      <c r="AT45" s="266">
        <v>0</v>
      </c>
      <c r="AU45" s="260">
        <f t="shared" si="15"/>
        <v>0</v>
      </c>
      <c r="AV45" s="259">
        <v>0</v>
      </c>
      <c r="AW45" s="260">
        <f t="shared" si="16"/>
        <v>0</v>
      </c>
      <c r="AX45" s="261" t="s">
        <v>573</v>
      </c>
      <c r="AY45" s="260">
        <f t="shared" si="17"/>
        <v>0</v>
      </c>
      <c r="AZ45" s="259" t="s">
        <v>573</v>
      </c>
      <c r="BA45" s="260">
        <f t="shared" si="18"/>
        <v>0</v>
      </c>
      <c r="BB45" s="259" t="s">
        <v>573</v>
      </c>
      <c r="BC45" s="260">
        <f t="shared" si="19"/>
        <v>0</v>
      </c>
      <c r="BD45" s="259" t="s">
        <v>573</v>
      </c>
      <c r="BE45" s="260">
        <f t="shared" si="20"/>
        <v>0</v>
      </c>
      <c r="BF45" s="259" t="s">
        <v>573</v>
      </c>
      <c r="BG45" s="260">
        <f t="shared" si="21"/>
        <v>0</v>
      </c>
      <c r="BH45" s="259" t="s">
        <v>573</v>
      </c>
      <c r="BI45" s="260">
        <f t="shared" si="11"/>
        <v>0</v>
      </c>
      <c r="BJ45" s="58"/>
      <c r="BK45" s="220"/>
      <c r="BL45" s="213" t="s">
        <v>1347</v>
      </c>
      <c r="BM45" s="213" t="s">
        <v>694</v>
      </c>
    </row>
    <row r="46" spans="1:65" ht="15.75" customHeight="1">
      <c r="A46" s="213" t="s">
        <v>1437</v>
      </c>
      <c r="B46" s="58" t="s">
        <v>184</v>
      </c>
      <c r="C46" s="58" t="s">
        <v>752</v>
      </c>
      <c r="D46" s="214" t="s">
        <v>186</v>
      </c>
      <c r="E46" s="214" t="s">
        <v>186</v>
      </c>
      <c r="F46" s="215" t="s">
        <v>186</v>
      </c>
      <c r="G46" s="216">
        <v>2023</v>
      </c>
      <c r="H46" s="213" t="s">
        <v>1317</v>
      </c>
      <c r="I46" s="218" t="s">
        <v>196</v>
      </c>
      <c r="J46" s="217" t="s">
        <v>890</v>
      </c>
      <c r="K46" s="213" t="s">
        <v>758</v>
      </c>
      <c r="L46" s="213" t="s">
        <v>192</v>
      </c>
      <c r="M46" s="219" t="s">
        <v>1394</v>
      </c>
      <c r="N46" s="265">
        <v>6.75</v>
      </c>
      <c r="O46" s="265">
        <v>6.75</v>
      </c>
      <c r="P46" s="265">
        <v>6.75</v>
      </c>
      <c r="Q46" s="265">
        <v>6.75</v>
      </c>
      <c r="R46" s="265">
        <v>6.75</v>
      </c>
      <c r="S46" s="265">
        <v>6.75</v>
      </c>
      <c r="T46" s="265">
        <v>6.75</v>
      </c>
      <c r="U46" s="265">
        <v>6.75</v>
      </c>
      <c r="V46" s="265">
        <v>6.75</v>
      </c>
      <c r="W46" s="265">
        <v>6.75</v>
      </c>
      <c r="X46" s="265">
        <v>6.75</v>
      </c>
      <c r="Y46" s="265">
        <v>6.75</v>
      </c>
      <c r="Z46" s="265">
        <v>0.3</v>
      </c>
      <c r="AA46" s="265">
        <v>0.3</v>
      </c>
      <c r="AB46" s="265">
        <v>0.3</v>
      </c>
      <c r="AC46" s="265">
        <v>0.3</v>
      </c>
      <c r="AD46" s="265">
        <v>0.3</v>
      </c>
      <c r="AE46" s="265">
        <v>0.3</v>
      </c>
      <c r="AF46" s="265">
        <v>0.3</v>
      </c>
      <c r="AG46" s="265">
        <v>0.3</v>
      </c>
      <c r="AH46" s="265">
        <v>0.3</v>
      </c>
      <c r="AI46" s="265">
        <v>0.3</v>
      </c>
      <c r="AJ46" s="265">
        <v>0.3</v>
      </c>
      <c r="AK46" s="265">
        <v>0.3</v>
      </c>
      <c r="AL46" s="266" t="s">
        <v>573</v>
      </c>
      <c r="AM46" s="265">
        <f t="shared" si="12"/>
        <v>0</v>
      </c>
      <c r="AN46" s="266" t="s">
        <v>573</v>
      </c>
      <c r="AO46" s="265">
        <f t="shared" si="1"/>
        <v>0</v>
      </c>
      <c r="AP46" s="266">
        <v>0</v>
      </c>
      <c r="AQ46" s="265">
        <f t="shared" si="13"/>
        <v>0</v>
      </c>
      <c r="AR46" s="266">
        <v>0</v>
      </c>
      <c r="AS46" s="262">
        <f t="shared" si="14"/>
        <v>0</v>
      </c>
      <c r="AT46" s="266">
        <v>0</v>
      </c>
      <c r="AU46" s="260">
        <f t="shared" si="15"/>
        <v>0</v>
      </c>
      <c r="AV46" s="259">
        <v>0</v>
      </c>
      <c r="AW46" s="260">
        <f t="shared" si="16"/>
        <v>0</v>
      </c>
      <c r="AX46" s="261" t="s">
        <v>573</v>
      </c>
      <c r="AY46" s="260">
        <f t="shared" si="17"/>
        <v>0</v>
      </c>
      <c r="AZ46" s="259" t="s">
        <v>573</v>
      </c>
      <c r="BA46" s="260">
        <f t="shared" si="18"/>
        <v>0</v>
      </c>
      <c r="BB46" s="259" t="s">
        <v>573</v>
      </c>
      <c r="BC46" s="260">
        <f t="shared" si="19"/>
        <v>0</v>
      </c>
      <c r="BD46" s="259" t="s">
        <v>573</v>
      </c>
      <c r="BE46" s="260">
        <f t="shared" si="20"/>
        <v>0</v>
      </c>
      <c r="BF46" s="259" t="s">
        <v>573</v>
      </c>
      <c r="BG46" s="260">
        <f t="shared" si="21"/>
        <v>0</v>
      </c>
      <c r="BH46" s="259" t="s">
        <v>573</v>
      </c>
      <c r="BI46" s="260">
        <f t="shared" si="11"/>
        <v>0</v>
      </c>
      <c r="BJ46" s="58"/>
      <c r="BK46" s="220"/>
      <c r="BL46" s="213" t="s">
        <v>1347</v>
      </c>
      <c r="BM46" s="213" t="s">
        <v>694</v>
      </c>
    </row>
    <row r="47" spans="1:65" ht="15.75" customHeight="1">
      <c r="A47" s="213" t="s">
        <v>1437</v>
      </c>
      <c r="B47" s="58" t="s">
        <v>184</v>
      </c>
      <c r="C47" s="58" t="s">
        <v>752</v>
      </c>
      <c r="D47" s="214" t="s">
        <v>186</v>
      </c>
      <c r="E47" s="214" t="s">
        <v>186</v>
      </c>
      <c r="F47" s="215" t="s">
        <v>186</v>
      </c>
      <c r="G47" s="216">
        <v>2023</v>
      </c>
      <c r="H47" s="213" t="s">
        <v>1317</v>
      </c>
      <c r="I47" s="218" t="s">
        <v>196</v>
      </c>
      <c r="J47" s="217" t="s">
        <v>890</v>
      </c>
      <c r="K47" s="213" t="s">
        <v>758</v>
      </c>
      <c r="L47" s="213" t="s">
        <v>192</v>
      </c>
      <c r="M47" s="219" t="s">
        <v>1395</v>
      </c>
      <c r="N47" s="265">
        <v>6.75</v>
      </c>
      <c r="O47" s="265">
        <v>6.75</v>
      </c>
      <c r="P47" s="265">
        <v>6.75</v>
      </c>
      <c r="Q47" s="265">
        <v>6.75</v>
      </c>
      <c r="R47" s="265">
        <v>6.75</v>
      </c>
      <c r="S47" s="265">
        <v>6.75</v>
      </c>
      <c r="T47" s="265">
        <v>6.75</v>
      </c>
      <c r="U47" s="265">
        <v>6.75</v>
      </c>
      <c r="V47" s="265">
        <v>6.75</v>
      </c>
      <c r="W47" s="265">
        <v>6.75</v>
      </c>
      <c r="X47" s="265">
        <v>6.75</v>
      </c>
      <c r="Y47" s="265">
        <v>6.75</v>
      </c>
      <c r="Z47" s="265">
        <v>0.3</v>
      </c>
      <c r="AA47" s="265">
        <v>0.3</v>
      </c>
      <c r="AB47" s="265">
        <v>0.3</v>
      </c>
      <c r="AC47" s="265">
        <v>0.3</v>
      </c>
      <c r="AD47" s="265">
        <v>0.3</v>
      </c>
      <c r="AE47" s="265">
        <v>0.3</v>
      </c>
      <c r="AF47" s="265">
        <v>0.3</v>
      </c>
      <c r="AG47" s="265">
        <v>0.3</v>
      </c>
      <c r="AH47" s="265">
        <v>0.3</v>
      </c>
      <c r="AI47" s="265">
        <v>0.3</v>
      </c>
      <c r="AJ47" s="265">
        <v>0.3</v>
      </c>
      <c r="AK47" s="265">
        <v>0.3</v>
      </c>
      <c r="AL47" s="266" t="s">
        <v>573</v>
      </c>
      <c r="AM47" s="265">
        <f t="shared" si="12"/>
        <v>0</v>
      </c>
      <c r="AN47" s="266" t="s">
        <v>573</v>
      </c>
      <c r="AO47" s="265">
        <f t="shared" si="1"/>
        <v>0</v>
      </c>
      <c r="AP47" s="266">
        <v>0</v>
      </c>
      <c r="AQ47" s="265">
        <f t="shared" si="13"/>
        <v>0</v>
      </c>
      <c r="AR47" s="266">
        <v>0</v>
      </c>
      <c r="AS47" s="262">
        <f t="shared" si="14"/>
        <v>0</v>
      </c>
      <c r="AT47" s="266">
        <v>0</v>
      </c>
      <c r="AU47" s="260">
        <f t="shared" si="15"/>
        <v>0</v>
      </c>
      <c r="AV47" s="259">
        <v>0</v>
      </c>
      <c r="AW47" s="260">
        <f t="shared" si="16"/>
        <v>0</v>
      </c>
      <c r="AX47" s="261" t="s">
        <v>573</v>
      </c>
      <c r="AY47" s="260">
        <f t="shared" si="17"/>
        <v>0</v>
      </c>
      <c r="AZ47" s="259" t="s">
        <v>573</v>
      </c>
      <c r="BA47" s="260">
        <f t="shared" si="18"/>
        <v>0</v>
      </c>
      <c r="BB47" s="259" t="s">
        <v>573</v>
      </c>
      <c r="BC47" s="260">
        <f t="shared" si="19"/>
        <v>0</v>
      </c>
      <c r="BD47" s="259" t="s">
        <v>573</v>
      </c>
      <c r="BE47" s="260">
        <f t="shared" si="20"/>
        <v>0</v>
      </c>
      <c r="BF47" s="259" t="s">
        <v>573</v>
      </c>
      <c r="BG47" s="260">
        <f t="shared" si="21"/>
        <v>0</v>
      </c>
      <c r="BH47" s="259" t="s">
        <v>573</v>
      </c>
      <c r="BI47" s="260">
        <f t="shared" si="11"/>
        <v>0</v>
      </c>
      <c r="BJ47" s="58"/>
      <c r="BK47" s="220"/>
      <c r="BL47" s="213" t="s">
        <v>1347</v>
      </c>
      <c r="BM47" s="213" t="s">
        <v>694</v>
      </c>
    </row>
    <row r="48" spans="1:65" ht="15.75" customHeight="1">
      <c r="A48" s="213" t="s">
        <v>1437</v>
      </c>
      <c r="B48" s="58" t="s">
        <v>184</v>
      </c>
      <c r="C48" s="58" t="s">
        <v>752</v>
      </c>
      <c r="D48" s="214" t="s">
        <v>186</v>
      </c>
      <c r="E48" s="214" t="s">
        <v>186</v>
      </c>
      <c r="F48" s="215" t="s">
        <v>186</v>
      </c>
      <c r="G48" s="216">
        <v>2023</v>
      </c>
      <c r="H48" s="213" t="s">
        <v>1317</v>
      </c>
      <c r="I48" s="218" t="s">
        <v>196</v>
      </c>
      <c r="J48" s="217" t="s">
        <v>890</v>
      </c>
      <c r="K48" s="213" t="s">
        <v>758</v>
      </c>
      <c r="L48" s="213" t="s">
        <v>192</v>
      </c>
      <c r="M48" s="219" t="s">
        <v>1392</v>
      </c>
      <c r="N48" s="265">
        <v>6.75</v>
      </c>
      <c r="O48" s="265">
        <v>6.75</v>
      </c>
      <c r="P48" s="265">
        <v>6.75</v>
      </c>
      <c r="Q48" s="265">
        <v>6.75</v>
      </c>
      <c r="R48" s="265">
        <v>6.75</v>
      </c>
      <c r="S48" s="265">
        <v>6.75</v>
      </c>
      <c r="T48" s="265">
        <v>6.75</v>
      </c>
      <c r="U48" s="265">
        <v>6.75</v>
      </c>
      <c r="V48" s="265">
        <v>6.75</v>
      </c>
      <c r="W48" s="265">
        <v>6.75</v>
      </c>
      <c r="X48" s="265">
        <v>6.75</v>
      </c>
      <c r="Y48" s="265">
        <v>6.75</v>
      </c>
      <c r="Z48" s="265">
        <v>0.3</v>
      </c>
      <c r="AA48" s="265">
        <v>0.3</v>
      </c>
      <c r="AB48" s="265">
        <v>0.3</v>
      </c>
      <c r="AC48" s="265">
        <v>0.3</v>
      </c>
      <c r="AD48" s="265">
        <v>0.3</v>
      </c>
      <c r="AE48" s="265">
        <v>0.3</v>
      </c>
      <c r="AF48" s="265">
        <v>0.3</v>
      </c>
      <c r="AG48" s="265">
        <v>0.3</v>
      </c>
      <c r="AH48" s="265">
        <v>0.3</v>
      </c>
      <c r="AI48" s="265">
        <v>0.3</v>
      </c>
      <c r="AJ48" s="265">
        <v>0.3</v>
      </c>
      <c r="AK48" s="265">
        <v>0.3</v>
      </c>
      <c r="AL48" s="266" t="s">
        <v>573</v>
      </c>
      <c r="AM48" s="265">
        <f t="shared" si="12"/>
        <v>0</v>
      </c>
      <c r="AN48" s="266" t="s">
        <v>573</v>
      </c>
      <c r="AO48" s="265">
        <f t="shared" si="1"/>
        <v>0</v>
      </c>
      <c r="AP48" s="266">
        <v>0</v>
      </c>
      <c r="AQ48" s="265">
        <f t="shared" si="13"/>
        <v>0</v>
      </c>
      <c r="AR48" s="266">
        <v>0</v>
      </c>
      <c r="AS48" s="262">
        <f t="shared" si="14"/>
        <v>0</v>
      </c>
      <c r="AT48" s="266">
        <v>0</v>
      </c>
      <c r="AU48" s="260">
        <f t="shared" si="15"/>
        <v>0</v>
      </c>
      <c r="AV48" s="259">
        <v>0</v>
      </c>
      <c r="AW48" s="260">
        <f t="shared" si="16"/>
        <v>0</v>
      </c>
      <c r="AX48" s="261" t="s">
        <v>573</v>
      </c>
      <c r="AY48" s="260">
        <f t="shared" si="17"/>
        <v>0</v>
      </c>
      <c r="AZ48" s="259" t="s">
        <v>573</v>
      </c>
      <c r="BA48" s="260">
        <f t="shared" si="18"/>
        <v>0</v>
      </c>
      <c r="BB48" s="259" t="s">
        <v>573</v>
      </c>
      <c r="BC48" s="260">
        <f t="shared" si="19"/>
        <v>0</v>
      </c>
      <c r="BD48" s="259" t="s">
        <v>573</v>
      </c>
      <c r="BE48" s="260">
        <f t="shared" si="20"/>
        <v>0</v>
      </c>
      <c r="BF48" s="259" t="s">
        <v>573</v>
      </c>
      <c r="BG48" s="260">
        <f t="shared" si="21"/>
        <v>0</v>
      </c>
      <c r="BH48" s="259" t="s">
        <v>573</v>
      </c>
      <c r="BI48" s="260">
        <f t="shared" si="11"/>
        <v>0</v>
      </c>
      <c r="BJ48" s="58"/>
      <c r="BK48" s="220"/>
      <c r="BL48" s="213" t="s">
        <v>1347</v>
      </c>
      <c r="BM48" s="213" t="s">
        <v>693</v>
      </c>
    </row>
    <row r="49" spans="1:65" ht="15.75" customHeight="1">
      <c r="A49" s="213" t="s">
        <v>1437</v>
      </c>
      <c r="B49" s="58" t="s">
        <v>184</v>
      </c>
      <c r="C49" s="58" t="s">
        <v>752</v>
      </c>
      <c r="D49" s="214" t="s">
        <v>186</v>
      </c>
      <c r="E49" s="214" t="s">
        <v>186</v>
      </c>
      <c r="F49" s="215" t="s">
        <v>186</v>
      </c>
      <c r="G49" s="216">
        <v>2023</v>
      </c>
      <c r="H49" s="213" t="s">
        <v>1317</v>
      </c>
      <c r="I49" s="218" t="s">
        <v>196</v>
      </c>
      <c r="J49" s="217" t="s">
        <v>890</v>
      </c>
      <c r="K49" s="213" t="s">
        <v>330</v>
      </c>
      <c r="L49" s="213" t="s">
        <v>192</v>
      </c>
      <c r="M49" s="219" t="s">
        <v>1393</v>
      </c>
      <c r="N49" s="265">
        <v>6.75</v>
      </c>
      <c r="O49" s="265">
        <v>6.75</v>
      </c>
      <c r="P49" s="265">
        <v>6.75</v>
      </c>
      <c r="Q49" s="265">
        <v>6.75</v>
      </c>
      <c r="R49" s="265">
        <v>6.75</v>
      </c>
      <c r="S49" s="265">
        <v>6.75</v>
      </c>
      <c r="T49" s="265">
        <v>6.75</v>
      </c>
      <c r="U49" s="265">
        <v>6.75</v>
      </c>
      <c r="V49" s="265">
        <v>6.75</v>
      </c>
      <c r="W49" s="265">
        <v>6.75</v>
      </c>
      <c r="X49" s="265">
        <v>6.75</v>
      </c>
      <c r="Y49" s="265">
        <v>6.75</v>
      </c>
      <c r="Z49" s="265">
        <v>0.3</v>
      </c>
      <c r="AA49" s="265">
        <v>0.3</v>
      </c>
      <c r="AB49" s="265">
        <v>0.3</v>
      </c>
      <c r="AC49" s="265">
        <v>0.3</v>
      </c>
      <c r="AD49" s="265">
        <v>0.3</v>
      </c>
      <c r="AE49" s="265">
        <v>0.3</v>
      </c>
      <c r="AF49" s="265">
        <v>0.3</v>
      </c>
      <c r="AG49" s="265">
        <v>0.3</v>
      </c>
      <c r="AH49" s="265">
        <v>0.3</v>
      </c>
      <c r="AI49" s="265">
        <v>0.3</v>
      </c>
      <c r="AJ49" s="265">
        <v>0.3</v>
      </c>
      <c r="AK49" s="265">
        <v>0.3</v>
      </c>
      <c r="AL49" s="266" t="s">
        <v>573</v>
      </c>
      <c r="AM49" s="265">
        <f t="shared" si="12"/>
        <v>0</v>
      </c>
      <c r="AN49" s="266" t="s">
        <v>573</v>
      </c>
      <c r="AO49" s="265">
        <f t="shared" si="1"/>
        <v>0</v>
      </c>
      <c r="AP49" s="266">
        <v>0</v>
      </c>
      <c r="AQ49" s="265">
        <f t="shared" si="13"/>
        <v>0</v>
      </c>
      <c r="AR49" s="266">
        <v>0</v>
      </c>
      <c r="AS49" s="262">
        <f t="shared" si="14"/>
        <v>0</v>
      </c>
      <c r="AT49" s="266">
        <v>0</v>
      </c>
      <c r="AU49" s="260">
        <f t="shared" si="15"/>
        <v>0</v>
      </c>
      <c r="AV49" s="259">
        <v>0</v>
      </c>
      <c r="AW49" s="260">
        <f t="shared" si="16"/>
        <v>0</v>
      </c>
      <c r="AX49" s="261" t="s">
        <v>573</v>
      </c>
      <c r="AY49" s="260">
        <f t="shared" si="17"/>
        <v>0</v>
      </c>
      <c r="AZ49" s="259" t="s">
        <v>573</v>
      </c>
      <c r="BA49" s="260">
        <f t="shared" si="18"/>
        <v>0</v>
      </c>
      <c r="BB49" s="259" t="s">
        <v>573</v>
      </c>
      <c r="BC49" s="260">
        <f t="shared" si="19"/>
        <v>0</v>
      </c>
      <c r="BD49" s="259" t="s">
        <v>573</v>
      </c>
      <c r="BE49" s="260">
        <f t="shared" si="20"/>
        <v>0</v>
      </c>
      <c r="BF49" s="259" t="s">
        <v>573</v>
      </c>
      <c r="BG49" s="260">
        <f t="shared" si="21"/>
        <v>0</v>
      </c>
      <c r="BH49" s="259" t="s">
        <v>573</v>
      </c>
      <c r="BI49" s="260">
        <f t="shared" si="11"/>
        <v>0</v>
      </c>
      <c r="BJ49" s="58"/>
      <c r="BK49" s="220"/>
      <c r="BL49" s="213" t="s">
        <v>1347</v>
      </c>
      <c r="BM49" s="213" t="s">
        <v>693</v>
      </c>
    </row>
    <row r="50" spans="1:65" ht="15.75" customHeight="1">
      <c r="A50" s="213" t="s">
        <v>1437</v>
      </c>
      <c r="B50" s="58" t="s">
        <v>184</v>
      </c>
      <c r="C50" s="58" t="s">
        <v>752</v>
      </c>
      <c r="D50" s="214" t="s">
        <v>186</v>
      </c>
      <c r="E50" s="214" t="s">
        <v>186</v>
      </c>
      <c r="F50" s="215" t="s">
        <v>186</v>
      </c>
      <c r="G50" s="216">
        <v>2023</v>
      </c>
      <c r="H50" s="213" t="s">
        <v>1317</v>
      </c>
      <c r="I50" s="218" t="s">
        <v>196</v>
      </c>
      <c r="J50" s="217" t="s">
        <v>890</v>
      </c>
      <c r="K50" s="213" t="s">
        <v>330</v>
      </c>
      <c r="L50" s="213" t="s">
        <v>192</v>
      </c>
      <c r="M50" s="219" t="s">
        <v>1394</v>
      </c>
      <c r="N50" s="265">
        <v>6.75</v>
      </c>
      <c r="O50" s="265">
        <v>6.75</v>
      </c>
      <c r="P50" s="265">
        <v>6.75</v>
      </c>
      <c r="Q50" s="265">
        <v>6.75</v>
      </c>
      <c r="R50" s="265">
        <v>6.75</v>
      </c>
      <c r="S50" s="265">
        <v>6.75</v>
      </c>
      <c r="T50" s="265">
        <v>6.75</v>
      </c>
      <c r="U50" s="265">
        <v>6.75</v>
      </c>
      <c r="V50" s="265">
        <v>6.75</v>
      </c>
      <c r="W50" s="265">
        <v>6.75</v>
      </c>
      <c r="X50" s="265">
        <v>6.75</v>
      </c>
      <c r="Y50" s="265">
        <v>6.75</v>
      </c>
      <c r="Z50" s="265">
        <v>0.3</v>
      </c>
      <c r="AA50" s="265">
        <v>0.3</v>
      </c>
      <c r="AB50" s="265">
        <v>0.3</v>
      </c>
      <c r="AC50" s="265">
        <v>0.3</v>
      </c>
      <c r="AD50" s="265">
        <v>0.3</v>
      </c>
      <c r="AE50" s="265">
        <v>0.3</v>
      </c>
      <c r="AF50" s="265">
        <v>0.3</v>
      </c>
      <c r="AG50" s="265">
        <v>0.3</v>
      </c>
      <c r="AH50" s="265">
        <v>0.3</v>
      </c>
      <c r="AI50" s="265">
        <v>0.3</v>
      </c>
      <c r="AJ50" s="265">
        <v>0.3</v>
      </c>
      <c r="AK50" s="265">
        <v>0.3</v>
      </c>
      <c r="AL50" s="266" t="s">
        <v>573</v>
      </c>
      <c r="AM50" s="265">
        <f t="shared" si="12"/>
        <v>0</v>
      </c>
      <c r="AN50" s="266" t="s">
        <v>573</v>
      </c>
      <c r="AO50" s="265">
        <f t="shared" si="1"/>
        <v>0</v>
      </c>
      <c r="AP50" s="266">
        <v>0</v>
      </c>
      <c r="AQ50" s="265">
        <f t="shared" si="13"/>
        <v>0</v>
      </c>
      <c r="AR50" s="266">
        <v>0</v>
      </c>
      <c r="AS50" s="262">
        <f t="shared" si="14"/>
        <v>0</v>
      </c>
      <c r="AT50" s="266">
        <v>0</v>
      </c>
      <c r="AU50" s="260">
        <f t="shared" si="15"/>
        <v>0</v>
      </c>
      <c r="AV50" s="259">
        <v>0</v>
      </c>
      <c r="AW50" s="260">
        <f t="shared" si="16"/>
        <v>0</v>
      </c>
      <c r="AX50" s="261" t="s">
        <v>573</v>
      </c>
      <c r="AY50" s="260">
        <f t="shared" si="17"/>
        <v>0</v>
      </c>
      <c r="AZ50" s="259">
        <v>1020</v>
      </c>
      <c r="BA50" s="260">
        <f t="shared" si="18"/>
        <v>306</v>
      </c>
      <c r="BB50" s="259" t="s">
        <v>573</v>
      </c>
      <c r="BC50" s="260">
        <f t="shared" si="19"/>
        <v>0</v>
      </c>
      <c r="BD50" s="259">
        <v>1020</v>
      </c>
      <c r="BE50" s="260">
        <f t="shared" si="20"/>
        <v>306</v>
      </c>
      <c r="BF50" s="259" t="s">
        <v>573</v>
      </c>
      <c r="BG50" s="260">
        <f t="shared" si="21"/>
        <v>0</v>
      </c>
      <c r="BH50" s="259">
        <v>1020</v>
      </c>
      <c r="BI50" s="260">
        <f t="shared" si="11"/>
        <v>306</v>
      </c>
      <c r="BJ50" s="58"/>
      <c r="BK50" s="220"/>
      <c r="BL50" s="213" t="s">
        <v>1347</v>
      </c>
      <c r="BM50" s="213" t="s">
        <v>693</v>
      </c>
    </row>
    <row r="51" spans="1:65" ht="15.75" customHeight="1">
      <c r="A51" s="213" t="s">
        <v>1437</v>
      </c>
      <c r="B51" s="58" t="s">
        <v>184</v>
      </c>
      <c r="C51" s="58" t="s">
        <v>752</v>
      </c>
      <c r="D51" s="214" t="s">
        <v>186</v>
      </c>
      <c r="E51" s="214" t="s">
        <v>186</v>
      </c>
      <c r="F51" s="215" t="s">
        <v>186</v>
      </c>
      <c r="G51" s="216">
        <v>2023</v>
      </c>
      <c r="H51" s="213" t="s">
        <v>328</v>
      </c>
      <c r="I51" s="218" t="s">
        <v>196</v>
      </c>
      <c r="J51" s="217" t="s">
        <v>890</v>
      </c>
      <c r="K51" s="213" t="s">
        <v>330</v>
      </c>
      <c r="L51" s="213" t="s">
        <v>192</v>
      </c>
      <c r="M51" s="219" t="s">
        <v>1395</v>
      </c>
      <c r="N51" s="265">
        <v>6.75</v>
      </c>
      <c r="O51" s="265">
        <v>6.75</v>
      </c>
      <c r="P51" s="265">
        <v>6.75</v>
      </c>
      <c r="Q51" s="265">
        <v>6.75</v>
      </c>
      <c r="R51" s="265">
        <v>6.75</v>
      </c>
      <c r="S51" s="265">
        <v>6.75</v>
      </c>
      <c r="T51" s="265">
        <v>6.75</v>
      </c>
      <c r="U51" s="265">
        <v>6.75</v>
      </c>
      <c r="V51" s="265">
        <v>6.75</v>
      </c>
      <c r="W51" s="265">
        <v>6.75</v>
      </c>
      <c r="X51" s="265">
        <v>6.75</v>
      </c>
      <c r="Y51" s="265">
        <v>6.75</v>
      </c>
      <c r="Z51" s="265">
        <v>0.3</v>
      </c>
      <c r="AA51" s="265">
        <v>0.3</v>
      </c>
      <c r="AB51" s="265">
        <v>0.3</v>
      </c>
      <c r="AC51" s="265">
        <v>0.3</v>
      </c>
      <c r="AD51" s="265">
        <v>0.3</v>
      </c>
      <c r="AE51" s="265">
        <v>0.3</v>
      </c>
      <c r="AF51" s="265">
        <v>0.3</v>
      </c>
      <c r="AG51" s="265">
        <v>0.3</v>
      </c>
      <c r="AH51" s="265">
        <v>0.3</v>
      </c>
      <c r="AI51" s="265">
        <v>0.3</v>
      </c>
      <c r="AJ51" s="265">
        <v>0.3</v>
      </c>
      <c r="AK51" s="265">
        <v>0.3</v>
      </c>
      <c r="AL51" s="266" t="s">
        <v>573</v>
      </c>
      <c r="AM51" s="265">
        <f t="shared" si="12"/>
        <v>0</v>
      </c>
      <c r="AN51" s="266" t="s">
        <v>573</v>
      </c>
      <c r="AO51" s="265">
        <f t="shared" si="1"/>
        <v>0</v>
      </c>
      <c r="AP51" s="266">
        <v>0</v>
      </c>
      <c r="AQ51" s="265">
        <f t="shared" si="13"/>
        <v>0</v>
      </c>
      <c r="AR51" s="266">
        <v>0</v>
      </c>
      <c r="AS51" s="262">
        <f t="shared" si="14"/>
        <v>0</v>
      </c>
      <c r="AT51" s="266">
        <v>0</v>
      </c>
      <c r="AU51" s="260">
        <f t="shared" si="15"/>
        <v>0</v>
      </c>
      <c r="AV51" s="259">
        <v>0</v>
      </c>
      <c r="AW51" s="260">
        <f t="shared" si="16"/>
        <v>0</v>
      </c>
      <c r="AX51" s="261" t="s">
        <v>573</v>
      </c>
      <c r="AY51" s="260">
        <f t="shared" si="17"/>
        <v>0</v>
      </c>
      <c r="AZ51" s="259" t="s">
        <v>573</v>
      </c>
      <c r="BA51" s="260">
        <f t="shared" si="18"/>
        <v>0</v>
      </c>
      <c r="BB51" s="259" t="s">
        <v>573</v>
      </c>
      <c r="BC51" s="260">
        <f t="shared" si="19"/>
        <v>0</v>
      </c>
      <c r="BD51" s="259" t="s">
        <v>573</v>
      </c>
      <c r="BE51" s="260">
        <f t="shared" si="20"/>
        <v>0</v>
      </c>
      <c r="BF51" s="259" t="s">
        <v>573</v>
      </c>
      <c r="BG51" s="260">
        <f t="shared" si="21"/>
        <v>0</v>
      </c>
      <c r="BH51" s="259" t="s">
        <v>573</v>
      </c>
      <c r="BI51" s="260">
        <f t="shared" si="11"/>
        <v>0</v>
      </c>
      <c r="BJ51" s="58"/>
      <c r="BK51" s="220"/>
      <c r="BL51" s="213" t="s">
        <v>1347</v>
      </c>
      <c r="BM51" s="213" t="s">
        <v>693</v>
      </c>
    </row>
    <row r="52" spans="1:65" ht="15.75" customHeight="1">
      <c r="A52" s="213" t="s">
        <v>1437</v>
      </c>
      <c r="B52" s="58" t="s">
        <v>184</v>
      </c>
      <c r="C52" s="58" t="s">
        <v>752</v>
      </c>
      <c r="D52" s="214" t="s">
        <v>186</v>
      </c>
      <c r="E52" s="214" t="s">
        <v>186</v>
      </c>
      <c r="F52" s="215" t="s">
        <v>186</v>
      </c>
      <c r="G52" s="216">
        <v>2023</v>
      </c>
      <c r="H52" s="213" t="s">
        <v>328</v>
      </c>
      <c r="I52" s="218" t="s">
        <v>196</v>
      </c>
      <c r="J52" s="217" t="s">
        <v>890</v>
      </c>
      <c r="K52" s="240" t="s">
        <v>1296</v>
      </c>
      <c r="L52" s="213" t="s">
        <v>192</v>
      </c>
      <c r="M52" s="219" t="s">
        <v>1396</v>
      </c>
      <c r="N52" s="265">
        <v>6.07</v>
      </c>
      <c r="O52" s="265">
        <v>6.07</v>
      </c>
      <c r="P52" s="265">
        <v>6.07</v>
      </c>
      <c r="Q52" s="265">
        <v>6.07</v>
      </c>
      <c r="R52" s="265">
        <v>6.07</v>
      </c>
      <c r="S52" s="265">
        <v>6.07</v>
      </c>
      <c r="T52" s="265">
        <v>6.07</v>
      </c>
      <c r="U52" s="265">
        <v>6.07</v>
      </c>
      <c r="V52" s="265">
        <v>6.07</v>
      </c>
      <c r="W52" s="265">
        <v>6.07</v>
      </c>
      <c r="X52" s="265">
        <v>6.07</v>
      </c>
      <c r="Y52" s="265">
        <v>6.07</v>
      </c>
      <c r="Z52" s="265">
        <v>0.3</v>
      </c>
      <c r="AA52" s="265">
        <v>0.3</v>
      </c>
      <c r="AB52" s="265">
        <v>0.3</v>
      </c>
      <c r="AC52" s="265">
        <v>0.3</v>
      </c>
      <c r="AD52" s="265">
        <v>0.3</v>
      </c>
      <c r="AE52" s="265">
        <v>0.3</v>
      </c>
      <c r="AF52" s="265">
        <v>0.3</v>
      </c>
      <c r="AG52" s="265">
        <v>0.3</v>
      </c>
      <c r="AH52" s="265">
        <v>0.3</v>
      </c>
      <c r="AI52" s="265">
        <v>0.3</v>
      </c>
      <c r="AJ52" s="265">
        <v>0.3</v>
      </c>
      <c r="AK52" s="265">
        <v>0.3</v>
      </c>
      <c r="AL52" s="266" t="s">
        <v>573</v>
      </c>
      <c r="AM52" s="265">
        <f t="shared" si="12"/>
        <v>0</v>
      </c>
      <c r="AN52" s="266" t="s">
        <v>573</v>
      </c>
      <c r="AO52" s="265">
        <f t="shared" si="1"/>
        <v>0</v>
      </c>
      <c r="AP52" s="266">
        <v>0</v>
      </c>
      <c r="AQ52" s="265">
        <f t="shared" si="13"/>
        <v>0</v>
      </c>
      <c r="AR52" s="266">
        <v>3000</v>
      </c>
      <c r="AS52" s="262">
        <f t="shared" si="14"/>
        <v>900</v>
      </c>
      <c r="AT52" s="266">
        <v>0</v>
      </c>
      <c r="AU52" s="260">
        <f t="shared" si="15"/>
        <v>0</v>
      </c>
      <c r="AV52" s="259">
        <v>0</v>
      </c>
      <c r="AW52" s="260">
        <f t="shared" si="16"/>
        <v>0</v>
      </c>
      <c r="AX52" s="261">
        <v>3000</v>
      </c>
      <c r="AY52" s="260">
        <f t="shared" si="17"/>
        <v>900</v>
      </c>
      <c r="AZ52" s="259">
        <v>6000</v>
      </c>
      <c r="BA52" s="260">
        <f t="shared" si="18"/>
        <v>1800</v>
      </c>
      <c r="BB52" s="259">
        <v>18000</v>
      </c>
      <c r="BC52" s="260">
        <f t="shared" si="19"/>
        <v>5400</v>
      </c>
      <c r="BD52" s="259">
        <v>3000</v>
      </c>
      <c r="BE52" s="260">
        <f t="shared" si="20"/>
        <v>900</v>
      </c>
      <c r="BF52" s="259" t="s">
        <v>573</v>
      </c>
      <c r="BG52" s="260">
        <f t="shared" si="21"/>
        <v>0</v>
      </c>
      <c r="BH52" s="259" t="s">
        <v>573</v>
      </c>
      <c r="BI52" s="260">
        <f t="shared" si="11"/>
        <v>0</v>
      </c>
      <c r="BJ52" s="58"/>
      <c r="BK52" s="220"/>
      <c r="BL52" s="213" t="s">
        <v>1347</v>
      </c>
      <c r="BM52" s="213" t="s">
        <v>1481</v>
      </c>
    </row>
    <row r="53" spans="1:65" ht="15.75" customHeight="1">
      <c r="A53" s="213" t="s">
        <v>1437</v>
      </c>
      <c r="B53" s="58" t="s">
        <v>184</v>
      </c>
      <c r="C53" s="58" t="s">
        <v>752</v>
      </c>
      <c r="D53" s="214" t="s">
        <v>186</v>
      </c>
      <c r="E53" s="214" t="s">
        <v>186</v>
      </c>
      <c r="F53" s="215" t="s">
        <v>186</v>
      </c>
      <c r="G53" s="216">
        <v>2023</v>
      </c>
      <c r="H53" s="213" t="s">
        <v>328</v>
      </c>
      <c r="I53" s="218" t="s">
        <v>196</v>
      </c>
      <c r="J53" s="217" t="s">
        <v>890</v>
      </c>
      <c r="K53" s="240" t="s">
        <v>1297</v>
      </c>
      <c r="L53" s="213" t="s">
        <v>192</v>
      </c>
      <c r="M53" s="219" t="s">
        <v>1396</v>
      </c>
      <c r="N53" s="265">
        <v>6.07</v>
      </c>
      <c r="O53" s="265">
        <v>6.07</v>
      </c>
      <c r="P53" s="265">
        <v>6.07</v>
      </c>
      <c r="Q53" s="265">
        <v>6.07</v>
      </c>
      <c r="R53" s="265">
        <v>6.07</v>
      </c>
      <c r="S53" s="265">
        <v>6.07</v>
      </c>
      <c r="T53" s="265">
        <v>6.07</v>
      </c>
      <c r="U53" s="265">
        <v>6.07</v>
      </c>
      <c r="V53" s="265">
        <v>6.07</v>
      </c>
      <c r="W53" s="265">
        <v>6.07</v>
      </c>
      <c r="X53" s="265">
        <v>6.07</v>
      </c>
      <c r="Y53" s="265">
        <v>6.07</v>
      </c>
      <c r="Z53" s="265">
        <v>0.3</v>
      </c>
      <c r="AA53" s="265">
        <v>0.3</v>
      </c>
      <c r="AB53" s="265">
        <v>0.3</v>
      </c>
      <c r="AC53" s="265">
        <v>0.3</v>
      </c>
      <c r="AD53" s="265">
        <v>0.3</v>
      </c>
      <c r="AE53" s="265">
        <v>0.3</v>
      </c>
      <c r="AF53" s="265">
        <v>0.3</v>
      </c>
      <c r="AG53" s="265">
        <v>0.3</v>
      </c>
      <c r="AH53" s="265">
        <v>0.3</v>
      </c>
      <c r="AI53" s="265">
        <v>0.3</v>
      </c>
      <c r="AJ53" s="265">
        <v>0.3</v>
      </c>
      <c r="AK53" s="265">
        <v>0.3</v>
      </c>
      <c r="AL53" s="266" t="s">
        <v>573</v>
      </c>
      <c r="AM53" s="265">
        <f t="shared" si="12"/>
        <v>0</v>
      </c>
      <c r="AN53" s="266" t="s">
        <v>573</v>
      </c>
      <c r="AO53" s="265">
        <f t="shared" si="1"/>
        <v>0</v>
      </c>
      <c r="AP53" s="266">
        <v>0</v>
      </c>
      <c r="AQ53" s="265">
        <f t="shared" si="13"/>
        <v>0</v>
      </c>
      <c r="AR53" s="266">
        <v>0</v>
      </c>
      <c r="AS53" s="262">
        <f t="shared" si="14"/>
        <v>0</v>
      </c>
      <c r="AT53" s="266">
        <v>0</v>
      </c>
      <c r="AU53" s="260">
        <f t="shared" si="15"/>
        <v>0</v>
      </c>
      <c r="AV53" s="259">
        <v>0</v>
      </c>
      <c r="AW53" s="260">
        <f t="shared" si="16"/>
        <v>0</v>
      </c>
      <c r="AX53" s="261" t="s">
        <v>573</v>
      </c>
      <c r="AY53" s="260">
        <f t="shared" si="17"/>
        <v>0</v>
      </c>
      <c r="AZ53" s="259">
        <v>3000</v>
      </c>
      <c r="BA53" s="260">
        <f t="shared" si="18"/>
        <v>900</v>
      </c>
      <c r="BB53" s="259">
        <v>3000</v>
      </c>
      <c r="BC53" s="260">
        <f t="shared" si="19"/>
        <v>900</v>
      </c>
      <c r="BD53" s="259" t="s">
        <v>573</v>
      </c>
      <c r="BE53" s="260">
        <f t="shared" si="20"/>
        <v>0</v>
      </c>
      <c r="BF53" s="259" t="s">
        <v>573</v>
      </c>
      <c r="BG53" s="260">
        <f t="shared" si="21"/>
        <v>0</v>
      </c>
      <c r="BH53" s="259" t="s">
        <v>573</v>
      </c>
      <c r="BI53" s="260">
        <f t="shared" si="11"/>
        <v>0</v>
      </c>
      <c r="BJ53" s="58"/>
      <c r="BK53" s="220"/>
      <c r="BL53" s="213" t="s">
        <v>1347</v>
      </c>
      <c r="BM53" s="213" t="s">
        <v>1482</v>
      </c>
    </row>
    <row r="54" spans="1:65" ht="15.75" customHeight="1">
      <c r="A54" s="213" t="s">
        <v>1437</v>
      </c>
      <c r="B54" s="58" t="s">
        <v>184</v>
      </c>
      <c r="C54" s="58" t="s">
        <v>752</v>
      </c>
      <c r="D54" s="214" t="s">
        <v>186</v>
      </c>
      <c r="E54" s="214" t="s">
        <v>186</v>
      </c>
      <c r="F54" s="215" t="s">
        <v>186</v>
      </c>
      <c r="G54" s="216">
        <v>2023</v>
      </c>
      <c r="H54" s="213" t="s">
        <v>328</v>
      </c>
      <c r="I54" s="218" t="s">
        <v>196</v>
      </c>
      <c r="J54" s="217" t="s">
        <v>890</v>
      </c>
      <c r="K54" s="240" t="s">
        <v>1299</v>
      </c>
      <c r="L54" s="213" t="s">
        <v>192</v>
      </c>
      <c r="M54" s="219" t="s">
        <v>1396</v>
      </c>
      <c r="N54" s="265">
        <v>6.07</v>
      </c>
      <c r="O54" s="265">
        <v>6.07</v>
      </c>
      <c r="P54" s="265">
        <v>6.07</v>
      </c>
      <c r="Q54" s="265">
        <v>6.07</v>
      </c>
      <c r="R54" s="265">
        <v>6.07</v>
      </c>
      <c r="S54" s="265">
        <v>6.07</v>
      </c>
      <c r="T54" s="265">
        <v>6.07</v>
      </c>
      <c r="U54" s="265">
        <v>6.07</v>
      </c>
      <c r="V54" s="265">
        <v>6.07</v>
      </c>
      <c r="W54" s="265">
        <v>6.07</v>
      </c>
      <c r="X54" s="265">
        <v>6.07</v>
      </c>
      <c r="Y54" s="265">
        <v>6.07</v>
      </c>
      <c r="Z54" s="265">
        <v>0.3</v>
      </c>
      <c r="AA54" s="265">
        <v>0.3</v>
      </c>
      <c r="AB54" s="265">
        <v>0.3</v>
      </c>
      <c r="AC54" s="265">
        <v>0.3</v>
      </c>
      <c r="AD54" s="265">
        <v>0.3</v>
      </c>
      <c r="AE54" s="265">
        <v>0.3</v>
      </c>
      <c r="AF54" s="265">
        <v>0.3</v>
      </c>
      <c r="AG54" s="265">
        <v>0.3</v>
      </c>
      <c r="AH54" s="265">
        <v>0.3</v>
      </c>
      <c r="AI54" s="265">
        <v>0.3</v>
      </c>
      <c r="AJ54" s="265">
        <v>0.3</v>
      </c>
      <c r="AK54" s="265">
        <v>0.3</v>
      </c>
      <c r="AL54" s="266" t="s">
        <v>573</v>
      </c>
      <c r="AM54" s="265">
        <f t="shared" si="12"/>
        <v>0</v>
      </c>
      <c r="AN54" s="266" t="s">
        <v>573</v>
      </c>
      <c r="AO54" s="265">
        <f t="shared" si="1"/>
        <v>0</v>
      </c>
      <c r="AP54" s="266">
        <v>0</v>
      </c>
      <c r="AQ54" s="265">
        <f t="shared" si="13"/>
        <v>0</v>
      </c>
      <c r="AR54" s="266">
        <v>0</v>
      </c>
      <c r="AS54" s="262">
        <f t="shared" si="14"/>
        <v>0</v>
      </c>
      <c r="AT54" s="266">
        <v>0</v>
      </c>
      <c r="AU54" s="260">
        <f t="shared" si="15"/>
        <v>0</v>
      </c>
      <c r="AV54" s="259">
        <v>0</v>
      </c>
      <c r="AW54" s="260">
        <f t="shared" si="16"/>
        <v>0</v>
      </c>
      <c r="AX54" s="261" t="s">
        <v>573</v>
      </c>
      <c r="AY54" s="260">
        <f t="shared" si="17"/>
        <v>0</v>
      </c>
      <c r="AZ54" s="259">
        <v>3000</v>
      </c>
      <c r="BA54" s="260">
        <f t="shared" si="18"/>
        <v>900</v>
      </c>
      <c r="BB54" s="259">
        <v>18000</v>
      </c>
      <c r="BC54" s="260">
        <f t="shared" si="19"/>
        <v>5400</v>
      </c>
      <c r="BD54" s="259" t="s">
        <v>573</v>
      </c>
      <c r="BE54" s="260">
        <f t="shared" si="20"/>
        <v>0</v>
      </c>
      <c r="BF54" s="259" t="s">
        <v>573</v>
      </c>
      <c r="BG54" s="260">
        <f t="shared" si="21"/>
        <v>0</v>
      </c>
      <c r="BH54" s="259" t="s">
        <v>573</v>
      </c>
      <c r="BI54" s="260">
        <f t="shared" si="11"/>
        <v>0</v>
      </c>
      <c r="BJ54" s="58"/>
      <c r="BK54" s="220"/>
      <c r="BL54" s="213" t="s">
        <v>1347</v>
      </c>
      <c r="BM54" s="213" t="s">
        <v>1483</v>
      </c>
    </row>
    <row r="55" spans="1:65" ht="15.75" customHeight="1">
      <c r="A55" s="213" t="s">
        <v>1437</v>
      </c>
      <c r="B55" s="58" t="s">
        <v>184</v>
      </c>
      <c r="C55" s="58" t="s">
        <v>752</v>
      </c>
      <c r="D55" s="214" t="s">
        <v>186</v>
      </c>
      <c r="E55" s="214" t="s">
        <v>186</v>
      </c>
      <c r="F55" s="215" t="s">
        <v>186</v>
      </c>
      <c r="G55" s="216">
        <v>2023</v>
      </c>
      <c r="H55" s="213" t="s">
        <v>328</v>
      </c>
      <c r="I55" s="218" t="s">
        <v>196</v>
      </c>
      <c r="J55" s="217" t="s">
        <v>890</v>
      </c>
      <c r="K55" s="240" t="s">
        <v>1300</v>
      </c>
      <c r="L55" s="213" t="s">
        <v>192</v>
      </c>
      <c r="M55" s="219" t="s">
        <v>1396</v>
      </c>
      <c r="N55" s="265">
        <v>6.07</v>
      </c>
      <c r="O55" s="265">
        <v>6.07</v>
      </c>
      <c r="P55" s="265">
        <v>6.07</v>
      </c>
      <c r="Q55" s="265">
        <v>6.07</v>
      </c>
      <c r="R55" s="265">
        <v>6.07</v>
      </c>
      <c r="S55" s="265">
        <v>6.07</v>
      </c>
      <c r="T55" s="265">
        <v>6.07</v>
      </c>
      <c r="U55" s="265">
        <v>6.07</v>
      </c>
      <c r="V55" s="265">
        <v>6.07</v>
      </c>
      <c r="W55" s="265">
        <v>6.07</v>
      </c>
      <c r="X55" s="265">
        <v>6.07</v>
      </c>
      <c r="Y55" s="265">
        <v>6.07</v>
      </c>
      <c r="Z55" s="265">
        <v>0.3</v>
      </c>
      <c r="AA55" s="265">
        <v>0.3</v>
      </c>
      <c r="AB55" s="265">
        <v>0.3</v>
      </c>
      <c r="AC55" s="265">
        <v>0.3</v>
      </c>
      <c r="AD55" s="265">
        <v>0.3</v>
      </c>
      <c r="AE55" s="265">
        <v>0.3</v>
      </c>
      <c r="AF55" s="265">
        <v>0.3</v>
      </c>
      <c r="AG55" s="265">
        <v>0.3</v>
      </c>
      <c r="AH55" s="265">
        <v>0.3</v>
      </c>
      <c r="AI55" s="265">
        <v>0.3</v>
      </c>
      <c r="AJ55" s="265">
        <v>0.3</v>
      </c>
      <c r="AK55" s="265">
        <v>0.3</v>
      </c>
      <c r="AL55" s="266" t="s">
        <v>573</v>
      </c>
      <c r="AM55" s="265">
        <f t="shared" si="12"/>
        <v>0</v>
      </c>
      <c r="AN55" s="266" t="s">
        <v>573</v>
      </c>
      <c r="AO55" s="265">
        <f t="shared" si="1"/>
        <v>0</v>
      </c>
      <c r="AP55" s="266">
        <v>0</v>
      </c>
      <c r="AQ55" s="265">
        <f t="shared" si="13"/>
        <v>0</v>
      </c>
      <c r="AR55" s="266">
        <v>0</v>
      </c>
      <c r="AS55" s="262">
        <f t="shared" si="14"/>
        <v>0</v>
      </c>
      <c r="AT55" s="266">
        <v>0</v>
      </c>
      <c r="AU55" s="260">
        <f t="shared" si="15"/>
        <v>0</v>
      </c>
      <c r="AV55" s="259">
        <v>0</v>
      </c>
      <c r="AW55" s="260">
        <f t="shared" si="16"/>
        <v>0</v>
      </c>
      <c r="AX55" s="261" t="s">
        <v>573</v>
      </c>
      <c r="AY55" s="260">
        <f t="shared" si="17"/>
        <v>0</v>
      </c>
      <c r="AZ55" s="259" t="s">
        <v>573</v>
      </c>
      <c r="BA55" s="260">
        <f t="shared" si="18"/>
        <v>0</v>
      </c>
      <c r="BB55" s="259">
        <v>6000</v>
      </c>
      <c r="BC55" s="260">
        <f t="shared" si="19"/>
        <v>1800</v>
      </c>
      <c r="BD55" s="259" t="s">
        <v>573</v>
      </c>
      <c r="BE55" s="260">
        <f t="shared" si="20"/>
        <v>0</v>
      </c>
      <c r="BF55" s="259" t="s">
        <v>573</v>
      </c>
      <c r="BG55" s="260">
        <f t="shared" si="21"/>
        <v>0</v>
      </c>
      <c r="BH55" s="259" t="s">
        <v>573</v>
      </c>
      <c r="BI55" s="260">
        <f t="shared" si="11"/>
        <v>0</v>
      </c>
      <c r="BJ55" s="58"/>
      <c r="BK55" s="220"/>
      <c r="BL55" s="213" t="s">
        <v>1347</v>
      </c>
      <c r="BM55" s="213" t="s">
        <v>1484</v>
      </c>
    </row>
    <row r="56" spans="1:65" ht="15.75" customHeight="1">
      <c r="A56" s="213" t="s">
        <v>1437</v>
      </c>
      <c r="B56" s="58" t="s">
        <v>184</v>
      </c>
      <c r="C56" s="58" t="s">
        <v>752</v>
      </c>
      <c r="D56" s="214" t="s">
        <v>186</v>
      </c>
      <c r="E56" s="214" t="s">
        <v>186</v>
      </c>
      <c r="F56" s="215" t="s">
        <v>186</v>
      </c>
      <c r="G56" s="216">
        <v>2023</v>
      </c>
      <c r="H56" s="213" t="s">
        <v>328</v>
      </c>
      <c r="I56" s="218" t="s">
        <v>196</v>
      </c>
      <c r="J56" s="217" t="s">
        <v>890</v>
      </c>
      <c r="K56" s="240" t="s">
        <v>1331</v>
      </c>
      <c r="L56" s="213" t="s">
        <v>192</v>
      </c>
      <c r="M56" s="219" t="s">
        <v>1396</v>
      </c>
      <c r="N56" s="265">
        <v>8.2799999999999994</v>
      </c>
      <c r="O56" s="265">
        <v>8.2799999999999994</v>
      </c>
      <c r="P56" s="265">
        <v>8.2799999999999994</v>
      </c>
      <c r="Q56" s="265">
        <v>8.2799999999999994</v>
      </c>
      <c r="R56" s="265">
        <v>8.2799999999999994</v>
      </c>
      <c r="S56" s="265">
        <v>8.2799999999999994</v>
      </c>
      <c r="T56" s="265">
        <v>8.2799999999999994</v>
      </c>
      <c r="U56" s="265">
        <v>8.2799999999999994</v>
      </c>
      <c r="V56" s="265">
        <v>8.2799999999999994</v>
      </c>
      <c r="W56" s="265">
        <v>8.2799999999999994</v>
      </c>
      <c r="X56" s="265">
        <v>8.2799999999999994</v>
      </c>
      <c r="Y56" s="265">
        <v>8.2799999999999994</v>
      </c>
      <c r="Z56" s="265">
        <v>0.3</v>
      </c>
      <c r="AA56" s="265">
        <v>0.3</v>
      </c>
      <c r="AB56" s="265">
        <v>0.3</v>
      </c>
      <c r="AC56" s="265">
        <v>0.3</v>
      </c>
      <c r="AD56" s="265">
        <v>0.3</v>
      </c>
      <c r="AE56" s="265">
        <v>0.3</v>
      </c>
      <c r="AF56" s="265">
        <v>0.3</v>
      </c>
      <c r="AG56" s="265">
        <v>0.3</v>
      </c>
      <c r="AH56" s="265">
        <v>0.3</v>
      </c>
      <c r="AI56" s="265">
        <v>0.3</v>
      </c>
      <c r="AJ56" s="265">
        <v>0.3</v>
      </c>
      <c r="AK56" s="265">
        <v>0.3</v>
      </c>
      <c r="AL56" s="266">
        <v>6000</v>
      </c>
      <c r="AM56" s="265">
        <f t="shared" si="12"/>
        <v>1800</v>
      </c>
      <c r="AN56" s="266" t="s">
        <v>573</v>
      </c>
      <c r="AO56" s="265">
        <f t="shared" si="1"/>
        <v>0</v>
      </c>
      <c r="AP56" s="266">
        <v>0</v>
      </c>
      <c r="AQ56" s="265">
        <f t="shared" si="13"/>
        <v>0</v>
      </c>
      <c r="AR56" s="266">
        <v>0</v>
      </c>
      <c r="AS56" s="262">
        <f t="shared" si="14"/>
        <v>0</v>
      </c>
      <c r="AT56" s="266">
        <v>0</v>
      </c>
      <c r="AU56" s="260">
        <f t="shared" si="15"/>
        <v>0</v>
      </c>
      <c r="AV56" s="259">
        <v>0</v>
      </c>
      <c r="AW56" s="260">
        <f t="shared" si="16"/>
        <v>0</v>
      </c>
      <c r="AX56" s="261">
        <v>9000</v>
      </c>
      <c r="AY56" s="260">
        <f t="shared" si="17"/>
        <v>2700</v>
      </c>
      <c r="AZ56" s="259">
        <v>6000</v>
      </c>
      <c r="BA56" s="260">
        <f t="shared" si="18"/>
        <v>1800</v>
      </c>
      <c r="BB56" s="259">
        <v>9000</v>
      </c>
      <c r="BC56" s="260">
        <f t="shared" si="19"/>
        <v>2700</v>
      </c>
      <c r="BD56" s="259" t="s">
        <v>573</v>
      </c>
      <c r="BE56" s="260">
        <f t="shared" si="20"/>
        <v>0</v>
      </c>
      <c r="BF56" s="259" t="s">
        <v>573</v>
      </c>
      <c r="BG56" s="260">
        <f t="shared" si="21"/>
        <v>0</v>
      </c>
      <c r="BH56" s="259" t="s">
        <v>573</v>
      </c>
      <c r="BI56" s="260">
        <f t="shared" si="11"/>
        <v>0</v>
      </c>
      <c r="BJ56" s="58"/>
      <c r="BK56" s="220"/>
      <c r="BL56" s="213" t="s">
        <v>1347</v>
      </c>
      <c r="BM56" s="213" t="s">
        <v>1485</v>
      </c>
    </row>
    <row r="57" spans="1:65" ht="15.75" customHeight="1">
      <c r="A57" s="213" t="s">
        <v>1437</v>
      </c>
      <c r="B57" s="58" t="s">
        <v>184</v>
      </c>
      <c r="C57" s="58" t="s">
        <v>752</v>
      </c>
      <c r="D57" s="214" t="s">
        <v>186</v>
      </c>
      <c r="E57" s="214" t="s">
        <v>186</v>
      </c>
      <c r="F57" s="215" t="s">
        <v>186</v>
      </c>
      <c r="G57" s="216">
        <v>2023</v>
      </c>
      <c r="H57" s="213" t="s">
        <v>328</v>
      </c>
      <c r="I57" s="218" t="s">
        <v>196</v>
      </c>
      <c r="J57" s="217" t="s">
        <v>890</v>
      </c>
      <c r="K57" s="240" t="s">
        <v>1333</v>
      </c>
      <c r="L57" s="213" t="s">
        <v>192</v>
      </c>
      <c r="M57" s="219" t="s">
        <v>1396</v>
      </c>
      <c r="N57" s="265">
        <v>8.2799999999999994</v>
      </c>
      <c r="O57" s="265">
        <v>8.2799999999999994</v>
      </c>
      <c r="P57" s="265">
        <v>8.2799999999999994</v>
      </c>
      <c r="Q57" s="265">
        <v>8.2799999999999994</v>
      </c>
      <c r="R57" s="265">
        <v>8.2799999999999994</v>
      </c>
      <c r="S57" s="265">
        <v>8.2799999999999994</v>
      </c>
      <c r="T57" s="265">
        <v>8.2799999999999994</v>
      </c>
      <c r="U57" s="265">
        <v>8.2799999999999994</v>
      </c>
      <c r="V57" s="265">
        <v>8.2799999999999994</v>
      </c>
      <c r="W57" s="265">
        <v>8.2799999999999994</v>
      </c>
      <c r="X57" s="265">
        <v>8.2799999999999994</v>
      </c>
      <c r="Y57" s="265">
        <v>8.2799999999999994</v>
      </c>
      <c r="Z57" s="265">
        <v>0.3</v>
      </c>
      <c r="AA57" s="265">
        <v>0.3</v>
      </c>
      <c r="AB57" s="265">
        <v>0.3</v>
      </c>
      <c r="AC57" s="265">
        <v>0.3</v>
      </c>
      <c r="AD57" s="265">
        <v>0.3</v>
      </c>
      <c r="AE57" s="265">
        <v>0.3</v>
      </c>
      <c r="AF57" s="265">
        <v>0.3</v>
      </c>
      <c r="AG57" s="265">
        <v>0.3</v>
      </c>
      <c r="AH57" s="265">
        <v>0.3</v>
      </c>
      <c r="AI57" s="265">
        <v>0.3</v>
      </c>
      <c r="AJ57" s="265">
        <v>0.3</v>
      </c>
      <c r="AK57" s="265">
        <v>0.3</v>
      </c>
      <c r="AL57" s="266">
        <v>3000</v>
      </c>
      <c r="AM57" s="265">
        <f t="shared" si="12"/>
        <v>900</v>
      </c>
      <c r="AN57" s="266" t="s">
        <v>573</v>
      </c>
      <c r="AO57" s="265">
        <f t="shared" si="1"/>
        <v>0</v>
      </c>
      <c r="AP57" s="266">
        <v>0</v>
      </c>
      <c r="AQ57" s="265">
        <f t="shared" si="13"/>
        <v>0</v>
      </c>
      <c r="AR57" s="266">
        <v>0</v>
      </c>
      <c r="AS57" s="262">
        <f t="shared" si="14"/>
        <v>0</v>
      </c>
      <c r="AT57" s="266">
        <v>0</v>
      </c>
      <c r="AU57" s="260">
        <f t="shared" si="15"/>
        <v>0</v>
      </c>
      <c r="AV57" s="259">
        <v>0</v>
      </c>
      <c r="AW57" s="260">
        <f t="shared" si="16"/>
        <v>0</v>
      </c>
      <c r="AX57" s="261">
        <v>9000</v>
      </c>
      <c r="AY57" s="260">
        <f t="shared" si="17"/>
        <v>2700</v>
      </c>
      <c r="AZ57" s="259">
        <v>6000</v>
      </c>
      <c r="BA57" s="260">
        <f t="shared" si="18"/>
        <v>1800</v>
      </c>
      <c r="BB57" s="259" t="s">
        <v>573</v>
      </c>
      <c r="BC57" s="260">
        <f t="shared" si="19"/>
        <v>0</v>
      </c>
      <c r="BD57" s="259">
        <v>3000</v>
      </c>
      <c r="BE57" s="260">
        <f t="shared" si="20"/>
        <v>900</v>
      </c>
      <c r="BF57" s="259" t="s">
        <v>573</v>
      </c>
      <c r="BG57" s="260">
        <f t="shared" si="21"/>
        <v>0</v>
      </c>
      <c r="BH57" s="259" t="s">
        <v>573</v>
      </c>
      <c r="BI57" s="260">
        <f t="shared" si="11"/>
        <v>0</v>
      </c>
      <c r="BJ57" s="58"/>
      <c r="BK57" s="220"/>
      <c r="BL57" s="213" t="s">
        <v>1347</v>
      </c>
      <c r="BM57" s="213" t="s">
        <v>1486</v>
      </c>
    </row>
    <row r="58" spans="1:65" ht="15.75" customHeight="1">
      <c r="A58" s="213" t="s">
        <v>1437</v>
      </c>
      <c r="B58" s="58" t="s">
        <v>184</v>
      </c>
      <c r="C58" s="58" t="s">
        <v>752</v>
      </c>
      <c r="D58" s="214" t="s">
        <v>186</v>
      </c>
      <c r="E58" s="214" t="s">
        <v>186</v>
      </c>
      <c r="F58" s="215" t="s">
        <v>186</v>
      </c>
      <c r="G58" s="216">
        <v>2023</v>
      </c>
      <c r="H58" s="218" t="s">
        <v>1318</v>
      </c>
      <c r="I58" s="218" t="s">
        <v>196</v>
      </c>
      <c r="J58" s="217" t="s">
        <v>890</v>
      </c>
      <c r="K58" s="213" t="s">
        <v>753</v>
      </c>
      <c r="L58" s="213" t="s">
        <v>192</v>
      </c>
      <c r="M58" s="219" t="s">
        <v>1388</v>
      </c>
      <c r="N58" s="265">
        <v>5.51</v>
      </c>
      <c r="O58" s="265">
        <v>5.51</v>
      </c>
      <c r="P58" s="265">
        <v>5.51</v>
      </c>
      <c r="Q58" s="265">
        <v>5.51</v>
      </c>
      <c r="R58" s="265">
        <v>5.51</v>
      </c>
      <c r="S58" s="265">
        <v>5.51</v>
      </c>
      <c r="T58" s="265">
        <v>5.51</v>
      </c>
      <c r="U58" s="265">
        <v>5.51</v>
      </c>
      <c r="V58" s="265">
        <v>5.51</v>
      </c>
      <c r="W58" s="265">
        <v>5.51</v>
      </c>
      <c r="X58" s="265">
        <v>5.51</v>
      </c>
      <c r="Y58" s="265">
        <v>5.51</v>
      </c>
      <c r="Z58" s="265">
        <v>0</v>
      </c>
      <c r="AA58" s="265">
        <v>0</v>
      </c>
      <c r="AB58" s="265">
        <v>0</v>
      </c>
      <c r="AC58" s="265">
        <v>0</v>
      </c>
      <c r="AD58" s="265">
        <v>0</v>
      </c>
      <c r="AE58" s="265">
        <v>0</v>
      </c>
      <c r="AF58" s="265">
        <v>0</v>
      </c>
      <c r="AG58" s="265">
        <v>0</v>
      </c>
      <c r="AH58" s="265">
        <v>0</v>
      </c>
      <c r="AI58" s="265">
        <v>0</v>
      </c>
      <c r="AJ58" s="265">
        <v>0</v>
      </c>
      <c r="AK58" s="265">
        <v>0</v>
      </c>
      <c r="AL58" s="266" t="s">
        <v>573</v>
      </c>
      <c r="AM58" s="265">
        <f t="shared" si="12"/>
        <v>0</v>
      </c>
      <c r="AN58" s="266">
        <v>3640</v>
      </c>
      <c r="AO58" s="265">
        <f t="shared" si="1"/>
        <v>0</v>
      </c>
      <c r="AP58" s="266">
        <v>3640</v>
      </c>
      <c r="AQ58" s="265">
        <f t="shared" si="13"/>
        <v>0</v>
      </c>
      <c r="AR58" s="266">
        <v>0</v>
      </c>
      <c r="AS58" s="262">
        <f t="shared" si="14"/>
        <v>0</v>
      </c>
      <c r="AT58" s="266">
        <v>0</v>
      </c>
      <c r="AU58" s="260">
        <f t="shared" si="15"/>
        <v>0</v>
      </c>
      <c r="AV58" s="259">
        <v>0</v>
      </c>
      <c r="AW58" s="260">
        <f t="shared" si="16"/>
        <v>0</v>
      </c>
      <c r="AX58" s="261" t="s">
        <v>573</v>
      </c>
      <c r="AY58" s="260">
        <f t="shared" si="17"/>
        <v>0</v>
      </c>
      <c r="AZ58" s="259" t="s">
        <v>573</v>
      </c>
      <c r="BA58" s="260">
        <f t="shared" si="18"/>
        <v>0</v>
      </c>
      <c r="BB58" s="259" t="s">
        <v>573</v>
      </c>
      <c r="BC58" s="260">
        <f t="shared" si="19"/>
        <v>0</v>
      </c>
      <c r="BD58" s="259" t="s">
        <v>573</v>
      </c>
      <c r="BE58" s="260">
        <f t="shared" si="20"/>
        <v>0</v>
      </c>
      <c r="BF58" s="259" t="s">
        <v>573</v>
      </c>
      <c r="BG58" s="260">
        <f t="shared" si="21"/>
        <v>0</v>
      </c>
      <c r="BH58" s="259" t="s">
        <v>573</v>
      </c>
      <c r="BI58" s="260">
        <f t="shared" si="11"/>
        <v>0</v>
      </c>
      <c r="BJ58" s="58"/>
      <c r="BK58" s="220"/>
      <c r="BL58" s="213" t="s">
        <v>807</v>
      </c>
      <c r="BM58" s="213" t="s">
        <v>602</v>
      </c>
    </row>
    <row r="59" spans="1:65" ht="15.75" customHeight="1">
      <c r="A59" s="213" t="s">
        <v>1437</v>
      </c>
      <c r="B59" s="58" t="s">
        <v>184</v>
      </c>
      <c r="C59" s="58" t="s">
        <v>752</v>
      </c>
      <c r="D59" s="214" t="s">
        <v>186</v>
      </c>
      <c r="E59" s="214" t="s">
        <v>186</v>
      </c>
      <c r="F59" s="215" t="s">
        <v>186</v>
      </c>
      <c r="G59" s="216">
        <v>2023</v>
      </c>
      <c r="H59" s="218" t="s">
        <v>1318</v>
      </c>
      <c r="I59" s="218" t="s">
        <v>196</v>
      </c>
      <c r="J59" s="217" t="s">
        <v>890</v>
      </c>
      <c r="K59" s="213" t="s">
        <v>753</v>
      </c>
      <c r="L59" s="213" t="s">
        <v>192</v>
      </c>
      <c r="M59" s="219" t="s">
        <v>1389</v>
      </c>
      <c r="N59" s="265">
        <v>5.18</v>
      </c>
      <c r="O59" s="265">
        <v>5.18</v>
      </c>
      <c r="P59" s="265">
        <v>5.18</v>
      </c>
      <c r="Q59" s="265">
        <v>5.18</v>
      </c>
      <c r="R59" s="265">
        <v>5.18</v>
      </c>
      <c r="S59" s="265">
        <v>5.18</v>
      </c>
      <c r="T59" s="265">
        <v>5.18</v>
      </c>
      <c r="U59" s="265">
        <v>5.18</v>
      </c>
      <c r="V59" s="265">
        <v>5.18</v>
      </c>
      <c r="W59" s="265">
        <v>5.18</v>
      </c>
      <c r="X59" s="265">
        <v>5.18</v>
      </c>
      <c r="Y59" s="265">
        <v>5.18</v>
      </c>
      <c r="Z59" s="265">
        <v>0</v>
      </c>
      <c r="AA59" s="265">
        <v>0</v>
      </c>
      <c r="AB59" s="265">
        <v>0</v>
      </c>
      <c r="AC59" s="265">
        <v>0</v>
      </c>
      <c r="AD59" s="265">
        <v>0</v>
      </c>
      <c r="AE59" s="265">
        <v>0</v>
      </c>
      <c r="AF59" s="265">
        <v>0</v>
      </c>
      <c r="AG59" s="265">
        <v>0</v>
      </c>
      <c r="AH59" s="265">
        <v>0</v>
      </c>
      <c r="AI59" s="265">
        <v>0</v>
      </c>
      <c r="AJ59" s="265">
        <v>0</v>
      </c>
      <c r="AK59" s="265">
        <v>0</v>
      </c>
      <c r="AL59" s="266">
        <v>14560</v>
      </c>
      <c r="AM59" s="265">
        <f t="shared" si="12"/>
        <v>0</v>
      </c>
      <c r="AN59" s="266" t="s">
        <v>573</v>
      </c>
      <c r="AO59" s="265">
        <f t="shared" si="1"/>
        <v>0</v>
      </c>
      <c r="AP59" s="266">
        <v>0</v>
      </c>
      <c r="AQ59" s="265">
        <f t="shared" si="13"/>
        <v>0</v>
      </c>
      <c r="AR59" s="266">
        <v>7280</v>
      </c>
      <c r="AS59" s="262">
        <f t="shared" si="14"/>
        <v>0</v>
      </c>
      <c r="AT59" s="266">
        <v>0</v>
      </c>
      <c r="AU59" s="260">
        <f t="shared" si="15"/>
        <v>0</v>
      </c>
      <c r="AV59" s="259">
        <v>0</v>
      </c>
      <c r="AW59" s="260">
        <f t="shared" si="16"/>
        <v>0</v>
      </c>
      <c r="AX59" s="261">
        <v>7280</v>
      </c>
      <c r="AY59" s="260">
        <f t="shared" si="17"/>
        <v>0</v>
      </c>
      <c r="AZ59" s="259">
        <v>13960</v>
      </c>
      <c r="BA59" s="260">
        <f t="shared" si="18"/>
        <v>0</v>
      </c>
      <c r="BB59" s="259">
        <v>7280</v>
      </c>
      <c r="BC59" s="260">
        <f t="shared" si="19"/>
        <v>0</v>
      </c>
      <c r="BD59" s="259">
        <v>14560</v>
      </c>
      <c r="BE59" s="260">
        <f t="shared" si="20"/>
        <v>0</v>
      </c>
      <c r="BF59" s="259" t="s">
        <v>573</v>
      </c>
      <c r="BG59" s="260">
        <f t="shared" si="21"/>
        <v>0</v>
      </c>
      <c r="BH59" s="259">
        <v>7280</v>
      </c>
      <c r="BI59" s="260">
        <f t="shared" si="11"/>
        <v>0</v>
      </c>
      <c r="BJ59" s="58"/>
      <c r="BK59" s="220"/>
      <c r="BL59" s="213" t="s">
        <v>763</v>
      </c>
      <c r="BM59" s="213" t="s">
        <v>601</v>
      </c>
    </row>
    <row r="60" spans="1:65" ht="15.75" customHeight="1">
      <c r="A60" s="213" t="s">
        <v>1437</v>
      </c>
      <c r="B60" s="58" t="s">
        <v>184</v>
      </c>
      <c r="C60" s="58" t="s">
        <v>752</v>
      </c>
      <c r="D60" s="214" t="s">
        <v>186</v>
      </c>
      <c r="E60" s="214" t="s">
        <v>186</v>
      </c>
      <c r="F60" s="215" t="s">
        <v>186</v>
      </c>
      <c r="G60" s="216">
        <v>2023</v>
      </c>
      <c r="H60" s="218" t="s">
        <v>1318</v>
      </c>
      <c r="I60" s="218" t="s">
        <v>196</v>
      </c>
      <c r="J60" s="217" t="s">
        <v>890</v>
      </c>
      <c r="K60" s="213" t="s">
        <v>753</v>
      </c>
      <c r="L60" s="213" t="s">
        <v>192</v>
      </c>
      <c r="M60" s="219" t="s">
        <v>1388</v>
      </c>
      <c r="N60" s="265">
        <v>5.45</v>
      </c>
      <c r="O60" s="265">
        <v>5.45</v>
      </c>
      <c r="P60" s="265">
        <v>5.45</v>
      </c>
      <c r="Q60" s="265">
        <v>5.45</v>
      </c>
      <c r="R60" s="265">
        <v>5.45</v>
      </c>
      <c r="S60" s="265">
        <v>5.45</v>
      </c>
      <c r="T60" s="265">
        <v>5.45</v>
      </c>
      <c r="U60" s="265">
        <v>5.45</v>
      </c>
      <c r="V60" s="265">
        <v>5.45</v>
      </c>
      <c r="W60" s="265">
        <v>5.45</v>
      </c>
      <c r="X60" s="265">
        <v>5.45</v>
      </c>
      <c r="Y60" s="265">
        <v>5.45</v>
      </c>
      <c r="Z60" s="265">
        <v>0</v>
      </c>
      <c r="AA60" s="265">
        <v>0</v>
      </c>
      <c r="AB60" s="265">
        <v>0</v>
      </c>
      <c r="AC60" s="265">
        <v>0</v>
      </c>
      <c r="AD60" s="265">
        <v>0</v>
      </c>
      <c r="AE60" s="265">
        <v>0</v>
      </c>
      <c r="AF60" s="265">
        <v>0</v>
      </c>
      <c r="AG60" s="265">
        <v>0</v>
      </c>
      <c r="AH60" s="265">
        <v>0</v>
      </c>
      <c r="AI60" s="265">
        <v>0</v>
      </c>
      <c r="AJ60" s="265">
        <v>0</v>
      </c>
      <c r="AK60" s="265">
        <v>0</v>
      </c>
      <c r="AL60" s="266" t="s">
        <v>573</v>
      </c>
      <c r="AM60" s="265">
        <f t="shared" si="12"/>
        <v>0</v>
      </c>
      <c r="AN60" s="266" t="s">
        <v>573</v>
      </c>
      <c r="AO60" s="265">
        <f t="shared" si="1"/>
        <v>0</v>
      </c>
      <c r="AP60" s="266">
        <v>0</v>
      </c>
      <c r="AQ60" s="265">
        <f t="shared" si="13"/>
        <v>0</v>
      </c>
      <c r="AR60" s="266">
        <v>0</v>
      </c>
      <c r="AS60" s="262">
        <f t="shared" si="14"/>
        <v>0</v>
      </c>
      <c r="AT60" s="266">
        <v>3640</v>
      </c>
      <c r="AU60" s="260">
        <f t="shared" si="15"/>
        <v>0</v>
      </c>
      <c r="AV60" s="259">
        <v>0</v>
      </c>
      <c r="AW60" s="260">
        <f t="shared" si="16"/>
        <v>0</v>
      </c>
      <c r="AX60" s="261">
        <v>3640</v>
      </c>
      <c r="AY60" s="260">
        <f t="shared" si="17"/>
        <v>0</v>
      </c>
      <c r="AZ60" s="259">
        <v>3640</v>
      </c>
      <c r="BA60" s="260">
        <f t="shared" si="18"/>
        <v>0</v>
      </c>
      <c r="BB60" s="259" t="s">
        <v>573</v>
      </c>
      <c r="BC60" s="260">
        <f t="shared" si="19"/>
        <v>0</v>
      </c>
      <c r="BD60" s="259" t="s">
        <v>573</v>
      </c>
      <c r="BE60" s="260">
        <f t="shared" si="20"/>
        <v>0</v>
      </c>
      <c r="BF60" s="259">
        <v>3640</v>
      </c>
      <c r="BG60" s="260">
        <f t="shared" si="21"/>
        <v>0</v>
      </c>
      <c r="BH60" s="259">
        <v>3640</v>
      </c>
      <c r="BI60" s="260">
        <f t="shared" si="11"/>
        <v>0</v>
      </c>
      <c r="BJ60" s="58"/>
      <c r="BK60" s="220"/>
      <c r="BL60" s="213" t="s">
        <v>754</v>
      </c>
      <c r="BM60" s="58" t="s">
        <v>604</v>
      </c>
    </row>
    <row r="61" spans="1:65" ht="15.75" customHeight="1">
      <c r="A61" s="213" t="s">
        <v>1437</v>
      </c>
      <c r="B61" s="58" t="s">
        <v>184</v>
      </c>
      <c r="C61" s="58" t="s">
        <v>752</v>
      </c>
      <c r="D61" s="214" t="s">
        <v>186</v>
      </c>
      <c r="E61" s="214" t="s">
        <v>186</v>
      </c>
      <c r="F61" s="215" t="s">
        <v>186</v>
      </c>
      <c r="G61" s="216">
        <v>2023</v>
      </c>
      <c r="H61" s="218" t="s">
        <v>1318</v>
      </c>
      <c r="I61" s="218" t="s">
        <v>196</v>
      </c>
      <c r="J61" s="217" t="s">
        <v>890</v>
      </c>
      <c r="K61" s="213" t="s">
        <v>753</v>
      </c>
      <c r="L61" s="213" t="s">
        <v>192</v>
      </c>
      <c r="M61" s="219" t="s">
        <v>1397</v>
      </c>
      <c r="N61" s="265">
        <v>5</v>
      </c>
      <c r="O61" s="265">
        <v>5</v>
      </c>
      <c r="P61" s="265">
        <v>5</v>
      </c>
      <c r="Q61" s="265">
        <v>5</v>
      </c>
      <c r="R61" s="265">
        <v>5</v>
      </c>
      <c r="S61" s="265">
        <v>5</v>
      </c>
      <c r="T61" s="265">
        <v>5</v>
      </c>
      <c r="U61" s="265">
        <v>5</v>
      </c>
      <c r="V61" s="265">
        <v>5</v>
      </c>
      <c r="W61" s="265">
        <v>5</v>
      </c>
      <c r="X61" s="265">
        <v>5</v>
      </c>
      <c r="Y61" s="265">
        <v>5</v>
      </c>
      <c r="Z61" s="265">
        <v>0</v>
      </c>
      <c r="AA61" s="265">
        <v>0</v>
      </c>
      <c r="AB61" s="265">
        <v>0</v>
      </c>
      <c r="AC61" s="265">
        <v>0</v>
      </c>
      <c r="AD61" s="265">
        <v>0</v>
      </c>
      <c r="AE61" s="265">
        <v>0</v>
      </c>
      <c r="AF61" s="265">
        <v>0</v>
      </c>
      <c r="AG61" s="265">
        <v>0</v>
      </c>
      <c r="AH61" s="265">
        <v>0</v>
      </c>
      <c r="AI61" s="265">
        <v>0</v>
      </c>
      <c r="AJ61" s="265">
        <v>0</v>
      </c>
      <c r="AK61" s="265">
        <v>0</v>
      </c>
      <c r="AL61" s="266" t="s">
        <v>573</v>
      </c>
      <c r="AM61" s="265">
        <f t="shared" si="12"/>
        <v>0</v>
      </c>
      <c r="AN61" s="266" t="s">
        <v>573</v>
      </c>
      <c r="AO61" s="265">
        <f t="shared" si="1"/>
        <v>0</v>
      </c>
      <c r="AP61" s="266">
        <v>0</v>
      </c>
      <c r="AQ61" s="265">
        <f t="shared" si="13"/>
        <v>0</v>
      </c>
      <c r="AR61" s="266">
        <v>0</v>
      </c>
      <c r="AS61" s="262">
        <f t="shared" si="14"/>
        <v>0</v>
      </c>
      <c r="AT61" s="266">
        <v>0</v>
      </c>
      <c r="AU61" s="260">
        <f t="shared" si="15"/>
        <v>0</v>
      </c>
      <c r="AV61" s="259">
        <v>0</v>
      </c>
      <c r="AW61" s="260">
        <f t="shared" si="16"/>
        <v>0</v>
      </c>
      <c r="AX61" s="261" t="s">
        <v>573</v>
      </c>
      <c r="AY61" s="260">
        <f t="shared" si="17"/>
        <v>0</v>
      </c>
      <c r="AZ61" s="259" t="s">
        <v>573</v>
      </c>
      <c r="BA61" s="260">
        <f t="shared" si="18"/>
        <v>0</v>
      </c>
      <c r="BB61" s="259" t="s">
        <v>573</v>
      </c>
      <c r="BC61" s="260">
        <f t="shared" si="19"/>
        <v>0</v>
      </c>
      <c r="BD61" s="259" t="s">
        <v>573</v>
      </c>
      <c r="BE61" s="260">
        <f t="shared" si="20"/>
        <v>0</v>
      </c>
      <c r="BF61" s="259" t="s">
        <v>573</v>
      </c>
      <c r="BG61" s="260">
        <f t="shared" si="21"/>
        <v>0</v>
      </c>
      <c r="BH61" s="259" t="s">
        <v>573</v>
      </c>
      <c r="BI61" s="260">
        <f t="shared" si="11"/>
        <v>0</v>
      </c>
      <c r="BJ61" s="58"/>
      <c r="BK61" s="220"/>
      <c r="BL61" s="213" t="s">
        <v>754</v>
      </c>
      <c r="BM61" s="58" t="s">
        <v>603</v>
      </c>
    </row>
    <row r="62" spans="1:65" ht="15.75" customHeight="1">
      <c r="A62" s="213" t="s">
        <v>1437</v>
      </c>
      <c r="B62" s="58" t="s">
        <v>184</v>
      </c>
      <c r="C62" s="58" t="s">
        <v>752</v>
      </c>
      <c r="D62" s="214" t="s">
        <v>186</v>
      </c>
      <c r="E62" s="214" t="s">
        <v>186</v>
      </c>
      <c r="F62" s="215" t="s">
        <v>186</v>
      </c>
      <c r="G62" s="216">
        <v>2022</v>
      </c>
      <c r="H62" s="218" t="s">
        <v>800</v>
      </c>
      <c r="I62" s="218" t="s">
        <v>196</v>
      </c>
      <c r="J62" s="217" t="s">
        <v>890</v>
      </c>
      <c r="K62" s="213" t="s">
        <v>221</v>
      </c>
      <c r="L62" s="213" t="s">
        <v>192</v>
      </c>
      <c r="M62" s="219" t="s">
        <v>1388</v>
      </c>
      <c r="N62" s="265">
        <v>24.21</v>
      </c>
      <c r="O62" s="265">
        <v>24.21</v>
      </c>
      <c r="P62" s="265">
        <v>24.21</v>
      </c>
      <c r="Q62" s="265">
        <v>24.21</v>
      </c>
      <c r="R62" s="265">
        <v>24.21</v>
      </c>
      <c r="S62" s="265">
        <v>24.21</v>
      </c>
      <c r="T62" s="265">
        <v>24.21</v>
      </c>
      <c r="U62" s="265">
        <v>24.21</v>
      </c>
      <c r="V62" s="265">
        <v>24.21</v>
      </c>
      <c r="W62" s="265">
        <v>24.21</v>
      </c>
      <c r="X62" s="265">
        <v>24.21</v>
      </c>
      <c r="Y62" s="265">
        <v>24.21</v>
      </c>
      <c r="Z62" s="265">
        <v>0.83</v>
      </c>
      <c r="AA62" s="265">
        <v>0.83</v>
      </c>
      <c r="AB62" s="265">
        <v>0.83</v>
      </c>
      <c r="AC62" s="265">
        <v>0.83</v>
      </c>
      <c r="AD62" s="265">
        <v>0.83</v>
      </c>
      <c r="AE62" s="265">
        <v>0.83</v>
      </c>
      <c r="AF62" s="265">
        <v>0.83</v>
      </c>
      <c r="AG62" s="265">
        <v>0.83</v>
      </c>
      <c r="AH62" s="265">
        <v>0.83</v>
      </c>
      <c r="AI62" s="265">
        <v>0.83</v>
      </c>
      <c r="AJ62" s="265">
        <v>0.83</v>
      </c>
      <c r="AK62" s="265">
        <v>0.83</v>
      </c>
      <c r="AL62" s="266">
        <v>1200</v>
      </c>
      <c r="AM62" s="265">
        <f t="shared" si="12"/>
        <v>996</v>
      </c>
      <c r="AN62" s="266" t="s">
        <v>573</v>
      </c>
      <c r="AO62" s="265">
        <f t="shared" si="1"/>
        <v>0</v>
      </c>
      <c r="AP62" s="266">
        <v>0</v>
      </c>
      <c r="AQ62" s="265">
        <f t="shared" si="13"/>
        <v>0</v>
      </c>
      <c r="AR62" s="266">
        <v>0</v>
      </c>
      <c r="AS62" s="262">
        <f t="shared" si="14"/>
        <v>0</v>
      </c>
      <c r="AT62" s="266">
        <v>0</v>
      </c>
      <c r="AU62" s="260">
        <f t="shared" si="15"/>
        <v>0</v>
      </c>
      <c r="AV62" s="259">
        <v>1200</v>
      </c>
      <c r="AW62" s="260">
        <f t="shared" si="16"/>
        <v>996</v>
      </c>
      <c r="AX62" s="261" t="s">
        <v>573</v>
      </c>
      <c r="AY62" s="260">
        <f t="shared" si="17"/>
        <v>0</v>
      </c>
      <c r="AZ62" s="259" t="s">
        <v>573</v>
      </c>
      <c r="BA62" s="260">
        <f t="shared" si="18"/>
        <v>0</v>
      </c>
      <c r="BB62" s="259" t="s">
        <v>573</v>
      </c>
      <c r="BC62" s="260">
        <f t="shared" si="19"/>
        <v>0</v>
      </c>
      <c r="BD62" s="259" t="s">
        <v>573</v>
      </c>
      <c r="BE62" s="260">
        <f t="shared" si="20"/>
        <v>0</v>
      </c>
      <c r="BF62" s="259" t="s">
        <v>573</v>
      </c>
      <c r="BG62" s="260">
        <f t="shared" si="21"/>
        <v>0</v>
      </c>
      <c r="BH62" s="259" t="s">
        <v>573</v>
      </c>
      <c r="BI62" s="260">
        <f t="shared" si="11"/>
        <v>0</v>
      </c>
      <c r="BJ62" s="58"/>
      <c r="BK62" s="220"/>
      <c r="BL62" s="213" t="s">
        <v>807</v>
      </c>
      <c r="BM62" s="58" t="s">
        <v>594</v>
      </c>
    </row>
    <row r="63" spans="1:65" ht="15.75" customHeight="1">
      <c r="A63" s="213" t="s">
        <v>1437</v>
      </c>
      <c r="B63" s="58" t="s">
        <v>184</v>
      </c>
      <c r="C63" s="58" t="s">
        <v>752</v>
      </c>
      <c r="D63" s="214" t="s">
        <v>186</v>
      </c>
      <c r="E63" s="214" t="s">
        <v>186</v>
      </c>
      <c r="F63" s="215" t="s">
        <v>186</v>
      </c>
      <c r="G63" s="216">
        <v>2023</v>
      </c>
      <c r="H63" s="218" t="s">
        <v>800</v>
      </c>
      <c r="I63" s="218" t="s">
        <v>196</v>
      </c>
      <c r="J63" s="217" t="s">
        <v>890</v>
      </c>
      <c r="K63" s="213" t="s">
        <v>221</v>
      </c>
      <c r="L63" s="213" t="s">
        <v>192</v>
      </c>
      <c r="M63" s="219" t="s">
        <v>1388</v>
      </c>
      <c r="N63" s="265">
        <v>24.21</v>
      </c>
      <c r="O63" s="265">
        <v>24.21</v>
      </c>
      <c r="P63" s="265">
        <v>24.21</v>
      </c>
      <c r="Q63" s="265">
        <v>24.21</v>
      </c>
      <c r="R63" s="265">
        <v>24.21</v>
      </c>
      <c r="S63" s="265">
        <v>24.21</v>
      </c>
      <c r="T63" s="265">
        <v>24.21</v>
      </c>
      <c r="U63" s="265">
        <v>24.21</v>
      </c>
      <c r="V63" s="265">
        <v>24.21</v>
      </c>
      <c r="W63" s="265">
        <v>24.21</v>
      </c>
      <c r="X63" s="265">
        <v>24.21</v>
      </c>
      <c r="Y63" s="265">
        <v>24.21</v>
      </c>
      <c r="Z63" s="265">
        <v>0.83</v>
      </c>
      <c r="AA63" s="265">
        <v>0.83</v>
      </c>
      <c r="AB63" s="265">
        <v>0.83</v>
      </c>
      <c r="AC63" s="265">
        <v>0.83</v>
      </c>
      <c r="AD63" s="265">
        <v>0.83</v>
      </c>
      <c r="AE63" s="265">
        <v>0.83</v>
      </c>
      <c r="AF63" s="265">
        <v>0.83</v>
      </c>
      <c r="AG63" s="265">
        <v>0.83</v>
      </c>
      <c r="AH63" s="265">
        <v>0.83</v>
      </c>
      <c r="AI63" s="265">
        <v>0.83</v>
      </c>
      <c r="AJ63" s="265">
        <v>0.83</v>
      </c>
      <c r="AK63" s="265">
        <v>0.83</v>
      </c>
      <c r="AL63" s="266">
        <v>1200</v>
      </c>
      <c r="AM63" s="265">
        <f t="shared" si="12"/>
        <v>996</v>
      </c>
      <c r="AN63" s="266" t="s">
        <v>573</v>
      </c>
      <c r="AO63" s="265">
        <f t="shared" si="1"/>
        <v>0</v>
      </c>
      <c r="AP63" s="266">
        <v>1200</v>
      </c>
      <c r="AQ63" s="265">
        <f t="shared" si="13"/>
        <v>996</v>
      </c>
      <c r="AR63" s="266">
        <v>0</v>
      </c>
      <c r="AS63" s="262">
        <f t="shared" si="14"/>
        <v>0</v>
      </c>
      <c r="AT63" s="266">
        <v>0</v>
      </c>
      <c r="AU63" s="260">
        <f t="shared" si="15"/>
        <v>0</v>
      </c>
      <c r="AV63" s="259">
        <v>1200</v>
      </c>
      <c r="AW63" s="260">
        <f t="shared" si="16"/>
        <v>996</v>
      </c>
      <c r="AX63" s="261" t="s">
        <v>573</v>
      </c>
      <c r="AY63" s="260">
        <f t="shared" si="17"/>
        <v>0</v>
      </c>
      <c r="AZ63" s="259">
        <v>1200</v>
      </c>
      <c r="BA63" s="260">
        <f t="shared" si="18"/>
        <v>996</v>
      </c>
      <c r="BB63" s="259">
        <v>1200</v>
      </c>
      <c r="BC63" s="260">
        <f t="shared" si="19"/>
        <v>996</v>
      </c>
      <c r="BD63" s="259">
        <v>1200</v>
      </c>
      <c r="BE63" s="260">
        <f t="shared" si="20"/>
        <v>996</v>
      </c>
      <c r="BF63" s="259">
        <v>1200</v>
      </c>
      <c r="BG63" s="260">
        <f t="shared" si="21"/>
        <v>996</v>
      </c>
      <c r="BH63" s="259" t="s">
        <v>573</v>
      </c>
      <c r="BI63" s="260">
        <f t="shared" si="11"/>
        <v>0</v>
      </c>
      <c r="BJ63" s="58"/>
      <c r="BK63" s="220"/>
      <c r="BL63" s="213" t="s">
        <v>754</v>
      </c>
      <c r="BM63" s="58" t="s">
        <v>595</v>
      </c>
    </row>
    <row r="64" spans="1:65" ht="15.75" customHeight="1">
      <c r="A64" s="213" t="s">
        <v>1437</v>
      </c>
      <c r="B64" s="58" t="s">
        <v>184</v>
      </c>
      <c r="C64" s="58" t="s">
        <v>752</v>
      </c>
      <c r="D64" s="214" t="s">
        <v>186</v>
      </c>
      <c r="E64" s="214" t="s">
        <v>186</v>
      </c>
      <c r="F64" s="215" t="s">
        <v>186</v>
      </c>
      <c r="G64" s="216">
        <v>2023</v>
      </c>
      <c r="H64" s="218" t="s">
        <v>800</v>
      </c>
      <c r="I64" s="218" t="s">
        <v>196</v>
      </c>
      <c r="J64" s="217" t="s">
        <v>890</v>
      </c>
      <c r="K64" s="213" t="s">
        <v>330</v>
      </c>
      <c r="L64" s="213" t="s">
        <v>192</v>
      </c>
      <c r="M64" s="219" t="s">
        <v>1388</v>
      </c>
      <c r="N64" s="265">
        <v>25.16</v>
      </c>
      <c r="O64" s="265">
        <v>25.16</v>
      </c>
      <c r="P64" s="265">
        <v>25.16</v>
      </c>
      <c r="Q64" s="265">
        <v>25.16</v>
      </c>
      <c r="R64" s="265">
        <v>25.16</v>
      </c>
      <c r="S64" s="265">
        <v>25.16</v>
      </c>
      <c r="T64" s="265">
        <v>25.16</v>
      </c>
      <c r="U64" s="265">
        <v>25.16</v>
      </c>
      <c r="V64" s="265">
        <v>25.16</v>
      </c>
      <c r="W64" s="265">
        <v>25.16</v>
      </c>
      <c r="X64" s="265">
        <v>25.16</v>
      </c>
      <c r="Y64" s="265">
        <v>25.16</v>
      </c>
      <c r="Z64" s="265">
        <v>0.83</v>
      </c>
      <c r="AA64" s="265">
        <v>0.83</v>
      </c>
      <c r="AB64" s="265">
        <v>0.83</v>
      </c>
      <c r="AC64" s="265">
        <v>0.83</v>
      </c>
      <c r="AD64" s="265">
        <v>0.83</v>
      </c>
      <c r="AE64" s="265">
        <v>0.83</v>
      </c>
      <c r="AF64" s="265">
        <v>0.83</v>
      </c>
      <c r="AG64" s="265">
        <v>0.83</v>
      </c>
      <c r="AH64" s="265">
        <v>0.83</v>
      </c>
      <c r="AI64" s="265">
        <v>0.83</v>
      </c>
      <c r="AJ64" s="265">
        <v>0.83</v>
      </c>
      <c r="AK64" s="265">
        <v>0.83</v>
      </c>
      <c r="AL64" s="266" t="s">
        <v>573</v>
      </c>
      <c r="AM64" s="265">
        <f t="shared" si="12"/>
        <v>0</v>
      </c>
      <c r="AN64" s="266" t="s">
        <v>573</v>
      </c>
      <c r="AO64" s="265">
        <f t="shared" si="1"/>
        <v>0</v>
      </c>
      <c r="AP64" s="266">
        <v>0</v>
      </c>
      <c r="AQ64" s="265">
        <f t="shared" si="13"/>
        <v>0</v>
      </c>
      <c r="AR64" s="266">
        <v>0</v>
      </c>
      <c r="AS64" s="262">
        <f t="shared" si="14"/>
        <v>0</v>
      </c>
      <c r="AT64" s="266">
        <v>0</v>
      </c>
      <c r="AU64" s="260">
        <f t="shared" si="15"/>
        <v>0</v>
      </c>
      <c r="AV64" s="259">
        <v>0</v>
      </c>
      <c r="AW64" s="260">
        <f t="shared" si="16"/>
        <v>0</v>
      </c>
      <c r="AX64" s="261" t="s">
        <v>573</v>
      </c>
      <c r="AY64" s="260">
        <f t="shared" si="17"/>
        <v>0</v>
      </c>
      <c r="AZ64" s="259" t="s">
        <v>573</v>
      </c>
      <c r="BA64" s="260">
        <f t="shared" si="18"/>
        <v>0</v>
      </c>
      <c r="BB64" s="259" t="s">
        <v>573</v>
      </c>
      <c r="BC64" s="260">
        <f t="shared" si="19"/>
        <v>0</v>
      </c>
      <c r="BD64" s="259" t="s">
        <v>573</v>
      </c>
      <c r="BE64" s="260">
        <f t="shared" si="20"/>
        <v>0</v>
      </c>
      <c r="BF64" s="259" t="s">
        <v>573</v>
      </c>
      <c r="BG64" s="260">
        <f t="shared" si="21"/>
        <v>0</v>
      </c>
      <c r="BH64" s="259" t="s">
        <v>573</v>
      </c>
      <c r="BI64" s="260">
        <f t="shared" si="11"/>
        <v>0</v>
      </c>
      <c r="BJ64" s="58"/>
      <c r="BK64" s="220"/>
      <c r="BL64" s="213" t="s">
        <v>807</v>
      </c>
      <c r="BM64" s="58" t="s">
        <v>596</v>
      </c>
    </row>
    <row r="65" spans="1:65" ht="15.75" customHeight="1">
      <c r="A65" s="213" t="s">
        <v>1437</v>
      </c>
      <c r="B65" s="58" t="s">
        <v>184</v>
      </c>
      <c r="C65" s="58" t="s">
        <v>752</v>
      </c>
      <c r="D65" s="214" t="s">
        <v>186</v>
      </c>
      <c r="E65" s="214" t="s">
        <v>186</v>
      </c>
      <c r="F65" s="215" t="s">
        <v>186</v>
      </c>
      <c r="G65" s="216">
        <v>2023</v>
      </c>
      <c r="H65" s="218" t="s">
        <v>800</v>
      </c>
      <c r="I65" s="218" t="s">
        <v>196</v>
      </c>
      <c r="J65" s="217" t="s">
        <v>890</v>
      </c>
      <c r="K65" s="213" t="s">
        <v>330</v>
      </c>
      <c r="L65" s="213" t="s">
        <v>192</v>
      </c>
      <c r="M65" s="219" t="s">
        <v>1388</v>
      </c>
      <c r="N65" s="265">
        <v>25.16</v>
      </c>
      <c r="O65" s="265">
        <v>25.16</v>
      </c>
      <c r="P65" s="265">
        <v>25.16</v>
      </c>
      <c r="Q65" s="265">
        <v>25.16</v>
      </c>
      <c r="R65" s="265">
        <v>25.16</v>
      </c>
      <c r="S65" s="265">
        <v>25.16</v>
      </c>
      <c r="T65" s="265">
        <v>25.16</v>
      </c>
      <c r="U65" s="265">
        <v>25.16</v>
      </c>
      <c r="V65" s="265">
        <v>25.16</v>
      </c>
      <c r="W65" s="265">
        <v>25.16</v>
      </c>
      <c r="X65" s="265">
        <v>25.16</v>
      </c>
      <c r="Y65" s="265">
        <v>25.16</v>
      </c>
      <c r="Z65" s="265">
        <v>0.83</v>
      </c>
      <c r="AA65" s="265">
        <v>0.83</v>
      </c>
      <c r="AB65" s="265">
        <v>0.83</v>
      </c>
      <c r="AC65" s="265">
        <v>0.83</v>
      </c>
      <c r="AD65" s="265">
        <v>0.83</v>
      </c>
      <c r="AE65" s="265">
        <v>0.83</v>
      </c>
      <c r="AF65" s="265">
        <v>0.83</v>
      </c>
      <c r="AG65" s="265">
        <v>0.83</v>
      </c>
      <c r="AH65" s="265">
        <v>0.83</v>
      </c>
      <c r="AI65" s="265">
        <v>0.83</v>
      </c>
      <c r="AJ65" s="265">
        <v>0.83</v>
      </c>
      <c r="AK65" s="265">
        <v>0.83</v>
      </c>
      <c r="AL65" s="266" t="s">
        <v>573</v>
      </c>
      <c r="AM65" s="265">
        <f t="shared" si="12"/>
        <v>0</v>
      </c>
      <c r="AN65" s="266" t="s">
        <v>573</v>
      </c>
      <c r="AO65" s="265">
        <f t="shared" si="1"/>
        <v>0</v>
      </c>
      <c r="AP65" s="266">
        <v>0</v>
      </c>
      <c r="AQ65" s="265">
        <f t="shared" si="13"/>
        <v>0</v>
      </c>
      <c r="AR65" s="266">
        <v>0</v>
      </c>
      <c r="AS65" s="262">
        <f t="shared" si="14"/>
        <v>0</v>
      </c>
      <c r="AT65" s="266">
        <v>0</v>
      </c>
      <c r="AU65" s="260">
        <f t="shared" si="15"/>
        <v>0</v>
      </c>
      <c r="AV65" s="259">
        <v>0</v>
      </c>
      <c r="AW65" s="260">
        <f t="shared" si="16"/>
        <v>0</v>
      </c>
      <c r="AX65" s="261" t="s">
        <v>573</v>
      </c>
      <c r="AY65" s="260">
        <f t="shared" si="17"/>
        <v>0</v>
      </c>
      <c r="AZ65" s="259" t="s">
        <v>573</v>
      </c>
      <c r="BA65" s="260">
        <f t="shared" si="18"/>
        <v>0</v>
      </c>
      <c r="BB65" s="259" t="s">
        <v>573</v>
      </c>
      <c r="BC65" s="260">
        <f t="shared" si="19"/>
        <v>0</v>
      </c>
      <c r="BD65" s="259" t="s">
        <v>573</v>
      </c>
      <c r="BE65" s="260">
        <f t="shared" si="20"/>
        <v>0</v>
      </c>
      <c r="BF65" s="259" t="s">
        <v>573</v>
      </c>
      <c r="BG65" s="260">
        <f t="shared" si="21"/>
        <v>0</v>
      </c>
      <c r="BH65" s="259" t="s">
        <v>573</v>
      </c>
      <c r="BI65" s="260">
        <f t="shared" si="11"/>
        <v>0</v>
      </c>
      <c r="BJ65" s="58"/>
      <c r="BK65" s="220"/>
      <c r="BL65" s="213" t="s">
        <v>754</v>
      </c>
      <c r="BM65" s="213" t="s">
        <v>597</v>
      </c>
    </row>
    <row r="66" spans="1:65" ht="15.75" customHeight="1">
      <c r="A66" s="213" t="s">
        <v>1437</v>
      </c>
      <c r="B66" s="58" t="s">
        <v>184</v>
      </c>
      <c r="C66" s="58" t="s">
        <v>752</v>
      </c>
      <c r="D66" s="214" t="s">
        <v>186</v>
      </c>
      <c r="E66" s="214" t="s">
        <v>186</v>
      </c>
      <c r="F66" s="215" t="s">
        <v>186</v>
      </c>
      <c r="G66" s="216">
        <v>2022</v>
      </c>
      <c r="H66" s="218" t="s">
        <v>800</v>
      </c>
      <c r="I66" s="218" t="s">
        <v>196</v>
      </c>
      <c r="J66" s="217" t="s">
        <v>890</v>
      </c>
      <c r="K66" s="213" t="s">
        <v>221</v>
      </c>
      <c r="L66" s="213" t="s">
        <v>192</v>
      </c>
      <c r="M66" s="219" t="s">
        <v>1388</v>
      </c>
      <c r="N66" s="265">
        <v>24.21</v>
      </c>
      <c r="O66" s="265">
        <v>24.21</v>
      </c>
      <c r="P66" s="265">
        <v>24.21</v>
      </c>
      <c r="Q66" s="265">
        <v>24.21</v>
      </c>
      <c r="R66" s="265">
        <v>24.21</v>
      </c>
      <c r="S66" s="265">
        <v>24.21</v>
      </c>
      <c r="T66" s="265">
        <v>24.21</v>
      </c>
      <c r="U66" s="265">
        <v>24.21</v>
      </c>
      <c r="V66" s="265">
        <v>24.21</v>
      </c>
      <c r="W66" s="265">
        <v>24.21</v>
      </c>
      <c r="X66" s="265">
        <v>24.21</v>
      </c>
      <c r="Y66" s="265">
        <v>24.21</v>
      </c>
      <c r="Z66" s="265">
        <v>0.83</v>
      </c>
      <c r="AA66" s="265">
        <v>0.83</v>
      </c>
      <c r="AB66" s="265">
        <v>0.83</v>
      </c>
      <c r="AC66" s="265">
        <v>0.83</v>
      </c>
      <c r="AD66" s="265">
        <v>0.83</v>
      </c>
      <c r="AE66" s="265">
        <v>0.83</v>
      </c>
      <c r="AF66" s="265">
        <v>0.83</v>
      </c>
      <c r="AG66" s="265">
        <v>0.83</v>
      </c>
      <c r="AH66" s="265">
        <v>0.83</v>
      </c>
      <c r="AI66" s="265">
        <v>0.83</v>
      </c>
      <c r="AJ66" s="265">
        <v>0.83</v>
      </c>
      <c r="AK66" s="265">
        <v>0.83</v>
      </c>
      <c r="AL66" s="266" t="s">
        <v>573</v>
      </c>
      <c r="AM66" s="265">
        <f t="shared" si="12"/>
        <v>0</v>
      </c>
      <c r="AN66" s="266" t="s">
        <v>573</v>
      </c>
      <c r="AO66" s="265">
        <f t="shared" si="1"/>
        <v>0</v>
      </c>
      <c r="AP66" s="266">
        <v>0</v>
      </c>
      <c r="AQ66" s="265">
        <f t="shared" si="13"/>
        <v>0</v>
      </c>
      <c r="AR66" s="266">
        <v>0</v>
      </c>
      <c r="AS66" s="262">
        <f t="shared" si="14"/>
        <v>0</v>
      </c>
      <c r="AT66" s="266">
        <v>0</v>
      </c>
      <c r="AU66" s="260">
        <f t="shared" si="15"/>
        <v>0</v>
      </c>
      <c r="AV66" s="259">
        <v>0</v>
      </c>
      <c r="AW66" s="260">
        <f t="shared" si="16"/>
        <v>0</v>
      </c>
      <c r="AX66" s="261" t="s">
        <v>573</v>
      </c>
      <c r="AY66" s="260">
        <f t="shared" si="17"/>
        <v>0</v>
      </c>
      <c r="AZ66" s="259" t="s">
        <v>573</v>
      </c>
      <c r="BA66" s="260">
        <f t="shared" si="18"/>
        <v>0</v>
      </c>
      <c r="BB66" s="259" t="s">
        <v>573</v>
      </c>
      <c r="BC66" s="260">
        <f t="shared" si="19"/>
        <v>0</v>
      </c>
      <c r="BD66" s="259">
        <v>240</v>
      </c>
      <c r="BE66" s="260">
        <f t="shared" si="20"/>
        <v>199.2</v>
      </c>
      <c r="BF66" s="259" t="s">
        <v>573</v>
      </c>
      <c r="BG66" s="260">
        <f t="shared" si="21"/>
        <v>0</v>
      </c>
      <c r="BH66" s="259" t="s">
        <v>573</v>
      </c>
      <c r="BI66" s="260">
        <f t="shared" si="11"/>
        <v>0</v>
      </c>
      <c r="BJ66" s="58"/>
      <c r="BK66" s="220"/>
      <c r="BL66" s="213" t="s">
        <v>807</v>
      </c>
      <c r="BM66" s="213" t="s">
        <v>599</v>
      </c>
    </row>
    <row r="67" spans="1:65" ht="15.75" customHeight="1">
      <c r="A67" s="213" t="s">
        <v>1437</v>
      </c>
      <c r="B67" s="58" t="s">
        <v>184</v>
      </c>
      <c r="C67" s="58" t="s">
        <v>752</v>
      </c>
      <c r="D67" s="214" t="s">
        <v>186</v>
      </c>
      <c r="E67" s="214" t="s">
        <v>186</v>
      </c>
      <c r="F67" s="215" t="s">
        <v>186</v>
      </c>
      <c r="G67" s="216">
        <v>2023</v>
      </c>
      <c r="H67" s="218" t="s">
        <v>800</v>
      </c>
      <c r="I67" s="218" t="s">
        <v>196</v>
      </c>
      <c r="J67" s="217" t="s">
        <v>890</v>
      </c>
      <c r="K67" s="213" t="s">
        <v>221</v>
      </c>
      <c r="L67" s="213" t="s">
        <v>192</v>
      </c>
      <c r="M67" s="219" t="s">
        <v>1389</v>
      </c>
      <c r="N67" s="265">
        <v>24.21</v>
      </c>
      <c r="O67" s="265">
        <v>24.21</v>
      </c>
      <c r="P67" s="265">
        <v>24.21</v>
      </c>
      <c r="Q67" s="265">
        <v>24.21</v>
      </c>
      <c r="R67" s="265">
        <v>24.21</v>
      </c>
      <c r="S67" s="265">
        <v>24.21</v>
      </c>
      <c r="T67" s="265">
        <v>24.21</v>
      </c>
      <c r="U67" s="265">
        <v>24.21</v>
      </c>
      <c r="V67" s="265">
        <v>24.21</v>
      </c>
      <c r="W67" s="265">
        <v>24.21</v>
      </c>
      <c r="X67" s="265">
        <v>24.21</v>
      </c>
      <c r="Y67" s="265">
        <v>24.21</v>
      </c>
      <c r="Z67" s="265">
        <v>0.83</v>
      </c>
      <c r="AA67" s="265">
        <v>0.83</v>
      </c>
      <c r="AB67" s="265">
        <v>0.83</v>
      </c>
      <c r="AC67" s="265">
        <v>0.83</v>
      </c>
      <c r="AD67" s="265">
        <v>0.83</v>
      </c>
      <c r="AE67" s="265">
        <v>0.83</v>
      </c>
      <c r="AF67" s="265">
        <v>0.83</v>
      </c>
      <c r="AG67" s="265">
        <v>0.83</v>
      </c>
      <c r="AH67" s="265">
        <v>0.83</v>
      </c>
      <c r="AI67" s="265">
        <v>0.83</v>
      </c>
      <c r="AJ67" s="265">
        <v>0.83</v>
      </c>
      <c r="AK67" s="265">
        <v>0.83</v>
      </c>
      <c r="AL67" s="266">
        <v>1200</v>
      </c>
      <c r="AM67" s="265">
        <f t="shared" ref="AM67:AM98" si="22">Z67*AL67</f>
        <v>996</v>
      </c>
      <c r="AN67" s="266" t="s">
        <v>573</v>
      </c>
      <c r="AO67" s="265">
        <f t="shared" ref="AO67:AO130" si="23">AN67*AA67</f>
        <v>0</v>
      </c>
      <c r="AP67" s="266">
        <v>0</v>
      </c>
      <c r="AQ67" s="265">
        <f t="shared" ref="AQ67:AQ98" si="24">AP67*AB67</f>
        <v>0</v>
      </c>
      <c r="AR67" s="266">
        <v>0</v>
      </c>
      <c r="AS67" s="262">
        <f t="shared" ref="AS67:AS98" si="25">AR67*AC67</f>
        <v>0</v>
      </c>
      <c r="AT67" s="266">
        <v>0</v>
      </c>
      <c r="AU67" s="260">
        <f t="shared" ref="AU67:AU98" si="26">AT67*AD67</f>
        <v>0</v>
      </c>
      <c r="AV67" s="259">
        <v>0</v>
      </c>
      <c r="AW67" s="260">
        <f t="shared" ref="AW67:AW98" si="27">AV67*AE67</f>
        <v>0</v>
      </c>
      <c r="AX67" s="261" t="s">
        <v>573</v>
      </c>
      <c r="AY67" s="260">
        <f t="shared" ref="AY67:AY98" si="28">AX67*AF67</f>
        <v>0</v>
      </c>
      <c r="AZ67" s="259" t="s">
        <v>573</v>
      </c>
      <c r="BA67" s="260">
        <f t="shared" ref="BA67:BA98" si="29">AZ67*AG67</f>
        <v>0</v>
      </c>
      <c r="BB67" s="259">
        <v>1200</v>
      </c>
      <c r="BC67" s="260">
        <f t="shared" ref="BC67:BC98" si="30">BB67*AH67</f>
        <v>996</v>
      </c>
      <c r="BD67" s="259">
        <v>1200</v>
      </c>
      <c r="BE67" s="260">
        <f t="shared" ref="BE67:BE98" si="31">BD67*AI67</f>
        <v>996</v>
      </c>
      <c r="BF67" s="259" t="s">
        <v>573</v>
      </c>
      <c r="BG67" s="260">
        <f t="shared" ref="BG67:BG98" si="32">BF67*AJ67</f>
        <v>0</v>
      </c>
      <c r="BH67" s="259">
        <v>1200</v>
      </c>
      <c r="BI67" s="260">
        <f t="shared" ref="BI67:BI130" si="33">BH67*AK67</f>
        <v>996</v>
      </c>
      <c r="BJ67" s="58"/>
      <c r="BK67" s="220"/>
      <c r="BL67" s="213" t="s">
        <v>763</v>
      </c>
      <c r="BM67" s="213" t="s">
        <v>598</v>
      </c>
    </row>
    <row r="68" spans="1:65" ht="15.75" customHeight="1">
      <c r="A68" s="213" t="s">
        <v>1437</v>
      </c>
      <c r="B68" s="58" t="s">
        <v>184</v>
      </c>
      <c r="C68" s="58" t="s">
        <v>752</v>
      </c>
      <c r="D68" s="214" t="s">
        <v>186</v>
      </c>
      <c r="E68" s="214" t="s">
        <v>186</v>
      </c>
      <c r="F68" s="215" t="s">
        <v>186</v>
      </c>
      <c r="G68" s="216">
        <v>2023</v>
      </c>
      <c r="H68" s="218" t="s">
        <v>800</v>
      </c>
      <c r="I68" s="218" t="s">
        <v>196</v>
      </c>
      <c r="J68" s="217" t="s">
        <v>890</v>
      </c>
      <c r="K68" s="213" t="s">
        <v>221</v>
      </c>
      <c r="L68" s="213" t="s">
        <v>192</v>
      </c>
      <c r="M68" s="219" t="s">
        <v>1388</v>
      </c>
      <c r="N68" s="265">
        <v>24.21</v>
      </c>
      <c r="O68" s="265">
        <v>24.21</v>
      </c>
      <c r="P68" s="265">
        <v>24.21</v>
      </c>
      <c r="Q68" s="265">
        <v>24.21</v>
      </c>
      <c r="R68" s="265">
        <v>24.21</v>
      </c>
      <c r="S68" s="265">
        <v>24.21</v>
      </c>
      <c r="T68" s="265">
        <v>24.21</v>
      </c>
      <c r="U68" s="265">
        <v>24.21</v>
      </c>
      <c r="V68" s="265">
        <v>24.21</v>
      </c>
      <c r="W68" s="265">
        <v>24.21</v>
      </c>
      <c r="X68" s="265">
        <v>24.21</v>
      </c>
      <c r="Y68" s="265">
        <v>24.21</v>
      </c>
      <c r="Z68" s="265">
        <v>0.83</v>
      </c>
      <c r="AA68" s="265">
        <v>0.83</v>
      </c>
      <c r="AB68" s="265">
        <v>0.83</v>
      </c>
      <c r="AC68" s="265">
        <v>0.83</v>
      </c>
      <c r="AD68" s="265">
        <v>0.83</v>
      </c>
      <c r="AE68" s="265">
        <v>0.83</v>
      </c>
      <c r="AF68" s="265">
        <v>0.83</v>
      </c>
      <c r="AG68" s="265">
        <v>0.83</v>
      </c>
      <c r="AH68" s="265">
        <v>0.83</v>
      </c>
      <c r="AI68" s="265">
        <v>0.83</v>
      </c>
      <c r="AJ68" s="265">
        <v>0.83</v>
      </c>
      <c r="AK68" s="265">
        <v>0.83</v>
      </c>
      <c r="AL68" s="266" t="s">
        <v>573</v>
      </c>
      <c r="AM68" s="265">
        <f t="shared" si="22"/>
        <v>0</v>
      </c>
      <c r="AN68" s="266" t="s">
        <v>573</v>
      </c>
      <c r="AO68" s="265">
        <f t="shared" si="23"/>
        <v>0</v>
      </c>
      <c r="AP68" s="266">
        <v>1200</v>
      </c>
      <c r="AQ68" s="265">
        <f t="shared" si="24"/>
        <v>996</v>
      </c>
      <c r="AR68" s="266">
        <v>0</v>
      </c>
      <c r="AS68" s="262">
        <f t="shared" si="25"/>
        <v>0</v>
      </c>
      <c r="AT68" s="266">
        <v>0</v>
      </c>
      <c r="AU68" s="260">
        <f t="shared" si="26"/>
        <v>0</v>
      </c>
      <c r="AV68" s="259">
        <v>1200</v>
      </c>
      <c r="AW68" s="260">
        <f t="shared" si="27"/>
        <v>996</v>
      </c>
      <c r="AX68" s="261" t="s">
        <v>573</v>
      </c>
      <c r="AY68" s="260">
        <f t="shared" si="28"/>
        <v>0</v>
      </c>
      <c r="AZ68" s="259" t="s">
        <v>573</v>
      </c>
      <c r="BA68" s="260">
        <f t="shared" si="29"/>
        <v>0</v>
      </c>
      <c r="BB68" s="259" t="s">
        <v>573</v>
      </c>
      <c r="BC68" s="260">
        <f t="shared" si="30"/>
        <v>0</v>
      </c>
      <c r="BD68" s="259" t="s">
        <v>573</v>
      </c>
      <c r="BE68" s="260">
        <f t="shared" si="31"/>
        <v>0</v>
      </c>
      <c r="BF68" s="259" t="s">
        <v>573</v>
      </c>
      <c r="BG68" s="260">
        <f t="shared" si="32"/>
        <v>0</v>
      </c>
      <c r="BH68" s="259" t="s">
        <v>573</v>
      </c>
      <c r="BI68" s="260">
        <f t="shared" si="33"/>
        <v>0</v>
      </c>
      <c r="BJ68" s="58"/>
      <c r="BK68" s="220"/>
      <c r="BL68" s="213" t="s">
        <v>754</v>
      </c>
      <c r="BM68" s="213" t="s">
        <v>600</v>
      </c>
    </row>
    <row r="69" spans="1:65" ht="15.75" customHeight="1">
      <c r="A69" s="213" t="s">
        <v>1437</v>
      </c>
      <c r="B69" s="58" t="s">
        <v>184</v>
      </c>
      <c r="C69" s="58" t="s">
        <v>752</v>
      </c>
      <c r="D69" s="214" t="s">
        <v>186</v>
      </c>
      <c r="E69" s="214" t="s">
        <v>186</v>
      </c>
      <c r="F69" s="215" t="s">
        <v>186</v>
      </c>
      <c r="G69" s="216">
        <v>2016</v>
      </c>
      <c r="H69" s="218" t="s">
        <v>794</v>
      </c>
      <c r="I69" s="218" t="s">
        <v>196</v>
      </c>
      <c r="J69" s="217" t="s">
        <v>890</v>
      </c>
      <c r="K69" s="213" t="s">
        <v>221</v>
      </c>
      <c r="L69" s="213" t="s">
        <v>192</v>
      </c>
      <c r="M69" s="219" t="s">
        <v>1388</v>
      </c>
      <c r="N69" s="265">
        <v>5.24</v>
      </c>
      <c r="O69" s="265">
        <v>5.24</v>
      </c>
      <c r="P69" s="265">
        <v>5.24</v>
      </c>
      <c r="Q69" s="265">
        <v>5.24</v>
      </c>
      <c r="R69" s="265">
        <v>5.24</v>
      </c>
      <c r="S69" s="265">
        <v>5.24</v>
      </c>
      <c r="T69" s="265">
        <v>5.24</v>
      </c>
      <c r="U69" s="265">
        <v>5.24</v>
      </c>
      <c r="V69" s="265">
        <v>5.24</v>
      </c>
      <c r="W69" s="265">
        <v>5.24</v>
      </c>
      <c r="X69" s="265">
        <v>5.24</v>
      </c>
      <c r="Y69" s="265">
        <v>5.24</v>
      </c>
      <c r="Z69" s="265">
        <v>0.14000000000000001</v>
      </c>
      <c r="AA69" s="265">
        <v>0.14000000000000001</v>
      </c>
      <c r="AB69" s="265">
        <v>0.14000000000000001</v>
      </c>
      <c r="AC69" s="265">
        <v>0.14000000000000001</v>
      </c>
      <c r="AD69" s="265">
        <v>0.14000000000000001</v>
      </c>
      <c r="AE69" s="265">
        <v>0.14000000000000001</v>
      </c>
      <c r="AF69" s="265">
        <v>0.14000000000000001</v>
      </c>
      <c r="AG69" s="265">
        <v>0.14000000000000001</v>
      </c>
      <c r="AH69" s="265">
        <v>0.14000000000000001</v>
      </c>
      <c r="AI69" s="265">
        <v>0.14000000000000001</v>
      </c>
      <c r="AJ69" s="265">
        <v>0.14000000000000001</v>
      </c>
      <c r="AK69" s="265">
        <v>0.14000000000000001</v>
      </c>
      <c r="AL69" s="266" t="s">
        <v>573</v>
      </c>
      <c r="AM69" s="265">
        <f t="shared" si="22"/>
        <v>0</v>
      </c>
      <c r="AN69" s="266">
        <v>1560</v>
      </c>
      <c r="AO69" s="265">
        <f t="shared" si="23"/>
        <v>218.40000000000003</v>
      </c>
      <c r="AP69" s="266">
        <v>3120</v>
      </c>
      <c r="AQ69" s="265">
        <f t="shared" si="24"/>
        <v>436.80000000000007</v>
      </c>
      <c r="AR69" s="266">
        <v>0</v>
      </c>
      <c r="AS69" s="262">
        <f t="shared" si="25"/>
        <v>0</v>
      </c>
      <c r="AT69" s="266">
        <v>1560</v>
      </c>
      <c r="AU69" s="260">
        <f t="shared" si="26"/>
        <v>218.40000000000003</v>
      </c>
      <c r="AV69" s="259">
        <v>0</v>
      </c>
      <c r="AW69" s="260">
        <f t="shared" si="27"/>
        <v>0</v>
      </c>
      <c r="AX69" s="261">
        <v>1560</v>
      </c>
      <c r="AY69" s="260">
        <f t="shared" si="28"/>
        <v>218.40000000000003</v>
      </c>
      <c r="AZ69" s="259">
        <v>1560</v>
      </c>
      <c r="BA69" s="260">
        <f t="shared" si="29"/>
        <v>218.40000000000003</v>
      </c>
      <c r="BB69" s="259">
        <v>1560</v>
      </c>
      <c r="BC69" s="260">
        <f t="shared" si="30"/>
        <v>218.40000000000003</v>
      </c>
      <c r="BD69" s="259">
        <v>1560</v>
      </c>
      <c r="BE69" s="260">
        <f t="shared" si="31"/>
        <v>218.40000000000003</v>
      </c>
      <c r="BF69" s="259">
        <v>1560</v>
      </c>
      <c r="BG69" s="260">
        <f t="shared" si="32"/>
        <v>218.40000000000003</v>
      </c>
      <c r="BH69" s="259" t="s">
        <v>573</v>
      </c>
      <c r="BI69" s="260">
        <f t="shared" si="33"/>
        <v>0</v>
      </c>
      <c r="BJ69" s="58"/>
      <c r="BK69" s="220"/>
      <c r="BL69" s="213" t="s">
        <v>754</v>
      </c>
      <c r="BM69" s="213" t="s">
        <v>699</v>
      </c>
    </row>
    <row r="70" spans="1:65" ht="15.75" customHeight="1">
      <c r="A70" s="213" t="s">
        <v>1437</v>
      </c>
      <c r="B70" s="58" t="s">
        <v>184</v>
      </c>
      <c r="C70" s="58" t="s">
        <v>752</v>
      </c>
      <c r="D70" s="214" t="s">
        <v>186</v>
      </c>
      <c r="E70" s="214" t="s">
        <v>186</v>
      </c>
      <c r="F70" s="215" t="s">
        <v>186</v>
      </c>
      <c r="G70" s="216">
        <v>2016</v>
      </c>
      <c r="H70" s="218" t="s">
        <v>794</v>
      </c>
      <c r="I70" s="218" t="s">
        <v>196</v>
      </c>
      <c r="J70" s="217" t="s">
        <v>890</v>
      </c>
      <c r="K70" s="213" t="s">
        <v>235</v>
      </c>
      <c r="L70" s="213" t="s">
        <v>192</v>
      </c>
      <c r="M70" s="219" t="s">
        <v>1389</v>
      </c>
      <c r="N70" s="265">
        <v>4.87</v>
      </c>
      <c r="O70" s="265">
        <v>4.87</v>
      </c>
      <c r="P70" s="265">
        <v>4.87</v>
      </c>
      <c r="Q70" s="265">
        <v>4.87</v>
      </c>
      <c r="R70" s="265">
        <v>4.87</v>
      </c>
      <c r="S70" s="265">
        <v>4.87</v>
      </c>
      <c r="T70" s="265">
        <v>4.87</v>
      </c>
      <c r="U70" s="265">
        <v>4.87</v>
      </c>
      <c r="V70" s="265">
        <v>4.87</v>
      </c>
      <c r="W70" s="265">
        <v>4.87</v>
      </c>
      <c r="X70" s="265">
        <v>4.87</v>
      </c>
      <c r="Y70" s="265">
        <v>4.87</v>
      </c>
      <c r="Z70" s="265">
        <v>0.05</v>
      </c>
      <c r="AA70" s="265">
        <v>0.05</v>
      </c>
      <c r="AB70" s="265">
        <v>0.05</v>
      </c>
      <c r="AC70" s="265">
        <v>0.05</v>
      </c>
      <c r="AD70" s="265">
        <v>0.05</v>
      </c>
      <c r="AE70" s="265">
        <v>0.05</v>
      </c>
      <c r="AF70" s="265">
        <v>0.05</v>
      </c>
      <c r="AG70" s="265">
        <v>0.05</v>
      </c>
      <c r="AH70" s="265">
        <v>0.05</v>
      </c>
      <c r="AI70" s="265">
        <v>0.05</v>
      </c>
      <c r="AJ70" s="265">
        <v>0.05</v>
      </c>
      <c r="AK70" s="265">
        <v>0.05</v>
      </c>
      <c r="AL70" s="266">
        <v>8640</v>
      </c>
      <c r="AM70" s="265">
        <f t="shared" si="22"/>
        <v>432</v>
      </c>
      <c r="AN70" s="266" t="s">
        <v>573</v>
      </c>
      <c r="AO70" s="265">
        <f t="shared" si="23"/>
        <v>0</v>
      </c>
      <c r="AP70" s="266">
        <v>0</v>
      </c>
      <c r="AQ70" s="265">
        <f t="shared" si="24"/>
        <v>0</v>
      </c>
      <c r="AR70" s="266">
        <v>0</v>
      </c>
      <c r="AS70" s="262">
        <f t="shared" si="25"/>
        <v>0</v>
      </c>
      <c r="AT70" s="266">
        <v>0</v>
      </c>
      <c r="AU70" s="260">
        <f t="shared" si="26"/>
        <v>0</v>
      </c>
      <c r="AV70" s="259">
        <v>0</v>
      </c>
      <c r="AW70" s="260">
        <f t="shared" si="27"/>
        <v>0</v>
      </c>
      <c r="AX70" s="261" t="s">
        <v>573</v>
      </c>
      <c r="AY70" s="260">
        <f t="shared" si="28"/>
        <v>0</v>
      </c>
      <c r="AZ70" s="259">
        <v>4320</v>
      </c>
      <c r="BA70" s="260">
        <f t="shared" si="29"/>
        <v>216</v>
      </c>
      <c r="BB70" s="259" t="s">
        <v>573</v>
      </c>
      <c r="BC70" s="260">
        <f t="shared" si="30"/>
        <v>0</v>
      </c>
      <c r="BD70" s="259">
        <v>4320</v>
      </c>
      <c r="BE70" s="260">
        <f t="shared" si="31"/>
        <v>216</v>
      </c>
      <c r="BF70" s="259">
        <v>3000</v>
      </c>
      <c r="BG70" s="260">
        <f t="shared" si="32"/>
        <v>150</v>
      </c>
      <c r="BH70" s="259" t="s">
        <v>573</v>
      </c>
      <c r="BI70" s="260">
        <f t="shared" si="33"/>
        <v>0</v>
      </c>
      <c r="BJ70" s="58"/>
      <c r="BK70" s="220"/>
      <c r="BL70" s="213" t="s">
        <v>763</v>
      </c>
      <c r="BM70" s="213" t="s">
        <v>700</v>
      </c>
    </row>
    <row r="71" spans="1:65" ht="15.75" customHeight="1">
      <c r="A71" s="213" t="s">
        <v>1437</v>
      </c>
      <c r="B71" s="58" t="s">
        <v>184</v>
      </c>
      <c r="C71" s="58" t="s">
        <v>752</v>
      </c>
      <c r="D71" s="214" t="s">
        <v>186</v>
      </c>
      <c r="E71" s="214" t="s">
        <v>186</v>
      </c>
      <c r="F71" s="215" t="s">
        <v>186</v>
      </c>
      <c r="G71" s="216">
        <v>2016</v>
      </c>
      <c r="H71" s="218" t="s">
        <v>794</v>
      </c>
      <c r="I71" s="218" t="s">
        <v>196</v>
      </c>
      <c r="J71" s="217" t="s">
        <v>890</v>
      </c>
      <c r="K71" s="213" t="s">
        <v>235</v>
      </c>
      <c r="L71" s="213" t="s">
        <v>192</v>
      </c>
      <c r="M71" s="219" t="s">
        <v>1388</v>
      </c>
      <c r="N71" s="265">
        <v>5.32</v>
      </c>
      <c r="O71" s="265">
        <v>5.32</v>
      </c>
      <c r="P71" s="265">
        <v>5.32</v>
      </c>
      <c r="Q71" s="265">
        <v>5.32</v>
      </c>
      <c r="R71" s="265">
        <v>5.32</v>
      </c>
      <c r="S71" s="265">
        <v>5.32</v>
      </c>
      <c r="T71" s="265">
        <v>5.32</v>
      </c>
      <c r="U71" s="265">
        <v>5.32</v>
      </c>
      <c r="V71" s="265">
        <v>5.32</v>
      </c>
      <c r="W71" s="265">
        <v>5.32</v>
      </c>
      <c r="X71" s="265">
        <v>5.32</v>
      </c>
      <c r="Y71" s="265">
        <v>5.32</v>
      </c>
      <c r="Z71" s="265">
        <v>0.14000000000000001</v>
      </c>
      <c r="AA71" s="265">
        <v>0.14000000000000001</v>
      </c>
      <c r="AB71" s="265">
        <v>0.14000000000000001</v>
      </c>
      <c r="AC71" s="265">
        <v>0.14000000000000001</v>
      </c>
      <c r="AD71" s="265">
        <v>0.14000000000000001</v>
      </c>
      <c r="AE71" s="265">
        <v>0.14000000000000001</v>
      </c>
      <c r="AF71" s="265">
        <v>0.14000000000000001</v>
      </c>
      <c r="AG71" s="265">
        <v>0.14000000000000001</v>
      </c>
      <c r="AH71" s="265">
        <v>0.14000000000000001</v>
      </c>
      <c r="AI71" s="265">
        <v>0.14000000000000001</v>
      </c>
      <c r="AJ71" s="265">
        <v>0.14000000000000001</v>
      </c>
      <c r="AK71" s="265">
        <v>0.14000000000000001</v>
      </c>
      <c r="AL71" s="266" t="s">
        <v>573</v>
      </c>
      <c r="AM71" s="265">
        <f t="shared" si="22"/>
        <v>0</v>
      </c>
      <c r="AN71" s="266" t="s">
        <v>573</v>
      </c>
      <c r="AO71" s="265">
        <f t="shared" si="23"/>
        <v>0</v>
      </c>
      <c r="AP71" s="266">
        <v>0</v>
      </c>
      <c r="AQ71" s="265">
        <f t="shared" si="24"/>
        <v>0</v>
      </c>
      <c r="AR71" s="266">
        <v>0</v>
      </c>
      <c r="AS71" s="262">
        <f t="shared" si="25"/>
        <v>0</v>
      </c>
      <c r="AT71" s="266">
        <v>0</v>
      </c>
      <c r="AU71" s="260">
        <f t="shared" si="26"/>
        <v>0</v>
      </c>
      <c r="AV71" s="259">
        <v>0</v>
      </c>
      <c r="AW71" s="260">
        <f t="shared" si="27"/>
        <v>0</v>
      </c>
      <c r="AX71" s="261" t="s">
        <v>573</v>
      </c>
      <c r="AY71" s="260">
        <f t="shared" si="28"/>
        <v>0</v>
      </c>
      <c r="AZ71" s="259" t="s">
        <v>573</v>
      </c>
      <c r="BA71" s="260">
        <f t="shared" si="29"/>
        <v>0</v>
      </c>
      <c r="BB71" s="259" t="s">
        <v>573</v>
      </c>
      <c r="BC71" s="260">
        <f t="shared" si="30"/>
        <v>0</v>
      </c>
      <c r="BD71" s="259" t="s">
        <v>573</v>
      </c>
      <c r="BE71" s="260">
        <f t="shared" si="31"/>
        <v>0</v>
      </c>
      <c r="BF71" s="259">
        <v>1560</v>
      </c>
      <c r="BG71" s="260">
        <f t="shared" si="32"/>
        <v>218.40000000000003</v>
      </c>
      <c r="BH71" s="259" t="s">
        <v>573</v>
      </c>
      <c r="BI71" s="260">
        <f t="shared" si="33"/>
        <v>0</v>
      </c>
      <c r="BJ71" s="58"/>
      <c r="BK71" s="220"/>
      <c r="BL71" s="213" t="s">
        <v>754</v>
      </c>
      <c r="BM71" s="213" t="s">
        <v>701</v>
      </c>
    </row>
    <row r="72" spans="1:65" ht="15.75" customHeight="1">
      <c r="A72" s="213" t="s">
        <v>1437</v>
      </c>
      <c r="B72" s="58" t="s">
        <v>184</v>
      </c>
      <c r="C72" s="58" t="s">
        <v>752</v>
      </c>
      <c r="D72" s="214" t="s">
        <v>186</v>
      </c>
      <c r="E72" s="214" t="s">
        <v>186</v>
      </c>
      <c r="F72" s="215" t="s">
        <v>186</v>
      </c>
      <c r="G72" s="216">
        <v>2016</v>
      </c>
      <c r="H72" s="218" t="s">
        <v>794</v>
      </c>
      <c r="I72" s="218" t="s">
        <v>196</v>
      </c>
      <c r="J72" s="217" t="s">
        <v>890</v>
      </c>
      <c r="K72" s="213" t="s">
        <v>245</v>
      </c>
      <c r="L72" s="213" t="s">
        <v>192</v>
      </c>
      <c r="M72" s="219" t="s">
        <v>1389</v>
      </c>
      <c r="N72" s="265">
        <v>4.87</v>
      </c>
      <c r="O72" s="265">
        <v>4.87</v>
      </c>
      <c r="P72" s="265">
        <v>4.87</v>
      </c>
      <c r="Q72" s="265">
        <v>4.87</v>
      </c>
      <c r="R72" s="265">
        <v>4.87</v>
      </c>
      <c r="S72" s="265">
        <v>4.87</v>
      </c>
      <c r="T72" s="265">
        <v>4.87</v>
      </c>
      <c r="U72" s="265">
        <v>4.87</v>
      </c>
      <c r="V72" s="265">
        <v>4.87</v>
      </c>
      <c r="W72" s="265">
        <v>4.87</v>
      </c>
      <c r="X72" s="265">
        <v>4.87</v>
      </c>
      <c r="Y72" s="265">
        <v>4.87</v>
      </c>
      <c r="Z72" s="265">
        <v>0.05</v>
      </c>
      <c r="AA72" s="265">
        <v>0.05</v>
      </c>
      <c r="AB72" s="265">
        <v>0.05</v>
      </c>
      <c r="AC72" s="265">
        <v>0.05</v>
      </c>
      <c r="AD72" s="265">
        <v>0.05</v>
      </c>
      <c r="AE72" s="265">
        <v>0.05</v>
      </c>
      <c r="AF72" s="265">
        <v>0.05</v>
      </c>
      <c r="AG72" s="265">
        <v>0.05</v>
      </c>
      <c r="AH72" s="265">
        <v>0.05</v>
      </c>
      <c r="AI72" s="265">
        <v>0.05</v>
      </c>
      <c r="AJ72" s="265">
        <v>0.05</v>
      </c>
      <c r="AK72" s="265">
        <v>0.05</v>
      </c>
      <c r="AL72" s="266" t="s">
        <v>573</v>
      </c>
      <c r="AM72" s="265">
        <f t="shared" si="22"/>
        <v>0</v>
      </c>
      <c r="AN72" s="266" t="s">
        <v>573</v>
      </c>
      <c r="AO72" s="265">
        <f t="shared" si="23"/>
        <v>0</v>
      </c>
      <c r="AP72" s="266">
        <v>0</v>
      </c>
      <c r="AQ72" s="265">
        <f t="shared" si="24"/>
        <v>0</v>
      </c>
      <c r="AR72" s="266">
        <v>0</v>
      </c>
      <c r="AS72" s="262">
        <f t="shared" si="25"/>
        <v>0</v>
      </c>
      <c r="AT72" s="266">
        <v>0</v>
      </c>
      <c r="AU72" s="260">
        <f t="shared" si="26"/>
        <v>0</v>
      </c>
      <c r="AV72" s="259">
        <v>0</v>
      </c>
      <c r="AW72" s="260">
        <f t="shared" si="27"/>
        <v>0</v>
      </c>
      <c r="AX72" s="261" t="s">
        <v>573</v>
      </c>
      <c r="AY72" s="260">
        <f t="shared" si="28"/>
        <v>0</v>
      </c>
      <c r="AZ72" s="259" t="s">
        <v>573</v>
      </c>
      <c r="BA72" s="260">
        <f t="shared" si="29"/>
        <v>0</v>
      </c>
      <c r="BB72" s="259" t="s">
        <v>573</v>
      </c>
      <c r="BC72" s="260">
        <f t="shared" si="30"/>
        <v>0</v>
      </c>
      <c r="BD72" s="259">
        <v>4320</v>
      </c>
      <c r="BE72" s="260">
        <f t="shared" si="31"/>
        <v>216</v>
      </c>
      <c r="BF72" s="259" t="s">
        <v>573</v>
      </c>
      <c r="BG72" s="260">
        <f t="shared" si="32"/>
        <v>0</v>
      </c>
      <c r="BH72" s="259" t="s">
        <v>573</v>
      </c>
      <c r="BI72" s="260">
        <f t="shared" si="33"/>
        <v>0</v>
      </c>
      <c r="BJ72" s="58"/>
      <c r="BK72" s="220"/>
      <c r="BL72" s="213" t="s">
        <v>763</v>
      </c>
      <c r="BM72" s="58" t="s">
        <v>702</v>
      </c>
    </row>
    <row r="73" spans="1:65" ht="15.75" customHeight="1">
      <c r="A73" s="213" t="s">
        <v>1437</v>
      </c>
      <c r="B73" s="58" t="s">
        <v>184</v>
      </c>
      <c r="C73" s="58" t="s">
        <v>752</v>
      </c>
      <c r="D73" s="214" t="s">
        <v>186</v>
      </c>
      <c r="E73" s="214" t="s">
        <v>186</v>
      </c>
      <c r="F73" s="215" t="s">
        <v>186</v>
      </c>
      <c r="G73" s="216">
        <v>2016</v>
      </c>
      <c r="H73" s="218" t="s">
        <v>794</v>
      </c>
      <c r="I73" s="218" t="s">
        <v>196</v>
      </c>
      <c r="J73" s="217" t="s">
        <v>890</v>
      </c>
      <c r="K73" s="213" t="s">
        <v>384</v>
      </c>
      <c r="L73" s="213" t="s">
        <v>192</v>
      </c>
      <c r="M73" s="219" t="s">
        <v>1389</v>
      </c>
      <c r="N73" s="265">
        <v>4.87</v>
      </c>
      <c r="O73" s="265">
        <v>4.87</v>
      </c>
      <c r="P73" s="265">
        <v>4.87</v>
      </c>
      <c r="Q73" s="265">
        <v>4.87</v>
      </c>
      <c r="R73" s="265">
        <v>4.87</v>
      </c>
      <c r="S73" s="265">
        <v>4.87</v>
      </c>
      <c r="T73" s="265">
        <v>4.87</v>
      </c>
      <c r="U73" s="265">
        <v>4.87</v>
      </c>
      <c r="V73" s="265">
        <v>4.87</v>
      </c>
      <c r="W73" s="265">
        <v>4.87</v>
      </c>
      <c r="X73" s="265">
        <v>4.87</v>
      </c>
      <c r="Y73" s="265">
        <v>4.87</v>
      </c>
      <c r="Z73" s="265">
        <v>0.05</v>
      </c>
      <c r="AA73" s="265">
        <v>0.05</v>
      </c>
      <c r="AB73" s="265">
        <v>0.05</v>
      </c>
      <c r="AC73" s="265">
        <v>0.05</v>
      </c>
      <c r="AD73" s="265">
        <v>0.05</v>
      </c>
      <c r="AE73" s="265">
        <v>0.05</v>
      </c>
      <c r="AF73" s="265">
        <v>0.05</v>
      </c>
      <c r="AG73" s="265">
        <v>0.05</v>
      </c>
      <c r="AH73" s="265">
        <v>0.05</v>
      </c>
      <c r="AI73" s="265">
        <v>0.05</v>
      </c>
      <c r="AJ73" s="265">
        <v>0.05</v>
      </c>
      <c r="AK73" s="265">
        <v>0.05</v>
      </c>
      <c r="AL73" s="266" t="s">
        <v>573</v>
      </c>
      <c r="AM73" s="265">
        <f t="shared" si="22"/>
        <v>0</v>
      </c>
      <c r="AN73" s="266" t="s">
        <v>573</v>
      </c>
      <c r="AO73" s="265">
        <f t="shared" si="23"/>
        <v>0</v>
      </c>
      <c r="AP73" s="266">
        <v>0</v>
      </c>
      <c r="AQ73" s="265">
        <f t="shared" si="24"/>
        <v>0</v>
      </c>
      <c r="AR73" s="266">
        <v>0</v>
      </c>
      <c r="AS73" s="262">
        <f t="shared" si="25"/>
        <v>0</v>
      </c>
      <c r="AT73" s="266">
        <v>0</v>
      </c>
      <c r="AU73" s="260">
        <f t="shared" si="26"/>
        <v>0</v>
      </c>
      <c r="AV73" s="259">
        <v>0</v>
      </c>
      <c r="AW73" s="260">
        <f t="shared" si="27"/>
        <v>0</v>
      </c>
      <c r="AX73" s="261" t="s">
        <v>573</v>
      </c>
      <c r="AY73" s="260">
        <f t="shared" si="28"/>
        <v>0</v>
      </c>
      <c r="AZ73" s="259" t="s">
        <v>573</v>
      </c>
      <c r="BA73" s="260">
        <f t="shared" si="29"/>
        <v>0</v>
      </c>
      <c r="BB73" s="259" t="s">
        <v>573</v>
      </c>
      <c r="BC73" s="260">
        <f t="shared" si="30"/>
        <v>0</v>
      </c>
      <c r="BD73" s="259" t="s">
        <v>573</v>
      </c>
      <c r="BE73" s="260">
        <f t="shared" si="31"/>
        <v>0</v>
      </c>
      <c r="BF73" s="259" t="s">
        <v>573</v>
      </c>
      <c r="BG73" s="260">
        <f t="shared" si="32"/>
        <v>0</v>
      </c>
      <c r="BH73" s="259" t="s">
        <v>573</v>
      </c>
      <c r="BI73" s="260">
        <f t="shared" si="33"/>
        <v>0</v>
      </c>
      <c r="BJ73" s="58"/>
      <c r="BK73" s="220"/>
      <c r="BL73" s="213" t="s">
        <v>763</v>
      </c>
      <c r="BM73" s="58" t="s">
        <v>703</v>
      </c>
    </row>
    <row r="74" spans="1:65" ht="15.75" customHeight="1">
      <c r="A74" s="213" t="s">
        <v>1437</v>
      </c>
      <c r="B74" s="58" t="s">
        <v>184</v>
      </c>
      <c r="C74" s="58" t="s">
        <v>752</v>
      </c>
      <c r="D74" s="214" t="s">
        <v>186</v>
      </c>
      <c r="E74" s="214" t="s">
        <v>186</v>
      </c>
      <c r="F74" s="215" t="s">
        <v>186</v>
      </c>
      <c r="G74" s="216">
        <v>2016</v>
      </c>
      <c r="H74" s="218" t="s">
        <v>794</v>
      </c>
      <c r="I74" s="218" t="s">
        <v>196</v>
      </c>
      <c r="J74" s="217" t="s">
        <v>890</v>
      </c>
      <c r="K74" s="213" t="s">
        <v>247</v>
      </c>
      <c r="L74" s="213" t="s">
        <v>192</v>
      </c>
      <c r="M74" s="219" t="s">
        <v>1389</v>
      </c>
      <c r="N74" s="265">
        <v>5.17</v>
      </c>
      <c r="O74" s="265">
        <v>5.17</v>
      </c>
      <c r="P74" s="265">
        <v>5.17</v>
      </c>
      <c r="Q74" s="265">
        <v>5.17</v>
      </c>
      <c r="R74" s="265">
        <v>5.17</v>
      </c>
      <c r="S74" s="265">
        <v>5.17</v>
      </c>
      <c r="T74" s="265">
        <v>5.17</v>
      </c>
      <c r="U74" s="265">
        <v>5.17</v>
      </c>
      <c r="V74" s="265">
        <v>5.17</v>
      </c>
      <c r="W74" s="265">
        <v>5.17</v>
      </c>
      <c r="X74" s="265">
        <v>5.17</v>
      </c>
      <c r="Y74" s="265">
        <v>5.17</v>
      </c>
      <c r="Z74" s="265">
        <v>0.05</v>
      </c>
      <c r="AA74" s="265">
        <v>0.05</v>
      </c>
      <c r="AB74" s="265">
        <v>0.05</v>
      </c>
      <c r="AC74" s="265">
        <v>0.05</v>
      </c>
      <c r="AD74" s="265">
        <v>0.05</v>
      </c>
      <c r="AE74" s="265">
        <v>0.05</v>
      </c>
      <c r="AF74" s="265">
        <v>0.05</v>
      </c>
      <c r="AG74" s="265">
        <v>0.05</v>
      </c>
      <c r="AH74" s="265">
        <v>0.05</v>
      </c>
      <c r="AI74" s="265">
        <v>0.05</v>
      </c>
      <c r="AJ74" s="265">
        <v>0.05</v>
      </c>
      <c r="AK74" s="265">
        <v>0.05</v>
      </c>
      <c r="AL74" s="266">
        <v>4320</v>
      </c>
      <c r="AM74" s="265">
        <f t="shared" si="22"/>
        <v>216</v>
      </c>
      <c r="AN74" s="266" t="s">
        <v>573</v>
      </c>
      <c r="AO74" s="265">
        <f t="shared" si="23"/>
        <v>0</v>
      </c>
      <c r="AP74" s="266">
        <v>0</v>
      </c>
      <c r="AQ74" s="265">
        <f t="shared" si="24"/>
        <v>0</v>
      </c>
      <c r="AR74" s="266">
        <v>0</v>
      </c>
      <c r="AS74" s="262">
        <f t="shared" si="25"/>
        <v>0</v>
      </c>
      <c r="AT74" s="266">
        <v>0</v>
      </c>
      <c r="AU74" s="260">
        <f t="shared" si="26"/>
        <v>0</v>
      </c>
      <c r="AV74" s="259">
        <v>0</v>
      </c>
      <c r="AW74" s="260">
        <f t="shared" si="27"/>
        <v>0</v>
      </c>
      <c r="AX74" s="261" t="s">
        <v>573</v>
      </c>
      <c r="AY74" s="260">
        <f t="shared" si="28"/>
        <v>0</v>
      </c>
      <c r="AZ74" s="259">
        <v>4320</v>
      </c>
      <c r="BA74" s="260">
        <f t="shared" si="29"/>
        <v>216</v>
      </c>
      <c r="BB74" s="259" t="s">
        <v>573</v>
      </c>
      <c r="BC74" s="260">
        <f t="shared" si="30"/>
        <v>0</v>
      </c>
      <c r="BD74" s="259" t="s">
        <v>573</v>
      </c>
      <c r="BE74" s="260">
        <f t="shared" si="31"/>
        <v>0</v>
      </c>
      <c r="BF74" s="259" t="s">
        <v>573</v>
      </c>
      <c r="BG74" s="260">
        <f t="shared" si="32"/>
        <v>0</v>
      </c>
      <c r="BH74" s="259" t="s">
        <v>573</v>
      </c>
      <c r="BI74" s="260">
        <f t="shared" si="33"/>
        <v>0</v>
      </c>
      <c r="BJ74" s="58"/>
      <c r="BK74" s="220"/>
      <c r="BL74" s="213" t="s">
        <v>763</v>
      </c>
      <c r="BM74" s="58" t="s">
        <v>707</v>
      </c>
    </row>
    <row r="75" spans="1:65" ht="15.75" customHeight="1">
      <c r="A75" s="213" t="s">
        <v>1437</v>
      </c>
      <c r="B75" s="58" t="s">
        <v>184</v>
      </c>
      <c r="C75" s="58" t="s">
        <v>752</v>
      </c>
      <c r="D75" s="214" t="s">
        <v>186</v>
      </c>
      <c r="E75" s="214" t="s">
        <v>186</v>
      </c>
      <c r="F75" s="215" t="s">
        <v>186</v>
      </c>
      <c r="G75" s="216">
        <v>2016</v>
      </c>
      <c r="H75" s="218" t="s">
        <v>794</v>
      </c>
      <c r="I75" s="218" t="s">
        <v>196</v>
      </c>
      <c r="J75" s="217" t="s">
        <v>890</v>
      </c>
      <c r="K75" s="213" t="s">
        <v>247</v>
      </c>
      <c r="L75" s="213" t="s">
        <v>192</v>
      </c>
      <c r="M75" s="219" t="s">
        <v>1388</v>
      </c>
      <c r="N75" s="265">
        <v>5.62</v>
      </c>
      <c r="O75" s="265">
        <v>5.62</v>
      </c>
      <c r="P75" s="265">
        <v>5.62</v>
      </c>
      <c r="Q75" s="265">
        <v>5.62</v>
      </c>
      <c r="R75" s="265">
        <v>5.62</v>
      </c>
      <c r="S75" s="265">
        <v>5.62</v>
      </c>
      <c r="T75" s="265">
        <v>5.62</v>
      </c>
      <c r="U75" s="265">
        <v>5.62</v>
      </c>
      <c r="V75" s="265">
        <v>5.62</v>
      </c>
      <c r="W75" s="265">
        <v>5.62</v>
      </c>
      <c r="X75" s="265">
        <v>5.62</v>
      </c>
      <c r="Y75" s="265">
        <v>5.62</v>
      </c>
      <c r="Z75" s="265">
        <v>0.14000000000000001</v>
      </c>
      <c r="AA75" s="265">
        <v>0.14000000000000001</v>
      </c>
      <c r="AB75" s="265">
        <v>0.14000000000000001</v>
      </c>
      <c r="AC75" s="265">
        <v>0.14000000000000001</v>
      </c>
      <c r="AD75" s="265">
        <v>0.14000000000000001</v>
      </c>
      <c r="AE75" s="265">
        <v>0.14000000000000001</v>
      </c>
      <c r="AF75" s="265">
        <v>0.14000000000000001</v>
      </c>
      <c r="AG75" s="265">
        <v>0.14000000000000001</v>
      </c>
      <c r="AH75" s="265">
        <v>0.14000000000000001</v>
      </c>
      <c r="AI75" s="265">
        <v>0.14000000000000001</v>
      </c>
      <c r="AJ75" s="265">
        <v>0.14000000000000001</v>
      </c>
      <c r="AK75" s="265">
        <v>0.14000000000000001</v>
      </c>
      <c r="AL75" s="266" t="s">
        <v>573</v>
      </c>
      <c r="AM75" s="265">
        <f t="shared" si="22"/>
        <v>0</v>
      </c>
      <c r="AN75" s="266" t="s">
        <v>573</v>
      </c>
      <c r="AO75" s="265">
        <f t="shared" si="23"/>
        <v>0</v>
      </c>
      <c r="AP75" s="266">
        <v>1560</v>
      </c>
      <c r="AQ75" s="265">
        <f t="shared" si="24"/>
        <v>218.40000000000003</v>
      </c>
      <c r="AR75" s="266">
        <v>0</v>
      </c>
      <c r="AS75" s="262">
        <f t="shared" si="25"/>
        <v>0</v>
      </c>
      <c r="AT75" s="266">
        <v>1560</v>
      </c>
      <c r="AU75" s="260">
        <f t="shared" si="26"/>
        <v>218.40000000000003</v>
      </c>
      <c r="AV75" s="259">
        <v>0</v>
      </c>
      <c r="AW75" s="260">
        <f t="shared" si="27"/>
        <v>0</v>
      </c>
      <c r="AX75" s="261">
        <v>3120</v>
      </c>
      <c r="AY75" s="260">
        <f t="shared" si="28"/>
        <v>436.80000000000007</v>
      </c>
      <c r="AZ75" s="259" t="s">
        <v>573</v>
      </c>
      <c r="BA75" s="260">
        <f t="shared" si="29"/>
        <v>0</v>
      </c>
      <c r="BB75" s="259">
        <v>1560</v>
      </c>
      <c r="BC75" s="260">
        <f t="shared" si="30"/>
        <v>218.40000000000003</v>
      </c>
      <c r="BD75" s="259" t="s">
        <v>573</v>
      </c>
      <c r="BE75" s="260">
        <f t="shared" si="31"/>
        <v>0</v>
      </c>
      <c r="BF75" s="259">
        <v>1560</v>
      </c>
      <c r="BG75" s="260">
        <f t="shared" si="32"/>
        <v>218.40000000000003</v>
      </c>
      <c r="BH75" s="259" t="s">
        <v>573</v>
      </c>
      <c r="BI75" s="260">
        <f t="shared" si="33"/>
        <v>0</v>
      </c>
      <c r="BJ75" s="58"/>
      <c r="BK75" s="220"/>
      <c r="BL75" s="213" t="s">
        <v>754</v>
      </c>
      <c r="BM75" s="58" t="s">
        <v>708</v>
      </c>
    </row>
    <row r="76" spans="1:65" ht="15.75" customHeight="1">
      <c r="A76" s="213" t="s">
        <v>1437</v>
      </c>
      <c r="B76" s="58" t="s">
        <v>184</v>
      </c>
      <c r="C76" s="58" t="s">
        <v>752</v>
      </c>
      <c r="D76" s="214" t="s">
        <v>186</v>
      </c>
      <c r="E76" s="214" t="s">
        <v>186</v>
      </c>
      <c r="F76" s="215" t="s">
        <v>186</v>
      </c>
      <c r="G76" s="216">
        <v>2016</v>
      </c>
      <c r="H76" s="218" t="s">
        <v>794</v>
      </c>
      <c r="I76" s="218" t="s">
        <v>196</v>
      </c>
      <c r="J76" s="217" t="s">
        <v>890</v>
      </c>
      <c r="K76" s="213" t="s">
        <v>251</v>
      </c>
      <c r="L76" s="213" t="s">
        <v>192</v>
      </c>
      <c r="M76" s="219" t="s">
        <v>1389</v>
      </c>
      <c r="N76" s="265">
        <v>5.17</v>
      </c>
      <c r="O76" s="265">
        <v>5.17</v>
      </c>
      <c r="P76" s="265">
        <v>5.17</v>
      </c>
      <c r="Q76" s="265">
        <v>5.17</v>
      </c>
      <c r="R76" s="265">
        <v>5.17</v>
      </c>
      <c r="S76" s="265">
        <v>5.17</v>
      </c>
      <c r="T76" s="265">
        <v>5.17</v>
      </c>
      <c r="U76" s="265">
        <v>5.17</v>
      </c>
      <c r="V76" s="265">
        <v>5.17</v>
      </c>
      <c r="W76" s="265">
        <v>5.17</v>
      </c>
      <c r="X76" s="265">
        <v>5.17</v>
      </c>
      <c r="Y76" s="265">
        <v>5.17</v>
      </c>
      <c r="Z76" s="265">
        <v>0.05</v>
      </c>
      <c r="AA76" s="265">
        <v>0.05</v>
      </c>
      <c r="AB76" s="265">
        <v>0.05</v>
      </c>
      <c r="AC76" s="265">
        <v>0.05</v>
      </c>
      <c r="AD76" s="265">
        <v>0.05</v>
      </c>
      <c r="AE76" s="265">
        <v>0.05</v>
      </c>
      <c r="AF76" s="265">
        <v>0.05</v>
      </c>
      <c r="AG76" s="265">
        <v>0.05</v>
      </c>
      <c r="AH76" s="265">
        <v>0.05</v>
      </c>
      <c r="AI76" s="265">
        <v>0.05</v>
      </c>
      <c r="AJ76" s="265">
        <v>0.05</v>
      </c>
      <c r="AK76" s="265">
        <v>0.05</v>
      </c>
      <c r="AL76" s="266">
        <v>8640</v>
      </c>
      <c r="AM76" s="265">
        <f t="shared" si="22"/>
        <v>432</v>
      </c>
      <c r="AN76" s="266" t="s">
        <v>573</v>
      </c>
      <c r="AO76" s="265">
        <f t="shared" si="23"/>
        <v>0</v>
      </c>
      <c r="AP76" s="266">
        <v>0</v>
      </c>
      <c r="AQ76" s="265">
        <f t="shared" si="24"/>
        <v>0</v>
      </c>
      <c r="AR76" s="266">
        <v>4320</v>
      </c>
      <c r="AS76" s="262">
        <f t="shared" si="25"/>
        <v>216</v>
      </c>
      <c r="AT76" s="266">
        <v>0</v>
      </c>
      <c r="AU76" s="260">
        <f t="shared" si="26"/>
        <v>0</v>
      </c>
      <c r="AV76" s="259">
        <v>0</v>
      </c>
      <c r="AW76" s="260">
        <f t="shared" si="27"/>
        <v>0</v>
      </c>
      <c r="AX76" s="261" t="s">
        <v>573</v>
      </c>
      <c r="AY76" s="260">
        <f t="shared" si="28"/>
        <v>0</v>
      </c>
      <c r="AZ76" s="259">
        <v>0</v>
      </c>
      <c r="BA76" s="260">
        <f t="shared" si="29"/>
        <v>0</v>
      </c>
      <c r="BB76" s="259">
        <v>0</v>
      </c>
      <c r="BC76" s="260">
        <f t="shared" si="30"/>
        <v>0</v>
      </c>
      <c r="BD76" s="259">
        <v>0</v>
      </c>
      <c r="BE76" s="260">
        <f t="shared" si="31"/>
        <v>0</v>
      </c>
      <c r="BF76" s="259" t="s">
        <v>573</v>
      </c>
      <c r="BG76" s="260">
        <f t="shared" si="32"/>
        <v>0</v>
      </c>
      <c r="BH76" s="259">
        <v>0</v>
      </c>
      <c r="BI76" s="260">
        <f t="shared" si="33"/>
        <v>0</v>
      </c>
      <c r="BJ76" s="58"/>
      <c r="BK76" s="220"/>
      <c r="BL76" s="213" t="s">
        <v>763</v>
      </c>
      <c r="BM76" s="58" t="s">
        <v>709</v>
      </c>
    </row>
    <row r="77" spans="1:65" ht="15.75" customHeight="1">
      <c r="A77" s="213" t="s">
        <v>1437</v>
      </c>
      <c r="B77" s="58" t="s">
        <v>184</v>
      </c>
      <c r="C77" s="58" t="s">
        <v>752</v>
      </c>
      <c r="D77" s="214" t="s">
        <v>186</v>
      </c>
      <c r="E77" s="214" t="s">
        <v>186</v>
      </c>
      <c r="F77" s="215" t="s">
        <v>186</v>
      </c>
      <c r="G77" s="216">
        <v>2016</v>
      </c>
      <c r="H77" s="218" t="s">
        <v>794</v>
      </c>
      <c r="I77" s="218" t="s">
        <v>196</v>
      </c>
      <c r="J77" s="217" t="s">
        <v>890</v>
      </c>
      <c r="K77" s="213" t="s">
        <v>251</v>
      </c>
      <c r="L77" s="213" t="s">
        <v>192</v>
      </c>
      <c r="M77" s="219" t="s">
        <v>1388</v>
      </c>
      <c r="N77" s="265">
        <v>5.62</v>
      </c>
      <c r="O77" s="265">
        <v>5.62</v>
      </c>
      <c r="P77" s="265">
        <v>5.62</v>
      </c>
      <c r="Q77" s="265">
        <v>5.62</v>
      </c>
      <c r="R77" s="265">
        <v>5.62</v>
      </c>
      <c r="S77" s="265">
        <v>5.62</v>
      </c>
      <c r="T77" s="265">
        <v>5.62</v>
      </c>
      <c r="U77" s="265">
        <v>5.62</v>
      </c>
      <c r="V77" s="265">
        <v>5.62</v>
      </c>
      <c r="W77" s="265">
        <v>5.62</v>
      </c>
      <c r="X77" s="265">
        <v>5.62</v>
      </c>
      <c r="Y77" s="265">
        <v>5.62</v>
      </c>
      <c r="Z77" s="265">
        <v>0.14000000000000001</v>
      </c>
      <c r="AA77" s="265">
        <v>0.14000000000000001</v>
      </c>
      <c r="AB77" s="265">
        <v>0.14000000000000001</v>
      </c>
      <c r="AC77" s="265">
        <v>0.14000000000000001</v>
      </c>
      <c r="AD77" s="265">
        <v>0.14000000000000001</v>
      </c>
      <c r="AE77" s="265">
        <v>0.14000000000000001</v>
      </c>
      <c r="AF77" s="265">
        <v>0.14000000000000001</v>
      </c>
      <c r="AG77" s="265">
        <v>0.14000000000000001</v>
      </c>
      <c r="AH77" s="265">
        <v>0.14000000000000001</v>
      </c>
      <c r="AI77" s="265">
        <v>0.14000000000000001</v>
      </c>
      <c r="AJ77" s="265">
        <v>0.14000000000000001</v>
      </c>
      <c r="AK77" s="265">
        <v>0.14000000000000001</v>
      </c>
      <c r="AL77" s="266" t="s">
        <v>573</v>
      </c>
      <c r="AM77" s="265">
        <f t="shared" si="22"/>
        <v>0</v>
      </c>
      <c r="AN77" s="266" t="s">
        <v>573</v>
      </c>
      <c r="AO77" s="265">
        <f t="shared" si="23"/>
        <v>0</v>
      </c>
      <c r="AP77" s="266">
        <v>0</v>
      </c>
      <c r="AQ77" s="265">
        <f t="shared" si="24"/>
        <v>0</v>
      </c>
      <c r="AR77" s="266">
        <v>0</v>
      </c>
      <c r="AS77" s="262">
        <f t="shared" si="25"/>
        <v>0</v>
      </c>
      <c r="AT77" s="266">
        <v>1560</v>
      </c>
      <c r="AU77" s="260">
        <f t="shared" si="26"/>
        <v>218.40000000000003</v>
      </c>
      <c r="AV77" s="259">
        <v>0</v>
      </c>
      <c r="AW77" s="260">
        <f t="shared" si="27"/>
        <v>0</v>
      </c>
      <c r="AX77" s="261" t="s">
        <v>573</v>
      </c>
      <c r="AY77" s="260">
        <f t="shared" si="28"/>
        <v>0</v>
      </c>
      <c r="AZ77" s="259">
        <v>3120</v>
      </c>
      <c r="BA77" s="260">
        <f t="shared" si="29"/>
        <v>436.80000000000007</v>
      </c>
      <c r="BB77" s="259">
        <v>1560</v>
      </c>
      <c r="BC77" s="260">
        <f t="shared" si="30"/>
        <v>218.40000000000003</v>
      </c>
      <c r="BD77" s="259" t="s">
        <v>573</v>
      </c>
      <c r="BE77" s="260">
        <f t="shared" si="31"/>
        <v>0</v>
      </c>
      <c r="BF77" s="259">
        <v>1560</v>
      </c>
      <c r="BG77" s="260">
        <f t="shared" si="32"/>
        <v>218.40000000000003</v>
      </c>
      <c r="BH77" s="259" t="s">
        <v>573</v>
      </c>
      <c r="BI77" s="260">
        <f t="shared" si="33"/>
        <v>0</v>
      </c>
      <c r="BJ77" s="58"/>
      <c r="BK77" s="220"/>
      <c r="BL77" s="213" t="s">
        <v>754</v>
      </c>
      <c r="BM77" s="58" t="s">
        <v>710</v>
      </c>
    </row>
    <row r="78" spans="1:65" ht="15.75" customHeight="1">
      <c r="A78" s="213" t="s">
        <v>1437</v>
      </c>
      <c r="B78" s="58" t="s">
        <v>184</v>
      </c>
      <c r="C78" s="58" t="s">
        <v>752</v>
      </c>
      <c r="D78" s="214" t="s">
        <v>186</v>
      </c>
      <c r="E78" s="214" t="s">
        <v>186</v>
      </c>
      <c r="F78" s="215" t="s">
        <v>186</v>
      </c>
      <c r="G78" s="216">
        <v>2016</v>
      </c>
      <c r="H78" s="218" t="s">
        <v>794</v>
      </c>
      <c r="I78" s="218" t="s">
        <v>196</v>
      </c>
      <c r="J78" s="217" t="s">
        <v>890</v>
      </c>
      <c r="K78" s="213" t="s">
        <v>893</v>
      </c>
      <c r="L78" s="213" t="s">
        <v>192</v>
      </c>
      <c r="M78" s="219" t="s">
        <v>1389</v>
      </c>
      <c r="N78" s="265">
        <v>5.59</v>
      </c>
      <c r="O78" s="265">
        <v>5.59</v>
      </c>
      <c r="P78" s="265">
        <v>5.59</v>
      </c>
      <c r="Q78" s="265">
        <v>5.59</v>
      </c>
      <c r="R78" s="265">
        <v>5.59</v>
      </c>
      <c r="S78" s="265">
        <v>5.59</v>
      </c>
      <c r="T78" s="265">
        <v>5.59</v>
      </c>
      <c r="U78" s="265">
        <v>5.59</v>
      </c>
      <c r="V78" s="265">
        <v>5.59</v>
      </c>
      <c r="W78" s="265">
        <v>5.59</v>
      </c>
      <c r="X78" s="265">
        <v>5.59</v>
      </c>
      <c r="Y78" s="265">
        <v>5.59</v>
      </c>
      <c r="Z78" s="265">
        <v>0.05</v>
      </c>
      <c r="AA78" s="265">
        <v>0.05</v>
      </c>
      <c r="AB78" s="265">
        <v>0.05</v>
      </c>
      <c r="AC78" s="265">
        <v>0.05</v>
      </c>
      <c r="AD78" s="265">
        <v>0.05</v>
      </c>
      <c r="AE78" s="265">
        <v>0.05</v>
      </c>
      <c r="AF78" s="265">
        <v>0.05</v>
      </c>
      <c r="AG78" s="265">
        <v>0.05</v>
      </c>
      <c r="AH78" s="265">
        <v>0.05</v>
      </c>
      <c r="AI78" s="265">
        <v>0.05</v>
      </c>
      <c r="AJ78" s="265">
        <v>0.05</v>
      </c>
      <c r="AK78" s="265">
        <v>0.05</v>
      </c>
      <c r="AL78" s="266" t="s">
        <v>573</v>
      </c>
      <c r="AM78" s="265">
        <f t="shared" si="22"/>
        <v>0</v>
      </c>
      <c r="AN78" s="266" t="s">
        <v>573</v>
      </c>
      <c r="AO78" s="265">
        <f t="shared" si="23"/>
        <v>0</v>
      </c>
      <c r="AP78" s="266">
        <v>0</v>
      </c>
      <c r="AQ78" s="265">
        <f t="shared" si="24"/>
        <v>0</v>
      </c>
      <c r="AR78" s="266">
        <v>4320</v>
      </c>
      <c r="AS78" s="262">
        <f t="shared" si="25"/>
        <v>216</v>
      </c>
      <c r="AT78" s="266">
        <v>0</v>
      </c>
      <c r="AU78" s="260">
        <f t="shared" si="26"/>
        <v>0</v>
      </c>
      <c r="AV78" s="259">
        <v>0</v>
      </c>
      <c r="AW78" s="260">
        <f t="shared" si="27"/>
        <v>0</v>
      </c>
      <c r="AX78" s="261" t="s">
        <v>573</v>
      </c>
      <c r="AY78" s="260">
        <f t="shared" si="28"/>
        <v>0</v>
      </c>
      <c r="AZ78" s="259" t="s">
        <v>573</v>
      </c>
      <c r="BA78" s="260">
        <f t="shared" si="29"/>
        <v>0</v>
      </c>
      <c r="BB78" s="259" t="s">
        <v>573</v>
      </c>
      <c r="BC78" s="260">
        <f t="shared" si="30"/>
        <v>0</v>
      </c>
      <c r="BD78" s="259" t="s">
        <v>573</v>
      </c>
      <c r="BE78" s="260">
        <f t="shared" si="31"/>
        <v>0</v>
      </c>
      <c r="BF78" s="259" t="s">
        <v>573</v>
      </c>
      <c r="BG78" s="260">
        <f t="shared" si="32"/>
        <v>0</v>
      </c>
      <c r="BH78" s="259" t="s">
        <v>573</v>
      </c>
      <c r="BI78" s="260">
        <f t="shared" si="33"/>
        <v>0</v>
      </c>
      <c r="BJ78" s="58"/>
      <c r="BK78" s="220"/>
      <c r="BL78" s="213" t="s">
        <v>763</v>
      </c>
      <c r="BM78" s="58" t="s">
        <v>580</v>
      </c>
    </row>
    <row r="79" spans="1:65" ht="15.75" customHeight="1">
      <c r="A79" s="213" t="s">
        <v>1437</v>
      </c>
      <c r="B79" s="58" t="s">
        <v>184</v>
      </c>
      <c r="C79" s="58" t="s">
        <v>752</v>
      </c>
      <c r="D79" s="214" t="s">
        <v>186</v>
      </c>
      <c r="E79" s="214" t="s">
        <v>186</v>
      </c>
      <c r="F79" s="215" t="s">
        <v>186</v>
      </c>
      <c r="G79" s="216">
        <v>2016</v>
      </c>
      <c r="H79" s="218" t="s">
        <v>794</v>
      </c>
      <c r="I79" s="218" t="s">
        <v>196</v>
      </c>
      <c r="J79" s="217" t="s">
        <v>890</v>
      </c>
      <c r="K79" s="213" t="s">
        <v>387</v>
      </c>
      <c r="L79" s="213" t="s">
        <v>192</v>
      </c>
      <c r="M79" s="219" t="s">
        <v>1389</v>
      </c>
      <c r="N79" s="265">
        <v>4.87</v>
      </c>
      <c r="O79" s="265">
        <v>4.87</v>
      </c>
      <c r="P79" s="265">
        <v>4.87</v>
      </c>
      <c r="Q79" s="265">
        <v>4.87</v>
      </c>
      <c r="R79" s="265">
        <v>4.87</v>
      </c>
      <c r="S79" s="265">
        <v>4.87</v>
      </c>
      <c r="T79" s="265">
        <v>4.87</v>
      </c>
      <c r="U79" s="265">
        <v>4.87</v>
      </c>
      <c r="V79" s="265">
        <v>4.87</v>
      </c>
      <c r="W79" s="265">
        <v>4.87</v>
      </c>
      <c r="X79" s="265">
        <v>4.87</v>
      </c>
      <c r="Y79" s="265">
        <v>4.87</v>
      </c>
      <c r="Z79" s="265">
        <v>0.05</v>
      </c>
      <c r="AA79" s="265">
        <v>0.05</v>
      </c>
      <c r="AB79" s="265">
        <v>0.05</v>
      </c>
      <c r="AC79" s="265">
        <v>0.05</v>
      </c>
      <c r="AD79" s="265">
        <v>0.05</v>
      </c>
      <c r="AE79" s="265">
        <v>0.05</v>
      </c>
      <c r="AF79" s="265">
        <v>0.05</v>
      </c>
      <c r="AG79" s="265">
        <v>0.05</v>
      </c>
      <c r="AH79" s="265">
        <v>0.05</v>
      </c>
      <c r="AI79" s="265">
        <v>0.05</v>
      </c>
      <c r="AJ79" s="265">
        <v>0.05</v>
      </c>
      <c r="AK79" s="265">
        <v>0.05</v>
      </c>
      <c r="AL79" s="266" t="s">
        <v>573</v>
      </c>
      <c r="AM79" s="265">
        <f t="shared" si="22"/>
        <v>0</v>
      </c>
      <c r="AN79" s="266" t="s">
        <v>573</v>
      </c>
      <c r="AO79" s="265">
        <f t="shared" si="23"/>
        <v>0</v>
      </c>
      <c r="AP79" s="266">
        <v>4320</v>
      </c>
      <c r="AQ79" s="265">
        <f t="shared" si="24"/>
        <v>216</v>
      </c>
      <c r="AR79" s="266">
        <v>0</v>
      </c>
      <c r="AS79" s="262">
        <f t="shared" si="25"/>
        <v>0</v>
      </c>
      <c r="AT79" s="266">
        <v>0</v>
      </c>
      <c r="AU79" s="260">
        <f t="shared" si="26"/>
        <v>0</v>
      </c>
      <c r="AV79" s="259">
        <v>0</v>
      </c>
      <c r="AW79" s="260">
        <f t="shared" si="27"/>
        <v>0</v>
      </c>
      <c r="AX79" s="261" t="s">
        <v>573</v>
      </c>
      <c r="AY79" s="260">
        <f t="shared" si="28"/>
        <v>0</v>
      </c>
      <c r="AZ79" s="259" t="s">
        <v>573</v>
      </c>
      <c r="BA79" s="260">
        <f t="shared" si="29"/>
        <v>0</v>
      </c>
      <c r="BB79" s="259">
        <v>4320</v>
      </c>
      <c r="BC79" s="260">
        <f t="shared" si="30"/>
        <v>216</v>
      </c>
      <c r="BD79" s="259" t="s">
        <v>573</v>
      </c>
      <c r="BE79" s="260">
        <f t="shared" si="31"/>
        <v>0</v>
      </c>
      <c r="BF79" s="259" t="s">
        <v>573</v>
      </c>
      <c r="BG79" s="260">
        <f t="shared" si="32"/>
        <v>0</v>
      </c>
      <c r="BH79" s="259" t="s">
        <v>573</v>
      </c>
      <c r="BI79" s="260">
        <f t="shared" si="33"/>
        <v>0</v>
      </c>
      <c r="BJ79" s="58"/>
      <c r="BK79" s="220"/>
      <c r="BL79" s="213" t="s">
        <v>763</v>
      </c>
      <c r="BM79" s="58" t="s">
        <v>624</v>
      </c>
    </row>
    <row r="80" spans="1:65" ht="15.75" customHeight="1">
      <c r="A80" s="213" t="s">
        <v>1437</v>
      </c>
      <c r="B80" s="58" t="s">
        <v>184</v>
      </c>
      <c r="C80" s="58" t="s">
        <v>752</v>
      </c>
      <c r="D80" s="214" t="s">
        <v>186</v>
      </c>
      <c r="E80" s="214" t="s">
        <v>186</v>
      </c>
      <c r="F80" s="215" t="s">
        <v>186</v>
      </c>
      <c r="G80" s="216">
        <v>2016</v>
      </c>
      <c r="H80" s="218" t="s">
        <v>794</v>
      </c>
      <c r="I80" s="218" t="s">
        <v>196</v>
      </c>
      <c r="J80" s="217" t="s">
        <v>890</v>
      </c>
      <c r="K80" s="213" t="s">
        <v>761</v>
      </c>
      <c r="L80" s="213" t="s">
        <v>192</v>
      </c>
      <c r="M80" s="219" t="s">
        <v>1389</v>
      </c>
      <c r="N80" s="265">
        <v>5.81</v>
      </c>
      <c r="O80" s="265">
        <v>5.81</v>
      </c>
      <c r="P80" s="265">
        <v>5.81</v>
      </c>
      <c r="Q80" s="265">
        <v>5.81</v>
      </c>
      <c r="R80" s="265">
        <v>5.81</v>
      </c>
      <c r="S80" s="265">
        <v>5.81</v>
      </c>
      <c r="T80" s="265">
        <v>5.81</v>
      </c>
      <c r="U80" s="265">
        <v>5.81</v>
      </c>
      <c r="V80" s="265">
        <v>5.81</v>
      </c>
      <c r="W80" s="265">
        <v>5.81</v>
      </c>
      <c r="X80" s="265">
        <v>5.81</v>
      </c>
      <c r="Y80" s="265">
        <v>5.81</v>
      </c>
      <c r="Z80" s="265">
        <v>0.05</v>
      </c>
      <c r="AA80" s="265">
        <v>0.05</v>
      </c>
      <c r="AB80" s="265">
        <v>0.05</v>
      </c>
      <c r="AC80" s="265">
        <v>0.05</v>
      </c>
      <c r="AD80" s="265">
        <v>0.05</v>
      </c>
      <c r="AE80" s="265">
        <v>0.05</v>
      </c>
      <c r="AF80" s="265">
        <v>0.05</v>
      </c>
      <c r="AG80" s="265">
        <v>0.05</v>
      </c>
      <c r="AH80" s="265">
        <v>0.05</v>
      </c>
      <c r="AI80" s="265">
        <v>0.05</v>
      </c>
      <c r="AJ80" s="265">
        <v>0.05</v>
      </c>
      <c r="AK80" s="265">
        <v>0.05</v>
      </c>
      <c r="AL80" s="266" t="s">
        <v>573</v>
      </c>
      <c r="AM80" s="265">
        <f t="shared" si="22"/>
        <v>0</v>
      </c>
      <c r="AN80" s="266" t="s">
        <v>573</v>
      </c>
      <c r="AO80" s="265">
        <f t="shared" si="23"/>
        <v>0</v>
      </c>
      <c r="AP80" s="266">
        <v>0</v>
      </c>
      <c r="AQ80" s="265">
        <f t="shared" si="24"/>
        <v>0</v>
      </c>
      <c r="AR80" s="266">
        <v>0</v>
      </c>
      <c r="AS80" s="262">
        <f t="shared" si="25"/>
        <v>0</v>
      </c>
      <c r="AT80" s="266">
        <v>0</v>
      </c>
      <c r="AU80" s="260">
        <f t="shared" si="26"/>
        <v>0</v>
      </c>
      <c r="AV80" s="259">
        <v>0</v>
      </c>
      <c r="AW80" s="260">
        <f t="shared" si="27"/>
        <v>0</v>
      </c>
      <c r="AX80" s="261" t="s">
        <v>573</v>
      </c>
      <c r="AY80" s="260">
        <f t="shared" si="28"/>
        <v>0</v>
      </c>
      <c r="AZ80" s="259">
        <v>4320</v>
      </c>
      <c r="BA80" s="260">
        <f t="shared" si="29"/>
        <v>216</v>
      </c>
      <c r="BB80" s="259" t="s">
        <v>573</v>
      </c>
      <c r="BC80" s="260">
        <f t="shared" si="30"/>
        <v>0</v>
      </c>
      <c r="BD80" s="259" t="s">
        <v>573</v>
      </c>
      <c r="BE80" s="260">
        <f t="shared" si="31"/>
        <v>0</v>
      </c>
      <c r="BF80" s="259" t="s">
        <v>573</v>
      </c>
      <c r="BG80" s="260">
        <f t="shared" si="32"/>
        <v>0</v>
      </c>
      <c r="BH80" s="259" t="s">
        <v>573</v>
      </c>
      <c r="BI80" s="260">
        <f t="shared" si="33"/>
        <v>0</v>
      </c>
      <c r="BJ80" s="58"/>
      <c r="BK80" s="220"/>
      <c r="BL80" s="213" t="s">
        <v>763</v>
      </c>
      <c r="BM80" s="58" t="s">
        <v>501</v>
      </c>
    </row>
    <row r="81" spans="1:65" ht="15.75" customHeight="1">
      <c r="A81" s="213" t="s">
        <v>1437</v>
      </c>
      <c r="B81" s="58" t="s">
        <v>184</v>
      </c>
      <c r="C81" s="58" t="s">
        <v>752</v>
      </c>
      <c r="D81" s="214" t="s">
        <v>186</v>
      </c>
      <c r="E81" s="214" t="s">
        <v>186</v>
      </c>
      <c r="F81" s="215" t="s">
        <v>186</v>
      </c>
      <c r="G81" s="216">
        <v>2016</v>
      </c>
      <c r="H81" s="218" t="s">
        <v>803</v>
      </c>
      <c r="I81" s="218" t="s">
        <v>196</v>
      </c>
      <c r="J81" s="217" t="s">
        <v>890</v>
      </c>
      <c r="K81" s="213" t="s">
        <v>221</v>
      </c>
      <c r="L81" s="213" t="s">
        <v>192</v>
      </c>
      <c r="M81" s="219" t="s">
        <v>1388</v>
      </c>
      <c r="N81" s="265">
        <v>3.75</v>
      </c>
      <c r="O81" s="265">
        <v>3.75</v>
      </c>
      <c r="P81" s="265">
        <v>3.75</v>
      </c>
      <c r="Q81" s="265">
        <v>3.75</v>
      </c>
      <c r="R81" s="265">
        <v>3.75</v>
      </c>
      <c r="S81" s="265">
        <v>3.75</v>
      </c>
      <c r="T81" s="265">
        <v>3.75</v>
      </c>
      <c r="U81" s="265">
        <v>3.75</v>
      </c>
      <c r="V81" s="265">
        <v>3.75</v>
      </c>
      <c r="W81" s="265">
        <v>3.75</v>
      </c>
      <c r="X81" s="265">
        <v>3.75</v>
      </c>
      <c r="Y81" s="265">
        <v>3.75</v>
      </c>
      <c r="Z81" s="265">
        <v>0.04</v>
      </c>
      <c r="AA81" s="265">
        <v>0.04</v>
      </c>
      <c r="AB81" s="265">
        <v>0.04</v>
      </c>
      <c r="AC81" s="265">
        <v>0.04</v>
      </c>
      <c r="AD81" s="265">
        <v>0.04</v>
      </c>
      <c r="AE81" s="265">
        <v>0.04</v>
      </c>
      <c r="AF81" s="265">
        <v>0.04</v>
      </c>
      <c r="AG81" s="265">
        <v>0.04</v>
      </c>
      <c r="AH81" s="265">
        <v>0.04</v>
      </c>
      <c r="AI81" s="265">
        <v>0.04</v>
      </c>
      <c r="AJ81" s="265">
        <v>0.04</v>
      </c>
      <c r="AK81" s="265">
        <v>0.04</v>
      </c>
      <c r="AL81" s="266">
        <v>4320</v>
      </c>
      <c r="AM81" s="265">
        <f t="shared" si="22"/>
        <v>172.8</v>
      </c>
      <c r="AN81" s="266">
        <v>21600</v>
      </c>
      <c r="AO81" s="265">
        <f t="shared" si="23"/>
        <v>864</v>
      </c>
      <c r="AP81" s="266">
        <v>8640</v>
      </c>
      <c r="AQ81" s="265">
        <f t="shared" si="24"/>
        <v>345.6</v>
      </c>
      <c r="AR81" s="266">
        <v>0</v>
      </c>
      <c r="AS81" s="262">
        <f t="shared" si="25"/>
        <v>0</v>
      </c>
      <c r="AT81" s="266">
        <v>8640</v>
      </c>
      <c r="AU81" s="260">
        <f t="shared" si="26"/>
        <v>345.6</v>
      </c>
      <c r="AV81" s="259">
        <v>0</v>
      </c>
      <c r="AW81" s="260">
        <f t="shared" si="27"/>
        <v>0</v>
      </c>
      <c r="AX81" s="261" t="s">
        <v>573</v>
      </c>
      <c r="AY81" s="260">
        <f t="shared" si="28"/>
        <v>0</v>
      </c>
      <c r="AZ81" s="259">
        <v>0</v>
      </c>
      <c r="BA81" s="260">
        <f t="shared" si="29"/>
        <v>0</v>
      </c>
      <c r="BB81" s="259">
        <v>0</v>
      </c>
      <c r="BC81" s="260">
        <f t="shared" si="30"/>
        <v>0</v>
      </c>
      <c r="BD81" s="259">
        <v>0</v>
      </c>
      <c r="BE81" s="260">
        <f t="shared" si="31"/>
        <v>0</v>
      </c>
      <c r="BF81" s="259">
        <v>0</v>
      </c>
      <c r="BG81" s="260">
        <f t="shared" si="32"/>
        <v>0</v>
      </c>
      <c r="BH81" s="259">
        <v>0</v>
      </c>
      <c r="BI81" s="260">
        <f t="shared" si="33"/>
        <v>0</v>
      </c>
      <c r="BJ81" s="58"/>
      <c r="BK81" s="220"/>
      <c r="BL81" s="213" t="s">
        <v>807</v>
      </c>
      <c r="BM81" s="58" t="s">
        <v>705</v>
      </c>
    </row>
    <row r="82" spans="1:65" ht="15.75" customHeight="1">
      <c r="A82" s="213" t="s">
        <v>1437</v>
      </c>
      <c r="B82" s="58" t="s">
        <v>184</v>
      </c>
      <c r="C82" s="58" t="s">
        <v>752</v>
      </c>
      <c r="D82" s="214" t="s">
        <v>186</v>
      </c>
      <c r="E82" s="214" t="s">
        <v>186</v>
      </c>
      <c r="F82" s="215" t="s">
        <v>186</v>
      </c>
      <c r="G82" s="216">
        <v>2016</v>
      </c>
      <c r="H82" s="218" t="s">
        <v>803</v>
      </c>
      <c r="I82" s="218" t="s">
        <v>196</v>
      </c>
      <c r="J82" s="217" t="s">
        <v>890</v>
      </c>
      <c r="K82" s="213" t="s">
        <v>221</v>
      </c>
      <c r="L82" s="213" t="s">
        <v>192</v>
      </c>
      <c r="M82" s="219" t="s">
        <v>1389</v>
      </c>
      <c r="N82" s="265">
        <v>3.88</v>
      </c>
      <c r="O82" s="265">
        <v>3.88</v>
      </c>
      <c r="P82" s="265">
        <v>3.88</v>
      </c>
      <c r="Q82" s="265">
        <v>3.88</v>
      </c>
      <c r="R82" s="265">
        <v>3.88</v>
      </c>
      <c r="S82" s="265">
        <v>3.88</v>
      </c>
      <c r="T82" s="265">
        <v>3.88</v>
      </c>
      <c r="U82" s="265">
        <v>3.88</v>
      </c>
      <c r="V82" s="265">
        <v>3.88</v>
      </c>
      <c r="W82" s="265">
        <v>3.88</v>
      </c>
      <c r="X82" s="265">
        <v>3.88</v>
      </c>
      <c r="Y82" s="265">
        <v>3.88</v>
      </c>
      <c r="Z82" s="265">
        <v>0.04</v>
      </c>
      <c r="AA82" s="265">
        <v>0.04</v>
      </c>
      <c r="AB82" s="265">
        <v>0.04</v>
      </c>
      <c r="AC82" s="265">
        <v>0.04</v>
      </c>
      <c r="AD82" s="265">
        <v>0.04</v>
      </c>
      <c r="AE82" s="265">
        <v>0.04</v>
      </c>
      <c r="AF82" s="265">
        <v>0.04</v>
      </c>
      <c r="AG82" s="265">
        <v>0.04</v>
      </c>
      <c r="AH82" s="265">
        <v>0.04</v>
      </c>
      <c r="AI82" s="265">
        <v>0.04</v>
      </c>
      <c r="AJ82" s="265">
        <v>0.04</v>
      </c>
      <c r="AK82" s="265">
        <v>0.04</v>
      </c>
      <c r="AL82" s="266">
        <v>8640</v>
      </c>
      <c r="AM82" s="265">
        <f t="shared" si="22"/>
        <v>345.6</v>
      </c>
      <c r="AN82" s="266">
        <v>12960</v>
      </c>
      <c r="AO82" s="265">
        <f t="shared" si="23"/>
        <v>518.4</v>
      </c>
      <c r="AP82" s="266">
        <v>17280</v>
      </c>
      <c r="AQ82" s="265">
        <f t="shared" si="24"/>
        <v>691.2</v>
      </c>
      <c r="AR82" s="266">
        <v>0</v>
      </c>
      <c r="AS82" s="262">
        <f t="shared" si="25"/>
        <v>0</v>
      </c>
      <c r="AT82" s="266">
        <v>4320</v>
      </c>
      <c r="AU82" s="260">
        <f t="shared" si="26"/>
        <v>172.8</v>
      </c>
      <c r="AV82" s="259">
        <v>0</v>
      </c>
      <c r="AW82" s="260">
        <f t="shared" si="27"/>
        <v>0</v>
      </c>
      <c r="AX82" s="261">
        <v>0</v>
      </c>
      <c r="AY82" s="260">
        <f t="shared" si="28"/>
        <v>0</v>
      </c>
      <c r="AZ82" s="259">
        <v>0</v>
      </c>
      <c r="BA82" s="260">
        <f t="shared" si="29"/>
        <v>0</v>
      </c>
      <c r="BB82" s="259">
        <v>0</v>
      </c>
      <c r="BC82" s="260">
        <f t="shared" si="30"/>
        <v>0</v>
      </c>
      <c r="BD82" s="259">
        <v>0</v>
      </c>
      <c r="BE82" s="260">
        <f t="shared" si="31"/>
        <v>0</v>
      </c>
      <c r="BF82" s="259" t="s">
        <v>573</v>
      </c>
      <c r="BG82" s="260">
        <f t="shared" si="32"/>
        <v>0</v>
      </c>
      <c r="BH82" s="259">
        <v>0</v>
      </c>
      <c r="BI82" s="260">
        <f t="shared" si="33"/>
        <v>0</v>
      </c>
      <c r="BJ82" s="58"/>
      <c r="BK82" s="220"/>
      <c r="BL82" s="213" t="s">
        <v>763</v>
      </c>
      <c r="BM82" s="58" t="s">
        <v>704</v>
      </c>
    </row>
    <row r="83" spans="1:65" ht="15.75" customHeight="1">
      <c r="A83" s="213" t="s">
        <v>1437</v>
      </c>
      <c r="B83" s="58" t="s">
        <v>184</v>
      </c>
      <c r="C83" s="58" t="s">
        <v>752</v>
      </c>
      <c r="D83" s="214" t="s">
        <v>186</v>
      </c>
      <c r="E83" s="214" t="s">
        <v>186</v>
      </c>
      <c r="F83" s="215" t="s">
        <v>186</v>
      </c>
      <c r="G83" s="216">
        <v>2016</v>
      </c>
      <c r="H83" s="218" t="s">
        <v>803</v>
      </c>
      <c r="I83" s="218" t="s">
        <v>196</v>
      </c>
      <c r="J83" s="217" t="s">
        <v>890</v>
      </c>
      <c r="K83" s="213" t="s">
        <v>221</v>
      </c>
      <c r="L83" s="213" t="s">
        <v>192</v>
      </c>
      <c r="M83" s="219" t="s">
        <v>1388</v>
      </c>
      <c r="N83" s="265">
        <v>4.04</v>
      </c>
      <c r="O83" s="265">
        <v>4.04</v>
      </c>
      <c r="P83" s="265">
        <v>4.04</v>
      </c>
      <c r="Q83" s="265">
        <v>4.04</v>
      </c>
      <c r="R83" s="265">
        <v>4.04</v>
      </c>
      <c r="S83" s="265">
        <v>4.04</v>
      </c>
      <c r="T83" s="265">
        <v>4.04</v>
      </c>
      <c r="U83" s="265">
        <v>4.04</v>
      </c>
      <c r="V83" s="265">
        <v>4.04</v>
      </c>
      <c r="W83" s="265">
        <v>4.04</v>
      </c>
      <c r="X83" s="265">
        <v>4.04</v>
      </c>
      <c r="Y83" s="265">
        <v>4.04</v>
      </c>
      <c r="Z83" s="265">
        <v>0.12</v>
      </c>
      <c r="AA83" s="265">
        <v>0.12</v>
      </c>
      <c r="AB83" s="265">
        <v>0.12</v>
      </c>
      <c r="AC83" s="265">
        <v>0.12</v>
      </c>
      <c r="AD83" s="265">
        <v>0.12</v>
      </c>
      <c r="AE83" s="265">
        <v>0.12</v>
      </c>
      <c r="AF83" s="265">
        <v>0.12</v>
      </c>
      <c r="AG83" s="265">
        <v>0.12</v>
      </c>
      <c r="AH83" s="265">
        <v>0.12</v>
      </c>
      <c r="AI83" s="265">
        <v>0.12</v>
      </c>
      <c r="AJ83" s="265">
        <v>0.12</v>
      </c>
      <c r="AK83" s="265">
        <v>0.12</v>
      </c>
      <c r="AL83" s="266" t="s">
        <v>573</v>
      </c>
      <c r="AM83" s="265">
        <f t="shared" si="22"/>
        <v>0</v>
      </c>
      <c r="AN83" s="266">
        <v>2880</v>
      </c>
      <c r="AO83" s="265">
        <f t="shared" si="23"/>
        <v>345.59999999999997</v>
      </c>
      <c r="AP83" s="266">
        <v>2880</v>
      </c>
      <c r="AQ83" s="265">
        <f t="shared" si="24"/>
        <v>345.59999999999997</v>
      </c>
      <c r="AR83" s="266">
        <v>2880</v>
      </c>
      <c r="AS83" s="262">
        <f t="shared" si="25"/>
        <v>345.59999999999997</v>
      </c>
      <c r="AT83" s="266">
        <v>0</v>
      </c>
      <c r="AU83" s="260">
        <f t="shared" si="26"/>
        <v>0</v>
      </c>
      <c r="AV83" s="259">
        <v>2880</v>
      </c>
      <c r="AW83" s="260">
        <f t="shared" si="27"/>
        <v>345.59999999999997</v>
      </c>
      <c r="AX83" s="261" t="s">
        <v>573</v>
      </c>
      <c r="AY83" s="260">
        <f t="shared" si="28"/>
        <v>0</v>
      </c>
      <c r="AZ83" s="259" t="s">
        <v>573</v>
      </c>
      <c r="BA83" s="260">
        <f t="shared" si="29"/>
        <v>0</v>
      </c>
      <c r="BB83" s="259" t="s">
        <v>573</v>
      </c>
      <c r="BC83" s="260">
        <f t="shared" si="30"/>
        <v>0</v>
      </c>
      <c r="BD83" s="259" t="s">
        <v>573</v>
      </c>
      <c r="BE83" s="260">
        <f t="shared" si="31"/>
        <v>0</v>
      </c>
      <c r="BF83" s="259">
        <v>2880</v>
      </c>
      <c r="BG83" s="260">
        <f t="shared" si="32"/>
        <v>345.59999999999997</v>
      </c>
      <c r="BH83" s="259">
        <v>5760</v>
      </c>
      <c r="BI83" s="260">
        <f t="shared" si="33"/>
        <v>691.19999999999993</v>
      </c>
      <c r="BJ83" s="58"/>
      <c r="BK83" s="220"/>
      <c r="BL83" s="213" t="s">
        <v>754</v>
      </c>
      <c r="BM83" s="58" t="s">
        <v>706</v>
      </c>
    </row>
    <row r="84" spans="1:65" ht="15.75" customHeight="1">
      <c r="A84" s="213" t="s">
        <v>1437</v>
      </c>
      <c r="B84" s="58" t="s">
        <v>184</v>
      </c>
      <c r="C84" s="58" t="s">
        <v>752</v>
      </c>
      <c r="D84" s="214" t="s">
        <v>186</v>
      </c>
      <c r="E84" s="214" t="s">
        <v>186</v>
      </c>
      <c r="F84" s="215" t="s">
        <v>186</v>
      </c>
      <c r="G84" s="216">
        <v>2016</v>
      </c>
      <c r="H84" s="218" t="s">
        <v>803</v>
      </c>
      <c r="I84" s="218" t="s">
        <v>196</v>
      </c>
      <c r="J84" s="217" t="s">
        <v>890</v>
      </c>
      <c r="K84" s="213" t="s">
        <v>306</v>
      </c>
      <c r="L84" s="213" t="s">
        <v>192</v>
      </c>
      <c r="M84" s="219" t="s">
        <v>1388</v>
      </c>
      <c r="N84" s="265">
        <v>4.18</v>
      </c>
      <c r="O84" s="265">
        <v>4.18</v>
      </c>
      <c r="P84" s="265">
        <v>4.18</v>
      </c>
      <c r="Q84" s="265">
        <v>4.18</v>
      </c>
      <c r="R84" s="265">
        <v>4.18</v>
      </c>
      <c r="S84" s="265">
        <v>4.18</v>
      </c>
      <c r="T84" s="265">
        <v>4.18</v>
      </c>
      <c r="U84" s="265">
        <v>4.18</v>
      </c>
      <c r="V84" s="265">
        <v>4.18</v>
      </c>
      <c r="W84" s="265">
        <v>4.18</v>
      </c>
      <c r="X84" s="265">
        <v>4.18</v>
      </c>
      <c r="Y84" s="265">
        <v>4.18</v>
      </c>
      <c r="Z84" s="265">
        <v>0.12</v>
      </c>
      <c r="AA84" s="265">
        <v>0.12</v>
      </c>
      <c r="AB84" s="265">
        <v>0.12</v>
      </c>
      <c r="AC84" s="265">
        <v>0.12</v>
      </c>
      <c r="AD84" s="265">
        <v>0.12</v>
      </c>
      <c r="AE84" s="265">
        <v>0.12</v>
      </c>
      <c r="AF84" s="265">
        <v>0.12</v>
      </c>
      <c r="AG84" s="265">
        <v>0.12</v>
      </c>
      <c r="AH84" s="265">
        <v>0.12</v>
      </c>
      <c r="AI84" s="265">
        <v>0.12</v>
      </c>
      <c r="AJ84" s="265">
        <v>0.12</v>
      </c>
      <c r="AK84" s="265">
        <v>0.12</v>
      </c>
      <c r="AL84" s="266" t="s">
        <v>573</v>
      </c>
      <c r="AM84" s="265">
        <f t="shared" si="22"/>
        <v>0</v>
      </c>
      <c r="AN84" s="266">
        <v>2880</v>
      </c>
      <c r="AO84" s="265">
        <f t="shared" si="23"/>
        <v>345.59999999999997</v>
      </c>
      <c r="AP84" s="266">
        <v>0</v>
      </c>
      <c r="AQ84" s="265">
        <f t="shared" si="24"/>
        <v>0</v>
      </c>
      <c r="AR84" s="266">
        <v>0</v>
      </c>
      <c r="AS84" s="262">
        <f t="shared" si="25"/>
        <v>0</v>
      </c>
      <c r="AT84" s="266">
        <v>0</v>
      </c>
      <c r="AU84" s="260">
        <f t="shared" si="26"/>
        <v>0</v>
      </c>
      <c r="AV84" s="259">
        <v>0</v>
      </c>
      <c r="AW84" s="260">
        <f t="shared" si="27"/>
        <v>0</v>
      </c>
      <c r="AX84" s="261" t="s">
        <v>573</v>
      </c>
      <c r="AY84" s="260">
        <f t="shared" si="28"/>
        <v>0</v>
      </c>
      <c r="AZ84" s="259" t="s">
        <v>573</v>
      </c>
      <c r="BA84" s="260">
        <f t="shared" si="29"/>
        <v>0</v>
      </c>
      <c r="BB84" s="259" t="s">
        <v>573</v>
      </c>
      <c r="BC84" s="260">
        <f t="shared" si="30"/>
        <v>0</v>
      </c>
      <c r="BD84" s="259" t="s">
        <v>573</v>
      </c>
      <c r="BE84" s="260">
        <f t="shared" si="31"/>
        <v>0</v>
      </c>
      <c r="BF84" s="259">
        <v>5760</v>
      </c>
      <c r="BG84" s="260">
        <f t="shared" si="32"/>
        <v>691.19999999999993</v>
      </c>
      <c r="BH84" s="259">
        <v>2880</v>
      </c>
      <c r="BI84" s="260">
        <f t="shared" si="33"/>
        <v>345.59999999999997</v>
      </c>
      <c r="BJ84" s="58"/>
      <c r="BK84" s="220"/>
      <c r="BL84" s="213" t="s">
        <v>807</v>
      </c>
      <c r="BM84" s="58" t="s">
        <v>521</v>
      </c>
    </row>
    <row r="85" spans="1:65" ht="15.75" customHeight="1">
      <c r="A85" s="213" t="s">
        <v>1437</v>
      </c>
      <c r="B85" s="58" t="s">
        <v>184</v>
      </c>
      <c r="C85" s="58" t="s">
        <v>752</v>
      </c>
      <c r="D85" s="214" t="s">
        <v>186</v>
      </c>
      <c r="E85" s="214" t="s">
        <v>186</v>
      </c>
      <c r="F85" s="215" t="s">
        <v>186</v>
      </c>
      <c r="G85" s="216">
        <v>2016</v>
      </c>
      <c r="H85" s="218" t="s">
        <v>803</v>
      </c>
      <c r="I85" s="218" t="s">
        <v>196</v>
      </c>
      <c r="J85" s="217" t="s">
        <v>890</v>
      </c>
      <c r="K85" s="213" t="s">
        <v>306</v>
      </c>
      <c r="L85" s="213" t="s">
        <v>192</v>
      </c>
      <c r="M85" s="219" t="s">
        <v>1388</v>
      </c>
      <c r="N85" s="265">
        <v>4.1399999999999997</v>
      </c>
      <c r="O85" s="265">
        <v>4.1399999999999997</v>
      </c>
      <c r="P85" s="265">
        <v>4.1399999999999997</v>
      </c>
      <c r="Q85" s="265">
        <v>4.1399999999999997</v>
      </c>
      <c r="R85" s="265">
        <v>4.1399999999999997</v>
      </c>
      <c r="S85" s="265">
        <v>4.1399999999999997</v>
      </c>
      <c r="T85" s="265">
        <v>4.1399999999999997</v>
      </c>
      <c r="U85" s="265">
        <v>4.1399999999999997</v>
      </c>
      <c r="V85" s="265">
        <v>4.1399999999999997</v>
      </c>
      <c r="W85" s="265">
        <v>4.1399999999999997</v>
      </c>
      <c r="X85" s="265">
        <v>4.1399999999999997</v>
      </c>
      <c r="Y85" s="265">
        <v>4.1399999999999997</v>
      </c>
      <c r="Z85" s="265">
        <v>0.12</v>
      </c>
      <c r="AA85" s="265">
        <v>0.12</v>
      </c>
      <c r="AB85" s="265">
        <v>0.12</v>
      </c>
      <c r="AC85" s="265">
        <v>0.12</v>
      </c>
      <c r="AD85" s="265">
        <v>0.12</v>
      </c>
      <c r="AE85" s="265">
        <v>0.12</v>
      </c>
      <c r="AF85" s="265">
        <v>0.12</v>
      </c>
      <c r="AG85" s="265">
        <v>0.12</v>
      </c>
      <c r="AH85" s="265">
        <v>0.12</v>
      </c>
      <c r="AI85" s="265">
        <v>0.12</v>
      </c>
      <c r="AJ85" s="265">
        <v>0.12</v>
      </c>
      <c r="AK85" s="265">
        <v>0.12</v>
      </c>
      <c r="AL85" s="266" t="s">
        <v>573</v>
      </c>
      <c r="AM85" s="265">
        <f t="shared" si="22"/>
        <v>0</v>
      </c>
      <c r="AN85" s="266" t="s">
        <v>573</v>
      </c>
      <c r="AO85" s="265">
        <f t="shared" si="23"/>
        <v>0</v>
      </c>
      <c r="AP85" s="266">
        <v>0</v>
      </c>
      <c r="AQ85" s="265">
        <f t="shared" si="24"/>
        <v>0</v>
      </c>
      <c r="AR85" s="266">
        <v>2880</v>
      </c>
      <c r="AS85" s="262">
        <f t="shared" si="25"/>
        <v>345.59999999999997</v>
      </c>
      <c r="AT85" s="266">
        <v>0</v>
      </c>
      <c r="AU85" s="260">
        <f t="shared" si="26"/>
        <v>0</v>
      </c>
      <c r="AV85" s="259">
        <v>0</v>
      </c>
      <c r="AW85" s="260">
        <f t="shared" si="27"/>
        <v>0</v>
      </c>
      <c r="AX85" s="261" t="s">
        <v>573</v>
      </c>
      <c r="AY85" s="260">
        <f t="shared" si="28"/>
        <v>0</v>
      </c>
      <c r="AZ85" s="259" t="s">
        <v>573</v>
      </c>
      <c r="BA85" s="260">
        <f t="shared" si="29"/>
        <v>0</v>
      </c>
      <c r="BB85" s="259" t="s">
        <v>573</v>
      </c>
      <c r="BC85" s="260">
        <f t="shared" si="30"/>
        <v>0</v>
      </c>
      <c r="BD85" s="259" t="s">
        <v>573</v>
      </c>
      <c r="BE85" s="260">
        <f t="shared" si="31"/>
        <v>0</v>
      </c>
      <c r="BF85" s="259" t="s">
        <v>573</v>
      </c>
      <c r="BG85" s="260">
        <f t="shared" si="32"/>
        <v>0</v>
      </c>
      <c r="BH85" s="259">
        <v>2880</v>
      </c>
      <c r="BI85" s="260">
        <f t="shared" si="33"/>
        <v>345.59999999999997</v>
      </c>
      <c r="BJ85" s="58"/>
      <c r="BK85" s="220"/>
      <c r="BL85" s="213" t="s">
        <v>754</v>
      </c>
      <c r="BM85" s="58" t="s">
        <v>522</v>
      </c>
    </row>
    <row r="86" spans="1:65" ht="15.75" customHeight="1">
      <c r="A86" s="213" t="s">
        <v>1437</v>
      </c>
      <c r="B86" s="58" t="s">
        <v>184</v>
      </c>
      <c r="C86" s="58" t="s">
        <v>752</v>
      </c>
      <c r="D86" s="214" t="s">
        <v>186</v>
      </c>
      <c r="E86" s="214" t="s">
        <v>186</v>
      </c>
      <c r="F86" s="215" t="s">
        <v>186</v>
      </c>
      <c r="G86" s="216">
        <v>2016</v>
      </c>
      <c r="H86" s="218" t="s">
        <v>803</v>
      </c>
      <c r="I86" s="218" t="s">
        <v>196</v>
      </c>
      <c r="J86" s="217" t="s">
        <v>890</v>
      </c>
      <c r="K86" s="213" t="s">
        <v>315</v>
      </c>
      <c r="L86" s="213" t="s">
        <v>192</v>
      </c>
      <c r="M86" s="219" t="s">
        <v>1388</v>
      </c>
      <c r="N86" s="265">
        <v>4.53</v>
      </c>
      <c r="O86" s="265">
        <v>4.53</v>
      </c>
      <c r="P86" s="265">
        <v>4.53</v>
      </c>
      <c r="Q86" s="265">
        <v>4.53</v>
      </c>
      <c r="R86" s="265">
        <v>4.53</v>
      </c>
      <c r="S86" s="265">
        <v>4.53</v>
      </c>
      <c r="T86" s="265">
        <v>4.53</v>
      </c>
      <c r="U86" s="265">
        <v>4.53</v>
      </c>
      <c r="V86" s="265">
        <v>4.53</v>
      </c>
      <c r="W86" s="265">
        <v>4.53</v>
      </c>
      <c r="X86" s="265">
        <v>4.53</v>
      </c>
      <c r="Y86" s="265">
        <v>4.53</v>
      </c>
      <c r="Z86" s="265">
        <v>0.12</v>
      </c>
      <c r="AA86" s="265">
        <v>0.12</v>
      </c>
      <c r="AB86" s="265">
        <v>0.12</v>
      </c>
      <c r="AC86" s="265">
        <v>0.12</v>
      </c>
      <c r="AD86" s="265">
        <v>0.12</v>
      </c>
      <c r="AE86" s="265">
        <v>0.12</v>
      </c>
      <c r="AF86" s="265">
        <v>0.12</v>
      </c>
      <c r="AG86" s="265">
        <v>0.12</v>
      </c>
      <c r="AH86" s="265">
        <v>0.12</v>
      </c>
      <c r="AI86" s="265">
        <v>0.12</v>
      </c>
      <c r="AJ86" s="265">
        <v>0.12</v>
      </c>
      <c r="AK86" s="265">
        <v>0.12</v>
      </c>
      <c r="AL86" s="266" t="s">
        <v>573</v>
      </c>
      <c r="AM86" s="265">
        <f t="shared" si="22"/>
        <v>0</v>
      </c>
      <c r="AN86" s="266" t="s">
        <v>573</v>
      </c>
      <c r="AO86" s="265">
        <f t="shared" si="23"/>
        <v>0</v>
      </c>
      <c r="AP86" s="266">
        <v>0</v>
      </c>
      <c r="AQ86" s="265">
        <f t="shared" si="24"/>
        <v>0</v>
      </c>
      <c r="AR86" s="266">
        <v>0</v>
      </c>
      <c r="AS86" s="262">
        <f t="shared" si="25"/>
        <v>0</v>
      </c>
      <c r="AT86" s="266">
        <v>0</v>
      </c>
      <c r="AU86" s="260">
        <f t="shared" si="26"/>
        <v>0</v>
      </c>
      <c r="AV86" s="259">
        <v>2880</v>
      </c>
      <c r="AW86" s="260">
        <f t="shared" si="27"/>
        <v>345.59999999999997</v>
      </c>
      <c r="AX86" s="261" t="s">
        <v>573</v>
      </c>
      <c r="AY86" s="260">
        <f t="shared" si="28"/>
        <v>0</v>
      </c>
      <c r="AZ86" s="259" t="s">
        <v>573</v>
      </c>
      <c r="BA86" s="260">
        <f t="shared" si="29"/>
        <v>0</v>
      </c>
      <c r="BB86" s="259" t="s">
        <v>573</v>
      </c>
      <c r="BC86" s="260">
        <f t="shared" si="30"/>
        <v>0</v>
      </c>
      <c r="BD86" s="259">
        <v>2880</v>
      </c>
      <c r="BE86" s="260">
        <f t="shared" si="31"/>
        <v>345.59999999999997</v>
      </c>
      <c r="BF86" s="259">
        <v>8640</v>
      </c>
      <c r="BG86" s="260">
        <f t="shared" si="32"/>
        <v>1036.8</v>
      </c>
      <c r="BH86" s="259">
        <v>2880</v>
      </c>
      <c r="BI86" s="260">
        <f t="shared" si="33"/>
        <v>345.59999999999997</v>
      </c>
      <c r="BJ86" s="58"/>
      <c r="BK86" s="220"/>
      <c r="BL86" s="213" t="s">
        <v>807</v>
      </c>
      <c r="BM86" s="58" t="s">
        <v>524</v>
      </c>
    </row>
    <row r="87" spans="1:65" ht="15.75" customHeight="1">
      <c r="A87" s="213" t="s">
        <v>1437</v>
      </c>
      <c r="B87" s="58" t="s">
        <v>184</v>
      </c>
      <c r="C87" s="58" t="s">
        <v>752</v>
      </c>
      <c r="D87" s="214" t="s">
        <v>186</v>
      </c>
      <c r="E87" s="214" t="s">
        <v>186</v>
      </c>
      <c r="F87" s="215" t="s">
        <v>186</v>
      </c>
      <c r="G87" s="216">
        <v>2016</v>
      </c>
      <c r="H87" s="218" t="s">
        <v>803</v>
      </c>
      <c r="I87" s="218" t="s">
        <v>196</v>
      </c>
      <c r="J87" s="217" t="s">
        <v>890</v>
      </c>
      <c r="K87" s="213" t="s">
        <v>315</v>
      </c>
      <c r="L87" s="213" t="s">
        <v>192</v>
      </c>
      <c r="M87" s="219" t="s">
        <v>1389</v>
      </c>
      <c r="N87" s="265">
        <v>4.38</v>
      </c>
      <c r="O87" s="265">
        <v>4.38</v>
      </c>
      <c r="P87" s="265">
        <v>4.38</v>
      </c>
      <c r="Q87" s="265">
        <v>4.38</v>
      </c>
      <c r="R87" s="265">
        <v>4.38</v>
      </c>
      <c r="S87" s="265">
        <v>4.38</v>
      </c>
      <c r="T87" s="265">
        <v>4.38</v>
      </c>
      <c r="U87" s="265">
        <v>4.38</v>
      </c>
      <c r="V87" s="265">
        <v>4.38</v>
      </c>
      <c r="W87" s="265">
        <v>4.38</v>
      </c>
      <c r="X87" s="265">
        <v>4.38</v>
      </c>
      <c r="Y87" s="265">
        <v>4.38</v>
      </c>
      <c r="Z87" s="265">
        <v>0.04</v>
      </c>
      <c r="AA87" s="265">
        <v>0.04</v>
      </c>
      <c r="AB87" s="265">
        <v>0.04</v>
      </c>
      <c r="AC87" s="265">
        <v>0.04</v>
      </c>
      <c r="AD87" s="265">
        <v>0.04</v>
      </c>
      <c r="AE87" s="265">
        <v>0.04</v>
      </c>
      <c r="AF87" s="265">
        <v>0.04</v>
      </c>
      <c r="AG87" s="265">
        <v>0.04</v>
      </c>
      <c r="AH87" s="265">
        <v>0.04</v>
      </c>
      <c r="AI87" s="265">
        <v>0.04</v>
      </c>
      <c r="AJ87" s="265">
        <v>0.04</v>
      </c>
      <c r="AK87" s="265">
        <v>0.04</v>
      </c>
      <c r="AL87" s="266" t="s">
        <v>573</v>
      </c>
      <c r="AM87" s="265">
        <f t="shared" si="22"/>
        <v>0</v>
      </c>
      <c r="AN87" s="266" t="s">
        <v>573</v>
      </c>
      <c r="AO87" s="265">
        <f t="shared" si="23"/>
        <v>0</v>
      </c>
      <c r="AP87" s="266">
        <v>0</v>
      </c>
      <c r="AQ87" s="265">
        <f t="shared" si="24"/>
        <v>0</v>
      </c>
      <c r="AR87" s="266">
        <v>0</v>
      </c>
      <c r="AS87" s="262">
        <f t="shared" si="25"/>
        <v>0</v>
      </c>
      <c r="AT87" s="266">
        <v>0</v>
      </c>
      <c r="AU87" s="260">
        <f t="shared" si="26"/>
        <v>0</v>
      </c>
      <c r="AV87" s="259">
        <v>0</v>
      </c>
      <c r="AW87" s="260">
        <f t="shared" si="27"/>
        <v>0</v>
      </c>
      <c r="AX87" s="261" t="s">
        <v>573</v>
      </c>
      <c r="AY87" s="260">
        <f t="shared" si="28"/>
        <v>0</v>
      </c>
      <c r="AZ87" s="259" t="s">
        <v>573</v>
      </c>
      <c r="BA87" s="260">
        <f t="shared" si="29"/>
        <v>0</v>
      </c>
      <c r="BB87" s="259" t="s">
        <v>573</v>
      </c>
      <c r="BC87" s="260">
        <f t="shared" si="30"/>
        <v>0</v>
      </c>
      <c r="BD87" s="259" t="s">
        <v>573</v>
      </c>
      <c r="BE87" s="260">
        <f t="shared" si="31"/>
        <v>0</v>
      </c>
      <c r="BF87" s="259">
        <v>4320</v>
      </c>
      <c r="BG87" s="260">
        <f t="shared" si="32"/>
        <v>172.8</v>
      </c>
      <c r="BH87" s="259" t="s">
        <v>573</v>
      </c>
      <c r="BI87" s="260">
        <f t="shared" si="33"/>
        <v>0</v>
      </c>
      <c r="BJ87" s="58"/>
      <c r="BK87" s="220"/>
      <c r="BL87" s="213" t="s">
        <v>763</v>
      </c>
      <c r="BM87" s="58" t="s">
        <v>523</v>
      </c>
    </row>
    <row r="88" spans="1:65" ht="15.75" customHeight="1">
      <c r="A88" s="213" t="s">
        <v>1437</v>
      </c>
      <c r="B88" s="58" t="s">
        <v>184</v>
      </c>
      <c r="C88" s="58" t="s">
        <v>752</v>
      </c>
      <c r="D88" s="214" t="s">
        <v>186</v>
      </c>
      <c r="E88" s="214" t="s">
        <v>186</v>
      </c>
      <c r="F88" s="215" t="s">
        <v>186</v>
      </c>
      <c r="G88" s="216">
        <v>2016</v>
      </c>
      <c r="H88" s="218" t="s">
        <v>803</v>
      </c>
      <c r="I88" s="218" t="s">
        <v>196</v>
      </c>
      <c r="J88" s="217" t="s">
        <v>890</v>
      </c>
      <c r="K88" s="213" t="s">
        <v>310</v>
      </c>
      <c r="L88" s="213" t="s">
        <v>192</v>
      </c>
      <c r="M88" s="219" t="s">
        <v>1388</v>
      </c>
      <c r="N88" s="265">
        <v>4.53</v>
      </c>
      <c r="O88" s="265">
        <v>4.53</v>
      </c>
      <c r="P88" s="265">
        <v>4.53</v>
      </c>
      <c r="Q88" s="265">
        <v>4.53</v>
      </c>
      <c r="R88" s="265">
        <v>4.53</v>
      </c>
      <c r="S88" s="265">
        <v>4.53</v>
      </c>
      <c r="T88" s="265">
        <v>4.53</v>
      </c>
      <c r="U88" s="265">
        <v>4.53</v>
      </c>
      <c r="V88" s="265">
        <v>4.53</v>
      </c>
      <c r="W88" s="265">
        <v>4.53</v>
      </c>
      <c r="X88" s="265">
        <v>4.53</v>
      </c>
      <c r="Y88" s="265">
        <v>4.53</v>
      </c>
      <c r="Z88" s="265">
        <v>0.12</v>
      </c>
      <c r="AA88" s="265">
        <v>0.12</v>
      </c>
      <c r="AB88" s="265">
        <v>0.12</v>
      </c>
      <c r="AC88" s="265">
        <v>0.12</v>
      </c>
      <c r="AD88" s="265">
        <v>0.12</v>
      </c>
      <c r="AE88" s="265">
        <v>0.12</v>
      </c>
      <c r="AF88" s="265">
        <v>0.12</v>
      </c>
      <c r="AG88" s="265">
        <v>0.12</v>
      </c>
      <c r="AH88" s="265">
        <v>0.12</v>
      </c>
      <c r="AI88" s="265">
        <v>0.12</v>
      </c>
      <c r="AJ88" s="265">
        <v>0.12</v>
      </c>
      <c r="AK88" s="265">
        <v>0.12</v>
      </c>
      <c r="AL88" s="266" t="s">
        <v>573</v>
      </c>
      <c r="AM88" s="265">
        <f t="shared" si="22"/>
        <v>0</v>
      </c>
      <c r="AN88" s="266">
        <v>2880</v>
      </c>
      <c r="AO88" s="265">
        <f t="shared" si="23"/>
        <v>345.59999999999997</v>
      </c>
      <c r="AP88" s="266">
        <v>0</v>
      </c>
      <c r="AQ88" s="265">
        <f t="shared" si="24"/>
        <v>0</v>
      </c>
      <c r="AR88" s="266">
        <v>0</v>
      </c>
      <c r="AS88" s="262">
        <f t="shared" si="25"/>
        <v>0</v>
      </c>
      <c r="AT88" s="266">
        <v>5760</v>
      </c>
      <c r="AU88" s="260">
        <f t="shared" si="26"/>
        <v>691.19999999999993</v>
      </c>
      <c r="AV88" s="259">
        <v>5760</v>
      </c>
      <c r="AW88" s="260">
        <f t="shared" si="27"/>
        <v>691.19999999999993</v>
      </c>
      <c r="AX88" s="261" t="s">
        <v>573</v>
      </c>
      <c r="AY88" s="260">
        <f t="shared" si="28"/>
        <v>0</v>
      </c>
      <c r="AZ88" s="259">
        <v>760</v>
      </c>
      <c r="BA88" s="260">
        <f t="shared" si="29"/>
        <v>91.2</v>
      </c>
      <c r="BB88" s="259" t="s">
        <v>573</v>
      </c>
      <c r="BC88" s="260">
        <f t="shared" si="30"/>
        <v>0</v>
      </c>
      <c r="BD88" s="259">
        <v>2880</v>
      </c>
      <c r="BE88" s="260">
        <f t="shared" si="31"/>
        <v>345.59999999999997</v>
      </c>
      <c r="BF88" s="259" t="s">
        <v>573</v>
      </c>
      <c r="BG88" s="260">
        <f t="shared" si="32"/>
        <v>0</v>
      </c>
      <c r="BH88" s="259">
        <v>0</v>
      </c>
      <c r="BI88" s="260">
        <f t="shared" si="33"/>
        <v>0</v>
      </c>
      <c r="BJ88" s="58"/>
      <c r="BK88" s="220"/>
      <c r="BL88" s="213" t="s">
        <v>807</v>
      </c>
      <c r="BM88" s="58" t="s">
        <v>526</v>
      </c>
    </row>
    <row r="89" spans="1:65" ht="15.75" customHeight="1">
      <c r="A89" s="213" t="s">
        <v>1437</v>
      </c>
      <c r="B89" s="58" t="s">
        <v>184</v>
      </c>
      <c r="C89" s="58" t="s">
        <v>752</v>
      </c>
      <c r="D89" s="214" t="s">
        <v>186</v>
      </c>
      <c r="E89" s="214" t="s">
        <v>186</v>
      </c>
      <c r="F89" s="215" t="s">
        <v>186</v>
      </c>
      <c r="G89" s="216">
        <v>2016</v>
      </c>
      <c r="H89" s="218" t="s">
        <v>803</v>
      </c>
      <c r="I89" s="218" t="s">
        <v>196</v>
      </c>
      <c r="J89" s="217" t="s">
        <v>890</v>
      </c>
      <c r="K89" s="213" t="s">
        <v>310</v>
      </c>
      <c r="L89" s="213" t="s">
        <v>192</v>
      </c>
      <c r="M89" s="219" t="s">
        <v>1389</v>
      </c>
      <c r="N89" s="265">
        <v>4.38</v>
      </c>
      <c r="O89" s="265">
        <v>4.38</v>
      </c>
      <c r="P89" s="265">
        <v>4.38</v>
      </c>
      <c r="Q89" s="265">
        <v>4.38</v>
      </c>
      <c r="R89" s="265">
        <v>4.38</v>
      </c>
      <c r="S89" s="265">
        <v>4.38</v>
      </c>
      <c r="T89" s="265">
        <v>4.38</v>
      </c>
      <c r="U89" s="265">
        <v>4.38</v>
      </c>
      <c r="V89" s="265">
        <v>4.38</v>
      </c>
      <c r="W89" s="265">
        <v>4.38</v>
      </c>
      <c r="X89" s="265">
        <v>4.38</v>
      </c>
      <c r="Y89" s="265">
        <v>4.38</v>
      </c>
      <c r="Z89" s="265">
        <v>0.04</v>
      </c>
      <c r="AA89" s="265">
        <v>0.04</v>
      </c>
      <c r="AB89" s="265">
        <v>0.04</v>
      </c>
      <c r="AC89" s="265">
        <v>0.04</v>
      </c>
      <c r="AD89" s="265">
        <v>0.04</v>
      </c>
      <c r="AE89" s="265">
        <v>0.04</v>
      </c>
      <c r="AF89" s="265">
        <v>0.04</v>
      </c>
      <c r="AG89" s="265">
        <v>0.04</v>
      </c>
      <c r="AH89" s="265">
        <v>0.04</v>
      </c>
      <c r="AI89" s="265">
        <v>0.04</v>
      </c>
      <c r="AJ89" s="265">
        <v>0.04</v>
      </c>
      <c r="AK89" s="265">
        <v>0.04</v>
      </c>
      <c r="AL89" s="266" t="s">
        <v>573</v>
      </c>
      <c r="AM89" s="265">
        <f t="shared" si="22"/>
        <v>0</v>
      </c>
      <c r="AN89" s="266">
        <v>4320</v>
      </c>
      <c r="AO89" s="265">
        <f t="shared" si="23"/>
        <v>172.8</v>
      </c>
      <c r="AP89" s="266">
        <v>0</v>
      </c>
      <c r="AQ89" s="265">
        <f t="shared" si="24"/>
        <v>0</v>
      </c>
      <c r="AR89" s="266">
        <v>0</v>
      </c>
      <c r="AS89" s="262">
        <f t="shared" si="25"/>
        <v>0</v>
      </c>
      <c r="AT89" s="266">
        <v>0</v>
      </c>
      <c r="AU89" s="260">
        <f t="shared" si="26"/>
        <v>0</v>
      </c>
      <c r="AV89" s="259">
        <v>0</v>
      </c>
      <c r="AW89" s="260">
        <f t="shared" si="27"/>
        <v>0</v>
      </c>
      <c r="AX89" s="261" t="s">
        <v>573</v>
      </c>
      <c r="AY89" s="260">
        <f t="shared" si="28"/>
        <v>0</v>
      </c>
      <c r="AZ89" s="259">
        <v>3514</v>
      </c>
      <c r="BA89" s="260">
        <f t="shared" si="29"/>
        <v>140.56</v>
      </c>
      <c r="BB89" s="259">
        <v>2365</v>
      </c>
      <c r="BC89" s="260">
        <f t="shared" si="30"/>
        <v>94.600000000000009</v>
      </c>
      <c r="BD89" s="259" t="s">
        <v>573</v>
      </c>
      <c r="BE89" s="260">
        <f t="shared" si="31"/>
        <v>0</v>
      </c>
      <c r="BF89" s="259">
        <v>4320</v>
      </c>
      <c r="BG89" s="260">
        <f t="shared" si="32"/>
        <v>172.8</v>
      </c>
      <c r="BH89" s="259">
        <v>5760</v>
      </c>
      <c r="BI89" s="260">
        <f t="shared" si="33"/>
        <v>230.4</v>
      </c>
      <c r="BJ89" s="58"/>
      <c r="BK89" s="220"/>
      <c r="BL89" s="213" t="s">
        <v>763</v>
      </c>
      <c r="BM89" s="58" t="s">
        <v>525</v>
      </c>
    </row>
    <row r="90" spans="1:65" ht="15.75" customHeight="1">
      <c r="A90" s="213" t="s">
        <v>1437</v>
      </c>
      <c r="B90" s="58" t="s">
        <v>184</v>
      </c>
      <c r="C90" s="58" t="s">
        <v>752</v>
      </c>
      <c r="D90" s="214" t="s">
        <v>186</v>
      </c>
      <c r="E90" s="214" t="s">
        <v>186</v>
      </c>
      <c r="F90" s="215" t="s">
        <v>186</v>
      </c>
      <c r="G90" s="216">
        <v>2016</v>
      </c>
      <c r="H90" s="218" t="s">
        <v>803</v>
      </c>
      <c r="I90" s="218" t="s">
        <v>196</v>
      </c>
      <c r="J90" s="217" t="s">
        <v>890</v>
      </c>
      <c r="K90" s="213" t="s">
        <v>310</v>
      </c>
      <c r="L90" s="213" t="s">
        <v>192</v>
      </c>
      <c r="M90" s="219" t="s">
        <v>1388</v>
      </c>
      <c r="N90" s="265">
        <v>4.3</v>
      </c>
      <c r="O90" s="265">
        <v>4.3</v>
      </c>
      <c r="P90" s="265">
        <v>4.3</v>
      </c>
      <c r="Q90" s="265">
        <v>4.3</v>
      </c>
      <c r="R90" s="265">
        <v>4.3</v>
      </c>
      <c r="S90" s="265">
        <v>4.3</v>
      </c>
      <c r="T90" s="265">
        <v>4.3</v>
      </c>
      <c r="U90" s="265">
        <v>4.3</v>
      </c>
      <c r="V90" s="265">
        <v>4.3</v>
      </c>
      <c r="W90" s="265">
        <v>4.3</v>
      </c>
      <c r="X90" s="265">
        <v>4.3</v>
      </c>
      <c r="Y90" s="265">
        <v>4.3</v>
      </c>
      <c r="Z90" s="265">
        <v>0.12</v>
      </c>
      <c r="AA90" s="265">
        <v>0.12</v>
      </c>
      <c r="AB90" s="265">
        <v>0.12</v>
      </c>
      <c r="AC90" s="265">
        <v>0.12</v>
      </c>
      <c r="AD90" s="265">
        <v>0.12</v>
      </c>
      <c r="AE90" s="265">
        <v>0.12</v>
      </c>
      <c r="AF90" s="265">
        <v>0.12</v>
      </c>
      <c r="AG90" s="265">
        <v>0.12</v>
      </c>
      <c r="AH90" s="265">
        <v>0.12</v>
      </c>
      <c r="AI90" s="265">
        <v>0.12</v>
      </c>
      <c r="AJ90" s="265">
        <v>0.12</v>
      </c>
      <c r="AK90" s="265">
        <v>0.12</v>
      </c>
      <c r="AL90" s="266" t="s">
        <v>573</v>
      </c>
      <c r="AM90" s="265">
        <f t="shared" si="22"/>
        <v>0</v>
      </c>
      <c r="AN90" s="266" t="s">
        <v>573</v>
      </c>
      <c r="AO90" s="265">
        <f t="shared" si="23"/>
        <v>0</v>
      </c>
      <c r="AP90" s="266">
        <v>0</v>
      </c>
      <c r="AQ90" s="265">
        <f t="shared" si="24"/>
        <v>0</v>
      </c>
      <c r="AR90" s="266">
        <v>0</v>
      </c>
      <c r="AS90" s="262">
        <f t="shared" si="25"/>
        <v>0</v>
      </c>
      <c r="AT90" s="266">
        <v>0</v>
      </c>
      <c r="AU90" s="260">
        <f t="shared" si="26"/>
        <v>0</v>
      </c>
      <c r="AV90" s="259">
        <v>0</v>
      </c>
      <c r="AW90" s="260">
        <f t="shared" si="27"/>
        <v>0</v>
      </c>
      <c r="AX90" s="261" t="s">
        <v>573</v>
      </c>
      <c r="AY90" s="260">
        <f t="shared" si="28"/>
        <v>0</v>
      </c>
      <c r="AZ90" s="259" t="s">
        <v>573</v>
      </c>
      <c r="BA90" s="260">
        <f t="shared" si="29"/>
        <v>0</v>
      </c>
      <c r="BB90" s="259" t="s">
        <v>573</v>
      </c>
      <c r="BC90" s="260">
        <f t="shared" si="30"/>
        <v>0</v>
      </c>
      <c r="BD90" s="259" t="s">
        <v>573</v>
      </c>
      <c r="BE90" s="260">
        <f t="shared" si="31"/>
        <v>0</v>
      </c>
      <c r="BF90" s="259" t="s">
        <v>573</v>
      </c>
      <c r="BG90" s="260">
        <f t="shared" si="32"/>
        <v>0</v>
      </c>
      <c r="BH90" s="259" t="s">
        <v>573</v>
      </c>
      <c r="BI90" s="260">
        <f t="shared" si="33"/>
        <v>0</v>
      </c>
      <c r="BJ90" s="58"/>
      <c r="BK90" s="220"/>
      <c r="BL90" s="213" t="s">
        <v>754</v>
      </c>
      <c r="BM90" s="58" t="s">
        <v>527</v>
      </c>
    </row>
    <row r="91" spans="1:65" ht="15.75" customHeight="1">
      <c r="A91" s="213" t="s">
        <v>1437</v>
      </c>
      <c r="B91" s="58" t="s">
        <v>184</v>
      </c>
      <c r="C91" s="58" t="s">
        <v>752</v>
      </c>
      <c r="D91" s="214" t="s">
        <v>186</v>
      </c>
      <c r="E91" s="214" t="s">
        <v>186</v>
      </c>
      <c r="F91" s="215" t="s">
        <v>186</v>
      </c>
      <c r="G91" s="216">
        <v>2016</v>
      </c>
      <c r="H91" s="218" t="s">
        <v>803</v>
      </c>
      <c r="I91" s="218" t="s">
        <v>196</v>
      </c>
      <c r="J91" s="217" t="s">
        <v>890</v>
      </c>
      <c r="K91" s="213" t="s">
        <v>397</v>
      </c>
      <c r="L91" s="213" t="s">
        <v>192</v>
      </c>
      <c r="M91" s="219" t="s">
        <v>1388</v>
      </c>
      <c r="N91" s="265">
        <v>4.18</v>
      </c>
      <c r="O91" s="265">
        <v>4.18</v>
      </c>
      <c r="P91" s="265">
        <v>4.18</v>
      </c>
      <c r="Q91" s="265">
        <v>4.18</v>
      </c>
      <c r="R91" s="265">
        <v>4.18</v>
      </c>
      <c r="S91" s="265">
        <v>4.18</v>
      </c>
      <c r="T91" s="265">
        <v>4.18</v>
      </c>
      <c r="U91" s="265">
        <v>4.18</v>
      </c>
      <c r="V91" s="265">
        <v>4.18</v>
      </c>
      <c r="W91" s="265">
        <v>4.18</v>
      </c>
      <c r="X91" s="265">
        <v>4.18</v>
      </c>
      <c r="Y91" s="265">
        <v>4.18</v>
      </c>
      <c r="Z91" s="265">
        <v>0.12</v>
      </c>
      <c r="AA91" s="265">
        <v>0.12</v>
      </c>
      <c r="AB91" s="265">
        <v>0.12</v>
      </c>
      <c r="AC91" s="265">
        <v>0.12</v>
      </c>
      <c r="AD91" s="265">
        <v>0.12</v>
      </c>
      <c r="AE91" s="265">
        <v>0.12</v>
      </c>
      <c r="AF91" s="265">
        <v>0.12</v>
      </c>
      <c r="AG91" s="265">
        <v>0.12</v>
      </c>
      <c r="AH91" s="265">
        <v>0.12</v>
      </c>
      <c r="AI91" s="265">
        <v>0.12</v>
      </c>
      <c r="AJ91" s="265">
        <v>0.12</v>
      </c>
      <c r="AK91" s="265">
        <v>0.12</v>
      </c>
      <c r="AL91" s="266" t="s">
        <v>573</v>
      </c>
      <c r="AM91" s="265">
        <f t="shared" si="22"/>
        <v>0</v>
      </c>
      <c r="AN91" s="266">
        <v>5760</v>
      </c>
      <c r="AO91" s="265">
        <f t="shared" si="23"/>
        <v>691.19999999999993</v>
      </c>
      <c r="AP91" s="266">
        <v>0</v>
      </c>
      <c r="AQ91" s="265">
        <f t="shared" si="24"/>
        <v>0</v>
      </c>
      <c r="AR91" s="266">
        <v>0</v>
      </c>
      <c r="AS91" s="262">
        <f t="shared" si="25"/>
        <v>0</v>
      </c>
      <c r="AT91" s="266">
        <v>0</v>
      </c>
      <c r="AU91" s="260">
        <f t="shared" si="26"/>
        <v>0</v>
      </c>
      <c r="AV91" s="259">
        <v>2880</v>
      </c>
      <c r="AW91" s="260">
        <f t="shared" si="27"/>
        <v>345.59999999999997</v>
      </c>
      <c r="AX91" s="261" t="s">
        <v>573</v>
      </c>
      <c r="AY91" s="260">
        <f t="shared" si="28"/>
        <v>0</v>
      </c>
      <c r="AZ91" s="259" t="s">
        <v>573</v>
      </c>
      <c r="BA91" s="260">
        <f t="shared" si="29"/>
        <v>0</v>
      </c>
      <c r="BB91" s="259" t="s">
        <v>573</v>
      </c>
      <c r="BC91" s="260">
        <f t="shared" si="30"/>
        <v>0</v>
      </c>
      <c r="BD91" s="259" t="s">
        <v>573</v>
      </c>
      <c r="BE91" s="260">
        <f t="shared" si="31"/>
        <v>0</v>
      </c>
      <c r="BF91" s="259">
        <v>2880</v>
      </c>
      <c r="BG91" s="260">
        <f t="shared" si="32"/>
        <v>345.59999999999997</v>
      </c>
      <c r="BH91" s="259" t="s">
        <v>573</v>
      </c>
      <c r="BI91" s="260">
        <f t="shared" si="33"/>
        <v>0</v>
      </c>
      <c r="BJ91" s="58"/>
      <c r="BK91" s="220"/>
      <c r="BL91" s="213" t="s">
        <v>807</v>
      </c>
      <c r="BM91" s="58" t="s">
        <v>528</v>
      </c>
    </row>
    <row r="92" spans="1:65" ht="15.75" customHeight="1">
      <c r="A92" s="213" t="s">
        <v>1437</v>
      </c>
      <c r="B92" s="58" t="s">
        <v>184</v>
      </c>
      <c r="C92" s="58" t="s">
        <v>752</v>
      </c>
      <c r="D92" s="214" t="s">
        <v>186</v>
      </c>
      <c r="E92" s="214" t="s">
        <v>186</v>
      </c>
      <c r="F92" s="215" t="s">
        <v>186</v>
      </c>
      <c r="G92" s="216">
        <v>2016</v>
      </c>
      <c r="H92" s="218" t="s">
        <v>803</v>
      </c>
      <c r="I92" s="218" t="s">
        <v>196</v>
      </c>
      <c r="J92" s="217" t="s">
        <v>890</v>
      </c>
      <c r="K92" s="213" t="s">
        <v>894</v>
      </c>
      <c r="L92" s="213" t="s">
        <v>192</v>
      </c>
      <c r="M92" s="219" t="s">
        <v>1388</v>
      </c>
      <c r="N92" s="265">
        <v>4.1399999999999997</v>
      </c>
      <c r="O92" s="265">
        <v>4.1399999999999997</v>
      </c>
      <c r="P92" s="265">
        <v>4.1399999999999997</v>
      </c>
      <c r="Q92" s="265">
        <v>4.1399999999999997</v>
      </c>
      <c r="R92" s="265">
        <v>4.1399999999999997</v>
      </c>
      <c r="S92" s="265">
        <v>4.1399999999999997</v>
      </c>
      <c r="T92" s="265">
        <v>4.1399999999999997</v>
      </c>
      <c r="U92" s="265">
        <v>4.1399999999999997</v>
      </c>
      <c r="V92" s="265">
        <v>4.1399999999999997</v>
      </c>
      <c r="W92" s="265">
        <v>4.1399999999999997</v>
      </c>
      <c r="X92" s="265">
        <v>4.1399999999999997</v>
      </c>
      <c r="Y92" s="265">
        <v>4.1399999999999997</v>
      </c>
      <c r="Z92" s="265">
        <v>0.12</v>
      </c>
      <c r="AA92" s="265">
        <v>0.12</v>
      </c>
      <c r="AB92" s="265">
        <v>0.12</v>
      </c>
      <c r="AC92" s="265">
        <v>0.12</v>
      </c>
      <c r="AD92" s="265">
        <v>0.12</v>
      </c>
      <c r="AE92" s="265">
        <v>0.12</v>
      </c>
      <c r="AF92" s="265">
        <v>0.12</v>
      </c>
      <c r="AG92" s="265">
        <v>0.12</v>
      </c>
      <c r="AH92" s="265">
        <v>0.12</v>
      </c>
      <c r="AI92" s="265">
        <v>0.12</v>
      </c>
      <c r="AJ92" s="265">
        <v>0.12</v>
      </c>
      <c r="AK92" s="265">
        <v>0.12</v>
      </c>
      <c r="AL92" s="266" t="s">
        <v>573</v>
      </c>
      <c r="AM92" s="265">
        <f t="shared" si="22"/>
        <v>0</v>
      </c>
      <c r="AN92" s="266" t="s">
        <v>573</v>
      </c>
      <c r="AO92" s="265">
        <f t="shared" si="23"/>
        <v>0</v>
      </c>
      <c r="AP92" s="266">
        <v>0</v>
      </c>
      <c r="AQ92" s="265">
        <f t="shared" si="24"/>
        <v>0</v>
      </c>
      <c r="AR92" s="266">
        <v>2880</v>
      </c>
      <c r="AS92" s="262">
        <f t="shared" si="25"/>
        <v>345.59999999999997</v>
      </c>
      <c r="AT92" s="266">
        <v>0</v>
      </c>
      <c r="AU92" s="260">
        <f t="shared" si="26"/>
        <v>0</v>
      </c>
      <c r="AV92" s="259">
        <v>0</v>
      </c>
      <c r="AW92" s="260">
        <f t="shared" si="27"/>
        <v>0</v>
      </c>
      <c r="AX92" s="261" t="s">
        <v>573</v>
      </c>
      <c r="AY92" s="260">
        <f t="shared" si="28"/>
        <v>0</v>
      </c>
      <c r="AZ92" s="259" t="s">
        <v>573</v>
      </c>
      <c r="BA92" s="260">
        <f t="shared" si="29"/>
        <v>0</v>
      </c>
      <c r="BB92" s="259" t="s">
        <v>573</v>
      </c>
      <c r="BC92" s="260">
        <f t="shared" si="30"/>
        <v>0</v>
      </c>
      <c r="BD92" s="259" t="s">
        <v>573</v>
      </c>
      <c r="BE92" s="260">
        <f t="shared" si="31"/>
        <v>0</v>
      </c>
      <c r="BF92" s="259">
        <v>2880</v>
      </c>
      <c r="BG92" s="260">
        <f t="shared" si="32"/>
        <v>345.59999999999997</v>
      </c>
      <c r="BH92" s="259" t="s">
        <v>573</v>
      </c>
      <c r="BI92" s="260">
        <f t="shared" si="33"/>
        <v>0</v>
      </c>
      <c r="BJ92" s="58"/>
      <c r="BK92" s="220"/>
      <c r="BL92" s="213" t="s">
        <v>754</v>
      </c>
      <c r="BM92" s="58" t="s">
        <v>529</v>
      </c>
    </row>
    <row r="93" spans="1:65" ht="15.75" customHeight="1">
      <c r="A93" s="213" t="s">
        <v>1437</v>
      </c>
      <c r="B93" s="58" t="s">
        <v>184</v>
      </c>
      <c r="C93" s="58" t="s">
        <v>752</v>
      </c>
      <c r="D93" s="214" t="s">
        <v>186</v>
      </c>
      <c r="E93" s="214" t="s">
        <v>186</v>
      </c>
      <c r="F93" s="215" t="s">
        <v>186</v>
      </c>
      <c r="G93" s="216">
        <v>2019</v>
      </c>
      <c r="H93" s="218" t="s">
        <v>795</v>
      </c>
      <c r="I93" s="218" t="s">
        <v>196</v>
      </c>
      <c r="J93" s="217" t="s">
        <v>890</v>
      </c>
      <c r="K93" s="218" t="s">
        <v>191</v>
      </c>
      <c r="L93" s="213" t="s">
        <v>192</v>
      </c>
      <c r="M93" s="219" t="s">
        <v>1388</v>
      </c>
      <c r="N93" s="265">
        <v>1.81</v>
      </c>
      <c r="O93" s="265">
        <v>1.81</v>
      </c>
      <c r="P93" s="265">
        <v>1.81</v>
      </c>
      <c r="Q93" s="265">
        <v>1.81</v>
      </c>
      <c r="R93" s="265">
        <v>1.81</v>
      </c>
      <c r="S93" s="265">
        <v>1.81</v>
      </c>
      <c r="T93" s="265">
        <v>1.81</v>
      </c>
      <c r="U93" s="265">
        <v>1.81</v>
      </c>
      <c r="V93" s="265">
        <v>1.81</v>
      </c>
      <c r="W93" s="265">
        <v>1.81</v>
      </c>
      <c r="X93" s="265">
        <v>1.81</v>
      </c>
      <c r="Y93" s="265">
        <v>1.81</v>
      </c>
      <c r="Z93" s="265">
        <v>0</v>
      </c>
      <c r="AA93" s="265">
        <v>0</v>
      </c>
      <c r="AB93" s="265">
        <v>0</v>
      </c>
      <c r="AC93" s="265">
        <v>0</v>
      </c>
      <c r="AD93" s="265">
        <v>0</v>
      </c>
      <c r="AE93" s="265">
        <v>0</v>
      </c>
      <c r="AF93" s="265">
        <v>0</v>
      </c>
      <c r="AG93" s="265">
        <v>0</v>
      </c>
      <c r="AH93" s="265">
        <v>0</v>
      </c>
      <c r="AI93" s="265">
        <v>0</v>
      </c>
      <c r="AJ93" s="265">
        <v>0</v>
      </c>
      <c r="AK93" s="265">
        <v>0</v>
      </c>
      <c r="AL93" s="266" t="s">
        <v>573</v>
      </c>
      <c r="AM93" s="265">
        <f t="shared" si="22"/>
        <v>0</v>
      </c>
      <c r="AN93" s="266">
        <v>13440</v>
      </c>
      <c r="AO93" s="265">
        <f t="shared" si="23"/>
        <v>0</v>
      </c>
      <c r="AP93" s="266">
        <v>6720</v>
      </c>
      <c r="AQ93" s="265">
        <f t="shared" si="24"/>
        <v>0</v>
      </c>
      <c r="AR93" s="266">
        <v>6720</v>
      </c>
      <c r="AS93" s="262">
        <f t="shared" si="25"/>
        <v>0</v>
      </c>
      <c r="AT93" s="266">
        <v>26880</v>
      </c>
      <c r="AU93" s="260">
        <f t="shared" si="26"/>
        <v>0</v>
      </c>
      <c r="AV93" s="259">
        <v>6720</v>
      </c>
      <c r="AW93" s="260">
        <f t="shared" si="27"/>
        <v>0</v>
      </c>
      <c r="AX93" s="261" t="s">
        <v>573</v>
      </c>
      <c r="AY93" s="260">
        <f t="shared" si="28"/>
        <v>0</v>
      </c>
      <c r="AZ93" s="259">
        <v>6720</v>
      </c>
      <c r="BA93" s="260">
        <f t="shared" si="29"/>
        <v>0</v>
      </c>
      <c r="BB93" s="259">
        <v>13440</v>
      </c>
      <c r="BC93" s="260">
        <f t="shared" si="30"/>
        <v>0</v>
      </c>
      <c r="BD93" s="259" t="s">
        <v>573</v>
      </c>
      <c r="BE93" s="260">
        <f t="shared" si="31"/>
        <v>0</v>
      </c>
      <c r="BF93" s="259">
        <v>6720</v>
      </c>
      <c r="BG93" s="260">
        <f t="shared" si="32"/>
        <v>0</v>
      </c>
      <c r="BH93" s="259" t="s">
        <v>573</v>
      </c>
      <c r="BI93" s="260">
        <f t="shared" si="33"/>
        <v>0</v>
      </c>
      <c r="BJ93" s="58"/>
      <c r="BK93" s="220"/>
      <c r="BL93" s="213" t="s">
        <v>1310</v>
      </c>
      <c r="BM93" s="58" t="s">
        <v>609</v>
      </c>
    </row>
    <row r="94" spans="1:65" ht="15.75" customHeight="1">
      <c r="A94" s="213" t="s">
        <v>1437</v>
      </c>
      <c r="B94" s="58" t="s">
        <v>184</v>
      </c>
      <c r="C94" s="58" t="s">
        <v>752</v>
      </c>
      <c r="D94" s="214" t="s">
        <v>186</v>
      </c>
      <c r="E94" s="214" t="s">
        <v>186</v>
      </c>
      <c r="F94" s="215" t="s">
        <v>186</v>
      </c>
      <c r="G94" s="216">
        <v>2019</v>
      </c>
      <c r="H94" s="218" t="s">
        <v>795</v>
      </c>
      <c r="I94" s="218" t="s">
        <v>196</v>
      </c>
      <c r="J94" s="217" t="s">
        <v>890</v>
      </c>
      <c r="K94" s="218" t="s">
        <v>191</v>
      </c>
      <c r="L94" s="213" t="s">
        <v>192</v>
      </c>
      <c r="M94" s="219" t="s">
        <v>1397</v>
      </c>
      <c r="N94" s="265">
        <v>1.72</v>
      </c>
      <c r="O94" s="265">
        <v>1.72</v>
      </c>
      <c r="P94" s="265">
        <v>1.72</v>
      </c>
      <c r="Q94" s="265">
        <v>1.72</v>
      </c>
      <c r="R94" s="265">
        <v>1.72</v>
      </c>
      <c r="S94" s="265">
        <v>1.72</v>
      </c>
      <c r="T94" s="265">
        <v>1.72</v>
      </c>
      <c r="U94" s="265">
        <v>1.72</v>
      </c>
      <c r="V94" s="265">
        <v>1.72</v>
      </c>
      <c r="W94" s="265">
        <v>1.72</v>
      </c>
      <c r="X94" s="265">
        <v>1.72</v>
      </c>
      <c r="Y94" s="265">
        <v>1.72</v>
      </c>
      <c r="Z94" s="265">
        <v>0</v>
      </c>
      <c r="AA94" s="265">
        <v>0</v>
      </c>
      <c r="AB94" s="265">
        <v>0</v>
      </c>
      <c r="AC94" s="265">
        <v>0</v>
      </c>
      <c r="AD94" s="265">
        <v>0</v>
      </c>
      <c r="AE94" s="265">
        <v>0</v>
      </c>
      <c r="AF94" s="265">
        <v>0</v>
      </c>
      <c r="AG94" s="265">
        <v>0</v>
      </c>
      <c r="AH94" s="265">
        <v>0</v>
      </c>
      <c r="AI94" s="265">
        <v>0</v>
      </c>
      <c r="AJ94" s="265">
        <v>0</v>
      </c>
      <c r="AK94" s="265">
        <v>0</v>
      </c>
      <c r="AL94" s="266" t="s">
        <v>573</v>
      </c>
      <c r="AM94" s="265">
        <f t="shared" si="22"/>
        <v>0</v>
      </c>
      <c r="AN94" s="266" t="s">
        <v>573</v>
      </c>
      <c r="AO94" s="265">
        <f t="shared" si="23"/>
        <v>0</v>
      </c>
      <c r="AP94" s="266">
        <v>0</v>
      </c>
      <c r="AQ94" s="265">
        <f t="shared" si="24"/>
        <v>0</v>
      </c>
      <c r="AR94" s="266">
        <v>0</v>
      </c>
      <c r="AS94" s="262">
        <f t="shared" si="25"/>
        <v>0</v>
      </c>
      <c r="AT94" s="266">
        <v>0</v>
      </c>
      <c r="AU94" s="260">
        <f t="shared" si="26"/>
        <v>0</v>
      </c>
      <c r="AV94" s="259">
        <v>0</v>
      </c>
      <c r="AW94" s="260">
        <f t="shared" si="27"/>
        <v>0</v>
      </c>
      <c r="AX94" s="261" t="s">
        <v>573</v>
      </c>
      <c r="AY94" s="260">
        <f t="shared" si="28"/>
        <v>0</v>
      </c>
      <c r="AZ94" s="259" t="s">
        <v>573</v>
      </c>
      <c r="BA94" s="260">
        <f t="shared" si="29"/>
        <v>0</v>
      </c>
      <c r="BB94" s="259" t="s">
        <v>573</v>
      </c>
      <c r="BC94" s="260">
        <f t="shared" si="30"/>
        <v>0</v>
      </c>
      <c r="BD94" s="259" t="s">
        <v>573</v>
      </c>
      <c r="BE94" s="260">
        <f t="shared" si="31"/>
        <v>0</v>
      </c>
      <c r="BF94" s="259" t="s">
        <v>573</v>
      </c>
      <c r="BG94" s="260">
        <f t="shared" si="32"/>
        <v>0</v>
      </c>
      <c r="BH94" s="259" t="s">
        <v>573</v>
      </c>
      <c r="BI94" s="260">
        <f t="shared" si="33"/>
        <v>0</v>
      </c>
      <c r="BJ94" s="58"/>
      <c r="BK94" s="220"/>
      <c r="BL94" s="213" t="s">
        <v>754</v>
      </c>
      <c r="BM94" s="58" t="s">
        <v>610</v>
      </c>
    </row>
    <row r="95" spans="1:65" ht="15.75" customHeight="1">
      <c r="A95" s="213" t="s">
        <v>1437</v>
      </c>
      <c r="B95" s="58" t="s">
        <v>184</v>
      </c>
      <c r="C95" s="58" t="s">
        <v>752</v>
      </c>
      <c r="D95" s="214" t="s">
        <v>186</v>
      </c>
      <c r="E95" s="214" t="s">
        <v>186</v>
      </c>
      <c r="F95" s="215" t="s">
        <v>186</v>
      </c>
      <c r="G95" s="216">
        <v>2019</v>
      </c>
      <c r="H95" s="218" t="s">
        <v>795</v>
      </c>
      <c r="I95" s="218" t="s">
        <v>196</v>
      </c>
      <c r="J95" s="217" t="s">
        <v>890</v>
      </c>
      <c r="K95" s="218" t="s">
        <v>191</v>
      </c>
      <c r="L95" s="213" t="s">
        <v>192</v>
      </c>
      <c r="M95" s="219" t="s">
        <v>1388</v>
      </c>
      <c r="N95" s="265">
        <v>1.89</v>
      </c>
      <c r="O95" s="265">
        <v>1.89</v>
      </c>
      <c r="P95" s="265">
        <v>1.89</v>
      </c>
      <c r="Q95" s="265">
        <v>1.89</v>
      </c>
      <c r="R95" s="265">
        <v>1.89</v>
      </c>
      <c r="S95" s="265">
        <v>1.89</v>
      </c>
      <c r="T95" s="265">
        <v>1.89</v>
      </c>
      <c r="U95" s="265">
        <v>1.89</v>
      </c>
      <c r="V95" s="265">
        <v>1.89</v>
      </c>
      <c r="W95" s="265">
        <v>1.89</v>
      </c>
      <c r="X95" s="265">
        <v>1.89</v>
      </c>
      <c r="Y95" s="265">
        <v>1.89</v>
      </c>
      <c r="Z95" s="265">
        <v>0</v>
      </c>
      <c r="AA95" s="265">
        <v>0</v>
      </c>
      <c r="AB95" s="265">
        <v>0</v>
      </c>
      <c r="AC95" s="265">
        <v>0</v>
      </c>
      <c r="AD95" s="265">
        <v>0</v>
      </c>
      <c r="AE95" s="265">
        <v>0</v>
      </c>
      <c r="AF95" s="265">
        <v>0</v>
      </c>
      <c r="AG95" s="265">
        <v>0</v>
      </c>
      <c r="AH95" s="265">
        <v>0</v>
      </c>
      <c r="AI95" s="265">
        <v>0</v>
      </c>
      <c r="AJ95" s="265">
        <v>0</v>
      </c>
      <c r="AK95" s="265">
        <v>0</v>
      </c>
      <c r="AL95" s="266">
        <v>5760</v>
      </c>
      <c r="AM95" s="265">
        <f t="shared" si="22"/>
        <v>0</v>
      </c>
      <c r="AN95" s="266">
        <v>2880</v>
      </c>
      <c r="AO95" s="265">
        <f t="shared" si="23"/>
        <v>0</v>
      </c>
      <c r="AP95" s="266">
        <v>11520</v>
      </c>
      <c r="AQ95" s="265">
        <f t="shared" si="24"/>
        <v>0</v>
      </c>
      <c r="AR95" s="266">
        <v>5760</v>
      </c>
      <c r="AS95" s="262">
        <f t="shared" si="25"/>
        <v>0</v>
      </c>
      <c r="AT95" s="266">
        <v>5760</v>
      </c>
      <c r="AU95" s="260">
        <f t="shared" si="26"/>
        <v>0</v>
      </c>
      <c r="AV95" s="259">
        <v>5760</v>
      </c>
      <c r="AW95" s="260">
        <f t="shared" si="27"/>
        <v>0</v>
      </c>
      <c r="AX95" s="261">
        <v>5760</v>
      </c>
      <c r="AY95" s="260">
        <f t="shared" si="28"/>
        <v>0</v>
      </c>
      <c r="AZ95" s="259">
        <v>2880</v>
      </c>
      <c r="BA95" s="260">
        <f t="shared" si="29"/>
        <v>0</v>
      </c>
      <c r="BB95" s="259">
        <v>11520</v>
      </c>
      <c r="BC95" s="260">
        <f t="shared" si="30"/>
        <v>0</v>
      </c>
      <c r="BD95" s="259">
        <v>2880</v>
      </c>
      <c r="BE95" s="260">
        <f t="shared" si="31"/>
        <v>0</v>
      </c>
      <c r="BF95" s="259">
        <v>5760</v>
      </c>
      <c r="BG95" s="260">
        <f t="shared" si="32"/>
        <v>0</v>
      </c>
      <c r="BH95" s="259">
        <v>14400</v>
      </c>
      <c r="BI95" s="260">
        <f t="shared" si="33"/>
        <v>0</v>
      </c>
      <c r="BJ95" s="58"/>
      <c r="BK95" s="220"/>
      <c r="BL95" s="213" t="s">
        <v>754</v>
      </c>
      <c r="BM95" s="58" t="s">
        <v>611</v>
      </c>
    </row>
    <row r="96" spans="1:65" ht="15.75" customHeight="1">
      <c r="A96" s="213" t="s">
        <v>1437</v>
      </c>
      <c r="B96" s="58" t="s">
        <v>184</v>
      </c>
      <c r="C96" s="58" t="s">
        <v>752</v>
      </c>
      <c r="D96" s="214" t="s">
        <v>186</v>
      </c>
      <c r="E96" s="214" t="s">
        <v>186</v>
      </c>
      <c r="F96" s="215" t="s">
        <v>186</v>
      </c>
      <c r="G96" s="216">
        <v>2019</v>
      </c>
      <c r="H96" s="218" t="s">
        <v>795</v>
      </c>
      <c r="I96" s="218" t="s">
        <v>196</v>
      </c>
      <c r="J96" s="217" t="s">
        <v>890</v>
      </c>
      <c r="K96" s="218" t="s">
        <v>191</v>
      </c>
      <c r="L96" s="213" t="s">
        <v>192</v>
      </c>
      <c r="M96" s="219" t="s">
        <v>1391</v>
      </c>
      <c r="N96" s="265">
        <v>1.8</v>
      </c>
      <c r="O96" s="265">
        <v>1.8</v>
      </c>
      <c r="P96" s="265">
        <v>1.8</v>
      </c>
      <c r="Q96" s="265">
        <v>1.8</v>
      </c>
      <c r="R96" s="265">
        <v>1.8</v>
      </c>
      <c r="S96" s="265">
        <v>1.8</v>
      </c>
      <c r="T96" s="265">
        <v>1.8</v>
      </c>
      <c r="U96" s="265">
        <v>1.8</v>
      </c>
      <c r="V96" s="265">
        <v>1.8</v>
      </c>
      <c r="W96" s="265">
        <v>1.8</v>
      </c>
      <c r="X96" s="265">
        <v>1.8</v>
      </c>
      <c r="Y96" s="265">
        <v>1.8</v>
      </c>
      <c r="Z96" s="265">
        <v>0</v>
      </c>
      <c r="AA96" s="265">
        <v>0</v>
      </c>
      <c r="AB96" s="265">
        <v>0</v>
      </c>
      <c r="AC96" s="265">
        <v>0</v>
      </c>
      <c r="AD96" s="265">
        <v>0</v>
      </c>
      <c r="AE96" s="265">
        <v>0</v>
      </c>
      <c r="AF96" s="265">
        <v>0</v>
      </c>
      <c r="AG96" s="265">
        <v>0</v>
      </c>
      <c r="AH96" s="265">
        <v>0</v>
      </c>
      <c r="AI96" s="265">
        <v>0</v>
      </c>
      <c r="AJ96" s="265">
        <v>0</v>
      </c>
      <c r="AK96" s="265">
        <v>0</v>
      </c>
      <c r="AL96" s="266">
        <v>5760</v>
      </c>
      <c r="AM96" s="265">
        <f t="shared" si="22"/>
        <v>0</v>
      </c>
      <c r="AN96" s="266">
        <v>6720</v>
      </c>
      <c r="AO96" s="265">
        <f t="shared" si="23"/>
        <v>0</v>
      </c>
      <c r="AP96" s="266">
        <v>0</v>
      </c>
      <c r="AQ96" s="265">
        <f t="shared" si="24"/>
        <v>0</v>
      </c>
      <c r="AR96" s="266">
        <v>9600</v>
      </c>
      <c r="AS96" s="262">
        <f t="shared" si="25"/>
        <v>0</v>
      </c>
      <c r="AT96" s="266">
        <v>0</v>
      </c>
      <c r="AU96" s="260">
        <f t="shared" si="26"/>
        <v>0</v>
      </c>
      <c r="AV96" s="259">
        <v>0</v>
      </c>
      <c r="AW96" s="260">
        <f t="shared" si="27"/>
        <v>0</v>
      </c>
      <c r="AX96" s="261" t="s">
        <v>573</v>
      </c>
      <c r="AY96" s="260">
        <f t="shared" si="28"/>
        <v>0</v>
      </c>
      <c r="AZ96" s="259" t="s">
        <v>573</v>
      </c>
      <c r="BA96" s="260">
        <f t="shared" si="29"/>
        <v>0</v>
      </c>
      <c r="BB96" s="259" t="s">
        <v>573</v>
      </c>
      <c r="BC96" s="260">
        <f t="shared" si="30"/>
        <v>0</v>
      </c>
      <c r="BD96" s="259" t="s">
        <v>573</v>
      </c>
      <c r="BE96" s="260">
        <f t="shared" si="31"/>
        <v>0</v>
      </c>
      <c r="BF96" s="259" t="s">
        <v>573</v>
      </c>
      <c r="BG96" s="260">
        <f t="shared" si="32"/>
        <v>0</v>
      </c>
      <c r="BH96" s="259">
        <v>11520</v>
      </c>
      <c r="BI96" s="260">
        <f t="shared" si="33"/>
        <v>0</v>
      </c>
      <c r="BJ96" s="58"/>
      <c r="BK96" s="220"/>
      <c r="BL96" s="213" t="s">
        <v>197</v>
      </c>
      <c r="BM96" s="58" t="s">
        <v>607</v>
      </c>
    </row>
    <row r="97" spans="1:65" ht="15.75" customHeight="1">
      <c r="A97" s="213" t="s">
        <v>1437</v>
      </c>
      <c r="B97" s="58" t="s">
        <v>184</v>
      </c>
      <c r="C97" s="58" t="s">
        <v>752</v>
      </c>
      <c r="D97" s="214" t="s">
        <v>186</v>
      </c>
      <c r="E97" s="214" t="s">
        <v>186</v>
      </c>
      <c r="F97" s="215" t="s">
        <v>186</v>
      </c>
      <c r="G97" s="216">
        <v>2023</v>
      </c>
      <c r="H97" s="218" t="s">
        <v>795</v>
      </c>
      <c r="I97" s="218" t="s">
        <v>196</v>
      </c>
      <c r="J97" s="217" t="s">
        <v>890</v>
      </c>
      <c r="K97" s="213" t="s">
        <v>753</v>
      </c>
      <c r="L97" s="213" t="s">
        <v>192</v>
      </c>
      <c r="M97" s="219" t="s">
        <v>1388</v>
      </c>
      <c r="N97" s="265">
        <v>1.89</v>
      </c>
      <c r="O97" s="265">
        <v>1.89</v>
      </c>
      <c r="P97" s="265">
        <v>1.89</v>
      </c>
      <c r="Q97" s="265">
        <v>1.89</v>
      </c>
      <c r="R97" s="265">
        <v>1.89</v>
      </c>
      <c r="S97" s="265">
        <v>1.89</v>
      </c>
      <c r="T97" s="265">
        <v>1.89</v>
      </c>
      <c r="U97" s="265">
        <v>1.89</v>
      </c>
      <c r="V97" s="265">
        <v>1.89</v>
      </c>
      <c r="W97" s="265">
        <v>1.89</v>
      </c>
      <c r="X97" s="265">
        <v>1.89</v>
      </c>
      <c r="Y97" s="265">
        <v>1.89</v>
      </c>
      <c r="Z97" s="265">
        <v>0</v>
      </c>
      <c r="AA97" s="265">
        <v>0</v>
      </c>
      <c r="AB97" s="265">
        <v>0</v>
      </c>
      <c r="AC97" s="265">
        <v>0</v>
      </c>
      <c r="AD97" s="265">
        <v>0</v>
      </c>
      <c r="AE97" s="265">
        <v>0</v>
      </c>
      <c r="AF97" s="265">
        <v>0</v>
      </c>
      <c r="AG97" s="265">
        <v>0</v>
      </c>
      <c r="AH97" s="265">
        <v>0</v>
      </c>
      <c r="AI97" s="265">
        <v>0</v>
      </c>
      <c r="AJ97" s="265">
        <v>0</v>
      </c>
      <c r="AK97" s="265">
        <v>0</v>
      </c>
      <c r="AL97" s="266" t="s">
        <v>573</v>
      </c>
      <c r="AM97" s="265">
        <f t="shared" si="22"/>
        <v>0</v>
      </c>
      <c r="AN97" s="266">
        <v>5760</v>
      </c>
      <c r="AO97" s="265">
        <f t="shared" si="23"/>
        <v>0</v>
      </c>
      <c r="AP97" s="266">
        <v>2880</v>
      </c>
      <c r="AQ97" s="265">
        <f t="shared" si="24"/>
        <v>0</v>
      </c>
      <c r="AR97" s="266">
        <v>5760</v>
      </c>
      <c r="AS97" s="262">
        <f t="shared" si="25"/>
        <v>0</v>
      </c>
      <c r="AT97" s="266">
        <v>0</v>
      </c>
      <c r="AU97" s="260">
        <f t="shared" si="26"/>
        <v>0</v>
      </c>
      <c r="AV97" s="259">
        <v>2880</v>
      </c>
      <c r="AW97" s="260">
        <f t="shared" si="27"/>
        <v>0</v>
      </c>
      <c r="AX97" s="261" t="s">
        <v>573</v>
      </c>
      <c r="AY97" s="260">
        <f t="shared" si="28"/>
        <v>0</v>
      </c>
      <c r="AZ97" s="259" t="s">
        <v>573</v>
      </c>
      <c r="BA97" s="260">
        <f t="shared" si="29"/>
        <v>0</v>
      </c>
      <c r="BB97" s="259" t="s">
        <v>573</v>
      </c>
      <c r="BC97" s="260">
        <f t="shared" si="30"/>
        <v>0</v>
      </c>
      <c r="BD97" s="259">
        <v>2880</v>
      </c>
      <c r="BE97" s="260">
        <f t="shared" si="31"/>
        <v>0</v>
      </c>
      <c r="BF97" s="259" t="s">
        <v>573</v>
      </c>
      <c r="BG97" s="260">
        <f t="shared" si="32"/>
        <v>0</v>
      </c>
      <c r="BH97" s="259" t="s">
        <v>573</v>
      </c>
      <c r="BI97" s="260">
        <f t="shared" si="33"/>
        <v>0</v>
      </c>
      <c r="BJ97" s="58"/>
      <c r="BK97" s="220"/>
      <c r="BL97" s="213" t="s">
        <v>807</v>
      </c>
      <c r="BM97" s="58" t="s">
        <v>636</v>
      </c>
    </row>
    <row r="98" spans="1:65" ht="15.75" customHeight="1">
      <c r="A98" s="213" t="s">
        <v>1437</v>
      </c>
      <c r="B98" s="58" t="s">
        <v>184</v>
      </c>
      <c r="C98" s="58" t="s">
        <v>752</v>
      </c>
      <c r="D98" s="214" t="s">
        <v>186</v>
      </c>
      <c r="E98" s="214" t="s">
        <v>186</v>
      </c>
      <c r="F98" s="215" t="s">
        <v>186</v>
      </c>
      <c r="G98" s="216">
        <v>2023</v>
      </c>
      <c r="H98" s="218" t="s">
        <v>795</v>
      </c>
      <c r="I98" s="218" t="s">
        <v>196</v>
      </c>
      <c r="J98" s="217" t="s">
        <v>890</v>
      </c>
      <c r="K98" s="213" t="s">
        <v>753</v>
      </c>
      <c r="L98" s="213" t="s">
        <v>192</v>
      </c>
      <c r="M98" s="219" t="s">
        <v>1388</v>
      </c>
      <c r="N98" s="265">
        <v>1.89</v>
      </c>
      <c r="O98" s="265">
        <v>1.89</v>
      </c>
      <c r="P98" s="265">
        <v>1.89</v>
      </c>
      <c r="Q98" s="265">
        <v>1.89</v>
      </c>
      <c r="R98" s="265">
        <v>1.89</v>
      </c>
      <c r="S98" s="265">
        <v>1.89</v>
      </c>
      <c r="T98" s="265">
        <v>1.89</v>
      </c>
      <c r="U98" s="265">
        <v>1.89</v>
      </c>
      <c r="V98" s="265">
        <v>1.89</v>
      </c>
      <c r="W98" s="265">
        <v>1.89</v>
      </c>
      <c r="X98" s="265">
        <v>1.89</v>
      </c>
      <c r="Y98" s="265">
        <v>1.89</v>
      </c>
      <c r="Z98" s="265">
        <v>0</v>
      </c>
      <c r="AA98" s="265">
        <v>0</v>
      </c>
      <c r="AB98" s="265">
        <v>0</v>
      </c>
      <c r="AC98" s="265">
        <v>0</v>
      </c>
      <c r="AD98" s="265">
        <v>0</v>
      </c>
      <c r="AE98" s="265">
        <v>0</v>
      </c>
      <c r="AF98" s="265">
        <v>0</v>
      </c>
      <c r="AG98" s="265">
        <v>0</v>
      </c>
      <c r="AH98" s="265">
        <v>0</v>
      </c>
      <c r="AI98" s="265">
        <v>0</v>
      </c>
      <c r="AJ98" s="265">
        <v>0</v>
      </c>
      <c r="AK98" s="265">
        <v>0</v>
      </c>
      <c r="AL98" s="266" t="s">
        <v>573</v>
      </c>
      <c r="AM98" s="265">
        <f t="shared" si="22"/>
        <v>0</v>
      </c>
      <c r="AN98" s="266">
        <v>2880</v>
      </c>
      <c r="AO98" s="265">
        <f t="shared" si="23"/>
        <v>0</v>
      </c>
      <c r="AP98" s="266">
        <v>2880</v>
      </c>
      <c r="AQ98" s="265">
        <f t="shared" si="24"/>
        <v>0</v>
      </c>
      <c r="AR98" s="266">
        <v>5760</v>
      </c>
      <c r="AS98" s="262">
        <f t="shared" si="25"/>
        <v>0</v>
      </c>
      <c r="AT98" s="266">
        <v>11520</v>
      </c>
      <c r="AU98" s="260">
        <f t="shared" si="26"/>
        <v>0</v>
      </c>
      <c r="AV98" s="259">
        <v>2880</v>
      </c>
      <c r="AW98" s="260">
        <f t="shared" si="27"/>
        <v>0</v>
      </c>
      <c r="AX98" s="261">
        <v>23040</v>
      </c>
      <c r="AY98" s="260">
        <f t="shared" si="28"/>
        <v>0</v>
      </c>
      <c r="AZ98" s="259">
        <v>8640</v>
      </c>
      <c r="BA98" s="260">
        <f t="shared" si="29"/>
        <v>0</v>
      </c>
      <c r="BB98" s="259">
        <v>17280</v>
      </c>
      <c r="BC98" s="260">
        <f t="shared" si="30"/>
        <v>0</v>
      </c>
      <c r="BD98" s="259">
        <v>11520</v>
      </c>
      <c r="BE98" s="260">
        <f t="shared" si="31"/>
        <v>0</v>
      </c>
      <c r="BF98" s="259">
        <v>2880</v>
      </c>
      <c r="BG98" s="260">
        <f t="shared" si="32"/>
        <v>0</v>
      </c>
      <c r="BH98" s="259">
        <v>2880</v>
      </c>
      <c r="BI98" s="260">
        <f t="shared" si="33"/>
        <v>0</v>
      </c>
      <c r="BJ98" s="58"/>
      <c r="BK98" s="220"/>
      <c r="BL98" s="213" t="s">
        <v>754</v>
      </c>
      <c r="BM98" s="58" t="s">
        <v>637</v>
      </c>
    </row>
    <row r="99" spans="1:65" ht="15.75" customHeight="1">
      <c r="A99" s="213" t="s">
        <v>1437</v>
      </c>
      <c r="B99" s="58" t="s">
        <v>184</v>
      </c>
      <c r="C99" s="58" t="s">
        <v>752</v>
      </c>
      <c r="D99" s="214" t="s">
        <v>186</v>
      </c>
      <c r="E99" s="214" t="s">
        <v>186</v>
      </c>
      <c r="F99" s="215" t="s">
        <v>186</v>
      </c>
      <c r="G99" s="216">
        <v>2023</v>
      </c>
      <c r="H99" s="218" t="s">
        <v>795</v>
      </c>
      <c r="I99" s="218" t="s">
        <v>196</v>
      </c>
      <c r="J99" s="217" t="s">
        <v>890</v>
      </c>
      <c r="K99" s="213" t="s">
        <v>753</v>
      </c>
      <c r="L99" s="213" t="s">
        <v>192</v>
      </c>
      <c r="M99" s="219" t="s">
        <v>1389</v>
      </c>
      <c r="N99" s="265">
        <v>1.89</v>
      </c>
      <c r="O99" s="265">
        <v>1.89</v>
      </c>
      <c r="P99" s="265">
        <v>1.89</v>
      </c>
      <c r="Q99" s="265">
        <v>1.89</v>
      </c>
      <c r="R99" s="265">
        <v>1.89</v>
      </c>
      <c r="S99" s="265">
        <v>1.89</v>
      </c>
      <c r="T99" s="265">
        <v>1.89</v>
      </c>
      <c r="U99" s="265">
        <v>1.89</v>
      </c>
      <c r="V99" s="265">
        <v>1.89</v>
      </c>
      <c r="W99" s="265">
        <v>1.89</v>
      </c>
      <c r="X99" s="265">
        <v>1.89</v>
      </c>
      <c r="Y99" s="265">
        <v>1.89</v>
      </c>
      <c r="Z99" s="265">
        <v>0</v>
      </c>
      <c r="AA99" s="265">
        <v>0</v>
      </c>
      <c r="AB99" s="265">
        <v>0</v>
      </c>
      <c r="AC99" s="265">
        <v>0</v>
      </c>
      <c r="AD99" s="265">
        <v>0</v>
      </c>
      <c r="AE99" s="265">
        <v>0</v>
      </c>
      <c r="AF99" s="265">
        <v>0</v>
      </c>
      <c r="AG99" s="265">
        <v>0</v>
      </c>
      <c r="AH99" s="265">
        <v>0</v>
      </c>
      <c r="AI99" s="265">
        <v>0</v>
      </c>
      <c r="AJ99" s="265">
        <v>0</v>
      </c>
      <c r="AK99" s="265">
        <v>0</v>
      </c>
      <c r="AL99" s="266">
        <v>2880</v>
      </c>
      <c r="AM99" s="265">
        <f t="shared" ref="AM99:AM130" si="34">Z99*AL99</f>
        <v>0</v>
      </c>
      <c r="AN99" s="266">
        <v>8640</v>
      </c>
      <c r="AO99" s="265">
        <f t="shared" si="23"/>
        <v>0</v>
      </c>
      <c r="AP99" s="266">
        <v>2880</v>
      </c>
      <c r="AQ99" s="265">
        <f t="shared" ref="AQ99:AQ130" si="35">AP99*AB99</f>
        <v>0</v>
      </c>
      <c r="AR99" s="266">
        <v>0</v>
      </c>
      <c r="AS99" s="262">
        <f t="shared" ref="AS99:AS130" si="36">AR99*AC99</f>
        <v>0</v>
      </c>
      <c r="AT99" s="266">
        <v>8640</v>
      </c>
      <c r="AU99" s="260">
        <f t="shared" ref="AU99:AU130" si="37">AT99*AD99</f>
        <v>0</v>
      </c>
      <c r="AV99" s="259">
        <v>2880</v>
      </c>
      <c r="AW99" s="260">
        <f t="shared" ref="AW99:AW130" si="38">AV99*AE99</f>
        <v>0</v>
      </c>
      <c r="AX99" s="261" t="s">
        <v>573</v>
      </c>
      <c r="AY99" s="260">
        <f t="shared" ref="AY99:AY130" si="39">AX99*AF99</f>
        <v>0</v>
      </c>
      <c r="AZ99" s="259" t="s">
        <v>573</v>
      </c>
      <c r="BA99" s="260">
        <f t="shared" ref="BA99:BA130" si="40">AZ99*AG99</f>
        <v>0</v>
      </c>
      <c r="BB99" s="259" t="s">
        <v>573</v>
      </c>
      <c r="BC99" s="260">
        <f t="shared" ref="BC99:BC130" si="41">BB99*AH99</f>
        <v>0</v>
      </c>
      <c r="BD99" s="259" t="s">
        <v>573</v>
      </c>
      <c r="BE99" s="260">
        <f t="shared" ref="BE99:BE130" si="42">BD99*AI99</f>
        <v>0</v>
      </c>
      <c r="BF99" s="259">
        <v>0</v>
      </c>
      <c r="BG99" s="260">
        <f t="shared" ref="BG99:BG130" si="43">BF99*AJ99</f>
        <v>0</v>
      </c>
      <c r="BH99" s="259" t="s">
        <v>573</v>
      </c>
      <c r="BI99" s="260">
        <f t="shared" si="33"/>
        <v>0</v>
      </c>
      <c r="BJ99" s="58"/>
      <c r="BK99" s="220"/>
      <c r="BL99" s="213" t="s">
        <v>763</v>
      </c>
      <c r="BM99" s="58" t="s">
        <v>762</v>
      </c>
    </row>
    <row r="100" spans="1:65" ht="15.75" customHeight="1">
      <c r="A100" s="213" t="s">
        <v>1437</v>
      </c>
      <c r="B100" s="58" t="s">
        <v>184</v>
      </c>
      <c r="C100" s="58" t="s">
        <v>752</v>
      </c>
      <c r="D100" s="214" t="s">
        <v>186</v>
      </c>
      <c r="E100" s="214" t="s">
        <v>186</v>
      </c>
      <c r="F100" s="215" t="s">
        <v>186</v>
      </c>
      <c r="G100" s="216">
        <v>2020</v>
      </c>
      <c r="H100" s="218" t="s">
        <v>797</v>
      </c>
      <c r="I100" s="218" t="s">
        <v>196</v>
      </c>
      <c r="J100" s="217" t="s">
        <v>890</v>
      </c>
      <c r="K100" s="213" t="s">
        <v>216</v>
      </c>
      <c r="L100" s="213" t="s">
        <v>192</v>
      </c>
      <c r="M100" s="219" t="s">
        <v>1398</v>
      </c>
      <c r="N100" s="265">
        <v>22.72</v>
      </c>
      <c r="O100" s="265">
        <v>22.72</v>
      </c>
      <c r="P100" s="265">
        <v>22.72</v>
      </c>
      <c r="Q100" s="265">
        <v>22.72</v>
      </c>
      <c r="R100" s="265">
        <v>22.72</v>
      </c>
      <c r="S100" s="265">
        <v>22.72</v>
      </c>
      <c r="T100" s="265">
        <v>22.72</v>
      </c>
      <c r="U100" s="265">
        <v>22.72</v>
      </c>
      <c r="V100" s="265">
        <v>22.72</v>
      </c>
      <c r="W100" s="265">
        <v>22.72</v>
      </c>
      <c r="X100" s="265">
        <v>22.72</v>
      </c>
      <c r="Y100" s="265">
        <v>22.72</v>
      </c>
      <c r="Z100" s="265">
        <v>0.06</v>
      </c>
      <c r="AA100" s="265">
        <v>0.06</v>
      </c>
      <c r="AB100" s="265">
        <v>0.06</v>
      </c>
      <c r="AC100" s="265">
        <v>0.06</v>
      </c>
      <c r="AD100" s="265">
        <v>0.06</v>
      </c>
      <c r="AE100" s="265">
        <v>0.06</v>
      </c>
      <c r="AF100" s="265">
        <v>0.06</v>
      </c>
      <c r="AG100" s="265">
        <v>0.06</v>
      </c>
      <c r="AH100" s="265">
        <v>0.06</v>
      </c>
      <c r="AI100" s="265">
        <v>0.06</v>
      </c>
      <c r="AJ100" s="265">
        <v>0.06</v>
      </c>
      <c r="AK100" s="265">
        <v>0.06</v>
      </c>
      <c r="AL100" s="266" t="s">
        <v>573</v>
      </c>
      <c r="AM100" s="265">
        <f t="shared" si="34"/>
        <v>0</v>
      </c>
      <c r="AN100" s="266" t="s">
        <v>573</v>
      </c>
      <c r="AO100" s="265">
        <f t="shared" si="23"/>
        <v>0</v>
      </c>
      <c r="AP100" s="266">
        <v>0</v>
      </c>
      <c r="AQ100" s="265">
        <f t="shared" si="35"/>
        <v>0</v>
      </c>
      <c r="AR100" s="266">
        <v>0</v>
      </c>
      <c r="AS100" s="262">
        <f t="shared" si="36"/>
        <v>0</v>
      </c>
      <c r="AT100" s="266">
        <v>0</v>
      </c>
      <c r="AU100" s="260">
        <f t="shared" si="37"/>
        <v>0</v>
      </c>
      <c r="AV100" s="259">
        <v>0</v>
      </c>
      <c r="AW100" s="260">
        <f t="shared" si="38"/>
        <v>0</v>
      </c>
      <c r="AX100" s="261">
        <v>0</v>
      </c>
      <c r="AY100" s="260">
        <f t="shared" si="39"/>
        <v>0</v>
      </c>
      <c r="AZ100" s="259" t="s">
        <v>573</v>
      </c>
      <c r="BA100" s="260">
        <f t="shared" si="40"/>
        <v>0</v>
      </c>
      <c r="BB100" s="259" t="s">
        <v>573</v>
      </c>
      <c r="BC100" s="260">
        <f t="shared" si="41"/>
        <v>0</v>
      </c>
      <c r="BD100" s="259" t="s">
        <v>573</v>
      </c>
      <c r="BE100" s="260">
        <f t="shared" si="42"/>
        <v>0</v>
      </c>
      <c r="BF100" s="259" t="s">
        <v>573</v>
      </c>
      <c r="BG100" s="260">
        <f t="shared" si="43"/>
        <v>0</v>
      </c>
      <c r="BH100" s="259" t="s">
        <v>573</v>
      </c>
      <c r="BI100" s="260">
        <f t="shared" si="33"/>
        <v>0</v>
      </c>
      <c r="BJ100" s="58"/>
      <c r="BK100" s="220"/>
      <c r="BL100" s="213" t="s">
        <v>807</v>
      </c>
      <c r="BM100" s="58" t="s">
        <v>502</v>
      </c>
    </row>
    <row r="101" spans="1:65" ht="15.75" customHeight="1">
      <c r="A101" s="213" t="s">
        <v>1437</v>
      </c>
      <c r="B101" s="58" t="s">
        <v>184</v>
      </c>
      <c r="C101" s="58" t="s">
        <v>752</v>
      </c>
      <c r="D101" s="214" t="s">
        <v>186</v>
      </c>
      <c r="E101" s="214" t="s">
        <v>186</v>
      </c>
      <c r="F101" s="215" t="s">
        <v>186</v>
      </c>
      <c r="G101" s="216">
        <v>2020</v>
      </c>
      <c r="H101" s="218" t="s">
        <v>797</v>
      </c>
      <c r="I101" s="218" t="s">
        <v>196</v>
      </c>
      <c r="J101" s="217" t="s">
        <v>890</v>
      </c>
      <c r="K101" s="213" t="s">
        <v>216</v>
      </c>
      <c r="L101" s="213" t="s">
        <v>192</v>
      </c>
      <c r="M101" s="219" t="s">
        <v>1388</v>
      </c>
      <c r="N101" s="265">
        <v>22.78</v>
      </c>
      <c r="O101" s="265">
        <v>22.78</v>
      </c>
      <c r="P101" s="265">
        <v>22.78</v>
      </c>
      <c r="Q101" s="265">
        <v>22.78</v>
      </c>
      <c r="R101" s="265">
        <v>22.78</v>
      </c>
      <c r="S101" s="265">
        <v>22.78</v>
      </c>
      <c r="T101" s="265">
        <v>22.78</v>
      </c>
      <c r="U101" s="265">
        <v>22.78</v>
      </c>
      <c r="V101" s="265">
        <v>22.78</v>
      </c>
      <c r="W101" s="265">
        <v>22.78</v>
      </c>
      <c r="X101" s="265">
        <v>22.78</v>
      </c>
      <c r="Y101" s="265">
        <v>22.78</v>
      </c>
      <c r="Z101" s="265">
        <v>0.06</v>
      </c>
      <c r="AA101" s="265">
        <v>0.06</v>
      </c>
      <c r="AB101" s="265">
        <v>0.06</v>
      </c>
      <c r="AC101" s="265">
        <v>0.06</v>
      </c>
      <c r="AD101" s="265">
        <v>0.06</v>
      </c>
      <c r="AE101" s="265">
        <v>0.06</v>
      </c>
      <c r="AF101" s="265">
        <v>0.06</v>
      </c>
      <c r="AG101" s="265">
        <v>0.06</v>
      </c>
      <c r="AH101" s="265">
        <v>0.06</v>
      </c>
      <c r="AI101" s="265">
        <v>0.06</v>
      </c>
      <c r="AJ101" s="265">
        <v>0.06</v>
      </c>
      <c r="AK101" s="265">
        <v>0.06</v>
      </c>
      <c r="AL101" s="266" t="s">
        <v>573</v>
      </c>
      <c r="AM101" s="265">
        <f t="shared" si="34"/>
        <v>0</v>
      </c>
      <c r="AN101" s="266" t="s">
        <v>573</v>
      </c>
      <c r="AO101" s="265">
        <f t="shared" si="23"/>
        <v>0</v>
      </c>
      <c r="AP101" s="266">
        <v>0</v>
      </c>
      <c r="AQ101" s="265">
        <f t="shared" si="35"/>
        <v>0</v>
      </c>
      <c r="AR101" s="266">
        <v>0</v>
      </c>
      <c r="AS101" s="262">
        <f t="shared" si="36"/>
        <v>0</v>
      </c>
      <c r="AT101" s="266">
        <v>0</v>
      </c>
      <c r="AU101" s="260">
        <f t="shared" si="37"/>
        <v>0</v>
      </c>
      <c r="AV101" s="259">
        <v>0</v>
      </c>
      <c r="AW101" s="260">
        <f t="shared" si="38"/>
        <v>0</v>
      </c>
      <c r="AX101" s="261" t="s">
        <v>573</v>
      </c>
      <c r="AY101" s="260">
        <f t="shared" si="39"/>
        <v>0</v>
      </c>
      <c r="AZ101" s="259" t="s">
        <v>573</v>
      </c>
      <c r="BA101" s="260">
        <f t="shared" si="40"/>
        <v>0</v>
      </c>
      <c r="BB101" s="259" t="s">
        <v>573</v>
      </c>
      <c r="BC101" s="260">
        <f t="shared" si="41"/>
        <v>0</v>
      </c>
      <c r="BD101" s="259" t="s">
        <v>573</v>
      </c>
      <c r="BE101" s="260">
        <f t="shared" si="42"/>
        <v>0</v>
      </c>
      <c r="BF101" s="259" t="s">
        <v>573</v>
      </c>
      <c r="BG101" s="260">
        <f t="shared" si="43"/>
        <v>0</v>
      </c>
      <c r="BH101" s="259" t="s">
        <v>573</v>
      </c>
      <c r="BI101" s="260">
        <f t="shared" si="33"/>
        <v>0</v>
      </c>
      <c r="BJ101" s="58"/>
      <c r="BK101" s="220"/>
      <c r="BL101" s="213" t="s">
        <v>754</v>
      </c>
      <c r="BM101" s="58" t="s">
        <v>504</v>
      </c>
    </row>
    <row r="102" spans="1:65" ht="15.75" customHeight="1">
      <c r="A102" s="213" t="s">
        <v>1437</v>
      </c>
      <c r="B102" s="58" t="s">
        <v>184</v>
      </c>
      <c r="C102" s="58" t="s">
        <v>752</v>
      </c>
      <c r="D102" s="214" t="s">
        <v>186</v>
      </c>
      <c r="E102" s="214" t="s">
        <v>186</v>
      </c>
      <c r="F102" s="215" t="s">
        <v>186</v>
      </c>
      <c r="G102" s="216">
        <v>2020</v>
      </c>
      <c r="H102" s="218" t="s">
        <v>215</v>
      </c>
      <c r="I102" s="218" t="s">
        <v>196</v>
      </c>
      <c r="J102" s="217" t="s">
        <v>890</v>
      </c>
      <c r="K102" s="213" t="s">
        <v>216</v>
      </c>
      <c r="L102" s="213" t="s">
        <v>192</v>
      </c>
      <c r="M102" s="219" t="s">
        <v>1398</v>
      </c>
      <c r="N102" s="265">
        <v>30.35</v>
      </c>
      <c r="O102" s="265">
        <v>30.35</v>
      </c>
      <c r="P102" s="265">
        <v>30.35</v>
      </c>
      <c r="Q102" s="265">
        <v>30.35</v>
      </c>
      <c r="R102" s="265">
        <v>30.35</v>
      </c>
      <c r="S102" s="265">
        <v>30.35</v>
      </c>
      <c r="T102" s="265">
        <v>30.35</v>
      </c>
      <c r="U102" s="265">
        <v>30.35</v>
      </c>
      <c r="V102" s="265">
        <v>30.35</v>
      </c>
      <c r="W102" s="265">
        <v>30.35</v>
      </c>
      <c r="X102" s="265">
        <v>30.35</v>
      </c>
      <c r="Y102" s="265">
        <v>30.35</v>
      </c>
      <c r="Z102" s="265">
        <v>7.0000000000000007E-2</v>
      </c>
      <c r="AA102" s="265">
        <v>7.0000000000000007E-2</v>
      </c>
      <c r="AB102" s="265">
        <v>7.0000000000000007E-2</v>
      </c>
      <c r="AC102" s="265">
        <v>7.0000000000000007E-2</v>
      </c>
      <c r="AD102" s="265">
        <v>7.0000000000000007E-2</v>
      </c>
      <c r="AE102" s="265">
        <v>7.0000000000000007E-2</v>
      </c>
      <c r="AF102" s="265">
        <v>7.0000000000000007E-2</v>
      </c>
      <c r="AG102" s="265">
        <v>7.0000000000000007E-2</v>
      </c>
      <c r="AH102" s="265">
        <v>7.0000000000000007E-2</v>
      </c>
      <c r="AI102" s="265">
        <v>7.0000000000000007E-2</v>
      </c>
      <c r="AJ102" s="265">
        <v>7.0000000000000007E-2</v>
      </c>
      <c r="AK102" s="265">
        <v>7.0000000000000007E-2</v>
      </c>
      <c r="AL102" s="266" t="s">
        <v>573</v>
      </c>
      <c r="AM102" s="265">
        <f t="shared" si="34"/>
        <v>0</v>
      </c>
      <c r="AN102" s="266" t="s">
        <v>573</v>
      </c>
      <c r="AO102" s="265">
        <f t="shared" si="23"/>
        <v>0</v>
      </c>
      <c r="AP102" s="266">
        <v>0</v>
      </c>
      <c r="AQ102" s="265">
        <f t="shared" si="35"/>
        <v>0</v>
      </c>
      <c r="AR102" s="266">
        <v>0</v>
      </c>
      <c r="AS102" s="262">
        <f t="shared" si="36"/>
        <v>0</v>
      </c>
      <c r="AT102" s="266">
        <v>0</v>
      </c>
      <c r="AU102" s="260">
        <f t="shared" si="37"/>
        <v>0</v>
      </c>
      <c r="AV102" s="259">
        <v>0</v>
      </c>
      <c r="AW102" s="260">
        <f t="shared" si="38"/>
        <v>0</v>
      </c>
      <c r="AX102" s="261" t="s">
        <v>573</v>
      </c>
      <c r="AY102" s="260">
        <f t="shared" si="39"/>
        <v>0</v>
      </c>
      <c r="AZ102" s="259" t="s">
        <v>573</v>
      </c>
      <c r="BA102" s="260">
        <f t="shared" si="40"/>
        <v>0</v>
      </c>
      <c r="BB102" s="259" t="s">
        <v>573</v>
      </c>
      <c r="BC102" s="260">
        <f t="shared" si="41"/>
        <v>0</v>
      </c>
      <c r="BD102" s="259" t="s">
        <v>573</v>
      </c>
      <c r="BE102" s="260">
        <f t="shared" si="42"/>
        <v>0</v>
      </c>
      <c r="BF102" s="259" t="s">
        <v>573</v>
      </c>
      <c r="BG102" s="260">
        <f t="shared" si="43"/>
        <v>0</v>
      </c>
      <c r="BH102" s="259" t="s">
        <v>573</v>
      </c>
      <c r="BI102" s="260">
        <f t="shared" si="33"/>
        <v>0</v>
      </c>
      <c r="BJ102" s="58"/>
      <c r="BK102" s="220"/>
      <c r="BL102" s="213" t="s">
        <v>807</v>
      </c>
      <c r="BM102" s="58" t="s">
        <v>505</v>
      </c>
    </row>
    <row r="103" spans="1:65" ht="15.75" customHeight="1">
      <c r="A103" s="213" t="s">
        <v>1437</v>
      </c>
      <c r="B103" s="58" t="s">
        <v>184</v>
      </c>
      <c r="C103" s="58" t="s">
        <v>752</v>
      </c>
      <c r="D103" s="214" t="s">
        <v>186</v>
      </c>
      <c r="E103" s="214" t="s">
        <v>186</v>
      </c>
      <c r="F103" s="215" t="s">
        <v>186</v>
      </c>
      <c r="G103" s="216">
        <v>2020</v>
      </c>
      <c r="H103" s="218" t="s">
        <v>215</v>
      </c>
      <c r="I103" s="218" t="s">
        <v>196</v>
      </c>
      <c r="J103" s="217" t="s">
        <v>890</v>
      </c>
      <c r="K103" s="213" t="s">
        <v>216</v>
      </c>
      <c r="L103" s="213" t="s">
        <v>192</v>
      </c>
      <c r="M103" s="219" t="s">
        <v>1388</v>
      </c>
      <c r="N103" s="265">
        <v>30.46</v>
      </c>
      <c r="O103" s="265">
        <v>30.41</v>
      </c>
      <c r="P103" s="265">
        <v>30.41</v>
      </c>
      <c r="Q103" s="265">
        <v>30.41</v>
      </c>
      <c r="R103" s="265">
        <v>30.41</v>
      </c>
      <c r="S103" s="265">
        <v>30.41</v>
      </c>
      <c r="T103" s="265">
        <v>30.41</v>
      </c>
      <c r="U103" s="265">
        <v>30.41</v>
      </c>
      <c r="V103" s="265">
        <v>30.41</v>
      </c>
      <c r="W103" s="265">
        <v>30.41</v>
      </c>
      <c r="X103" s="265">
        <v>30.41</v>
      </c>
      <c r="Y103" s="265">
        <v>30.41</v>
      </c>
      <c r="Z103" s="265">
        <v>7.0000000000000007E-2</v>
      </c>
      <c r="AA103" s="265">
        <v>7.0000000000000007E-2</v>
      </c>
      <c r="AB103" s="265">
        <v>7.0000000000000007E-2</v>
      </c>
      <c r="AC103" s="265">
        <v>7.0000000000000007E-2</v>
      </c>
      <c r="AD103" s="265">
        <v>7.0000000000000007E-2</v>
      </c>
      <c r="AE103" s="265">
        <v>7.0000000000000007E-2</v>
      </c>
      <c r="AF103" s="265">
        <v>7.0000000000000007E-2</v>
      </c>
      <c r="AG103" s="265">
        <v>7.0000000000000007E-2</v>
      </c>
      <c r="AH103" s="265">
        <v>7.0000000000000007E-2</v>
      </c>
      <c r="AI103" s="265">
        <v>7.0000000000000007E-2</v>
      </c>
      <c r="AJ103" s="265">
        <v>7.0000000000000007E-2</v>
      </c>
      <c r="AK103" s="265">
        <v>7.0000000000000007E-2</v>
      </c>
      <c r="AL103" s="266" t="s">
        <v>573</v>
      </c>
      <c r="AM103" s="265">
        <f t="shared" si="34"/>
        <v>0</v>
      </c>
      <c r="AN103" s="266" t="s">
        <v>573</v>
      </c>
      <c r="AO103" s="265">
        <f t="shared" si="23"/>
        <v>0</v>
      </c>
      <c r="AP103" s="266">
        <v>0</v>
      </c>
      <c r="AQ103" s="265">
        <f t="shared" si="35"/>
        <v>0</v>
      </c>
      <c r="AR103" s="266">
        <v>0</v>
      </c>
      <c r="AS103" s="262">
        <f t="shared" si="36"/>
        <v>0</v>
      </c>
      <c r="AT103" s="266">
        <v>0</v>
      </c>
      <c r="AU103" s="260">
        <f t="shared" si="37"/>
        <v>0</v>
      </c>
      <c r="AV103" s="259">
        <v>0</v>
      </c>
      <c r="AW103" s="260">
        <f t="shared" si="38"/>
        <v>0</v>
      </c>
      <c r="AX103" s="261" t="s">
        <v>573</v>
      </c>
      <c r="AY103" s="260">
        <f t="shared" si="39"/>
        <v>0</v>
      </c>
      <c r="AZ103" s="259" t="s">
        <v>573</v>
      </c>
      <c r="BA103" s="260">
        <f t="shared" si="40"/>
        <v>0</v>
      </c>
      <c r="BB103" s="259" t="s">
        <v>573</v>
      </c>
      <c r="BC103" s="260">
        <f t="shared" si="41"/>
        <v>0</v>
      </c>
      <c r="BD103" s="259" t="s">
        <v>573</v>
      </c>
      <c r="BE103" s="260">
        <f t="shared" si="42"/>
        <v>0</v>
      </c>
      <c r="BF103" s="259" t="s">
        <v>573</v>
      </c>
      <c r="BG103" s="260">
        <f t="shared" si="43"/>
        <v>0</v>
      </c>
      <c r="BH103" s="259" t="s">
        <v>573</v>
      </c>
      <c r="BI103" s="260">
        <f t="shared" si="33"/>
        <v>0</v>
      </c>
      <c r="BJ103" s="58"/>
      <c r="BK103" s="220"/>
      <c r="BL103" s="213" t="s">
        <v>754</v>
      </c>
      <c r="BM103" s="58" t="s">
        <v>507</v>
      </c>
    </row>
    <row r="104" spans="1:65" ht="15.75" customHeight="1">
      <c r="A104" s="213" t="s">
        <v>1437</v>
      </c>
      <c r="B104" s="58" t="s">
        <v>184</v>
      </c>
      <c r="C104" s="58" t="s">
        <v>752</v>
      </c>
      <c r="D104" s="214" t="s">
        <v>186</v>
      </c>
      <c r="E104" s="214" t="s">
        <v>186</v>
      </c>
      <c r="F104" s="215" t="s">
        <v>186</v>
      </c>
      <c r="G104" s="216">
        <v>2020</v>
      </c>
      <c r="H104" s="218" t="s">
        <v>215</v>
      </c>
      <c r="I104" s="218" t="s">
        <v>196</v>
      </c>
      <c r="J104" s="217" t="s">
        <v>890</v>
      </c>
      <c r="K104" s="213" t="s">
        <v>218</v>
      </c>
      <c r="L104" s="213" t="s">
        <v>192</v>
      </c>
      <c r="M104" s="219" t="s">
        <v>1388</v>
      </c>
      <c r="N104" s="265">
        <v>30.51</v>
      </c>
      <c r="O104" s="265">
        <v>30.51</v>
      </c>
      <c r="P104" s="265">
        <v>30.51</v>
      </c>
      <c r="Q104" s="265">
        <v>30.51</v>
      </c>
      <c r="R104" s="265">
        <v>30.51</v>
      </c>
      <c r="S104" s="265">
        <v>30.51</v>
      </c>
      <c r="T104" s="265">
        <v>30.51</v>
      </c>
      <c r="U104" s="265">
        <v>30.51</v>
      </c>
      <c r="V104" s="265">
        <v>30.51</v>
      </c>
      <c r="W104" s="265">
        <v>30.51</v>
      </c>
      <c r="X104" s="265">
        <v>30.51</v>
      </c>
      <c r="Y104" s="265">
        <v>30.51</v>
      </c>
      <c r="Z104" s="265">
        <v>7.0000000000000007E-2</v>
      </c>
      <c r="AA104" s="265">
        <v>7.0000000000000007E-2</v>
      </c>
      <c r="AB104" s="265">
        <v>7.0000000000000007E-2</v>
      </c>
      <c r="AC104" s="265">
        <v>7.0000000000000007E-2</v>
      </c>
      <c r="AD104" s="265">
        <v>7.0000000000000007E-2</v>
      </c>
      <c r="AE104" s="265">
        <v>7.0000000000000007E-2</v>
      </c>
      <c r="AF104" s="265">
        <v>7.0000000000000007E-2</v>
      </c>
      <c r="AG104" s="265">
        <v>7.0000000000000007E-2</v>
      </c>
      <c r="AH104" s="265">
        <v>7.0000000000000007E-2</v>
      </c>
      <c r="AI104" s="265">
        <v>7.0000000000000007E-2</v>
      </c>
      <c r="AJ104" s="265">
        <v>7.0000000000000007E-2</v>
      </c>
      <c r="AK104" s="265">
        <v>7.0000000000000007E-2</v>
      </c>
      <c r="AL104" s="266" t="s">
        <v>573</v>
      </c>
      <c r="AM104" s="265">
        <f t="shared" si="34"/>
        <v>0</v>
      </c>
      <c r="AN104" s="266" t="s">
        <v>573</v>
      </c>
      <c r="AO104" s="265">
        <f t="shared" si="23"/>
        <v>0</v>
      </c>
      <c r="AP104" s="266">
        <v>0</v>
      </c>
      <c r="AQ104" s="265">
        <f t="shared" si="35"/>
        <v>0</v>
      </c>
      <c r="AR104" s="266">
        <v>0</v>
      </c>
      <c r="AS104" s="262">
        <f t="shared" si="36"/>
        <v>0</v>
      </c>
      <c r="AT104" s="266">
        <v>0</v>
      </c>
      <c r="AU104" s="260">
        <f t="shared" si="37"/>
        <v>0</v>
      </c>
      <c r="AV104" s="259">
        <v>0</v>
      </c>
      <c r="AW104" s="260">
        <f t="shared" si="38"/>
        <v>0</v>
      </c>
      <c r="AX104" s="261" t="s">
        <v>573</v>
      </c>
      <c r="AY104" s="260">
        <f t="shared" si="39"/>
        <v>0</v>
      </c>
      <c r="AZ104" s="259" t="s">
        <v>573</v>
      </c>
      <c r="BA104" s="260">
        <f t="shared" si="40"/>
        <v>0</v>
      </c>
      <c r="BB104" s="259" t="s">
        <v>573</v>
      </c>
      <c r="BC104" s="260">
        <f t="shared" si="41"/>
        <v>0</v>
      </c>
      <c r="BD104" s="259" t="s">
        <v>573</v>
      </c>
      <c r="BE104" s="260">
        <f t="shared" si="42"/>
        <v>0</v>
      </c>
      <c r="BF104" s="259" t="s">
        <v>573</v>
      </c>
      <c r="BG104" s="260">
        <f t="shared" si="43"/>
        <v>0</v>
      </c>
      <c r="BH104" s="259" t="s">
        <v>573</v>
      </c>
      <c r="BI104" s="260">
        <f t="shared" si="33"/>
        <v>0</v>
      </c>
      <c r="BJ104" s="58"/>
      <c r="BK104" s="220"/>
      <c r="BL104" s="213" t="s">
        <v>754</v>
      </c>
      <c r="BM104" s="213" t="s">
        <v>509</v>
      </c>
    </row>
    <row r="105" spans="1:65" ht="15.75" customHeight="1">
      <c r="A105" s="213" t="s">
        <v>1437</v>
      </c>
      <c r="B105" s="58" t="s">
        <v>184</v>
      </c>
      <c r="C105" s="58" t="s">
        <v>752</v>
      </c>
      <c r="D105" s="214" t="s">
        <v>186</v>
      </c>
      <c r="E105" s="214" t="s">
        <v>186</v>
      </c>
      <c r="F105" s="215" t="s">
        <v>186</v>
      </c>
      <c r="G105" s="216">
        <v>2020</v>
      </c>
      <c r="H105" s="218" t="s">
        <v>215</v>
      </c>
      <c r="I105" s="218" t="s">
        <v>196</v>
      </c>
      <c r="J105" s="217" t="s">
        <v>890</v>
      </c>
      <c r="K105" s="213" t="s">
        <v>216</v>
      </c>
      <c r="L105" s="213" t="s">
        <v>192</v>
      </c>
      <c r="M105" s="219" t="s">
        <v>1393</v>
      </c>
      <c r="N105" s="265">
        <v>30.28</v>
      </c>
      <c r="O105" s="265">
        <v>30.28</v>
      </c>
      <c r="P105" s="265">
        <v>30.28</v>
      </c>
      <c r="Q105" s="265">
        <v>30.28</v>
      </c>
      <c r="R105" s="265">
        <v>30.28</v>
      </c>
      <c r="S105" s="265">
        <v>30.28</v>
      </c>
      <c r="T105" s="265">
        <v>30.28</v>
      </c>
      <c r="U105" s="265">
        <v>30.28</v>
      </c>
      <c r="V105" s="265">
        <v>30.28</v>
      </c>
      <c r="W105" s="265">
        <v>30.28</v>
      </c>
      <c r="X105" s="265">
        <v>30.28</v>
      </c>
      <c r="Y105" s="265">
        <v>30.28</v>
      </c>
      <c r="Z105" s="265">
        <v>7.0000000000000007E-2</v>
      </c>
      <c r="AA105" s="265">
        <v>7.0000000000000007E-2</v>
      </c>
      <c r="AB105" s="265">
        <v>7.0000000000000007E-2</v>
      </c>
      <c r="AC105" s="265">
        <v>7.0000000000000007E-2</v>
      </c>
      <c r="AD105" s="265">
        <v>7.0000000000000007E-2</v>
      </c>
      <c r="AE105" s="265">
        <v>7.0000000000000007E-2</v>
      </c>
      <c r="AF105" s="265">
        <v>7.0000000000000007E-2</v>
      </c>
      <c r="AG105" s="265">
        <v>7.0000000000000007E-2</v>
      </c>
      <c r="AH105" s="265">
        <v>7.0000000000000007E-2</v>
      </c>
      <c r="AI105" s="265">
        <v>7.0000000000000007E-2</v>
      </c>
      <c r="AJ105" s="265">
        <v>7.0000000000000007E-2</v>
      </c>
      <c r="AK105" s="265">
        <v>7.0000000000000007E-2</v>
      </c>
      <c r="AL105" s="266" t="s">
        <v>573</v>
      </c>
      <c r="AM105" s="265">
        <f t="shared" si="34"/>
        <v>0</v>
      </c>
      <c r="AN105" s="266" t="s">
        <v>573</v>
      </c>
      <c r="AO105" s="265">
        <f t="shared" si="23"/>
        <v>0</v>
      </c>
      <c r="AP105" s="266">
        <v>0</v>
      </c>
      <c r="AQ105" s="265">
        <f t="shared" si="35"/>
        <v>0</v>
      </c>
      <c r="AR105" s="266">
        <v>0</v>
      </c>
      <c r="AS105" s="262">
        <f t="shared" si="36"/>
        <v>0</v>
      </c>
      <c r="AT105" s="266">
        <v>0</v>
      </c>
      <c r="AU105" s="260">
        <f t="shared" si="37"/>
        <v>0</v>
      </c>
      <c r="AV105" s="259">
        <v>0</v>
      </c>
      <c r="AW105" s="260">
        <f t="shared" si="38"/>
        <v>0</v>
      </c>
      <c r="AX105" s="261" t="s">
        <v>573</v>
      </c>
      <c r="AY105" s="260">
        <f t="shared" si="39"/>
        <v>0</v>
      </c>
      <c r="AZ105" s="259" t="s">
        <v>573</v>
      </c>
      <c r="BA105" s="260">
        <f t="shared" si="40"/>
        <v>0</v>
      </c>
      <c r="BB105" s="259" t="s">
        <v>573</v>
      </c>
      <c r="BC105" s="260">
        <f t="shared" si="41"/>
        <v>0</v>
      </c>
      <c r="BD105" s="259" t="s">
        <v>573</v>
      </c>
      <c r="BE105" s="260">
        <f t="shared" si="42"/>
        <v>0</v>
      </c>
      <c r="BF105" s="259" t="s">
        <v>573</v>
      </c>
      <c r="BG105" s="260">
        <f t="shared" si="43"/>
        <v>0</v>
      </c>
      <c r="BH105" s="259" t="s">
        <v>573</v>
      </c>
      <c r="BI105" s="260">
        <f t="shared" si="33"/>
        <v>0</v>
      </c>
      <c r="BJ105" s="58"/>
      <c r="BK105" s="220"/>
      <c r="BL105" s="213" t="s">
        <v>1347</v>
      </c>
      <c r="BM105" s="213" t="s">
        <v>1487</v>
      </c>
    </row>
    <row r="106" spans="1:65" ht="15.75" customHeight="1">
      <c r="A106" s="213" t="s">
        <v>1437</v>
      </c>
      <c r="B106" s="58" t="s">
        <v>184</v>
      </c>
      <c r="C106" s="58" t="s">
        <v>752</v>
      </c>
      <c r="D106" s="214" t="s">
        <v>186</v>
      </c>
      <c r="E106" s="214" t="s">
        <v>186</v>
      </c>
      <c r="F106" s="215" t="s">
        <v>186</v>
      </c>
      <c r="G106" s="216">
        <v>2020</v>
      </c>
      <c r="H106" s="218" t="s">
        <v>215</v>
      </c>
      <c r="I106" s="218" t="s">
        <v>196</v>
      </c>
      <c r="J106" s="217" t="s">
        <v>890</v>
      </c>
      <c r="K106" s="213" t="s">
        <v>216</v>
      </c>
      <c r="L106" s="213" t="s">
        <v>192</v>
      </c>
      <c r="M106" s="219" t="s">
        <v>1393</v>
      </c>
      <c r="N106" s="265">
        <v>30.28</v>
      </c>
      <c r="O106" s="265">
        <v>30.28</v>
      </c>
      <c r="P106" s="265">
        <v>30.28</v>
      </c>
      <c r="Q106" s="265">
        <v>30.28</v>
      </c>
      <c r="R106" s="265">
        <v>30.28</v>
      </c>
      <c r="S106" s="265">
        <v>30.28</v>
      </c>
      <c r="T106" s="265">
        <v>30.28</v>
      </c>
      <c r="U106" s="265">
        <v>30.28</v>
      </c>
      <c r="V106" s="265">
        <v>30.28</v>
      </c>
      <c r="W106" s="265">
        <v>30.28</v>
      </c>
      <c r="X106" s="265">
        <v>30.28</v>
      </c>
      <c r="Y106" s="265">
        <v>30.28</v>
      </c>
      <c r="Z106" s="265">
        <v>7.0000000000000007E-2</v>
      </c>
      <c r="AA106" s="265">
        <v>7.0000000000000007E-2</v>
      </c>
      <c r="AB106" s="265">
        <v>7.0000000000000007E-2</v>
      </c>
      <c r="AC106" s="265">
        <v>7.0000000000000007E-2</v>
      </c>
      <c r="AD106" s="265">
        <v>7.0000000000000007E-2</v>
      </c>
      <c r="AE106" s="265">
        <v>7.0000000000000007E-2</v>
      </c>
      <c r="AF106" s="265">
        <v>7.0000000000000007E-2</v>
      </c>
      <c r="AG106" s="265">
        <v>7.0000000000000007E-2</v>
      </c>
      <c r="AH106" s="265">
        <v>7.0000000000000007E-2</v>
      </c>
      <c r="AI106" s="265">
        <v>7.0000000000000007E-2</v>
      </c>
      <c r="AJ106" s="265">
        <v>7.0000000000000007E-2</v>
      </c>
      <c r="AK106" s="265">
        <v>7.0000000000000007E-2</v>
      </c>
      <c r="AL106" s="266" t="s">
        <v>573</v>
      </c>
      <c r="AM106" s="265">
        <f t="shared" si="34"/>
        <v>0</v>
      </c>
      <c r="AN106" s="266" t="s">
        <v>573</v>
      </c>
      <c r="AO106" s="265">
        <f t="shared" si="23"/>
        <v>0</v>
      </c>
      <c r="AP106" s="266">
        <v>0</v>
      </c>
      <c r="AQ106" s="265">
        <f t="shared" si="35"/>
        <v>0</v>
      </c>
      <c r="AR106" s="266">
        <v>0</v>
      </c>
      <c r="AS106" s="262">
        <f t="shared" si="36"/>
        <v>0</v>
      </c>
      <c r="AT106" s="266">
        <v>0</v>
      </c>
      <c r="AU106" s="260">
        <f t="shared" si="37"/>
        <v>0</v>
      </c>
      <c r="AV106" s="259">
        <v>0</v>
      </c>
      <c r="AW106" s="260">
        <f t="shared" si="38"/>
        <v>0</v>
      </c>
      <c r="AX106" s="261" t="s">
        <v>573</v>
      </c>
      <c r="AY106" s="260">
        <f t="shared" si="39"/>
        <v>0</v>
      </c>
      <c r="AZ106" s="259" t="s">
        <v>573</v>
      </c>
      <c r="BA106" s="260">
        <f t="shared" si="40"/>
        <v>0</v>
      </c>
      <c r="BB106" s="259" t="s">
        <v>573</v>
      </c>
      <c r="BC106" s="260">
        <f t="shared" si="41"/>
        <v>0</v>
      </c>
      <c r="BD106" s="259" t="s">
        <v>573</v>
      </c>
      <c r="BE106" s="260">
        <f t="shared" si="42"/>
        <v>0</v>
      </c>
      <c r="BF106" s="259" t="s">
        <v>573</v>
      </c>
      <c r="BG106" s="260">
        <f t="shared" si="43"/>
        <v>0</v>
      </c>
      <c r="BH106" s="259" t="s">
        <v>573</v>
      </c>
      <c r="BI106" s="260">
        <f t="shared" si="33"/>
        <v>0</v>
      </c>
      <c r="BJ106" s="58"/>
      <c r="BK106" s="220"/>
      <c r="BL106" s="213" t="s">
        <v>1347</v>
      </c>
      <c r="BM106" s="213" t="s">
        <v>691</v>
      </c>
    </row>
    <row r="107" spans="1:65" ht="15.75" customHeight="1">
      <c r="A107" s="213" t="s">
        <v>1437</v>
      </c>
      <c r="B107" s="58" t="s">
        <v>184</v>
      </c>
      <c r="C107" s="58" t="s">
        <v>752</v>
      </c>
      <c r="D107" s="214" t="s">
        <v>186</v>
      </c>
      <c r="E107" s="214" t="s">
        <v>186</v>
      </c>
      <c r="F107" s="215" t="s">
        <v>186</v>
      </c>
      <c r="G107" s="216">
        <v>2020</v>
      </c>
      <c r="H107" s="218" t="s">
        <v>215</v>
      </c>
      <c r="I107" s="218" t="s">
        <v>196</v>
      </c>
      <c r="J107" s="217" t="s">
        <v>890</v>
      </c>
      <c r="K107" s="213" t="s">
        <v>216</v>
      </c>
      <c r="L107" s="213" t="s">
        <v>192</v>
      </c>
      <c r="M107" s="219" t="s">
        <v>1393</v>
      </c>
      <c r="N107" s="265">
        <v>30.28</v>
      </c>
      <c r="O107" s="265">
        <v>30.28</v>
      </c>
      <c r="P107" s="265">
        <v>30.28</v>
      </c>
      <c r="Q107" s="265">
        <v>30.28</v>
      </c>
      <c r="R107" s="265">
        <v>30.28</v>
      </c>
      <c r="S107" s="265">
        <v>30.28</v>
      </c>
      <c r="T107" s="265">
        <v>30.28</v>
      </c>
      <c r="U107" s="265">
        <v>30.28</v>
      </c>
      <c r="V107" s="265">
        <v>30.28</v>
      </c>
      <c r="W107" s="265">
        <v>30.28</v>
      </c>
      <c r="X107" s="265">
        <v>30.28</v>
      </c>
      <c r="Y107" s="265">
        <v>30.28</v>
      </c>
      <c r="Z107" s="265">
        <v>7.0000000000000007E-2</v>
      </c>
      <c r="AA107" s="265">
        <v>7.0000000000000007E-2</v>
      </c>
      <c r="AB107" s="265">
        <v>7.0000000000000007E-2</v>
      </c>
      <c r="AC107" s="265">
        <v>7.0000000000000007E-2</v>
      </c>
      <c r="AD107" s="265">
        <v>7.0000000000000007E-2</v>
      </c>
      <c r="AE107" s="265">
        <v>7.0000000000000007E-2</v>
      </c>
      <c r="AF107" s="265">
        <v>7.0000000000000007E-2</v>
      </c>
      <c r="AG107" s="265">
        <v>7.0000000000000007E-2</v>
      </c>
      <c r="AH107" s="265">
        <v>7.0000000000000007E-2</v>
      </c>
      <c r="AI107" s="265">
        <v>7.0000000000000007E-2</v>
      </c>
      <c r="AJ107" s="265">
        <v>7.0000000000000007E-2</v>
      </c>
      <c r="AK107" s="265">
        <v>7.0000000000000007E-2</v>
      </c>
      <c r="AL107" s="266" t="s">
        <v>573</v>
      </c>
      <c r="AM107" s="265">
        <f t="shared" si="34"/>
        <v>0</v>
      </c>
      <c r="AN107" s="266" t="s">
        <v>573</v>
      </c>
      <c r="AO107" s="265">
        <f t="shared" si="23"/>
        <v>0</v>
      </c>
      <c r="AP107" s="266">
        <v>0</v>
      </c>
      <c r="AQ107" s="265">
        <f t="shared" si="35"/>
        <v>0</v>
      </c>
      <c r="AR107" s="266">
        <v>0</v>
      </c>
      <c r="AS107" s="262">
        <f t="shared" si="36"/>
        <v>0</v>
      </c>
      <c r="AT107" s="266">
        <v>0</v>
      </c>
      <c r="AU107" s="260">
        <f t="shared" si="37"/>
        <v>0</v>
      </c>
      <c r="AV107" s="259">
        <v>0</v>
      </c>
      <c r="AW107" s="260">
        <f t="shared" si="38"/>
        <v>0</v>
      </c>
      <c r="AX107" s="261" t="s">
        <v>573</v>
      </c>
      <c r="AY107" s="260">
        <f t="shared" si="39"/>
        <v>0</v>
      </c>
      <c r="AZ107" s="259" t="s">
        <v>573</v>
      </c>
      <c r="BA107" s="260">
        <f t="shared" si="40"/>
        <v>0</v>
      </c>
      <c r="BB107" s="259" t="s">
        <v>573</v>
      </c>
      <c r="BC107" s="260">
        <f t="shared" si="41"/>
        <v>0</v>
      </c>
      <c r="BD107" s="259" t="s">
        <v>573</v>
      </c>
      <c r="BE107" s="260">
        <f t="shared" si="42"/>
        <v>0</v>
      </c>
      <c r="BF107" s="259" t="s">
        <v>573</v>
      </c>
      <c r="BG107" s="260">
        <f t="shared" si="43"/>
        <v>0</v>
      </c>
      <c r="BH107" s="259" t="s">
        <v>573</v>
      </c>
      <c r="BI107" s="260">
        <f t="shared" si="33"/>
        <v>0</v>
      </c>
      <c r="BJ107" s="58"/>
      <c r="BK107" s="220"/>
      <c r="BL107" s="213" t="s">
        <v>1347</v>
      </c>
      <c r="BM107" s="213" t="s">
        <v>692</v>
      </c>
    </row>
    <row r="108" spans="1:65" ht="15.75" customHeight="1">
      <c r="A108" s="213" t="s">
        <v>1437</v>
      </c>
      <c r="B108" s="58" t="s">
        <v>184</v>
      </c>
      <c r="C108" s="58" t="s">
        <v>752</v>
      </c>
      <c r="D108" s="214" t="s">
        <v>186</v>
      </c>
      <c r="E108" s="214" t="s">
        <v>186</v>
      </c>
      <c r="F108" s="215" t="s">
        <v>186</v>
      </c>
      <c r="G108" s="216">
        <v>2020</v>
      </c>
      <c r="H108" s="213" t="s">
        <v>808</v>
      </c>
      <c r="I108" s="213" t="s">
        <v>196</v>
      </c>
      <c r="J108" s="217" t="s">
        <v>890</v>
      </c>
      <c r="K108" s="213" t="s">
        <v>753</v>
      </c>
      <c r="L108" s="213" t="s">
        <v>192</v>
      </c>
      <c r="M108" s="219" t="s">
        <v>1388</v>
      </c>
      <c r="N108" s="265">
        <v>1.72</v>
      </c>
      <c r="O108" s="265">
        <v>1.72</v>
      </c>
      <c r="P108" s="265">
        <v>1.72</v>
      </c>
      <c r="Q108" s="265">
        <v>1.72</v>
      </c>
      <c r="R108" s="265">
        <v>1.72</v>
      </c>
      <c r="S108" s="265">
        <v>1.72</v>
      </c>
      <c r="T108" s="265">
        <v>1.72</v>
      </c>
      <c r="U108" s="265">
        <v>1.72</v>
      </c>
      <c r="V108" s="265">
        <v>1.72</v>
      </c>
      <c r="W108" s="265">
        <v>1.72</v>
      </c>
      <c r="X108" s="265">
        <v>1.72</v>
      </c>
      <c r="Y108" s="265">
        <v>1.72</v>
      </c>
      <c r="Z108" s="265">
        <v>0</v>
      </c>
      <c r="AA108" s="265">
        <v>0</v>
      </c>
      <c r="AB108" s="265">
        <v>0</v>
      </c>
      <c r="AC108" s="265">
        <v>0</v>
      </c>
      <c r="AD108" s="265">
        <v>0</v>
      </c>
      <c r="AE108" s="265">
        <v>0</v>
      </c>
      <c r="AF108" s="265">
        <v>0</v>
      </c>
      <c r="AG108" s="265">
        <v>0</v>
      </c>
      <c r="AH108" s="265">
        <v>0</v>
      </c>
      <c r="AI108" s="265">
        <v>0</v>
      </c>
      <c r="AJ108" s="265">
        <v>0</v>
      </c>
      <c r="AK108" s="265">
        <v>0</v>
      </c>
      <c r="AL108" s="266" t="s">
        <v>573</v>
      </c>
      <c r="AM108" s="265">
        <f t="shared" si="34"/>
        <v>0</v>
      </c>
      <c r="AN108" s="266">
        <v>20160</v>
      </c>
      <c r="AO108" s="265">
        <f t="shared" si="23"/>
        <v>0</v>
      </c>
      <c r="AP108" s="266">
        <v>13440</v>
      </c>
      <c r="AQ108" s="265">
        <f t="shared" si="35"/>
        <v>0</v>
      </c>
      <c r="AR108" s="266">
        <v>0</v>
      </c>
      <c r="AS108" s="262">
        <f t="shared" si="36"/>
        <v>0</v>
      </c>
      <c r="AT108" s="266">
        <v>20160</v>
      </c>
      <c r="AU108" s="260">
        <f t="shared" si="37"/>
        <v>0</v>
      </c>
      <c r="AV108" s="259">
        <v>6720</v>
      </c>
      <c r="AW108" s="260">
        <f t="shared" si="38"/>
        <v>0</v>
      </c>
      <c r="AX108" s="261" t="s">
        <v>573</v>
      </c>
      <c r="AY108" s="260">
        <f t="shared" si="39"/>
        <v>0</v>
      </c>
      <c r="AZ108" s="259">
        <v>6720</v>
      </c>
      <c r="BA108" s="260">
        <f t="shared" si="40"/>
        <v>0</v>
      </c>
      <c r="BB108" s="259">
        <v>13440</v>
      </c>
      <c r="BC108" s="260">
        <f t="shared" si="41"/>
        <v>0</v>
      </c>
      <c r="BD108" s="259" t="s">
        <v>573</v>
      </c>
      <c r="BE108" s="260">
        <f t="shared" si="42"/>
        <v>0</v>
      </c>
      <c r="BF108" s="259" t="s">
        <v>573</v>
      </c>
      <c r="BG108" s="260">
        <f t="shared" si="43"/>
        <v>0</v>
      </c>
      <c r="BH108" s="259" t="s">
        <v>573</v>
      </c>
      <c r="BI108" s="260">
        <f t="shared" si="33"/>
        <v>0</v>
      </c>
      <c r="BJ108" s="58"/>
      <c r="BK108" s="220"/>
      <c r="BL108" s="213" t="s">
        <v>1310</v>
      </c>
      <c r="BM108" s="213" t="s">
        <v>511</v>
      </c>
    </row>
    <row r="109" spans="1:65" ht="15.75" customHeight="1">
      <c r="A109" s="213" t="s">
        <v>1437</v>
      </c>
      <c r="B109" s="58" t="s">
        <v>184</v>
      </c>
      <c r="C109" s="58" t="s">
        <v>752</v>
      </c>
      <c r="D109" s="214" t="s">
        <v>186</v>
      </c>
      <c r="E109" s="214" t="s">
        <v>186</v>
      </c>
      <c r="F109" s="215" t="s">
        <v>186</v>
      </c>
      <c r="G109" s="216">
        <v>2020</v>
      </c>
      <c r="H109" s="213" t="s">
        <v>808</v>
      </c>
      <c r="I109" s="213" t="s">
        <v>196</v>
      </c>
      <c r="J109" s="217" t="s">
        <v>890</v>
      </c>
      <c r="K109" s="213" t="s">
        <v>753</v>
      </c>
      <c r="L109" s="213" t="s">
        <v>192</v>
      </c>
      <c r="M109" s="219" t="s">
        <v>1388</v>
      </c>
      <c r="N109" s="265">
        <v>1.66</v>
      </c>
      <c r="O109" s="265">
        <v>1.66</v>
      </c>
      <c r="P109" s="265">
        <v>1.66</v>
      </c>
      <c r="Q109" s="265">
        <v>1.66</v>
      </c>
      <c r="R109" s="265">
        <v>1.66</v>
      </c>
      <c r="S109" s="265">
        <v>1.66</v>
      </c>
      <c r="T109" s="265">
        <v>1.66</v>
      </c>
      <c r="U109" s="265">
        <v>1.66</v>
      </c>
      <c r="V109" s="265">
        <v>1.66</v>
      </c>
      <c r="W109" s="265">
        <v>1.66</v>
      </c>
      <c r="X109" s="265">
        <v>1.66</v>
      </c>
      <c r="Y109" s="265">
        <v>1.66</v>
      </c>
      <c r="Z109" s="265">
        <v>0</v>
      </c>
      <c r="AA109" s="265">
        <v>0</v>
      </c>
      <c r="AB109" s="265">
        <v>0</v>
      </c>
      <c r="AC109" s="265">
        <v>0</v>
      </c>
      <c r="AD109" s="265">
        <v>0</v>
      </c>
      <c r="AE109" s="265">
        <v>0</v>
      </c>
      <c r="AF109" s="265">
        <v>0</v>
      </c>
      <c r="AG109" s="265">
        <v>0</v>
      </c>
      <c r="AH109" s="265">
        <v>0</v>
      </c>
      <c r="AI109" s="265">
        <v>0</v>
      </c>
      <c r="AJ109" s="265">
        <v>0</v>
      </c>
      <c r="AK109" s="265">
        <v>0</v>
      </c>
      <c r="AL109" s="266" t="s">
        <v>573</v>
      </c>
      <c r="AM109" s="265">
        <f t="shared" si="34"/>
        <v>0</v>
      </c>
      <c r="AN109" s="266" t="s">
        <v>573</v>
      </c>
      <c r="AO109" s="265">
        <f t="shared" si="23"/>
        <v>0</v>
      </c>
      <c r="AP109" s="266">
        <v>0</v>
      </c>
      <c r="AQ109" s="265">
        <f t="shared" si="35"/>
        <v>0</v>
      </c>
      <c r="AR109" s="266">
        <v>0</v>
      </c>
      <c r="AS109" s="262">
        <f t="shared" si="36"/>
        <v>0</v>
      </c>
      <c r="AT109" s="266">
        <v>0</v>
      </c>
      <c r="AU109" s="260">
        <f t="shared" si="37"/>
        <v>0</v>
      </c>
      <c r="AV109" s="259">
        <v>0</v>
      </c>
      <c r="AW109" s="260">
        <f t="shared" si="38"/>
        <v>0</v>
      </c>
      <c r="AX109" s="261" t="s">
        <v>573</v>
      </c>
      <c r="AY109" s="260">
        <f t="shared" si="39"/>
        <v>0</v>
      </c>
      <c r="AZ109" s="259" t="s">
        <v>573</v>
      </c>
      <c r="BA109" s="260">
        <f t="shared" si="40"/>
        <v>0</v>
      </c>
      <c r="BB109" s="259">
        <v>6720</v>
      </c>
      <c r="BC109" s="260">
        <f t="shared" si="41"/>
        <v>0</v>
      </c>
      <c r="BD109" s="259" t="s">
        <v>573</v>
      </c>
      <c r="BE109" s="260">
        <f t="shared" si="42"/>
        <v>0</v>
      </c>
      <c r="BF109" s="259">
        <v>6720</v>
      </c>
      <c r="BG109" s="260">
        <f t="shared" si="43"/>
        <v>0</v>
      </c>
      <c r="BH109" s="259" t="s">
        <v>573</v>
      </c>
      <c r="BI109" s="260">
        <f t="shared" si="33"/>
        <v>0</v>
      </c>
      <c r="BJ109" s="58"/>
      <c r="BK109" s="220"/>
      <c r="BL109" s="213" t="s">
        <v>754</v>
      </c>
      <c r="BM109" s="213" t="s">
        <v>513</v>
      </c>
    </row>
    <row r="110" spans="1:65" ht="15.75" customHeight="1">
      <c r="A110" s="213" t="s">
        <v>1437</v>
      </c>
      <c r="B110" s="58" t="s">
        <v>184</v>
      </c>
      <c r="C110" s="58" t="s">
        <v>752</v>
      </c>
      <c r="D110" s="214" t="s">
        <v>186</v>
      </c>
      <c r="E110" s="214" t="s">
        <v>186</v>
      </c>
      <c r="F110" s="215" t="s">
        <v>186</v>
      </c>
      <c r="G110" s="216">
        <v>2020</v>
      </c>
      <c r="H110" s="213" t="s">
        <v>808</v>
      </c>
      <c r="I110" s="213" t="s">
        <v>196</v>
      </c>
      <c r="J110" s="217" t="s">
        <v>890</v>
      </c>
      <c r="K110" s="213" t="s">
        <v>753</v>
      </c>
      <c r="L110" s="213" t="s">
        <v>192</v>
      </c>
      <c r="M110" s="219" t="s">
        <v>1397</v>
      </c>
      <c r="N110" s="265">
        <v>1.65</v>
      </c>
      <c r="O110" s="265">
        <v>1.65</v>
      </c>
      <c r="P110" s="265">
        <v>1.65</v>
      </c>
      <c r="Q110" s="265">
        <v>1.65</v>
      </c>
      <c r="R110" s="265">
        <v>1.65</v>
      </c>
      <c r="S110" s="265">
        <v>1.65</v>
      </c>
      <c r="T110" s="265">
        <v>1.65</v>
      </c>
      <c r="U110" s="265">
        <v>1.65</v>
      </c>
      <c r="V110" s="265">
        <v>1.65</v>
      </c>
      <c r="W110" s="265">
        <v>1.65</v>
      </c>
      <c r="X110" s="265">
        <v>1.65</v>
      </c>
      <c r="Y110" s="265">
        <v>1.65</v>
      </c>
      <c r="Z110" s="265">
        <v>0</v>
      </c>
      <c r="AA110" s="265">
        <v>0</v>
      </c>
      <c r="AB110" s="265">
        <v>0</v>
      </c>
      <c r="AC110" s="265">
        <v>0</v>
      </c>
      <c r="AD110" s="265">
        <v>0</v>
      </c>
      <c r="AE110" s="265">
        <v>0</v>
      </c>
      <c r="AF110" s="265">
        <v>0</v>
      </c>
      <c r="AG110" s="265">
        <v>0</v>
      </c>
      <c r="AH110" s="265">
        <v>0</v>
      </c>
      <c r="AI110" s="265">
        <v>0</v>
      </c>
      <c r="AJ110" s="265">
        <v>0</v>
      </c>
      <c r="AK110" s="265">
        <v>0</v>
      </c>
      <c r="AL110" s="266" t="s">
        <v>573</v>
      </c>
      <c r="AM110" s="265">
        <f t="shared" si="34"/>
        <v>0</v>
      </c>
      <c r="AN110" s="266" t="s">
        <v>573</v>
      </c>
      <c r="AO110" s="265">
        <f t="shared" si="23"/>
        <v>0</v>
      </c>
      <c r="AP110" s="266">
        <v>0</v>
      </c>
      <c r="AQ110" s="265">
        <f t="shared" si="35"/>
        <v>0</v>
      </c>
      <c r="AR110" s="266">
        <v>0</v>
      </c>
      <c r="AS110" s="262">
        <f t="shared" si="36"/>
        <v>0</v>
      </c>
      <c r="AT110" s="266">
        <v>0</v>
      </c>
      <c r="AU110" s="260">
        <f t="shared" si="37"/>
        <v>0</v>
      </c>
      <c r="AV110" s="259">
        <v>0</v>
      </c>
      <c r="AW110" s="260">
        <f t="shared" si="38"/>
        <v>0</v>
      </c>
      <c r="AX110" s="261" t="s">
        <v>573</v>
      </c>
      <c r="AY110" s="260">
        <f t="shared" si="39"/>
        <v>0</v>
      </c>
      <c r="AZ110" s="259">
        <v>6720</v>
      </c>
      <c r="BA110" s="260">
        <f t="shared" si="40"/>
        <v>0</v>
      </c>
      <c r="BB110" s="259" t="s">
        <v>573</v>
      </c>
      <c r="BC110" s="260">
        <f t="shared" si="41"/>
        <v>0</v>
      </c>
      <c r="BD110" s="259" t="s">
        <v>573</v>
      </c>
      <c r="BE110" s="260">
        <f t="shared" si="42"/>
        <v>0</v>
      </c>
      <c r="BF110" s="259" t="s">
        <v>573</v>
      </c>
      <c r="BG110" s="260">
        <f t="shared" si="43"/>
        <v>0</v>
      </c>
      <c r="BH110" s="259" t="s">
        <v>573</v>
      </c>
      <c r="BI110" s="260">
        <f t="shared" si="33"/>
        <v>0</v>
      </c>
      <c r="BJ110" s="58"/>
      <c r="BK110" s="220"/>
      <c r="BL110" s="213" t="s">
        <v>754</v>
      </c>
      <c r="BM110" s="213" t="s">
        <v>512</v>
      </c>
    </row>
    <row r="111" spans="1:65" ht="15.75" customHeight="1">
      <c r="A111" s="213" t="s">
        <v>1437</v>
      </c>
      <c r="B111" s="58" t="s">
        <v>184</v>
      </c>
      <c r="C111" s="58" t="s">
        <v>752</v>
      </c>
      <c r="D111" s="214" t="s">
        <v>186</v>
      </c>
      <c r="E111" s="214" t="s">
        <v>186</v>
      </c>
      <c r="F111" s="215" t="s">
        <v>186</v>
      </c>
      <c r="G111" s="216">
        <v>2020</v>
      </c>
      <c r="H111" s="213" t="s">
        <v>799</v>
      </c>
      <c r="I111" s="213" t="s">
        <v>196</v>
      </c>
      <c r="J111" s="217" t="s">
        <v>890</v>
      </c>
      <c r="K111" s="213" t="s">
        <v>221</v>
      </c>
      <c r="L111" s="213" t="s">
        <v>192</v>
      </c>
      <c r="M111" s="219" t="s">
        <v>1388</v>
      </c>
      <c r="N111" s="265">
        <v>3.33</v>
      </c>
      <c r="O111" s="265">
        <v>3.33</v>
      </c>
      <c r="P111" s="265">
        <v>3.33</v>
      </c>
      <c r="Q111" s="265">
        <v>3.33</v>
      </c>
      <c r="R111" s="265">
        <v>3.33</v>
      </c>
      <c r="S111" s="265">
        <v>3.33</v>
      </c>
      <c r="T111" s="265">
        <v>3.33</v>
      </c>
      <c r="U111" s="265">
        <v>3.33</v>
      </c>
      <c r="V111" s="265">
        <v>3.33</v>
      </c>
      <c r="W111" s="265">
        <v>3.33</v>
      </c>
      <c r="X111" s="265">
        <v>3.33</v>
      </c>
      <c r="Y111" s="265">
        <v>3.33</v>
      </c>
      <c r="Z111" s="265">
        <v>0</v>
      </c>
      <c r="AA111" s="265">
        <v>0</v>
      </c>
      <c r="AB111" s="265">
        <v>0</v>
      </c>
      <c r="AC111" s="265">
        <v>0</v>
      </c>
      <c r="AD111" s="265">
        <v>0</v>
      </c>
      <c r="AE111" s="265">
        <v>0</v>
      </c>
      <c r="AF111" s="265">
        <v>0</v>
      </c>
      <c r="AG111" s="265">
        <v>0</v>
      </c>
      <c r="AH111" s="265">
        <v>0</v>
      </c>
      <c r="AI111" s="265">
        <v>0</v>
      </c>
      <c r="AJ111" s="265">
        <v>0</v>
      </c>
      <c r="AK111" s="265">
        <v>0</v>
      </c>
      <c r="AL111" s="266" t="s">
        <v>573</v>
      </c>
      <c r="AM111" s="265">
        <f t="shared" si="34"/>
        <v>0</v>
      </c>
      <c r="AN111" s="266">
        <v>13440</v>
      </c>
      <c r="AO111" s="265">
        <f t="shared" si="23"/>
        <v>0</v>
      </c>
      <c r="AP111" s="266">
        <v>26880</v>
      </c>
      <c r="AQ111" s="265">
        <f t="shared" si="35"/>
        <v>0</v>
      </c>
      <c r="AR111" s="266">
        <v>0</v>
      </c>
      <c r="AS111" s="262">
        <f t="shared" si="36"/>
        <v>0</v>
      </c>
      <c r="AT111" s="266">
        <v>13440</v>
      </c>
      <c r="AU111" s="260">
        <f t="shared" si="37"/>
        <v>0</v>
      </c>
      <c r="AV111" s="259">
        <v>6720</v>
      </c>
      <c r="AW111" s="260">
        <f t="shared" si="38"/>
        <v>0</v>
      </c>
      <c r="AX111" s="261" t="s">
        <v>573</v>
      </c>
      <c r="AY111" s="260">
        <f t="shared" si="39"/>
        <v>0</v>
      </c>
      <c r="AZ111" s="259" t="s">
        <v>573</v>
      </c>
      <c r="BA111" s="260">
        <f t="shared" si="40"/>
        <v>0</v>
      </c>
      <c r="BB111" s="259">
        <v>6720</v>
      </c>
      <c r="BC111" s="260">
        <f t="shared" si="41"/>
        <v>0</v>
      </c>
      <c r="BD111" s="259" t="s">
        <v>573</v>
      </c>
      <c r="BE111" s="260">
        <f t="shared" si="42"/>
        <v>0</v>
      </c>
      <c r="BF111" s="259" t="s">
        <v>573</v>
      </c>
      <c r="BG111" s="260">
        <f t="shared" si="43"/>
        <v>0</v>
      </c>
      <c r="BH111" s="259">
        <v>13440</v>
      </c>
      <c r="BI111" s="260">
        <f t="shared" si="33"/>
        <v>0</v>
      </c>
      <c r="BJ111" s="58"/>
      <c r="BK111" s="220"/>
      <c r="BL111" s="213" t="s">
        <v>1310</v>
      </c>
      <c r="BM111" s="213" t="s">
        <v>532</v>
      </c>
    </row>
    <row r="112" spans="1:65" ht="15.6" customHeight="1">
      <c r="A112" s="213" t="s">
        <v>1437</v>
      </c>
      <c r="B112" s="58" t="s">
        <v>184</v>
      </c>
      <c r="C112" s="58" t="s">
        <v>752</v>
      </c>
      <c r="D112" s="214" t="s">
        <v>186</v>
      </c>
      <c r="E112" s="214" t="s">
        <v>186</v>
      </c>
      <c r="F112" s="215" t="s">
        <v>186</v>
      </c>
      <c r="G112" s="216">
        <v>2020</v>
      </c>
      <c r="H112" s="213" t="s">
        <v>799</v>
      </c>
      <c r="I112" s="213" t="s">
        <v>196</v>
      </c>
      <c r="J112" s="217" t="s">
        <v>890</v>
      </c>
      <c r="K112" s="213" t="s">
        <v>221</v>
      </c>
      <c r="L112" s="213" t="s">
        <v>192</v>
      </c>
      <c r="M112" s="219" t="s">
        <v>1388</v>
      </c>
      <c r="N112" s="265">
        <v>3.29</v>
      </c>
      <c r="O112" s="265">
        <v>3.29</v>
      </c>
      <c r="P112" s="265">
        <v>3.29</v>
      </c>
      <c r="Q112" s="265">
        <v>3.29</v>
      </c>
      <c r="R112" s="265">
        <v>3.29</v>
      </c>
      <c r="S112" s="265">
        <v>3.29</v>
      </c>
      <c r="T112" s="265">
        <v>3.29</v>
      </c>
      <c r="U112" s="265">
        <v>3.29</v>
      </c>
      <c r="V112" s="265">
        <v>3.29</v>
      </c>
      <c r="W112" s="265">
        <v>3.29</v>
      </c>
      <c r="X112" s="265">
        <v>3.29</v>
      </c>
      <c r="Y112" s="265">
        <v>3.29</v>
      </c>
      <c r="Z112" s="265">
        <v>0</v>
      </c>
      <c r="AA112" s="265">
        <v>0</v>
      </c>
      <c r="AB112" s="265">
        <v>0</v>
      </c>
      <c r="AC112" s="265">
        <v>0</v>
      </c>
      <c r="AD112" s="265">
        <v>0</v>
      </c>
      <c r="AE112" s="265">
        <v>0</v>
      </c>
      <c r="AF112" s="265">
        <v>0</v>
      </c>
      <c r="AG112" s="265">
        <v>0</v>
      </c>
      <c r="AH112" s="265">
        <v>0</v>
      </c>
      <c r="AI112" s="265">
        <v>0</v>
      </c>
      <c r="AJ112" s="265">
        <v>0</v>
      </c>
      <c r="AK112" s="265">
        <v>0</v>
      </c>
      <c r="AL112" s="266">
        <v>6720</v>
      </c>
      <c r="AM112" s="265">
        <f t="shared" si="34"/>
        <v>0</v>
      </c>
      <c r="AN112" s="266">
        <v>6720</v>
      </c>
      <c r="AO112" s="265">
        <f t="shared" si="23"/>
        <v>0</v>
      </c>
      <c r="AP112" s="266">
        <v>0</v>
      </c>
      <c r="AQ112" s="265">
        <f t="shared" si="35"/>
        <v>0</v>
      </c>
      <c r="AR112" s="266">
        <v>0</v>
      </c>
      <c r="AS112" s="262">
        <f t="shared" si="36"/>
        <v>0</v>
      </c>
      <c r="AT112" s="266">
        <v>6720</v>
      </c>
      <c r="AU112" s="260">
        <f t="shared" si="37"/>
        <v>0</v>
      </c>
      <c r="AV112" s="259">
        <v>0</v>
      </c>
      <c r="AW112" s="260">
        <f t="shared" si="38"/>
        <v>0</v>
      </c>
      <c r="AX112" s="261">
        <v>20160</v>
      </c>
      <c r="AY112" s="260">
        <f t="shared" si="39"/>
        <v>0</v>
      </c>
      <c r="AZ112" s="259" t="s">
        <v>573</v>
      </c>
      <c r="BA112" s="260">
        <f t="shared" si="40"/>
        <v>0</v>
      </c>
      <c r="BB112" s="259">
        <v>6720</v>
      </c>
      <c r="BC112" s="260">
        <f t="shared" si="41"/>
        <v>0</v>
      </c>
      <c r="BD112" s="259">
        <v>6720</v>
      </c>
      <c r="BE112" s="260">
        <f t="shared" si="42"/>
        <v>0</v>
      </c>
      <c r="BF112" s="259" t="s">
        <v>573</v>
      </c>
      <c r="BG112" s="260">
        <f t="shared" si="43"/>
        <v>0</v>
      </c>
      <c r="BH112" s="259" t="s">
        <v>573</v>
      </c>
      <c r="BI112" s="260">
        <f t="shared" si="33"/>
        <v>0</v>
      </c>
      <c r="BJ112" s="58"/>
      <c r="BK112" s="220"/>
      <c r="BL112" s="213" t="s">
        <v>754</v>
      </c>
      <c r="BM112" s="213" t="s">
        <v>534</v>
      </c>
    </row>
    <row r="113" spans="1:65" ht="15.75" customHeight="1">
      <c r="A113" s="213" t="s">
        <v>1437</v>
      </c>
      <c r="B113" s="58" t="s">
        <v>184</v>
      </c>
      <c r="C113" s="58" t="s">
        <v>752</v>
      </c>
      <c r="D113" s="214" t="s">
        <v>186</v>
      </c>
      <c r="E113" s="214" t="s">
        <v>186</v>
      </c>
      <c r="F113" s="215" t="s">
        <v>186</v>
      </c>
      <c r="G113" s="216">
        <v>2020</v>
      </c>
      <c r="H113" s="213" t="s">
        <v>799</v>
      </c>
      <c r="I113" s="213" t="s">
        <v>196</v>
      </c>
      <c r="J113" s="217" t="s">
        <v>890</v>
      </c>
      <c r="K113" s="213" t="s">
        <v>221</v>
      </c>
      <c r="L113" s="213" t="s">
        <v>192</v>
      </c>
      <c r="M113" s="219" t="s">
        <v>1397</v>
      </c>
      <c r="N113" s="265">
        <v>3.28</v>
      </c>
      <c r="O113" s="265">
        <v>3.28</v>
      </c>
      <c r="P113" s="265">
        <v>3.28</v>
      </c>
      <c r="Q113" s="265">
        <v>3.28</v>
      </c>
      <c r="R113" s="265">
        <v>3.28</v>
      </c>
      <c r="S113" s="265">
        <v>3.28</v>
      </c>
      <c r="T113" s="265">
        <v>3.28</v>
      </c>
      <c r="U113" s="265">
        <v>3.28</v>
      </c>
      <c r="V113" s="265">
        <v>3.28</v>
      </c>
      <c r="W113" s="265">
        <v>3.28</v>
      </c>
      <c r="X113" s="265">
        <v>3.28</v>
      </c>
      <c r="Y113" s="265">
        <v>3.28</v>
      </c>
      <c r="Z113" s="265">
        <v>0</v>
      </c>
      <c r="AA113" s="265">
        <v>0</v>
      </c>
      <c r="AB113" s="265">
        <v>0</v>
      </c>
      <c r="AC113" s="265">
        <v>0</v>
      </c>
      <c r="AD113" s="265">
        <v>0</v>
      </c>
      <c r="AE113" s="265">
        <v>0</v>
      </c>
      <c r="AF113" s="265">
        <v>0</v>
      </c>
      <c r="AG113" s="265">
        <v>0</v>
      </c>
      <c r="AH113" s="265">
        <v>0</v>
      </c>
      <c r="AI113" s="265">
        <v>0</v>
      </c>
      <c r="AJ113" s="265">
        <v>0</v>
      </c>
      <c r="AK113" s="265">
        <v>0</v>
      </c>
      <c r="AL113" s="266" t="s">
        <v>573</v>
      </c>
      <c r="AM113" s="265">
        <f t="shared" si="34"/>
        <v>0</v>
      </c>
      <c r="AN113" s="266" t="s">
        <v>573</v>
      </c>
      <c r="AO113" s="265">
        <f t="shared" si="23"/>
        <v>0</v>
      </c>
      <c r="AP113" s="266">
        <v>0</v>
      </c>
      <c r="AQ113" s="265">
        <f t="shared" si="35"/>
        <v>0</v>
      </c>
      <c r="AR113" s="266">
        <v>0</v>
      </c>
      <c r="AS113" s="262">
        <f t="shared" si="36"/>
        <v>0</v>
      </c>
      <c r="AT113" s="266">
        <v>0</v>
      </c>
      <c r="AU113" s="260">
        <f t="shared" si="37"/>
        <v>0</v>
      </c>
      <c r="AV113" s="259">
        <v>0</v>
      </c>
      <c r="AW113" s="260">
        <f t="shared" si="38"/>
        <v>0</v>
      </c>
      <c r="AX113" s="261" t="s">
        <v>573</v>
      </c>
      <c r="AY113" s="260">
        <f t="shared" si="39"/>
        <v>0</v>
      </c>
      <c r="AZ113" s="259">
        <v>13440</v>
      </c>
      <c r="BA113" s="260">
        <f t="shared" si="40"/>
        <v>0</v>
      </c>
      <c r="BB113" s="259" t="s">
        <v>573</v>
      </c>
      <c r="BC113" s="260">
        <f t="shared" si="41"/>
        <v>0</v>
      </c>
      <c r="BD113" s="259" t="s">
        <v>573</v>
      </c>
      <c r="BE113" s="260">
        <f t="shared" si="42"/>
        <v>0</v>
      </c>
      <c r="BF113" s="259">
        <v>6720</v>
      </c>
      <c r="BG113" s="260">
        <f t="shared" si="43"/>
        <v>0</v>
      </c>
      <c r="BH113" s="259" t="s">
        <v>573</v>
      </c>
      <c r="BI113" s="260">
        <f t="shared" si="33"/>
        <v>0</v>
      </c>
      <c r="BJ113" s="58"/>
      <c r="BK113" s="220"/>
      <c r="BL113" s="213" t="s">
        <v>754</v>
      </c>
      <c r="BM113" s="213" t="s">
        <v>533</v>
      </c>
    </row>
    <row r="114" spans="1:65" ht="15.75" customHeight="1">
      <c r="A114" s="213" t="s">
        <v>1437</v>
      </c>
      <c r="B114" s="58" t="s">
        <v>184</v>
      </c>
      <c r="C114" s="58" t="s">
        <v>752</v>
      </c>
      <c r="D114" s="214" t="s">
        <v>186</v>
      </c>
      <c r="E114" s="214" t="s">
        <v>186</v>
      </c>
      <c r="F114" s="215" t="s">
        <v>186</v>
      </c>
      <c r="G114" s="216">
        <v>2020</v>
      </c>
      <c r="H114" s="213" t="s">
        <v>799</v>
      </c>
      <c r="I114" s="213" t="s">
        <v>196</v>
      </c>
      <c r="J114" s="217" t="s">
        <v>890</v>
      </c>
      <c r="K114" s="213" t="s">
        <v>221</v>
      </c>
      <c r="L114" s="213" t="s">
        <v>192</v>
      </c>
      <c r="M114" s="219" t="s">
        <v>1391</v>
      </c>
      <c r="N114" s="265">
        <v>3.25</v>
      </c>
      <c r="O114" s="265">
        <v>3.25</v>
      </c>
      <c r="P114" s="265">
        <v>3.25</v>
      </c>
      <c r="Q114" s="265">
        <v>3.25</v>
      </c>
      <c r="R114" s="265">
        <v>3.25</v>
      </c>
      <c r="S114" s="265">
        <v>3.25</v>
      </c>
      <c r="T114" s="265">
        <v>3.25</v>
      </c>
      <c r="U114" s="265">
        <v>3.25</v>
      </c>
      <c r="V114" s="265">
        <v>3.25</v>
      </c>
      <c r="W114" s="265">
        <v>3.25</v>
      </c>
      <c r="X114" s="265">
        <v>3.25</v>
      </c>
      <c r="Y114" s="265">
        <v>3.25</v>
      </c>
      <c r="Z114" s="265">
        <v>0</v>
      </c>
      <c r="AA114" s="265">
        <v>0</v>
      </c>
      <c r="AB114" s="265">
        <v>0</v>
      </c>
      <c r="AC114" s="265">
        <v>0</v>
      </c>
      <c r="AD114" s="265">
        <v>0</v>
      </c>
      <c r="AE114" s="265">
        <v>0</v>
      </c>
      <c r="AF114" s="265">
        <v>0</v>
      </c>
      <c r="AG114" s="265">
        <v>0</v>
      </c>
      <c r="AH114" s="265">
        <v>0</v>
      </c>
      <c r="AI114" s="265">
        <v>0</v>
      </c>
      <c r="AJ114" s="265">
        <v>0</v>
      </c>
      <c r="AK114" s="265">
        <v>0</v>
      </c>
      <c r="AL114" s="266" t="s">
        <v>573</v>
      </c>
      <c r="AM114" s="265">
        <f t="shared" si="34"/>
        <v>0</v>
      </c>
      <c r="AN114" s="266" t="s">
        <v>573</v>
      </c>
      <c r="AO114" s="265">
        <f t="shared" si="23"/>
        <v>0</v>
      </c>
      <c r="AP114" s="266">
        <v>0</v>
      </c>
      <c r="AQ114" s="265">
        <f t="shared" si="35"/>
        <v>0</v>
      </c>
      <c r="AR114" s="266">
        <v>0</v>
      </c>
      <c r="AS114" s="262">
        <f t="shared" si="36"/>
        <v>0</v>
      </c>
      <c r="AT114" s="266">
        <v>0</v>
      </c>
      <c r="AU114" s="260">
        <f t="shared" si="37"/>
        <v>0</v>
      </c>
      <c r="AV114" s="259">
        <v>6720</v>
      </c>
      <c r="AW114" s="260">
        <f t="shared" si="38"/>
        <v>0</v>
      </c>
      <c r="AX114" s="261" t="s">
        <v>573</v>
      </c>
      <c r="AY114" s="260">
        <f t="shared" si="39"/>
        <v>0</v>
      </c>
      <c r="AZ114" s="259">
        <v>6720</v>
      </c>
      <c r="BA114" s="260">
        <f t="shared" si="40"/>
        <v>0</v>
      </c>
      <c r="BB114" s="259" t="s">
        <v>573</v>
      </c>
      <c r="BC114" s="260">
        <f t="shared" si="41"/>
        <v>0</v>
      </c>
      <c r="BD114" s="259" t="s">
        <v>573</v>
      </c>
      <c r="BE114" s="260">
        <f t="shared" si="42"/>
        <v>0</v>
      </c>
      <c r="BF114" s="259" t="s">
        <v>573</v>
      </c>
      <c r="BG114" s="260">
        <f t="shared" si="43"/>
        <v>0</v>
      </c>
      <c r="BH114" s="259" t="s">
        <v>573</v>
      </c>
      <c r="BI114" s="260">
        <f t="shared" si="33"/>
        <v>0</v>
      </c>
      <c r="BJ114" s="58"/>
      <c r="BK114" s="220"/>
      <c r="BL114" s="213" t="s">
        <v>197</v>
      </c>
      <c r="BM114" s="213" t="s">
        <v>531</v>
      </c>
    </row>
    <row r="115" spans="1:65" ht="15.75" customHeight="1">
      <c r="A115" s="213" t="s">
        <v>1437</v>
      </c>
      <c r="B115" s="58" t="s">
        <v>184</v>
      </c>
      <c r="C115" s="58" t="s">
        <v>752</v>
      </c>
      <c r="D115" s="214" t="s">
        <v>186</v>
      </c>
      <c r="E115" s="214" t="s">
        <v>186</v>
      </c>
      <c r="F115" s="215" t="s">
        <v>186</v>
      </c>
      <c r="G115" s="216">
        <v>2020</v>
      </c>
      <c r="H115" s="213" t="s">
        <v>799</v>
      </c>
      <c r="I115" s="213" t="s">
        <v>196</v>
      </c>
      <c r="J115" s="217" t="s">
        <v>890</v>
      </c>
      <c r="K115" s="213" t="s">
        <v>221</v>
      </c>
      <c r="L115" s="213" t="s">
        <v>192</v>
      </c>
      <c r="M115" s="219" t="s">
        <v>1392</v>
      </c>
      <c r="N115" s="265">
        <v>3.85</v>
      </c>
      <c r="O115" s="265">
        <v>3.85</v>
      </c>
      <c r="P115" s="265">
        <v>3.85</v>
      </c>
      <c r="Q115" s="265">
        <v>3.85</v>
      </c>
      <c r="R115" s="265">
        <v>3.85</v>
      </c>
      <c r="S115" s="265">
        <v>3.85</v>
      </c>
      <c r="T115" s="265">
        <v>3.85</v>
      </c>
      <c r="U115" s="265">
        <v>3.85</v>
      </c>
      <c r="V115" s="265">
        <v>3.85</v>
      </c>
      <c r="W115" s="265">
        <v>3.85</v>
      </c>
      <c r="X115" s="265">
        <v>3.85</v>
      </c>
      <c r="Y115" s="265">
        <v>3.85</v>
      </c>
      <c r="Z115" s="265">
        <v>0</v>
      </c>
      <c r="AA115" s="265">
        <v>0</v>
      </c>
      <c r="AB115" s="265">
        <v>0</v>
      </c>
      <c r="AC115" s="265">
        <v>0</v>
      </c>
      <c r="AD115" s="265">
        <v>0</v>
      </c>
      <c r="AE115" s="265">
        <v>0</v>
      </c>
      <c r="AF115" s="265">
        <v>0</v>
      </c>
      <c r="AG115" s="265">
        <v>0</v>
      </c>
      <c r="AH115" s="265">
        <v>0</v>
      </c>
      <c r="AI115" s="265">
        <v>0</v>
      </c>
      <c r="AJ115" s="265">
        <v>0</v>
      </c>
      <c r="AK115" s="265">
        <v>0</v>
      </c>
      <c r="AL115" s="266" t="s">
        <v>573</v>
      </c>
      <c r="AM115" s="265">
        <f t="shared" si="34"/>
        <v>0</v>
      </c>
      <c r="AN115" s="266" t="s">
        <v>573</v>
      </c>
      <c r="AO115" s="265">
        <f t="shared" si="23"/>
        <v>0</v>
      </c>
      <c r="AP115" s="266">
        <v>0</v>
      </c>
      <c r="AQ115" s="265">
        <f t="shared" si="35"/>
        <v>0</v>
      </c>
      <c r="AR115" s="266">
        <v>0</v>
      </c>
      <c r="AS115" s="262">
        <f t="shared" si="36"/>
        <v>0</v>
      </c>
      <c r="AT115" s="266">
        <v>0</v>
      </c>
      <c r="AU115" s="260">
        <f t="shared" si="37"/>
        <v>0</v>
      </c>
      <c r="AV115" s="259">
        <v>0</v>
      </c>
      <c r="AW115" s="260">
        <f t="shared" si="38"/>
        <v>0</v>
      </c>
      <c r="AX115" s="261" t="s">
        <v>573</v>
      </c>
      <c r="AY115" s="260">
        <f t="shared" si="39"/>
        <v>0</v>
      </c>
      <c r="AZ115" s="259" t="s">
        <v>573</v>
      </c>
      <c r="BA115" s="260">
        <f t="shared" si="40"/>
        <v>0</v>
      </c>
      <c r="BB115" s="259" t="s">
        <v>573</v>
      </c>
      <c r="BC115" s="260">
        <f t="shared" si="41"/>
        <v>0</v>
      </c>
      <c r="BD115" s="259" t="s">
        <v>573</v>
      </c>
      <c r="BE115" s="260">
        <f t="shared" si="42"/>
        <v>0</v>
      </c>
      <c r="BF115" s="259" t="s">
        <v>573</v>
      </c>
      <c r="BG115" s="260">
        <f t="shared" si="43"/>
        <v>0</v>
      </c>
      <c r="BH115" s="259" t="s">
        <v>573</v>
      </c>
      <c r="BI115" s="260">
        <f t="shared" si="33"/>
        <v>0</v>
      </c>
      <c r="BJ115" s="58"/>
      <c r="BK115" s="220"/>
      <c r="BL115" s="213" t="s">
        <v>1347</v>
      </c>
      <c r="BM115" s="213" t="s">
        <v>679</v>
      </c>
    </row>
    <row r="116" spans="1:65" ht="15.75" customHeight="1">
      <c r="A116" s="213" t="s">
        <v>1437</v>
      </c>
      <c r="B116" s="58" t="s">
        <v>184</v>
      </c>
      <c r="C116" s="58" t="s">
        <v>752</v>
      </c>
      <c r="D116" s="214" t="s">
        <v>186</v>
      </c>
      <c r="E116" s="214" t="s">
        <v>186</v>
      </c>
      <c r="F116" s="215" t="s">
        <v>186</v>
      </c>
      <c r="G116" s="216">
        <v>2020</v>
      </c>
      <c r="H116" s="213" t="s">
        <v>799</v>
      </c>
      <c r="I116" s="213" t="s">
        <v>196</v>
      </c>
      <c r="J116" s="217" t="s">
        <v>890</v>
      </c>
      <c r="K116" s="213" t="s">
        <v>221</v>
      </c>
      <c r="L116" s="213" t="s">
        <v>192</v>
      </c>
      <c r="M116" s="219" t="s">
        <v>1392</v>
      </c>
      <c r="N116" s="265">
        <v>3.85</v>
      </c>
      <c r="O116" s="265">
        <v>3.85</v>
      </c>
      <c r="P116" s="265">
        <v>3.85</v>
      </c>
      <c r="Q116" s="265">
        <v>3.85</v>
      </c>
      <c r="R116" s="265">
        <v>3.85</v>
      </c>
      <c r="S116" s="265">
        <v>3.85</v>
      </c>
      <c r="T116" s="265">
        <v>3.85</v>
      </c>
      <c r="U116" s="265">
        <v>3.85</v>
      </c>
      <c r="V116" s="265">
        <v>3.85</v>
      </c>
      <c r="W116" s="265">
        <v>3.85</v>
      </c>
      <c r="X116" s="265">
        <v>3.85</v>
      </c>
      <c r="Y116" s="265">
        <v>3.85</v>
      </c>
      <c r="Z116" s="265">
        <v>0</v>
      </c>
      <c r="AA116" s="265">
        <v>0</v>
      </c>
      <c r="AB116" s="265">
        <v>0</v>
      </c>
      <c r="AC116" s="265">
        <v>0</v>
      </c>
      <c r="AD116" s="265">
        <v>0</v>
      </c>
      <c r="AE116" s="265">
        <v>0</v>
      </c>
      <c r="AF116" s="265">
        <v>0</v>
      </c>
      <c r="AG116" s="265">
        <v>0</v>
      </c>
      <c r="AH116" s="265">
        <v>0</v>
      </c>
      <c r="AI116" s="265">
        <v>0</v>
      </c>
      <c r="AJ116" s="265">
        <v>0</v>
      </c>
      <c r="AK116" s="265">
        <v>0</v>
      </c>
      <c r="AL116" s="266" t="s">
        <v>573</v>
      </c>
      <c r="AM116" s="265">
        <f t="shared" si="34"/>
        <v>0</v>
      </c>
      <c r="AN116" s="266" t="s">
        <v>573</v>
      </c>
      <c r="AO116" s="265">
        <f t="shared" si="23"/>
        <v>0</v>
      </c>
      <c r="AP116" s="266">
        <v>0</v>
      </c>
      <c r="AQ116" s="265">
        <f t="shared" si="35"/>
        <v>0</v>
      </c>
      <c r="AR116" s="266">
        <v>0</v>
      </c>
      <c r="AS116" s="262">
        <f t="shared" si="36"/>
        <v>0</v>
      </c>
      <c r="AT116" s="266">
        <v>0</v>
      </c>
      <c r="AU116" s="260">
        <f t="shared" si="37"/>
        <v>0</v>
      </c>
      <c r="AV116" s="259">
        <v>0</v>
      </c>
      <c r="AW116" s="260">
        <f t="shared" si="38"/>
        <v>0</v>
      </c>
      <c r="AX116" s="261" t="s">
        <v>573</v>
      </c>
      <c r="AY116" s="260">
        <f t="shared" si="39"/>
        <v>0</v>
      </c>
      <c r="AZ116" s="259" t="s">
        <v>573</v>
      </c>
      <c r="BA116" s="260">
        <f t="shared" si="40"/>
        <v>0</v>
      </c>
      <c r="BB116" s="259" t="s">
        <v>573</v>
      </c>
      <c r="BC116" s="260">
        <f t="shared" si="41"/>
        <v>0</v>
      </c>
      <c r="BD116" s="259" t="s">
        <v>573</v>
      </c>
      <c r="BE116" s="260">
        <f t="shared" si="42"/>
        <v>0</v>
      </c>
      <c r="BF116" s="259" t="s">
        <v>573</v>
      </c>
      <c r="BG116" s="260">
        <f t="shared" si="43"/>
        <v>0</v>
      </c>
      <c r="BH116" s="259" t="s">
        <v>573</v>
      </c>
      <c r="BI116" s="260">
        <f t="shared" si="33"/>
        <v>0</v>
      </c>
      <c r="BJ116" s="58"/>
      <c r="BK116" s="220"/>
      <c r="BL116" s="213" t="s">
        <v>1347</v>
      </c>
      <c r="BM116" s="213" t="s">
        <v>678</v>
      </c>
    </row>
    <row r="117" spans="1:65" ht="15.75" customHeight="1">
      <c r="A117" s="213" t="s">
        <v>1437</v>
      </c>
      <c r="B117" s="58" t="s">
        <v>184</v>
      </c>
      <c r="C117" s="58" t="s">
        <v>752</v>
      </c>
      <c r="D117" s="214" t="s">
        <v>186</v>
      </c>
      <c r="E117" s="214" t="s">
        <v>186</v>
      </c>
      <c r="F117" s="215" t="s">
        <v>186</v>
      </c>
      <c r="G117" s="216">
        <v>2020</v>
      </c>
      <c r="H117" s="213" t="s">
        <v>799</v>
      </c>
      <c r="I117" s="213" t="s">
        <v>196</v>
      </c>
      <c r="J117" s="217" t="s">
        <v>890</v>
      </c>
      <c r="K117" s="213" t="s">
        <v>221</v>
      </c>
      <c r="L117" s="213" t="s">
        <v>192</v>
      </c>
      <c r="M117" s="219" t="s">
        <v>1393</v>
      </c>
      <c r="N117" s="265">
        <v>3.85</v>
      </c>
      <c r="O117" s="265">
        <v>3.85</v>
      </c>
      <c r="P117" s="265">
        <v>3.85</v>
      </c>
      <c r="Q117" s="265">
        <v>3.85</v>
      </c>
      <c r="R117" s="265">
        <v>3.85</v>
      </c>
      <c r="S117" s="265">
        <v>3.85</v>
      </c>
      <c r="T117" s="265">
        <v>3.85</v>
      </c>
      <c r="U117" s="265">
        <v>3.85</v>
      </c>
      <c r="V117" s="265">
        <v>3.85</v>
      </c>
      <c r="W117" s="265">
        <v>3.85</v>
      </c>
      <c r="X117" s="265">
        <v>3.85</v>
      </c>
      <c r="Y117" s="265">
        <v>3.85</v>
      </c>
      <c r="Z117" s="265">
        <v>0</v>
      </c>
      <c r="AA117" s="265">
        <v>0</v>
      </c>
      <c r="AB117" s="265">
        <v>0</v>
      </c>
      <c r="AC117" s="265">
        <v>0</v>
      </c>
      <c r="AD117" s="265">
        <v>0</v>
      </c>
      <c r="AE117" s="265">
        <v>0</v>
      </c>
      <c r="AF117" s="265">
        <v>0</v>
      </c>
      <c r="AG117" s="265">
        <v>0</v>
      </c>
      <c r="AH117" s="265">
        <v>0</v>
      </c>
      <c r="AI117" s="265">
        <v>0</v>
      </c>
      <c r="AJ117" s="265">
        <v>0</v>
      </c>
      <c r="AK117" s="265">
        <v>0</v>
      </c>
      <c r="AL117" s="266" t="s">
        <v>573</v>
      </c>
      <c r="AM117" s="265">
        <f t="shared" si="34"/>
        <v>0</v>
      </c>
      <c r="AN117" s="266" t="s">
        <v>573</v>
      </c>
      <c r="AO117" s="265">
        <f t="shared" si="23"/>
        <v>0</v>
      </c>
      <c r="AP117" s="266">
        <v>0</v>
      </c>
      <c r="AQ117" s="265">
        <f t="shared" si="35"/>
        <v>0</v>
      </c>
      <c r="AR117" s="266">
        <v>0</v>
      </c>
      <c r="AS117" s="262">
        <f t="shared" si="36"/>
        <v>0</v>
      </c>
      <c r="AT117" s="266">
        <v>0</v>
      </c>
      <c r="AU117" s="260">
        <f t="shared" si="37"/>
        <v>0</v>
      </c>
      <c r="AV117" s="259">
        <v>0</v>
      </c>
      <c r="AW117" s="260">
        <f t="shared" si="38"/>
        <v>0</v>
      </c>
      <c r="AX117" s="261" t="s">
        <v>573</v>
      </c>
      <c r="AY117" s="260">
        <f t="shared" si="39"/>
        <v>0</v>
      </c>
      <c r="AZ117" s="259" t="s">
        <v>573</v>
      </c>
      <c r="BA117" s="260">
        <f t="shared" si="40"/>
        <v>0</v>
      </c>
      <c r="BB117" s="259" t="s">
        <v>573</v>
      </c>
      <c r="BC117" s="260">
        <f t="shared" si="41"/>
        <v>0</v>
      </c>
      <c r="BD117" s="259" t="s">
        <v>573</v>
      </c>
      <c r="BE117" s="260">
        <f t="shared" si="42"/>
        <v>0</v>
      </c>
      <c r="BF117" s="259" t="s">
        <v>573</v>
      </c>
      <c r="BG117" s="260">
        <f t="shared" si="43"/>
        <v>0</v>
      </c>
      <c r="BH117" s="259" t="s">
        <v>573</v>
      </c>
      <c r="BI117" s="260">
        <f t="shared" si="33"/>
        <v>0</v>
      </c>
      <c r="BJ117" s="58"/>
      <c r="BK117" s="220"/>
      <c r="BL117" s="213" t="s">
        <v>1347</v>
      </c>
      <c r="BM117" s="213" t="s">
        <v>677</v>
      </c>
    </row>
    <row r="118" spans="1:65" ht="15.75" customHeight="1">
      <c r="A118" s="213" t="s">
        <v>1437</v>
      </c>
      <c r="B118" s="58" t="s">
        <v>184</v>
      </c>
      <c r="C118" s="58" t="s">
        <v>752</v>
      </c>
      <c r="D118" s="214" t="s">
        <v>186</v>
      </c>
      <c r="E118" s="214" t="s">
        <v>186</v>
      </c>
      <c r="F118" s="215" t="s">
        <v>186</v>
      </c>
      <c r="G118" s="216">
        <v>2021</v>
      </c>
      <c r="H118" s="213" t="s">
        <v>801</v>
      </c>
      <c r="I118" s="213" t="s">
        <v>196</v>
      </c>
      <c r="J118" s="217" t="s">
        <v>890</v>
      </c>
      <c r="K118" s="213" t="s">
        <v>221</v>
      </c>
      <c r="L118" s="213" t="s">
        <v>192</v>
      </c>
      <c r="M118" s="219" t="s">
        <v>1389</v>
      </c>
      <c r="N118" s="265">
        <v>4.26</v>
      </c>
      <c r="O118" s="265">
        <v>4.26</v>
      </c>
      <c r="P118" s="265">
        <v>4.26</v>
      </c>
      <c r="Q118" s="265">
        <v>4.26</v>
      </c>
      <c r="R118" s="265">
        <v>4.26</v>
      </c>
      <c r="S118" s="265">
        <v>4.26</v>
      </c>
      <c r="T118" s="265">
        <v>4.26</v>
      </c>
      <c r="U118" s="265">
        <v>4.26</v>
      </c>
      <c r="V118" s="265">
        <v>4.26</v>
      </c>
      <c r="W118" s="265">
        <v>4.26</v>
      </c>
      <c r="X118" s="265">
        <v>4.26</v>
      </c>
      <c r="Y118" s="265">
        <v>4.26</v>
      </c>
      <c r="Z118" s="265">
        <v>7.0000000000000007E-2</v>
      </c>
      <c r="AA118" s="265">
        <v>7.0000000000000007E-2</v>
      </c>
      <c r="AB118" s="265">
        <v>7.0000000000000007E-2</v>
      </c>
      <c r="AC118" s="265">
        <v>7.0000000000000007E-2</v>
      </c>
      <c r="AD118" s="265">
        <v>7.0000000000000007E-2</v>
      </c>
      <c r="AE118" s="265">
        <v>7.0000000000000007E-2</v>
      </c>
      <c r="AF118" s="265">
        <v>7.0000000000000007E-2</v>
      </c>
      <c r="AG118" s="265">
        <v>7.0000000000000007E-2</v>
      </c>
      <c r="AH118" s="265">
        <v>7.0000000000000007E-2</v>
      </c>
      <c r="AI118" s="265">
        <v>7.0000000000000007E-2</v>
      </c>
      <c r="AJ118" s="265">
        <v>7.0000000000000007E-2</v>
      </c>
      <c r="AK118" s="265">
        <v>7.0000000000000007E-2</v>
      </c>
      <c r="AL118" s="266">
        <v>8640</v>
      </c>
      <c r="AM118" s="265">
        <f t="shared" si="34"/>
        <v>604.80000000000007</v>
      </c>
      <c r="AN118" s="266" t="s">
        <v>573</v>
      </c>
      <c r="AO118" s="265">
        <f t="shared" si="23"/>
        <v>0</v>
      </c>
      <c r="AP118" s="266">
        <v>0</v>
      </c>
      <c r="AQ118" s="265">
        <f t="shared" si="35"/>
        <v>0</v>
      </c>
      <c r="AR118" s="266">
        <v>0</v>
      </c>
      <c r="AS118" s="262">
        <f t="shared" si="36"/>
        <v>0</v>
      </c>
      <c r="AT118" s="266">
        <v>0</v>
      </c>
      <c r="AU118" s="260">
        <f t="shared" si="37"/>
        <v>0</v>
      </c>
      <c r="AV118" s="259">
        <v>0</v>
      </c>
      <c r="AW118" s="260">
        <f t="shared" si="38"/>
        <v>0</v>
      </c>
      <c r="AX118" s="261">
        <v>0</v>
      </c>
      <c r="AY118" s="260">
        <f t="shared" si="39"/>
        <v>0</v>
      </c>
      <c r="AZ118" s="259">
        <v>0</v>
      </c>
      <c r="BA118" s="260">
        <f t="shared" si="40"/>
        <v>0</v>
      </c>
      <c r="BB118" s="259" t="s">
        <v>573</v>
      </c>
      <c r="BC118" s="260">
        <f t="shared" si="41"/>
        <v>0</v>
      </c>
      <c r="BD118" s="259">
        <v>0</v>
      </c>
      <c r="BE118" s="260">
        <f t="shared" si="42"/>
        <v>0</v>
      </c>
      <c r="BF118" s="259">
        <v>0</v>
      </c>
      <c r="BG118" s="260">
        <f t="shared" si="43"/>
        <v>0</v>
      </c>
      <c r="BH118" s="259">
        <v>0</v>
      </c>
      <c r="BI118" s="260">
        <f t="shared" si="33"/>
        <v>0</v>
      </c>
      <c r="BJ118" s="58"/>
      <c r="BK118" s="220"/>
      <c r="BL118" s="213" t="s">
        <v>763</v>
      </c>
      <c r="BM118" s="213" t="s">
        <v>557</v>
      </c>
    </row>
    <row r="119" spans="1:65" ht="15.75" customHeight="1">
      <c r="A119" s="213" t="s">
        <v>1437</v>
      </c>
      <c r="B119" s="58" t="s">
        <v>184</v>
      </c>
      <c r="C119" s="58" t="s">
        <v>752</v>
      </c>
      <c r="D119" s="214" t="s">
        <v>186</v>
      </c>
      <c r="E119" s="214" t="s">
        <v>186</v>
      </c>
      <c r="F119" s="215" t="s">
        <v>186</v>
      </c>
      <c r="G119" s="216">
        <v>2021</v>
      </c>
      <c r="H119" s="213" t="s">
        <v>801</v>
      </c>
      <c r="I119" s="213" t="s">
        <v>196</v>
      </c>
      <c r="J119" s="217" t="s">
        <v>890</v>
      </c>
      <c r="K119" s="213" t="s">
        <v>221</v>
      </c>
      <c r="L119" s="213" t="s">
        <v>192</v>
      </c>
      <c r="M119" s="219" t="s">
        <v>1388</v>
      </c>
      <c r="N119" s="265">
        <v>4.3600000000000003</v>
      </c>
      <c r="O119" s="265">
        <v>4.3600000000000003</v>
      </c>
      <c r="P119" s="265">
        <v>4.3600000000000003</v>
      </c>
      <c r="Q119" s="265">
        <v>4.3600000000000003</v>
      </c>
      <c r="R119" s="265">
        <v>4.3600000000000003</v>
      </c>
      <c r="S119" s="265">
        <v>4.3600000000000003</v>
      </c>
      <c r="T119" s="265">
        <v>4.3600000000000003</v>
      </c>
      <c r="U119" s="265">
        <v>4.3600000000000003</v>
      </c>
      <c r="V119" s="265">
        <v>4.3600000000000003</v>
      </c>
      <c r="W119" s="265">
        <v>4.3600000000000003</v>
      </c>
      <c r="X119" s="265">
        <v>4.3600000000000003</v>
      </c>
      <c r="Y119" s="265">
        <v>4.3600000000000003</v>
      </c>
      <c r="Z119" s="265">
        <v>7.0000000000000007E-2</v>
      </c>
      <c r="AA119" s="265">
        <v>7.0000000000000007E-2</v>
      </c>
      <c r="AB119" s="265">
        <v>7.0000000000000007E-2</v>
      </c>
      <c r="AC119" s="265">
        <v>7.0000000000000007E-2</v>
      </c>
      <c r="AD119" s="265">
        <v>7.0000000000000007E-2</v>
      </c>
      <c r="AE119" s="265">
        <v>7.0000000000000007E-2</v>
      </c>
      <c r="AF119" s="265">
        <v>7.0000000000000007E-2</v>
      </c>
      <c r="AG119" s="265">
        <v>7.0000000000000007E-2</v>
      </c>
      <c r="AH119" s="265">
        <v>7.0000000000000007E-2</v>
      </c>
      <c r="AI119" s="265">
        <v>7.0000000000000007E-2</v>
      </c>
      <c r="AJ119" s="265">
        <v>7.0000000000000007E-2</v>
      </c>
      <c r="AK119" s="265">
        <v>7.0000000000000007E-2</v>
      </c>
      <c r="AL119" s="266">
        <v>5760</v>
      </c>
      <c r="AM119" s="265">
        <f t="shared" si="34"/>
        <v>403.20000000000005</v>
      </c>
      <c r="AN119" s="266" t="s">
        <v>573</v>
      </c>
      <c r="AO119" s="265">
        <f t="shared" si="23"/>
        <v>0</v>
      </c>
      <c r="AP119" s="266">
        <v>0</v>
      </c>
      <c r="AQ119" s="265">
        <f t="shared" si="35"/>
        <v>0</v>
      </c>
      <c r="AR119" s="266">
        <v>0</v>
      </c>
      <c r="AS119" s="262">
        <f t="shared" si="36"/>
        <v>0</v>
      </c>
      <c r="AT119" s="266">
        <v>0</v>
      </c>
      <c r="AU119" s="260">
        <f t="shared" si="37"/>
        <v>0</v>
      </c>
      <c r="AV119" s="259">
        <v>0</v>
      </c>
      <c r="AW119" s="260">
        <f t="shared" si="38"/>
        <v>0</v>
      </c>
      <c r="AX119" s="261">
        <v>2880</v>
      </c>
      <c r="AY119" s="260">
        <f t="shared" si="39"/>
        <v>201.60000000000002</v>
      </c>
      <c r="AZ119" s="259" t="s">
        <v>573</v>
      </c>
      <c r="BA119" s="260">
        <f t="shared" si="40"/>
        <v>0</v>
      </c>
      <c r="BB119" s="259">
        <v>2880</v>
      </c>
      <c r="BC119" s="260">
        <f t="shared" si="41"/>
        <v>201.60000000000002</v>
      </c>
      <c r="BD119" s="259" t="s">
        <v>573</v>
      </c>
      <c r="BE119" s="260">
        <f t="shared" si="42"/>
        <v>0</v>
      </c>
      <c r="BF119" s="259" t="s">
        <v>573</v>
      </c>
      <c r="BG119" s="260">
        <f t="shared" si="43"/>
        <v>0</v>
      </c>
      <c r="BH119" s="259" t="s">
        <v>573</v>
      </c>
      <c r="BI119" s="260">
        <f t="shared" si="33"/>
        <v>0</v>
      </c>
      <c r="BJ119" s="58"/>
      <c r="BK119" s="220"/>
      <c r="BL119" s="213" t="s">
        <v>1310</v>
      </c>
      <c r="BM119" s="213" t="s">
        <v>558</v>
      </c>
    </row>
    <row r="120" spans="1:65" ht="15.75" customHeight="1">
      <c r="A120" s="213" t="s">
        <v>1437</v>
      </c>
      <c r="B120" s="58" t="s">
        <v>184</v>
      </c>
      <c r="C120" s="58" t="s">
        <v>752</v>
      </c>
      <c r="D120" s="214" t="s">
        <v>186</v>
      </c>
      <c r="E120" s="214" t="s">
        <v>186</v>
      </c>
      <c r="F120" s="215" t="s">
        <v>186</v>
      </c>
      <c r="G120" s="216">
        <v>2021</v>
      </c>
      <c r="H120" s="213" t="s">
        <v>801</v>
      </c>
      <c r="I120" s="213" t="s">
        <v>196</v>
      </c>
      <c r="J120" s="217" t="s">
        <v>890</v>
      </c>
      <c r="K120" s="213" t="s">
        <v>221</v>
      </c>
      <c r="L120" s="213" t="s">
        <v>869</v>
      </c>
      <c r="M120" s="219" t="s">
        <v>1445</v>
      </c>
      <c r="N120" s="265">
        <v>4.3600000000000003</v>
      </c>
      <c r="O120" s="265">
        <v>4.3600000000000003</v>
      </c>
      <c r="P120" s="265">
        <v>4.3600000000000003</v>
      </c>
      <c r="Q120" s="265">
        <v>4.3600000000000003</v>
      </c>
      <c r="R120" s="265">
        <v>4.3600000000000003</v>
      </c>
      <c r="S120" s="265">
        <v>4.3600000000000003</v>
      </c>
      <c r="T120" s="265">
        <v>4.3600000000000003</v>
      </c>
      <c r="U120" s="265">
        <v>4.3600000000000003</v>
      </c>
      <c r="V120" s="265">
        <v>4.3600000000000003</v>
      </c>
      <c r="W120" s="265">
        <v>4.3600000000000003</v>
      </c>
      <c r="X120" s="265">
        <v>4.3600000000000003</v>
      </c>
      <c r="Y120" s="265">
        <v>4.3600000000000003</v>
      </c>
      <c r="Z120" s="265">
        <v>7.0000000000000007E-2</v>
      </c>
      <c r="AA120" s="265">
        <v>7.0000000000000007E-2</v>
      </c>
      <c r="AB120" s="265">
        <v>7.0000000000000007E-2</v>
      </c>
      <c r="AC120" s="265">
        <v>7.0000000000000007E-2</v>
      </c>
      <c r="AD120" s="265">
        <v>7.0000000000000007E-2</v>
      </c>
      <c r="AE120" s="265">
        <v>7.0000000000000007E-2</v>
      </c>
      <c r="AF120" s="265">
        <v>7.0000000000000007E-2</v>
      </c>
      <c r="AG120" s="265">
        <v>7.0000000000000007E-2</v>
      </c>
      <c r="AH120" s="265">
        <v>7.0000000000000007E-2</v>
      </c>
      <c r="AI120" s="265">
        <v>7.0000000000000007E-2</v>
      </c>
      <c r="AJ120" s="265">
        <v>7.0000000000000007E-2</v>
      </c>
      <c r="AK120" s="265">
        <v>7.0000000000000007E-2</v>
      </c>
      <c r="AL120" s="266">
        <v>5760</v>
      </c>
      <c r="AM120" s="265">
        <f t="shared" si="34"/>
        <v>403.20000000000005</v>
      </c>
      <c r="AN120" s="266">
        <v>2880</v>
      </c>
      <c r="AO120" s="265">
        <f t="shared" si="23"/>
        <v>201.60000000000002</v>
      </c>
      <c r="AP120" s="266">
        <v>0</v>
      </c>
      <c r="AQ120" s="265">
        <f t="shared" si="35"/>
        <v>0</v>
      </c>
      <c r="AR120" s="266">
        <v>0</v>
      </c>
      <c r="AS120" s="262">
        <f t="shared" si="36"/>
        <v>0</v>
      </c>
      <c r="AT120" s="266">
        <v>5760</v>
      </c>
      <c r="AU120" s="260">
        <f>AT120*AD120</f>
        <v>403.20000000000005</v>
      </c>
      <c r="AV120" s="259">
        <v>11560</v>
      </c>
      <c r="AW120" s="260">
        <f t="shared" si="38"/>
        <v>809.2</v>
      </c>
      <c r="AX120" s="261">
        <v>0</v>
      </c>
      <c r="AY120" s="260">
        <f t="shared" si="39"/>
        <v>0</v>
      </c>
      <c r="AZ120" s="259" t="s">
        <v>573</v>
      </c>
      <c r="BA120" s="260">
        <f t="shared" si="40"/>
        <v>0</v>
      </c>
      <c r="BB120" s="259">
        <v>0</v>
      </c>
      <c r="BC120" s="260">
        <f t="shared" si="41"/>
        <v>0</v>
      </c>
      <c r="BD120" s="259" t="s">
        <v>573</v>
      </c>
      <c r="BE120" s="260">
        <f t="shared" si="42"/>
        <v>0</v>
      </c>
      <c r="BF120" s="259" t="s">
        <v>573</v>
      </c>
      <c r="BG120" s="260">
        <f t="shared" si="43"/>
        <v>0</v>
      </c>
      <c r="BH120" s="259" t="s">
        <v>573</v>
      </c>
      <c r="BI120" s="260">
        <f t="shared" si="33"/>
        <v>0</v>
      </c>
      <c r="BJ120" s="58"/>
      <c r="BK120" s="220"/>
      <c r="BL120" s="213" t="s">
        <v>1310</v>
      </c>
      <c r="BM120" s="213" t="s">
        <v>1520</v>
      </c>
    </row>
    <row r="121" spans="1:65" ht="15.75" customHeight="1">
      <c r="A121" s="213" t="s">
        <v>1437</v>
      </c>
      <c r="B121" s="58" t="s">
        <v>184</v>
      </c>
      <c r="C121" s="58" t="s">
        <v>752</v>
      </c>
      <c r="D121" s="214" t="s">
        <v>186</v>
      </c>
      <c r="E121" s="214" t="s">
        <v>186</v>
      </c>
      <c r="F121" s="215" t="s">
        <v>186</v>
      </c>
      <c r="G121" s="216">
        <v>2021</v>
      </c>
      <c r="H121" s="213" t="s">
        <v>801</v>
      </c>
      <c r="I121" s="213" t="s">
        <v>196</v>
      </c>
      <c r="J121" s="217" t="s">
        <v>890</v>
      </c>
      <c r="K121" s="213" t="s">
        <v>221</v>
      </c>
      <c r="L121" s="213" t="s">
        <v>192</v>
      </c>
      <c r="M121" s="219" t="s">
        <v>1388</v>
      </c>
      <c r="N121" s="265">
        <v>4.32</v>
      </c>
      <c r="O121" s="265">
        <v>4.32</v>
      </c>
      <c r="P121" s="265">
        <v>4.32</v>
      </c>
      <c r="Q121" s="265">
        <v>4.32</v>
      </c>
      <c r="R121" s="265">
        <v>4.32</v>
      </c>
      <c r="S121" s="265">
        <v>4.32</v>
      </c>
      <c r="T121" s="265">
        <v>4.32</v>
      </c>
      <c r="U121" s="265">
        <v>4.32</v>
      </c>
      <c r="V121" s="265">
        <v>4.32</v>
      </c>
      <c r="W121" s="265">
        <v>4.32</v>
      </c>
      <c r="X121" s="265">
        <v>4.32</v>
      </c>
      <c r="Y121" s="265">
        <v>4.32</v>
      </c>
      <c r="Z121" s="265">
        <v>7.0000000000000007E-2</v>
      </c>
      <c r="AA121" s="265">
        <v>7.0000000000000007E-2</v>
      </c>
      <c r="AB121" s="265">
        <v>7.0000000000000007E-2</v>
      </c>
      <c r="AC121" s="265">
        <v>7.0000000000000007E-2</v>
      </c>
      <c r="AD121" s="265">
        <v>7.0000000000000007E-2</v>
      </c>
      <c r="AE121" s="265">
        <v>7.0000000000000007E-2</v>
      </c>
      <c r="AF121" s="265">
        <v>7.0000000000000007E-2</v>
      </c>
      <c r="AG121" s="265">
        <v>7.0000000000000007E-2</v>
      </c>
      <c r="AH121" s="265">
        <v>7.0000000000000007E-2</v>
      </c>
      <c r="AI121" s="265">
        <v>7.0000000000000007E-2</v>
      </c>
      <c r="AJ121" s="265">
        <v>7.0000000000000007E-2</v>
      </c>
      <c r="AK121" s="265">
        <v>7.0000000000000007E-2</v>
      </c>
      <c r="AL121" s="266" t="s">
        <v>573</v>
      </c>
      <c r="AM121" s="265">
        <f t="shared" si="34"/>
        <v>0</v>
      </c>
      <c r="AN121" s="266" t="s">
        <v>573</v>
      </c>
      <c r="AO121" s="265">
        <f t="shared" si="23"/>
        <v>0</v>
      </c>
      <c r="AP121" s="266">
        <v>0</v>
      </c>
      <c r="AQ121" s="265">
        <f t="shared" si="35"/>
        <v>0</v>
      </c>
      <c r="AR121" s="266">
        <v>0</v>
      </c>
      <c r="AS121" s="262">
        <f t="shared" si="36"/>
        <v>0</v>
      </c>
      <c r="AT121" s="266">
        <v>0</v>
      </c>
      <c r="AU121" s="260">
        <f t="shared" si="37"/>
        <v>0</v>
      </c>
      <c r="AV121" s="259">
        <v>2880</v>
      </c>
      <c r="AW121" s="260">
        <f t="shared" si="38"/>
        <v>201.60000000000002</v>
      </c>
      <c r="AX121" s="261">
        <v>0</v>
      </c>
      <c r="AY121" s="260">
        <f t="shared" si="39"/>
        <v>0</v>
      </c>
      <c r="AZ121" s="259">
        <v>0</v>
      </c>
      <c r="BA121" s="260">
        <f t="shared" si="40"/>
        <v>0</v>
      </c>
      <c r="BB121" s="259">
        <v>0</v>
      </c>
      <c r="BC121" s="260">
        <f t="shared" si="41"/>
        <v>0</v>
      </c>
      <c r="BD121" s="259">
        <v>0</v>
      </c>
      <c r="BE121" s="260">
        <f t="shared" si="42"/>
        <v>0</v>
      </c>
      <c r="BF121" s="259">
        <v>0</v>
      </c>
      <c r="BG121" s="260">
        <f t="shared" si="43"/>
        <v>0</v>
      </c>
      <c r="BH121" s="259">
        <v>0</v>
      </c>
      <c r="BI121" s="260">
        <f t="shared" si="33"/>
        <v>0</v>
      </c>
      <c r="BJ121" s="58"/>
      <c r="BK121" s="220"/>
      <c r="BL121" s="213" t="s">
        <v>754</v>
      </c>
      <c r="BM121" s="58" t="s">
        <v>559</v>
      </c>
    </row>
    <row r="122" spans="1:65" ht="15.75" customHeight="1">
      <c r="A122" s="213" t="s">
        <v>1437</v>
      </c>
      <c r="B122" s="58" t="s">
        <v>184</v>
      </c>
      <c r="C122" s="58" t="s">
        <v>752</v>
      </c>
      <c r="D122" s="214" t="s">
        <v>186</v>
      </c>
      <c r="E122" s="214" t="s">
        <v>186</v>
      </c>
      <c r="F122" s="215" t="s">
        <v>186</v>
      </c>
      <c r="G122" s="216">
        <v>2021</v>
      </c>
      <c r="H122" s="213" t="s">
        <v>801</v>
      </c>
      <c r="I122" s="213" t="s">
        <v>196</v>
      </c>
      <c r="J122" s="217" t="s">
        <v>890</v>
      </c>
      <c r="K122" s="213" t="s">
        <v>281</v>
      </c>
      <c r="L122" s="213" t="s">
        <v>192</v>
      </c>
      <c r="M122" s="219" t="s">
        <v>1388</v>
      </c>
      <c r="N122" s="265">
        <v>4.67</v>
      </c>
      <c r="O122" s="265">
        <v>4.67</v>
      </c>
      <c r="P122" s="265">
        <v>4.67</v>
      </c>
      <c r="Q122" s="265">
        <v>4.67</v>
      </c>
      <c r="R122" s="265">
        <v>4.67</v>
      </c>
      <c r="S122" s="265">
        <v>4.67</v>
      </c>
      <c r="T122" s="265">
        <v>4.67</v>
      </c>
      <c r="U122" s="265">
        <v>4.67</v>
      </c>
      <c r="V122" s="265">
        <v>4.67</v>
      </c>
      <c r="W122" s="265">
        <v>4.67</v>
      </c>
      <c r="X122" s="265">
        <v>4.67</v>
      </c>
      <c r="Y122" s="265">
        <v>4.67</v>
      </c>
      <c r="Z122" s="265">
        <v>7.0000000000000007E-2</v>
      </c>
      <c r="AA122" s="265">
        <v>7.0000000000000007E-2</v>
      </c>
      <c r="AB122" s="265">
        <v>7.0000000000000007E-2</v>
      </c>
      <c r="AC122" s="265">
        <v>7.0000000000000007E-2</v>
      </c>
      <c r="AD122" s="265">
        <v>7.0000000000000007E-2</v>
      </c>
      <c r="AE122" s="265">
        <v>7.0000000000000007E-2</v>
      </c>
      <c r="AF122" s="265">
        <v>7.0000000000000007E-2</v>
      </c>
      <c r="AG122" s="265">
        <v>7.0000000000000007E-2</v>
      </c>
      <c r="AH122" s="265">
        <v>7.0000000000000007E-2</v>
      </c>
      <c r="AI122" s="265">
        <v>7.0000000000000007E-2</v>
      </c>
      <c r="AJ122" s="265">
        <v>7.0000000000000007E-2</v>
      </c>
      <c r="AK122" s="265">
        <v>7.0000000000000007E-2</v>
      </c>
      <c r="AL122" s="266" t="s">
        <v>573</v>
      </c>
      <c r="AM122" s="265">
        <f t="shared" si="34"/>
        <v>0</v>
      </c>
      <c r="AN122" s="266" t="s">
        <v>573</v>
      </c>
      <c r="AO122" s="265">
        <f t="shared" si="23"/>
        <v>0</v>
      </c>
      <c r="AP122" s="266">
        <v>0</v>
      </c>
      <c r="AQ122" s="265">
        <f t="shared" si="35"/>
        <v>0</v>
      </c>
      <c r="AR122" s="266">
        <v>0</v>
      </c>
      <c r="AS122" s="262">
        <f t="shared" si="36"/>
        <v>0</v>
      </c>
      <c r="AT122" s="266">
        <v>0</v>
      </c>
      <c r="AU122" s="260">
        <f t="shared" si="37"/>
        <v>0</v>
      </c>
      <c r="AV122" s="259">
        <v>0</v>
      </c>
      <c r="AW122" s="260">
        <f t="shared" si="38"/>
        <v>0</v>
      </c>
      <c r="AX122" s="261" t="s">
        <v>573</v>
      </c>
      <c r="AY122" s="260">
        <f t="shared" si="39"/>
        <v>0</v>
      </c>
      <c r="AZ122" s="259" t="s">
        <v>573</v>
      </c>
      <c r="BA122" s="260">
        <f t="shared" si="40"/>
        <v>0</v>
      </c>
      <c r="BB122" s="259" t="s">
        <v>573</v>
      </c>
      <c r="BC122" s="260">
        <f t="shared" si="41"/>
        <v>0</v>
      </c>
      <c r="BD122" s="259">
        <v>2880</v>
      </c>
      <c r="BE122" s="260">
        <f t="shared" si="42"/>
        <v>201.60000000000002</v>
      </c>
      <c r="BF122" s="259" t="s">
        <v>573</v>
      </c>
      <c r="BG122" s="260">
        <f t="shared" si="43"/>
        <v>0</v>
      </c>
      <c r="BH122" s="259" t="s">
        <v>573</v>
      </c>
      <c r="BI122" s="260">
        <f t="shared" si="33"/>
        <v>0</v>
      </c>
      <c r="BJ122" s="58"/>
      <c r="BK122" s="220"/>
      <c r="BL122" s="213" t="s">
        <v>197</v>
      </c>
      <c r="BM122" s="58" t="s">
        <v>560</v>
      </c>
    </row>
    <row r="123" spans="1:65" ht="15.75" customHeight="1">
      <c r="A123" s="213" t="s">
        <v>1437</v>
      </c>
      <c r="B123" s="58" t="s">
        <v>184</v>
      </c>
      <c r="C123" s="58" t="s">
        <v>752</v>
      </c>
      <c r="D123" s="214" t="s">
        <v>186</v>
      </c>
      <c r="E123" s="214" t="s">
        <v>186</v>
      </c>
      <c r="F123" s="215" t="s">
        <v>186</v>
      </c>
      <c r="G123" s="216">
        <v>2021</v>
      </c>
      <c r="H123" s="213" t="s">
        <v>801</v>
      </c>
      <c r="I123" s="213" t="s">
        <v>196</v>
      </c>
      <c r="J123" s="217" t="s">
        <v>890</v>
      </c>
      <c r="K123" s="213" t="s">
        <v>281</v>
      </c>
      <c r="L123" s="213" t="s">
        <v>192</v>
      </c>
      <c r="M123" s="219" t="s">
        <v>1388</v>
      </c>
      <c r="N123" s="265">
        <v>4.71</v>
      </c>
      <c r="O123" s="265">
        <v>4.71</v>
      </c>
      <c r="P123" s="265">
        <v>4.71</v>
      </c>
      <c r="Q123" s="265">
        <v>4.71</v>
      </c>
      <c r="R123" s="265">
        <v>4.71</v>
      </c>
      <c r="S123" s="265">
        <v>4.71</v>
      </c>
      <c r="T123" s="265">
        <v>4.71</v>
      </c>
      <c r="U123" s="265">
        <v>4.71</v>
      </c>
      <c r="V123" s="265">
        <v>4.71</v>
      </c>
      <c r="W123" s="265">
        <v>4.71</v>
      </c>
      <c r="X123" s="265">
        <v>4.71</v>
      </c>
      <c r="Y123" s="265">
        <v>4.71</v>
      </c>
      <c r="Z123" s="265">
        <v>7.0000000000000007E-2</v>
      </c>
      <c r="AA123" s="265">
        <v>7.0000000000000007E-2</v>
      </c>
      <c r="AB123" s="265">
        <v>7.0000000000000007E-2</v>
      </c>
      <c r="AC123" s="265">
        <v>7.0000000000000007E-2</v>
      </c>
      <c r="AD123" s="265">
        <v>7.0000000000000007E-2</v>
      </c>
      <c r="AE123" s="265">
        <v>7.0000000000000007E-2</v>
      </c>
      <c r="AF123" s="265">
        <v>7.0000000000000007E-2</v>
      </c>
      <c r="AG123" s="265">
        <v>7.0000000000000007E-2</v>
      </c>
      <c r="AH123" s="265">
        <v>7.0000000000000007E-2</v>
      </c>
      <c r="AI123" s="265">
        <v>7.0000000000000007E-2</v>
      </c>
      <c r="AJ123" s="265">
        <v>7.0000000000000007E-2</v>
      </c>
      <c r="AK123" s="265">
        <v>7.0000000000000007E-2</v>
      </c>
      <c r="AL123" s="266" t="s">
        <v>573</v>
      </c>
      <c r="AM123" s="265">
        <f t="shared" si="34"/>
        <v>0</v>
      </c>
      <c r="AN123" s="266" t="s">
        <v>573</v>
      </c>
      <c r="AO123" s="265">
        <f t="shared" si="23"/>
        <v>0</v>
      </c>
      <c r="AP123" s="266">
        <v>0</v>
      </c>
      <c r="AQ123" s="265">
        <f t="shared" si="35"/>
        <v>0</v>
      </c>
      <c r="AR123" s="266">
        <v>0</v>
      </c>
      <c r="AS123" s="262">
        <f t="shared" si="36"/>
        <v>0</v>
      </c>
      <c r="AT123" s="266">
        <v>0</v>
      </c>
      <c r="AU123" s="260">
        <f t="shared" si="37"/>
        <v>0</v>
      </c>
      <c r="AV123" s="259">
        <v>0</v>
      </c>
      <c r="AW123" s="260">
        <f t="shared" si="38"/>
        <v>0</v>
      </c>
      <c r="AX123" s="261">
        <v>2880</v>
      </c>
      <c r="AY123" s="260">
        <f t="shared" si="39"/>
        <v>201.60000000000002</v>
      </c>
      <c r="AZ123" s="259">
        <v>2880</v>
      </c>
      <c r="BA123" s="260">
        <f t="shared" si="40"/>
        <v>201.60000000000002</v>
      </c>
      <c r="BB123" s="259">
        <v>2880</v>
      </c>
      <c r="BC123" s="260">
        <f t="shared" si="41"/>
        <v>201.60000000000002</v>
      </c>
      <c r="BD123" s="259">
        <v>2880</v>
      </c>
      <c r="BE123" s="260">
        <f t="shared" si="42"/>
        <v>201.60000000000002</v>
      </c>
      <c r="BF123" s="259">
        <v>2880</v>
      </c>
      <c r="BG123" s="260">
        <f t="shared" si="43"/>
        <v>201.60000000000002</v>
      </c>
      <c r="BH123" s="259">
        <v>2880</v>
      </c>
      <c r="BI123" s="260">
        <f t="shared" si="33"/>
        <v>201.60000000000002</v>
      </c>
      <c r="BJ123" s="58"/>
      <c r="BK123" s="220"/>
      <c r="BL123" s="213" t="s">
        <v>1310</v>
      </c>
      <c r="BM123" s="58" t="s">
        <v>562</v>
      </c>
    </row>
    <row r="124" spans="1:65" ht="15.75" customHeight="1">
      <c r="A124" s="213" t="s">
        <v>1437</v>
      </c>
      <c r="B124" s="58" t="s">
        <v>184</v>
      </c>
      <c r="C124" s="58" t="s">
        <v>752</v>
      </c>
      <c r="D124" s="214" t="s">
        <v>186</v>
      </c>
      <c r="E124" s="214" t="s">
        <v>186</v>
      </c>
      <c r="F124" s="215" t="s">
        <v>186</v>
      </c>
      <c r="G124" s="216">
        <v>2021</v>
      </c>
      <c r="H124" s="213" t="s">
        <v>801</v>
      </c>
      <c r="I124" s="213" t="s">
        <v>196</v>
      </c>
      <c r="J124" s="217" t="s">
        <v>890</v>
      </c>
      <c r="K124" s="213" t="s">
        <v>281</v>
      </c>
      <c r="L124" s="213" t="s">
        <v>869</v>
      </c>
      <c r="M124" s="219" t="s">
        <v>1445</v>
      </c>
      <c r="N124" s="265">
        <v>4.71</v>
      </c>
      <c r="O124" s="265">
        <v>4.71</v>
      </c>
      <c r="P124" s="265">
        <v>4.71</v>
      </c>
      <c r="Q124" s="265">
        <v>4.71</v>
      </c>
      <c r="R124" s="265">
        <v>4.71</v>
      </c>
      <c r="S124" s="265">
        <v>4.71</v>
      </c>
      <c r="T124" s="265">
        <v>4.71</v>
      </c>
      <c r="U124" s="265">
        <v>4.71</v>
      </c>
      <c r="V124" s="265">
        <v>4.71</v>
      </c>
      <c r="W124" s="265">
        <v>4.71</v>
      </c>
      <c r="X124" s="265">
        <v>4.71</v>
      </c>
      <c r="Y124" s="265">
        <v>4.71</v>
      </c>
      <c r="Z124" s="265">
        <v>7.0000000000000007E-2</v>
      </c>
      <c r="AA124" s="265">
        <v>7.0000000000000007E-2</v>
      </c>
      <c r="AB124" s="265">
        <v>7.0000000000000007E-2</v>
      </c>
      <c r="AC124" s="265">
        <v>7.0000000000000007E-2</v>
      </c>
      <c r="AD124" s="265">
        <v>7.0000000000000007E-2</v>
      </c>
      <c r="AE124" s="265">
        <v>7.0000000000000007E-2</v>
      </c>
      <c r="AF124" s="265">
        <v>7.0000000000000007E-2</v>
      </c>
      <c r="AG124" s="265">
        <v>7.0000000000000007E-2</v>
      </c>
      <c r="AH124" s="265">
        <v>7.0000000000000007E-2</v>
      </c>
      <c r="AI124" s="265">
        <v>7.0000000000000007E-2</v>
      </c>
      <c r="AJ124" s="265">
        <v>7.0000000000000007E-2</v>
      </c>
      <c r="AK124" s="265">
        <v>7.0000000000000007E-2</v>
      </c>
      <c r="AL124" s="266">
        <v>2880</v>
      </c>
      <c r="AM124" s="265">
        <f t="shared" si="34"/>
        <v>201.60000000000002</v>
      </c>
      <c r="AN124" s="266" t="s">
        <v>573</v>
      </c>
      <c r="AO124" s="265">
        <f t="shared" si="23"/>
        <v>0</v>
      </c>
      <c r="AP124" s="266">
        <v>2880</v>
      </c>
      <c r="AQ124" s="265">
        <f t="shared" si="35"/>
        <v>201.60000000000002</v>
      </c>
      <c r="AR124" s="266">
        <v>0</v>
      </c>
      <c r="AS124" s="262">
        <f t="shared" si="36"/>
        <v>0</v>
      </c>
      <c r="AT124" s="266">
        <v>2880</v>
      </c>
      <c r="AU124" s="260">
        <f t="shared" si="37"/>
        <v>201.60000000000002</v>
      </c>
      <c r="AV124" s="259">
        <v>5760</v>
      </c>
      <c r="AW124" s="260">
        <f t="shared" si="38"/>
        <v>403.20000000000005</v>
      </c>
      <c r="AX124" s="261">
        <v>0</v>
      </c>
      <c r="AY124" s="260">
        <f t="shared" si="39"/>
        <v>0</v>
      </c>
      <c r="AZ124" s="259">
        <v>0</v>
      </c>
      <c r="BA124" s="260">
        <f t="shared" si="40"/>
        <v>0</v>
      </c>
      <c r="BB124" s="259">
        <v>0</v>
      </c>
      <c r="BC124" s="260">
        <f t="shared" si="41"/>
        <v>0</v>
      </c>
      <c r="BD124" s="259">
        <v>0</v>
      </c>
      <c r="BE124" s="260">
        <f t="shared" si="42"/>
        <v>0</v>
      </c>
      <c r="BF124" s="259">
        <v>0</v>
      </c>
      <c r="BG124" s="260">
        <f t="shared" si="43"/>
        <v>0</v>
      </c>
      <c r="BH124" s="259">
        <v>0</v>
      </c>
      <c r="BI124" s="260">
        <f t="shared" si="33"/>
        <v>0</v>
      </c>
      <c r="BJ124" s="58"/>
      <c r="BK124" s="220"/>
      <c r="BL124" s="213" t="s">
        <v>1310</v>
      </c>
      <c r="BM124" s="58" t="s">
        <v>562</v>
      </c>
    </row>
    <row r="125" spans="1:65" ht="15.75" customHeight="1">
      <c r="A125" s="213" t="s">
        <v>1437</v>
      </c>
      <c r="B125" s="58" t="s">
        <v>184</v>
      </c>
      <c r="C125" s="58" t="s">
        <v>752</v>
      </c>
      <c r="D125" s="214" t="s">
        <v>186</v>
      </c>
      <c r="E125" s="214" t="s">
        <v>186</v>
      </c>
      <c r="F125" s="215" t="s">
        <v>186</v>
      </c>
      <c r="G125" s="216">
        <v>2021</v>
      </c>
      <c r="H125" s="213" t="s">
        <v>801</v>
      </c>
      <c r="I125" s="213" t="s">
        <v>196</v>
      </c>
      <c r="J125" s="217" t="s">
        <v>890</v>
      </c>
      <c r="K125" s="213" t="s">
        <v>281</v>
      </c>
      <c r="L125" s="213" t="s">
        <v>192</v>
      </c>
      <c r="M125" s="219" t="s">
        <v>1388</v>
      </c>
      <c r="N125" s="265">
        <v>4.67</v>
      </c>
      <c r="O125" s="265">
        <v>4.67</v>
      </c>
      <c r="P125" s="265">
        <v>4.67</v>
      </c>
      <c r="Q125" s="265">
        <v>4.67</v>
      </c>
      <c r="R125" s="265">
        <v>4.67</v>
      </c>
      <c r="S125" s="265">
        <v>4.67</v>
      </c>
      <c r="T125" s="265">
        <v>4.67</v>
      </c>
      <c r="U125" s="265">
        <v>4.67</v>
      </c>
      <c r="V125" s="265">
        <v>4.67</v>
      </c>
      <c r="W125" s="265">
        <v>4.67</v>
      </c>
      <c r="X125" s="265">
        <v>4.67</v>
      </c>
      <c r="Y125" s="265">
        <v>4.67</v>
      </c>
      <c r="Z125" s="265">
        <v>7.0000000000000007E-2</v>
      </c>
      <c r="AA125" s="265">
        <v>7.0000000000000007E-2</v>
      </c>
      <c r="AB125" s="265">
        <v>7.0000000000000007E-2</v>
      </c>
      <c r="AC125" s="265">
        <v>7.0000000000000007E-2</v>
      </c>
      <c r="AD125" s="265">
        <v>7.0000000000000007E-2</v>
      </c>
      <c r="AE125" s="265">
        <v>7.0000000000000007E-2</v>
      </c>
      <c r="AF125" s="265">
        <v>7.0000000000000007E-2</v>
      </c>
      <c r="AG125" s="265">
        <v>7.0000000000000007E-2</v>
      </c>
      <c r="AH125" s="265">
        <v>7.0000000000000007E-2</v>
      </c>
      <c r="AI125" s="265">
        <v>7.0000000000000007E-2</v>
      </c>
      <c r="AJ125" s="265">
        <v>7.0000000000000007E-2</v>
      </c>
      <c r="AK125" s="265">
        <v>7.0000000000000007E-2</v>
      </c>
      <c r="AL125" s="266" t="s">
        <v>573</v>
      </c>
      <c r="AM125" s="265">
        <f t="shared" si="34"/>
        <v>0</v>
      </c>
      <c r="AN125" s="266" t="s">
        <v>573</v>
      </c>
      <c r="AO125" s="265">
        <f t="shared" si="23"/>
        <v>0</v>
      </c>
      <c r="AP125" s="266">
        <v>0</v>
      </c>
      <c r="AQ125" s="265">
        <f t="shared" si="35"/>
        <v>0</v>
      </c>
      <c r="AR125" s="266">
        <v>0</v>
      </c>
      <c r="AS125" s="262">
        <f t="shared" si="36"/>
        <v>0</v>
      </c>
      <c r="AT125" s="266">
        <v>0</v>
      </c>
      <c r="AU125" s="260">
        <f t="shared" si="37"/>
        <v>0</v>
      </c>
      <c r="AV125" s="259">
        <v>2880</v>
      </c>
      <c r="AW125" s="260">
        <f t="shared" si="38"/>
        <v>201.60000000000002</v>
      </c>
      <c r="AX125" s="261">
        <v>2880</v>
      </c>
      <c r="AY125" s="260">
        <f t="shared" si="39"/>
        <v>201.60000000000002</v>
      </c>
      <c r="AZ125" s="259" t="s">
        <v>573</v>
      </c>
      <c r="BA125" s="260">
        <f t="shared" si="40"/>
        <v>0</v>
      </c>
      <c r="BB125" s="259">
        <v>2880</v>
      </c>
      <c r="BC125" s="260">
        <f t="shared" si="41"/>
        <v>201.60000000000002</v>
      </c>
      <c r="BD125" s="259">
        <v>2880</v>
      </c>
      <c r="BE125" s="260">
        <f t="shared" si="42"/>
        <v>201.60000000000002</v>
      </c>
      <c r="BF125" s="259" t="s">
        <v>573</v>
      </c>
      <c r="BG125" s="260">
        <f t="shared" si="43"/>
        <v>0</v>
      </c>
      <c r="BH125" s="259">
        <v>2880</v>
      </c>
      <c r="BI125" s="260">
        <f t="shared" si="33"/>
        <v>201.60000000000002</v>
      </c>
      <c r="BJ125" s="58"/>
      <c r="BK125" s="220"/>
      <c r="BL125" s="213" t="s">
        <v>754</v>
      </c>
      <c r="BM125" s="58" t="s">
        <v>563</v>
      </c>
    </row>
    <row r="126" spans="1:65" ht="15.75" customHeight="1">
      <c r="A126" s="213" t="s">
        <v>1437</v>
      </c>
      <c r="B126" s="58" t="s">
        <v>184</v>
      </c>
      <c r="C126" s="58" t="s">
        <v>752</v>
      </c>
      <c r="D126" s="214" t="s">
        <v>186</v>
      </c>
      <c r="E126" s="214" t="s">
        <v>186</v>
      </c>
      <c r="F126" s="215" t="s">
        <v>186</v>
      </c>
      <c r="G126" s="216">
        <v>2021</v>
      </c>
      <c r="H126" s="213" t="s">
        <v>801</v>
      </c>
      <c r="I126" s="213" t="s">
        <v>196</v>
      </c>
      <c r="J126" s="217" t="s">
        <v>890</v>
      </c>
      <c r="K126" s="213" t="s">
        <v>281</v>
      </c>
      <c r="L126" s="213" t="s">
        <v>869</v>
      </c>
      <c r="M126" s="219" t="s">
        <v>1445</v>
      </c>
      <c r="N126" s="265">
        <v>4.67</v>
      </c>
      <c r="O126" s="265">
        <v>4.67</v>
      </c>
      <c r="P126" s="265">
        <v>4.67</v>
      </c>
      <c r="Q126" s="265">
        <v>4.67</v>
      </c>
      <c r="R126" s="265">
        <v>4.67</v>
      </c>
      <c r="S126" s="265">
        <v>4.67</v>
      </c>
      <c r="T126" s="265">
        <v>4.67</v>
      </c>
      <c r="U126" s="265">
        <v>4.67</v>
      </c>
      <c r="V126" s="265">
        <v>4.67</v>
      </c>
      <c r="W126" s="265">
        <v>4.67</v>
      </c>
      <c r="X126" s="265">
        <v>4.67</v>
      </c>
      <c r="Y126" s="265">
        <v>4.67</v>
      </c>
      <c r="Z126" s="265">
        <v>7.0000000000000007E-2</v>
      </c>
      <c r="AA126" s="265">
        <v>7.0000000000000007E-2</v>
      </c>
      <c r="AB126" s="265">
        <v>7.0000000000000007E-2</v>
      </c>
      <c r="AC126" s="265">
        <v>7.0000000000000007E-2</v>
      </c>
      <c r="AD126" s="265">
        <v>7.0000000000000007E-2</v>
      </c>
      <c r="AE126" s="265">
        <v>7.0000000000000007E-2</v>
      </c>
      <c r="AF126" s="265">
        <v>7.0000000000000007E-2</v>
      </c>
      <c r="AG126" s="265">
        <v>7.0000000000000007E-2</v>
      </c>
      <c r="AH126" s="265">
        <v>7.0000000000000007E-2</v>
      </c>
      <c r="AI126" s="265">
        <v>7.0000000000000007E-2</v>
      </c>
      <c r="AJ126" s="265">
        <v>7.0000000000000007E-2</v>
      </c>
      <c r="AK126" s="265">
        <v>7.0000000000000007E-2</v>
      </c>
      <c r="AL126" s="266">
        <v>2880</v>
      </c>
      <c r="AM126" s="265">
        <f t="shared" si="34"/>
        <v>201.60000000000002</v>
      </c>
      <c r="AN126" s="266" t="s">
        <v>573</v>
      </c>
      <c r="AO126" s="265">
        <f t="shared" si="23"/>
        <v>0</v>
      </c>
      <c r="AP126" s="266">
        <v>0</v>
      </c>
      <c r="AQ126" s="265">
        <f t="shared" si="35"/>
        <v>0</v>
      </c>
      <c r="AR126" s="266">
        <v>0</v>
      </c>
      <c r="AS126" s="262">
        <f t="shared" si="36"/>
        <v>0</v>
      </c>
      <c r="AT126" s="266">
        <v>2880</v>
      </c>
      <c r="AU126" s="260">
        <f t="shared" si="37"/>
        <v>201.60000000000002</v>
      </c>
      <c r="AV126" s="259">
        <v>0</v>
      </c>
      <c r="AW126" s="260">
        <f t="shared" si="38"/>
        <v>0</v>
      </c>
      <c r="AX126" s="261">
        <v>0</v>
      </c>
      <c r="AY126" s="260">
        <f t="shared" si="39"/>
        <v>0</v>
      </c>
      <c r="AZ126" s="259" t="s">
        <v>573</v>
      </c>
      <c r="BA126" s="260">
        <f t="shared" si="40"/>
        <v>0</v>
      </c>
      <c r="BB126" s="259">
        <v>0</v>
      </c>
      <c r="BC126" s="260">
        <f t="shared" si="41"/>
        <v>0</v>
      </c>
      <c r="BD126" s="259">
        <v>0</v>
      </c>
      <c r="BE126" s="260">
        <f t="shared" si="42"/>
        <v>0</v>
      </c>
      <c r="BF126" s="259" t="s">
        <v>573</v>
      </c>
      <c r="BG126" s="260">
        <f t="shared" si="43"/>
        <v>0</v>
      </c>
      <c r="BH126" s="259">
        <v>0</v>
      </c>
      <c r="BI126" s="260">
        <f t="shared" si="33"/>
        <v>0</v>
      </c>
      <c r="BJ126" s="58"/>
      <c r="BK126" s="220"/>
      <c r="BL126" s="213" t="s">
        <v>754</v>
      </c>
      <c r="BM126" s="58" t="s">
        <v>563</v>
      </c>
    </row>
    <row r="127" spans="1:65" ht="15.75" customHeight="1">
      <c r="A127" s="213" t="s">
        <v>1437</v>
      </c>
      <c r="B127" s="58" t="s">
        <v>184</v>
      </c>
      <c r="C127" s="58" t="s">
        <v>752</v>
      </c>
      <c r="D127" s="214" t="s">
        <v>186</v>
      </c>
      <c r="E127" s="214" t="s">
        <v>186</v>
      </c>
      <c r="F127" s="215" t="s">
        <v>186</v>
      </c>
      <c r="G127" s="216">
        <v>2021</v>
      </c>
      <c r="H127" s="213" t="s">
        <v>801</v>
      </c>
      <c r="I127" s="213" t="s">
        <v>196</v>
      </c>
      <c r="J127" s="217" t="s">
        <v>890</v>
      </c>
      <c r="K127" s="213" t="s">
        <v>283</v>
      </c>
      <c r="L127" s="213" t="s">
        <v>192</v>
      </c>
      <c r="M127" s="219" t="s">
        <v>1388</v>
      </c>
      <c r="N127" s="265">
        <v>4.47</v>
      </c>
      <c r="O127" s="265">
        <v>4.47</v>
      </c>
      <c r="P127" s="265">
        <v>4.47</v>
      </c>
      <c r="Q127" s="265">
        <v>4.47</v>
      </c>
      <c r="R127" s="265">
        <v>4.47</v>
      </c>
      <c r="S127" s="265">
        <v>4.47</v>
      </c>
      <c r="T127" s="265">
        <v>4.47</v>
      </c>
      <c r="U127" s="265">
        <v>4.47</v>
      </c>
      <c r="V127" s="265">
        <v>4.47</v>
      </c>
      <c r="W127" s="265">
        <v>4.47</v>
      </c>
      <c r="X127" s="265">
        <v>4.47</v>
      </c>
      <c r="Y127" s="265">
        <v>4.47</v>
      </c>
      <c r="Z127" s="265">
        <v>7.0000000000000007E-2</v>
      </c>
      <c r="AA127" s="265">
        <v>7.0000000000000007E-2</v>
      </c>
      <c r="AB127" s="265">
        <v>7.0000000000000007E-2</v>
      </c>
      <c r="AC127" s="265">
        <v>7.0000000000000007E-2</v>
      </c>
      <c r="AD127" s="265">
        <v>7.0000000000000007E-2</v>
      </c>
      <c r="AE127" s="265">
        <v>7.0000000000000007E-2</v>
      </c>
      <c r="AF127" s="265">
        <v>7.0000000000000007E-2</v>
      </c>
      <c r="AG127" s="265">
        <v>7.0000000000000007E-2</v>
      </c>
      <c r="AH127" s="265">
        <v>7.0000000000000007E-2</v>
      </c>
      <c r="AI127" s="265">
        <v>7.0000000000000007E-2</v>
      </c>
      <c r="AJ127" s="265">
        <v>7.0000000000000007E-2</v>
      </c>
      <c r="AK127" s="265">
        <v>7.0000000000000007E-2</v>
      </c>
      <c r="AL127" s="266" t="s">
        <v>573</v>
      </c>
      <c r="AM127" s="265">
        <f t="shared" si="34"/>
        <v>0</v>
      </c>
      <c r="AN127" s="266" t="s">
        <v>573</v>
      </c>
      <c r="AO127" s="265">
        <f t="shared" si="23"/>
        <v>0</v>
      </c>
      <c r="AP127" s="266">
        <v>0</v>
      </c>
      <c r="AQ127" s="265">
        <f t="shared" si="35"/>
        <v>0</v>
      </c>
      <c r="AR127" s="266">
        <v>0</v>
      </c>
      <c r="AS127" s="262">
        <f t="shared" si="36"/>
        <v>0</v>
      </c>
      <c r="AT127" s="266">
        <v>0</v>
      </c>
      <c r="AU127" s="260">
        <f t="shared" si="37"/>
        <v>0</v>
      </c>
      <c r="AV127" s="259">
        <v>0</v>
      </c>
      <c r="AW127" s="260">
        <f t="shared" si="38"/>
        <v>0</v>
      </c>
      <c r="AX127" s="261" t="s">
        <v>573</v>
      </c>
      <c r="AY127" s="260">
        <f t="shared" si="39"/>
        <v>0</v>
      </c>
      <c r="AZ127" s="259" t="s">
        <v>573</v>
      </c>
      <c r="BA127" s="260">
        <f t="shared" si="40"/>
        <v>0</v>
      </c>
      <c r="BB127" s="259" t="s">
        <v>573</v>
      </c>
      <c r="BC127" s="260">
        <f t="shared" si="41"/>
        <v>0</v>
      </c>
      <c r="BD127" s="259">
        <v>2880</v>
      </c>
      <c r="BE127" s="260">
        <f t="shared" si="42"/>
        <v>201.60000000000002</v>
      </c>
      <c r="BF127" s="259" t="s">
        <v>573</v>
      </c>
      <c r="BG127" s="260">
        <f t="shared" si="43"/>
        <v>0</v>
      </c>
      <c r="BH127" s="259" t="s">
        <v>573</v>
      </c>
      <c r="BI127" s="260">
        <f t="shared" si="33"/>
        <v>0</v>
      </c>
      <c r="BJ127" s="58"/>
      <c r="BK127" s="220"/>
      <c r="BL127" s="213" t="s">
        <v>197</v>
      </c>
      <c r="BM127" s="58" t="s">
        <v>1488</v>
      </c>
    </row>
    <row r="128" spans="1:65" ht="15.75" customHeight="1">
      <c r="A128" s="213" t="s">
        <v>1437</v>
      </c>
      <c r="B128" s="58" t="s">
        <v>184</v>
      </c>
      <c r="C128" s="58" t="s">
        <v>752</v>
      </c>
      <c r="D128" s="214" t="s">
        <v>186</v>
      </c>
      <c r="E128" s="214" t="s">
        <v>186</v>
      </c>
      <c r="F128" s="215" t="s">
        <v>186</v>
      </c>
      <c r="G128" s="216">
        <v>2021</v>
      </c>
      <c r="H128" s="213" t="s">
        <v>801</v>
      </c>
      <c r="I128" s="213" t="s">
        <v>196</v>
      </c>
      <c r="J128" s="217" t="s">
        <v>890</v>
      </c>
      <c r="K128" s="213" t="s">
        <v>283</v>
      </c>
      <c r="L128" s="213" t="s">
        <v>192</v>
      </c>
      <c r="M128" s="219" t="s">
        <v>1389</v>
      </c>
      <c r="N128" s="265">
        <v>4.41</v>
      </c>
      <c r="O128" s="265">
        <v>4.41</v>
      </c>
      <c r="P128" s="265">
        <v>4.41</v>
      </c>
      <c r="Q128" s="265">
        <v>4.41</v>
      </c>
      <c r="R128" s="265">
        <v>4.41</v>
      </c>
      <c r="S128" s="265">
        <v>4.41</v>
      </c>
      <c r="T128" s="265">
        <v>4.41</v>
      </c>
      <c r="U128" s="265">
        <v>4.41</v>
      </c>
      <c r="V128" s="265">
        <v>4.41</v>
      </c>
      <c r="W128" s="265">
        <v>4.41</v>
      </c>
      <c r="X128" s="265">
        <v>4.41</v>
      </c>
      <c r="Y128" s="265">
        <v>4.41</v>
      </c>
      <c r="Z128" s="265">
        <v>7.0000000000000007E-2</v>
      </c>
      <c r="AA128" s="265">
        <v>7.0000000000000007E-2</v>
      </c>
      <c r="AB128" s="265">
        <v>7.0000000000000007E-2</v>
      </c>
      <c r="AC128" s="265">
        <v>7.0000000000000007E-2</v>
      </c>
      <c r="AD128" s="265">
        <v>7.0000000000000007E-2</v>
      </c>
      <c r="AE128" s="265">
        <v>7.0000000000000007E-2</v>
      </c>
      <c r="AF128" s="265">
        <v>7.0000000000000007E-2</v>
      </c>
      <c r="AG128" s="265">
        <v>7.0000000000000007E-2</v>
      </c>
      <c r="AH128" s="265">
        <v>7.0000000000000007E-2</v>
      </c>
      <c r="AI128" s="265">
        <v>7.0000000000000007E-2</v>
      </c>
      <c r="AJ128" s="265">
        <v>7.0000000000000007E-2</v>
      </c>
      <c r="AK128" s="265">
        <v>7.0000000000000007E-2</v>
      </c>
      <c r="AL128" s="266">
        <v>2880</v>
      </c>
      <c r="AM128" s="265">
        <f t="shared" si="34"/>
        <v>201.60000000000002</v>
      </c>
      <c r="AN128" s="266" t="s">
        <v>573</v>
      </c>
      <c r="AO128" s="265">
        <f t="shared" si="23"/>
        <v>0</v>
      </c>
      <c r="AP128" s="266">
        <v>0</v>
      </c>
      <c r="AQ128" s="265">
        <f t="shared" si="35"/>
        <v>0</v>
      </c>
      <c r="AR128" s="266">
        <v>0</v>
      </c>
      <c r="AS128" s="262">
        <f t="shared" si="36"/>
        <v>0</v>
      </c>
      <c r="AT128" s="266">
        <v>0</v>
      </c>
      <c r="AU128" s="260">
        <f t="shared" si="37"/>
        <v>0</v>
      </c>
      <c r="AV128" s="259">
        <v>0</v>
      </c>
      <c r="AW128" s="260">
        <f t="shared" si="38"/>
        <v>0</v>
      </c>
      <c r="AX128" s="261" t="s">
        <v>573</v>
      </c>
      <c r="AY128" s="260">
        <f t="shared" si="39"/>
        <v>0</v>
      </c>
      <c r="AZ128" s="259">
        <v>2880</v>
      </c>
      <c r="BA128" s="260">
        <f t="shared" si="40"/>
        <v>201.60000000000002</v>
      </c>
      <c r="BB128" s="259" t="s">
        <v>573</v>
      </c>
      <c r="BC128" s="260">
        <f t="shared" si="41"/>
        <v>0</v>
      </c>
      <c r="BD128" s="259">
        <v>2880</v>
      </c>
      <c r="BE128" s="260">
        <f t="shared" si="42"/>
        <v>201.60000000000002</v>
      </c>
      <c r="BF128" s="259">
        <v>2880</v>
      </c>
      <c r="BG128" s="260">
        <f t="shared" si="43"/>
        <v>201.60000000000002</v>
      </c>
      <c r="BH128" s="259" t="s">
        <v>573</v>
      </c>
      <c r="BI128" s="260">
        <f t="shared" si="33"/>
        <v>0</v>
      </c>
      <c r="BJ128" s="58"/>
      <c r="BK128" s="220"/>
      <c r="BL128" s="213" t="s">
        <v>763</v>
      </c>
      <c r="BM128" s="58" t="s">
        <v>564</v>
      </c>
    </row>
    <row r="129" spans="1:65" ht="15.75" customHeight="1">
      <c r="A129" s="213" t="s">
        <v>1437</v>
      </c>
      <c r="B129" s="58" t="s">
        <v>184</v>
      </c>
      <c r="C129" s="58" t="s">
        <v>752</v>
      </c>
      <c r="D129" s="214" t="s">
        <v>186</v>
      </c>
      <c r="E129" s="214" t="s">
        <v>186</v>
      </c>
      <c r="F129" s="215" t="s">
        <v>186</v>
      </c>
      <c r="G129" s="216">
        <v>2021</v>
      </c>
      <c r="H129" s="213" t="s">
        <v>801</v>
      </c>
      <c r="I129" s="213" t="s">
        <v>196</v>
      </c>
      <c r="J129" s="217" t="s">
        <v>890</v>
      </c>
      <c r="K129" s="213" t="s">
        <v>283</v>
      </c>
      <c r="L129" s="213" t="s">
        <v>192</v>
      </c>
      <c r="M129" s="219" t="s">
        <v>1388</v>
      </c>
      <c r="N129" s="265">
        <v>4.51</v>
      </c>
      <c r="O129" s="265">
        <v>4.51</v>
      </c>
      <c r="P129" s="265">
        <v>4.51</v>
      </c>
      <c r="Q129" s="265">
        <v>4.51</v>
      </c>
      <c r="R129" s="265">
        <v>4.51</v>
      </c>
      <c r="S129" s="265">
        <v>4.51</v>
      </c>
      <c r="T129" s="265">
        <v>4.51</v>
      </c>
      <c r="U129" s="265">
        <v>4.51</v>
      </c>
      <c r="V129" s="265">
        <v>4.51</v>
      </c>
      <c r="W129" s="265">
        <v>4.51</v>
      </c>
      <c r="X129" s="265">
        <v>4.51</v>
      </c>
      <c r="Y129" s="265">
        <v>4.51</v>
      </c>
      <c r="Z129" s="265">
        <v>7.0000000000000007E-2</v>
      </c>
      <c r="AA129" s="265">
        <v>7.0000000000000007E-2</v>
      </c>
      <c r="AB129" s="265">
        <v>7.0000000000000007E-2</v>
      </c>
      <c r="AC129" s="265">
        <v>7.0000000000000007E-2</v>
      </c>
      <c r="AD129" s="265">
        <v>7.0000000000000007E-2</v>
      </c>
      <c r="AE129" s="265">
        <v>7.0000000000000007E-2</v>
      </c>
      <c r="AF129" s="265">
        <v>7.0000000000000007E-2</v>
      </c>
      <c r="AG129" s="265">
        <v>7.0000000000000007E-2</v>
      </c>
      <c r="AH129" s="265">
        <v>7.0000000000000007E-2</v>
      </c>
      <c r="AI129" s="265">
        <v>7.0000000000000007E-2</v>
      </c>
      <c r="AJ129" s="265">
        <v>7.0000000000000007E-2</v>
      </c>
      <c r="AK129" s="265">
        <v>7.0000000000000007E-2</v>
      </c>
      <c r="AL129" s="266" t="s">
        <v>573</v>
      </c>
      <c r="AM129" s="265">
        <f t="shared" si="34"/>
        <v>0</v>
      </c>
      <c r="AN129" s="266" t="s">
        <v>573</v>
      </c>
      <c r="AO129" s="265">
        <f t="shared" si="23"/>
        <v>0</v>
      </c>
      <c r="AP129" s="266">
        <v>0</v>
      </c>
      <c r="AQ129" s="265">
        <f t="shared" si="35"/>
        <v>0</v>
      </c>
      <c r="AR129" s="266">
        <v>0</v>
      </c>
      <c r="AS129" s="262">
        <f t="shared" si="36"/>
        <v>0</v>
      </c>
      <c r="AT129" s="266">
        <v>0</v>
      </c>
      <c r="AU129" s="260">
        <f t="shared" si="37"/>
        <v>0</v>
      </c>
      <c r="AV129" s="259">
        <v>0</v>
      </c>
      <c r="AW129" s="260">
        <f t="shared" si="38"/>
        <v>0</v>
      </c>
      <c r="AX129" s="261" t="s">
        <v>573</v>
      </c>
      <c r="AY129" s="260">
        <f t="shared" si="39"/>
        <v>0</v>
      </c>
      <c r="AZ129" s="259" t="s">
        <v>573</v>
      </c>
      <c r="BA129" s="260">
        <f t="shared" si="40"/>
        <v>0</v>
      </c>
      <c r="BB129" s="259" t="s">
        <v>573</v>
      </c>
      <c r="BC129" s="260">
        <f t="shared" si="41"/>
        <v>0</v>
      </c>
      <c r="BD129" s="259" t="s">
        <v>573</v>
      </c>
      <c r="BE129" s="260">
        <f t="shared" si="42"/>
        <v>0</v>
      </c>
      <c r="BF129" s="259" t="s">
        <v>573</v>
      </c>
      <c r="BG129" s="260">
        <f t="shared" si="43"/>
        <v>0</v>
      </c>
      <c r="BH129" s="259" t="s">
        <v>573</v>
      </c>
      <c r="BI129" s="260">
        <f t="shared" si="33"/>
        <v>0</v>
      </c>
      <c r="BJ129" s="58"/>
      <c r="BK129" s="220"/>
      <c r="BL129" s="213" t="s">
        <v>1310</v>
      </c>
      <c r="BM129" s="58" t="s">
        <v>565</v>
      </c>
    </row>
    <row r="130" spans="1:65" ht="15.75" customHeight="1">
      <c r="A130" s="213" t="s">
        <v>1437</v>
      </c>
      <c r="B130" s="58" t="s">
        <v>184</v>
      </c>
      <c r="C130" s="58" t="s">
        <v>752</v>
      </c>
      <c r="D130" s="214" t="s">
        <v>186</v>
      </c>
      <c r="E130" s="214" t="s">
        <v>186</v>
      </c>
      <c r="F130" s="215" t="s">
        <v>186</v>
      </c>
      <c r="G130" s="216">
        <v>2021</v>
      </c>
      <c r="H130" s="213" t="s">
        <v>801</v>
      </c>
      <c r="I130" s="213" t="s">
        <v>196</v>
      </c>
      <c r="J130" s="217" t="s">
        <v>890</v>
      </c>
      <c r="K130" s="213" t="s">
        <v>283</v>
      </c>
      <c r="L130" s="213" t="s">
        <v>869</v>
      </c>
      <c r="M130" s="219" t="s">
        <v>1445</v>
      </c>
      <c r="N130" s="265">
        <v>4.51</v>
      </c>
      <c r="O130" s="265">
        <v>4.51</v>
      </c>
      <c r="P130" s="265">
        <v>4.51</v>
      </c>
      <c r="Q130" s="265">
        <v>4.51</v>
      </c>
      <c r="R130" s="265">
        <v>4.51</v>
      </c>
      <c r="S130" s="265">
        <v>4.51</v>
      </c>
      <c r="T130" s="265">
        <v>4.51</v>
      </c>
      <c r="U130" s="265">
        <v>4.51</v>
      </c>
      <c r="V130" s="265">
        <v>4.51</v>
      </c>
      <c r="W130" s="265">
        <v>4.51</v>
      </c>
      <c r="X130" s="265">
        <v>4.51</v>
      </c>
      <c r="Y130" s="265">
        <v>4.51</v>
      </c>
      <c r="Z130" s="265">
        <v>7.0000000000000007E-2</v>
      </c>
      <c r="AA130" s="265">
        <v>7.0000000000000007E-2</v>
      </c>
      <c r="AB130" s="265">
        <v>7.0000000000000007E-2</v>
      </c>
      <c r="AC130" s="265">
        <v>7.0000000000000007E-2</v>
      </c>
      <c r="AD130" s="265">
        <v>7.0000000000000007E-2</v>
      </c>
      <c r="AE130" s="265">
        <v>7.0000000000000007E-2</v>
      </c>
      <c r="AF130" s="265">
        <v>7.0000000000000007E-2</v>
      </c>
      <c r="AG130" s="265">
        <v>7.0000000000000007E-2</v>
      </c>
      <c r="AH130" s="265">
        <v>7.0000000000000007E-2</v>
      </c>
      <c r="AI130" s="265">
        <v>7.0000000000000007E-2</v>
      </c>
      <c r="AJ130" s="265">
        <v>7.0000000000000007E-2</v>
      </c>
      <c r="AK130" s="265">
        <v>7.0000000000000007E-2</v>
      </c>
      <c r="AL130" s="266">
        <v>2880</v>
      </c>
      <c r="AM130" s="265">
        <f t="shared" si="34"/>
        <v>201.60000000000002</v>
      </c>
      <c r="AN130" s="266" t="s">
        <v>573</v>
      </c>
      <c r="AO130" s="265">
        <f t="shared" si="23"/>
        <v>0</v>
      </c>
      <c r="AP130" s="266">
        <v>0</v>
      </c>
      <c r="AQ130" s="265">
        <f t="shared" si="35"/>
        <v>0</v>
      </c>
      <c r="AR130" s="266">
        <v>0</v>
      </c>
      <c r="AS130" s="262">
        <f t="shared" si="36"/>
        <v>0</v>
      </c>
      <c r="AT130" s="266">
        <v>0</v>
      </c>
      <c r="AU130" s="260">
        <f t="shared" si="37"/>
        <v>0</v>
      </c>
      <c r="AV130" s="259">
        <v>2880</v>
      </c>
      <c r="AW130" s="260">
        <f t="shared" si="38"/>
        <v>201.60000000000002</v>
      </c>
      <c r="AX130" s="261" t="s">
        <v>573</v>
      </c>
      <c r="AY130" s="260">
        <f t="shared" si="39"/>
        <v>0</v>
      </c>
      <c r="AZ130" s="259" t="s">
        <v>573</v>
      </c>
      <c r="BA130" s="260">
        <f t="shared" si="40"/>
        <v>0</v>
      </c>
      <c r="BB130" s="259" t="s">
        <v>573</v>
      </c>
      <c r="BC130" s="260">
        <f t="shared" si="41"/>
        <v>0</v>
      </c>
      <c r="BD130" s="259" t="s">
        <v>573</v>
      </c>
      <c r="BE130" s="260">
        <f t="shared" si="42"/>
        <v>0</v>
      </c>
      <c r="BF130" s="259" t="s">
        <v>573</v>
      </c>
      <c r="BG130" s="260">
        <f t="shared" si="43"/>
        <v>0</v>
      </c>
      <c r="BH130" s="259" t="s">
        <v>573</v>
      </c>
      <c r="BI130" s="260">
        <f t="shared" si="33"/>
        <v>0</v>
      </c>
      <c r="BJ130" s="58"/>
      <c r="BK130" s="220"/>
      <c r="BL130" s="213" t="s">
        <v>1310</v>
      </c>
      <c r="BM130" s="58" t="s">
        <v>565</v>
      </c>
    </row>
    <row r="131" spans="1:65" ht="15.75" customHeight="1">
      <c r="A131" s="213" t="s">
        <v>1437</v>
      </c>
      <c r="B131" s="58" t="s">
        <v>184</v>
      </c>
      <c r="C131" s="58" t="s">
        <v>752</v>
      </c>
      <c r="D131" s="214" t="s">
        <v>186</v>
      </c>
      <c r="E131" s="214" t="s">
        <v>186</v>
      </c>
      <c r="F131" s="215" t="s">
        <v>186</v>
      </c>
      <c r="G131" s="216">
        <v>2021</v>
      </c>
      <c r="H131" s="213" t="s">
        <v>801</v>
      </c>
      <c r="I131" s="213" t="s">
        <v>196</v>
      </c>
      <c r="J131" s="217" t="s">
        <v>890</v>
      </c>
      <c r="K131" s="213" t="s">
        <v>283</v>
      </c>
      <c r="L131" s="213" t="s">
        <v>192</v>
      </c>
      <c r="M131" s="219" t="s">
        <v>1388</v>
      </c>
      <c r="N131" s="265">
        <v>4.47</v>
      </c>
      <c r="O131" s="265">
        <v>4.47</v>
      </c>
      <c r="P131" s="265">
        <v>4.47</v>
      </c>
      <c r="Q131" s="265">
        <v>4.47</v>
      </c>
      <c r="R131" s="265">
        <v>4.47</v>
      </c>
      <c r="S131" s="265">
        <v>4.47</v>
      </c>
      <c r="T131" s="265">
        <v>4.47</v>
      </c>
      <c r="U131" s="265">
        <v>4.47</v>
      </c>
      <c r="V131" s="265">
        <v>4.47</v>
      </c>
      <c r="W131" s="265">
        <v>4.47</v>
      </c>
      <c r="X131" s="265">
        <v>4.47</v>
      </c>
      <c r="Y131" s="265">
        <v>4.47</v>
      </c>
      <c r="Z131" s="265">
        <v>7.0000000000000007E-2</v>
      </c>
      <c r="AA131" s="265">
        <v>7.0000000000000007E-2</v>
      </c>
      <c r="AB131" s="265">
        <v>7.0000000000000007E-2</v>
      </c>
      <c r="AC131" s="265">
        <v>7.0000000000000007E-2</v>
      </c>
      <c r="AD131" s="265">
        <v>7.0000000000000007E-2</v>
      </c>
      <c r="AE131" s="265">
        <v>7.0000000000000007E-2</v>
      </c>
      <c r="AF131" s="265">
        <v>7.0000000000000007E-2</v>
      </c>
      <c r="AG131" s="265">
        <v>7.0000000000000007E-2</v>
      </c>
      <c r="AH131" s="265">
        <v>7.0000000000000007E-2</v>
      </c>
      <c r="AI131" s="265">
        <v>7.0000000000000007E-2</v>
      </c>
      <c r="AJ131" s="265">
        <v>7.0000000000000007E-2</v>
      </c>
      <c r="AK131" s="265">
        <v>7.0000000000000007E-2</v>
      </c>
      <c r="AL131" s="266" t="s">
        <v>573</v>
      </c>
      <c r="AM131" s="265">
        <f t="shared" ref="AM131:AM141" si="44">Z131*AL131</f>
        <v>0</v>
      </c>
      <c r="AN131" s="266" t="s">
        <v>573</v>
      </c>
      <c r="AO131" s="265">
        <f t="shared" ref="AO131:AO194" si="45">AN131*AA131</f>
        <v>0</v>
      </c>
      <c r="AP131" s="266">
        <v>0</v>
      </c>
      <c r="AQ131" s="265">
        <f t="shared" ref="AQ131:AQ141" si="46">AP131*AB131</f>
        <v>0</v>
      </c>
      <c r="AR131" s="266">
        <v>0</v>
      </c>
      <c r="AS131" s="262">
        <f t="shared" ref="AS131:AS141" si="47">AR131*AC131</f>
        <v>0</v>
      </c>
      <c r="AT131" s="266">
        <v>0</v>
      </c>
      <c r="AU131" s="260">
        <f t="shared" ref="AU131:AU142" si="48">AT131*AD131</f>
        <v>0</v>
      </c>
      <c r="AV131" s="259">
        <v>0</v>
      </c>
      <c r="AW131" s="260">
        <f t="shared" ref="AW131:AW141" si="49">AV131*AE131</f>
        <v>0</v>
      </c>
      <c r="AX131" s="261" t="s">
        <v>573</v>
      </c>
      <c r="AY131" s="260">
        <f t="shared" ref="AY131:AY141" si="50">AX131*AF131</f>
        <v>0</v>
      </c>
      <c r="AZ131" s="259" t="s">
        <v>573</v>
      </c>
      <c r="BA131" s="260">
        <f t="shared" ref="BA131:BA141" si="51">AZ131*AG131</f>
        <v>0</v>
      </c>
      <c r="BB131" s="259">
        <v>2880</v>
      </c>
      <c r="BC131" s="260">
        <f t="shared" ref="BC131:BC141" si="52">BB131*AH131</f>
        <v>201.60000000000002</v>
      </c>
      <c r="BD131" s="259" t="s">
        <v>573</v>
      </c>
      <c r="BE131" s="260">
        <f t="shared" ref="BE131:BE141" si="53">BD131*AI131</f>
        <v>0</v>
      </c>
      <c r="BF131" s="259" t="s">
        <v>573</v>
      </c>
      <c r="BG131" s="260">
        <f t="shared" ref="BG131:BG141" si="54">BF131*AJ131</f>
        <v>0</v>
      </c>
      <c r="BH131" s="259" t="s">
        <v>573</v>
      </c>
      <c r="BI131" s="260">
        <f t="shared" ref="BI131:BI194" si="55">BH131*AK131</f>
        <v>0</v>
      </c>
      <c r="BJ131" s="58"/>
      <c r="BK131" s="220"/>
      <c r="BL131" s="213" t="s">
        <v>754</v>
      </c>
      <c r="BM131" s="58" t="s">
        <v>566</v>
      </c>
    </row>
    <row r="132" spans="1:65" ht="15.75" customHeight="1">
      <c r="A132" s="213" t="s">
        <v>1437</v>
      </c>
      <c r="B132" s="58" t="s">
        <v>184</v>
      </c>
      <c r="C132" s="58" t="s">
        <v>752</v>
      </c>
      <c r="D132" s="214" t="s">
        <v>186</v>
      </c>
      <c r="E132" s="214" t="s">
        <v>186</v>
      </c>
      <c r="F132" s="215" t="s">
        <v>186</v>
      </c>
      <c r="G132" s="216">
        <v>2021</v>
      </c>
      <c r="H132" s="213" t="s">
        <v>801</v>
      </c>
      <c r="I132" s="213" t="s">
        <v>196</v>
      </c>
      <c r="J132" s="217" t="s">
        <v>890</v>
      </c>
      <c r="K132" s="213" t="s">
        <v>283</v>
      </c>
      <c r="L132" s="213" t="s">
        <v>869</v>
      </c>
      <c r="M132" s="219" t="s">
        <v>1445</v>
      </c>
      <c r="N132" s="265">
        <v>4.47</v>
      </c>
      <c r="O132" s="265">
        <v>4.47</v>
      </c>
      <c r="P132" s="265">
        <v>4.47</v>
      </c>
      <c r="Q132" s="265">
        <v>4.47</v>
      </c>
      <c r="R132" s="265">
        <v>4.47</v>
      </c>
      <c r="S132" s="265">
        <v>4.47</v>
      </c>
      <c r="T132" s="265">
        <v>4.47</v>
      </c>
      <c r="U132" s="265">
        <v>4.47</v>
      </c>
      <c r="V132" s="265">
        <v>4.47</v>
      </c>
      <c r="W132" s="265">
        <v>4.47</v>
      </c>
      <c r="X132" s="265">
        <v>4.47</v>
      </c>
      <c r="Y132" s="265">
        <v>4.47</v>
      </c>
      <c r="Z132" s="265">
        <v>7.0000000000000007E-2</v>
      </c>
      <c r="AA132" s="265">
        <v>7.0000000000000007E-2</v>
      </c>
      <c r="AB132" s="265">
        <v>7.0000000000000007E-2</v>
      </c>
      <c r="AC132" s="265">
        <v>7.0000000000000007E-2</v>
      </c>
      <c r="AD132" s="265">
        <v>7.0000000000000007E-2</v>
      </c>
      <c r="AE132" s="265">
        <v>7.0000000000000007E-2</v>
      </c>
      <c r="AF132" s="265">
        <v>7.0000000000000007E-2</v>
      </c>
      <c r="AG132" s="265">
        <v>7.0000000000000007E-2</v>
      </c>
      <c r="AH132" s="265">
        <v>7.0000000000000007E-2</v>
      </c>
      <c r="AI132" s="265">
        <v>7.0000000000000007E-2</v>
      </c>
      <c r="AJ132" s="265">
        <v>7.0000000000000007E-2</v>
      </c>
      <c r="AK132" s="265">
        <v>7.0000000000000007E-2</v>
      </c>
      <c r="AL132" s="266">
        <v>2880</v>
      </c>
      <c r="AM132" s="265">
        <f t="shared" si="44"/>
        <v>201.60000000000002</v>
      </c>
      <c r="AN132" s="266" t="s">
        <v>573</v>
      </c>
      <c r="AO132" s="265">
        <f t="shared" si="45"/>
        <v>0</v>
      </c>
      <c r="AP132" s="266">
        <v>0</v>
      </c>
      <c r="AQ132" s="265">
        <f t="shared" si="46"/>
        <v>0</v>
      </c>
      <c r="AR132" s="266">
        <v>0</v>
      </c>
      <c r="AS132" s="262">
        <f t="shared" si="47"/>
        <v>0</v>
      </c>
      <c r="AT132" s="266">
        <v>0</v>
      </c>
      <c r="AU132" s="260">
        <f t="shared" si="48"/>
        <v>0</v>
      </c>
      <c r="AV132" s="259">
        <v>0</v>
      </c>
      <c r="AW132" s="260">
        <f t="shared" si="49"/>
        <v>0</v>
      </c>
      <c r="AX132" s="261" t="s">
        <v>573</v>
      </c>
      <c r="AY132" s="260">
        <f t="shared" si="50"/>
        <v>0</v>
      </c>
      <c r="AZ132" s="259" t="s">
        <v>573</v>
      </c>
      <c r="BA132" s="260">
        <f t="shared" si="51"/>
        <v>0</v>
      </c>
      <c r="BB132" s="259">
        <v>0</v>
      </c>
      <c r="BC132" s="260">
        <f t="shared" si="52"/>
        <v>0</v>
      </c>
      <c r="BD132" s="259" t="s">
        <v>573</v>
      </c>
      <c r="BE132" s="260">
        <f t="shared" si="53"/>
        <v>0</v>
      </c>
      <c r="BF132" s="259" t="s">
        <v>573</v>
      </c>
      <c r="BG132" s="260">
        <f t="shared" si="54"/>
        <v>0</v>
      </c>
      <c r="BH132" s="259" t="s">
        <v>573</v>
      </c>
      <c r="BI132" s="260">
        <f t="shared" si="55"/>
        <v>0</v>
      </c>
      <c r="BJ132" s="58"/>
      <c r="BK132" s="220"/>
      <c r="BL132" s="213" t="s">
        <v>754</v>
      </c>
      <c r="BM132" s="58" t="s">
        <v>566</v>
      </c>
    </row>
    <row r="133" spans="1:65" ht="15.75" customHeight="1">
      <c r="A133" s="213" t="s">
        <v>1437</v>
      </c>
      <c r="B133" s="58" t="s">
        <v>184</v>
      </c>
      <c r="C133" s="58" t="s">
        <v>752</v>
      </c>
      <c r="D133" s="214" t="s">
        <v>186</v>
      </c>
      <c r="E133" s="214" t="s">
        <v>186</v>
      </c>
      <c r="F133" s="215" t="s">
        <v>186</v>
      </c>
      <c r="G133" s="216">
        <v>2023</v>
      </c>
      <c r="H133" s="213" t="s">
        <v>801</v>
      </c>
      <c r="I133" s="218" t="s">
        <v>196</v>
      </c>
      <c r="J133" s="217" t="s">
        <v>890</v>
      </c>
      <c r="K133" s="213" t="s">
        <v>235</v>
      </c>
      <c r="L133" s="213" t="s">
        <v>192</v>
      </c>
      <c r="M133" s="219" t="s">
        <v>1388</v>
      </c>
      <c r="N133" s="265">
        <v>4.42</v>
      </c>
      <c r="O133" s="265">
        <v>4.42</v>
      </c>
      <c r="P133" s="265">
        <v>4.42</v>
      </c>
      <c r="Q133" s="265">
        <v>4.42</v>
      </c>
      <c r="R133" s="265">
        <v>4.42</v>
      </c>
      <c r="S133" s="265">
        <v>4.42</v>
      </c>
      <c r="T133" s="265">
        <v>4.42</v>
      </c>
      <c r="U133" s="265">
        <v>4.42</v>
      </c>
      <c r="V133" s="265">
        <v>4.42</v>
      </c>
      <c r="W133" s="265">
        <v>4.42</v>
      </c>
      <c r="X133" s="265">
        <v>4.42</v>
      </c>
      <c r="Y133" s="265">
        <v>4.42</v>
      </c>
      <c r="Z133" s="265">
        <v>7.0000000000000007E-2</v>
      </c>
      <c r="AA133" s="265">
        <v>7.0000000000000007E-2</v>
      </c>
      <c r="AB133" s="265">
        <v>7.0000000000000007E-2</v>
      </c>
      <c r="AC133" s="265">
        <v>7.0000000000000007E-2</v>
      </c>
      <c r="AD133" s="265">
        <v>7.0000000000000007E-2</v>
      </c>
      <c r="AE133" s="265">
        <v>7.0000000000000007E-2</v>
      </c>
      <c r="AF133" s="265">
        <v>7.0000000000000007E-2</v>
      </c>
      <c r="AG133" s="265">
        <v>7.0000000000000007E-2</v>
      </c>
      <c r="AH133" s="265">
        <v>7.0000000000000007E-2</v>
      </c>
      <c r="AI133" s="265">
        <v>7.0000000000000007E-2</v>
      </c>
      <c r="AJ133" s="265">
        <v>7.0000000000000007E-2</v>
      </c>
      <c r="AK133" s="265">
        <v>7.0000000000000007E-2</v>
      </c>
      <c r="AL133" s="266" t="s">
        <v>573</v>
      </c>
      <c r="AM133" s="265">
        <f t="shared" si="44"/>
        <v>0</v>
      </c>
      <c r="AN133" s="266" t="s">
        <v>573</v>
      </c>
      <c r="AO133" s="265">
        <f t="shared" si="45"/>
        <v>0</v>
      </c>
      <c r="AP133" s="266">
        <v>0</v>
      </c>
      <c r="AQ133" s="265">
        <f t="shared" si="46"/>
        <v>0</v>
      </c>
      <c r="AR133" s="266">
        <v>0</v>
      </c>
      <c r="AS133" s="262">
        <f t="shared" si="47"/>
        <v>0</v>
      </c>
      <c r="AT133" s="266">
        <v>0</v>
      </c>
      <c r="AU133" s="260">
        <f t="shared" si="48"/>
        <v>0</v>
      </c>
      <c r="AV133" s="259">
        <v>2880</v>
      </c>
      <c r="AW133" s="260">
        <f t="shared" si="49"/>
        <v>201.60000000000002</v>
      </c>
      <c r="AX133" s="261" t="s">
        <v>573</v>
      </c>
      <c r="AY133" s="260">
        <f t="shared" si="50"/>
        <v>0</v>
      </c>
      <c r="AZ133" s="259" t="s">
        <v>573</v>
      </c>
      <c r="BA133" s="260">
        <f t="shared" si="51"/>
        <v>0</v>
      </c>
      <c r="BB133" s="259" t="s">
        <v>573</v>
      </c>
      <c r="BC133" s="260">
        <f t="shared" si="52"/>
        <v>0</v>
      </c>
      <c r="BD133" s="259">
        <v>2880</v>
      </c>
      <c r="BE133" s="260">
        <f t="shared" si="53"/>
        <v>201.60000000000002</v>
      </c>
      <c r="BF133" s="259">
        <v>2880</v>
      </c>
      <c r="BG133" s="260">
        <f t="shared" si="54"/>
        <v>201.60000000000002</v>
      </c>
      <c r="BH133" s="259" t="s">
        <v>573</v>
      </c>
      <c r="BI133" s="260">
        <f t="shared" si="55"/>
        <v>0</v>
      </c>
      <c r="BJ133" s="58"/>
      <c r="BK133" s="220"/>
      <c r="BL133" s="213" t="s">
        <v>807</v>
      </c>
      <c r="BM133" s="58" t="s">
        <v>618</v>
      </c>
    </row>
    <row r="134" spans="1:65" ht="15.75" customHeight="1">
      <c r="A134" s="213" t="s">
        <v>1437</v>
      </c>
      <c r="B134" s="58" t="s">
        <v>184</v>
      </c>
      <c r="C134" s="58" t="s">
        <v>752</v>
      </c>
      <c r="D134" s="214" t="s">
        <v>186</v>
      </c>
      <c r="E134" s="214" t="s">
        <v>186</v>
      </c>
      <c r="F134" s="215" t="s">
        <v>186</v>
      </c>
      <c r="G134" s="216">
        <v>2023</v>
      </c>
      <c r="H134" s="213" t="s">
        <v>801</v>
      </c>
      <c r="I134" s="218" t="s">
        <v>196</v>
      </c>
      <c r="J134" s="217" t="s">
        <v>890</v>
      </c>
      <c r="K134" s="213" t="s">
        <v>235</v>
      </c>
      <c r="L134" s="213" t="s">
        <v>869</v>
      </c>
      <c r="M134" s="219" t="s">
        <v>1445</v>
      </c>
      <c r="N134" s="265">
        <v>4.42</v>
      </c>
      <c r="O134" s="265">
        <v>4.42</v>
      </c>
      <c r="P134" s="265">
        <v>4.42</v>
      </c>
      <c r="Q134" s="265">
        <v>4.42</v>
      </c>
      <c r="R134" s="265">
        <v>4.42</v>
      </c>
      <c r="S134" s="265">
        <v>4.42</v>
      </c>
      <c r="T134" s="265">
        <v>4.42</v>
      </c>
      <c r="U134" s="265">
        <v>4.42</v>
      </c>
      <c r="V134" s="265">
        <v>4.42</v>
      </c>
      <c r="W134" s="265">
        <v>4.42</v>
      </c>
      <c r="X134" s="265">
        <v>4.42</v>
      </c>
      <c r="Y134" s="265">
        <v>4.42</v>
      </c>
      <c r="Z134" s="265">
        <v>7.0000000000000007E-2</v>
      </c>
      <c r="AA134" s="265">
        <v>7.0000000000000007E-2</v>
      </c>
      <c r="AB134" s="265">
        <v>7.0000000000000007E-2</v>
      </c>
      <c r="AC134" s="265">
        <v>7.0000000000000007E-2</v>
      </c>
      <c r="AD134" s="265">
        <v>7.0000000000000007E-2</v>
      </c>
      <c r="AE134" s="265">
        <v>7.0000000000000007E-2</v>
      </c>
      <c r="AF134" s="265">
        <v>7.0000000000000007E-2</v>
      </c>
      <c r="AG134" s="265">
        <v>7.0000000000000007E-2</v>
      </c>
      <c r="AH134" s="265">
        <v>7.0000000000000007E-2</v>
      </c>
      <c r="AI134" s="265">
        <v>7.0000000000000007E-2</v>
      </c>
      <c r="AJ134" s="265">
        <v>7.0000000000000007E-2</v>
      </c>
      <c r="AK134" s="265">
        <v>7.0000000000000007E-2</v>
      </c>
      <c r="AL134" s="266">
        <v>2880</v>
      </c>
      <c r="AM134" s="265">
        <f t="shared" si="44"/>
        <v>201.60000000000002</v>
      </c>
      <c r="AN134" s="266" t="s">
        <v>573</v>
      </c>
      <c r="AO134" s="265">
        <f t="shared" si="45"/>
        <v>0</v>
      </c>
      <c r="AP134" s="266">
        <v>0</v>
      </c>
      <c r="AQ134" s="265">
        <f t="shared" si="46"/>
        <v>0</v>
      </c>
      <c r="AR134" s="266">
        <v>0</v>
      </c>
      <c r="AS134" s="262">
        <f t="shared" si="47"/>
        <v>0</v>
      </c>
      <c r="AT134" s="266">
        <v>0</v>
      </c>
      <c r="AU134" s="260">
        <f t="shared" si="48"/>
        <v>0</v>
      </c>
      <c r="AV134" s="259">
        <v>2880</v>
      </c>
      <c r="AW134" s="260">
        <f t="shared" si="49"/>
        <v>201.60000000000002</v>
      </c>
      <c r="AX134" s="261" t="s">
        <v>573</v>
      </c>
      <c r="AY134" s="260">
        <f t="shared" si="50"/>
        <v>0</v>
      </c>
      <c r="AZ134" s="259" t="s">
        <v>573</v>
      </c>
      <c r="BA134" s="260">
        <f t="shared" si="51"/>
        <v>0</v>
      </c>
      <c r="BB134" s="259" t="s">
        <v>573</v>
      </c>
      <c r="BC134" s="260">
        <f t="shared" si="52"/>
        <v>0</v>
      </c>
      <c r="BD134" s="259">
        <v>0</v>
      </c>
      <c r="BE134" s="260">
        <f t="shared" si="53"/>
        <v>0</v>
      </c>
      <c r="BF134" s="259">
        <v>0</v>
      </c>
      <c r="BG134" s="260">
        <f t="shared" si="54"/>
        <v>0</v>
      </c>
      <c r="BH134" s="259" t="s">
        <v>573</v>
      </c>
      <c r="BI134" s="260">
        <f t="shared" si="55"/>
        <v>0</v>
      </c>
      <c r="BJ134" s="58"/>
      <c r="BK134" s="220"/>
      <c r="BL134" s="213" t="s">
        <v>807</v>
      </c>
      <c r="BM134" s="58" t="s">
        <v>618</v>
      </c>
    </row>
    <row r="135" spans="1:65" ht="15.75" customHeight="1">
      <c r="A135" s="213" t="s">
        <v>1437</v>
      </c>
      <c r="B135" s="58" t="s">
        <v>184</v>
      </c>
      <c r="C135" s="58" t="s">
        <v>752</v>
      </c>
      <c r="D135" s="214" t="s">
        <v>186</v>
      </c>
      <c r="E135" s="214" t="s">
        <v>186</v>
      </c>
      <c r="F135" s="215" t="s">
        <v>186</v>
      </c>
      <c r="G135" s="216">
        <v>2022</v>
      </c>
      <c r="H135" s="213" t="s">
        <v>801</v>
      </c>
      <c r="I135" s="218" t="s">
        <v>196</v>
      </c>
      <c r="J135" s="217" t="s">
        <v>890</v>
      </c>
      <c r="K135" s="213" t="s">
        <v>235</v>
      </c>
      <c r="L135" s="213" t="s">
        <v>192</v>
      </c>
      <c r="M135" s="219" t="s">
        <v>1389</v>
      </c>
      <c r="N135" s="265">
        <v>4.3600000000000003</v>
      </c>
      <c r="O135" s="265">
        <v>4.3600000000000003</v>
      </c>
      <c r="P135" s="265">
        <v>4.3600000000000003</v>
      </c>
      <c r="Q135" s="265">
        <v>4.3600000000000003</v>
      </c>
      <c r="R135" s="265">
        <v>4.3600000000000003</v>
      </c>
      <c r="S135" s="265">
        <v>4.3600000000000003</v>
      </c>
      <c r="T135" s="265">
        <v>4.3600000000000003</v>
      </c>
      <c r="U135" s="265">
        <v>4.3600000000000003</v>
      </c>
      <c r="V135" s="265">
        <v>4.3600000000000003</v>
      </c>
      <c r="W135" s="265">
        <v>4.3600000000000003</v>
      </c>
      <c r="X135" s="265">
        <v>4.3600000000000003</v>
      </c>
      <c r="Y135" s="265">
        <v>4.3600000000000003</v>
      </c>
      <c r="Z135" s="265">
        <v>7.0000000000000007E-2</v>
      </c>
      <c r="AA135" s="265">
        <v>7.0000000000000007E-2</v>
      </c>
      <c r="AB135" s="265">
        <v>7.0000000000000007E-2</v>
      </c>
      <c r="AC135" s="265">
        <v>7.0000000000000007E-2</v>
      </c>
      <c r="AD135" s="265">
        <v>7.0000000000000007E-2</v>
      </c>
      <c r="AE135" s="265">
        <v>7.0000000000000007E-2</v>
      </c>
      <c r="AF135" s="265">
        <v>7.0000000000000007E-2</v>
      </c>
      <c r="AG135" s="265">
        <v>7.0000000000000007E-2</v>
      </c>
      <c r="AH135" s="265">
        <v>7.0000000000000007E-2</v>
      </c>
      <c r="AI135" s="265">
        <v>7.0000000000000007E-2</v>
      </c>
      <c r="AJ135" s="265">
        <v>7.0000000000000007E-2</v>
      </c>
      <c r="AK135" s="265">
        <v>7.0000000000000007E-2</v>
      </c>
      <c r="AL135" s="266">
        <v>2880</v>
      </c>
      <c r="AM135" s="265">
        <f t="shared" si="44"/>
        <v>201.60000000000002</v>
      </c>
      <c r="AN135" s="266" t="s">
        <v>573</v>
      </c>
      <c r="AO135" s="265">
        <f t="shared" si="45"/>
        <v>0</v>
      </c>
      <c r="AP135" s="266">
        <v>0</v>
      </c>
      <c r="AQ135" s="265">
        <f t="shared" si="46"/>
        <v>0</v>
      </c>
      <c r="AR135" s="266">
        <v>0</v>
      </c>
      <c r="AS135" s="262">
        <f t="shared" si="47"/>
        <v>0</v>
      </c>
      <c r="AT135" s="266">
        <v>0</v>
      </c>
      <c r="AU135" s="260">
        <f t="shared" si="48"/>
        <v>0</v>
      </c>
      <c r="AV135" s="259">
        <v>0</v>
      </c>
      <c r="AW135" s="260">
        <f t="shared" si="49"/>
        <v>0</v>
      </c>
      <c r="AX135" s="261" t="s">
        <v>573</v>
      </c>
      <c r="AY135" s="260">
        <f t="shared" si="50"/>
        <v>0</v>
      </c>
      <c r="AZ135" s="259" t="s">
        <v>573</v>
      </c>
      <c r="BA135" s="260">
        <f t="shared" si="51"/>
        <v>0</v>
      </c>
      <c r="BB135" s="259">
        <v>2880</v>
      </c>
      <c r="BC135" s="260">
        <f t="shared" si="52"/>
        <v>201.60000000000002</v>
      </c>
      <c r="BD135" s="259">
        <v>2880</v>
      </c>
      <c r="BE135" s="260">
        <f t="shared" si="53"/>
        <v>201.60000000000002</v>
      </c>
      <c r="BF135" s="259" t="s">
        <v>573</v>
      </c>
      <c r="BG135" s="260">
        <f t="shared" si="54"/>
        <v>0</v>
      </c>
      <c r="BH135" s="259" t="s">
        <v>573</v>
      </c>
      <c r="BI135" s="260">
        <f t="shared" si="55"/>
        <v>0</v>
      </c>
      <c r="BJ135" s="58"/>
      <c r="BK135" s="220"/>
      <c r="BL135" s="213" t="s">
        <v>763</v>
      </c>
      <c r="BM135" s="58" t="s">
        <v>619</v>
      </c>
    </row>
    <row r="136" spans="1:65" ht="15.75" customHeight="1">
      <c r="A136" s="213" t="s">
        <v>1437</v>
      </c>
      <c r="B136" s="58" t="s">
        <v>184</v>
      </c>
      <c r="C136" s="58" t="s">
        <v>752</v>
      </c>
      <c r="D136" s="214" t="s">
        <v>186</v>
      </c>
      <c r="E136" s="214" t="s">
        <v>186</v>
      </c>
      <c r="F136" s="215" t="s">
        <v>186</v>
      </c>
      <c r="G136" s="216">
        <v>2023</v>
      </c>
      <c r="H136" s="213" t="s">
        <v>801</v>
      </c>
      <c r="I136" s="218" t="s">
        <v>196</v>
      </c>
      <c r="J136" s="217" t="s">
        <v>890</v>
      </c>
      <c r="K136" s="213" t="s">
        <v>235</v>
      </c>
      <c r="L136" s="213" t="s">
        <v>192</v>
      </c>
      <c r="M136" s="219" t="s">
        <v>1388</v>
      </c>
      <c r="N136" s="265">
        <v>4.42</v>
      </c>
      <c r="O136" s="265">
        <v>4.42</v>
      </c>
      <c r="P136" s="265">
        <v>4.42</v>
      </c>
      <c r="Q136" s="265">
        <v>4.42</v>
      </c>
      <c r="R136" s="265">
        <v>4.42</v>
      </c>
      <c r="S136" s="265">
        <v>4.42</v>
      </c>
      <c r="T136" s="265">
        <v>4.42</v>
      </c>
      <c r="U136" s="265">
        <v>4.42</v>
      </c>
      <c r="V136" s="265">
        <v>4.42</v>
      </c>
      <c r="W136" s="265">
        <v>4.42</v>
      </c>
      <c r="X136" s="265">
        <v>4.42</v>
      </c>
      <c r="Y136" s="265">
        <v>4.42</v>
      </c>
      <c r="Z136" s="265">
        <v>7.0000000000000007E-2</v>
      </c>
      <c r="AA136" s="265">
        <v>7.0000000000000007E-2</v>
      </c>
      <c r="AB136" s="265">
        <v>7.0000000000000007E-2</v>
      </c>
      <c r="AC136" s="265">
        <v>7.0000000000000007E-2</v>
      </c>
      <c r="AD136" s="265">
        <v>7.0000000000000007E-2</v>
      </c>
      <c r="AE136" s="265">
        <v>7.0000000000000007E-2</v>
      </c>
      <c r="AF136" s="265">
        <v>7.0000000000000007E-2</v>
      </c>
      <c r="AG136" s="265">
        <v>7.0000000000000007E-2</v>
      </c>
      <c r="AH136" s="265">
        <v>7.0000000000000007E-2</v>
      </c>
      <c r="AI136" s="265">
        <v>7.0000000000000007E-2</v>
      </c>
      <c r="AJ136" s="265">
        <v>7.0000000000000007E-2</v>
      </c>
      <c r="AK136" s="265">
        <v>7.0000000000000007E-2</v>
      </c>
      <c r="AL136" s="266" t="s">
        <v>573</v>
      </c>
      <c r="AM136" s="265">
        <f t="shared" si="44"/>
        <v>0</v>
      </c>
      <c r="AN136" s="266">
        <v>2880</v>
      </c>
      <c r="AO136" s="265">
        <f t="shared" si="45"/>
        <v>201.60000000000002</v>
      </c>
      <c r="AP136" s="266">
        <v>0</v>
      </c>
      <c r="AQ136" s="265">
        <f t="shared" si="46"/>
        <v>0</v>
      </c>
      <c r="AR136" s="266">
        <v>0</v>
      </c>
      <c r="AS136" s="262">
        <f t="shared" si="47"/>
        <v>0</v>
      </c>
      <c r="AT136" s="266">
        <v>0</v>
      </c>
      <c r="AU136" s="260">
        <f t="shared" si="48"/>
        <v>0</v>
      </c>
      <c r="AV136" s="259">
        <v>0</v>
      </c>
      <c r="AW136" s="260">
        <f t="shared" si="49"/>
        <v>0</v>
      </c>
      <c r="AX136" s="261" t="s">
        <v>573</v>
      </c>
      <c r="AY136" s="260">
        <f t="shared" si="50"/>
        <v>0</v>
      </c>
      <c r="AZ136" s="259">
        <v>2880</v>
      </c>
      <c r="BA136" s="260">
        <f t="shared" si="51"/>
        <v>201.60000000000002</v>
      </c>
      <c r="BB136" s="259" t="s">
        <v>573</v>
      </c>
      <c r="BC136" s="260">
        <f t="shared" si="52"/>
        <v>0</v>
      </c>
      <c r="BD136" s="259" t="s">
        <v>573</v>
      </c>
      <c r="BE136" s="260">
        <f t="shared" si="53"/>
        <v>0</v>
      </c>
      <c r="BF136" s="259">
        <v>2880</v>
      </c>
      <c r="BG136" s="260">
        <f t="shared" si="54"/>
        <v>201.60000000000002</v>
      </c>
      <c r="BH136" s="259" t="s">
        <v>573</v>
      </c>
      <c r="BI136" s="260">
        <f t="shared" si="55"/>
        <v>0</v>
      </c>
      <c r="BJ136" s="58"/>
      <c r="BK136" s="220"/>
      <c r="BL136" s="213" t="s">
        <v>754</v>
      </c>
      <c r="BM136" s="58" t="s">
        <v>620</v>
      </c>
    </row>
    <row r="137" spans="1:65" ht="15.75" customHeight="1">
      <c r="A137" s="213" t="s">
        <v>1437</v>
      </c>
      <c r="B137" s="58" t="s">
        <v>184</v>
      </c>
      <c r="C137" s="58" t="s">
        <v>752</v>
      </c>
      <c r="D137" s="214" t="s">
        <v>186</v>
      </c>
      <c r="E137" s="214" t="s">
        <v>186</v>
      </c>
      <c r="F137" s="215" t="s">
        <v>186</v>
      </c>
      <c r="G137" s="216">
        <v>2023</v>
      </c>
      <c r="H137" s="213" t="s">
        <v>801</v>
      </c>
      <c r="I137" s="218" t="s">
        <v>196</v>
      </c>
      <c r="J137" s="217" t="s">
        <v>890</v>
      </c>
      <c r="K137" s="213" t="s">
        <v>235</v>
      </c>
      <c r="L137" s="213" t="s">
        <v>869</v>
      </c>
      <c r="M137" s="219" t="s">
        <v>1445</v>
      </c>
      <c r="N137" s="265">
        <v>4.42</v>
      </c>
      <c r="O137" s="265">
        <v>4.42</v>
      </c>
      <c r="P137" s="265">
        <v>4.42</v>
      </c>
      <c r="Q137" s="265">
        <v>4.42</v>
      </c>
      <c r="R137" s="265">
        <v>4.42</v>
      </c>
      <c r="S137" s="265">
        <v>4.42</v>
      </c>
      <c r="T137" s="265">
        <v>4.42</v>
      </c>
      <c r="U137" s="265">
        <v>4.42</v>
      </c>
      <c r="V137" s="265">
        <v>4.42</v>
      </c>
      <c r="W137" s="265">
        <v>4.42</v>
      </c>
      <c r="X137" s="265">
        <v>4.42</v>
      </c>
      <c r="Y137" s="265">
        <v>4.42</v>
      </c>
      <c r="Z137" s="265">
        <v>7.0000000000000007E-2</v>
      </c>
      <c r="AA137" s="265">
        <v>7.0000000000000007E-2</v>
      </c>
      <c r="AB137" s="265">
        <v>7.0000000000000007E-2</v>
      </c>
      <c r="AC137" s="265">
        <v>7.0000000000000007E-2</v>
      </c>
      <c r="AD137" s="265">
        <v>7.0000000000000007E-2</v>
      </c>
      <c r="AE137" s="265">
        <v>7.0000000000000007E-2</v>
      </c>
      <c r="AF137" s="265">
        <v>7.0000000000000007E-2</v>
      </c>
      <c r="AG137" s="265">
        <v>7.0000000000000007E-2</v>
      </c>
      <c r="AH137" s="265">
        <v>7.0000000000000007E-2</v>
      </c>
      <c r="AI137" s="265">
        <v>7.0000000000000007E-2</v>
      </c>
      <c r="AJ137" s="265">
        <v>7.0000000000000007E-2</v>
      </c>
      <c r="AK137" s="265">
        <v>7.0000000000000007E-2</v>
      </c>
      <c r="AL137" s="266">
        <v>2880</v>
      </c>
      <c r="AM137" s="265">
        <f t="shared" si="44"/>
        <v>201.60000000000002</v>
      </c>
      <c r="AN137" s="266" t="s">
        <v>573</v>
      </c>
      <c r="AO137" s="265">
        <f t="shared" si="45"/>
        <v>0</v>
      </c>
      <c r="AP137" s="266">
        <v>0</v>
      </c>
      <c r="AQ137" s="265">
        <f t="shared" si="46"/>
        <v>0</v>
      </c>
      <c r="AR137" s="266">
        <v>0</v>
      </c>
      <c r="AS137" s="262">
        <f t="shared" si="47"/>
        <v>0</v>
      </c>
      <c r="AT137" s="266">
        <v>0</v>
      </c>
      <c r="AU137" s="260">
        <f t="shared" si="48"/>
        <v>0</v>
      </c>
      <c r="AV137" s="259">
        <v>0</v>
      </c>
      <c r="AW137" s="260">
        <f t="shared" si="49"/>
        <v>0</v>
      </c>
      <c r="AX137" s="261" t="s">
        <v>573</v>
      </c>
      <c r="AY137" s="260">
        <f t="shared" si="50"/>
        <v>0</v>
      </c>
      <c r="AZ137" s="259">
        <v>0</v>
      </c>
      <c r="BA137" s="260">
        <f t="shared" si="51"/>
        <v>0</v>
      </c>
      <c r="BB137" s="259" t="s">
        <v>573</v>
      </c>
      <c r="BC137" s="260">
        <f t="shared" si="52"/>
        <v>0</v>
      </c>
      <c r="BD137" s="259" t="s">
        <v>573</v>
      </c>
      <c r="BE137" s="260">
        <f t="shared" si="53"/>
        <v>0</v>
      </c>
      <c r="BF137" s="259">
        <v>0</v>
      </c>
      <c r="BG137" s="260">
        <f t="shared" si="54"/>
        <v>0</v>
      </c>
      <c r="BH137" s="259" t="s">
        <v>573</v>
      </c>
      <c r="BI137" s="260">
        <f t="shared" si="55"/>
        <v>0</v>
      </c>
      <c r="BJ137" s="58"/>
      <c r="BK137" s="220"/>
      <c r="BL137" s="213" t="s">
        <v>754</v>
      </c>
      <c r="BM137" s="58" t="s">
        <v>620</v>
      </c>
    </row>
    <row r="138" spans="1:65" ht="15.75" customHeight="1">
      <c r="A138" s="213" t="s">
        <v>1437</v>
      </c>
      <c r="B138" s="58" t="s">
        <v>184</v>
      </c>
      <c r="C138" s="58" t="s">
        <v>752</v>
      </c>
      <c r="D138" s="214" t="s">
        <v>186</v>
      </c>
      <c r="E138" s="214" t="s">
        <v>186</v>
      </c>
      <c r="F138" s="215" t="s">
        <v>186</v>
      </c>
      <c r="G138" s="216">
        <v>2023</v>
      </c>
      <c r="H138" s="213" t="s">
        <v>801</v>
      </c>
      <c r="I138" s="218" t="s">
        <v>196</v>
      </c>
      <c r="J138" s="217" t="s">
        <v>890</v>
      </c>
      <c r="K138" s="213" t="s">
        <v>221</v>
      </c>
      <c r="L138" s="213" t="s">
        <v>192</v>
      </c>
      <c r="M138" s="219" t="s">
        <v>1389</v>
      </c>
      <c r="N138" s="265">
        <v>4.26</v>
      </c>
      <c r="O138" s="265">
        <v>4.26</v>
      </c>
      <c r="P138" s="265">
        <v>4.26</v>
      </c>
      <c r="Q138" s="265">
        <v>4.26</v>
      </c>
      <c r="R138" s="265">
        <v>4.26</v>
      </c>
      <c r="S138" s="265">
        <v>4.26</v>
      </c>
      <c r="T138" s="265">
        <v>4.26</v>
      </c>
      <c r="U138" s="265">
        <v>4.26</v>
      </c>
      <c r="V138" s="265">
        <v>4.26</v>
      </c>
      <c r="W138" s="265">
        <v>4.26</v>
      </c>
      <c r="X138" s="265">
        <v>4.26</v>
      </c>
      <c r="Y138" s="265">
        <v>4.26</v>
      </c>
      <c r="Z138" s="265">
        <v>7.0000000000000007E-2</v>
      </c>
      <c r="AA138" s="265">
        <v>7.0000000000000007E-2</v>
      </c>
      <c r="AB138" s="265">
        <v>7.0000000000000007E-2</v>
      </c>
      <c r="AC138" s="265">
        <v>7.0000000000000007E-2</v>
      </c>
      <c r="AD138" s="265">
        <v>7.0000000000000007E-2</v>
      </c>
      <c r="AE138" s="265">
        <v>7.0000000000000007E-2</v>
      </c>
      <c r="AF138" s="265">
        <v>7.0000000000000007E-2</v>
      </c>
      <c r="AG138" s="265">
        <v>7.0000000000000007E-2</v>
      </c>
      <c r="AH138" s="265">
        <v>7.0000000000000007E-2</v>
      </c>
      <c r="AI138" s="265">
        <v>7.0000000000000007E-2</v>
      </c>
      <c r="AJ138" s="265">
        <v>7.0000000000000007E-2</v>
      </c>
      <c r="AK138" s="265">
        <v>7.0000000000000007E-2</v>
      </c>
      <c r="AL138" s="266">
        <v>8640</v>
      </c>
      <c r="AM138" s="265">
        <f t="shared" si="44"/>
        <v>604.80000000000007</v>
      </c>
      <c r="AN138" s="266" t="s">
        <v>573</v>
      </c>
      <c r="AO138" s="265">
        <f t="shared" si="45"/>
        <v>0</v>
      </c>
      <c r="AP138" s="266">
        <v>0</v>
      </c>
      <c r="AQ138" s="265">
        <f t="shared" si="46"/>
        <v>0</v>
      </c>
      <c r="AR138" s="266">
        <v>0</v>
      </c>
      <c r="AS138" s="262">
        <f t="shared" si="47"/>
        <v>0</v>
      </c>
      <c r="AT138" s="266">
        <v>0</v>
      </c>
      <c r="AU138" s="260">
        <f t="shared" si="48"/>
        <v>0</v>
      </c>
      <c r="AV138" s="259">
        <v>0</v>
      </c>
      <c r="AW138" s="260">
        <f t="shared" si="49"/>
        <v>0</v>
      </c>
      <c r="AX138" s="261">
        <v>5760</v>
      </c>
      <c r="AY138" s="260">
        <f t="shared" si="50"/>
        <v>403.20000000000005</v>
      </c>
      <c r="AZ138" s="259">
        <v>8640</v>
      </c>
      <c r="BA138" s="260">
        <f t="shared" si="51"/>
        <v>604.80000000000007</v>
      </c>
      <c r="BB138" s="259">
        <v>5760</v>
      </c>
      <c r="BC138" s="260">
        <f t="shared" si="52"/>
        <v>403.20000000000005</v>
      </c>
      <c r="BD138" s="259">
        <v>5760</v>
      </c>
      <c r="BE138" s="260">
        <f t="shared" si="53"/>
        <v>403.20000000000005</v>
      </c>
      <c r="BF138" s="259">
        <v>5760</v>
      </c>
      <c r="BG138" s="260">
        <f t="shared" si="54"/>
        <v>403.20000000000005</v>
      </c>
      <c r="BH138" s="259" t="s">
        <v>573</v>
      </c>
      <c r="BI138" s="260">
        <f t="shared" si="55"/>
        <v>0</v>
      </c>
      <c r="BJ138" s="58"/>
      <c r="BK138" s="220"/>
      <c r="BL138" s="213" t="s">
        <v>763</v>
      </c>
      <c r="BM138" s="58" t="s">
        <v>631</v>
      </c>
    </row>
    <row r="139" spans="1:65" ht="15.75" customHeight="1">
      <c r="A139" s="213" t="s">
        <v>1437</v>
      </c>
      <c r="B139" s="58" t="s">
        <v>184</v>
      </c>
      <c r="C139" s="58" t="s">
        <v>752</v>
      </c>
      <c r="D139" s="214" t="s">
        <v>186</v>
      </c>
      <c r="E139" s="214" t="s">
        <v>186</v>
      </c>
      <c r="F139" s="215" t="s">
        <v>186</v>
      </c>
      <c r="G139" s="216">
        <v>2023</v>
      </c>
      <c r="H139" s="213" t="s">
        <v>801</v>
      </c>
      <c r="I139" s="218" t="s">
        <v>196</v>
      </c>
      <c r="J139" s="217" t="s">
        <v>890</v>
      </c>
      <c r="K139" s="213" t="s">
        <v>221</v>
      </c>
      <c r="L139" s="213" t="s">
        <v>192</v>
      </c>
      <c r="M139" s="219" t="s">
        <v>1388</v>
      </c>
      <c r="N139" s="265">
        <v>4.32</v>
      </c>
      <c r="O139" s="265">
        <v>4.32</v>
      </c>
      <c r="P139" s="265">
        <v>4.32</v>
      </c>
      <c r="Q139" s="265">
        <v>4.32</v>
      </c>
      <c r="R139" s="265">
        <v>4.32</v>
      </c>
      <c r="S139" s="265">
        <v>4.32</v>
      </c>
      <c r="T139" s="265">
        <v>4.32</v>
      </c>
      <c r="U139" s="265">
        <v>4.32</v>
      </c>
      <c r="V139" s="265">
        <v>4.32</v>
      </c>
      <c r="W139" s="265">
        <v>4.32</v>
      </c>
      <c r="X139" s="265">
        <v>4.32</v>
      </c>
      <c r="Y139" s="265">
        <v>4.32</v>
      </c>
      <c r="Z139" s="265">
        <v>7.0000000000000007E-2</v>
      </c>
      <c r="AA139" s="265">
        <v>7.0000000000000007E-2</v>
      </c>
      <c r="AB139" s="265">
        <v>7.0000000000000007E-2</v>
      </c>
      <c r="AC139" s="265">
        <v>7.0000000000000007E-2</v>
      </c>
      <c r="AD139" s="265">
        <v>7.0000000000000007E-2</v>
      </c>
      <c r="AE139" s="265">
        <v>7.0000000000000007E-2</v>
      </c>
      <c r="AF139" s="265">
        <v>7.0000000000000007E-2</v>
      </c>
      <c r="AG139" s="265">
        <v>7.0000000000000007E-2</v>
      </c>
      <c r="AH139" s="265">
        <v>7.0000000000000007E-2</v>
      </c>
      <c r="AI139" s="265">
        <v>7.0000000000000007E-2</v>
      </c>
      <c r="AJ139" s="265">
        <v>7.0000000000000007E-2</v>
      </c>
      <c r="AK139" s="265">
        <v>7.0000000000000007E-2</v>
      </c>
      <c r="AL139" s="266" t="s">
        <v>573</v>
      </c>
      <c r="AM139" s="265">
        <f t="shared" si="44"/>
        <v>0</v>
      </c>
      <c r="AN139" s="266" t="s">
        <v>573</v>
      </c>
      <c r="AO139" s="265">
        <f t="shared" si="45"/>
        <v>0</v>
      </c>
      <c r="AP139" s="266">
        <v>0</v>
      </c>
      <c r="AQ139" s="265">
        <f t="shared" si="46"/>
        <v>0</v>
      </c>
      <c r="AR139" s="266">
        <v>0</v>
      </c>
      <c r="AS139" s="262">
        <f t="shared" si="47"/>
        <v>0</v>
      </c>
      <c r="AT139" s="266">
        <v>0</v>
      </c>
      <c r="AU139" s="260">
        <f t="shared" si="48"/>
        <v>0</v>
      </c>
      <c r="AV139" s="259">
        <v>0</v>
      </c>
      <c r="AW139" s="260">
        <f t="shared" si="49"/>
        <v>0</v>
      </c>
      <c r="AX139" s="261" t="s">
        <v>573</v>
      </c>
      <c r="AY139" s="260">
        <f t="shared" si="50"/>
        <v>0</v>
      </c>
      <c r="AZ139" s="259" t="s">
        <v>573</v>
      </c>
      <c r="BA139" s="260">
        <f t="shared" si="51"/>
        <v>0</v>
      </c>
      <c r="BB139" s="259" t="s">
        <v>573</v>
      </c>
      <c r="BC139" s="260">
        <f t="shared" si="52"/>
        <v>0</v>
      </c>
      <c r="BD139" s="259" t="s">
        <v>573</v>
      </c>
      <c r="BE139" s="260">
        <f t="shared" si="53"/>
        <v>0</v>
      </c>
      <c r="BF139" s="259" t="s">
        <v>573</v>
      </c>
      <c r="BG139" s="260">
        <f t="shared" si="54"/>
        <v>0</v>
      </c>
      <c r="BH139" s="259" t="s">
        <v>573</v>
      </c>
      <c r="BI139" s="260">
        <f t="shared" si="55"/>
        <v>0</v>
      </c>
      <c r="BJ139" s="58"/>
      <c r="BK139" s="220"/>
      <c r="BL139" s="213" t="s">
        <v>754</v>
      </c>
      <c r="BM139" s="58" t="s">
        <v>632</v>
      </c>
    </row>
    <row r="140" spans="1:65" ht="15.75" customHeight="1">
      <c r="A140" s="213" t="s">
        <v>1437</v>
      </c>
      <c r="B140" s="58" t="s">
        <v>184</v>
      </c>
      <c r="C140" s="58" t="s">
        <v>752</v>
      </c>
      <c r="D140" s="214" t="s">
        <v>186</v>
      </c>
      <c r="E140" s="214" t="s">
        <v>186</v>
      </c>
      <c r="F140" s="215" t="s">
        <v>186</v>
      </c>
      <c r="G140" s="216">
        <v>2023</v>
      </c>
      <c r="H140" s="213" t="s">
        <v>801</v>
      </c>
      <c r="I140" s="218" t="s">
        <v>196</v>
      </c>
      <c r="J140" s="217" t="s">
        <v>890</v>
      </c>
      <c r="K140" s="213" t="s">
        <v>221</v>
      </c>
      <c r="L140" s="213" t="s">
        <v>192</v>
      </c>
      <c r="M140" s="219" t="s">
        <v>1388</v>
      </c>
      <c r="N140" s="265">
        <v>4.32</v>
      </c>
      <c r="O140" s="265">
        <v>4.32</v>
      </c>
      <c r="P140" s="265">
        <v>4.32</v>
      </c>
      <c r="Q140" s="265">
        <v>4.32</v>
      </c>
      <c r="R140" s="265">
        <v>4.32</v>
      </c>
      <c r="S140" s="265">
        <v>4.32</v>
      </c>
      <c r="T140" s="265">
        <v>4.32</v>
      </c>
      <c r="U140" s="265">
        <v>4.32</v>
      </c>
      <c r="V140" s="265">
        <v>4.32</v>
      </c>
      <c r="W140" s="265">
        <v>4.32</v>
      </c>
      <c r="X140" s="265">
        <v>4.32</v>
      </c>
      <c r="Y140" s="265">
        <v>4.32</v>
      </c>
      <c r="Z140" s="265">
        <v>7.0000000000000007E-2</v>
      </c>
      <c r="AA140" s="265">
        <v>7.0000000000000007E-2</v>
      </c>
      <c r="AB140" s="265">
        <v>7.0000000000000007E-2</v>
      </c>
      <c r="AC140" s="265">
        <v>7.0000000000000007E-2</v>
      </c>
      <c r="AD140" s="265">
        <v>7.0000000000000007E-2</v>
      </c>
      <c r="AE140" s="265">
        <v>7.0000000000000007E-2</v>
      </c>
      <c r="AF140" s="265">
        <v>7.0000000000000007E-2</v>
      </c>
      <c r="AG140" s="265">
        <v>7.0000000000000007E-2</v>
      </c>
      <c r="AH140" s="265">
        <v>7.0000000000000007E-2</v>
      </c>
      <c r="AI140" s="265">
        <v>7.0000000000000007E-2</v>
      </c>
      <c r="AJ140" s="265">
        <v>7.0000000000000007E-2</v>
      </c>
      <c r="AK140" s="265">
        <v>7.0000000000000007E-2</v>
      </c>
      <c r="AL140" s="266" t="s">
        <v>573</v>
      </c>
      <c r="AM140" s="265">
        <f t="shared" si="44"/>
        <v>0</v>
      </c>
      <c r="AN140" s="266">
        <v>2880</v>
      </c>
      <c r="AO140" s="265">
        <f t="shared" si="45"/>
        <v>201.60000000000002</v>
      </c>
      <c r="AP140" s="266">
        <v>0</v>
      </c>
      <c r="AQ140" s="265">
        <f t="shared" si="46"/>
        <v>0</v>
      </c>
      <c r="AR140" s="266">
        <v>0</v>
      </c>
      <c r="AS140" s="262">
        <f t="shared" si="47"/>
        <v>0</v>
      </c>
      <c r="AT140" s="266">
        <v>0</v>
      </c>
      <c r="AU140" s="260">
        <f t="shared" si="48"/>
        <v>0</v>
      </c>
      <c r="AV140" s="259">
        <v>0</v>
      </c>
      <c r="AW140" s="260">
        <f t="shared" si="49"/>
        <v>0</v>
      </c>
      <c r="AX140" s="261">
        <v>2880</v>
      </c>
      <c r="AY140" s="260">
        <f t="shared" si="50"/>
        <v>201.60000000000002</v>
      </c>
      <c r="AZ140" s="259">
        <v>2880</v>
      </c>
      <c r="BA140" s="260">
        <f t="shared" si="51"/>
        <v>201.60000000000002</v>
      </c>
      <c r="BB140" s="259">
        <v>5760</v>
      </c>
      <c r="BC140" s="260">
        <f t="shared" si="52"/>
        <v>403.20000000000005</v>
      </c>
      <c r="BD140" s="259">
        <v>2880</v>
      </c>
      <c r="BE140" s="260">
        <f t="shared" si="53"/>
        <v>201.60000000000002</v>
      </c>
      <c r="BF140" s="259" t="s">
        <v>573</v>
      </c>
      <c r="BG140" s="260">
        <f t="shared" si="54"/>
        <v>0</v>
      </c>
      <c r="BH140" s="259">
        <v>2880</v>
      </c>
      <c r="BI140" s="260">
        <f t="shared" si="55"/>
        <v>201.60000000000002</v>
      </c>
      <c r="BJ140" s="58"/>
      <c r="BK140" s="220"/>
      <c r="BL140" s="213" t="s">
        <v>754</v>
      </c>
      <c r="BM140" s="58" t="s">
        <v>633</v>
      </c>
    </row>
    <row r="141" spans="1:65" ht="15.75" customHeight="1">
      <c r="A141" s="213" t="s">
        <v>1437</v>
      </c>
      <c r="B141" s="58" t="s">
        <v>184</v>
      </c>
      <c r="C141" s="58" t="s">
        <v>752</v>
      </c>
      <c r="D141" s="214" t="s">
        <v>186</v>
      </c>
      <c r="E141" s="214" t="s">
        <v>186</v>
      </c>
      <c r="F141" s="215" t="s">
        <v>186</v>
      </c>
      <c r="G141" s="216">
        <v>2023</v>
      </c>
      <c r="H141" s="213" t="s">
        <v>801</v>
      </c>
      <c r="I141" s="218" t="s">
        <v>196</v>
      </c>
      <c r="J141" s="217" t="s">
        <v>890</v>
      </c>
      <c r="K141" s="213" t="s">
        <v>221</v>
      </c>
      <c r="L141" s="213" t="s">
        <v>869</v>
      </c>
      <c r="M141" s="219" t="s">
        <v>1445</v>
      </c>
      <c r="N141" s="265">
        <v>4.32</v>
      </c>
      <c r="O141" s="265">
        <v>4.32</v>
      </c>
      <c r="P141" s="265">
        <v>4.32</v>
      </c>
      <c r="Q141" s="265">
        <v>4.32</v>
      </c>
      <c r="R141" s="265">
        <v>4.32</v>
      </c>
      <c r="S141" s="265">
        <v>4.32</v>
      </c>
      <c r="T141" s="265">
        <v>4.32</v>
      </c>
      <c r="U141" s="265">
        <v>4.32</v>
      </c>
      <c r="V141" s="265">
        <v>4.32</v>
      </c>
      <c r="W141" s="265">
        <v>4.32</v>
      </c>
      <c r="X141" s="265">
        <v>4.32</v>
      </c>
      <c r="Y141" s="265">
        <v>4.32</v>
      </c>
      <c r="Z141" s="265">
        <v>7.0000000000000007E-2</v>
      </c>
      <c r="AA141" s="265">
        <v>7.0000000000000007E-2</v>
      </c>
      <c r="AB141" s="265">
        <v>7.0000000000000007E-2</v>
      </c>
      <c r="AC141" s="265">
        <v>7.0000000000000007E-2</v>
      </c>
      <c r="AD141" s="265">
        <v>7.0000000000000007E-2</v>
      </c>
      <c r="AE141" s="265">
        <v>7.0000000000000007E-2</v>
      </c>
      <c r="AF141" s="265">
        <v>7.0000000000000007E-2</v>
      </c>
      <c r="AG141" s="265">
        <v>7.0000000000000007E-2</v>
      </c>
      <c r="AH141" s="265">
        <v>7.0000000000000007E-2</v>
      </c>
      <c r="AI141" s="265">
        <v>7.0000000000000007E-2</v>
      </c>
      <c r="AJ141" s="265">
        <v>7.0000000000000007E-2</v>
      </c>
      <c r="AK141" s="265">
        <v>7.0000000000000007E-2</v>
      </c>
      <c r="AL141" s="266">
        <v>5760</v>
      </c>
      <c r="AM141" s="265">
        <f t="shared" si="44"/>
        <v>403.20000000000005</v>
      </c>
      <c r="AN141" s="266" t="s">
        <v>573</v>
      </c>
      <c r="AO141" s="265">
        <f t="shared" si="45"/>
        <v>0</v>
      </c>
      <c r="AP141" s="266">
        <v>0</v>
      </c>
      <c r="AQ141" s="265">
        <f t="shared" si="46"/>
        <v>0</v>
      </c>
      <c r="AR141" s="266">
        <v>0</v>
      </c>
      <c r="AS141" s="262">
        <f t="shared" si="47"/>
        <v>0</v>
      </c>
      <c r="AT141" s="266">
        <v>5120</v>
      </c>
      <c r="AU141" s="260">
        <f t="shared" si="48"/>
        <v>358.40000000000003</v>
      </c>
      <c r="AV141" s="259">
        <v>8640</v>
      </c>
      <c r="AW141" s="260">
        <f t="shared" si="49"/>
        <v>604.80000000000007</v>
      </c>
      <c r="AX141" s="261">
        <v>0</v>
      </c>
      <c r="AY141" s="260">
        <f t="shared" si="50"/>
        <v>0</v>
      </c>
      <c r="AZ141" s="259">
        <v>0</v>
      </c>
      <c r="BA141" s="260">
        <f t="shared" si="51"/>
        <v>0</v>
      </c>
      <c r="BB141" s="259">
        <v>0</v>
      </c>
      <c r="BC141" s="260">
        <f t="shared" si="52"/>
        <v>0</v>
      </c>
      <c r="BD141" s="259">
        <v>0</v>
      </c>
      <c r="BE141" s="260">
        <f t="shared" si="53"/>
        <v>0</v>
      </c>
      <c r="BF141" s="259" t="s">
        <v>573</v>
      </c>
      <c r="BG141" s="260">
        <f t="shared" si="54"/>
        <v>0</v>
      </c>
      <c r="BH141" s="259">
        <v>0</v>
      </c>
      <c r="BI141" s="260">
        <f t="shared" si="55"/>
        <v>0</v>
      </c>
      <c r="BJ141" s="58"/>
      <c r="BK141" s="220"/>
      <c r="BL141" s="213" t="s">
        <v>754</v>
      </c>
      <c r="BM141" s="58" t="s">
        <v>633</v>
      </c>
    </row>
    <row r="142" spans="1:65" ht="15.75" customHeight="1">
      <c r="A142" s="213" t="s">
        <v>1439</v>
      </c>
      <c r="B142" s="58" t="s">
        <v>184</v>
      </c>
      <c r="C142" s="58" t="s">
        <v>102</v>
      </c>
      <c r="D142" s="214" t="s">
        <v>186</v>
      </c>
      <c r="E142" s="214" t="s">
        <v>186</v>
      </c>
      <c r="F142" s="215" t="s">
        <v>186</v>
      </c>
      <c r="G142" s="216">
        <v>2021</v>
      </c>
      <c r="H142" s="213" t="s">
        <v>280</v>
      </c>
      <c r="I142" s="218" t="s">
        <v>196</v>
      </c>
      <c r="J142" s="217" t="s">
        <v>120</v>
      </c>
      <c r="K142" s="213" t="s">
        <v>221</v>
      </c>
      <c r="L142" s="213" t="s">
        <v>1449</v>
      </c>
      <c r="M142" s="219" t="s">
        <v>1396</v>
      </c>
      <c r="N142" s="265">
        <v>4.32</v>
      </c>
      <c r="O142" s="265">
        <v>4.32</v>
      </c>
      <c r="P142" s="265">
        <v>4.32</v>
      </c>
      <c r="Q142" s="265">
        <v>4.32</v>
      </c>
      <c r="R142" s="265">
        <v>4.32</v>
      </c>
      <c r="S142" s="265">
        <v>4.32</v>
      </c>
      <c r="T142" s="265">
        <v>4.32</v>
      </c>
      <c r="U142" s="265">
        <v>4.32</v>
      </c>
      <c r="V142" s="265">
        <v>4.32</v>
      </c>
      <c r="W142" s="265">
        <v>4.32</v>
      </c>
      <c r="X142" s="265">
        <v>4.32</v>
      </c>
      <c r="Y142" s="265">
        <v>4.32</v>
      </c>
      <c r="Z142" s="265">
        <v>7.0000000000000007E-2</v>
      </c>
      <c r="AA142" s="265">
        <v>7.0000000000000007E-2</v>
      </c>
      <c r="AB142" s="265">
        <v>7.0000000000000007E-2</v>
      </c>
      <c r="AC142" s="265">
        <v>7.0000000000000007E-2</v>
      </c>
      <c r="AD142" s="265">
        <v>7.0000000000000007E-2</v>
      </c>
      <c r="AE142" s="265">
        <v>7.0000000000000007E-2</v>
      </c>
      <c r="AF142" s="265">
        <v>7.0000000000000007E-2</v>
      </c>
      <c r="AG142" s="265">
        <v>7.0000000000000007E-2</v>
      </c>
      <c r="AH142" s="265">
        <v>7.0000000000000007E-2</v>
      </c>
      <c r="AI142" s="265">
        <v>7.0000000000000007E-2</v>
      </c>
      <c r="AJ142" s="265">
        <v>7.0000000000000007E-2</v>
      </c>
      <c r="AK142" s="265">
        <v>7.0000000000000007E-2</v>
      </c>
      <c r="AL142" s="266" t="s">
        <v>573</v>
      </c>
      <c r="AM142" s="265">
        <v>0</v>
      </c>
      <c r="AN142" s="266">
        <v>2880</v>
      </c>
      <c r="AO142" s="265">
        <f t="shared" si="45"/>
        <v>201.60000000000002</v>
      </c>
      <c r="AP142" s="266">
        <v>0</v>
      </c>
      <c r="AQ142" s="265">
        <v>0</v>
      </c>
      <c r="AR142" s="266">
        <v>0</v>
      </c>
      <c r="AS142" s="262">
        <v>0</v>
      </c>
      <c r="AT142" s="266">
        <v>2880</v>
      </c>
      <c r="AU142" s="260">
        <f t="shared" si="48"/>
        <v>201.60000000000002</v>
      </c>
      <c r="AV142" s="259">
        <v>2880</v>
      </c>
      <c r="AW142" s="260">
        <v>0</v>
      </c>
      <c r="AX142" s="261">
        <v>0</v>
      </c>
      <c r="AY142" s="260">
        <v>0</v>
      </c>
      <c r="AZ142" s="259">
        <v>0</v>
      </c>
      <c r="BA142" s="260">
        <v>0</v>
      </c>
      <c r="BB142" s="259">
        <v>0</v>
      </c>
      <c r="BC142" s="260">
        <v>0</v>
      </c>
      <c r="BD142" s="259">
        <v>0</v>
      </c>
      <c r="BE142" s="260">
        <v>0</v>
      </c>
      <c r="BF142" s="259">
        <v>0</v>
      </c>
      <c r="BG142" s="260">
        <v>0</v>
      </c>
      <c r="BH142" s="259">
        <v>0</v>
      </c>
      <c r="BI142" s="260">
        <f t="shared" si="55"/>
        <v>0</v>
      </c>
      <c r="BJ142" s="213"/>
      <c r="BK142" s="220"/>
      <c r="BL142" s="213" t="s">
        <v>1322</v>
      </c>
      <c r="BM142" s="213" t="s">
        <v>559</v>
      </c>
    </row>
    <row r="143" spans="1:65" ht="15.75" customHeight="1">
      <c r="A143" s="213" t="s">
        <v>1437</v>
      </c>
      <c r="B143" s="58" t="s">
        <v>184</v>
      </c>
      <c r="C143" s="58" t="s">
        <v>752</v>
      </c>
      <c r="D143" s="214" t="s">
        <v>186</v>
      </c>
      <c r="E143" s="214" t="s">
        <v>186</v>
      </c>
      <c r="F143" s="215" t="s">
        <v>186</v>
      </c>
      <c r="G143" s="216">
        <v>2021</v>
      </c>
      <c r="H143" s="218" t="s">
        <v>810</v>
      </c>
      <c r="I143" s="218" t="s">
        <v>196</v>
      </c>
      <c r="J143" s="217" t="s">
        <v>890</v>
      </c>
      <c r="K143" s="213" t="s">
        <v>221</v>
      </c>
      <c r="L143" s="213" t="s">
        <v>192</v>
      </c>
      <c r="M143" s="219" t="s">
        <v>1397</v>
      </c>
      <c r="N143" s="265">
        <v>4.43</v>
      </c>
      <c r="O143" s="265">
        <v>4.43</v>
      </c>
      <c r="P143" s="265">
        <v>4.43</v>
      </c>
      <c r="Q143" s="265">
        <v>4.43</v>
      </c>
      <c r="R143" s="265">
        <v>4.43</v>
      </c>
      <c r="S143" s="265">
        <v>4.43</v>
      </c>
      <c r="T143" s="265">
        <v>4.43</v>
      </c>
      <c r="U143" s="265">
        <v>4.43</v>
      </c>
      <c r="V143" s="265">
        <v>4.43</v>
      </c>
      <c r="W143" s="265">
        <v>4.43</v>
      </c>
      <c r="X143" s="265">
        <v>4.43</v>
      </c>
      <c r="Y143" s="265">
        <v>4.43</v>
      </c>
      <c r="Z143" s="265">
        <v>0</v>
      </c>
      <c r="AA143" s="265">
        <v>0</v>
      </c>
      <c r="AB143" s="265">
        <v>0</v>
      </c>
      <c r="AC143" s="265">
        <v>0</v>
      </c>
      <c r="AD143" s="265">
        <v>0</v>
      </c>
      <c r="AE143" s="265">
        <v>0</v>
      </c>
      <c r="AF143" s="265">
        <v>0</v>
      </c>
      <c r="AG143" s="265">
        <v>0</v>
      </c>
      <c r="AH143" s="265">
        <v>0</v>
      </c>
      <c r="AI143" s="265">
        <v>0</v>
      </c>
      <c r="AJ143" s="265">
        <v>0</v>
      </c>
      <c r="AK143" s="265">
        <v>0</v>
      </c>
      <c r="AL143" s="266" t="s">
        <v>573</v>
      </c>
      <c r="AM143" s="265">
        <f t="shared" ref="AM143:AM206" si="56">Z143*AL143</f>
        <v>0</v>
      </c>
      <c r="AN143" s="266" t="s">
        <v>573</v>
      </c>
      <c r="AO143" s="265">
        <f t="shared" si="45"/>
        <v>0</v>
      </c>
      <c r="AP143" s="266">
        <v>0</v>
      </c>
      <c r="AQ143" s="265">
        <f t="shared" ref="AQ143:AQ206" si="57">AP143*AB143</f>
        <v>0</v>
      </c>
      <c r="AR143" s="266">
        <v>0</v>
      </c>
      <c r="AS143" s="262">
        <f t="shared" ref="AS143:AS206" si="58">AR143*AC143</f>
        <v>0</v>
      </c>
      <c r="AT143" s="266">
        <v>0</v>
      </c>
      <c r="AU143" s="260">
        <f t="shared" ref="AU143:AU206" si="59">AT143*AD143</f>
        <v>0</v>
      </c>
      <c r="AV143" s="259">
        <v>0</v>
      </c>
      <c r="AW143" s="260">
        <f t="shared" ref="AW143:AW206" si="60">AV143*AE143</f>
        <v>0</v>
      </c>
      <c r="AX143" s="261" t="s">
        <v>573</v>
      </c>
      <c r="AY143" s="260">
        <f t="shared" ref="AY143:AY206" si="61">AX143*AF143</f>
        <v>0</v>
      </c>
      <c r="AZ143" s="259" t="s">
        <v>573</v>
      </c>
      <c r="BA143" s="260">
        <f t="shared" ref="BA143:BA206" si="62">AZ143*AG143</f>
        <v>0</v>
      </c>
      <c r="BB143" s="259" t="s">
        <v>573</v>
      </c>
      <c r="BC143" s="260">
        <f t="shared" ref="BC143:BC206" si="63">BB143*AH143</f>
        <v>0</v>
      </c>
      <c r="BD143" s="259" t="s">
        <v>573</v>
      </c>
      <c r="BE143" s="260">
        <f t="shared" ref="BE143:BE206" si="64">BD143*AI143</f>
        <v>0</v>
      </c>
      <c r="BF143" s="259" t="s">
        <v>573</v>
      </c>
      <c r="BG143" s="260">
        <f t="shared" ref="BG143:BG206" si="65">BF143*AJ143</f>
        <v>0</v>
      </c>
      <c r="BH143" s="259" t="s">
        <v>573</v>
      </c>
      <c r="BI143" s="260">
        <f t="shared" si="55"/>
        <v>0</v>
      </c>
      <c r="BJ143" s="58"/>
      <c r="BK143" s="220"/>
      <c r="BL143" s="213" t="s">
        <v>754</v>
      </c>
      <c r="BM143" s="58" t="s">
        <v>570</v>
      </c>
    </row>
    <row r="144" spans="1:65" ht="15.75" customHeight="1">
      <c r="A144" s="213" t="s">
        <v>1437</v>
      </c>
      <c r="B144" s="58" t="s">
        <v>184</v>
      </c>
      <c r="C144" s="58" t="s">
        <v>752</v>
      </c>
      <c r="D144" s="214" t="s">
        <v>186</v>
      </c>
      <c r="E144" s="214" t="s">
        <v>186</v>
      </c>
      <c r="F144" s="215" t="s">
        <v>186</v>
      </c>
      <c r="G144" s="216">
        <v>2021</v>
      </c>
      <c r="H144" s="218" t="s">
        <v>810</v>
      </c>
      <c r="I144" s="218" t="s">
        <v>196</v>
      </c>
      <c r="J144" s="217" t="s">
        <v>890</v>
      </c>
      <c r="K144" s="213" t="s">
        <v>221</v>
      </c>
      <c r="L144" s="213" t="s">
        <v>192</v>
      </c>
      <c r="M144" s="219" t="s">
        <v>1388</v>
      </c>
      <c r="N144" s="265">
        <v>4.49</v>
      </c>
      <c r="O144" s="265">
        <v>4.49</v>
      </c>
      <c r="P144" s="265">
        <v>4.49</v>
      </c>
      <c r="Q144" s="265">
        <v>4.49</v>
      </c>
      <c r="R144" s="265">
        <v>4.49</v>
      </c>
      <c r="S144" s="265">
        <v>4.49</v>
      </c>
      <c r="T144" s="265">
        <v>4.49</v>
      </c>
      <c r="U144" s="265">
        <v>4.49</v>
      </c>
      <c r="V144" s="265">
        <v>4.49</v>
      </c>
      <c r="W144" s="265">
        <v>4.49</v>
      </c>
      <c r="X144" s="265">
        <v>4.49</v>
      </c>
      <c r="Y144" s="265">
        <v>4.49</v>
      </c>
      <c r="Z144" s="265">
        <v>0</v>
      </c>
      <c r="AA144" s="265">
        <v>0</v>
      </c>
      <c r="AB144" s="265">
        <v>0</v>
      </c>
      <c r="AC144" s="265">
        <v>0</v>
      </c>
      <c r="AD144" s="265">
        <v>0</v>
      </c>
      <c r="AE144" s="265">
        <v>0</v>
      </c>
      <c r="AF144" s="265">
        <v>0</v>
      </c>
      <c r="AG144" s="265">
        <v>0</v>
      </c>
      <c r="AH144" s="265">
        <v>0</v>
      </c>
      <c r="AI144" s="265">
        <v>0</v>
      </c>
      <c r="AJ144" s="265">
        <v>0</v>
      </c>
      <c r="AK144" s="265">
        <v>0</v>
      </c>
      <c r="AL144" s="266" t="s">
        <v>573</v>
      </c>
      <c r="AM144" s="265">
        <f t="shared" si="56"/>
        <v>0</v>
      </c>
      <c r="AN144" s="266" t="s">
        <v>573</v>
      </c>
      <c r="AO144" s="265">
        <f t="shared" si="45"/>
        <v>0</v>
      </c>
      <c r="AP144" s="266">
        <v>0</v>
      </c>
      <c r="AQ144" s="265">
        <f t="shared" si="57"/>
        <v>0</v>
      </c>
      <c r="AR144" s="266">
        <v>0</v>
      </c>
      <c r="AS144" s="262">
        <f t="shared" si="58"/>
        <v>0</v>
      </c>
      <c r="AT144" s="266">
        <v>0</v>
      </c>
      <c r="AU144" s="260">
        <f t="shared" si="59"/>
        <v>0</v>
      </c>
      <c r="AV144" s="259">
        <v>0</v>
      </c>
      <c r="AW144" s="260">
        <f t="shared" si="60"/>
        <v>0</v>
      </c>
      <c r="AX144" s="261" t="s">
        <v>573</v>
      </c>
      <c r="AY144" s="260">
        <f t="shared" si="61"/>
        <v>0</v>
      </c>
      <c r="AZ144" s="259" t="s">
        <v>573</v>
      </c>
      <c r="BA144" s="260">
        <f t="shared" si="62"/>
        <v>0</v>
      </c>
      <c r="BB144" s="259" t="s">
        <v>573</v>
      </c>
      <c r="BC144" s="260">
        <f t="shared" si="63"/>
        <v>0</v>
      </c>
      <c r="BD144" s="259" t="s">
        <v>573</v>
      </c>
      <c r="BE144" s="260">
        <f t="shared" si="64"/>
        <v>0</v>
      </c>
      <c r="BF144" s="259" t="s">
        <v>573</v>
      </c>
      <c r="BG144" s="260">
        <f t="shared" si="65"/>
        <v>0</v>
      </c>
      <c r="BH144" s="259" t="s">
        <v>573</v>
      </c>
      <c r="BI144" s="260">
        <f t="shared" si="55"/>
        <v>0</v>
      </c>
      <c r="BJ144" s="58"/>
      <c r="BK144" s="220"/>
      <c r="BL144" s="213" t="s">
        <v>754</v>
      </c>
      <c r="BM144" s="58" t="s">
        <v>571</v>
      </c>
    </row>
    <row r="145" spans="1:65" ht="15.75" customHeight="1">
      <c r="A145" s="213" t="s">
        <v>1437</v>
      </c>
      <c r="B145" s="58" t="s">
        <v>184</v>
      </c>
      <c r="C145" s="58" t="s">
        <v>752</v>
      </c>
      <c r="D145" s="214" t="s">
        <v>186</v>
      </c>
      <c r="E145" s="214" t="s">
        <v>186</v>
      </c>
      <c r="F145" s="215" t="s">
        <v>186</v>
      </c>
      <c r="G145" s="216">
        <v>2021</v>
      </c>
      <c r="H145" s="218" t="s">
        <v>810</v>
      </c>
      <c r="I145" s="218" t="s">
        <v>196</v>
      </c>
      <c r="J145" s="217" t="s">
        <v>890</v>
      </c>
      <c r="K145" s="213" t="s">
        <v>221</v>
      </c>
      <c r="L145" s="213" t="s">
        <v>192</v>
      </c>
      <c r="M145" s="219" t="s">
        <v>1388</v>
      </c>
      <c r="N145" s="265">
        <v>4.51</v>
      </c>
      <c r="O145" s="265">
        <v>4.51</v>
      </c>
      <c r="P145" s="265">
        <v>4.51</v>
      </c>
      <c r="Q145" s="265">
        <v>4.51</v>
      </c>
      <c r="R145" s="265">
        <v>4.51</v>
      </c>
      <c r="S145" s="265">
        <v>4.51</v>
      </c>
      <c r="T145" s="265">
        <v>4.51</v>
      </c>
      <c r="U145" s="265">
        <v>4.51</v>
      </c>
      <c r="V145" s="265">
        <v>4.51</v>
      </c>
      <c r="W145" s="265">
        <v>4.51</v>
      </c>
      <c r="X145" s="265">
        <v>4.51</v>
      </c>
      <c r="Y145" s="265">
        <v>4.51</v>
      </c>
      <c r="Z145" s="265">
        <v>0</v>
      </c>
      <c r="AA145" s="265">
        <v>0</v>
      </c>
      <c r="AB145" s="265">
        <v>0</v>
      </c>
      <c r="AC145" s="265">
        <v>0</v>
      </c>
      <c r="AD145" s="265">
        <v>0</v>
      </c>
      <c r="AE145" s="265">
        <v>0</v>
      </c>
      <c r="AF145" s="265">
        <v>0</v>
      </c>
      <c r="AG145" s="265">
        <v>0</v>
      </c>
      <c r="AH145" s="265">
        <v>0</v>
      </c>
      <c r="AI145" s="265">
        <v>0</v>
      </c>
      <c r="AJ145" s="265">
        <v>0</v>
      </c>
      <c r="AK145" s="265">
        <v>0</v>
      </c>
      <c r="AL145" s="266" t="s">
        <v>573</v>
      </c>
      <c r="AM145" s="265">
        <f t="shared" si="56"/>
        <v>0</v>
      </c>
      <c r="AN145" s="266" t="s">
        <v>573</v>
      </c>
      <c r="AO145" s="265">
        <f t="shared" si="45"/>
        <v>0</v>
      </c>
      <c r="AP145" s="266">
        <v>0</v>
      </c>
      <c r="AQ145" s="265">
        <f t="shared" si="57"/>
        <v>0</v>
      </c>
      <c r="AR145" s="266">
        <v>0</v>
      </c>
      <c r="AS145" s="262">
        <f t="shared" si="58"/>
        <v>0</v>
      </c>
      <c r="AT145" s="266">
        <v>0</v>
      </c>
      <c r="AU145" s="260">
        <f t="shared" si="59"/>
        <v>0</v>
      </c>
      <c r="AV145" s="259">
        <v>0</v>
      </c>
      <c r="AW145" s="260">
        <f t="shared" si="60"/>
        <v>0</v>
      </c>
      <c r="AX145" s="261" t="s">
        <v>573</v>
      </c>
      <c r="AY145" s="260">
        <f t="shared" si="61"/>
        <v>0</v>
      </c>
      <c r="AZ145" s="259" t="s">
        <v>573</v>
      </c>
      <c r="BA145" s="260">
        <f t="shared" si="62"/>
        <v>0</v>
      </c>
      <c r="BB145" s="259" t="s">
        <v>573</v>
      </c>
      <c r="BC145" s="260">
        <f t="shared" si="63"/>
        <v>0</v>
      </c>
      <c r="BD145" s="259" t="s">
        <v>573</v>
      </c>
      <c r="BE145" s="260">
        <f t="shared" si="64"/>
        <v>0</v>
      </c>
      <c r="BF145" s="259" t="s">
        <v>573</v>
      </c>
      <c r="BG145" s="260">
        <f t="shared" si="65"/>
        <v>0</v>
      </c>
      <c r="BH145" s="259" t="s">
        <v>573</v>
      </c>
      <c r="BI145" s="260">
        <f t="shared" si="55"/>
        <v>0</v>
      </c>
      <c r="BJ145" s="58"/>
      <c r="BK145" s="220"/>
      <c r="BL145" s="213" t="s">
        <v>1310</v>
      </c>
      <c r="BM145" s="58" t="s">
        <v>568</v>
      </c>
    </row>
    <row r="146" spans="1:65" ht="15.75" customHeight="1">
      <c r="A146" s="213" t="s">
        <v>1437</v>
      </c>
      <c r="B146" s="58" t="s">
        <v>184</v>
      </c>
      <c r="C146" s="58" t="s">
        <v>752</v>
      </c>
      <c r="D146" s="214" t="s">
        <v>186</v>
      </c>
      <c r="E146" s="214" t="s">
        <v>186</v>
      </c>
      <c r="F146" s="215" t="s">
        <v>186</v>
      </c>
      <c r="G146" s="216">
        <v>2021</v>
      </c>
      <c r="H146" s="218" t="s">
        <v>810</v>
      </c>
      <c r="I146" s="218" t="s">
        <v>196</v>
      </c>
      <c r="J146" s="217" t="s">
        <v>890</v>
      </c>
      <c r="K146" s="213" t="s">
        <v>221</v>
      </c>
      <c r="L146" s="213" t="s">
        <v>192</v>
      </c>
      <c r="M146" s="219" t="s">
        <v>1391</v>
      </c>
      <c r="N146" s="265">
        <v>4.3899999999999997</v>
      </c>
      <c r="O146" s="265">
        <v>4.3899999999999997</v>
      </c>
      <c r="P146" s="265">
        <v>4.3899999999999997</v>
      </c>
      <c r="Q146" s="265">
        <v>4.3899999999999997</v>
      </c>
      <c r="R146" s="265">
        <v>4.3899999999999997</v>
      </c>
      <c r="S146" s="265">
        <v>4.3899999999999997</v>
      </c>
      <c r="T146" s="265">
        <v>4.3899999999999997</v>
      </c>
      <c r="U146" s="265">
        <v>4.3899999999999997</v>
      </c>
      <c r="V146" s="265">
        <v>4.3899999999999997</v>
      </c>
      <c r="W146" s="265">
        <v>4.3899999999999997</v>
      </c>
      <c r="X146" s="265">
        <v>4.3899999999999997</v>
      </c>
      <c r="Y146" s="265">
        <v>4.3899999999999997</v>
      </c>
      <c r="Z146" s="265">
        <v>0</v>
      </c>
      <c r="AA146" s="265">
        <v>0</v>
      </c>
      <c r="AB146" s="265">
        <v>0</v>
      </c>
      <c r="AC146" s="265">
        <v>0</v>
      </c>
      <c r="AD146" s="265">
        <v>0</v>
      </c>
      <c r="AE146" s="265">
        <v>0</v>
      </c>
      <c r="AF146" s="265">
        <v>0</v>
      </c>
      <c r="AG146" s="265">
        <v>0</v>
      </c>
      <c r="AH146" s="265">
        <v>0</v>
      </c>
      <c r="AI146" s="265">
        <v>0</v>
      </c>
      <c r="AJ146" s="265">
        <v>0</v>
      </c>
      <c r="AK146" s="265">
        <v>0</v>
      </c>
      <c r="AL146" s="266" t="s">
        <v>573</v>
      </c>
      <c r="AM146" s="265">
        <f t="shared" si="56"/>
        <v>0</v>
      </c>
      <c r="AN146" s="266" t="s">
        <v>573</v>
      </c>
      <c r="AO146" s="265">
        <f t="shared" si="45"/>
        <v>0</v>
      </c>
      <c r="AP146" s="266">
        <v>0</v>
      </c>
      <c r="AQ146" s="265">
        <f t="shared" si="57"/>
        <v>0</v>
      </c>
      <c r="AR146" s="266">
        <v>0</v>
      </c>
      <c r="AS146" s="262">
        <f t="shared" si="58"/>
        <v>0</v>
      </c>
      <c r="AT146" s="266">
        <v>0</v>
      </c>
      <c r="AU146" s="260">
        <f t="shared" si="59"/>
        <v>0</v>
      </c>
      <c r="AV146" s="259">
        <v>0</v>
      </c>
      <c r="AW146" s="260">
        <f t="shared" si="60"/>
        <v>0</v>
      </c>
      <c r="AX146" s="261" t="s">
        <v>573</v>
      </c>
      <c r="AY146" s="260">
        <f t="shared" si="61"/>
        <v>0</v>
      </c>
      <c r="AZ146" s="259" t="s">
        <v>573</v>
      </c>
      <c r="BA146" s="260">
        <f t="shared" si="62"/>
        <v>0</v>
      </c>
      <c r="BB146" s="259" t="s">
        <v>573</v>
      </c>
      <c r="BC146" s="260">
        <f t="shared" si="63"/>
        <v>0</v>
      </c>
      <c r="BD146" s="259" t="s">
        <v>573</v>
      </c>
      <c r="BE146" s="260">
        <f t="shared" si="64"/>
        <v>0</v>
      </c>
      <c r="BF146" s="259" t="s">
        <v>573</v>
      </c>
      <c r="BG146" s="260">
        <f t="shared" si="65"/>
        <v>0</v>
      </c>
      <c r="BH146" s="259" t="s">
        <v>573</v>
      </c>
      <c r="BI146" s="260">
        <f t="shared" si="55"/>
        <v>0</v>
      </c>
      <c r="BJ146" s="58"/>
      <c r="BK146" s="220"/>
      <c r="BL146" s="213" t="s">
        <v>807</v>
      </c>
      <c r="BM146" s="213" t="s">
        <v>567</v>
      </c>
    </row>
    <row r="147" spans="1:65" ht="15.75" customHeight="1">
      <c r="A147" s="213" t="s">
        <v>1437</v>
      </c>
      <c r="B147" s="58" t="s">
        <v>184</v>
      </c>
      <c r="C147" s="58" t="s">
        <v>752</v>
      </c>
      <c r="D147" s="214" t="s">
        <v>186</v>
      </c>
      <c r="E147" s="214" t="s">
        <v>186</v>
      </c>
      <c r="F147" s="215" t="s">
        <v>186</v>
      </c>
      <c r="G147" s="216">
        <v>2021</v>
      </c>
      <c r="H147" s="218" t="s">
        <v>810</v>
      </c>
      <c r="I147" s="218" t="s">
        <v>196</v>
      </c>
      <c r="J147" s="217" t="s">
        <v>890</v>
      </c>
      <c r="K147" s="213" t="s">
        <v>221</v>
      </c>
      <c r="L147" s="213" t="s">
        <v>192</v>
      </c>
      <c r="M147" s="219" t="s">
        <v>1389</v>
      </c>
      <c r="N147" s="265">
        <v>4.43</v>
      </c>
      <c r="O147" s="265">
        <v>4.43</v>
      </c>
      <c r="P147" s="265">
        <v>4.43</v>
      </c>
      <c r="Q147" s="265">
        <v>4.43</v>
      </c>
      <c r="R147" s="265">
        <v>4.43</v>
      </c>
      <c r="S147" s="265">
        <v>4.43</v>
      </c>
      <c r="T147" s="265">
        <v>4.43</v>
      </c>
      <c r="U147" s="265">
        <v>4.43</v>
      </c>
      <c r="V147" s="265">
        <v>4.43</v>
      </c>
      <c r="W147" s="265">
        <v>4.43</v>
      </c>
      <c r="X147" s="265">
        <v>4.43</v>
      </c>
      <c r="Y147" s="265">
        <v>4.43</v>
      </c>
      <c r="Z147" s="265">
        <v>0</v>
      </c>
      <c r="AA147" s="265">
        <v>0</v>
      </c>
      <c r="AB147" s="265">
        <v>0</v>
      </c>
      <c r="AC147" s="265">
        <v>0</v>
      </c>
      <c r="AD147" s="265">
        <v>0</v>
      </c>
      <c r="AE147" s="265">
        <v>0</v>
      </c>
      <c r="AF147" s="265">
        <v>0</v>
      </c>
      <c r="AG147" s="265">
        <v>0</v>
      </c>
      <c r="AH147" s="265">
        <v>0</v>
      </c>
      <c r="AI147" s="265">
        <v>0</v>
      </c>
      <c r="AJ147" s="265">
        <v>0</v>
      </c>
      <c r="AK147" s="265">
        <v>0</v>
      </c>
      <c r="AL147" s="266" t="s">
        <v>573</v>
      </c>
      <c r="AM147" s="265">
        <f t="shared" si="56"/>
        <v>0</v>
      </c>
      <c r="AN147" s="266" t="s">
        <v>573</v>
      </c>
      <c r="AO147" s="265">
        <f t="shared" si="45"/>
        <v>0</v>
      </c>
      <c r="AP147" s="266">
        <v>0</v>
      </c>
      <c r="AQ147" s="265">
        <f t="shared" si="57"/>
        <v>0</v>
      </c>
      <c r="AR147" s="266">
        <v>0</v>
      </c>
      <c r="AS147" s="262">
        <f t="shared" si="58"/>
        <v>0</v>
      </c>
      <c r="AT147" s="266">
        <v>0</v>
      </c>
      <c r="AU147" s="260">
        <f t="shared" si="59"/>
        <v>0</v>
      </c>
      <c r="AV147" s="259">
        <v>0</v>
      </c>
      <c r="AW147" s="260">
        <f t="shared" si="60"/>
        <v>0</v>
      </c>
      <c r="AX147" s="261">
        <v>16385</v>
      </c>
      <c r="AY147" s="260">
        <f t="shared" si="61"/>
        <v>0</v>
      </c>
      <c r="AZ147" s="259">
        <v>13505</v>
      </c>
      <c r="BA147" s="260">
        <f t="shared" si="62"/>
        <v>0</v>
      </c>
      <c r="BB147" s="259">
        <v>4865</v>
      </c>
      <c r="BC147" s="260">
        <f t="shared" si="63"/>
        <v>0</v>
      </c>
      <c r="BD147" s="259">
        <v>13505</v>
      </c>
      <c r="BE147" s="260">
        <f t="shared" si="64"/>
        <v>0</v>
      </c>
      <c r="BF147" s="259">
        <v>10625</v>
      </c>
      <c r="BG147" s="260">
        <f t="shared" si="65"/>
        <v>0</v>
      </c>
      <c r="BH147" s="259">
        <v>10625</v>
      </c>
      <c r="BI147" s="260">
        <f t="shared" si="55"/>
        <v>0</v>
      </c>
      <c r="BJ147" s="58"/>
      <c r="BK147" s="220"/>
      <c r="BL147" s="213" t="s">
        <v>763</v>
      </c>
      <c r="BM147" s="213" t="s">
        <v>575</v>
      </c>
    </row>
    <row r="148" spans="1:65" ht="15.75" customHeight="1">
      <c r="A148" s="213" t="s">
        <v>1437</v>
      </c>
      <c r="B148" s="58" t="s">
        <v>184</v>
      </c>
      <c r="C148" s="58" t="s">
        <v>752</v>
      </c>
      <c r="D148" s="214" t="s">
        <v>186</v>
      </c>
      <c r="E148" s="214" t="s">
        <v>186</v>
      </c>
      <c r="F148" s="215" t="s">
        <v>186</v>
      </c>
      <c r="G148" s="216">
        <v>2021</v>
      </c>
      <c r="H148" s="218" t="s">
        <v>810</v>
      </c>
      <c r="I148" s="218" t="s">
        <v>196</v>
      </c>
      <c r="J148" s="217" t="s">
        <v>890</v>
      </c>
      <c r="K148" s="213" t="s">
        <v>221</v>
      </c>
      <c r="L148" s="213" t="s">
        <v>192</v>
      </c>
      <c r="M148" s="219" t="s">
        <v>1388</v>
      </c>
      <c r="N148" s="265">
        <v>4.51</v>
      </c>
      <c r="O148" s="265">
        <v>4.51</v>
      </c>
      <c r="P148" s="265">
        <v>4.51</v>
      </c>
      <c r="Q148" s="265">
        <v>4.51</v>
      </c>
      <c r="R148" s="265">
        <v>4.51</v>
      </c>
      <c r="S148" s="265">
        <v>4.51</v>
      </c>
      <c r="T148" s="265">
        <v>4.51</v>
      </c>
      <c r="U148" s="265">
        <v>4.51</v>
      </c>
      <c r="V148" s="265">
        <v>4.51</v>
      </c>
      <c r="W148" s="265">
        <v>4.51</v>
      </c>
      <c r="X148" s="265">
        <v>4.51</v>
      </c>
      <c r="Y148" s="265">
        <v>4.51</v>
      </c>
      <c r="Z148" s="265">
        <v>0</v>
      </c>
      <c r="AA148" s="265">
        <v>0</v>
      </c>
      <c r="AB148" s="265">
        <v>0</v>
      </c>
      <c r="AC148" s="265">
        <v>0</v>
      </c>
      <c r="AD148" s="265">
        <v>0</v>
      </c>
      <c r="AE148" s="265">
        <v>0</v>
      </c>
      <c r="AF148" s="265">
        <v>0</v>
      </c>
      <c r="AG148" s="265">
        <v>0</v>
      </c>
      <c r="AH148" s="265">
        <v>0</v>
      </c>
      <c r="AI148" s="265">
        <v>0</v>
      </c>
      <c r="AJ148" s="265">
        <v>0</v>
      </c>
      <c r="AK148" s="265">
        <v>0</v>
      </c>
      <c r="AL148" s="266" t="s">
        <v>573</v>
      </c>
      <c r="AM148" s="265">
        <f t="shared" si="56"/>
        <v>0</v>
      </c>
      <c r="AN148" s="266" t="s">
        <v>573</v>
      </c>
      <c r="AO148" s="265">
        <f t="shared" si="45"/>
        <v>0</v>
      </c>
      <c r="AP148" s="266">
        <v>0</v>
      </c>
      <c r="AQ148" s="265">
        <f t="shared" si="57"/>
        <v>0</v>
      </c>
      <c r="AR148" s="266">
        <v>0</v>
      </c>
      <c r="AS148" s="262">
        <f t="shared" si="58"/>
        <v>0</v>
      </c>
      <c r="AT148" s="266">
        <v>0</v>
      </c>
      <c r="AU148" s="260">
        <f t="shared" si="59"/>
        <v>0</v>
      </c>
      <c r="AV148" s="259">
        <v>0</v>
      </c>
      <c r="AW148" s="260">
        <f t="shared" si="60"/>
        <v>0</v>
      </c>
      <c r="AX148" s="261" t="s">
        <v>573</v>
      </c>
      <c r="AY148" s="260">
        <f t="shared" si="61"/>
        <v>0</v>
      </c>
      <c r="AZ148" s="259" t="s">
        <v>573</v>
      </c>
      <c r="BA148" s="260">
        <f t="shared" si="62"/>
        <v>0</v>
      </c>
      <c r="BB148" s="259">
        <v>2880</v>
      </c>
      <c r="BC148" s="260">
        <f t="shared" si="63"/>
        <v>0</v>
      </c>
      <c r="BD148" s="259">
        <v>11520</v>
      </c>
      <c r="BE148" s="260">
        <f t="shared" si="64"/>
        <v>0</v>
      </c>
      <c r="BF148" s="259">
        <v>2880</v>
      </c>
      <c r="BG148" s="260">
        <f t="shared" si="65"/>
        <v>0</v>
      </c>
      <c r="BH148" s="259">
        <v>2880</v>
      </c>
      <c r="BI148" s="260">
        <f t="shared" si="55"/>
        <v>0</v>
      </c>
      <c r="BJ148" s="58"/>
      <c r="BK148" s="220"/>
      <c r="BL148" s="213" t="s">
        <v>1310</v>
      </c>
      <c r="BM148" s="213" t="s">
        <v>574</v>
      </c>
    </row>
    <row r="149" spans="1:65" ht="15.75" customHeight="1">
      <c r="A149" s="213" t="s">
        <v>1437</v>
      </c>
      <c r="B149" s="58" t="s">
        <v>184</v>
      </c>
      <c r="C149" s="58" t="s">
        <v>752</v>
      </c>
      <c r="D149" s="214" t="s">
        <v>186</v>
      </c>
      <c r="E149" s="214" t="s">
        <v>186</v>
      </c>
      <c r="F149" s="215" t="s">
        <v>186</v>
      </c>
      <c r="G149" s="216">
        <v>2021</v>
      </c>
      <c r="H149" s="218" t="s">
        <v>810</v>
      </c>
      <c r="I149" s="218" t="s">
        <v>196</v>
      </c>
      <c r="J149" s="217" t="s">
        <v>890</v>
      </c>
      <c r="K149" s="213" t="s">
        <v>221</v>
      </c>
      <c r="L149" s="213" t="s">
        <v>1449</v>
      </c>
      <c r="M149" s="219" t="s">
        <v>1445</v>
      </c>
      <c r="N149" s="265">
        <v>4.51</v>
      </c>
      <c r="O149" s="265">
        <v>4.51</v>
      </c>
      <c r="P149" s="265">
        <v>4.51</v>
      </c>
      <c r="Q149" s="265">
        <v>4.51</v>
      </c>
      <c r="R149" s="265">
        <v>4.51</v>
      </c>
      <c r="S149" s="265">
        <v>4.51</v>
      </c>
      <c r="T149" s="265">
        <v>4.51</v>
      </c>
      <c r="U149" s="265">
        <v>4.51</v>
      </c>
      <c r="V149" s="265">
        <v>4.51</v>
      </c>
      <c r="W149" s="265">
        <v>4.51</v>
      </c>
      <c r="X149" s="265">
        <v>4.51</v>
      </c>
      <c r="Y149" s="265">
        <v>4.51</v>
      </c>
      <c r="Z149" s="265">
        <v>0</v>
      </c>
      <c r="AA149" s="265">
        <v>0</v>
      </c>
      <c r="AB149" s="265">
        <v>0</v>
      </c>
      <c r="AC149" s="265">
        <v>0</v>
      </c>
      <c r="AD149" s="265">
        <v>0</v>
      </c>
      <c r="AE149" s="265">
        <v>0</v>
      </c>
      <c r="AF149" s="265">
        <v>0</v>
      </c>
      <c r="AG149" s="265">
        <v>0</v>
      </c>
      <c r="AH149" s="265">
        <v>0</v>
      </c>
      <c r="AI149" s="265">
        <v>0</v>
      </c>
      <c r="AJ149" s="265">
        <v>0</v>
      </c>
      <c r="AK149" s="265">
        <v>0</v>
      </c>
      <c r="AL149" s="266" t="s">
        <v>573</v>
      </c>
      <c r="AM149" s="265">
        <f t="shared" si="56"/>
        <v>0</v>
      </c>
      <c r="AN149" s="266">
        <v>14400</v>
      </c>
      <c r="AO149" s="265">
        <f t="shared" si="45"/>
        <v>0</v>
      </c>
      <c r="AP149" s="266">
        <v>0</v>
      </c>
      <c r="AQ149" s="265">
        <f t="shared" si="57"/>
        <v>0</v>
      </c>
      <c r="AR149" s="266">
        <v>0</v>
      </c>
      <c r="AS149" s="262">
        <f t="shared" si="58"/>
        <v>0</v>
      </c>
      <c r="AT149" s="266">
        <v>0</v>
      </c>
      <c r="AU149" s="260">
        <f t="shared" si="59"/>
        <v>0</v>
      </c>
      <c r="AV149" s="259">
        <v>23040</v>
      </c>
      <c r="AW149" s="260">
        <f t="shared" si="60"/>
        <v>0</v>
      </c>
      <c r="AX149" s="261" t="s">
        <v>573</v>
      </c>
      <c r="AY149" s="260">
        <f t="shared" si="61"/>
        <v>0</v>
      </c>
      <c r="AZ149" s="259" t="s">
        <v>573</v>
      </c>
      <c r="BA149" s="260">
        <f t="shared" si="62"/>
        <v>0</v>
      </c>
      <c r="BB149" s="259">
        <v>0</v>
      </c>
      <c r="BC149" s="260">
        <f t="shared" si="63"/>
        <v>0</v>
      </c>
      <c r="BD149" s="259">
        <v>0</v>
      </c>
      <c r="BE149" s="260">
        <f t="shared" si="64"/>
        <v>0</v>
      </c>
      <c r="BF149" s="259">
        <v>0</v>
      </c>
      <c r="BG149" s="260">
        <f t="shared" si="65"/>
        <v>0</v>
      </c>
      <c r="BH149" s="259">
        <v>0</v>
      </c>
      <c r="BI149" s="260">
        <f t="shared" si="55"/>
        <v>0</v>
      </c>
      <c r="BJ149" s="58"/>
      <c r="BK149" s="220"/>
      <c r="BL149" s="213" t="s">
        <v>1310</v>
      </c>
      <c r="BM149" s="213" t="s">
        <v>574</v>
      </c>
    </row>
    <row r="150" spans="1:65" ht="15.75" customHeight="1">
      <c r="A150" s="213" t="s">
        <v>1437</v>
      </c>
      <c r="B150" s="58" t="s">
        <v>184</v>
      </c>
      <c r="C150" s="58" t="s">
        <v>752</v>
      </c>
      <c r="D150" s="214" t="s">
        <v>186</v>
      </c>
      <c r="E150" s="214" t="s">
        <v>186</v>
      </c>
      <c r="F150" s="215" t="s">
        <v>186</v>
      </c>
      <c r="G150" s="216">
        <v>2021</v>
      </c>
      <c r="H150" s="218" t="s">
        <v>810</v>
      </c>
      <c r="I150" s="218" t="s">
        <v>196</v>
      </c>
      <c r="J150" s="217" t="s">
        <v>890</v>
      </c>
      <c r="K150" s="213" t="s">
        <v>221</v>
      </c>
      <c r="L150" s="213" t="s">
        <v>1449</v>
      </c>
      <c r="M150" s="219" t="s">
        <v>1391</v>
      </c>
      <c r="N150" s="265">
        <v>4.3899999999999997</v>
      </c>
      <c r="O150" s="265">
        <v>4.3899999999999997</v>
      </c>
      <c r="P150" s="265">
        <v>4.3899999999999997</v>
      </c>
      <c r="Q150" s="265">
        <v>4.3899999999999997</v>
      </c>
      <c r="R150" s="265">
        <v>4.3899999999999997</v>
      </c>
      <c r="S150" s="265">
        <v>4.3899999999999997</v>
      </c>
      <c r="T150" s="265">
        <v>4.3899999999999997</v>
      </c>
      <c r="U150" s="265">
        <v>4.3899999999999997</v>
      </c>
      <c r="V150" s="265">
        <v>4.3899999999999997</v>
      </c>
      <c r="W150" s="265">
        <v>4.3899999999999997</v>
      </c>
      <c r="X150" s="265">
        <v>4.3899999999999997</v>
      </c>
      <c r="Y150" s="265">
        <v>4.3899999999999997</v>
      </c>
      <c r="Z150" s="265">
        <v>0</v>
      </c>
      <c r="AA150" s="265">
        <v>0</v>
      </c>
      <c r="AB150" s="265">
        <v>0</v>
      </c>
      <c r="AC150" s="265">
        <v>0</v>
      </c>
      <c r="AD150" s="265">
        <v>0</v>
      </c>
      <c r="AE150" s="265">
        <v>0</v>
      </c>
      <c r="AF150" s="265">
        <v>0</v>
      </c>
      <c r="AG150" s="265">
        <v>0</v>
      </c>
      <c r="AH150" s="265">
        <v>0</v>
      </c>
      <c r="AI150" s="265">
        <v>0</v>
      </c>
      <c r="AJ150" s="265">
        <v>0</v>
      </c>
      <c r="AK150" s="265">
        <v>0</v>
      </c>
      <c r="AL150" s="266" t="s">
        <v>573</v>
      </c>
      <c r="AM150" s="265">
        <f t="shared" si="56"/>
        <v>0</v>
      </c>
      <c r="AN150" s="266" t="s">
        <v>573</v>
      </c>
      <c r="AO150" s="265">
        <f t="shared" si="45"/>
        <v>0</v>
      </c>
      <c r="AP150" s="266">
        <v>0</v>
      </c>
      <c r="AQ150" s="265">
        <f t="shared" si="57"/>
        <v>0</v>
      </c>
      <c r="AR150" s="266">
        <v>0</v>
      </c>
      <c r="AS150" s="262">
        <f t="shared" si="58"/>
        <v>0</v>
      </c>
      <c r="AT150" s="266">
        <v>2880</v>
      </c>
      <c r="AU150" s="260">
        <f t="shared" si="59"/>
        <v>0</v>
      </c>
      <c r="AV150" s="259">
        <v>0</v>
      </c>
      <c r="AW150" s="260">
        <f t="shared" si="60"/>
        <v>0</v>
      </c>
      <c r="AX150" s="261" t="s">
        <v>573</v>
      </c>
      <c r="AY150" s="260">
        <f t="shared" si="61"/>
        <v>0</v>
      </c>
      <c r="AZ150" s="259" t="s">
        <v>573</v>
      </c>
      <c r="BA150" s="260">
        <f t="shared" si="62"/>
        <v>0</v>
      </c>
      <c r="BB150" s="259" t="s">
        <v>573</v>
      </c>
      <c r="BC150" s="260">
        <f t="shared" si="63"/>
        <v>0</v>
      </c>
      <c r="BD150" s="259">
        <v>2880</v>
      </c>
      <c r="BE150" s="260">
        <f t="shared" si="64"/>
        <v>0</v>
      </c>
      <c r="BF150" s="259" t="s">
        <v>573</v>
      </c>
      <c r="BG150" s="260">
        <f t="shared" si="65"/>
        <v>0</v>
      </c>
      <c r="BH150" s="259" t="s">
        <v>573</v>
      </c>
      <c r="BI150" s="260">
        <f t="shared" si="55"/>
        <v>0</v>
      </c>
      <c r="BJ150" s="58"/>
      <c r="BK150" s="220"/>
      <c r="BL150" s="213" t="s">
        <v>197</v>
      </c>
      <c r="BM150" s="213" t="s">
        <v>572</v>
      </c>
    </row>
    <row r="151" spans="1:65" ht="15.75" customHeight="1">
      <c r="A151" s="213" t="s">
        <v>1437</v>
      </c>
      <c r="B151" s="58" t="s">
        <v>184</v>
      </c>
      <c r="C151" s="58" t="s">
        <v>752</v>
      </c>
      <c r="D151" s="214" t="s">
        <v>186</v>
      </c>
      <c r="E151" s="214" t="s">
        <v>186</v>
      </c>
      <c r="F151" s="215" t="s">
        <v>186</v>
      </c>
      <c r="G151" s="216">
        <v>2021</v>
      </c>
      <c r="H151" s="218" t="s">
        <v>810</v>
      </c>
      <c r="I151" s="218" t="s">
        <v>196</v>
      </c>
      <c r="J151" s="217" t="s">
        <v>890</v>
      </c>
      <c r="K151" s="213" t="s">
        <v>221</v>
      </c>
      <c r="L151" s="213" t="s">
        <v>192</v>
      </c>
      <c r="M151" s="219" t="s">
        <v>1388</v>
      </c>
      <c r="N151" s="265">
        <v>4.49</v>
      </c>
      <c r="O151" s="265">
        <v>4.49</v>
      </c>
      <c r="P151" s="265">
        <v>4.49</v>
      </c>
      <c r="Q151" s="265">
        <v>4.49</v>
      </c>
      <c r="R151" s="265">
        <v>4.49</v>
      </c>
      <c r="S151" s="265">
        <v>4.49</v>
      </c>
      <c r="T151" s="265">
        <v>4.49</v>
      </c>
      <c r="U151" s="265">
        <v>4.49</v>
      </c>
      <c r="V151" s="265">
        <v>4.49</v>
      </c>
      <c r="W151" s="265">
        <v>4.49</v>
      </c>
      <c r="X151" s="265">
        <v>4.49</v>
      </c>
      <c r="Y151" s="265">
        <v>4.49</v>
      </c>
      <c r="Z151" s="265">
        <v>0</v>
      </c>
      <c r="AA151" s="265">
        <v>0</v>
      </c>
      <c r="AB151" s="265">
        <v>0</v>
      </c>
      <c r="AC151" s="265">
        <v>0</v>
      </c>
      <c r="AD151" s="265">
        <v>0</v>
      </c>
      <c r="AE151" s="265">
        <v>0</v>
      </c>
      <c r="AF151" s="265">
        <v>0</v>
      </c>
      <c r="AG151" s="265">
        <v>0</v>
      </c>
      <c r="AH151" s="265">
        <v>0</v>
      </c>
      <c r="AI151" s="265">
        <v>0</v>
      </c>
      <c r="AJ151" s="265">
        <v>0</v>
      </c>
      <c r="AK151" s="265">
        <v>0</v>
      </c>
      <c r="AL151" s="266">
        <v>11520</v>
      </c>
      <c r="AM151" s="265">
        <f t="shared" si="56"/>
        <v>0</v>
      </c>
      <c r="AN151" s="266">
        <v>8640</v>
      </c>
      <c r="AO151" s="265">
        <f t="shared" si="45"/>
        <v>0</v>
      </c>
      <c r="AP151" s="266">
        <v>11520</v>
      </c>
      <c r="AQ151" s="265">
        <f t="shared" si="57"/>
        <v>0</v>
      </c>
      <c r="AR151" s="266">
        <v>11520</v>
      </c>
      <c r="AS151" s="262">
        <f t="shared" si="58"/>
        <v>0</v>
      </c>
      <c r="AT151" s="266">
        <v>57600</v>
      </c>
      <c r="AU151" s="260">
        <f t="shared" si="59"/>
        <v>0</v>
      </c>
      <c r="AV151" s="259">
        <v>23040</v>
      </c>
      <c r="AW151" s="260">
        <f t="shared" si="60"/>
        <v>0</v>
      </c>
      <c r="AX151" s="261">
        <v>5760</v>
      </c>
      <c r="AY151" s="260">
        <f t="shared" si="61"/>
        <v>0</v>
      </c>
      <c r="AZ151" s="259">
        <v>5760</v>
      </c>
      <c r="BA151" s="260">
        <f t="shared" si="62"/>
        <v>0</v>
      </c>
      <c r="BB151" s="259">
        <v>2880</v>
      </c>
      <c r="BC151" s="260">
        <f t="shared" si="63"/>
        <v>0</v>
      </c>
      <c r="BD151" s="259">
        <v>5760</v>
      </c>
      <c r="BE151" s="260">
        <f t="shared" si="64"/>
        <v>0</v>
      </c>
      <c r="BF151" s="259">
        <v>5760</v>
      </c>
      <c r="BG151" s="260">
        <f t="shared" si="65"/>
        <v>0</v>
      </c>
      <c r="BH151" s="259">
        <v>8640</v>
      </c>
      <c r="BI151" s="260">
        <f t="shared" si="55"/>
        <v>0</v>
      </c>
      <c r="BJ151" s="58"/>
      <c r="BK151" s="220"/>
      <c r="BL151" s="213" t="s">
        <v>754</v>
      </c>
      <c r="BM151" s="213" t="s">
        <v>576</v>
      </c>
    </row>
    <row r="152" spans="1:65" ht="15.75" customHeight="1">
      <c r="A152" s="213" t="s">
        <v>1437</v>
      </c>
      <c r="B152" s="58" t="s">
        <v>184</v>
      </c>
      <c r="C152" s="58" t="s">
        <v>752</v>
      </c>
      <c r="D152" s="214" t="s">
        <v>186</v>
      </c>
      <c r="E152" s="214" t="s">
        <v>186</v>
      </c>
      <c r="F152" s="215" t="s">
        <v>186</v>
      </c>
      <c r="G152" s="216">
        <v>2021</v>
      </c>
      <c r="H152" s="218" t="s">
        <v>810</v>
      </c>
      <c r="I152" s="218" t="s">
        <v>196</v>
      </c>
      <c r="J152" s="217" t="s">
        <v>890</v>
      </c>
      <c r="K152" s="213" t="s">
        <v>221</v>
      </c>
      <c r="L152" s="213" t="s">
        <v>192</v>
      </c>
      <c r="M152" s="219" t="s">
        <v>1392</v>
      </c>
      <c r="N152" s="265">
        <v>4.63</v>
      </c>
      <c r="O152" s="265">
        <v>4.63</v>
      </c>
      <c r="P152" s="265">
        <v>4.63</v>
      </c>
      <c r="Q152" s="265">
        <v>4.63</v>
      </c>
      <c r="R152" s="265">
        <v>4.63</v>
      </c>
      <c r="S152" s="265">
        <v>4.63</v>
      </c>
      <c r="T152" s="265">
        <v>4.63</v>
      </c>
      <c r="U152" s="265">
        <v>4.63</v>
      </c>
      <c r="V152" s="265">
        <v>4.63</v>
      </c>
      <c r="W152" s="265">
        <v>4.63</v>
      </c>
      <c r="X152" s="265">
        <v>4.63</v>
      </c>
      <c r="Y152" s="265">
        <v>4.63</v>
      </c>
      <c r="Z152" s="265">
        <v>0</v>
      </c>
      <c r="AA152" s="265">
        <v>0</v>
      </c>
      <c r="AB152" s="265">
        <v>0</v>
      </c>
      <c r="AC152" s="265">
        <v>0</v>
      </c>
      <c r="AD152" s="265">
        <v>0</v>
      </c>
      <c r="AE152" s="265">
        <v>0</v>
      </c>
      <c r="AF152" s="265">
        <v>0</v>
      </c>
      <c r="AG152" s="265">
        <v>0</v>
      </c>
      <c r="AH152" s="265">
        <v>0</v>
      </c>
      <c r="AI152" s="265">
        <v>0</v>
      </c>
      <c r="AJ152" s="265">
        <v>0</v>
      </c>
      <c r="AK152" s="265">
        <v>0</v>
      </c>
      <c r="AL152" s="266" t="s">
        <v>573</v>
      </c>
      <c r="AM152" s="265">
        <f t="shared" si="56"/>
        <v>0</v>
      </c>
      <c r="AN152" s="266">
        <v>2880</v>
      </c>
      <c r="AO152" s="265">
        <f t="shared" si="45"/>
        <v>0</v>
      </c>
      <c r="AP152" s="266">
        <v>2880</v>
      </c>
      <c r="AQ152" s="265">
        <f t="shared" si="57"/>
        <v>0</v>
      </c>
      <c r="AR152" s="266">
        <v>2880</v>
      </c>
      <c r="AS152" s="262">
        <f t="shared" si="58"/>
        <v>0</v>
      </c>
      <c r="AT152" s="266">
        <v>2880</v>
      </c>
      <c r="AU152" s="260">
        <f t="shared" si="59"/>
        <v>0</v>
      </c>
      <c r="AV152" s="259">
        <v>0</v>
      </c>
      <c r="AW152" s="260">
        <f t="shared" si="60"/>
        <v>0</v>
      </c>
      <c r="AX152" s="261">
        <v>2680</v>
      </c>
      <c r="AY152" s="260">
        <f t="shared" si="61"/>
        <v>0</v>
      </c>
      <c r="AZ152" s="259">
        <v>5760</v>
      </c>
      <c r="BA152" s="260">
        <f t="shared" si="62"/>
        <v>0</v>
      </c>
      <c r="BB152" s="259" t="s">
        <v>573</v>
      </c>
      <c r="BC152" s="260">
        <f t="shared" si="63"/>
        <v>0</v>
      </c>
      <c r="BD152" s="259">
        <v>2880</v>
      </c>
      <c r="BE152" s="260">
        <f t="shared" si="64"/>
        <v>0</v>
      </c>
      <c r="BF152" s="259" t="s">
        <v>573</v>
      </c>
      <c r="BG152" s="260">
        <f t="shared" si="65"/>
        <v>0</v>
      </c>
      <c r="BH152" s="259">
        <v>2880</v>
      </c>
      <c r="BI152" s="260">
        <f t="shared" si="55"/>
        <v>0</v>
      </c>
      <c r="BJ152" s="58"/>
      <c r="BK152" s="220"/>
      <c r="BL152" s="213" t="s">
        <v>1347</v>
      </c>
      <c r="BM152" s="213" t="s">
        <v>689</v>
      </c>
    </row>
    <row r="153" spans="1:65" ht="15.75" customHeight="1">
      <c r="A153" s="213" t="s">
        <v>1437</v>
      </c>
      <c r="B153" s="58" t="s">
        <v>184</v>
      </c>
      <c r="C153" s="58" t="s">
        <v>752</v>
      </c>
      <c r="D153" s="214" t="s">
        <v>186</v>
      </c>
      <c r="E153" s="214" t="s">
        <v>186</v>
      </c>
      <c r="F153" s="215" t="s">
        <v>186</v>
      </c>
      <c r="G153" s="216">
        <v>2021</v>
      </c>
      <c r="H153" s="218" t="s">
        <v>810</v>
      </c>
      <c r="I153" s="218" t="s">
        <v>196</v>
      </c>
      <c r="J153" s="217" t="s">
        <v>890</v>
      </c>
      <c r="K153" s="213" t="s">
        <v>221</v>
      </c>
      <c r="L153" s="213" t="s">
        <v>192</v>
      </c>
      <c r="M153" s="219" t="s">
        <v>1393</v>
      </c>
      <c r="N153" s="265">
        <v>4.63</v>
      </c>
      <c r="O153" s="265">
        <v>4.63</v>
      </c>
      <c r="P153" s="265">
        <v>4.63</v>
      </c>
      <c r="Q153" s="265">
        <v>4.63</v>
      </c>
      <c r="R153" s="265">
        <v>4.63</v>
      </c>
      <c r="S153" s="265">
        <v>4.63</v>
      </c>
      <c r="T153" s="265">
        <v>4.63</v>
      </c>
      <c r="U153" s="265">
        <v>4.63</v>
      </c>
      <c r="V153" s="265">
        <v>4.63</v>
      </c>
      <c r="W153" s="265">
        <v>4.63</v>
      </c>
      <c r="X153" s="265">
        <v>4.63</v>
      </c>
      <c r="Y153" s="265">
        <v>4.63</v>
      </c>
      <c r="Z153" s="265">
        <v>0</v>
      </c>
      <c r="AA153" s="265">
        <v>0</v>
      </c>
      <c r="AB153" s="265">
        <v>0</v>
      </c>
      <c r="AC153" s="265">
        <v>0</v>
      </c>
      <c r="AD153" s="265">
        <v>0</v>
      </c>
      <c r="AE153" s="265">
        <v>0</v>
      </c>
      <c r="AF153" s="265">
        <v>0</v>
      </c>
      <c r="AG153" s="265">
        <v>0</v>
      </c>
      <c r="AH153" s="265">
        <v>0</v>
      </c>
      <c r="AI153" s="265">
        <v>0</v>
      </c>
      <c r="AJ153" s="265">
        <v>0</v>
      </c>
      <c r="AK153" s="265">
        <v>0</v>
      </c>
      <c r="AL153" s="266" t="s">
        <v>573</v>
      </c>
      <c r="AM153" s="265">
        <f t="shared" si="56"/>
        <v>0</v>
      </c>
      <c r="AN153" s="266" t="s">
        <v>573</v>
      </c>
      <c r="AO153" s="265">
        <f t="shared" si="45"/>
        <v>0</v>
      </c>
      <c r="AP153" s="266">
        <v>2880</v>
      </c>
      <c r="AQ153" s="265">
        <f t="shared" si="57"/>
        <v>0</v>
      </c>
      <c r="AR153" s="266">
        <v>0</v>
      </c>
      <c r="AS153" s="262">
        <f t="shared" si="58"/>
        <v>0</v>
      </c>
      <c r="AT153" s="266">
        <v>0</v>
      </c>
      <c r="AU153" s="260">
        <f t="shared" si="59"/>
        <v>0</v>
      </c>
      <c r="AV153" s="259">
        <v>0</v>
      </c>
      <c r="AW153" s="260">
        <f t="shared" si="60"/>
        <v>0</v>
      </c>
      <c r="AX153" s="261">
        <v>200</v>
      </c>
      <c r="AY153" s="260">
        <f t="shared" si="61"/>
        <v>0</v>
      </c>
      <c r="AZ153" s="259" t="s">
        <v>573</v>
      </c>
      <c r="BA153" s="260">
        <f t="shared" si="62"/>
        <v>0</v>
      </c>
      <c r="BB153" s="259">
        <v>2880</v>
      </c>
      <c r="BC153" s="260">
        <f t="shared" si="63"/>
        <v>0</v>
      </c>
      <c r="BD153" s="259" t="s">
        <v>573</v>
      </c>
      <c r="BE153" s="260">
        <f t="shared" si="64"/>
        <v>0</v>
      </c>
      <c r="BF153" s="259" t="s">
        <v>573</v>
      </c>
      <c r="BG153" s="260">
        <f t="shared" si="65"/>
        <v>0</v>
      </c>
      <c r="BH153" s="259" t="s">
        <v>573</v>
      </c>
      <c r="BI153" s="260">
        <f t="shared" si="55"/>
        <v>0</v>
      </c>
      <c r="BJ153" s="58"/>
      <c r="BK153" s="220"/>
      <c r="BL153" s="213" t="s">
        <v>1347</v>
      </c>
      <c r="BM153" s="213" t="s">
        <v>689</v>
      </c>
    </row>
    <row r="154" spans="1:65" ht="15.75" customHeight="1">
      <c r="A154" s="213" t="s">
        <v>1437</v>
      </c>
      <c r="B154" s="58" t="s">
        <v>184</v>
      </c>
      <c r="C154" s="58" t="s">
        <v>752</v>
      </c>
      <c r="D154" s="214" t="s">
        <v>186</v>
      </c>
      <c r="E154" s="214" t="s">
        <v>186</v>
      </c>
      <c r="F154" s="215" t="s">
        <v>186</v>
      </c>
      <c r="G154" s="216">
        <v>2021</v>
      </c>
      <c r="H154" s="218" t="s">
        <v>810</v>
      </c>
      <c r="I154" s="218" t="s">
        <v>196</v>
      </c>
      <c r="J154" s="217" t="s">
        <v>890</v>
      </c>
      <c r="K154" s="213" t="s">
        <v>221</v>
      </c>
      <c r="L154" s="213" t="s">
        <v>192</v>
      </c>
      <c r="M154" s="219" t="s">
        <v>1394</v>
      </c>
      <c r="N154" s="265">
        <v>4.63</v>
      </c>
      <c r="O154" s="265">
        <v>4.63</v>
      </c>
      <c r="P154" s="265">
        <v>4.63</v>
      </c>
      <c r="Q154" s="265">
        <v>4.63</v>
      </c>
      <c r="R154" s="265">
        <v>4.63</v>
      </c>
      <c r="S154" s="265">
        <v>4.63</v>
      </c>
      <c r="T154" s="265">
        <v>4.63</v>
      </c>
      <c r="U154" s="265">
        <v>4.63</v>
      </c>
      <c r="V154" s="265">
        <v>4.63</v>
      </c>
      <c r="W154" s="265">
        <v>4.63</v>
      </c>
      <c r="X154" s="265">
        <v>4.63</v>
      </c>
      <c r="Y154" s="265">
        <v>4.63</v>
      </c>
      <c r="Z154" s="265">
        <v>0</v>
      </c>
      <c r="AA154" s="265">
        <v>0</v>
      </c>
      <c r="AB154" s="265">
        <v>0</v>
      </c>
      <c r="AC154" s="265">
        <v>0</v>
      </c>
      <c r="AD154" s="265">
        <v>0</v>
      </c>
      <c r="AE154" s="265">
        <v>0</v>
      </c>
      <c r="AF154" s="265">
        <v>0</v>
      </c>
      <c r="AG154" s="265">
        <v>0</v>
      </c>
      <c r="AH154" s="265">
        <v>0</v>
      </c>
      <c r="AI154" s="265">
        <v>0</v>
      </c>
      <c r="AJ154" s="265">
        <v>0</v>
      </c>
      <c r="AK154" s="265">
        <v>0</v>
      </c>
      <c r="AL154" s="266" t="s">
        <v>573</v>
      </c>
      <c r="AM154" s="265">
        <f t="shared" si="56"/>
        <v>0</v>
      </c>
      <c r="AN154" s="266" t="s">
        <v>573</v>
      </c>
      <c r="AO154" s="265">
        <f t="shared" si="45"/>
        <v>0</v>
      </c>
      <c r="AP154" s="266">
        <v>0</v>
      </c>
      <c r="AQ154" s="265">
        <f t="shared" si="57"/>
        <v>0</v>
      </c>
      <c r="AR154" s="266">
        <v>0</v>
      </c>
      <c r="AS154" s="262">
        <f t="shared" si="58"/>
        <v>0</v>
      </c>
      <c r="AT154" s="266">
        <v>0</v>
      </c>
      <c r="AU154" s="260">
        <f t="shared" si="59"/>
        <v>0</v>
      </c>
      <c r="AV154" s="259">
        <v>0</v>
      </c>
      <c r="AW154" s="260">
        <f t="shared" si="60"/>
        <v>0</v>
      </c>
      <c r="AX154" s="261" t="s">
        <v>573</v>
      </c>
      <c r="AY154" s="260">
        <f t="shared" si="61"/>
        <v>0</v>
      </c>
      <c r="AZ154" s="259" t="s">
        <v>573</v>
      </c>
      <c r="BA154" s="260">
        <f t="shared" si="62"/>
        <v>0</v>
      </c>
      <c r="BB154" s="259" t="s">
        <v>573</v>
      </c>
      <c r="BC154" s="260">
        <f t="shared" si="63"/>
        <v>0</v>
      </c>
      <c r="BD154" s="259" t="s">
        <v>573</v>
      </c>
      <c r="BE154" s="260">
        <f t="shared" si="64"/>
        <v>0</v>
      </c>
      <c r="BF154" s="259" t="s">
        <v>573</v>
      </c>
      <c r="BG154" s="260">
        <f t="shared" si="65"/>
        <v>0</v>
      </c>
      <c r="BH154" s="259" t="s">
        <v>573</v>
      </c>
      <c r="BI154" s="260">
        <f t="shared" si="55"/>
        <v>0</v>
      </c>
      <c r="BJ154" s="58"/>
      <c r="BK154" s="220"/>
      <c r="BL154" s="213" t="s">
        <v>1347</v>
      </c>
      <c r="BM154" s="213" t="s">
        <v>689</v>
      </c>
    </row>
    <row r="155" spans="1:65" ht="15.75" customHeight="1">
      <c r="A155" s="213" t="s">
        <v>1437</v>
      </c>
      <c r="B155" s="58" t="s">
        <v>184</v>
      </c>
      <c r="C155" s="58" t="s">
        <v>752</v>
      </c>
      <c r="D155" s="214" t="s">
        <v>186</v>
      </c>
      <c r="E155" s="214" t="s">
        <v>186</v>
      </c>
      <c r="F155" s="215" t="s">
        <v>186</v>
      </c>
      <c r="G155" s="216">
        <v>2021</v>
      </c>
      <c r="H155" s="218" t="s">
        <v>810</v>
      </c>
      <c r="I155" s="218" t="s">
        <v>196</v>
      </c>
      <c r="J155" s="217" t="s">
        <v>890</v>
      </c>
      <c r="K155" s="213" t="s">
        <v>221</v>
      </c>
      <c r="L155" s="213" t="s">
        <v>192</v>
      </c>
      <c r="M155" s="219" t="s">
        <v>1392</v>
      </c>
      <c r="N155" s="265">
        <v>4.63</v>
      </c>
      <c r="O155" s="265">
        <v>4.63</v>
      </c>
      <c r="P155" s="265">
        <v>4.63</v>
      </c>
      <c r="Q155" s="265">
        <v>4.63</v>
      </c>
      <c r="R155" s="265">
        <v>4.63</v>
      </c>
      <c r="S155" s="265">
        <v>4.63</v>
      </c>
      <c r="T155" s="265">
        <v>4.63</v>
      </c>
      <c r="U155" s="265">
        <v>4.63</v>
      </c>
      <c r="V155" s="265">
        <v>4.63</v>
      </c>
      <c r="W155" s="265">
        <v>4.63</v>
      </c>
      <c r="X155" s="265">
        <v>4.63</v>
      </c>
      <c r="Y155" s="265">
        <v>4.63</v>
      </c>
      <c r="Z155" s="265">
        <v>0</v>
      </c>
      <c r="AA155" s="265">
        <v>0</v>
      </c>
      <c r="AB155" s="265">
        <v>0</v>
      </c>
      <c r="AC155" s="265">
        <v>0</v>
      </c>
      <c r="AD155" s="265">
        <v>0</v>
      </c>
      <c r="AE155" s="265">
        <v>0</v>
      </c>
      <c r="AF155" s="265">
        <v>0</v>
      </c>
      <c r="AG155" s="265">
        <v>0</v>
      </c>
      <c r="AH155" s="265">
        <v>0</v>
      </c>
      <c r="AI155" s="265">
        <v>0</v>
      </c>
      <c r="AJ155" s="265">
        <v>0</v>
      </c>
      <c r="AK155" s="265">
        <v>0</v>
      </c>
      <c r="AL155" s="266" t="s">
        <v>573</v>
      </c>
      <c r="AM155" s="265">
        <f t="shared" si="56"/>
        <v>0</v>
      </c>
      <c r="AN155" s="266" t="s">
        <v>573</v>
      </c>
      <c r="AO155" s="265">
        <f t="shared" si="45"/>
        <v>0</v>
      </c>
      <c r="AP155" s="266">
        <v>0</v>
      </c>
      <c r="AQ155" s="265">
        <f t="shared" si="57"/>
        <v>0</v>
      </c>
      <c r="AR155" s="266">
        <v>0</v>
      </c>
      <c r="AS155" s="262">
        <f t="shared" si="58"/>
        <v>0</v>
      </c>
      <c r="AT155" s="266">
        <v>0</v>
      </c>
      <c r="AU155" s="260">
        <f t="shared" si="59"/>
        <v>0</v>
      </c>
      <c r="AV155" s="259">
        <v>0</v>
      </c>
      <c r="AW155" s="260">
        <f t="shared" si="60"/>
        <v>0</v>
      </c>
      <c r="AX155" s="261" t="s">
        <v>573</v>
      </c>
      <c r="AY155" s="260">
        <f t="shared" si="61"/>
        <v>0</v>
      </c>
      <c r="AZ155" s="259" t="s">
        <v>573</v>
      </c>
      <c r="BA155" s="260">
        <f t="shared" si="62"/>
        <v>0</v>
      </c>
      <c r="BB155" s="259" t="s">
        <v>573</v>
      </c>
      <c r="BC155" s="260">
        <f t="shared" si="63"/>
        <v>0</v>
      </c>
      <c r="BD155" s="259" t="s">
        <v>573</v>
      </c>
      <c r="BE155" s="260">
        <f t="shared" si="64"/>
        <v>0</v>
      </c>
      <c r="BF155" s="259" t="s">
        <v>573</v>
      </c>
      <c r="BG155" s="260">
        <f t="shared" si="65"/>
        <v>0</v>
      </c>
      <c r="BH155" s="259" t="s">
        <v>573</v>
      </c>
      <c r="BI155" s="260">
        <f t="shared" si="55"/>
        <v>0</v>
      </c>
      <c r="BJ155" s="58"/>
      <c r="BK155" s="220"/>
      <c r="BL155" s="213" t="s">
        <v>1347</v>
      </c>
      <c r="BM155" s="213" t="s">
        <v>688</v>
      </c>
    </row>
    <row r="156" spans="1:65" ht="15.75" customHeight="1">
      <c r="A156" s="213" t="s">
        <v>1437</v>
      </c>
      <c r="B156" s="58" t="s">
        <v>184</v>
      </c>
      <c r="C156" s="58" t="s">
        <v>752</v>
      </c>
      <c r="D156" s="214" t="s">
        <v>186</v>
      </c>
      <c r="E156" s="214" t="s">
        <v>186</v>
      </c>
      <c r="F156" s="215" t="s">
        <v>186</v>
      </c>
      <c r="G156" s="216">
        <v>2021</v>
      </c>
      <c r="H156" s="218" t="s">
        <v>810</v>
      </c>
      <c r="I156" s="218" t="s">
        <v>196</v>
      </c>
      <c r="J156" s="217" t="s">
        <v>890</v>
      </c>
      <c r="K156" s="213" t="s">
        <v>221</v>
      </c>
      <c r="L156" s="213" t="s">
        <v>192</v>
      </c>
      <c r="M156" s="219" t="s">
        <v>1393</v>
      </c>
      <c r="N156" s="265">
        <v>4.63</v>
      </c>
      <c r="O156" s="265">
        <v>4.63</v>
      </c>
      <c r="P156" s="265">
        <v>4.63</v>
      </c>
      <c r="Q156" s="265">
        <v>4.63</v>
      </c>
      <c r="R156" s="265">
        <v>4.63</v>
      </c>
      <c r="S156" s="265">
        <v>4.63</v>
      </c>
      <c r="T156" s="265">
        <v>4.63</v>
      </c>
      <c r="U156" s="265">
        <v>4.63</v>
      </c>
      <c r="V156" s="265">
        <v>4.63</v>
      </c>
      <c r="W156" s="265">
        <v>4.63</v>
      </c>
      <c r="X156" s="265">
        <v>4.63</v>
      </c>
      <c r="Y156" s="265">
        <v>4.63</v>
      </c>
      <c r="Z156" s="265">
        <v>0</v>
      </c>
      <c r="AA156" s="265">
        <v>0</v>
      </c>
      <c r="AB156" s="265">
        <v>0</v>
      </c>
      <c r="AC156" s="265">
        <v>0</v>
      </c>
      <c r="AD156" s="265">
        <v>0</v>
      </c>
      <c r="AE156" s="265">
        <v>0</v>
      </c>
      <c r="AF156" s="265">
        <v>0</v>
      </c>
      <c r="AG156" s="265">
        <v>0</v>
      </c>
      <c r="AH156" s="265">
        <v>0</v>
      </c>
      <c r="AI156" s="265">
        <v>0</v>
      </c>
      <c r="AJ156" s="265">
        <v>0</v>
      </c>
      <c r="AK156" s="265">
        <v>0</v>
      </c>
      <c r="AL156" s="266" t="s">
        <v>573</v>
      </c>
      <c r="AM156" s="265">
        <f t="shared" si="56"/>
        <v>0</v>
      </c>
      <c r="AN156" s="266" t="s">
        <v>573</v>
      </c>
      <c r="AO156" s="265">
        <f t="shared" si="45"/>
        <v>0</v>
      </c>
      <c r="AP156" s="266">
        <v>0</v>
      </c>
      <c r="AQ156" s="265">
        <f t="shared" si="57"/>
        <v>0</v>
      </c>
      <c r="AR156" s="266">
        <v>0</v>
      </c>
      <c r="AS156" s="262">
        <f t="shared" si="58"/>
        <v>0</v>
      </c>
      <c r="AT156" s="266">
        <v>0</v>
      </c>
      <c r="AU156" s="260">
        <f t="shared" si="59"/>
        <v>0</v>
      </c>
      <c r="AV156" s="259">
        <v>0</v>
      </c>
      <c r="AW156" s="260">
        <f t="shared" si="60"/>
        <v>0</v>
      </c>
      <c r="AX156" s="261" t="s">
        <v>573</v>
      </c>
      <c r="AY156" s="260">
        <f t="shared" si="61"/>
        <v>0</v>
      </c>
      <c r="AZ156" s="259" t="s">
        <v>573</v>
      </c>
      <c r="BA156" s="260">
        <f t="shared" si="62"/>
        <v>0</v>
      </c>
      <c r="BB156" s="259" t="s">
        <v>573</v>
      </c>
      <c r="BC156" s="260">
        <f t="shared" si="63"/>
        <v>0</v>
      </c>
      <c r="BD156" s="259" t="s">
        <v>573</v>
      </c>
      <c r="BE156" s="260">
        <f t="shared" si="64"/>
        <v>0</v>
      </c>
      <c r="BF156" s="259" t="s">
        <v>573</v>
      </c>
      <c r="BG156" s="260">
        <f t="shared" si="65"/>
        <v>0</v>
      </c>
      <c r="BH156" s="259" t="s">
        <v>573</v>
      </c>
      <c r="BI156" s="260">
        <f t="shared" si="55"/>
        <v>0</v>
      </c>
      <c r="BJ156" s="58"/>
      <c r="BK156" s="220"/>
      <c r="BL156" s="213" t="s">
        <v>1347</v>
      </c>
      <c r="BM156" s="213" t="s">
        <v>688</v>
      </c>
    </row>
    <row r="157" spans="1:65" ht="15.75" customHeight="1">
      <c r="A157" s="213" t="s">
        <v>1437</v>
      </c>
      <c r="B157" s="58" t="s">
        <v>184</v>
      </c>
      <c r="C157" s="58" t="s">
        <v>752</v>
      </c>
      <c r="D157" s="214" t="s">
        <v>186</v>
      </c>
      <c r="E157" s="214" t="s">
        <v>186</v>
      </c>
      <c r="F157" s="215" t="s">
        <v>186</v>
      </c>
      <c r="G157" s="216">
        <v>2021</v>
      </c>
      <c r="H157" s="218" t="s">
        <v>810</v>
      </c>
      <c r="I157" s="218" t="s">
        <v>196</v>
      </c>
      <c r="J157" s="217" t="s">
        <v>890</v>
      </c>
      <c r="K157" s="213" t="s">
        <v>221</v>
      </c>
      <c r="L157" s="213" t="s">
        <v>192</v>
      </c>
      <c r="M157" s="219" t="s">
        <v>1392</v>
      </c>
      <c r="N157" s="265">
        <v>4.63</v>
      </c>
      <c r="O157" s="265">
        <v>4.63</v>
      </c>
      <c r="P157" s="265">
        <v>4.63</v>
      </c>
      <c r="Q157" s="265">
        <v>4.63</v>
      </c>
      <c r="R157" s="265">
        <v>4.63</v>
      </c>
      <c r="S157" s="265">
        <v>4.63</v>
      </c>
      <c r="T157" s="265">
        <v>4.63</v>
      </c>
      <c r="U157" s="265">
        <v>4.63</v>
      </c>
      <c r="V157" s="265">
        <v>4.63</v>
      </c>
      <c r="W157" s="265">
        <v>4.63</v>
      </c>
      <c r="X157" s="265">
        <v>4.63</v>
      </c>
      <c r="Y157" s="265">
        <v>4.63</v>
      </c>
      <c r="Z157" s="265">
        <v>0</v>
      </c>
      <c r="AA157" s="265">
        <v>0</v>
      </c>
      <c r="AB157" s="265">
        <v>0</v>
      </c>
      <c r="AC157" s="265">
        <v>0</v>
      </c>
      <c r="AD157" s="265">
        <v>0</v>
      </c>
      <c r="AE157" s="265">
        <v>0</v>
      </c>
      <c r="AF157" s="265">
        <v>0</v>
      </c>
      <c r="AG157" s="265">
        <v>0</v>
      </c>
      <c r="AH157" s="265">
        <v>0</v>
      </c>
      <c r="AI157" s="265">
        <v>0</v>
      </c>
      <c r="AJ157" s="265">
        <v>0</v>
      </c>
      <c r="AK157" s="265">
        <v>0</v>
      </c>
      <c r="AL157" s="266">
        <v>2880</v>
      </c>
      <c r="AM157" s="265">
        <f t="shared" si="56"/>
        <v>0</v>
      </c>
      <c r="AN157" s="266" t="s">
        <v>573</v>
      </c>
      <c r="AO157" s="265">
        <f t="shared" si="45"/>
        <v>0</v>
      </c>
      <c r="AP157" s="266">
        <v>2880</v>
      </c>
      <c r="AQ157" s="265">
        <f t="shared" si="57"/>
        <v>0</v>
      </c>
      <c r="AR157" s="266">
        <v>0</v>
      </c>
      <c r="AS157" s="262">
        <f t="shared" si="58"/>
        <v>0</v>
      </c>
      <c r="AT157" s="266">
        <v>0</v>
      </c>
      <c r="AU157" s="260">
        <f t="shared" si="59"/>
        <v>0</v>
      </c>
      <c r="AV157" s="259">
        <v>0</v>
      </c>
      <c r="AW157" s="260">
        <f t="shared" si="60"/>
        <v>0</v>
      </c>
      <c r="AX157" s="261" t="s">
        <v>573</v>
      </c>
      <c r="AY157" s="260">
        <f t="shared" si="61"/>
        <v>0</v>
      </c>
      <c r="AZ157" s="259" t="s">
        <v>573</v>
      </c>
      <c r="BA157" s="260">
        <f t="shared" si="62"/>
        <v>0</v>
      </c>
      <c r="BB157" s="259" t="s">
        <v>573</v>
      </c>
      <c r="BC157" s="260">
        <f t="shared" si="63"/>
        <v>0</v>
      </c>
      <c r="BD157" s="259">
        <v>2880</v>
      </c>
      <c r="BE157" s="260">
        <f t="shared" si="64"/>
        <v>0</v>
      </c>
      <c r="BF157" s="259" t="s">
        <v>573</v>
      </c>
      <c r="BG157" s="260">
        <f t="shared" si="65"/>
        <v>0</v>
      </c>
      <c r="BH157" s="259">
        <v>2880</v>
      </c>
      <c r="BI157" s="260">
        <f t="shared" si="55"/>
        <v>0</v>
      </c>
      <c r="BJ157" s="58"/>
      <c r="BK157" s="220"/>
      <c r="BL157" s="213" t="s">
        <v>1347</v>
      </c>
      <c r="BM157" s="213" t="s">
        <v>690</v>
      </c>
    </row>
    <row r="158" spans="1:65" ht="15.75" customHeight="1">
      <c r="A158" s="213" t="s">
        <v>1437</v>
      </c>
      <c r="B158" s="58" t="s">
        <v>184</v>
      </c>
      <c r="C158" s="58" t="s">
        <v>752</v>
      </c>
      <c r="D158" s="214" t="s">
        <v>186</v>
      </c>
      <c r="E158" s="214" t="s">
        <v>186</v>
      </c>
      <c r="F158" s="215" t="s">
        <v>186</v>
      </c>
      <c r="G158" s="216">
        <v>2021</v>
      </c>
      <c r="H158" s="218" t="s">
        <v>810</v>
      </c>
      <c r="I158" s="218" t="s">
        <v>196</v>
      </c>
      <c r="J158" s="217" t="s">
        <v>890</v>
      </c>
      <c r="K158" s="213" t="s">
        <v>221</v>
      </c>
      <c r="L158" s="213" t="s">
        <v>192</v>
      </c>
      <c r="M158" s="219" t="s">
        <v>1393</v>
      </c>
      <c r="N158" s="265">
        <v>4.63</v>
      </c>
      <c r="O158" s="265">
        <v>4.63</v>
      </c>
      <c r="P158" s="265">
        <v>4.63</v>
      </c>
      <c r="Q158" s="265">
        <v>4.63</v>
      </c>
      <c r="R158" s="265">
        <v>4.63</v>
      </c>
      <c r="S158" s="265">
        <v>4.63</v>
      </c>
      <c r="T158" s="265">
        <v>4.63</v>
      </c>
      <c r="U158" s="265">
        <v>4.63</v>
      </c>
      <c r="V158" s="265">
        <v>4.63</v>
      </c>
      <c r="W158" s="265">
        <v>4.63</v>
      </c>
      <c r="X158" s="265">
        <v>4.63</v>
      </c>
      <c r="Y158" s="265">
        <v>4.63</v>
      </c>
      <c r="Z158" s="265">
        <v>0</v>
      </c>
      <c r="AA158" s="265">
        <v>0</v>
      </c>
      <c r="AB158" s="265">
        <v>0</v>
      </c>
      <c r="AC158" s="265">
        <v>0</v>
      </c>
      <c r="AD158" s="265">
        <v>0</v>
      </c>
      <c r="AE158" s="265">
        <v>0</v>
      </c>
      <c r="AF158" s="265">
        <v>0</v>
      </c>
      <c r="AG158" s="265">
        <v>0</v>
      </c>
      <c r="AH158" s="265">
        <v>0</v>
      </c>
      <c r="AI158" s="265">
        <v>0</v>
      </c>
      <c r="AJ158" s="265">
        <v>0</v>
      </c>
      <c r="AK158" s="265">
        <v>0</v>
      </c>
      <c r="AL158" s="266" t="s">
        <v>573</v>
      </c>
      <c r="AM158" s="265">
        <f t="shared" si="56"/>
        <v>0</v>
      </c>
      <c r="AN158" s="266" t="s">
        <v>573</v>
      </c>
      <c r="AO158" s="265">
        <f t="shared" si="45"/>
        <v>0</v>
      </c>
      <c r="AP158" s="266">
        <v>2880</v>
      </c>
      <c r="AQ158" s="265">
        <f t="shared" si="57"/>
        <v>0</v>
      </c>
      <c r="AR158" s="266">
        <v>0</v>
      </c>
      <c r="AS158" s="262">
        <f t="shared" si="58"/>
        <v>0</v>
      </c>
      <c r="AT158" s="266">
        <v>0</v>
      </c>
      <c r="AU158" s="260">
        <f t="shared" si="59"/>
        <v>0</v>
      </c>
      <c r="AV158" s="259">
        <v>0</v>
      </c>
      <c r="AW158" s="260">
        <f t="shared" si="60"/>
        <v>0</v>
      </c>
      <c r="AX158" s="261" t="s">
        <v>573</v>
      </c>
      <c r="AY158" s="260">
        <f t="shared" si="61"/>
        <v>0</v>
      </c>
      <c r="AZ158" s="259" t="s">
        <v>573</v>
      </c>
      <c r="BA158" s="260">
        <f t="shared" si="62"/>
        <v>0</v>
      </c>
      <c r="BB158" s="259" t="s">
        <v>573</v>
      </c>
      <c r="BC158" s="260">
        <f t="shared" si="63"/>
        <v>0</v>
      </c>
      <c r="BD158" s="259" t="s">
        <v>573</v>
      </c>
      <c r="BE158" s="260">
        <f t="shared" si="64"/>
        <v>0</v>
      </c>
      <c r="BF158" s="259" t="s">
        <v>573</v>
      </c>
      <c r="BG158" s="260">
        <f t="shared" si="65"/>
        <v>0</v>
      </c>
      <c r="BH158" s="259" t="s">
        <v>573</v>
      </c>
      <c r="BI158" s="260">
        <f t="shared" si="55"/>
        <v>0</v>
      </c>
      <c r="BJ158" s="58"/>
      <c r="BK158" s="220"/>
      <c r="BL158" s="213" t="s">
        <v>1347</v>
      </c>
      <c r="BM158" s="213" t="s">
        <v>690</v>
      </c>
    </row>
    <row r="159" spans="1:65" ht="15.75" customHeight="1">
      <c r="A159" s="213" t="s">
        <v>1437</v>
      </c>
      <c r="B159" s="58" t="s">
        <v>184</v>
      </c>
      <c r="C159" s="58" t="s">
        <v>752</v>
      </c>
      <c r="D159" s="214" t="s">
        <v>186</v>
      </c>
      <c r="E159" s="214" t="s">
        <v>186</v>
      </c>
      <c r="F159" s="215" t="s">
        <v>186</v>
      </c>
      <c r="G159" s="216">
        <v>2021</v>
      </c>
      <c r="H159" s="218" t="s">
        <v>810</v>
      </c>
      <c r="I159" s="218" t="s">
        <v>196</v>
      </c>
      <c r="J159" s="217" t="s">
        <v>890</v>
      </c>
      <c r="K159" s="213" t="s">
        <v>221</v>
      </c>
      <c r="L159" s="213" t="s">
        <v>192</v>
      </c>
      <c r="M159" s="219" t="s">
        <v>1388</v>
      </c>
      <c r="N159" s="265">
        <v>4.47</v>
      </c>
      <c r="O159" s="265">
        <v>4.47</v>
      </c>
      <c r="P159" s="265">
        <v>4.47</v>
      </c>
      <c r="Q159" s="265">
        <v>4.47</v>
      </c>
      <c r="R159" s="265">
        <v>4.47</v>
      </c>
      <c r="S159" s="265">
        <v>4.47</v>
      </c>
      <c r="T159" s="265">
        <v>4.47</v>
      </c>
      <c r="U159" s="265">
        <v>4.47</v>
      </c>
      <c r="V159" s="265">
        <v>4.47</v>
      </c>
      <c r="W159" s="265">
        <v>4.47</v>
      </c>
      <c r="X159" s="265">
        <v>4.47</v>
      </c>
      <c r="Y159" s="265">
        <v>4.47</v>
      </c>
      <c r="Z159" s="265">
        <v>0</v>
      </c>
      <c r="AA159" s="265">
        <v>0</v>
      </c>
      <c r="AB159" s="265">
        <v>0</v>
      </c>
      <c r="AC159" s="265">
        <v>0</v>
      </c>
      <c r="AD159" s="265">
        <v>0</v>
      </c>
      <c r="AE159" s="265">
        <v>0</v>
      </c>
      <c r="AF159" s="265">
        <v>0</v>
      </c>
      <c r="AG159" s="265">
        <v>0</v>
      </c>
      <c r="AH159" s="265">
        <v>0</v>
      </c>
      <c r="AI159" s="265">
        <v>0</v>
      </c>
      <c r="AJ159" s="265">
        <v>0</v>
      </c>
      <c r="AK159" s="265">
        <v>0</v>
      </c>
      <c r="AL159" s="266" t="s">
        <v>573</v>
      </c>
      <c r="AM159" s="265">
        <f t="shared" si="56"/>
        <v>0</v>
      </c>
      <c r="AN159" s="266" t="s">
        <v>573</v>
      </c>
      <c r="AO159" s="265">
        <f t="shared" si="45"/>
        <v>0</v>
      </c>
      <c r="AP159" s="266">
        <v>0</v>
      </c>
      <c r="AQ159" s="265">
        <f t="shared" si="57"/>
        <v>0</v>
      </c>
      <c r="AR159" s="266">
        <v>0</v>
      </c>
      <c r="AS159" s="262">
        <f t="shared" si="58"/>
        <v>0</v>
      </c>
      <c r="AT159" s="266">
        <v>0</v>
      </c>
      <c r="AU159" s="260">
        <f t="shared" si="59"/>
        <v>0</v>
      </c>
      <c r="AV159" s="259">
        <v>0</v>
      </c>
      <c r="AW159" s="260">
        <f t="shared" si="60"/>
        <v>0</v>
      </c>
      <c r="AX159" s="261" t="s">
        <v>573</v>
      </c>
      <c r="AY159" s="260">
        <f t="shared" si="61"/>
        <v>0</v>
      </c>
      <c r="AZ159" s="259" t="s">
        <v>573</v>
      </c>
      <c r="BA159" s="260">
        <f t="shared" si="62"/>
        <v>0</v>
      </c>
      <c r="BB159" s="259" t="s">
        <v>573</v>
      </c>
      <c r="BC159" s="260">
        <f t="shared" si="63"/>
        <v>0</v>
      </c>
      <c r="BD159" s="259" t="s">
        <v>573</v>
      </c>
      <c r="BE159" s="260">
        <f t="shared" si="64"/>
        <v>0</v>
      </c>
      <c r="BF159" s="259" t="s">
        <v>573</v>
      </c>
      <c r="BG159" s="260">
        <f t="shared" si="65"/>
        <v>0</v>
      </c>
      <c r="BH159" s="259">
        <v>5760</v>
      </c>
      <c r="BI159" s="260">
        <f t="shared" si="55"/>
        <v>0</v>
      </c>
      <c r="BJ159" s="58"/>
      <c r="BK159" s="220"/>
      <c r="BL159" s="213" t="s">
        <v>807</v>
      </c>
      <c r="BM159" s="213" t="s">
        <v>764</v>
      </c>
    </row>
    <row r="160" spans="1:65" ht="15.75" customHeight="1">
      <c r="A160" s="213" t="s">
        <v>1437</v>
      </c>
      <c r="B160" s="58" t="s">
        <v>184</v>
      </c>
      <c r="C160" s="58" t="s">
        <v>752</v>
      </c>
      <c r="D160" s="214" t="s">
        <v>186</v>
      </c>
      <c r="E160" s="214" t="s">
        <v>186</v>
      </c>
      <c r="F160" s="215" t="s">
        <v>186</v>
      </c>
      <c r="G160" s="216">
        <v>2021</v>
      </c>
      <c r="H160" s="218" t="s">
        <v>810</v>
      </c>
      <c r="I160" s="218" t="s">
        <v>196</v>
      </c>
      <c r="J160" s="217" t="s">
        <v>890</v>
      </c>
      <c r="K160" s="213" t="s">
        <v>221</v>
      </c>
      <c r="L160" s="213" t="s">
        <v>1449</v>
      </c>
      <c r="M160" s="219" t="s">
        <v>1445</v>
      </c>
      <c r="N160" s="265">
        <v>4.47</v>
      </c>
      <c r="O160" s="265">
        <v>4.47</v>
      </c>
      <c r="P160" s="265">
        <v>4.47</v>
      </c>
      <c r="Q160" s="265">
        <v>4.47</v>
      </c>
      <c r="R160" s="265">
        <v>4.47</v>
      </c>
      <c r="S160" s="265">
        <v>4.47</v>
      </c>
      <c r="T160" s="265">
        <v>4.47</v>
      </c>
      <c r="U160" s="265">
        <v>4.47</v>
      </c>
      <c r="V160" s="265">
        <v>4.47</v>
      </c>
      <c r="W160" s="265">
        <v>4.47</v>
      </c>
      <c r="X160" s="265">
        <v>4.47</v>
      </c>
      <c r="Y160" s="265">
        <v>4.47</v>
      </c>
      <c r="Z160" s="265">
        <v>0</v>
      </c>
      <c r="AA160" s="265">
        <v>0</v>
      </c>
      <c r="AB160" s="265">
        <v>0</v>
      </c>
      <c r="AC160" s="265">
        <v>0</v>
      </c>
      <c r="AD160" s="265">
        <v>0</v>
      </c>
      <c r="AE160" s="265">
        <v>0</v>
      </c>
      <c r="AF160" s="265">
        <v>0</v>
      </c>
      <c r="AG160" s="265">
        <v>0</v>
      </c>
      <c r="AH160" s="265">
        <v>0</v>
      </c>
      <c r="AI160" s="265">
        <v>0</v>
      </c>
      <c r="AJ160" s="265">
        <v>0</v>
      </c>
      <c r="AK160" s="265">
        <v>0</v>
      </c>
      <c r="AL160" s="266" t="s">
        <v>573</v>
      </c>
      <c r="AM160" s="265">
        <f t="shared" si="56"/>
        <v>0</v>
      </c>
      <c r="AN160" s="266">
        <v>2880</v>
      </c>
      <c r="AO160" s="265">
        <f t="shared" si="45"/>
        <v>0</v>
      </c>
      <c r="AP160" s="266">
        <v>0</v>
      </c>
      <c r="AQ160" s="265">
        <f t="shared" si="57"/>
        <v>0</v>
      </c>
      <c r="AR160" s="266">
        <v>0</v>
      </c>
      <c r="AS160" s="262">
        <f t="shared" si="58"/>
        <v>0</v>
      </c>
      <c r="AT160" s="266">
        <v>0</v>
      </c>
      <c r="AU160" s="260">
        <f t="shared" si="59"/>
        <v>0</v>
      </c>
      <c r="AV160" s="259">
        <v>0</v>
      </c>
      <c r="AW160" s="260">
        <f t="shared" si="60"/>
        <v>0</v>
      </c>
      <c r="AX160" s="261" t="s">
        <v>573</v>
      </c>
      <c r="AY160" s="260">
        <f t="shared" si="61"/>
        <v>0</v>
      </c>
      <c r="AZ160" s="259" t="s">
        <v>573</v>
      </c>
      <c r="BA160" s="260">
        <f t="shared" si="62"/>
        <v>0</v>
      </c>
      <c r="BB160" s="259" t="s">
        <v>573</v>
      </c>
      <c r="BC160" s="260">
        <f t="shared" si="63"/>
        <v>0</v>
      </c>
      <c r="BD160" s="259" t="s">
        <v>573</v>
      </c>
      <c r="BE160" s="260">
        <f t="shared" si="64"/>
        <v>0</v>
      </c>
      <c r="BF160" s="259" t="s">
        <v>573</v>
      </c>
      <c r="BG160" s="260">
        <f t="shared" si="65"/>
        <v>0</v>
      </c>
      <c r="BH160" s="259">
        <v>5760</v>
      </c>
      <c r="BI160" s="260">
        <f t="shared" si="55"/>
        <v>0</v>
      </c>
      <c r="BJ160" s="58"/>
      <c r="BK160" s="220"/>
      <c r="BL160" s="213" t="s">
        <v>807</v>
      </c>
      <c r="BM160" s="213" t="s">
        <v>764</v>
      </c>
    </row>
    <row r="161" spans="1:65" ht="15.75" customHeight="1">
      <c r="A161" s="213" t="s">
        <v>1437</v>
      </c>
      <c r="B161" s="58" t="s">
        <v>184</v>
      </c>
      <c r="C161" s="58" t="s">
        <v>752</v>
      </c>
      <c r="D161" s="214" t="s">
        <v>186</v>
      </c>
      <c r="E161" s="214" t="s">
        <v>186</v>
      </c>
      <c r="F161" s="215" t="s">
        <v>186</v>
      </c>
      <c r="G161" s="216">
        <v>2021</v>
      </c>
      <c r="H161" s="218" t="s">
        <v>810</v>
      </c>
      <c r="I161" s="218" t="s">
        <v>196</v>
      </c>
      <c r="J161" s="217" t="s">
        <v>890</v>
      </c>
      <c r="K161" s="213" t="s">
        <v>221</v>
      </c>
      <c r="L161" s="213" t="s">
        <v>192</v>
      </c>
      <c r="M161" s="219" t="s">
        <v>1389</v>
      </c>
      <c r="N161" s="265">
        <v>4.47</v>
      </c>
      <c r="O161" s="265">
        <v>4.47</v>
      </c>
      <c r="P161" s="265">
        <v>4.47</v>
      </c>
      <c r="Q161" s="265">
        <v>4.47</v>
      </c>
      <c r="R161" s="265">
        <v>4.47</v>
      </c>
      <c r="S161" s="265">
        <v>4.47</v>
      </c>
      <c r="T161" s="265">
        <v>4.47</v>
      </c>
      <c r="U161" s="265">
        <v>4.47</v>
      </c>
      <c r="V161" s="265">
        <v>4.47</v>
      </c>
      <c r="W161" s="265">
        <v>4.47</v>
      </c>
      <c r="X161" s="265">
        <v>4.47</v>
      </c>
      <c r="Y161" s="265">
        <v>4.47</v>
      </c>
      <c r="Z161" s="265">
        <v>0</v>
      </c>
      <c r="AA161" s="265">
        <v>0</v>
      </c>
      <c r="AB161" s="265">
        <v>0</v>
      </c>
      <c r="AC161" s="265">
        <v>0</v>
      </c>
      <c r="AD161" s="265">
        <v>0</v>
      </c>
      <c r="AE161" s="265">
        <v>0</v>
      </c>
      <c r="AF161" s="265">
        <v>0</v>
      </c>
      <c r="AG161" s="265">
        <v>0</v>
      </c>
      <c r="AH161" s="265">
        <v>0</v>
      </c>
      <c r="AI161" s="265">
        <v>0</v>
      </c>
      <c r="AJ161" s="265">
        <v>0</v>
      </c>
      <c r="AK161" s="265">
        <v>0</v>
      </c>
      <c r="AL161" s="266">
        <v>2880</v>
      </c>
      <c r="AM161" s="265">
        <f t="shared" si="56"/>
        <v>0</v>
      </c>
      <c r="AN161" s="266" t="s">
        <v>573</v>
      </c>
      <c r="AO161" s="265">
        <f t="shared" si="45"/>
        <v>0</v>
      </c>
      <c r="AP161" s="266">
        <v>0</v>
      </c>
      <c r="AQ161" s="265">
        <f t="shared" si="57"/>
        <v>0</v>
      </c>
      <c r="AR161" s="266">
        <v>0</v>
      </c>
      <c r="AS161" s="262">
        <f t="shared" si="58"/>
        <v>0</v>
      </c>
      <c r="AT161" s="266">
        <v>0</v>
      </c>
      <c r="AU161" s="260">
        <f t="shared" si="59"/>
        <v>0</v>
      </c>
      <c r="AV161" s="259">
        <v>0</v>
      </c>
      <c r="AW161" s="260">
        <f t="shared" si="60"/>
        <v>0</v>
      </c>
      <c r="AX161" s="261">
        <v>2880</v>
      </c>
      <c r="AY161" s="260">
        <f t="shared" si="61"/>
        <v>0</v>
      </c>
      <c r="AZ161" s="259">
        <v>2880</v>
      </c>
      <c r="BA161" s="260">
        <f t="shared" si="62"/>
        <v>0</v>
      </c>
      <c r="BB161" s="259">
        <v>2880</v>
      </c>
      <c r="BC161" s="260">
        <f t="shared" si="63"/>
        <v>0</v>
      </c>
      <c r="BD161" s="259" t="s">
        <v>573</v>
      </c>
      <c r="BE161" s="260">
        <f t="shared" si="64"/>
        <v>0</v>
      </c>
      <c r="BF161" s="259">
        <v>2880</v>
      </c>
      <c r="BG161" s="260">
        <f t="shared" si="65"/>
        <v>0</v>
      </c>
      <c r="BH161" s="259">
        <v>20160</v>
      </c>
      <c r="BI161" s="260">
        <f t="shared" si="55"/>
        <v>0</v>
      </c>
      <c r="BJ161" s="58"/>
      <c r="BK161" s="220"/>
      <c r="BL161" s="213" t="s">
        <v>763</v>
      </c>
      <c r="BM161" s="213" t="s">
        <v>668</v>
      </c>
    </row>
    <row r="162" spans="1:65" ht="15.75" customHeight="1">
      <c r="A162" s="213" t="s">
        <v>1437</v>
      </c>
      <c r="B162" s="58" t="s">
        <v>184</v>
      </c>
      <c r="C162" s="58" t="s">
        <v>752</v>
      </c>
      <c r="D162" s="214" t="s">
        <v>186</v>
      </c>
      <c r="E162" s="214" t="s">
        <v>186</v>
      </c>
      <c r="F162" s="215" t="s">
        <v>186</v>
      </c>
      <c r="G162" s="216">
        <v>2021</v>
      </c>
      <c r="H162" s="218" t="s">
        <v>810</v>
      </c>
      <c r="I162" s="218" t="s">
        <v>196</v>
      </c>
      <c r="J162" s="217" t="s">
        <v>890</v>
      </c>
      <c r="K162" s="213" t="s">
        <v>221</v>
      </c>
      <c r="L162" s="213" t="s">
        <v>192</v>
      </c>
      <c r="M162" s="219" t="s">
        <v>1388</v>
      </c>
      <c r="N162" s="265">
        <v>4.47</v>
      </c>
      <c r="O162" s="265">
        <v>4.47</v>
      </c>
      <c r="P162" s="265">
        <v>4.47</v>
      </c>
      <c r="Q162" s="265">
        <v>4.47</v>
      </c>
      <c r="R162" s="265">
        <v>4.47</v>
      </c>
      <c r="S162" s="265">
        <v>4.47</v>
      </c>
      <c r="T162" s="265">
        <v>4.47</v>
      </c>
      <c r="U162" s="265">
        <v>4.47</v>
      </c>
      <c r="V162" s="265">
        <v>4.47</v>
      </c>
      <c r="W162" s="265">
        <v>4.47</v>
      </c>
      <c r="X162" s="265">
        <v>4.47</v>
      </c>
      <c r="Y162" s="265">
        <v>4.47</v>
      </c>
      <c r="Z162" s="265">
        <v>0</v>
      </c>
      <c r="AA162" s="265">
        <v>0</v>
      </c>
      <c r="AB162" s="265">
        <v>0</v>
      </c>
      <c r="AC162" s="265">
        <v>0</v>
      </c>
      <c r="AD162" s="265">
        <v>0</v>
      </c>
      <c r="AE162" s="265">
        <v>0</v>
      </c>
      <c r="AF162" s="265">
        <v>0</v>
      </c>
      <c r="AG162" s="265">
        <v>0</v>
      </c>
      <c r="AH162" s="265">
        <v>0</v>
      </c>
      <c r="AI162" s="265">
        <v>0</v>
      </c>
      <c r="AJ162" s="265">
        <v>0</v>
      </c>
      <c r="AK162" s="265">
        <v>0</v>
      </c>
      <c r="AL162" s="266" t="s">
        <v>573</v>
      </c>
      <c r="AM162" s="265">
        <f t="shared" si="56"/>
        <v>0</v>
      </c>
      <c r="AN162" s="266" t="s">
        <v>573</v>
      </c>
      <c r="AO162" s="265">
        <f t="shared" si="45"/>
        <v>0</v>
      </c>
      <c r="AP162" s="266">
        <v>0</v>
      </c>
      <c r="AQ162" s="265">
        <f t="shared" si="57"/>
        <v>0</v>
      </c>
      <c r="AR162" s="266">
        <v>0</v>
      </c>
      <c r="AS162" s="262">
        <f t="shared" si="58"/>
        <v>0</v>
      </c>
      <c r="AT162" s="266">
        <v>0</v>
      </c>
      <c r="AU162" s="260">
        <f t="shared" si="59"/>
        <v>0</v>
      </c>
      <c r="AV162" s="259">
        <v>0</v>
      </c>
      <c r="AW162" s="260">
        <f t="shared" si="60"/>
        <v>0</v>
      </c>
      <c r="AX162" s="261" t="s">
        <v>573</v>
      </c>
      <c r="AY162" s="260">
        <f t="shared" si="61"/>
        <v>0</v>
      </c>
      <c r="AZ162" s="259" t="s">
        <v>573</v>
      </c>
      <c r="BA162" s="260">
        <f t="shared" si="62"/>
        <v>0</v>
      </c>
      <c r="BB162" s="259" t="s">
        <v>573</v>
      </c>
      <c r="BC162" s="260">
        <f t="shared" si="63"/>
        <v>0</v>
      </c>
      <c r="BD162" s="259" t="s">
        <v>573</v>
      </c>
      <c r="BE162" s="260">
        <f t="shared" si="64"/>
        <v>0</v>
      </c>
      <c r="BF162" s="259" t="s">
        <v>573</v>
      </c>
      <c r="BG162" s="260">
        <f t="shared" si="65"/>
        <v>0</v>
      </c>
      <c r="BH162" s="259">
        <v>2880</v>
      </c>
      <c r="BI162" s="260">
        <f t="shared" si="55"/>
        <v>0</v>
      </c>
      <c r="BJ162" s="58"/>
      <c r="BK162" s="220"/>
      <c r="BL162" s="213" t="s">
        <v>754</v>
      </c>
      <c r="BM162" s="213" t="s">
        <v>765</v>
      </c>
    </row>
    <row r="163" spans="1:65" ht="15.75" customHeight="1">
      <c r="A163" s="213" t="s">
        <v>1437</v>
      </c>
      <c r="B163" s="58" t="s">
        <v>199</v>
      </c>
      <c r="C163" s="58" t="s">
        <v>752</v>
      </c>
      <c r="D163" s="214" t="s">
        <v>186</v>
      </c>
      <c r="E163" s="214" t="s">
        <v>186</v>
      </c>
      <c r="F163" s="215" t="s">
        <v>186</v>
      </c>
      <c r="G163" s="216">
        <v>2019</v>
      </c>
      <c r="H163" s="218" t="s">
        <v>798</v>
      </c>
      <c r="I163" s="218" t="s">
        <v>201</v>
      </c>
      <c r="J163" s="217" t="s">
        <v>890</v>
      </c>
      <c r="K163" s="213" t="s">
        <v>753</v>
      </c>
      <c r="L163" s="213" t="s">
        <v>192</v>
      </c>
      <c r="M163" s="219" t="s">
        <v>1388</v>
      </c>
      <c r="N163" s="265">
        <v>10.23</v>
      </c>
      <c r="O163" s="265">
        <v>10.23</v>
      </c>
      <c r="P163" s="265">
        <v>10.23</v>
      </c>
      <c r="Q163" s="265">
        <v>10.23</v>
      </c>
      <c r="R163" s="265">
        <v>10.23</v>
      </c>
      <c r="S163" s="265">
        <v>10.23</v>
      </c>
      <c r="T163" s="265">
        <v>10.23</v>
      </c>
      <c r="U163" s="265">
        <v>10.23</v>
      </c>
      <c r="V163" s="265">
        <v>10.23</v>
      </c>
      <c r="W163" s="265">
        <v>10.23</v>
      </c>
      <c r="X163" s="265">
        <v>10.23</v>
      </c>
      <c r="Y163" s="265">
        <v>10.23</v>
      </c>
      <c r="Z163" s="265">
        <v>0</v>
      </c>
      <c r="AA163" s="265">
        <v>0</v>
      </c>
      <c r="AB163" s="265">
        <v>0</v>
      </c>
      <c r="AC163" s="265">
        <v>0</v>
      </c>
      <c r="AD163" s="265">
        <v>0</v>
      </c>
      <c r="AE163" s="265">
        <v>0</v>
      </c>
      <c r="AF163" s="265">
        <v>0</v>
      </c>
      <c r="AG163" s="265">
        <v>0</v>
      </c>
      <c r="AH163" s="265">
        <v>0</v>
      </c>
      <c r="AI163" s="265">
        <v>0</v>
      </c>
      <c r="AJ163" s="265">
        <v>0</v>
      </c>
      <c r="AK163" s="265">
        <v>0</v>
      </c>
      <c r="AL163" s="266" t="s">
        <v>573</v>
      </c>
      <c r="AM163" s="265">
        <f t="shared" si="56"/>
        <v>0</v>
      </c>
      <c r="AN163" s="266" t="s">
        <v>573</v>
      </c>
      <c r="AO163" s="265">
        <f t="shared" si="45"/>
        <v>0</v>
      </c>
      <c r="AP163" s="266">
        <v>0</v>
      </c>
      <c r="AQ163" s="265">
        <f t="shared" si="57"/>
        <v>0</v>
      </c>
      <c r="AR163" s="266">
        <v>0</v>
      </c>
      <c r="AS163" s="262">
        <f t="shared" si="58"/>
        <v>0</v>
      </c>
      <c r="AT163" s="266">
        <v>0</v>
      </c>
      <c r="AU163" s="260">
        <f t="shared" si="59"/>
        <v>0</v>
      </c>
      <c r="AV163" s="259">
        <v>0</v>
      </c>
      <c r="AW163" s="260">
        <f t="shared" si="60"/>
        <v>0</v>
      </c>
      <c r="AX163" s="261" t="s">
        <v>573</v>
      </c>
      <c r="AY163" s="260">
        <f t="shared" si="61"/>
        <v>0</v>
      </c>
      <c r="AZ163" s="259">
        <v>1088</v>
      </c>
      <c r="BA163" s="260">
        <f t="shared" si="62"/>
        <v>0</v>
      </c>
      <c r="BB163" s="259">
        <v>1088</v>
      </c>
      <c r="BC163" s="260">
        <f t="shared" si="63"/>
        <v>0</v>
      </c>
      <c r="BD163" s="259">
        <v>1088</v>
      </c>
      <c r="BE163" s="260">
        <f t="shared" si="64"/>
        <v>0</v>
      </c>
      <c r="BF163" s="258">
        <v>1088</v>
      </c>
      <c r="BG163" s="260">
        <f t="shared" si="65"/>
        <v>0</v>
      </c>
      <c r="BH163" s="258">
        <v>1088</v>
      </c>
      <c r="BI163" s="260">
        <f t="shared" si="55"/>
        <v>0</v>
      </c>
      <c r="BJ163" s="58"/>
      <c r="BK163" s="220"/>
      <c r="BL163" s="213" t="s">
        <v>754</v>
      </c>
      <c r="BM163" s="213" t="s">
        <v>556</v>
      </c>
    </row>
    <row r="164" spans="1:65" ht="15.75" customHeight="1">
      <c r="A164" s="213" t="s">
        <v>1437</v>
      </c>
      <c r="B164" s="58" t="s">
        <v>199</v>
      </c>
      <c r="C164" s="58" t="s">
        <v>752</v>
      </c>
      <c r="D164" s="214" t="s">
        <v>186</v>
      </c>
      <c r="E164" s="214" t="s">
        <v>186</v>
      </c>
      <c r="F164" s="215" t="s">
        <v>186</v>
      </c>
      <c r="G164" s="216">
        <v>2019</v>
      </c>
      <c r="H164" s="218" t="s">
        <v>798</v>
      </c>
      <c r="I164" s="218" t="s">
        <v>201</v>
      </c>
      <c r="J164" s="217" t="s">
        <v>890</v>
      </c>
      <c r="K164" s="213" t="s">
        <v>753</v>
      </c>
      <c r="L164" s="213" t="s">
        <v>192</v>
      </c>
      <c r="M164" s="219" t="s">
        <v>1391</v>
      </c>
      <c r="N164" s="265">
        <v>10.130000000000001</v>
      </c>
      <c r="O164" s="265">
        <v>10.130000000000001</v>
      </c>
      <c r="P164" s="265">
        <v>10.130000000000001</v>
      </c>
      <c r="Q164" s="265">
        <v>10.130000000000001</v>
      </c>
      <c r="R164" s="265">
        <v>10.130000000000001</v>
      </c>
      <c r="S164" s="265">
        <v>10.130000000000001</v>
      </c>
      <c r="T164" s="265">
        <v>10.130000000000001</v>
      </c>
      <c r="U164" s="265">
        <v>10.130000000000001</v>
      </c>
      <c r="V164" s="265">
        <v>10.130000000000001</v>
      </c>
      <c r="W164" s="265">
        <v>10.130000000000001</v>
      </c>
      <c r="X164" s="265">
        <v>10.130000000000001</v>
      </c>
      <c r="Y164" s="265">
        <v>10.130000000000001</v>
      </c>
      <c r="Z164" s="265">
        <v>0</v>
      </c>
      <c r="AA164" s="265">
        <v>0</v>
      </c>
      <c r="AB164" s="265">
        <v>0</v>
      </c>
      <c r="AC164" s="265">
        <v>0</v>
      </c>
      <c r="AD164" s="265">
        <v>0</v>
      </c>
      <c r="AE164" s="265">
        <v>0</v>
      </c>
      <c r="AF164" s="265">
        <v>0</v>
      </c>
      <c r="AG164" s="265">
        <v>0</v>
      </c>
      <c r="AH164" s="265">
        <v>0</v>
      </c>
      <c r="AI164" s="265">
        <v>0</v>
      </c>
      <c r="AJ164" s="265">
        <v>0</v>
      </c>
      <c r="AK164" s="265">
        <v>0</v>
      </c>
      <c r="AL164" s="266" t="s">
        <v>573</v>
      </c>
      <c r="AM164" s="265">
        <f t="shared" si="56"/>
        <v>0</v>
      </c>
      <c r="AN164" s="266" t="s">
        <v>573</v>
      </c>
      <c r="AO164" s="265">
        <f t="shared" si="45"/>
        <v>0</v>
      </c>
      <c r="AP164" s="266">
        <v>0</v>
      </c>
      <c r="AQ164" s="265">
        <f t="shared" si="57"/>
        <v>0</v>
      </c>
      <c r="AR164" s="266">
        <v>0</v>
      </c>
      <c r="AS164" s="262">
        <f t="shared" si="58"/>
        <v>0</v>
      </c>
      <c r="AT164" s="266">
        <v>0</v>
      </c>
      <c r="AU164" s="260">
        <f t="shared" si="59"/>
        <v>0</v>
      </c>
      <c r="AV164" s="259">
        <v>0</v>
      </c>
      <c r="AW164" s="260">
        <f t="shared" si="60"/>
        <v>0</v>
      </c>
      <c r="AX164" s="261" t="s">
        <v>573</v>
      </c>
      <c r="AY164" s="260">
        <f t="shared" si="61"/>
        <v>0</v>
      </c>
      <c r="AZ164" s="259" t="s">
        <v>573</v>
      </c>
      <c r="BA164" s="260">
        <f t="shared" si="62"/>
        <v>0</v>
      </c>
      <c r="BB164" s="259" t="s">
        <v>573</v>
      </c>
      <c r="BC164" s="260">
        <f t="shared" si="63"/>
        <v>0</v>
      </c>
      <c r="BD164" s="259" t="s">
        <v>573</v>
      </c>
      <c r="BE164" s="260">
        <f t="shared" si="64"/>
        <v>0</v>
      </c>
      <c r="BF164" s="259" t="s">
        <v>573</v>
      </c>
      <c r="BG164" s="260">
        <f t="shared" si="65"/>
        <v>0</v>
      </c>
      <c r="BH164" s="259" t="s">
        <v>573</v>
      </c>
      <c r="BI164" s="260">
        <f t="shared" si="55"/>
        <v>0</v>
      </c>
      <c r="BJ164" s="58"/>
      <c r="BK164" s="220"/>
      <c r="BL164" s="213" t="s">
        <v>197</v>
      </c>
      <c r="BM164" s="213" t="s">
        <v>553</v>
      </c>
    </row>
    <row r="165" spans="1:65" ht="15.75" customHeight="1">
      <c r="A165" s="213" t="s">
        <v>1437</v>
      </c>
      <c r="B165" s="58" t="s">
        <v>199</v>
      </c>
      <c r="C165" s="58" t="s">
        <v>752</v>
      </c>
      <c r="D165" s="214" t="s">
        <v>186</v>
      </c>
      <c r="E165" s="214" t="s">
        <v>186</v>
      </c>
      <c r="F165" s="215" t="s">
        <v>186</v>
      </c>
      <c r="G165" s="216">
        <v>2019</v>
      </c>
      <c r="H165" s="218" t="s">
        <v>798</v>
      </c>
      <c r="I165" s="218" t="s">
        <v>201</v>
      </c>
      <c r="J165" s="217" t="s">
        <v>890</v>
      </c>
      <c r="K165" s="213" t="s">
        <v>753</v>
      </c>
      <c r="L165" s="213" t="s">
        <v>192</v>
      </c>
      <c r="M165" s="219" t="s">
        <v>1388</v>
      </c>
      <c r="N165" s="265">
        <v>10.27</v>
      </c>
      <c r="O165" s="265">
        <v>10.27</v>
      </c>
      <c r="P165" s="265">
        <v>10.27</v>
      </c>
      <c r="Q165" s="265">
        <v>10.27</v>
      </c>
      <c r="R165" s="265">
        <v>10.27</v>
      </c>
      <c r="S165" s="265">
        <v>10.27</v>
      </c>
      <c r="T165" s="265">
        <v>10.27</v>
      </c>
      <c r="U165" s="265">
        <v>10.27</v>
      </c>
      <c r="V165" s="265">
        <v>10.27</v>
      </c>
      <c r="W165" s="265">
        <v>10.27</v>
      </c>
      <c r="X165" s="265">
        <v>10.27</v>
      </c>
      <c r="Y165" s="265">
        <v>10.27</v>
      </c>
      <c r="Z165" s="265">
        <v>0</v>
      </c>
      <c r="AA165" s="265">
        <v>0</v>
      </c>
      <c r="AB165" s="265">
        <v>0</v>
      </c>
      <c r="AC165" s="265">
        <v>0</v>
      </c>
      <c r="AD165" s="265">
        <v>0</v>
      </c>
      <c r="AE165" s="265">
        <v>0</v>
      </c>
      <c r="AF165" s="265">
        <v>0</v>
      </c>
      <c r="AG165" s="265">
        <v>0</v>
      </c>
      <c r="AH165" s="265">
        <v>0</v>
      </c>
      <c r="AI165" s="265">
        <v>0</v>
      </c>
      <c r="AJ165" s="265">
        <v>0</v>
      </c>
      <c r="AK165" s="265">
        <v>0</v>
      </c>
      <c r="AL165" s="266" t="s">
        <v>573</v>
      </c>
      <c r="AM165" s="265">
        <f t="shared" si="56"/>
        <v>0</v>
      </c>
      <c r="AN165" s="266" t="s">
        <v>573</v>
      </c>
      <c r="AO165" s="265">
        <f t="shared" si="45"/>
        <v>0</v>
      </c>
      <c r="AP165" s="266">
        <v>0</v>
      </c>
      <c r="AQ165" s="265">
        <f t="shared" si="57"/>
        <v>0</v>
      </c>
      <c r="AR165" s="266">
        <v>0</v>
      </c>
      <c r="AS165" s="262">
        <f t="shared" si="58"/>
        <v>0</v>
      </c>
      <c r="AT165" s="266">
        <v>0</v>
      </c>
      <c r="AU165" s="260">
        <f t="shared" si="59"/>
        <v>0</v>
      </c>
      <c r="AV165" s="259">
        <v>0</v>
      </c>
      <c r="AW165" s="260">
        <f t="shared" si="60"/>
        <v>0</v>
      </c>
      <c r="AX165" s="261" t="s">
        <v>573</v>
      </c>
      <c r="AY165" s="260">
        <f t="shared" si="61"/>
        <v>0</v>
      </c>
      <c r="AZ165" s="259" t="s">
        <v>573</v>
      </c>
      <c r="BA165" s="260">
        <f t="shared" si="62"/>
        <v>0</v>
      </c>
      <c r="BB165" s="259" t="s">
        <v>573</v>
      </c>
      <c r="BC165" s="260">
        <f t="shared" si="63"/>
        <v>0</v>
      </c>
      <c r="BD165" s="259">
        <v>1108</v>
      </c>
      <c r="BE165" s="260">
        <f t="shared" si="64"/>
        <v>0</v>
      </c>
      <c r="BF165" s="259">
        <v>1088</v>
      </c>
      <c r="BG165" s="260">
        <f t="shared" si="65"/>
        <v>0</v>
      </c>
      <c r="BH165" s="259" t="s">
        <v>573</v>
      </c>
      <c r="BI165" s="260">
        <f t="shared" si="55"/>
        <v>0</v>
      </c>
      <c r="BJ165" s="58"/>
      <c r="BK165" s="220"/>
      <c r="BL165" s="213" t="s">
        <v>1310</v>
      </c>
      <c r="BM165" s="213" t="s">
        <v>554</v>
      </c>
    </row>
    <row r="166" spans="1:65" ht="15.75" customHeight="1">
      <c r="A166" s="213" t="s">
        <v>1437</v>
      </c>
      <c r="B166" s="58" t="s">
        <v>199</v>
      </c>
      <c r="C166" s="58" t="s">
        <v>752</v>
      </c>
      <c r="D166" s="214" t="s">
        <v>186</v>
      </c>
      <c r="E166" s="214" t="s">
        <v>186</v>
      </c>
      <c r="F166" s="215" t="s">
        <v>186</v>
      </c>
      <c r="G166" s="216">
        <v>2020</v>
      </c>
      <c r="H166" s="218" t="s">
        <v>1319</v>
      </c>
      <c r="I166" s="218" t="s">
        <v>201</v>
      </c>
      <c r="J166" s="217" t="s">
        <v>890</v>
      </c>
      <c r="K166" s="213" t="s">
        <v>221</v>
      </c>
      <c r="L166" s="213" t="s">
        <v>192</v>
      </c>
      <c r="M166" s="219" t="s">
        <v>1388</v>
      </c>
      <c r="N166" s="265">
        <v>5.66</v>
      </c>
      <c r="O166" s="265">
        <v>5.66</v>
      </c>
      <c r="P166" s="265">
        <v>5.66</v>
      </c>
      <c r="Q166" s="265">
        <v>5.66</v>
      </c>
      <c r="R166" s="265">
        <v>5.66</v>
      </c>
      <c r="S166" s="265">
        <v>5.66</v>
      </c>
      <c r="T166" s="265">
        <v>5.66</v>
      </c>
      <c r="U166" s="265">
        <v>5.66</v>
      </c>
      <c r="V166" s="265">
        <v>5.66</v>
      </c>
      <c r="W166" s="265">
        <v>5.66</v>
      </c>
      <c r="X166" s="265">
        <v>5.66</v>
      </c>
      <c r="Y166" s="265">
        <v>5.66</v>
      </c>
      <c r="Z166" s="265">
        <v>0</v>
      </c>
      <c r="AA166" s="265">
        <v>0</v>
      </c>
      <c r="AB166" s="265">
        <v>0</v>
      </c>
      <c r="AC166" s="265">
        <v>0</v>
      </c>
      <c r="AD166" s="265">
        <v>0</v>
      </c>
      <c r="AE166" s="265">
        <v>0</v>
      </c>
      <c r="AF166" s="265">
        <v>0</v>
      </c>
      <c r="AG166" s="265">
        <v>0</v>
      </c>
      <c r="AH166" s="265">
        <v>0</v>
      </c>
      <c r="AI166" s="265">
        <v>0</v>
      </c>
      <c r="AJ166" s="265">
        <v>0</v>
      </c>
      <c r="AK166" s="265">
        <v>0</v>
      </c>
      <c r="AL166" s="266" t="s">
        <v>573</v>
      </c>
      <c r="AM166" s="265">
        <f t="shared" si="56"/>
        <v>0</v>
      </c>
      <c r="AN166" s="266">
        <v>4320</v>
      </c>
      <c r="AO166" s="265">
        <f t="shared" si="45"/>
        <v>0</v>
      </c>
      <c r="AP166" s="266">
        <v>2880</v>
      </c>
      <c r="AQ166" s="265">
        <f t="shared" si="57"/>
        <v>0</v>
      </c>
      <c r="AR166" s="266">
        <v>2880</v>
      </c>
      <c r="AS166" s="262">
        <f t="shared" si="58"/>
        <v>0</v>
      </c>
      <c r="AT166" s="266">
        <v>0</v>
      </c>
      <c r="AU166" s="260">
        <f t="shared" si="59"/>
        <v>0</v>
      </c>
      <c r="AV166" s="259">
        <v>1440</v>
      </c>
      <c r="AW166" s="260">
        <f t="shared" si="60"/>
        <v>0</v>
      </c>
      <c r="AX166" s="261">
        <v>797</v>
      </c>
      <c r="AY166" s="260">
        <f t="shared" si="61"/>
        <v>0</v>
      </c>
      <c r="AZ166" s="259">
        <v>3677</v>
      </c>
      <c r="BA166" s="260">
        <f t="shared" si="62"/>
        <v>0</v>
      </c>
      <c r="BB166" s="259">
        <v>5117</v>
      </c>
      <c r="BC166" s="260">
        <f t="shared" si="63"/>
        <v>0</v>
      </c>
      <c r="BD166" s="259">
        <v>2237</v>
      </c>
      <c r="BE166" s="260">
        <f t="shared" si="64"/>
        <v>0</v>
      </c>
      <c r="BF166" s="259">
        <v>5117</v>
      </c>
      <c r="BG166" s="260">
        <f t="shared" si="65"/>
        <v>0</v>
      </c>
      <c r="BH166" s="259">
        <v>2237</v>
      </c>
      <c r="BI166" s="260">
        <f t="shared" si="55"/>
        <v>0</v>
      </c>
      <c r="BJ166" s="58"/>
      <c r="BK166" s="220"/>
      <c r="BL166" s="213" t="s">
        <v>754</v>
      </c>
      <c r="BM166" s="58" t="s">
        <v>653</v>
      </c>
    </row>
    <row r="167" spans="1:65" ht="15.75" customHeight="1">
      <c r="A167" s="213" t="s">
        <v>1437</v>
      </c>
      <c r="B167" s="58" t="s">
        <v>199</v>
      </c>
      <c r="C167" s="58" t="s">
        <v>752</v>
      </c>
      <c r="D167" s="214" t="s">
        <v>186</v>
      </c>
      <c r="E167" s="214" t="s">
        <v>186</v>
      </c>
      <c r="F167" s="215" t="s">
        <v>186</v>
      </c>
      <c r="G167" s="216">
        <v>2020</v>
      </c>
      <c r="H167" s="218" t="s">
        <v>1319</v>
      </c>
      <c r="I167" s="218" t="s">
        <v>201</v>
      </c>
      <c r="J167" s="217" t="s">
        <v>890</v>
      </c>
      <c r="K167" s="213" t="s">
        <v>221</v>
      </c>
      <c r="L167" s="213" t="s">
        <v>192</v>
      </c>
      <c r="M167" s="219" t="s">
        <v>1390</v>
      </c>
      <c r="N167" s="265">
        <v>5.86</v>
      </c>
      <c r="O167" s="265">
        <v>5.86</v>
      </c>
      <c r="P167" s="265">
        <v>5.86</v>
      </c>
      <c r="Q167" s="265">
        <v>5.86</v>
      </c>
      <c r="R167" s="265">
        <v>5.86</v>
      </c>
      <c r="S167" s="265">
        <v>5.86</v>
      </c>
      <c r="T167" s="265">
        <v>5.86</v>
      </c>
      <c r="U167" s="265">
        <v>5.86</v>
      </c>
      <c r="V167" s="265">
        <v>5.86</v>
      </c>
      <c r="W167" s="265">
        <v>5.86</v>
      </c>
      <c r="X167" s="265">
        <v>5.86</v>
      </c>
      <c r="Y167" s="265">
        <v>5.86</v>
      </c>
      <c r="Z167" s="265">
        <v>0</v>
      </c>
      <c r="AA167" s="265">
        <v>0</v>
      </c>
      <c r="AB167" s="265">
        <v>0</v>
      </c>
      <c r="AC167" s="265">
        <v>0</v>
      </c>
      <c r="AD167" s="265">
        <v>0</v>
      </c>
      <c r="AE167" s="265">
        <v>0</v>
      </c>
      <c r="AF167" s="265">
        <v>0</v>
      </c>
      <c r="AG167" s="265">
        <v>0</v>
      </c>
      <c r="AH167" s="265">
        <v>0</v>
      </c>
      <c r="AI167" s="265">
        <v>0</v>
      </c>
      <c r="AJ167" s="265">
        <v>0</v>
      </c>
      <c r="AK167" s="265">
        <v>0</v>
      </c>
      <c r="AL167" s="266">
        <v>1440</v>
      </c>
      <c r="AM167" s="265">
        <f t="shared" si="56"/>
        <v>0</v>
      </c>
      <c r="AN167" s="266">
        <v>5760</v>
      </c>
      <c r="AO167" s="265">
        <f t="shared" si="45"/>
        <v>0</v>
      </c>
      <c r="AP167" s="266">
        <v>2880</v>
      </c>
      <c r="AQ167" s="265">
        <f t="shared" si="57"/>
        <v>0</v>
      </c>
      <c r="AR167" s="266">
        <v>0</v>
      </c>
      <c r="AS167" s="262">
        <f t="shared" si="58"/>
        <v>0</v>
      </c>
      <c r="AT167" s="266">
        <v>0</v>
      </c>
      <c r="AU167" s="260">
        <f t="shared" si="59"/>
        <v>0</v>
      </c>
      <c r="AV167" s="259">
        <v>2880</v>
      </c>
      <c r="AW167" s="260">
        <f t="shared" si="60"/>
        <v>0</v>
      </c>
      <c r="AX167" s="261">
        <v>1440</v>
      </c>
      <c r="AY167" s="260">
        <f t="shared" si="61"/>
        <v>0</v>
      </c>
      <c r="AZ167" s="259">
        <v>1440</v>
      </c>
      <c r="BA167" s="260">
        <f t="shared" si="62"/>
        <v>0</v>
      </c>
      <c r="BB167" s="259">
        <v>1440</v>
      </c>
      <c r="BC167" s="260">
        <f t="shared" si="63"/>
        <v>0</v>
      </c>
      <c r="BD167" s="259" t="s">
        <v>573</v>
      </c>
      <c r="BE167" s="260">
        <f t="shared" si="64"/>
        <v>0</v>
      </c>
      <c r="BF167" s="259">
        <v>2880</v>
      </c>
      <c r="BG167" s="260">
        <f t="shared" si="65"/>
        <v>0</v>
      </c>
      <c r="BH167" s="259">
        <v>1440</v>
      </c>
      <c r="BI167" s="260">
        <f t="shared" si="55"/>
        <v>0</v>
      </c>
      <c r="BJ167" s="58"/>
      <c r="BK167" s="220"/>
      <c r="BL167" s="213" t="s">
        <v>763</v>
      </c>
      <c r="BM167" s="58" t="s">
        <v>652</v>
      </c>
    </row>
    <row r="168" spans="1:65" ht="15.75" customHeight="1">
      <c r="A168" s="213" t="s">
        <v>1437</v>
      </c>
      <c r="B168" s="58" t="s">
        <v>199</v>
      </c>
      <c r="C168" s="58" t="s">
        <v>752</v>
      </c>
      <c r="D168" s="214" t="s">
        <v>186</v>
      </c>
      <c r="E168" s="214" t="s">
        <v>186</v>
      </c>
      <c r="F168" s="215" t="s">
        <v>186</v>
      </c>
      <c r="G168" s="216">
        <v>2020</v>
      </c>
      <c r="H168" s="218" t="s">
        <v>1319</v>
      </c>
      <c r="I168" s="218" t="s">
        <v>201</v>
      </c>
      <c r="J168" s="217" t="s">
        <v>890</v>
      </c>
      <c r="K168" s="213" t="s">
        <v>221</v>
      </c>
      <c r="L168" s="213" t="s">
        <v>192</v>
      </c>
      <c r="M168" s="219" t="s">
        <v>1391</v>
      </c>
      <c r="N168" s="265">
        <v>5.56</v>
      </c>
      <c r="O168" s="265">
        <v>5.56</v>
      </c>
      <c r="P168" s="265">
        <v>5.56</v>
      </c>
      <c r="Q168" s="265">
        <v>5.56</v>
      </c>
      <c r="R168" s="265">
        <v>5.56</v>
      </c>
      <c r="S168" s="265">
        <v>5.56</v>
      </c>
      <c r="T168" s="265">
        <v>5.56</v>
      </c>
      <c r="U168" s="265">
        <v>5.56</v>
      </c>
      <c r="V168" s="265">
        <v>5.56</v>
      </c>
      <c r="W168" s="265">
        <v>5.56</v>
      </c>
      <c r="X168" s="265">
        <v>5.56</v>
      </c>
      <c r="Y168" s="265">
        <v>5.56</v>
      </c>
      <c r="Z168" s="265">
        <v>0</v>
      </c>
      <c r="AA168" s="265">
        <v>0</v>
      </c>
      <c r="AB168" s="265">
        <v>0</v>
      </c>
      <c r="AC168" s="265">
        <v>0</v>
      </c>
      <c r="AD168" s="265">
        <v>0</v>
      </c>
      <c r="AE168" s="265">
        <v>0</v>
      </c>
      <c r="AF168" s="265">
        <v>0</v>
      </c>
      <c r="AG168" s="265">
        <v>0</v>
      </c>
      <c r="AH168" s="265">
        <v>0</v>
      </c>
      <c r="AI168" s="265">
        <v>0</v>
      </c>
      <c r="AJ168" s="265">
        <v>0</v>
      </c>
      <c r="AK168" s="265">
        <v>0</v>
      </c>
      <c r="AL168" s="266" t="s">
        <v>573</v>
      </c>
      <c r="AM168" s="265">
        <f t="shared" si="56"/>
        <v>0</v>
      </c>
      <c r="AN168" s="266" t="s">
        <v>573</v>
      </c>
      <c r="AO168" s="265">
        <f t="shared" si="45"/>
        <v>0</v>
      </c>
      <c r="AP168" s="266">
        <v>0</v>
      </c>
      <c r="AQ168" s="265">
        <f t="shared" si="57"/>
        <v>0</v>
      </c>
      <c r="AR168" s="266">
        <v>0</v>
      </c>
      <c r="AS168" s="262">
        <f t="shared" si="58"/>
        <v>0</v>
      </c>
      <c r="AT168" s="266">
        <v>0</v>
      </c>
      <c r="AU168" s="260">
        <f t="shared" si="59"/>
        <v>0</v>
      </c>
      <c r="AV168" s="259">
        <v>0</v>
      </c>
      <c r="AW168" s="260">
        <f t="shared" si="60"/>
        <v>0</v>
      </c>
      <c r="AX168" s="261" t="s">
        <v>573</v>
      </c>
      <c r="AY168" s="260">
        <f t="shared" si="61"/>
        <v>0</v>
      </c>
      <c r="AZ168" s="259">
        <v>1440</v>
      </c>
      <c r="BA168" s="260">
        <f t="shared" si="62"/>
        <v>0</v>
      </c>
      <c r="BB168" s="259" t="s">
        <v>573</v>
      </c>
      <c r="BC168" s="260">
        <f t="shared" si="63"/>
        <v>0</v>
      </c>
      <c r="BD168" s="259">
        <v>2880</v>
      </c>
      <c r="BE168" s="260">
        <f t="shared" si="64"/>
        <v>0</v>
      </c>
      <c r="BF168" s="259" t="s">
        <v>573</v>
      </c>
      <c r="BG168" s="260">
        <f t="shared" si="65"/>
        <v>0</v>
      </c>
      <c r="BH168" s="259" t="s">
        <v>573</v>
      </c>
      <c r="BI168" s="260">
        <f t="shared" si="55"/>
        <v>0</v>
      </c>
      <c r="BJ168" s="58"/>
      <c r="BK168" s="220"/>
      <c r="BL168" s="213" t="s">
        <v>197</v>
      </c>
      <c r="BM168" s="58" t="s">
        <v>651</v>
      </c>
    </row>
    <row r="169" spans="1:65" ht="15.75" customHeight="1">
      <c r="A169" s="213" t="s">
        <v>1437</v>
      </c>
      <c r="B169" s="58" t="s">
        <v>199</v>
      </c>
      <c r="C169" s="58" t="s">
        <v>752</v>
      </c>
      <c r="D169" s="214" t="s">
        <v>186</v>
      </c>
      <c r="E169" s="214" t="s">
        <v>186</v>
      </c>
      <c r="F169" s="215" t="s">
        <v>186</v>
      </c>
      <c r="G169" s="216">
        <v>2020</v>
      </c>
      <c r="H169" s="218" t="s">
        <v>200</v>
      </c>
      <c r="I169" s="218" t="s">
        <v>201</v>
      </c>
      <c r="J169" s="217" t="s">
        <v>890</v>
      </c>
      <c r="K169" s="213" t="s">
        <v>753</v>
      </c>
      <c r="L169" s="213" t="s">
        <v>192</v>
      </c>
      <c r="M169" s="219" t="s">
        <v>1388</v>
      </c>
      <c r="N169" s="265">
        <v>8.8699999999999992</v>
      </c>
      <c r="O169" s="265">
        <v>8.8699999999999992</v>
      </c>
      <c r="P169" s="265">
        <v>8.8699999999999992</v>
      </c>
      <c r="Q169" s="265">
        <v>8.8699999999999992</v>
      </c>
      <c r="R169" s="265">
        <v>8.8699999999999992</v>
      </c>
      <c r="S169" s="265">
        <v>8.85</v>
      </c>
      <c r="T169" s="265">
        <v>8.85</v>
      </c>
      <c r="U169" s="265">
        <v>8.85</v>
      </c>
      <c r="V169" s="265">
        <v>8.85</v>
      </c>
      <c r="W169" s="265">
        <v>8.85</v>
      </c>
      <c r="X169" s="265">
        <v>8.85</v>
      </c>
      <c r="Y169" s="265">
        <v>8.85</v>
      </c>
      <c r="Z169" s="265">
        <v>0.18</v>
      </c>
      <c r="AA169" s="265">
        <v>0.18</v>
      </c>
      <c r="AB169" s="265">
        <v>0.18</v>
      </c>
      <c r="AC169" s="265">
        <v>0.18</v>
      </c>
      <c r="AD169" s="265">
        <v>0.18</v>
      </c>
      <c r="AE169" s="265">
        <v>0.18</v>
      </c>
      <c r="AF169" s="265">
        <v>0.18</v>
      </c>
      <c r="AG169" s="265">
        <v>0.18</v>
      </c>
      <c r="AH169" s="265">
        <v>0.18</v>
      </c>
      <c r="AI169" s="265">
        <v>0.18</v>
      </c>
      <c r="AJ169" s="265">
        <v>0.18</v>
      </c>
      <c r="AK169" s="265">
        <v>0.18</v>
      </c>
      <c r="AL169" s="266" t="s">
        <v>573</v>
      </c>
      <c r="AM169" s="265">
        <f t="shared" si="56"/>
        <v>0</v>
      </c>
      <c r="AN169" s="266">
        <v>10240</v>
      </c>
      <c r="AO169" s="265">
        <f t="shared" si="45"/>
        <v>1843.1999999999998</v>
      </c>
      <c r="AP169" s="266">
        <v>0</v>
      </c>
      <c r="AQ169" s="265">
        <f t="shared" si="57"/>
        <v>0</v>
      </c>
      <c r="AR169" s="266">
        <v>0</v>
      </c>
      <c r="AS169" s="262">
        <f t="shared" si="58"/>
        <v>0</v>
      </c>
      <c r="AT169" s="266">
        <v>3840</v>
      </c>
      <c r="AU169" s="260">
        <f t="shared" si="59"/>
        <v>691.19999999999993</v>
      </c>
      <c r="AV169" s="259">
        <v>2560</v>
      </c>
      <c r="AW169" s="260">
        <f t="shared" si="60"/>
        <v>460.79999999999995</v>
      </c>
      <c r="AX169" s="261" t="s">
        <v>573</v>
      </c>
      <c r="AY169" s="260">
        <f t="shared" si="61"/>
        <v>0</v>
      </c>
      <c r="AZ169" s="259" t="s">
        <v>573</v>
      </c>
      <c r="BA169" s="260">
        <f t="shared" si="62"/>
        <v>0</v>
      </c>
      <c r="BB169" s="259">
        <v>7680</v>
      </c>
      <c r="BC169" s="260">
        <f t="shared" si="63"/>
        <v>1382.3999999999999</v>
      </c>
      <c r="BD169" s="259" t="s">
        <v>573</v>
      </c>
      <c r="BE169" s="260">
        <f t="shared" si="64"/>
        <v>0</v>
      </c>
      <c r="BF169" s="259" t="s">
        <v>573</v>
      </c>
      <c r="BG169" s="260">
        <f t="shared" si="65"/>
        <v>0</v>
      </c>
      <c r="BH169" s="259" t="s">
        <v>573</v>
      </c>
      <c r="BI169" s="260">
        <f t="shared" si="55"/>
        <v>0</v>
      </c>
      <c r="BJ169" s="58"/>
      <c r="BK169" s="220"/>
      <c r="BL169" s="213" t="s">
        <v>1310</v>
      </c>
      <c r="BM169" s="213" t="s">
        <v>21</v>
      </c>
    </row>
    <row r="170" spans="1:65" ht="15.75" customHeight="1">
      <c r="A170" s="213" t="s">
        <v>1437</v>
      </c>
      <c r="B170" s="58" t="s">
        <v>199</v>
      </c>
      <c r="C170" s="58" t="s">
        <v>752</v>
      </c>
      <c r="D170" s="214" t="s">
        <v>186</v>
      </c>
      <c r="E170" s="214" t="s">
        <v>186</v>
      </c>
      <c r="F170" s="215" t="s">
        <v>186</v>
      </c>
      <c r="G170" s="216">
        <v>2020</v>
      </c>
      <c r="H170" s="218" t="s">
        <v>200</v>
      </c>
      <c r="I170" s="218" t="s">
        <v>201</v>
      </c>
      <c r="J170" s="217" t="s">
        <v>890</v>
      </c>
      <c r="K170" s="213" t="s">
        <v>753</v>
      </c>
      <c r="L170" s="213" t="s">
        <v>192</v>
      </c>
      <c r="M170" s="219" t="s">
        <v>1388</v>
      </c>
      <c r="N170" s="265">
        <v>8.8699999999999992</v>
      </c>
      <c r="O170" s="265">
        <v>8.8699999999999992</v>
      </c>
      <c r="P170" s="265">
        <v>8.8699999999999992</v>
      </c>
      <c r="Q170" s="265">
        <v>8.8699999999999992</v>
      </c>
      <c r="R170" s="265">
        <v>8.8699999999999992</v>
      </c>
      <c r="S170" s="265">
        <v>8.8699999999999992</v>
      </c>
      <c r="T170" s="265">
        <v>8.8699999999999992</v>
      </c>
      <c r="U170" s="265">
        <v>8.8699999999999992</v>
      </c>
      <c r="V170" s="265">
        <v>8.8699999999999992</v>
      </c>
      <c r="W170" s="265">
        <v>8.8699999999999992</v>
      </c>
      <c r="X170" s="265">
        <v>8.8699999999999992</v>
      </c>
      <c r="Y170" s="265">
        <v>8.8699999999999992</v>
      </c>
      <c r="Z170" s="265">
        <v>0.18</v>
      </c>
      <c r="AA170" s="265">
        <v>0.18</v>
      </c>
      <c r="AB170" s="265">
        <v>0.18</v>
      </c>
      <c r="AC170" s="265">
        <v>0.18</v>
      </c>
      <c r="AD170" s="265">
        <v>0.18</v>
      </c>
      <c r="AE170" s="265">
        <v>0.18</v>
      </c>
      <c r="AF170" s="265">
        <v>0.18</v>
      </c>
      <c r="AG170" s="265">
        <v>0.18</v>
      </c>
      <c r="AH170" s="265">
        <v>0.18</v>
      </c>
      <c r="AI170" s="265">
        <v>0.18</v>
      </c>
      <c r="AJ170" s="265">
        <v>0.18</v>
      </c>
      <c r="AK170" s="265">
        <v>0.18</v>
      </c>
      <c r="AL170" s="266" t="s">
        <v>573</v>
      </c>
      <c r="AM170" s="265">
        <f t="shared" si="56"/>
        <v>0</v>
      </c>
      <c r="AN170" s="266" t="s">
        <v>573</v>
      </c>
      <c r="AO170" s="265">
        <f t="shared" si="45"/>
        <v>0</v>
      </c>
      <c r="AP170" s="266">
        <v>0</v>
      </c>
      <c r="AQ170" s="265">
        <f t="shared" si="57"/>
        <v>0</v>
      </c>
      <c r="AR170" s="266">
        <v>0</v>
      </c>
      <c r="AS170" s="262">
        <f t="shared" si="58"/>
        <v>0</v>
      </c>
      <c r="AT170" s="266">
        <v>0</v>
      </c>
      <c r="AU170" s="260">
        <f t="shared" si="59"/>
        <v>0</v>
      </c>
      <c r="AV170" s="259">
        <v>0</v>
      </c>
      <c r="AW170" s="260">
        <f t="shared" si="60"/>
        <v>0</v>
      </c>
      <c r="AX170" s="261" t="s">
        <v>573</v>
      </c>
      <c r="AY170" s="260">
        <f t="shared" si="61"/>
        <v>0</v>
      </c>
      <c r="AZ170" s="259" t="s">
        <v>573</v>
      </c>
      <c r="BA170" s="260">
        <f t="shared" si="62"/>
        <v>0</v>
      </c>
      <c r="BB170" s="259" t="s">
        <v>573</v>
      </c>
      <c r="BC170" s="260">
        <f t="shared" si="63"/>
        <v>0</v>
      </c>
      <c r="BD170" s="259">
        <v>2560</v>
      </c>
      <c r="BE170" s="260">
        <f t="shared" si="64"/>
        <v>460.79999999999995</v>
      </c>
      <c r="BF170" s="259">
        <v>2560</v>
      </c>
      <c r="BG170" s="260">
        <f t="shared" si="65"/>
        <v>460.79999999999995</v>
      </c>
      <c r="BH170" s="259" t="s">
        <v>573</v>
      </c>
      <c r="BI170" s="260">
        <f t="shared" si="55"/>
        <v>0</v>
      </c>
      <c r="BJ170" s="58"/>
      <c r="BK170" s="220"/>
      <c r="BL170" s="213" t="s">
        <v>1310</v>
      </c>
      <c r="BM170" s="58" t="s">
        <v>20</v>
      </c>
    </row>
    <row r="171" spans="1:65" ht="15.75" customHeight="1">
      <c r="A171" s="213" t="s">
        <v>1437</v>
      </c>
      <c r="B171" s="58" t="s">
        <v>199</v>
      </c>
      <c r="C171" s="58" t="s">
        <v>752</v>
      </c>
      <c r="D171" s="214" t="s">
        <v>186</v>
      </c>
      <c r="E171" s="214" t="s">
        <v>186</v>
      </c>
      <c r="F171" s="215" t="s">
        <v>186</v>
      </c>
      <c r="G171" s="216">
        <v>2020</v>
      </c>
      <c r="H171" s="218" t="s">
        <v>200</v>
      </c>
      <c r="I171" s="218" t="s">
        <v>201</v>
      </c>
      <c r="J171" s="217" t="s">
        <v>890</v>
      </c>
      <c r="K171" s="213" t="s">
        <v>753</v>
      </c>
      <c r="L171" s="213" t="s">
        <v>869</v>
      </c>
      <c r="M171" s="219" t="s">
        <v>1445</v>
      </c>
      <c r="N171" s="265">
        <v>8.8699999999999992</v>
      </c>
      <c r="O171" s="265">
        <v>8.8699999999999992</v>
      </c>
      <c r="P171" s="265">
        <v>8.8699999999999992</v>
      </c>
      <c r="Q171" s="265">
        <v>8.8699999999999992</v>
      </c>
      <c r="R171" s="265">
        <v>8.8699999999999992</v>
      </c>
      <c r="S171" s="265">
        <v>8.8699999999999992</v>
      </c>
      <c r="T171" s="265">
        <v>8.8699999999999992</v>
      </c>
      <c r="U171" s="265">
        <v>8.8699999999999992</v>
      </c>
      <c r="V171" s="265">
        <v>8.8699999999999992</v>
      </c>
      <c r="W171" s="265">
        <v>8.8699999999999992</v>
      </c>
      <c r="X171" s="265">
        <v>8.8699999999999992</v>
      </c>
      <c r="Y171" s="265">
        <v>8.8699999999999992</v>
      </c>
      <c r="Z171" s="265">
        <v>0.18</v>
      </c>
      <c r="AA171" s="265">
        <v>0.18</v>
      </c>
      <c r="AB171" s="265">
        <v>0.18</v>
      </c>
      <c r="AC171" s="265">
        <v>0.18</v>
      </c>
      <c r="AD171" s="265">
        <v>0.18</v>
      </c>
      <c r="AE171" s="265">
        <v>0.18</v>
      </c>
      <c r="AF171" s="265">
        <v>0.18</v>
      </c>
      <c r="AG171" s="265">
        <v>0.18</v>
      </c>
      <c r="AH171" s="265">
        <v>0.18</v>
      </c>
      <c r="AI171" s="265">
        <v>0.18</v>
      </c>
      <c r="AJ171" s="265">
        <v>0.18</v>
      </c>
      <c r="AK171" s="265">
        <v>0.18</v>
      </c>
      <c r="AL171" s="266">
        <v>7040</v>
      </c>
      <c r="AM171" s="265">
        <f t="shared" si="56"/>
        <v>1267.2</v>
      </c>
      <c r="AN171" s="266">
        <v>5120</v>
      </c>
      <c r="AO171" s="265">
        <f t="shared" si="45"/>
        <v>921.59999999999991</v>
      </c>
      <c r="AP171" s="266">
        <v>0</v>
      </c>
      <c r="AQ171" s="265">
        <f t="shared" si="57"/>
        <v>0</v>
      </c>
      <c r="AR171" s="266">
        <v>0</v>
      </c>
      <c r="AS171" s="262">
        <f t="shared" si="58"/>
        <v>0</v>
      </c>
      <c r="AT171" s="266">
        <v>1280</v>
      </c>
      <c r="AU171" s="262">
        <f t="shared" si="59"/>
        <v>230.39999999999998</v>
      </c>
      <c r="AV171" s="259">
        <v>12480</v>
      </c>
      <c r="AW171" s="260">
        <f t="shared" si="60"/>
        <v>2246.4</v>
      </c>
      <c r="AX171" s="261" t="s">
        <v>573</v>
      </c>
      <c r="AY171" s="260">
        <f t="shared" si="61"/>
        <v>0</v>
      </c>
      <c r="AZ171" s="259" t="s">
        <v>573</v>
      </c>
      <c r="BA171" s="260">
        <f t="shared" si="62"/>
        <v>0</v>
      </c>
      <c r="BB171" s="259" t="s">
        <v>573</v>
      </c>
      <c r="BC171" s="260">
        <f t="shared" si="63"/>
        <v>0</v>
      </c>
      <c r="BD171" s="259">
        <v>0</v>
      </c>
      <c r="BE171" s="260">
        <f t="shared" si="64"/>
        <v>0</v>
      </c>
      <c r="BF171" s="259">
        <v>0</v>
      </c>
      <c r="BG171" s="260">
        <f t="shared" si="65"/>
        <v>0</v>
      </c>
      <c r="BH171" s="259" t="s">
        <v>573</v>
      </c>
      <c r="BI171" s="260">
        <f t="shared" si="55"/>
        <v>0</v>
      </c>
      <c r="BJ171" s="58"/>
      <c r="BK171" s="220"/>
      <c r="BL171" s="213" t="s">
        <v>1310</v>
      </c>
      <c r="BM171" s="58" t="s">
        <v>20</v>
      </c>
    </row>
    <row r="172" spans="1:65" ht="15.75" customHeight="1">
      <c r="A172" s="213" t="s">
        <v>1437</v>
      </c>
      <c r="B172" s="58" t="s">
        <v>199</v>
      </c>
      <c r="C172" s="58" t="s">
        <v>752</v>
      </c>
      <c r="D172" s="214" t="s">
        <v>186</v>
      </c>
      <c r="E172" s="214" t="s">
        <v>186</v>
      </c>
      <c r="F172" s="215" t="s">
        <v>186</v>
      </c>
      <c r="G172" s="216">
        <v>2020</v>
      </c>
      <c r="H172" s="218" t="s">
        <v>200</v>
      </c>
      <c r="I172" s="218" t="s">
        <v>201</v>
      </c>
      <c r="J172" s="217" t="s">
        <v>890</v>
      </c>
      <c r="K172" s="213" t="s">
        <v>753</v>
      </c>
      <c r="L172" s="213" t="s">
        <v>192</v>
      </c>
      <c r="M172" s="219" t="s">
        <v>1388</v>
      </c>
      <c r="N172" s="265">
        <v>8.85</v>
      </c>
      <c r="O172" s="265">
        <v>8.85</v>
      </c>
      <c r="P172" s="265">
        <v>8.85</v>
      </c>
      <c r="Q172" s="265">
        <v>8.85</v>
      </c>
      <c r="R172" s="265">
        <v>8.85</v>
      </c>
      <c r="S172" s="265">
        <v>8.85</v>
      </c>
      <c r="T172" s="265">
        <v>8.85</v>
      </c>
      <c r="U172" s="265">
        <v>8.85</v>
      </c>
      <c r="V172" s="265">
        <v>8.85</v>
      </c>
      <c r="W172" s="265">
        <v>8.85</v>
      </c>
      <c r="X172" s="265">
        <v>8.85</v>
      </c>
      <c r="Y172" s="265">
        <v>8.85</v>
      </c>
      <c r="Z172" s="265">
        <v>0.18</v>
      </c>
      <c r="AA172" s="265">
        <v>0.18</v>
      </c>
      <c r="AB172" s="265">
        <v>0.18</v>
      </c>
      <c r="AC172" s="265">
        <v>0.18</v>
      </c>
      <c r="AD172" s="265">
        <v>0.18</v>
      </c>
      <c r="AE172" s="265">
        <v>0.18</v>
      </c>
      <c r="AF172" s="265">
        <v>0.18</v>
      </c>
      <c r="AG172" s="265">
        <v>0.18</v>
      </c>
      <c r="AH172" s="265">
        <v>0.18</v>
      </c>
      <c r="AI172" s="265">
        <v>0.18</v>
      </c>
      <c r="AJ172" s="265">
        <v>0.18</v>
      </c>
      <c r="AK172" s="265">
        <v>0.18</v>
      </c>
      <c r="AL172" s="266">
        <v>5120</v>
      </c>
      <c r="AM172" s="265">
        <f t="shared" si="56"/>
        <v>921.59999999999991</v>
      </c>
      <c r="AN172" s="266">
        <v>7680</v>
      </c>
      <c r="AO172" s="265">
        <f t="shared" si="45"/>
        <v>1382.3999999999999</v>
      </c>
      <c r="AP172" s="266">
        <v>1280</v>
      </c>
      <c r="AQ172" s="265">
        <f t="shared" si="57"/>
        <v>230.39999999999998</v>
      </c>
      <c r="AR172" s="266">
        <v>2560</v>
      </c>
      <c r="AS172" s="262">
        <f t="shared" si="58"/>
        <v>460.79999999999995</v>
      </c>
      <c r="AT172" s="266">
        <v>21760</v>
      </c>
      <c r="AU172" s="260">
        <f t="shared" si="59"/>
        <v>3916.7999999999997</v>
      </c>
      <c r="AV172" s="259">
        <v>0</v>
      </c>
      <c r="AW172" s="260">
        <f t="shared" si="60"/>
        <v>0</v>
      </c>
      <c r="AX172" s="261">
        <v>5120</v>
      </c>
      <c r="AY172" s="260">
        <f t="shared" si="61"/>
        <v>921.59999999999991</v>
      </c>
      <c r="AZ172" s="259">
        <v>5120</v>
      </c>
      <c r="BA172" s="260">
        <f t="shared" si="62"/>
        <v>921.59999999999991</v>
      </c>
      <c r="BB172" s="259">
        <v>16640</v>
      </c>
      <c r="BC172" s="260">
        <f t="shared" si="63"/>
        <v>2995.2</v>
      </c>
      <c r="BD172" s="259">
        <v>7326</v>
      </c>
      <c r="BE172" s="260">
        <f t="shared" si="64"/>
        <v>1318.68</v>
      </c>
      <c r="BF172" s="259">
        <v>12800</v>
      </c>
      <c r="BG172" s="260">
        <f t="shared" si="65"/>
        <v>2304</v>
      </c>
      <c r="BH172" s="259">
        <v>8960</v>
      </c>
      <c r="BI172" s="260">
        <f t="shared" si="55"/>
        <v>1612.8</v>
      </c>
      <c r="BJ172" s="58"/>
      <c r="BK172" s="220"/>
      <c r="BL172" s="213" t="s">
        <v>754</v>
      </c>
      <c r="BM172" s="58" t="s">
        <v>22</v>
      </c>
    </row>
    <row r="173" spans="1:65" ht="15.75" customHeight="1">
      <c r="A173" s="213" t="s">
        <v>1437</v>
      </c>
      <c r="B173" s="58" t="s">
        <v>199</v>
      </c>
      <c r="C173" s="58" t="s">
        <v>752</v>
      </c>
      <c r="D173" s="214" t="s">
        <v>186</v>
      </c>
      <c r="E173" s="214" t="s">
        <v>186</v>
      </c>
      <c r="F173" s="215" t="s">
        <v>186</v>
      </c>
      <c r="G173" s="216">
        <v>2020</v>
      </c>
      <c r="H173" s="218" t="s">
        <v>200</v>
      </c>
      <c r="I173" s="218" t="s">
        <v>201</v>
      </c>
      <c r="J173" s="217" t="s">
        <v>890</v>
      </c>
      <c r="K173" s="213" t="s">
        <v>753</v>
      </c>
      <c r="L173" s="213" t="s">
        <v>192</v>
      </c>
      <c r="M173" s="219" t="s">
        <v>1388</v>
      </c>
      <c r="N173" s="265">
        <v>8.85</v>
      </c>
      <c r="O173" s="265">
        <v>8.85</v>
      </c>
      <c r="P173" s="265">
        <v>8.85</v>
      </c>
      <c r="Q173" s="265">
        <v>8.85</v>
      </c>
      <c r="R173" s="265">
        <v>8.85</v>
      </c>
      <c r="S173" s="265">
        <v>8.85</v>
      </c>
      <c r="T173" s="265">
        <v>8.85</v>
      </c>
      <c r="U173" s="265">
        <v>8.85</v>
      </c>
      <c r="V173" s="265">
        <v>8.85</v>
      </c>
      <c r="W173" s="265">
        <v>8.85</v>
      </c>
      <c r="X173" s="265">
        <v>8.85</v>
      </c>
      <c r="Y173" s="265">
        <v>8.85</v>
      </c>
      <c r="Z173" s="265">
        <v>0.18</v>
      </c>
      <c r="AA173" s="265">
        <v>0.18</v>
      </c>
      <c r="AB173" s="265">
        <v>0.18</v>
      </c>
      <c r="AC173" s="265">
        <v>0.18</v>
      </c>
      <c r="AD173" s="265">
        <v>0.18</v>
      </c>
      <c r="AE173" s="265">
        <v>0.18</v>
      </c>
      <c r="AF173" s="265">
        <v>0.18</v>
      </c>
      <c r="AG173" s="265">
        <v>0.18</v>
      </c>
      <c r="AH173" s="265">
        <v>0.18</v>
      </c>
      <c r="AI173" s="265">
        <v>0.18</v>
      </c>
      <c r="AJ173" s="265">
        <v>0.18</v>
      </c>
      <c r="AK173" s="265">
        <v>0.18</v>
      </c>
      <c r="AL173" s="266" t="s">
        <v>573</v>
      </c>
      <c r="AM173" s="265">
        <f t="shared" si="56"/>
        <v>0</v>
      </c>
      <c r="AN173" s="266" t="s">
        <v>573</v>
      </c>
      <c r="AO173" s="265">
        <f t="shared" si="45"/>
        <v>0</v>
      </c>
      <c r="AP173" s="266">
        <v>0</v>
      </c>
      <c r="AQ173" s="265">
        <f t="shared" si="57"/>
        <v>0</v>
      </c>
      <c r="AR173" s="266">
        <v>0</v>
      </c>
      <c r="AS173" s="262">
        <f t="shared" si="58"/>
        <v>0</v>
      </c>
      <c r="AT173" s="266">
        <v>0</v>
      </c>
      <c r="AU173" s="260">
        <f t="shared" si="59"/>
        <v>0</v>
      </c>
      <c r="AV173" s="259">
        <v>0</v>
      </c>
      <c r="AW173" s="260">
        <f t="shared" si="60"/>
        <v>0</v>
      </c>
      <c r="AX173" s="261" t="s">
        <v>573</v>
      </c>
      <c r="AY173" s="260">
        <f t="shared" si="61"/>
        <v>0</v>
      </c>
      <c r="AZ173" s="259" t="s">
        <v>573</v>
      </c>
      <c r="BA173" s="260">
        <f t="shared" si="62"/>
        <v>0</v>
      </c>
      <c r="BB173" s="259" t="s">
        <v>573</v>
      </c>
      <c r="BC173" s="260">
        <f t="shared" si="63"/>
        <v>0</v>
      </c>
      <c r="BD173" s="259" t="s">
        <v>573</v>
      </c>
      <c r="BE173" s="260">
        <f t="shared" si="64"/>
        <v>0</v>
      </c>
      <c r="BF173" s="259" t="s">
        <v>573</v>
      </c>
      <c r="BG173" s="260">
        <f t="shared" si="65"/>
        <v>0</v>
      </c>
      <c r="BH173" s="259" t="s">
        <v>573</v>
      </c>
      <c r="BI173" s="260">
        <f t="shared" si="55"/>
        <v>0</v>
      </c>
      <c r="BJ173" s="58"/>
      <c r="BK173" s="220"/>
      <c r="BL173" s="213" t="s">
        <v>754</v>
      </c>
      <c r="BM173" s="58" t="s">
        <v>18</v>
      </c>
    </row>
    <row r="174" spans="1:65" ht="15.75" customHeight="1">
      <c r="A174" s="213" t="s">
        <v>1437</v>
      </c>
      <c r="B174" s="58" t="s">
        <v>199</v>
      </c>
      <c r="C174" s="58" t="s">
        <v>752</v>
      </c>
      <c r="D174" s="214" t="s">
        <v>186</v>
      </c>
      <c r="E174" s="214" t="s">
        <v>186</v>
      </c>
      <c r="F174" s="215" t="s">
        <v>186</v>
      </c>
      <c r="G174" s="216">
        <v>2020</v>
      </c>
      <c r="H174" s="218" t="s">
        <v>200</v>
      </c>
      <c r="I174" s="218" t="s">
        <v>201</v>
      </c>
      <c r="J174" s="217" t="s">
        <v>890</v>
      </c>
      <c r="K174" s="213" t="s">
        <v>753</v>
      </c>
      <c r="L174" s="213" t="s">
        <v>192</v>
      </c>
      <c r="M174" s="219" t="s">
        <v>1388</v>
      </c>
      <c r="N174" s="265">
        <v>8.85</v>
      </c>
      <c r="O174" s="265">
        <v>8.85</v>
      </c>
      <c r="P174" s="265">
        <v>8.85</v>
      </c>
      <c r="Q174" s="265">
        <v>8.85</v>
      </c>
      <c r="R174" s="265">
        <v>8.85</v>
      </c>
      <c r="S174" s="265">
        <v>8.85</v>
      </c>
      <c r="T174" s="265">
        <v>8.85</v>
      </c>
      <c r="U174" s="265">
        <v>8.85</v>
      </c>
      <c r="V174" s="265">
        <v>8.85</v>
      </c>
      <c r="W174" s="265">
        <v>8.85</v>
      </c>
      <c r="X174" s="265">
        <v>8.85</v>
      </c>
      <c r="Y174" s="265">
        <v>8.85</v>
      </c>
      <c r="Z174" s="265">
        <v>0.18</v>
      </c>
      <c r="AA174" s="265">
        <v>0.18</v>
      </c>
      <c r="AB174" s="265">
        <v>0.18</v>
      </c>
      <c r="AC174" s="265">
        <v>0.18</v>
      </c>
      <c r="AD174" s="265">
        <v>0.18</v>
      </c>
      <c r="AE174" s="265">
        <v>0.18</v>
      </c>
      <c r="AF174" s="265">
        <v>0.18</v>
      </c>
      <c r="AG174" s="265">
        <v>0.18</v>
      </c>
      <c r="AH174" s="265">
        <v>0.18</v>
      </c>
      <c r="AI174" s="265">
        <v>0.18</v>
      </c>
      <c r="AJ174" s="265">
        <v>0.18</v>
      </c>
      <c r="AK174" s="265">
        <v>0.18</v>
      </c>
      <c r="AL174" s="266" t="s">
        <v>573</v>
      </c>
      <c r="AM174" s="265">
        <f t="shared" si="56"/>
        <v>0</v>
      </c>
      <c r="AN174" s="266" t="s">
        <v>573</v>
      </c>
      <c r="AO174" s="265">
        <f t="shared" si="45"/>
        <v>0</v>
      </c>
      <c r="AP174" s="266">
        <v>0</v>
      </c>
      <c r="AQ174" s="265">
        <f t="shared" si="57"/>
        <v>0</v>
      </c>
      <c r="AR174" s="266">
        <v>0</v>
      </c>
      <c r="AS174" s="262">
        <f t="shared" si="58"/>
        <v>0</v>
      </c>
      <c r="AT174" s="266">
        <v>0</v>
      </c>
      <c r="AU174" s="260">
        <f t="shared" si="59"/>
        <v>0</v>
      </c>
      <c r="AV174" s="259">
        <v>8960</v>
      </c>
      <c r="AW174" s="260">
        <f t="shared" si="60"/>
        <v>1612.8</v>
      </c>
      <c r="AX174" s="261" t="s">
        <v>573</v>
      </c>
      <c r="AY174" s="260">
        <f t="shared" si="61"/>
        <v>0</v>
      </c>
      <c r="AZ174" s="259">
        <v>10000</v>
      </c>
      <c r="BA174" s="260">
        <f t="shared" si="62"/>
        <v>1800</v>
      </c>
      <c r="BB174" s="259" t="s">
        <v>573</v>
      </c>
      <c r="BC174" s="260">
        <f t="shared" si="63"/>
        <v>0</v>
      </c>
      <c r="BD174" s="259">
        <v>15000</v>
      </c>
      <c r="BE174" s="260">
        <f t="shared" si="64"/>
        <v>2700</v>
      </c>
      <c r="BF174" s="259">
        <v>15000</v>
      </c>
      <c r="BG174" s="260">
        <f t="shared" si="65"/>
        <v>2700</v>
      </c>
      <c r="BH174" s="259" t="s">
        <v>573</v>
      </c>
      <c r="BI174" s="260">
        <f t="shared" si="55"/>
        <v>0</v>
      </c>
      <c r="BJ174" s="58"/>
      <c r="BK174" s="220"/>
      <c r="BL174" s="213" t="s">
        <v>197</v>
      </c>
      <c r="BM174" s="58" t="s">
        <v>19</v>
      </c>
    </row>
    <row r="175" spans="1:65" ht="15.75" customHeight="1">
      <c r="A175" s="213" t="s">
        <v>1437</v>
      </c>
      <c r="B175" s="58" t="s">
        <v>199</v>
      </c>
      <c r="C175" s="58" t="s">
        <v>752</v>
      </c>
      <c r="D175" s="214" t="s">
        <v>186</v>
      </c>
      <c r="E175" s="214" t="s">
        <v>186</v>
      </c>
      <c r="F175" s="215" t="s">
        <v>186</v>
      </c>
      <c r="G175" s="216">
        <v>2020</v>
      </c>
      <c r="H175" s="218" t="s">
        <v>200</v>
      </c>
      <c r="I175" s="218" t="s">
        <v>201</v>
      </c>
      <c r="J175" s="217" t="s">
        <v>890</v>
      </c>
      <c r="K175" s="213" t="s">
        <v>753</v>
      </c>
      <c r="L175" s="213" t="s">
        <v>192</v>
      </c>
      <c r="M175" s="219" t="s">
        <v>1388</v>
      </c>
      <c r="N175" s="265">
        <v>9</v>
      </c>
      <c r="O175" s="265">
        <v>9</v>
      </c>
      <c r="P175" s="265">
        <v>9</v>
      </c>
      <c r="Q175" s="265">
        <v>9</v>
      </c>
      <c r="R175" s="265">
        <v>9</v>
      </c>
      <c r="S175" s="265">
        <v>9</v>
      </c>
      <c r="T175" s="265">
        <v>9</v>
      </c>
      <c r="U175" s="265">
        <v>9</v>
      </c>
      <c r="V175" s="265">
        <v>9</v>
      </c>
      <c r="W175" s="265">
        <v>9</v>
      </c>
      <c r="X175" s="265">
        <v>9</v>
      </c>
      <c r="Y175" s="265">
        <v>9</v>
      </c>
      <c r="Z175" s="265">
        <v>0.18</v>
      </c>
      <c r="AA175" s="265">
        <v>0.18</v>
      </c>
      <c r="AB175" s="265">
        <v>0.18</v>
      </c>
      <c r="AC175" s="265">
        <v>0.18</v>
      </c>
      <c r="AD175" s="265">
        <v>0.18</v>
      </c>
      <c r="AE175" s="265">
        <v>0.18</v>
      </c>
      <c r="AF175" s="265">
        <v>0.18</v>
      </c>
      <c r="AG175" s="265">
        <v>0.18</v>
      </c>
      <c r="AH175" s="265">
        <v>0.18</v>
      </c>
      <c r="AI175" s="265">
        <v>0.18</v>
      </c>
      <c r="AJ175" s="265">
        <v>0.18</v>
      </c>
      <c r="AK175" s="265">
        <v>0.18</v>
      </c>
      <c r="AL175" s="266" t="s">
        <v>573</v>
      </c>
      <c r="AM175" s="265">
        <f t="shared" si="56"/>
        <v>0</v>
      </c>
      <c r="AN175" s="266" t="s">
        <v>573</v>
      </c>
      <c r="AO175" s="265">
        <f t="shared" si="45"/>
        <v>0</v>
      </c>
      <c r="AP175" s="266">
        <v>0</v>
      </c>
      <c r="AQ175" s="265">
        <f t="shared" si="57"/>
        <v>0</v>
      </c>
      <c r="AR175" s="266">
        <v>0</v>
      </c>
      <c r="AS175" s="262">
        <f t="shared" si="58"/>
        <v>0</v>
      </c>
      <c r="AT175" s="266">
        <v>0</v>
      </c>
      <c r="AU175" s="260">
        <f t="shared" si="59"/>
        <v>0</v>
      </c>
      <c r="AV175" s="259">
        <v>0</v>
      </c>
      <c r="AW175" s="260">
        <f t="shared" si="60"/>
        <v>0</v>
      </c>
      <c r="AX175" s="261" t="s">
        <v>573</v>
      </c>
      <c r="AY175" s="260">
        <f t="shared" si="61"/>
        <v>0</v>
      </c>
      <c r="AZ175" s="259" t="s">
        <v>573</v>
      </c>
      <c r="BA175" s="260">
        <f t="shared" si="62"/>
        <v>0</v>
      </c>
      <c r="BB175" s="259" t="s">
        <v>573</v>
      </c>
      <c r="BC175" s="260">
        <f t="shared" si="63"/>
        <v>0</v>
      </c>
      <c r="BD175" s="259" t="s">
        <v>573</v>
      </c>
      <c r="BE175" s="260">
        <f t="shared" si="64"/>
        <v>0</v>
      </c>
      <c r="BF175" s="259" t="s">
        <v>573</v>
      </c>
      <c r="BG175" s="260">
        <f t="shared" si="65"/>
        <v>0</v>
      </c>
      <c r="BH175" s="259" t="s">
        <v>573</v>
      </c>
      <c r="BI175" s="260">
        <f t="shared" si="55"/>
        <v>0</v>
      </c>
      <c r="BJ175" s="58"/>
      <c r="BK175" s="220"/>
      <c r="BL175" s="213" t="s">
        <v>754</v>
      </c>
      <c r="BM175" s="58" t="s">
        <v>26</v>
      </c>
    </row>
    <row r="176" spans="1:65" ht="15.75" customHeight="1">
      <c r="A176" s="213" t="s">
        <v>1437</v>
      </c>
      <c r="B176" s="58" t="s">
        <v>199</v>
      </c>
      <c r="C176" s="58" t="s">
        <v>752</v>
      </c>
      <c r="D176" s="214" t="s">
        <v>186</v>
      </c>
      <c r="E176" s="214" t="s">
        <v>186</v>
      </c>
      <c r="F176" s="215" t="s">
        <v>186</v>
      </c>
      <c r="G176" s="216">
        <v>2020</v>
      </c>
      <c r="H176" s="218" t="s">
        <v>200</v>
      </c>
      <c r="I176" s="218" t="s">
        <v>201</v>
      </c>
      <c r="J176" s="217" t="s">
        <v>890</v>
      </c>
      <c r="K176" s="213" t="s">
        <v>753</v>
      </c>
      <c r="L176" s="213" t="s">
        <v>192</v>
      </c>
      <c r="M176" s="219" t="s">
        <v>1388</v>
      </c>
      <c r="N176" s="265">
        <v>9</v>
      </c>
      <c r="O176" s="265">
        <v>9</v>
      </c>
      <c r="P176" s="265">
        <v>9</v>
      </c>
      <c r="Q176" s="265">
        <v>9</v>
      </c>
      <c r="R176" s="265">
        <v>9</v>
      </c>
      <c r="S176" s="265">
        <v>9</v>
      </c>
      <c r="T176" s="265">
        <v>9</v>
      </c>
      <c r="U176" s="265">
        <v>9</v>
      </c>
      <c r="V176" s="265">
        <v>9</v>
      </c>
      <c r="W176" s="265">
        <v>9</v>
      </c>
      <c r="X176" s="265">
        <v>9</v>
      </c>
      <c r="Y176" s="265">
        <v>9</v>
      </c>
      <c r="Z176" s="265">
        <v>0.18</v>
      </c>
      <c r="AA176" s="265">
        <v>0.18</v>
      </c>
      <c r="AB176" s="265">
        <v>0.18</v>
      </c>
      <c r="AC176" s="265">
        <v>0.18</v>
      </c>
      <c r="AD176" s="265">
        <v>0.18</v>
      </c>
      <c r="AE176" s="265">
        <v>0.18</v>
      </c>
      <c r="AF176" s="265">
        <v>0.18</v>
      </c>
      <c r="AG176" s="265">
        <v>0.18</v>
      </c>
      <c r="AH176" s="265">
        <v>0.18</v>
      </c>
      <c r="AI176" s="265">
        <v>0.18</v>
      </c>
      <c r="AJ176" s="265">
        <v>0.18</v>
      </c>
      <c r="AK176" s="265">
        <v>0.18</v>
      </c>
      <c r="AL176" s="266" t="s">
        <v>573</v>
      </c>
      <c r="AM176" s="265">
        <f t="shared" si="56"/>
        <v>0</v>
      </c>
      <c r="AN176" s="266" t="s">
        <v>573</v>
      </c>
      <c r="AO176" s="265">
        <f t="shared" si="45"/>
        <v>0</v>
      </c>
      <c r="AP176" s="266">
        <v>0</v>
      </c>
      <c r="AQ176" s="265">
        <f t="shared" si="57"/>
        <v>0</v>
      </c>
      <c r="AR176" s="266">
        <v>0</v>
      </c>
      <c r="AS176" s="262">
        <f t="shared" si="58"/>
        <v>0</v>
      </c>
      <c r="AT176" s="266">
        <v>0</v>
      </c>
      <c r="AU176" s="260">
        <f t="shared" si="59"/>
        <v>0</v>
      </c>
      <c r="AV176" s="259">
        <v>0</v>
      </c>
      <c r="AW176" s="260">
        <f t="shared" si="60"/>
        <v>0</v>
      </c>
      <c r="AX176" s="261" t="s">
        <v>573</v>
      </c>
      <c r="AY176" s="260">
        <f t="shared" si="61"/>
        <v>0</v>
      </c>
      <c r="AZ176" s="259" t="s">
        <v>573</v>
      </c>
      <c r="BA176" s="260">
        <f t="shared" si="62"/>
        <v>0</v>
      </c>
      <c r="BB176" s="259" t="s">
        <v>573</v>
      </c>
      <c r="BC176" s="260">
        <f t="shared" si="63"/>
        <v>0</v>
      </c>
      <c r="BD176" s="259" t="s">
        <v>573</v>
      </c>
      <c r="BE176" s="260">
        <f t="shared" si="64"/>
        <v>0</v>
      </c>
      <c r="BF176" s="259" t="s">
        <v>573</v>
      </c>
      <c r="BG176" s="260">
        <f t="shared" si="65"/>
        <v>0</v>
      </c>
      <c r="BH176" s="259" t="s">
        <v>573</v>
      </c>
      <c r="BI176" s="260">
        <f t="shared" si="55"/>
        <v>0</v>
      </c>
      <c r="BJ176" s="58"/>
      <c r="BK176" s="220"/>
      <c r="BL176" s="213" t="s">
        <v>754</v>
      </c>
      <c r="BM176" s="58" t="s">
        <v>23</v>
      </c>
    </row>
    <row r="177" spans="1:65" ht="15.75" customHeight="1">
      <c r="A177" s="213" t="s">
        <v>1437</v>
      </c>
      <c r="B177" s="58" t="s">
        <v>199</v>
      </c>
      <c r="C177" s="58" t="s">
        <v>752</v>
      </c>
      <c r="D177" s="214" t="s">
        <v>186</v>
      </c>
      <c r="E177" s="214" t="s">
        <v>186</v>
      </c>
      <c r="F177" s="215" t="s">
        <v>186</v>
      </c>
      <c r="G177" s="216">
        <v>2020</v>
      </c>
      <c r="H177" s="218" t="s">
        <v>200</v>
      </c>
      <c r="I177" s="218" t="s">
        <v>201</v>
      </c>
      <c r="J177" s="217" t="s">
        <v>890</v>
      </c>
      <c r="K177" s="213" t="s">
        <v>753</v>
      </c>
      <c r="L177" s="213" t="s">
        <v>192</v>
      </c>
      <c r="M177" s="219" t="s">
        <v>1398</v>
      </c>
      <c r="N177" s="265">
        <v>8.86</v>
      </c>
      <c r="O177" s="265">
        <v>8.86</v>
      </c>
      <c r="P177" s="265">
        <v>8.86</v>
      </c>
      <c r="Q177" s="265">
        <v>8.86</v>
      </c>
      <c r="R177" s="265">
        <v>8.86</v>
      </c>
      <c r="S177" s="265">
        <v>8.86</v>
      </c>
      <c r="T177" s="265">
        <v>8.86</v>
      </c>
      <c r="U177" s="265">
        <v>8.86</v>
      </c>
      <c r="V177" s="265">
        <v>8.86</v>
      </c>
      <c r="W177" s="265">
        <v>8.86</v>
      </c>
      <c r="X177" s="265">
        <v>8.86</v>
      </c>
      <c r="Y177" s="265">
        <v>8.86</v>
      </c>
      <c r="Z177" s="265">
        <v>0.18</v>
      </c>
      <c r="AA177" s="265">
        <v>0.18</v>
      </c>
      <c r="AB177" s="265">
        <v>0.18</v>
      </c>
      <c r="AC177" s="265">
        <v>0.18</v>
      </c>
      <c r="AD177" s="265">
        <v>0.18</v>
      </c>
      <c r="AE177" s="265">
        <v>0.18</v>
      </c>
      <c r="AF177" s="265">
        <v>0.18</v>
      </c>
      <c r="AG177" s="265">
        <v>0.18</v>
      </c>
      <c r="AH177" s="265">
        <v>0.18</v>
      </c>
      <c r="AI177" s="265">
        <v>0.18</v>
      </c>
      <c r="AJ177" s="265">
        <v>0.18</v>
      </c>
      <c r="AK177" s="265">
        <v>0.18</v>
      </c>
      <c r="AL177" s="266" t="s">
        <v>573</v>
      </c>
      <c r="AM177" s="265">
        <f t="shared" si="56"/>
        <v>0</v>
      </c>
      <c r="AN177" s="266" t="s">
        <v>573</v>
      </c>
      <c r="AO177" s="265">
        <f t="shared" si="45"/>
        <v>0</v>
      </c>
      <c r="AP177" s="266">
        <v>0</v>
      </c>
      <c r="AQ177" s="265">
        <f t="shared" si="57"/>
        <v>0</v>
      </c>
      <c r="AR177" s="266">
        <v>0</v>
      </c>
      <c r="AS177" s="262">
        <f t="shared" si="58"/>
        <v>0</v>
      </c>
      <c r="AT177" s="266">
        <v>0</v>
      </c>
      <c r="AU177" s="260">
        <f t="shared" si="59"/>
        <v>0</v>
      </c>
      <c r="AV177" s="259">
        <v>0</v>
      </c>
      <c r="AW177" s="260">
        <f t="shared" si="60"/>
        <v>0</v>
      </c>
      <c r="AX177" s="261" t="s">
        <v>573</v>
      </c>
      <c r="AY177" s="260">
        <f t="shared" si="61"/>
        <v>0</v>
      </c>
      <c r="AZ177" s="259" t="s">
        <v>573</v>
      </c>
      <c r="BA177" s="260">
        <f t="shared" si="62"/>
        <v>0</v>
      </c>
      <c r="BB177" s="259" t="s">
        <v>573</v>
      </c>
      <c r="BC177" s="260">
        <f t="shared" si="63"/>
        <v>0</v>
      </c>
      <c r="BD177" s="259" t="s">
        <v>573</v>
      </c>
      <c r="BE177" s="260">
        <f t="shared" si="64"/>
        <v>0</v>
      </c>
      <c r="BF177" s="259" t="s">
        <v>573</v>
      </c>
      <c r="BG177" s="260">
        <f t="shared" si="65"/>
        <v>0</v>
      </c>
      <c r="BH177" s="259" t="s">
        <v>573</v>
      </c>
      <c r="BI177" s="260">
        <f t="shared" si="55"/>
        <v>0</v>
      </c>
      <c r="BJ177" s="58"/>
      <c r="BK177" s="220"/>
      <c r="BL177" s="213" t="s">
        <v>197</v>
      </c>
      <c r="BM177" s="58" t="s">
        <v>12</v>
      </c>
    </row>
    <row r="178" spans="1:65" ht="15.75" customHeight="1">
      <c r="A178" s="213" t="s">
        <v>1437</v>
      </c>
      <c r="B178" s="58" t="s">
        <v>199</v>
      </c>
      <c r="C178" s="58" t="s">
        <v>752</v>
      </c>
      <c r="D178" s="214" t="s">
        <v>186</v>
      </c>
      <c r="E178" s="214" t="s">
        <v>186</v>
      </c>
      <c r="F178" s="215" t="s">
        <v>186</v>
      </c>
      <c r="G178" s="216">
        <v>2020</v>
      </c>
      <c r="H178" s="218" t="s">
        <v>200</v>
      </c>
      <c r="I178" s="218" t="s">
        <v>201</v>
      </c>
      <c r="J178" s="217" t="s">
        <v>890</v>
      </c>
      <c r="K178" s="213" t="s">
        <v>753</v>
      </c>
      <c r="L178" s="213" t="s">
        <v>192</v>
      </c>
      <c r="M178" s="219" t="s">
        <v>1388</v>
      </c>
      <c r="N178" s="265">
        <v>9.02</v>
      </c>
      <c r="O178" s="265">
        <v>9.02</v>
      </c>
      <c r="P178" s="265">
        <v>9.02</v>
      </c>
      <c r="Q178" s="265">
        <v>9.02</v>
      </c>
      <c r="R178" s="265">
        <v>9.02</v>
      </c>
      <c r="S178" s="265">
        <v>9.02</v>
      </c>
      <c r="T178" s="265">
        <v>9.02</v>
      </c>
      <c r="U178" s="265">
        <v>9.02</v>
      </c>
      <c r="V178" s="265">
        <v>9.02</v>
      </c>
      <c r="W178" s="265">
        <v>9.02</v>
      </c>
      <c r="X178" s="265">
        <v>9.02</v>
      </c>
      <c r="Y178" s="265">
        <v>9.02</v>
      </c>
      <c r="Z178" s="265">
        <v>0.18</v>
      </c>
      <c r="AA178" s="265">
        <v>0.18</v>
      </c>
      <c r="AB178" s="265">
        <v>0.18</v>
      </c>
      <c r="AC178" s="265">
        <v>0.18</v>
      </c>
      <c r="AD178" s="265">
        <v>0.18</v>
      </c>
      <c r="AE178" s="265">
        <v>0.18</v>
      </c>
      <c r="AF178" s="265">
        <v>0.18</v>
      </c>
      <c r="AG178" s="265">
        <v>0.18</v>
      </c>
      <c r="AH178" s="265">
        <v>0.18</v>
      </c>
      <c r="AI178" s="265">
        <v>0.18</v>
      </c>
      <c r="AJ178" s="265">
        <v>0.18</v>
      </c>
      <c r="AK178" s="265">
        <v>0.18</v>
      </c>
      <c r="AL178" s="266" t="s">
        <v>573</v>
      </c>
      <c r="AM178" s="265">
        <f t="shared" si="56"/>
        <v>0</v>
      </c>
      <c r="AN178" s="266" t="s">
        <v>573</v>
      </c>
      <c r="AO178" s="265">
        <f t="shared" si="45"/>
        <v>0</v>
      </c>
      <c r="AP178" s="266">
        <v>0</v>
      </c>
      <c r="AQ178" s="265">
        <f t="shared" si="57"/>
        <v>0</v>
      </c>
      <c r="AR178" s="266">
        <v>0</v>
      </c>
      <c r="AS178" s="262">
        <f t="shared" si="58"/>
        <v>0</v>
      </c>
      <c r="AT178" s="266">
        <v>0</v>
      </c>
      <c r="AU178" s="260">
        <f t="shared" si="59"/>
        <v>0</v>
      </c>
      <c r="AV178" s="259">
        <v>0</v>
      </c>
      <c r="AW178" s="260">
        <f t="shared" si="60"/>
        <v>0</v>
      </c>
      <c r="AX178" s="261" t="s">
        <v>573</v>
      </c>
      <c r="AY178" s="260">
        <f t="shared" si="61"/>
        <v>0</v>
      </c>
      <c r="AZ178" s="259" t="s">
        <v>573</v>
      </c>
      <c r="BA178" s="260">
        <f t="shared" si="62"/>
        <v>0</v>
      </c>
      <c r="BB178" s="259" t="s">
        <v>573</v>
      </c>
      <c r="BC178" s="260">
        <f t="shared" si="63"/>
        <v>0</v>
      </c>
      <c r="BD178" s="259" t="s">
        <v>573</v>
      </c>
      <c r="BE178" s="260">
        <f t="shared" si="64"/>
        <v>0</v>
      </c>
      <c r="BF178" s="259" t="s">
        <v>573</v>
      </c>
      <c r="BG178" s="260">
        <f t="shared" si="65"/>
        <v>0</v>
      </c>
      <c r="BH178" s="259" t="s">
        <v>573</v>
      </c>
      <c r="BI178" s="260">
        <f t="shared" si="55"/>
        <v>0</v>
      </c>
      <c r="BJ178" s="58"/>
      <c r="BK178" s="220"/>
      <c r="BL178" s="213" t="s">
        <v>1310</v>
      </c>
      <c r="BM178" s="58" t="s">
        <v>24</v>
      </c>
    </row>
    <row r="179" spans="1:65" ht="15.75" customHeight="1">
      <c r="A179" s="213" t="s">
        <v>1437</v>
      </c>
      <c r="B179" s="58" t="s">
        <v>199</v>
      </c>
      <c r="C179" s="58" t="s">
        <v>752</v>
      </c>
      <c r="D179" s="214" t="s">
        <v>186</v>
      </c>
      <c r="E179" s="214" t="s">
        <v>186</v>
      </c>
      <c r="F179" s="215" t="s">
        <v>186</v>
      </c>
      <c r="G179" s="216">
        <v>2020</v>
      </c>
      <c r="H179" s="218" t="s">
        <v>200</v>
      </c>
      <c r="I179" s="218" t="s">
        <v>201</v>
      </c>
      <c r="J179" s="217" t="s">
        <v>890</v>
      </c>
      <c r="K179" s="213" t="s">
        <v>753</v>
      </c>
      <c r="L179" s="213" t="s">
        <v>192</v>
      </c>
      <c r="M179" s="219" t="s">
        <v>1388</v>
      </c>
      <c r="N179" s="265">
        <v>9.02</v>
      </c>
      <c r="O179" s="265">
        <v>9.02</v>
      </c>
      <c r="P179" s="265">
        <v>9.02</v>
      </c>
      <c r="Q179" s="265">
        <v>9.02</v>
      </c>
      <c r="R179" s="265">
        <v>9.02</v>
      </c>
      <c r="S179" s="265">
        <v>9.02</v>
      </c>
      <c r="T179" s="265">
        <v>9.02</v>
      </c>
      <c r="U179" s="265">
        <v>9.02</v>
      </c>
      <c r="V179" s="265">
        <v>9.02</v>
      </c>
      <c r="W179" s="265">
        <v>9.02</v>
      </c>
      <c r="X179" s="265">
        <v>9.02</v>
      </c>
      <c r="Y179" s="265">
        <v>9.02</v>
      </c>
      <c r="Z179" s="265">
        <v>0.18</v>
      </c>
      <c r="AA179" s="265">
        <v>0.18</v>
      </c>
      <c r="AB179" s="265">
        <v>0.18</v>
      </c>
      <c r="AC179" s="265">
        <v>0.18</v>
      </c>
      <c r="AD179" s="265">
        <v>0.18</v>
      </c>
      <c r="AE179" s="265">
        <v>0.18</v>
      </c>
      <c r="AF179" s="265">
        <v>0.18</v>
      </c>
      <c r="AG179" s="265">
        <v>0.18</v>
      </c>
      <c r="AH179" s="265">
        <v>0.18</v>
      </c>
      <c r="AI179" s="265">
        <v>0.18</v>
      </c>
      <c r="AJ179" s="265">
        <v>0.18</v>
      </c>
      <c r="AK179" s="265">
        <v>0.18</v>
      </c>
      <c r="AL179" s="266" t="s">
        <v>573</v>
      </c>
      <c r="AM179" s="265">
        <f t="shared" si="56"/>
        <v>0</v>
      </c>
      <c r="AN179" s="266" t="s">
        <v>573</v>
      </c>
      <c r="AO179" s="265">
        <f t="shared" si="45"/>
        <v>0</v>
      </c>
      <c r="AP179" s="266">
        <v>0</v>
      </c>
      <c r="AQ179" s="265">
        <f t="shared" si="57"/>
        <v>0</v>
      </c>
      <c r="AR179" s="266">
        <v>0</v>
      </c>
      <c r="AS179" s="262">
        <f t="shared" si="58"/>
        <v>0</v>
      </c>
      <c r="AT179" s="266">
        <v>0</v>
      </c>
      <c r="AU179" s="260">
        <f t="shared" si="59"/>
        <v>0</v>
      </c>
      <c r="AV179" s="259">
        <v>0</v>
      </c>
      <c r="AW179" s="260">
        <f t="shared" si="60"/>
        <v>0</v>
      </c>
      <c r="AX179" s="261" t="s">
        <v>573</v>
      </c>
      <c r="AY179" s="260">
        <f t="shared" si="61"/>
        <v>0</v>
      </c>
      <c r="AZ179" s="259" t="s">
        <v>573</v>
      </c>
      <c r="BA179" s="260">
        <f t="shared" si="62"/>
        <v>0</v>
      </c>
      <c r="BB179" s="259" t="s">
        <v>573</v>
      </c>
      <c r="BC179" s="260">
        <f t="shared" si="63"/>
        <v>0</v>
      </c>
      <c r="BD179" s="259" t="s">
        <v>573</v>
      </c>
      <c r="BE179" s="260">
        <f t="shared" si="64"/>
        <v>0</v>
      </c>
      <c r="BF179" s="259" t="s">
        <v>573</v>
      </c>
      <c r="BG179" s="260">
        <f t="shared" si="65"/>
        <v>0</v>
      </c>
      <c r="BH179" s="259" t="s">
        <v>573</v>
      </c>
      <c r="BI179" s="260">
        <f t="shared" si="55"/>
        <v>0</v>
      </c>
      <c r="BJ179" s="58"/>
      <c r="BK179" s="220"/>
      <c r="BL179" s="213" t="s">
        <v>1310</v>
      </c>
      <c r="BM179" s="58" t="s">
        <v>25</v>
      </c>
    </row>
    <row r="180" spans="1:65" ht="15.75" customHeight="1">
      <c r="A180" s="213" t="s">
        <v>1437</v>
      </c>
      <c r="B180" s="58" t="s">
        <v>199</v>
      </c>
      <c r="C180" s="58" t="s">
        <v>752</v>
      </c>
      <c r="D180" s="214" t="s">
        <v>186</v>
      </c>
      <c r="E180" s="214" t="s">
        <v>186</v>
      </c>
      <c r="F180" s="215" t="s">
        <v>186</v>
      </c>
      <c r="G180" s="216">
        <v>2020</v>
      </c>
      <c r="H180" s="218" t="s">
        <v>200</v>
      </c>
      <c r="I180" s="218" t="s">
        <v>201</v>
      </c>
      <c r="J180" s="217" t="s">
        <v>890</v>
      </c>
      <c r="K180" s="213" t="s">
        <v>753</v>
      </c>
      <c r="L180" s="213" t="s">
        <v>192</v>
      </c>
      <c r="M180" s="219" t="s">
        <v>1391</v>
      </c>
      <c r="N180" s="265">
        <v>8.84</v>
      </c>
      <c r="O180" s="265">
        <v>8.84</v>
      </c>
      <c r="P180" s="265">
        <v>8.84</v>
      </c>
      <c r="Q180" s="265">
        <v>8.84</v>
      </c>
      <c r="R180" s="265">
        <v>8.84</v>
      </c>
      <c r="S180" s="265">
        <v>8.84</v>
      </c>
      <c r="T180" s="265">
        <v>8.84</v>
      </c>
      <c r="U180" s="265">
        <v>8.84</v>
      </c>
      <c r="V180" s="265">
        <v>8.84</v>
      </c>
      <c r="W180" s="265">
        <v>8.84</v>
      </c>
      <c r="X180" s="265">
        <v>8.84</v>
      </c>
      <c r="Y180" s="265">
        <v>8.84</v>
      </c>
      <c r="Z180" s="265">
        <v>0.18</v>
      </c>
      <c r="AA180" s="265">
        <v>0.18</v>
      </c>
      <c r="AB180" s="265">
        <v>0.18</v>
      </c>
      <c r="AC180" s="265">
        <v>0.18</v>
      </c>
      <c r="AD180" s="265">
        <v>0.18</v>
      </c>
      <c r="AE180" s="265">
        <v>0.18</v>
      </c>
      <c r="AF180" s="265">
        <v>0.18</v>
      </c>
      <c r="AG180" s="265">
        <v>0.18</v>
      </c>
      <c r="AH180" s="265">
        <v>0.18</v>
      </c>
      <c r="AI180" s="265">
        <v>0.18</v>
      </c>
      <c r="AJ180" s="265">
        <v>0.18</v>
      </c>
      <c r="AK180" s="265">
        <v>0.18</v>
      </c>
      <c r="AL180" s="266" t="s">
        <v>573</v>
      </c>
      <c r="AM180" s="265">
        <f t="shared" si="56"/>
        <v>0</v>
      </c>
      <c r="AN180" s="266" t="s">
        <v>573</v>
      </c>
      <c r="AO180" s="265">
        <f t="shared" si="45"/>
        <v>0</v>
      </c>
      <c r="AP180" s="266">
        <v>0</v>
      </c>
      <c r="AQ180" s="265">
        <f t="shared" si="57"/>
        <v>0</v>
      </c>
      <c r="AR180" s="266">
        <v>0</v>
      </c>
      <c r="AS180" s="262">
        <f t="shared" si="58"/>
        <v>0</v>
      </c>
      <c r="AT180" s="266">
        <v>0</v>
      </c>
      <c r="AU180" s="260">
        <f t="shared" si="59"/>
        <v>0</v>
      </c>
      <c r="AV180" s="259">
        <v>0</v>
      </c>
      <c r="AW180" s="260">
        <f t="shared" si="60"/>
        <v>0</v>
      </c>
      <c r="AX180" s="261" t="s">
        <v>573</v>
      </c>
      <c r="AY180" s="260">
        <f t="shared" si="61"/>
        <v>0</v>
      </c>
      <c r="AZ180" s="259" t="s">
        <v>573</v>
      </c>
      <c r="BA180" s="260">
        <f t="shared" si="62"/>
        <v>0</v>
      </c>
      <c r="BB180" s="259" t="s">
        <v>573</v>
      </c>
      <c r="BC180" s="260">
        <f t="shared" si="63"/>
        <v>0</v>
      </c>
      <c r="BD180" s="259" t="s">
        <v>573</v>
      </c>
      <c r="BE180" s="260">
        <f t="shared" si="64"/>
        <v>0</v>
      </c>
      <c r="BF180" s="259" t="s">
        <v>573</v>
      </c>
      <c r="BG180" s="260">
        <f t="shared" si="65"/>
        <v>0</v>
      </c>
      <c r="BH180" s="259" t="s">
        <v>573</v>
      </c>
      <c r="BI180" s="260">
        <f t="shared" si="55"/>
        <v>0</v>
      </c>
      <c r="BJ180" s="58"/>
      <c r="BK180" s="220"/>
      <c r="BL180" s="213" t="s">
        <v>197</v>
      </c>
      <c r="BM180" s="58" t="s">
        <v>13</v>
      </c>
    </row>
    <row r="181" spans="1:65" ht="15.75" customHeight="1">
      <c r="A181" s="213" t="s">
        <v>1437</v>
      </c>
      <c r="B181" s="58" t="s">
        <v>199</v>
      </c>
      <c r="C181" s="58" t="s">
        <v>752</v>
      </c>
      <c r="D181" s="214" t="s">
        <v>186</v>
      </c>
      <c r="E181" s="214" t="s">
        <v>186</v>
      </c>
      <c r="F181" s="215" t="s">
        <v>186</v>
      </c>
      <c r="G181" s="216">
        <v>2020</v>
      </c>
      <c r="H181" s="218" t="s">
        <v>200</v>
      </c>
      <c r="I181" s="218" t="s">
        <v>201</v>
      </c>
      <c r="J181" s="217" t="s">
        <v>890</v>
      </c>
      <c r="K181" s="213" t="s">
        <v>753</v>
      </c>
      <c r="L181" s="213" t="s">
        <v>192</v>
      </c>
      <c r="M181" s="219" t="s">
        <v>1398</v>
      </c>
      <c r="N181" s="265">
        <v>8.86</v>
      </c>
      <c r="O181" s="265">
        <v>8.86</v>
      </c>
      <c r="P181" s="265">
        <v>8.86</v>
      </c>
      <c r="Q181" s="265">
        <v>8.86</v>
      </c>
      <c r="R181" s="265">
        <v>8.86</v>
      </c>
      <c r="S181" s="265">
        <v>8.86</v>
      </c>
      <c r="T181" s="265">
        <v>8.86</v>
      </c>
      <c r="U181" s="265">
        <v>8.86</v>
      </c>
      <c r="V181" s="265">
        <v>8.86</v>
      </c>
      <c r="W181" s="265">
        <v>8.86</v>
      </c>
      <c r="X181" s="265">
        <v>8.86</v>
      </c>
      <c r="Y181" s="265">
        <v>8.86</v>
      </c>
      <c r="Z181" s="265">
        <v>0.18</v>
      </c>
      <c r="AA181" s="265">
        <v>0.18</v>
      </c>
      <c r="AB181" s="265">
        <v>0.18</v>
      </c>
      <c r="AC181" s="265">
        <v>0.18</v>
      </c>
      <c r="AD181" s="265">
        <v>0.18</v>
      </c>
      <c r="AE181" s="265">
        <v>0.18</v>
      </c>
      <c r="AF181" s="265">
        <v>0.18</v>
      </c>
      <c r="AG181" s="265">
        <v>0.18</v>
      </c>
      <c r="AH181" s="265">
        <v>0.18</v>
      </c>
      <c r="AI181" s="265">
        <v>0.18</v>
      </c>
      <c r="AJ181" s="265">
        <v>0.18</v>
      </c>
      <c r="AK181" s="265">
        <v>0.18</v>
      </c>
      <c r="AL181" s="266">
        <v>4800</v>
      </c>
      <c r="AM181" s="265">
        <f t="shared" si="56"/>
        <v>864</v>
      </c>
      <c r="AN181" s="266" t="s">
        <v>573</v>
      </c>
      <c r="AO181" s="265">
        <f t="shared" si="45"/>
        <v>0</v>
      </c>
      <c r="AP181" s="266">
        <v>0</v>
      </c>
      <c r="AQ181" s="265">
        <f t="shared" si="57"/>
        <v>0</v>
      </c>
      <c r="AR181" s="266">
        <v>0</v>
      </c>
      <c r="AS181" s="262">
        <f t="shared" si="58"/>
        <v>0</v>
      </c>
      <c r="AT181" s="266">
        <v>0</v>
      </c>
      <c r="AU181" s="260">
        <f t="shared" si="59"/>
        <v>0</v>
      </c>
      <c r="AV181" s="259">
        <v>0</v>
      </c>
      <c r="AW181" s="260">
        <f t="shared" si="60"/>
        <v>0</v>
      </c>
      <c r="AX181" s="261">
        <v>14080</v>
      </c>
      <c r="AY181" s="260">
        <f t="shared" si="61"/>
        <v>2534.4</v>
      </c>
      <c r="AZ181" s="259">
        <v>20270</v>
      </c>
      <c r="BA181" s="260">
        <f t="shared" si="62"/>
        <v>3648.6</v>
      </c>
      <c r="BB181" s="259" t="s">
        <v>573</v>
      </c>
      <c r="BC181" s="260">
        <f t="shared" si="63"/>
        <v>0</v>
      </c>
      <c r="BD181" s="259">
        <v>28160</v>
      </c>
      <c r="BE181" s="260">
        <f t="shared" si="64"/>
        <v>5068.8</v>
      </c>
      <c r="BF181" s="259">
        <v>15000</v>
      </c>
      <c r="BG181" s="260">
        <f t="shared" si="65"/>
        <v>2700</v>
      </c>
      <c r="BH181" s="259">
        <v>6000</v>
      </c>
      <c r="BI181" s="260">
        <f t="shared" si="55"/>
        <v>1080</v>
      </c>
      <c r="BJ181" s="58"/>
      <c r="BK181" s="220"/>
      <c r="BL181" s="213" t="s">
        <v>197</v>
      </c>
      <c r="BM181" s="213" t="s">
        <v>14</v>
      </c>
    </row>
    <row r="182" spans="1:65" ht="15.75" customHeight="1">
      <c r="A182" s="213" t="s">
        <v>1437</v>
      </c>
      <c r="B182" s="58" t="s">
        <v>199</v>
      </c>
      <c r="C182" s="58" t="s">
        <v>752</v>
      </c>
      <c r="D182" s="214" t="s">
        <v>186</v>
      </c>
      <c r="E182" s="214" t="s">
        <v>186</v>
      </c>
      <c r="F182" s="215" t="s">
        <v>186</v>
      </c>
      <c r="G182" s="216">
        <v>2020</v>
      </c>
      <c r="H182" s="218" t="s">
        <v>200</v>
      </c>
      <c r="I182" s="218" t="s">
        <v>201</v>
      </c>
      <c r="J182" s="217" t="s">
        <v>890</v>
      </c>
      <c r="K182" s="213" t="s">
        <v>753</v>
      </c>
      <c r="L182" s="213" t="s">
        <v>192</v>
      </c>
      <c r="M182" s="219" t="s">
        <v>1398</v>
      </c>
      <c r="N182" s="265">
        <v>8.84</v>
      </c>
      <c r="O182" s="265">
        <v>8.84</v>
      </c>
      <c r="P182" s="265">
        <v>8.84</v>
      </c>
      <c r="Q182" s="265">
        <v>8.84</v>
      </c>
      <c r="R182" s="265">
        <v>8.84</v>
      </c>
      <c r="S182" s="265">
        <v>8.84</v>
      </c>
      <c r="T182" s="265">
        <v>8.84</v>
      </c>
      <c r="U182" s="265">
        <v>8.84</v>
      </c>
      <c r="V182" s="265">
        <v>8.84</v>
      </c>
      <c r="W182" s="265">
        <v>8.84</v>
      </c>
      <c r="X182" s="265">
        <v>8.84</v>
      </c>
      <c r="Y182" s="265">
        <v>8.84</v>
      </c>
      <c r="Z182" s="265">
        <v>0.18</v>
      </c>
      <c r="AA182" s="265">
        <v>0.18</v>
      </c>
      <c r="AB182" s="265">
        <v>0.18</v>
      </c>
      <c r="AC182" s="265">
        <v>0.18</v>
      </c>
      <c r="AD182" s="265">
        <v>0.18</v>
      </c>
      <c r="AE182" s="265">
        <v>0.18</v>
      </c>
      <c r="AF182" s="265">
        <v>0.18</v>
      </c>
      <c r="AG182" s="265">
        <v>0.18</v>
      </c>
      <c r="AH182" s="265">
        <v>0.18</v>
      </c>
      <c r="AI182" s="265">
        <v>0.18</v>
      </c>
      <c r="AJ182" s="265">
        <v>0.18</v>
      </c>
      <c r="AK182" s="265">
        <v>0.18</v>
      </c>
      <c r="AL182" s="266" t="s">
        <v>573</v>
      </c>
      <c r="AM182" s="265">
        <f t="shared" si="56"/>
        <v>0</v>
      </c>
      <c r="AN182" s="266" t="s">
        <v>573</v>
      </c>
      <c r="AO182" s="265">
        <f t="shared" si="45"/>
        <v>0</v>
      </c>
      <c r="AP182" s="266">
        <v>0</v>
      </c>
      <c r="AQ182" s="265">
        <f t="shared" si="57"/>
        <v>0</v>
      </c>
      <c r="AR182" s="266">
        <v>0</v>
      </c>
      <c r="AS182" s="262">
        <f t="shared" si="58"/>
        <v>0</v>
      </c>
      <c r="AT182" s="266">
        <v>0</v>
      </c>
      <c r="AU182" s="260">
        <f t="shared" si="59"/>
        <v>0</v>
      </c>
      <c r="AV182" s="259">
        <v>1280</v>
      </c>
      <c r="AW182" s="260">
        <f t="shared" si="60"/>
        <v>230.39999999999998</v>
      </c>
      <c r="AX182" s="261" t="s">
        <v>573</v>
      </c>
      <c r="AY182" s="260">
        <f t="shared" si="61"/>
        <v>0</v>
      </c>
      <c r="AZ182" s="259">
        <v>1280</v>
      </c>
      <c r="BA182" s="260">
        <f t="shared" si="62"/>
        <v>230.39999999999998</v>
      </c>
      <c r="BB182" s="259" t="s">
        <v>573</v>
      </c>
      <c r="BC182" s="260">
        <f t="shared" si="63"/>
        <v>0</v>
      </c>
      <c r="BD182" s="259" t="s">
        <v>573</v>
      </c>
      <c r="BE182" s="260">
        <f t="shared" si="64"/>
        <v>0</v>
      </c>
      <c r="BF182" s="259" t="s">
        <v>573</v>
      </c>
      <c r="BG182" s="260">
        <f t="shared" si="65"/>
        <v>0</v>
      </c>
      <c r="BH182" s="259" t="s">
        <v>573</v>
      </c>
      <c r="BI182" s="260">
        <f t="shared" si="55"/>
        <v>0</v>
      </c>
      <c r="BJ182" s="58"/>
      <c r="BK182" s="220"/>
      <c r="BL182" s="213" t="s">
        <v>197</v>
      </c>
      <c r="BM182" s="213" t="s">
        <v>15</v>
      </c>
    </row>
    <row r="183" spans="1:65" ht="15.75" customHeight="1">
      <c r="A183" s="213" t="s">
        <v>1437</v>
      </c>
      <c r="B183" s="58" t="s">
        <v>199</v>
      </c>
      <c r="C183" s="58" t="s">
        <v>752</v>
      </c>
      <c r="D183" s="214" t="s">
        <v>186</v>
      </c>
      <c r="E183" s="214" t="s">
        <v>186</v>
      </c>
      <c r="F183" s="215" t="s">
        <v>186</v>
      </c>
      <c r="G183" s="216">
        <v>2020</v>
      </c>
      <c r="H183" s="218" t="s">
        <v>200</v>
      </c>
      <c r="I183" s="218" t="s">
        <v>201</v>
      </c>
      <c r="J183" s="217" t="s">
        <v>890</v>
      </c>
      <c r="K183" s="213" t="s">
        <v>753</v>
      </c>
      <c r="L183" s="213" t="s">
        <v>192</v>
      </c>
      <c r="M183" s="219" t="s">
        <v>1388</v>
      </c>
      <c r="N183" s="265">
        <v>9.02</v>
      </c>
      <c r="O183" s="265">
        <v>9.02</v>
      </c>
      <c r="P183" s="265">
        <v>9.02</v>
      </c>
      <c r="Q183" s="265">
        <v>9.02</v>
      </c>
      <c r="R183" s="265">
        <v>9.02</v>
      </c>
      <c r="S183" s="265">
        <v>9.02</v>
      </c>
      <c r="T183" s="265">
        <v>9.02</v>
      </c>
      <c r="U183" s="265">
        <v>9.02</v>
      </c>
      <c r="V183" s="265">
        <v>9.02</v>
      </c>
      <c r="W183" s="265">
        <v>9.02</v>
      </c>
      <c r="X183" s="265">
        <v>9.02</v>
      </c>
      <c r="Y183" s="265">
        <v>9.02</v>
      </c>
      <c r="Z183" s="265">
        <v>0.18</v>
      </c>
      <c r="AA183" s="265">
        <v>0.18</v>
      </c>
      <c r="AB183" s="265">
        <v>0.18</v>
      </c>
      <c r="AC183" s="265">
        <v>0.18</v>
      </c>
      <c r="AD183" s="265">
        <v>0.18</v>
      </c>
      <c r="AE183" s="265">
        <v>0.18</v>
      </c>
      <c r="AF183" s="265">
        <v>0.18</v>
      </c>
      <c r="AG183" s="265">
        <v>0.18</v>
      </c>
      <c r="AH183" s="265">
        <v>0.18</v>
      </c>
      <c r="AI183" s="265">
        <v>0.18</v>
      </c>
      <c r="AJ183" s="265">
        <v>0.18</v>
      </c>
      <c r="AK183" s="265">
        <v>0.18</v>
      </c>
      <c r="AL183" s="266" t="s">
        <v>573</v>
      </c>
      <c r="AM183" s="265">
        <f t="shared" si="56"/>
        <v>0</v>
      </c>
      <c r="AN183" s="266" t="s">
        <v>573</v>
      </c>
      <c r="AO183" s="265">
        <f t="shared" si="45"/>
        <v>0</v>
      </c>
      <c r="AP183" s="266">
        <v>2560</v>
      </c>
      <c r="AQ183" s="265">
        <f t="shared" si="57"/>
        <v>460.79999999999995</v>
      </c>
      <c r="AR183" s="266">
        <v>0</v>
      </c>
      <c r="AS183" s="262">
        <f t="shared" si="58"/>
        <v>0</v>
      </c>
      <c r="AT183" s="266">
        <v>0</v>
      </c>
      <c r="AU183" s="260">
        <f t="shared" si="59"/>
        <v>0</v>
      </c>
      <c r="AV183" s="259">
        <v>0</v>
      </c>
      <c r="AW183" s="260">
        <f t="shared" si="60"/>
        <v>0</v>
      </c>
      <c r="AX183" s="261" t="s">
        <v>573</v>
      </c>
      <c r="AY183" s="260">
        <f t="shared" si="61"/>
        <v>0</v>
      </c>
      <c r="AZ183" s="259">
        <v>2560</v>
      </c>
      <c r="BA183" s="260">
        <f t="shared" si="62"/>
        <v>460.79999999999995</v>
      </c>
      <c r="BB183" s="259">
        <v>8960</v>
      </c>
      <c r="BC183" s="260">
        <f t="shared" si="63"/>
        <v>1612.8</v>
      </c>
      <c r="BD183" s="259">
        <v>2560</v>
      </c>
      <c r="BE183" s="260">
        <f t="shared" si="64"/>
        <v>460.79999999999995</v>
      </c>
      <c r="BF183" s="259">
        <v>8960</v>
      </c>
      <c r="BG183" s="260">
        <f t="shared" si="65"/>
        <v>1612.8</v>
      </c>
      <c r="BH183" s="259" t="s">
        <v>573</v>
      </c>
      <c r="BI183" s="260">
        <f t="shared" si="55"/>
        <v>0</v>
      </c>
      <c r="BJ183" s="58"/>
      <c r="BK183" s="220"/>
      <c r="BL183" s="213" t="s">
        <v>1310</v>
      </c>
      <c r="BM183" s="213" t="s">
        <v>28</v>
      </c>
    </row>
    <row r="184" spans="1:65" ht="15.75" customHeight="1">
      <c r="A184" s="213" t="s">
        <v>1437</v>
      </c>
      <c r="B184" s="58" t="s">
        <v>199</v>
      </c>
      <c r="C184" s="58" t="s">
        <v>752</v>
      </c>
      <c r="D184" s="214" t="s">
        <v>186</v>
      </c>
      <c r="E184" s="214" t="s">
        <v>186</v>
      </c>
      <c r="F184" s="215" t="s">
        <v>186</v>
      </c>
      <c r="G184" s="216">
        <v>2020</v>
      </c>
      <c r="H184" s="218" t="s">
        <v>200</v>
      </c>
      <c r="I184" s="218" t="s">
        <v>201</v>
      </c>
      <c r="J184" s="217" t="s">
        <v>890</v>
      </c>
      <c r="K184" s="213" t="s">
        <v>753</v>
      </c>
      <c r="L184" s="213" t="s">
        <v>192</v>
      </c>
      <c r="M184" s="219" t="s">
        <v>1445</v>
      </c>
      <c r="N184" s="265">
        <v>9.02</v>
      </c>
      <c r="O184" s="265">
        <v>9.02</v>
      </c>
      <c r="P184" s="265">
        <v>9.02</v>
      </c>
      <c r="Q184" s="265">
        <v>9.02</v>
      </c>
      <c r="R184" s="265">
        <v>9.02</v>
      </c>
      <c r="S184" s="265">
        <v>9.02</v>
      </c>
      <c r="T184" s="265">
        <v>9.02</v>
      </c>
      <c r="U184" s="265">
        <v>9.02</v>
      </c>
      <c r="V184" s="265">
        <v>9.02</v>
      </c>
      <c r="W184" s="265">
        <v>9.02</v>
      </c>
      <c r="X184" s="265">
        <v>9.02</v>
      </c>
      <c r="Y184" s="265">
        <v>9.02</v>
      </c>
      <c r="Z184" s="265">
        <v>0.18</v>
      </c>
      <c r="AA184" s="265">
        <v>0.18</v>
      </c>
      <c r="AB184" s="265">
        <v>0.18</v>
      </c>
      <c r="AC184" s="265">
        <v>0.18</v>
      </c>
      <c r="AD184" s="265">
        <v>0.18</v>
      </c>
      <c r="AE184" s="265">
        <v>0.18</v>
      </c>
      <c r="AF184" s="265">
        <v>0.18</v>
      </c>
      <c r="AG184" s="265">
        <v>0.18</v>
      </c>
      <c r="AH184" s="265">
        <v>0.18</v>
      </c>
      <c r="AI184" s="265">
        <v>0.18</v>
      </c>
      <c r="AJ184" s="265">
        <v>0.18</v>
      </c>
      <c r="AK184" s="265">
        <v>0.18</v>
      </c>
      <c r="AL184" s="266" t="s">
        <v>573</v>
      </c>
      <c r="AM184" s="265">
        <f t="shared" si="56"/>
        <v>0</v>
      </c>
      <c r="AN184" s="266">
        <v>14400</v>
      </c>
      <c r="AO184" s="265">
        <f t="shared" si="45"/>
        <v>2592</v>
      </c>
      <c r="AP184" s="266">
        <v>0</v>
      </c>
      <c r="AQ184" s="265">
        <f t="shared" si="57"/>
        <v>0</v>
      </c>
      <c r="AR184" s="266">
        <v>0</v>
      </c>
      <c r="AS184" s="262">
        <f t="shared" si="58"/>
        <v>0</v>
      </c>
      <c r="AT184" s="266">
        <v>16000</v>
      </c>
      <c r="AU184" s="262">
        <f t="shared" si="59"/>
        <v>2880</v>
      </c>
      <c r="AV184" s="259">
        <v>13120</v>
      </c>
      <c r="AW184" s="260">
        <f t="shared" si="60"/>
        <v>2361.6</v>
      </c>
      <c r="AX184" s="261" t="s">
        <v>573</v>
      </c>
      <c r="AY184" s="260">
        <f t="shared" si="61"/>
        <v>0</v>
      </c>
      <c r="AZ184" s="259">
        <v>0</v>
      </c>
      <c r="BA184" s="260">
        <f t="shared" si="62"/>
        <v>0</v>
      </c>
      <c r="BB184" s="259">
        <v>0</v>
      </c>
      <c r="BC184" s="260">
        <f t="shared" si="63"/>
        <v>0</v>
      </c>
      <c r="BD184" s="259">
        <v>0</v>
      </c>
      <c r="BE184" s="260">
        <f t="shared" si="64"/>
        <v>0</v>
      </c>
      <c r="BF184" s="259">
        <v>0</v>
      </c>
      <c r="BG184" s="260">
        <f t="shared" si="65"/>
        <v>0</v>
      </c>
      <c r="BH184" s="259" t="s">
        <v>573</v>
      </c>
      <c r="BI184" s="260">
        <f t="shared" si="55"/>
        <v>0</v>
      </c>
      <c r="BJ184" s="58"/>
      <c r="BK184" s="220"/>
      <c r="BL184" s="213" t="s">
        <v>1310</v>
      </c>
      <c r="BM184" s="213" t="s">
        <v>28</v>
      </c>
    </row>
    <row r="185" spans="1:65" ht="15.75" customHeight="1">
      <c r="A185" s="213" t="s">
        <v>1437</v>
      </c>
      <c r="B185" s="58" t="s">
        <v>199</v>
      </c>
      <c r="C185" s="58" t="s">
        <v>752</v>
      </c>
      <c r="D185" s="214" t="s">
        <v>186</v>
      </c>
      <c r="E185" s="214" t="s">
        <v>186</v>
      </c>
      <c r="F185" s="215" t="s">
        <v>186</v>
      </c>
      <c r="G185" s="216">
        <v>2020</v>
      </c>
      <c r="H185" s="218" t="s">
        <v>200</v>
      </c>
      <c r="I185" s="218" t="s">
        <v>201</v>
      </c>
      <c r="J185" s="217" t="s">
        <v>890</v>
      </c>
      <c r="K185" s="213" t="s">
        <v>753</v>
      </c>
      <c r="L185" s="213" t="s">
        <v>192</v>
      </c>
      <c r="M185" s="219" t="s">
        <v>1390</v>
      </c>
      <c r="N185" s="265">
        <v>9.16</v>
      </c>
      <c r="O185" s="265">
        <v>9.16</v>
      </c>
      <c r="P185" s="265">
        <v>9.16</v>
      </c>
      <c r="Q185" s="265">
        <v>9.16</v>
      </c>
      <c r="R185" s="265">
        <v>9.16</v>
      </c>
      <c r="S185" s="265">
        <v>9.16</v>
      </c>
      <c r="T185" s="265">
        <v>9.16</v>
      </c>
      <c r="U185" s="265">
        <v>9.16</v>
      </c>
      <c r="V185" s="265">
        <v>9.16</v>
      </c>
      <c r="W185" s="265">
        <v>9.16</v>
      </c>
      <c r="X185" s="265">
        <v>9.16</v>
      </c>
      <c r="Y185" s="265">
        <v>9.16</v>
      </c>
      <c r="Z185" s="265">
        <v>0.18</v>
      </c>
      <c r="AA185" s="265">
        <v>0.18</v>
      </c>
      <c r="AB185" s="265">
        <v>0.18</v>
      </c>
      <c r="AC185" s="265">
        <v>0.18</v>
      </c>
      <c r="AD185" s="265">
        <v>0.18</v>
      </c>
      <c r="AE185" s="265">
        <v>0.18</v>
      </c>
      <c r="AF185" s="265">
        <v>0.18</v>
      </c>
      <c r="AG185" s="265">
        <v>0.18</v>
      </c>
      <c r="AH185" s="265">
        <v>0.18</v>
      </c>
      <c r="AI185" s="265">
        <v>0.18</v>
      </c>
      <c r="AJ185" s="265">
        <v>0.18</v>
      </c>
      <c r="AK185" s="265">
        <v>0.18</v>
      </c>
      <c r="AL185" s="266">
        <v>103800</v>
      </c>
      <c r="AM185" s="265">
        <f t="shared" si="56"/>
        <v>18684</v>
      </c>
      <c r="AN185" s="266">
        <v>31400</v>
      </c>
      <c r="AO185" s="265">
        <f t="shared" si="45"/>
        <v>5652</v>
      </c>
      <c r="AP185" s="266">
        <v>76400</v>
      </c>
      <c r="AQ185" s="265">
        <f t="shared" si="57"/>
        <v>13752</v>
      </c>
      <c r="AR185" s="266">
        <v>0</v>
      </c>
      <c r="AS185" s="262">
        <f t="shared" si="58"/>
        <v>0</v>
      </c>
      <c r="AT185" s="266">
        <v>0</v>
      </c>
      <c r="AU185" s="260">
        <f t="shared" si="59"/>
        <v>0</v>
      </c>
      <c r="AV185" s="259">
        <v>16000</v>
      </c>
      <c r="AW185" s="260">
        <f t="shared" si="60"/>
        <v>2880</v>
      </c>
      <c r="AX185" s="261">
        <v>31300</v>
      </c>
      <c r="AY185" s="260">
        <f t="shared" si="61"/>
        <v>5634</v>
      </c>
      <c r="AZ185" s="259">
        <v>22000</v>
      </c>
      <c r="BA185" s="260">
        <f t="shared" si="62"/>
        <v>3960</v>
      </c>
      <c r="BB185" s="259">
        <v>36500</v>
      </c>
      <c r="BC185" s="260">
        <f t="shared" si="63"/>
        <v>6570</v>
      </c>
      <c r="BD185" s="259">
        <v>18000</v>
      </c>
      <c r="BE185" s="260">
        <f t="shared" si="64"/>
        <v>3240</v>
      </c>
      <c r="BF185" s="259">
        <v>20000</v>
      </c>
      <c r="BG185" s="260">
        <f t="shared" si="65"/>
        <v>3600</v>
      </c>
      <c r="BH185" s="259">
        <v>10000</v>
      </c>
      <c r="BI185" s="260">
        <f t="shared" si="55"/>
        <v>1800</v>
      </c>
      <c r="BJ185" s="58"/>
      <c r="BK185" s="220"/>
      <c r="BL185" s="213" t="s">
        <v>763</v>
      </c>
      <c r="BM185" s="213" t="s">
        <v>9</v>
      </c>
    </row>
    <row r="186" spans="1:65" ht="15.75" customHeight="1">
      <c r="A186" s="213" t="s">
        <v>1437</v>
      </c>
      <c r="B186" s="58" t="s">
        <v>199</v>
      </c>
      <c r="C186" s="58" t="s">
        <v>752</v>
      </c>
      <c r="D186" s="214" t="s">
        <v>186</v>
      </c>
      <c r="E186" s="214" t="s">
        <v>186</v>
      </c>
      <c r="F186" s="215" t="s">
        <v>186</v>
      </c>
      <c r="G186" s="216">
        <v>2020</v>
      </c>
      <c r="H186" s="218" t="s">
        <v>200</v>
      </c>
      <c r="I186" s="218" t="s">
        <v>201</v>
      </c>
      <c r="J186" s="217" t="s">
        <v>890</v>
      </c>
      <c r="K186" s="213" t="s">
        <v>753</v>
      </c>
      <c r="L186" s="213" t="s">
        <v>192</v>
      </c>
      <c r="M186" s="219" t="s">
        <v>1388</v>
      </c>
      <c r="N186" s="265">
        <v>9</v>
      </c>
      <c r="O186" s="265">
        <v>9</v>
      </c>
      <c r="P186" s="265">
        <v>9</v>
      </c>
      <c r="Q186" s="265">
        <v>9</v>
      </c>
      <c r="R186" s="265">
        <v>9</v>
      </c>
      <c r="S186" s="265">
        <v>9</v>
      </c>
      <c r="T186" s="265">
        <v>9</v>
      </c>
      <c r="U186" s="265">
        <v>9</v>
      </c>
      <c r="V186" s="265">
        <v>9</v>
      </c>
      <c r="W186" s="265">
        <v>9</v>
      </c>
      <c r="X186" s="265">
        <v>9</v>
      </c>
      <c r="Y186" s="265">
        <v>9</v>
      </c>
      <c r="Z186" s="265">
        <v>0.18</v>
      </c>
      <c r="AA186" s="265">
        <v>0.18</v>
      </c>
      <c r="AB186" s="265">
        <v>0.18</v>
      </c>
      <c r="AC186" s="265">
        <v>0.18</v>
      </c>
      <c r="AD186" s="265">
        <v>0.18</v>
      </c>
      <c r="AE186" s="265">
        <v>0.18</v>
      </c>
      <c r="AF186" s="265">
        <v>0.18</v>
      </c>
      <c r="AG186" s="265">
        <v>0.18</v>
      </c>
      <c r="AH186" s="265">
        <v>0.18</v>
      </c>
      <c r="AI186" s="265">
        <v>0.18</v>
      </c>
      <c r="AJ186" s="265">
        <v>0.18</v>
      </c>
      <c r="AK186" s="265">
        <v>0.18</v>
      </c>
      <c r="AL186" s="266">
        <v>6400</v>
      </c>
      <c r="AM186" s="265">
        <f t="shared" si="56"/>
        <v>1152</v>
      </c>
      <c r="AN186" s="266">
        <v>5120</v>
      </c>
      <c r="AO186" s="265">
        <f t="shared" si="45"/>
        <v>921.59999999999991</v>
      </c>
      <c r="AP186" s="266">
        <v>5120</v>
      </c>
      <c r="AQ186" s="265">
        <f t="shared" si="57"/>
        <v>921.59999999999991</v>
      </c>
      <c r="AR186" s="266">
        <v>1280</v>
      </c>
      <c r="AS186" s="262">
        <f t="shared" si="58"/>
        <v>230.39999999999998</v>
      </c>
      <c r="AT186" s="266">
        <v>1280</v>
      </c>
      <c r="AU186" s="260">
        <f t="shared" si="59"/>
        <v>230.39999999999998</v>
      </c>
      <c r="AV186" s="259">
        <v>0</v>
      </c>
      <c r="AW186" s="260">
        <f t="shared" si="60"/>
        <v>0</v>
      </c>
      <c r="AX186" s="261">
        <v>7680</v>
      </c>
      <c r="AY186" s="260">
        <f t="shared" si="61"/>
        <v>1382.3999999999999</v>
      </c>
      <c r="AZ186" s="259">
        <v>3840</v>
      </c>
      <c r="BA186" s="260">
        <f t="shared" si="62"/>
        <v>691.19999999999993</v>
      </c>
      <c r="BB186" s="259">
        <v>6400</v>
      </c>
      <c r="BC186" s="260">
        <f t="shared" si="63"/>
        <v>1152</v>
      </c>
      <c r="BD186" s="259">
        <v>6400</v>
      </c>
      <c r="BE186" s="260">
        <f t="shared" si="64"/>
        <v>1152</v>
      </c>
      <c r="BF186" s="259">
        <v>5120</v>
      </c>
      <c r="BG186" s="260">
        <f t="shared" si="65"/>
        <v>921.59999999999991</v>
      </c>
      <c r="BH186" s="259">
        <v>2560</v>
      </c>
      <c r="BI186" s="260">
        <f t="shared" si="55"/>
        <v>460.79999999999995</v>
      </c>
      <c r="BJ186" s="58"/>
      <c r="BK186" s="220"/>
      <c r="BL186" s="213" t="s">
        <v>754</v>
      </c>
      <c r="BM186" s="213" t="s">
        <v>30</v>
      </c>
    </row>
    <row r="187" spans="1:65" ht="15.75" customHeight="1">
      <c r="A187" s="213" t="s">
        <v>1437</v>
      </c>
      <c r="B187" s="58" t="s">
        <v>199</v>
      </c>
      <c r="C187" s="58" t="s">
        <v>752</v>
      </c>
      <c r="D187" s="214" t="s">
        <v>186</v>
      </c>
      <c r="E187" s="214" t="s">
        <v>186</v>
      </c>
      <c r="F187" s="215" t="s">
        <v>186</v>
      </c>
      <c r="G187" s="216">
        <v>2020</v>
      </c>
      <c r="H187" s="218" t="s">
        <v>200</v>
      </c>
      <c r="I187" s="218" t="s">
        <v>201</v>
      </c>
      <c r="J187" s="217" t="s">
        <v>890</v>
      </c>
      <c r="K187" s="213" t="s">
        <v>753</v>
      </c>
      <c r="L187" s="213" t="s">
        <v>192</v>
      </c>
      <c r="M187" s="219" t="s">
        <v>1388</v>
      </c>
      <c r="N187" s="265">
        <v>9.02</v>
      </c>
      <c r="O187" s="265">
        <v>9.02</v>
      </c>
      <c r="P187" s="265">
        <v>9.02</v>
      </c>
      <c r="Q187" s="265">
        <v>9.02</v>
      </c>
      <c r="R187" s="265">
        <v>9.02</v>
      </c>
      <c r="S187" s="265">
        <v>9</v>
      </c>
      <c r="T187" s="265">
        <v>9</v>
      </c>
      <c r="U187" s="265">
        <v>9</v>
      </c>
      <c r="V187" s="265">
        <v>9</v>
      </c>
      <c r="W187" s="265">
        <v>9</v>
      </c>
      <c r="X187" s="265">
        <v>9</v>
      </c>
      <c r="Y187" s="265">
        <v>9</v>
      </c>
      <c r="Z187" s="265">
        <v>0.18</v>
      </c>
      <c r="AA187" s="265">
        <v>0.18</v>
      </c>
      <c r="AB187" s="265">
        <v>0.18</v>
      </c>
      <c r="AC187" s="265">
        <v>0.18</v>
      </c>
      <c r="AD187" s="265">
        <v>0.18</v>
      </c>
      <c r="AE187" s="265">
        <v>0.18</v>
      </c>
      <c r="AF187" s="265">
        <v>0.18</v>
      </c>
      <c r="AG187" s="265">
        <v>0.18</v>
      </c>
      <c r="AH187" s="265">
        <v>0.18</v>
      </c>
      <c r="AI187" s="265">
        <v>0.18</v>
      </c>
      <c r="AJ187" s="265">
        <v>0.18</v>
      </c>
      <c r="AK187" s="265">
        <v>0.18</v>
      </c>
      <c r="AL187" s="266" t="s">
        <v>573</v>
      </c>
      <c r="AM187" s="265">
        <f t="shared" si="56"/>
        <v>0</v>
      </c>
      <c r="AN187" s="266">
        <v>3840</v>
      </c>
      <c r="AO187" s="265">
        <f t="shared" si="45"/>
        <v>691.19999999999993</v>
      </c>
      <c r="AP187" s="266">
        <v>0</v>
      </c>
      <c r="AQ187" s="265">
        <f t="shared" si="57"/>
        <v>0</v>
      </c>
      <c r="AR187" s="266">
        <v>0</v>
      </c>
      <c r="AS187" s="262">
        <f t="shared" si="58"/>
        <v>0</v>
      </c>
      <c r="AT187" s="266">
        <v>0</v>
      </c>
      <c r="AU187" s="260">
        <f t="shared" si="59"/>
        <v>0</v>
      </c>
      <c r="AV187" s="259">
        <v>0</v>
      </c>
      <c r="AW187" s="260">
        <f t="shared" si="60"/>
        <v>0</v>
      </c>
      <c r="AX187" s="261" t="s">
        <v>573</v>
      </c>
      <c r="AY187" s="260">
        <f t="shared" si="61"/>
        <v>0</v>
      </c>
      <c r="AZ187" s="259" t="s">
        <v>573</v>
      </c>
      <c r="BA187" s="260">
        <f t="shared" si="62"/>
        <v>0</v>
      </c>
      <c r="BB187" s="259" t="s">
        <v>573</v>
      </c>
      <c r="BC187" s="260">
        <f t="shared" si="63"/>
        <v>0</v>
      </c>
      <c r="BD187" s="259" t="s">
        <v>573</v>
      </c>
      <c r="BE187" s="260">
        <f t="shared" si="64"/>
        <v>0</v>
      </c>
      <c r="BF187" s="259">
        <v>1280</v>
      </c>
      <c r="BG187" s="260">
        <f t="shared" si="65"/>
        <v>230.39999999999998</v>
      </c>
      <c r="BH187" s="259">
        <v>2560</v>
      </c>
      <c r="BI187" s="260">
        <f t="shared" si="55"/>
        <v>460.79999999999995</v>
      </c>
      <c r="BJ187" s="58"/>
      <c r="BK187" s="220"/>
      <c r="BL187" s="213" t="s">
        <v>1310</v>
      </c>
      <c r="BM187" s="213" t="s">
        <v>29</v>
      </c>
    </row>
    <row r="188" spans="1:65" ht="15.75" customHeight="1">
      <c r="A188" s="213" t="s">
        <v>1437</v>
      </c>
      <c r="B188" s="58" t="s">
        <v>199</v>
      </c>
      <c r="C188" s="58" t="s">
        <v>752</v>
      </c>
      <c r="D188" s="214" t="s">
        <v>186</v>
      </c>
      <c r="E188" s="214" t="s">
        <v>186</v>
      </c>
      <c r="F188" s="215" t="s">
        <v>186</v>
      </c>
      <c r="G188" s="216">
        <v>2020</v>
      </c>
      <c r="H188" s="218" t="s">
        <v>208</v>
      </c>
      <c r="I188" s="218" t="s">
        <v>201</v>
      </c>
      <c r="J188" s="217" t="s">
        <v>890</v>
      </c>
      <c r="K188" s="213" t="s">
        <v>755</v>
      </c>
      <c r="L188" s="213" t="s">
        <v>192</v>
      </c>
      <c r="M188" s="219" t="s">
        <v>1388</v>
      </c>
      <c r="N188" s="265">
        <v>10.77</v>
      </c>
      <c r="O188" s="265">
        <v>10.77</v>
      </c>
      <c r="P188" s="265">
        <v>10.77</v>
      </c>
      <c r="Q188" s="265">
        <v>10.77</v>
      </c>
      <c r="R188" s="265">
        <v>10.77</v>
      </c>
      <c r="S188" s="265">
        <v>10.77</v>
      </c>
      <c r="T188" s="265">
        <v>10.77</v>
      </c>
      <c r="U188" s="265">
        <v>10.77</v>
      </c>
      <c r="V188" s="265">
        <v>10.77</v>
      </c>
      <c r="W188" s="265">
        <v>10.77</v>
      </c>
      <c r="X188" s="265">
        <v>10.77</v>
      </c>
      <c r="Y188" s="265">
        <v>10.77</v>
      </c>
      <c r="Z188" s="265">
        <v>0.21</v>
      </c>
      <c r="AA188" s="265">
        <v>0.21</v>
      </c>
      <c r="AB188" s="265">
        <v>0.21</v>
      </c>
      <c r="AC188" s="265">
        <v>0.21</v>
      </c>
      <c r="AD188" s="265">
        <v>0.21</v>
      </c>
      <c r="AE188" s="265">
        <v>0.21</v>
      </c>
      <c r="AF188" s="265">
        <v>0.21</v>
      </c>
      <c r="AG188" s="265">
        <v>0.21</v>
      </c>
      <c r="AH188" s="265">
        <v>0.21</v>
      </c>
      <c r="AI188" s="265">
        <v>0.21</v>
      </c>
      <c r="AJ188" s="265">
        <v>0.21</v>
      </c>
      <c r="AK188" s="265">
        <v>0.21</v>
      </c>
      <c r="AL188" s="266" t="s">
        <v>573</v>
      </c>
      <c r="AM188" s="265">
        <f t="shared" si="56"/>
        <v>0</v>
      </c>
      <c r="AN188" s="266" t="s">
        <v>573</v>
      </c>
      <c r="AO188" s="265">
        <f t="shared" si="45"/>
        <v>0</v>
      </c>
      <c r="AP188" s="266">
        <v>0</v>
      </c>
      <c r="AQ188" s="265">
        <f t="shared" si="57"/>
        <v>0</v>
      </c>
      <c r="AR188" s="266">
        <v>0</v>
      </c>
      <c r="AS188" s="262">
        <f t="shared" si="58"/>
        <v>0</v>
      </c>
      <c r="AT188" s="266">
        <v>0</v>
      </c>
      <c r="AU188" s="260">
        <f t="shared" si="59"/>
        <v>0</v>
      </c>
      <c r="AV188" s="259">
        <v>0</v>
      </c>
      <c r="AW188" s="260">
        <f t="shared" si="60"/>
        <v>0</v>
      </c>
      <c r="AX188" s="261" t="s">
        <v>573</v>
      </c>
      <c r="AY188" s="260">
        <f t="shared" si="61"/>
        <v>0</v>
      </c>
      <c r="AZ188" s="259" t="s">
        <v>573</v>
      </c>
      <c r="BA188" s="260">
        <f t="shared" si="62"/>
        <v>0</v>
      </c>
      <c r="BB188" s="259">
        <v>2880</v>
      </c>
      <c r="BC188" s="260">
        <f t="shared" si="63"/>
        <v>604.79999999999995</v>
      </c>
      <c r="BD188" s="259" t="s">
        <v>573</v>
      </c>
      <c r="BE188" s="260">
        <f t="shared" si="64"/>
        <v>0</v>
      </c>
      <c r="BF188" s="259">
        <v>2880</v>
      </c>
      <c r="BG188" s="260">
        <f t="shared" si="65"/>
        <v>604.79999999999995</v>
      </c>
      <c r="BH188" s="259" t="s">
        <v>573</v>
      </c>
      <c r="BI188" s="260">
        <f t="shared" si="55"/>
        <v>0</v>
      </c>
      <c r="BJ188" s="58"/>
      <c r="BK188" s="220"/>
      <c r="BL188" s="213" t="s">
        <v>1310</v>
      </c>
      <c r="BM188" s="58" t="s">
        <v>550</v>
      </c>
    </row>
    <row r="189" spans="1:65" ht="15.75" customHeight="1">
      <c r="A189" s="213" t="s">
        <v>1437</v>
      </c>
      <c r="B189" s="58" t="s">
        <v>199</v>
      </c>
      <c r="C189" s="58" t="s">
        <v>752</v>
      </c>
      <c r="D189" s="214" t="s">
        <v>186</v>
      </c>
      <c r="E189" s="214" t="s">
        <v>186</v>
      </c>
      <c r="F189" s="215" t="s">
        <v>186</v>
      </c>
      <c r="G189" s="216">
        <v>2020</v>
      </c>
      <c r="H189" s="218" t="s">
        <v>208</v>
      </c>
      <c r="I189" s="218" t="s">
        <v>201</v>
      </c>
      <c r="J189" s="217" t="s">
        <v>890</v>
      </c>
      <c r="K189" s="213" t="s">
        <v>755</v>
      </c>
      <c r="L189" s="213" t="s">
        <v>1449</v>
      </c>
      <c r="M189" s="219" t="s">
        <v>1445</v>
      </c>
      <c r="N189" s="265">
        <v>10.77</v>
      </c>
      <c r="O189" s="265">
        <v>10.77</v>
      </c>
      <c r="P189" s="265">
        <v>10.77</v>
      </c>
      <c r="Q189" s="265">
        <v>10.77</v>
      </c>
      <c r="R189" s="265">
        <v>10.77</v>
      </c>
      <c r="S189" s="265">
        <v>10.77</v>
      </c>
      <c r="T189" s="265">
        <v>10.77</v>
      </c>
      <c r="U189" s="265">
        <v>10.77</v>
      </c>
      <c r="V189" s="265">
        <v>10.77</v>
      </c>
      <c r="W189" s="265">
        <v>10.77</v>
      </c>
      <c r="X189" s="265">
        <v>10.77</v>
      </c>
      <c r="Y189" s="265">
        <v>10.77</v>
      </c>
      <c r="Z189" s="265">
        <v>0.21</v>
      </c>
      <c r="AA189" s="265">
        <v>0.21</v>
      </c>
      <c r="AB189" s="265">
        <v>0.21</v>
      </c>
      <c r="AC189" s="265">
        <v>0.21</v>
      </c>
      <c r="AD189" s="265">
        <v>0.21</v>
      </c>
      <c r="AE189" s="265">
        <v>0.21</v>
      </c>
      <c r="AF189" s="265">
        <v>0.21</v>
      </c>
      <c r="AG189" s="265">
        <v>0.21</v>
      </c>
      <c r="AH189" s="265">
        <v>0.21</v>
      </c>
      <c r="AI189" s="265">
        <v>0.21</v>
      </c>
      <c r="AJ189" s="265">
        <v>0.21</v>
      </c>
      <c r="AK189" s="265">
        <v>0.21</v>
      </c>
      <c r="AL189" s="266" t="s">
        <v>573</v>
      </c>
      <c r="AM189" s="265">
        <f t="shared" si="56"/>
        <v>0</v>
      </c>
      <c r="AN189" s="266">
        <v>2880</v>
      </c>
      <c r="AO189" s="265">
        <f t="shared" si="45"/>
        <v>604.79999999999995</v>
      </c>
      <c r="AP189" s="266">
        <v>0</v>
      </c>
      <c r="AQ189" s="265">
        <f t="shared" si="57"/>
        <v>0</v>
      </c>
      <c r="AR189" s="266">
        <v>0</v>
      </c>
      <c r="AS189" s="262">
        <f t="shared" si="58"/>
        <v>0</v>
      </c>
      <c r="AT189" s="266">
        <v>0</v>
      </c>
      <c r="AU189" s="260">
        <f t="shared" si="59"/>
        <v>0</v>
      </c>
      <c r="AV189" s="259">
        <v>2880</v>
      </c>
      <c r="AW189" s="260">
        <f t="shared" si="60"/>
        <v>604.79999999999995</v>
      </c>
      <c r="AX189" s="261" t="s">
        <v>573</v>
      </c>
      <c r="AY189" s="260">
        <f t="shared" si="61"/>
        <v>0</v>
      </c>
      <c r="AZ189" s="259" t="s">
        <v>573</v>
      </c>
      <c r="BA189" s="260">
        <f t="shared" si="62"/>
        <v>0</v>
      </c>
      <c r="BB189" s="259">
        <v>0</v>
      </c>
      <c r="BC189" s="260">
        <f t="shared" si="63"/>
        <v>0</v>
      </c>
      <c r="BD189" s="259" t="s">
        <v>573</v>
      </c>
      <c r="BE189" s="260">
        <f t="shared" si="64"/>
        <v>0</v>
      </c>
      <c r="BF189" s="259">
        <v>0</v>
      </c>
      <c r="BG189" s="260">
        <f t="shared" si="65"/>
        <v>0</v>
      </c>
      <c r="BH189" s="259" t="s">
        <v>573</v>
      </c>
      <c r="BI189" s="260">
        <f t="shared" si="55"/>
        <v>0</v>
      </c>
      <c r="BJ189" s="58"/>
      <c r="BK189" s="220"/>
      <c r="BL189" s="213" t="s">
        <v>1310</v>
      </c>
      <c r="BM189" s="58" t="s">
        <v>550</v>
      </c>
    </row>
    <row r="190" spans="1:65" ht="15.75" customHeight="1">
      <c r="A190" s="213" t="s">
        <v>1437</v>
      </c>
      <c r="B190" s="58" t="s">
        <v>199</v>
      </c>
      <c r="C190" s="58" t="s">
        <v>752</v>
      </c>
      <c r="D190" s="214" t="s">
        <v>186</v>
      </c>
      <c r="E190" s="214" t="s">
        <v>186</v>
      </c>
      <c r="F190" s="215" t="s">
        <v>186</v>
      </c>
      <c r="G190" s="216">
        <v>2020</v>
      </c>
      <c r="H190" s="218" t="s">
        <v>208</v>
      </c>
      <c r="I190" s="218" t="s">
        <v>201</v>
      </c>
      <c r="J190" s="217" t="s">
        <v>890</v>
      </c>
      <c r="K190" s="213" t="s">
        <v>755</v>
      </c>
      <c r="L190" s="213" t="s">
        <v>192</v>
      </c>
      <c r="M190" s="219" t="s">
        <v>1388</v>
      </c>
      <c r="N190" s="265">
        <v>10.73</v>
      </c>
      <c r="O190" s="265">
        <v>10.73</v>
      </c>
      <c r="P190" s="265">
        <v>10.73</v>
      </c>
      <c r="Q190" s="265">
        <v>10.73</v>
      </c>
      <c r="R190" s="265">
        <v>10.73</v>
      </c>
      <c r="S190" s="265">
        <v>10.73</v>
      </c>
      <c r="T190" s="265">
        <v>10.73</v>
      </c>
      <c r="U190" s="265">
        <v>10.73</v>
      </c>
      <c r="V190" s="265">
        <v>10.73</v>
      </c>
      <c r="W190" s="265">
        <v>10.73</v>
      </c>
      <c r="X190" s="265">
        <v>10.73</v>
      </c>
      <c r="Y190" s="265">
        <v>10.73</v>
      </c>
      <c r="Z190" s="265">
        <v>0.21</v>
      </c>
      <c r="AA190" s="265">
        <v>0.21</v>
      </c>
      <c r="AB190" s="265">
        <v>0.21</v>
      </c>
      <c r="AC190" s="265">
        <v>0.21</v>
      </c>
      <c r="AD190" s="265">
        <v>0.21</v>
      </c>
      <c r="AE190" s="265">
        <v>0.21</v>
      </c>
      <c r="AF190" s="265">
        <v>0.21</v>
      </c>
      <c r="AG190" s="265">
        <v>0.21</v>
      </c>
      <c r="AH190" s="265">
        <v>0.21</v>
      </c>
      <c r="AI190" s="265">
        <v>0.21</v>
      </c>
      <c r="AJ190" s="265">
        <v>0.21</v>
      </c>
      <c r="AK190" s="265">
        <v>0.21</v>
      </c>
      <c r="AL190" s="266" t="s">
        <v>573</v>
      </c>
      <c r="AM190" s="265">
        <f t="shared" si="56"/>
        <v>0</v>
      </c>
      <c r="AN190" s="266">
        <v>5760</v>
      </c>
      <c r="AO190" s="265">
        <f t="shared" si="45"/>
        <v>1209.5999999999999</v>
      </c>
      <c r="AP190" s="266">
        <v>0</v>
      </c>
      <c r="AQ190" s="265">
        <f t="shared" si="57"/>
        <v>0</v>
      </c>
      <c r="AR190" s="266">
        <v>2880</v>
      </c>
      <c r="AS190" s="262">
        <f t="shared" si="58"/>
        <v>604.79999999999995</v>
      </c>
      <c r="AT190" s="266">
        <v>2880</v>
      </c>
      <c r="AU190" s="260">
        <f t="shared" si="59"/>
        <v>604.79999999999995</v>
      </c>
      <c r="AV190" s="259">
        <v>0</v>
      </c>
      <c r="AW190" s="260">
        <f t="shared" si="60"/>
        <v>0</v>
      </c>
      <c r="AX190" s="261" t="s">
        <v>573</v>
      </c>
      <c r="AY190" s="260">
        <f t="shared" si="61"/>
        <v>0</v>
      </c>
      <c r="AZ190" s="259" t="s">
        <v>573</v>
      </c>
      <c r="BA190" s="260">
        <f t="shared" si="62"/>
        <v>0</v>
      </c>
      <c r="BB190" s="259">
        <v>2880</v>
      </c>
      <c r="BC190" s="260">
        <f t="shared" si="63"/>
        <v>604.79999999999995</v>
      </c>
      <c r="BD190" s="259" t="s">
        <v>573</v>
      </c>
      <c r="BE190" s="260">
        <f t="shared" si="64"/>
        <v>0</v>
      </c>
      <c r="BF190" s="259">
        <v>2880</v>
      </c>
      <c r="BG190" s="260">
        <f t="shared" si="65"/>
        <v>604.79999999999995</v>
      </c>
      <c r="BH190" s="259">
        <v>2880</v>
      </c>
      <c r="BI190" s="260">
        <f t="shared" si="55"/>
        <v>604.79999999999995</v>
      </c>
      <c r="BJ190" s="58"/>
      <c r="BK190" s="220"/>
      <c r="BL190" s="213" t="s">
        <v>754</v>
      </c>
      <c r="BM190" s="58" t="s">
        <v>552</v>
      </c>
    </row>
    <row r="191" spans="1:65" ht="15.75" customHeight="1">
      <c r="A191" s="213" t="s">
        <v>1437</v>
      </c>
      <c r="B191" s="58" t="s">
        <v>199</v>
      </c>
      <c r="C191" s="58" t="s">
        <v>752</v>
      </c>
      <c r="D191" s="214" t="s">
        <v>186</v>
      </c>
      <c r="E191" s="214" t="s">
        <v>186</v>
      </c>
      <c r="F191" s="215" t="s">
        <v>186</v>
      </c>
      <c r="G191" s="216">
        <v>2021</v>
      </c>
      <c r="H191" s="218" t="s">
        <v>211</v>
      </c>
      <c r="I191" s="218" t="s">
        <v>212</v>
      </c>
      <c r="J191" s="217" t="s">
        <v>890</v>
      </c>
      <c r="K191" s="213" t="s">
        <v>753</v>
      </c>
      <c r="L191" s="213" t="s">
        <v>192</v>
      </c>
      <c r="M191" s="219" t="s">
        <v>1388</v>
      </c>
      <c r="N191" s="265">
        <v>7.48</v>
      </c>
      <c r="O191" s="265">
        <v>7.48</v>
      </c>
      <c r="P191" s="265">
        <v>7.48</v>
      </c>
      <c r="Q191" s="265">
        <v>7.48</v>
      </c>
      <c r="R191" s="265">
        <v>7.48</v>
      </c>
      <c r="S191" s="265">
        <v>7.46</v>
      </c>
      <c r="T191" s="265">
        <v>7.46</v>
      </c>
      <c r="U191" s="265">
        <v>7.46</v>
      </c>
      <c r="V191" s="265">
        <v>7.46</v>
      </c>
      <c r="W191" s="265">
        <v>7.46</v>
      </c>
      <c r="X191" s="265">
        <v>7.46</v>
      </c>
      <c r="Y191" s="265">
        <v>7.46</v>
      </c>
      <c r="Z191" s="265">
        <v>0.15</v>
      </c>
      <c r="AA191" s="265">
        <v>0.15</v>
      </c>
      <c r="AB191" s="265">
        <v>0.15</v>
      </c>
      <c r="AC191" s="265">
        <v>0.15</v>
      </c>
      <c r="AD191" s="265">
        <v>0.15</v>
      </c>
      <c r="AE191" s="265">
        <v>0.15</v>
      </c>
      <c r="AF191" s="265">
        <v>0.15</v>
      </c>
      <c r="AG191" s="265">
        <v>0.15</v>
      </c>
      <c r="AH191" s="265">
        <v>0.15</v>
      </c>
      <c r="AI191" s="265">
        <v>0.15</v>
      </c>
      <c r="AJ191" s="265">
        <v>0.15</v>
      </c>
      <c r="AK191" s="265">
        <v>0.15</v>
      </c>
      <c r="AL191" s="266" t="s">
        <v>573</v>
      </c>
      <c r="AM191" s="265">
        <f t="shared" si="56"/>
        <v>0</v>
      </c>
      <c r="AN191" s="266" t="s">
        <v>573</v>
      </c>
      <c r="AO191" s="265">
        <f t="shared" si="45"/>
        <v>0</v>
      </c>
      <c r="AP191" s="266">
        <v>0</v>
      </c>
      <c r="AQ191" s="265">
        <f t="shared" si="57"/>
        <v>0</v>
      </c>
      <c r="AR191" s="266">
        <v>0</v>
      </c>
      <c r="AS191" s="262">
        <f t="shared" si="58"/>
        <v>0</v>
      </c>
      <c r="AT191" s="266">
        <v>0</v>
      </c>
      <c r="AU191" s="260">
        <f t="shared" si="59"/>
        <v>0</v>
      </c>
      <c r="AV191" s="259">
        <v>0</v>
      </c>
      <c r="AW191" s="260">
        <f t="shared" si="60"/>
        <v>0</v>
      </c>
      <c r="AX191" s="261" t="s">
        <v>573</v>
      </c>
      <c r="AY191" s="260">
        <f t="shared" si="61"/>
        <v>0</v>
      </c>
      <c r="AZ191" s="259" t="s">
        <v>573</v>
      </c>
      <c r="BA191" s="260">
        <f t="shared" si="62"/>
        <v>0</v>
      </c>
      <c r="BB191" s="259" t="s">
        <v>573</v>
      </c>
      <c r="BC191" s="260">
        <f t="shared" si="63"/>
        <v>0</v>
      </c>
      <c r="BD191" s="259" t="s">
        <v>573</v>
      </c>
      <c r="BE191" s="260">
        <f t="shared" si="64"/>
        <v>0</v>
      </c>
      <c r="BF191" s="259" t="s">
        <v>573</v>
      </c>
      <c r="BG191" s="260">
        <f t="shared" si="65"/>
        <v>0</v>
      </c>
      <c r="BH191" s="259" t="s">
        <v>573</v>
      </c>
      <c r="BI191" s="260">
        <f t="shared" si="55"/>
        <v>0</v>
      </c>
      <c r="BJ191" s="58"/>
      <c r="BK191" s="220"/>
      <c r="BL191" s="213" t="s">
        <v>1310</v>
      </c>
      <c r="BM191" s="213" t="s">
        <v>548</v>
      </c>
    </row>
    <row r="192" spans="1:65" ht="15.75" customHeight="1">
      <c r="A192" s="213" t="s">
        <v>1437</v>
      </c>
      <c r="B192" s="58" t="s">
        <v>199</v>
      </c>
      <c r="C192" s="58" t="s">
        <v>752</v>
      </c>
      <c r="D192" s="214" t="s">
        <v>186</v>
      </c>
      <c r="E192" s="214" t="s">
        <v>186</v>
      </c>
      <c r="F192" s="215" t="s">
        <v>186</v>
      </c>
      <c r="G192" s="216">
        <v>2021</v>
      </c>
      <c r="H192" s="218" t="s">
        <v>211</v>
      </c>
      <c r="I192" s="218" t="s">
        <v>212</v>
      </c>
      <c r="J192" s="217" t="s">
        <v>890</v>
      </c>
      <c r="K192" s="213" t="s">
        <v>753</v>
      </c>
      <c r="L192" s="213" t="s">
        <v>192</v>
      </c>
      <c r="M192" s="219" t="s">
        <v>1388</v>
      </c>
      <c r="N192" s="265">
        <v>7.46</v>
      </c>
      <c r="O192" s="265">
        <v>7.46</v>
      </c>
      <c r="P192" s="265">
        <v>7.46</v>
      </c>
      <c r="Q192" s="265">
        <v>7.46</v>
      </c>
      <c r="R192" s="265">
        <v>7.46</v>
      </c>
      <c r="S192" s="265">
        <v>7.46</v>
      </c>
      <c r="T192" s="265">
        <v>7.46</v>
      </c>
      <c r="U192" s="265">
        <v>7.46</v>
      </c>
      <c r="V192" s="265">
        <v>7.46</v>
      </c>
      <c r="W192" s="265">
        <v>7.46</v>
      </c>
      <c r="X192" s="265">
        <v>7.46</v>
      </c>
      <c r="Y192" s="265">
        <v>7.46</v>
      </c>
      <c r="Z192" s="265">
        <v>0.15</v>
      </c>
      <c r="AA192" s="265">
        <v>0.15</v>
      </c>
      <c r="AB192" s="265">
        <v>0.15</v>
      </c>
      <c r="AC192" s="265">
        <v>0.15</v>
      </c>
      <c r="AD192" s="265">
        <v>0.15</v>
      </c>
      <c r="AE192" s="265">
        <v>0.15</v>
      </c>
      <c r="AF192" s="265">
        <v>0.15</v>
      </c>
      <c r="AG192" s="265">
        <v>0.15</v>
      </c>
      <c r="AH192" s="265">
        <v>0.15</v>
      </c>
      <c r="AI192" s="265">
        <v>0.15</v>
      </c>
      <c r="AJ192" s="265">
        <v>0.15</v>
      </c>
      <c r="AK192" s="265">
        <v>0.15</v>
      </c>
      <c r="AL192" s="266" t="s">
        <v>573</v>
      </c>
      <c r="AM192" s="265">
        <f t="shared" si="56"/>
        <v>0</v>
      </c>
      <c r="AN192" s="266" t="s">
        <v>573</v>
      </c>
      <c r="AO192" s="265">
        <f t="shared" si="45"/>
        <v>0</v>
      </c>
      <c r="AP192" s="266">
        <v>0</v>
      </c>
      <c r="AQ192" s="265">
        <f t="shared" si="57"/>
        <v>0</v>
      </c>
      <c r="AR192" s="266">
        <v>0</v>
      </c>
      <c r="AS192" s="262">
        <f t="shared" si="58"/>
        <v>0</v>
      </c>
      <c r="AT192" s="266">
        <v>0</v>
      </c>
      <c r="AU192" s="260">
        <f t="shared" si="59"/>
        <v>0</v>
      </c>
      <c r="AV192" s="259">
        <v>0</v>
      </c>
      <c r="AW192" s="260">
        <f t="shared" si="60"/>
        <v>0</v>
      </c>
      <c r="AX192" s="261">
        <v>1200</v>
      </c>
      <c r="AY192" s="260">
        <f t="shared" si="61"/>
        <v>180</v>
      </c>
      <c r="AZ192" s="259" t="s">
        <v>573</v>
      </c>
      <c r="BA192" s="260">
        <f t="shared" si="62"/>
        <v>0</v>
      </c>
      <c r="BB192" s="259">
        <v>2400</v>
      </c>
      <c r="BC192" s="260">
        <f t="shared" si="63"/>
        <v>360</v>
      </c>
      <c r="BD192" s="259" t="s">
        <v>573</v>
      </c>
      <c r="BE192" s="260">
        <f t="shared" si="64"/>
        <v>0</v>
      </c>
      <c r="BF192" s="259">
        <v>2400</v>
      </c>
      <c r="BG192" s="260">
        <f t="shared" si="65"/>
        <v>360</v>
      </c>
      <c r="BH192" s="259">
        <v>1200</v>
      </c>
      <c r="BI192" s="260">
        <f t="shared" si="55"/>
        <v>180</v>
      </c>
      <c r="BJ192" s="58"/>
      <c r="BK192" s="220"/>
      <c r="BL192" s="213" t="s">
        <v>1310</v>
      </c>
      <c r="BM192" s="58" t="s">
        <v>546</v>
      </c>
    </row>
    <row r="193" spans="1:65" ht="15.75" customHeight="1">
      <c r="A193" s="213" t="s">
        <v>1437</v>
      </c>
      <c r="B193" s="58" t="s">
        <v>199</v>
      </c>
      <c r="C193" s="58" t="s">
        <v>752</v>
      </c>
      <c r="D193" s="214" t="s">
        <v>186</v>
      </c>
      <c r="E193" s="214" t="s">
        <v>186</v>
      </c>
      <c r="F193" s="215" t="s">
        <v>186</v>
      </c>
      <c r="G193" s="216">
        <v>2021</v>
      </c>
      <c r="H193" s="218" t="s">
        <v>211</v>
      </c>
      <c r="I193" s="218" t="s">
        <v>212</v>
      </c>
      <c r="J193" s="217" t="s">
        <v>890</v>
      </c>
      <c r="K193" s="213" t="s">
        <v>753</v>
      </c>
      <c r="L193" s="213" t="s">
        <v>869</v>
      </c>
      <c r="M193" s="219" t="s">
        <v>1445</v>
      </c>
      <c r="N193" s="265">
        <v>7.46</v>
      </c>
      <c r="O193" s="265">
        <v>7.46</v>
      </c>
      <c r="P193" s="265">
        <v>7.46</v>
      </c>
      <c r="Q193" s="265">
        <v>7.46</v>
      </c>
      <c r="R193" s="265">
        <v>7.46</v>
      </c>
      <c r="S193" s="265">
        <v>7.46</v>
      </c>
      <c r="T193" s="265">
        <v>7.46</v>
      </c>
      <c r="U193" s="265">
        <v>7.46</v>
      </c>
      <c r="V193" s="265">
        <v>7.46</v>
      </c>
      <c r="W193" s="265">
        <v>7.46</v>
      </c>
      <c r="X193" s="265">
        <v>7.46</v>
      </c>
      <c r="Y193" s="265">
        <v>7.46</v>
      </c>
      <c r="Z193" s="265">
        <v>0.15</v>
      </c>
      <c r="AA193" s="265">
        <v>0.15</v>
      </c>
      <c r="AB193" s="265">
        <v>0.15</v>
      </c>
      <c r="AC193" s="265">
        <v>0.15</v>
      </c>
      <c r="AD193" s="265">
        <v>0.15</v>
      </c>
      <c r="AE193" s="265">
        <v>0.15</v>
      </c>
      <c r="AF193" s="265">
        <v>0.15</v>
      </c>
      <c r="AG193" s="265">
        <v>0.15</v>
      </c>
      <c r="AH193" s="265">
        <v>0.15</v>
      </c>
      <c r="AI193" s="265">
        <v>0.15</v>
      </c>
      <c r="AJ193" s="265">
        <v>0.15</v>
      </c>
      <c r="AK193" s="265">
        <v>0.15</v>
      </c>
      <c r="AL193" s="266">
        <v>2400</v>
      </c>
      <c r="AM193" s="265">
        <f t="shared" si="56"/>
        <v>360</v>
      </c>
      <c r="AN193" s="266" t="s">
        <v>573</v>
      </c>
      <c r="AO193" s="265">
        <f t="shared" si="45"/>
        <v>0</v>
      </c>
      <c r="AP193" s="266">
        <v>0</v>
      </c>
      <c r="AQ193" s="265">
        <f t="shared" si="57"/>
        <v>0</v>
      </c>
      <c r="AR193" s="266">
        <v>0</v>
      </c>
      <c r="AS193" s="262">
        <f t="shared" si="58"/>
        <v>0</v>
      </c>
      <c r="AT193" s="266">
        <v>0</v>
      </c>
      <c r="AU193" s="260">
        <f t="shared" si="59"/>
        <v>0</v>
      </c>
      <c r="AV193" s="259">
        <v>7200</v>
      </c>
      <c r="AW193" s="260">
        <f t="shared" si="60"/>
        <v>1080</v>
      </c>
      <c r="AX193" s="261">
        <v>0</v>
      </c>
      <c r="AY193" s="260">
        <f t="shared" si="61"/>
        <v>0</v>
      </c>
      <c r="AZ193" s="259" t="s">
        <v>573</v>
      </c>
      <c r="BA193" s="260">
        <f t="shared" si="62"/>
        <v>0</v>
      </c>
      <c r="BB193" s="259">
        <v>0</v>
      </c>
      <c r="BC193" s="260">
        <f t="shared" si="63"/>
        <v>0</v>
      </c>
      <c r="BD193" s="259" t="s">
        <v>573</v>
      </c>
      <c r="BE193" s="260">
        <f t="shared" si="64"/>
        <v>0</v>
      </c>
      <c r="BF193" s="259">
        <v>0</v>
      </c>
      <c r="BG193" s="260">
        <f t="shared" si="65"/>
        <v>0</v>
      </c>
      <c r="BH193" s="259">
        <v>0</v>
      </c>
      <c r="BI193" s="260">
        <f t="shared" si="55"/>
        <v>0</v>
      </c>
      <c r="BJ193" s="58"/>
      <c r="BK193" s="220"/>
      <c r="BL193" s="213" t="s">
        <v>1310</v>
      </c>
      <c r="BM193" s="58" t="s">
        <v>546</v>
      </c>
    </row>
    <row r="194" spans="1:65" ht="15.75" customHeight="1">
      <c r="A194" s="213" t="s">
        <v>1437</v>
      </c>
      <c r="B194" s="58" t="s">
        <v>199</v>
      </c>
      <c r="C194" s="58" t="s">
        <v>752</v>
      </c>
      <c r="D194" s="214" t="s">
        <v>186</v>
      </c>
      <c r="E194" s="214" t="s">
        <v>186</v>
      </c>
      <c r="F194" s="215" t="s">
        <v>186</v>
      </c>
      <c r="G194" s="216">
        <v>2021</v>
      </c>
      <c r="H194" s="218" t="s">
        <v>211</v>
      </c>
      <c r="I194" s="218" t="s">
        <v>212</v>
      </c>
      <c r="J194" s="217" t="s">
        <v>890</v>
      </c>
      <c r="K194" s="213" t="s">
        <v>753</v>
      </c>
      <c r="L194" s="213" t="s">
        <v>192</v>
      </c>
      <c r="M194" s="219" t="s">
        <v>1388</v>
      </c>
      <c r="N194" s="265">
        <v>7.4</v>
      </c>
      <c r="O194" s="265">
        <v>7.4</v>
      </c>
      <c r="P194" s="265">
        <v>7.4</v>
      </c>
      <c r="Q194" s="265">
        <v>7.4</v>
      </c>
      <c r="R194" s="265">
        <v>7.4</v>
      </c>
      <c r="S194" s="265">
        <v>7.4</v>
      </c>
      <c r="T194" s="265">
        <v>7.4</v>
      </c>
      <c r="U194" s="265">
        <v>7.4</v>
      </c>
      <c r="V194" s="265">
        <v>7.4</v>
      </c>
      <c r="W194" s="265">
        <v>7.4</v>
      </c>
      <c r="X194" s="265">
        <v>7.4</v>
      </c>
      <c r="Y194" s="265">
        <v>7.4</v>
      </c>
      <c r="Z194" s="265">
        <v>0.15</v>
      </c>
      <c r="AA194" s="265">
        <v>0.15</v>
      </c>
      <c r="AB194" s="265">
        <v>0.15</v>
      </c>
      <c r="AC194" s="265">
        <v>0.15</v>
      </c>
      <c r="AD194" s="265">
        <v>0.15</v>
      </c>
      <c r="AE194" s="265">
        <v>0.15</v>
      </c>
      <c r="AF194" s="265">
        <v>0.15</v>
      </c>
      <c r="AG194" s="265">
        <v>0.15</v>
      </c>
      <c r="AH194" s="265">
        <v>0.15</v>
      </c>
      <c r="AI194" s="265">
        <v>0.15</v>
      </c>
      <c r="AJ194" s="265">
        <v>0.15</v>
      </c>
      <c r="AK194" s="265">
        <v>0.15</v>
      </c>
      <c r="AL194" s="266">
        <v>1200</v>
      </c>
      <c r="AM194" s="265">
        <f t="shared" si="56"/>
        <v>180</v>
      </c>
      <c r="AN194" s="266">
        <v>1200</v>
      </c>
      <c r="AO194" s="265">
        <f t="shared" si="45"/>
        <v>180</v>
      </c>
      <c r="AP194" s="266">
        <v>0</v>
      </c>
      <c r="AQ194" s="265">
        <f t="shared" si="57"/>
        <v>0</v>
      </c>
      <c r="AR194" s="266">
        <v>0</v>
      </c>
      <c r="AS194" s="262">
        <f t="shared" si="58"/>
        <v>0</v>
      </c>
      <c r="AT194" s="266">
        <v>0</v>
      </c>
      <c r="AU194" s="260">
        <f t="shared" si="59"/>
        <v>0</v>
      </c>
      <c r="AV194" s="259">
        <v>0</v>
      </c>
      <c r="AW194" s="260">
        <f t="shared" si="60"/>
        <v>0</v>
      </c>
      <c r="AX194" s="261">
        <v>1200</v>
      </c>
      <c r="AY194" s="260">
        <f t="shared" si="61"/>
        <v>180</v>
      </c>
      <c r="AZ194" s="259" t="s">
        <v>573</v>
      </c>
      <c r="BA194" s="260">
        <f t="shared" si="62"/>
        <v>0</v>
      </c>
      <c r="BB194" s="259" t="s">
        <v>573</v>
      </c>
      <c r="BC194" s="260">
        <f t="shared" si="63"/>
        <v>0</v>
      </c>
      <c r="BD194" s="259">
        <v>1200</v>
      </c>
      <c r="BE194" s="260">
        <f t="shared" si="64"/>
        <v>180</v>
      </c>
      <c r="BF194" s="259" t="s">
        <v>573</v>
      </c>
      <c r="BG194" s="260">
        <f t="shared" si="65"/>
        <v>0</v>
      </c>
      <c r="BH194" s="259" t="s">
        <v>573</v>
      </c>
      <c r="BI194" s="260">
        <f t="shared" si="55"/>
        <v>0</v>
      </c>
      <c r="BJ194" s="58"/>
      <c r="BK194" s="220"/>
      <c r="BL194" s="213" t="s">
        <v>754</v>
      </c>
      <c r="BM194" s="58" t="s">
        <v>549</v>
      </c>
    </row>
    <row r="195" spans="1:65" ht="15.75" customHeight="1">
      <c r="A195" s="213" t="s">
        <v>1437</v>
      </c>
      <c r="B195" s="58" t="s">
        <v>199</v>
      </c>
      <c r="C195" s="58" t="s">
        <v>752</v>
      </c>
      <c r="D195" s="214" t="s">
        <v>186</v>
      </c>
      <c r="E195" s="214" t="s">
        <v>186</v>
      </c>
      <c r="F195" s="215" t="s">
        <v>186</v>
      </c>
      <c r="G195" s="216">
        <v>2021</v>
      </c>
      <c r="H195" s="218" t="s">
        <v>211</v>
      </c>
      <c r="I195" s="218" t="s">
        <v>212</v>
      </c>
      <c r="J195" s="217" t="s">
        <v>890</v>
      </c>
      <c r="K195" s="213" t="s">
        <v>753</v>
      </c>
      <c r="L195" s="213" t="s">
        <v>192</v>
      </c>
      <c r="M195" s="219" t="s">
        <v>1388</v>
      </c>
      <c r="N195" s="265">
        <v>7.42</v>
      </c>
      <c r="O195" s="265">
        <v>7.42</v>
      </c>
      <c r="P195" s="265">
        <v>7.42</v>
      </c>
      <c r="Q195" s="265">
        <v>7.42</v>
      </c>
      <c r="R195" s="265">
        <v>7.42</v>
      </c>
      <c r="S195" s="265">
        <v>7.42</v>
      </c>
      <c r="T195" s="265">
        <v>7.42</v>
      </c>
      <c r="U195" s="265">
        <v>7.42</v>
      </c>
      <c r="V195" s="265">
        <v>7.42</v>
      </c>
      <c r="W195" s="265">
        <v>7.42</v>
      </c>
      <c r="X195" s="265">
        <v>7.42</v>
      </c>
      <c r="Y195" s="265">
        <v>7.42</v>
      </c>
      <c r="Z195" s="265">
        <v>0.15</v>
      </c>
      <c r="AA195" s="265">
        <v>0.15</v>
      </c>
      <c r="AB195" s="265">
        <v>0.15</v>
      </c>
      <c r="AC195" s="265">
        <v>0.15</v>
      </c>
      <c r="AD195" s="265">
        <v>0.15</v>
      </c>
      <c r="AE195" s="265">
        <v>0.15</v>
      </c>
      <c r="AF195" s="265">
        <v>0.15</v>
      </c>
      <c r="AG195" s="265">
        <v>0.15</v>
      </c>
      <c r="AH195" s="265">
        <v>0.15</v>
      </c>
      <c r="AI195" s="265">
        <v>0.15</v>
      </c>
      <c r="AJ195" s="265">
        <v>0.15</v>
      </c>
      <c r="AK195" s="265">
        <v>0.15</v>
      </c>
      <c r="AL195" s="266" t="s">
        <v>573</v>
      </c>
      <c r="AM195" s="265">
        <f t="shared" si="56"/>
        <v>0</v>
      </c>
      <c r="AN195" s="266" t="s">
        <v>573</v>
      </c>
      <c r="AO195" s="265">
        <f t="shared" ref="AO195:AO258" si="66">AN195*AA195</f>
        <v>0</v>
      </c>
      <c r="AP195" s="266">
        <v>0</v>
      </c>
      <c r="AQ195" s="265">
        <f t="shared" si="57"/>
        <v>0</v>
      </c>
      <c r="AR195" s="266">
        <v>0</v>
      </c>
      <c r="AS195" s="262">
        <f t="shared" si="58"/>
        <v>0</v>
      </c>
      <c r="AT195" s="266">
        <v>0</v>
      </c>
      <c r="AU195" s="260">
        <f t="shared" si="59"/>
        <v>0</v>
      </c>
      <c r="AV195" s="259">
        <v>1200</v>
      </c>
      <c r="AW195" s="260">
        <f t="shared" si="60"/>
        <v>180</v>
      </c>
      <c r="AX195" s="261" t="s">
        <v>573</v>
      </c>
      <c r="AY195" s="260">
        <f t="shared" si="61"/>
        <v>0</v>
      </c>
      <c r="AZ195" s="259" t="s">
        <v>573</v>
      </c>
      <c r="BA195" s="260">
        <f t="shared" si="62"/>
        <v>0</v>
      </c>
      <c r="BB195" s="259" t="s">
        <v>573</v>
      </c>
      <c r="BC195" s="260">
        <f t="shared" si="63"/>
        <v>0</v>
      </c>
      <c r="BD195" s="259" t="s">
        <v>573</v>
      </c>
      <c r="BE195" s="260">
        <f t="shared" si="64"/>
        <v>0</v>
      </c>
      <c r="BF195" s="259">
        <v>5386</v>
      </c>
      <c r="BG195" s="260">
        <f t="shared" si="65"/>
        <v>807.9</v>
      </c>
      <c r="BH195" s="259">
        <v>0</v>
      </c>
      <c r="BI195" s="260">
        <f t="shared" ref="BI195:BI258" si="67">BH195*AK195</f>
        <v>0</v>
      </c>
      <c r="BJ195" s="58"/>
      <c r="BK195" s="220"/>
      <c r="BL195" s="213" t="s">
        <v>197</v>
      </c>
      <c r="BM195" s="58" t="s">
        <v>544</v>
      </c>
    </row>
    <row r="196" spans="1:65" ht="15.75" customHeight="1">
      <c r="A196" s="213" t="s">
        <v>1437</v>
      </c>
      <c r="B196" s="58" t="s">
        <v>199</v>
      </c>
      <c r="C196" s="58" t="s">
        <v>752</v>
      </c>
      <c r="D196" s="214" t="s">
        <v>186</v>
      </c>
      <c r="E196" s="214" t="s">
        <v>186</v>
      </c>
      <c r="F196" s="215" t="s">
        <v>186</v>
      </c>
      <c r="G196" s="216">
        <v>2021</v>
      </c>
      <c r="H196" s="218" t="s">
        <v>211</v>
      </c>
      <c r="I196" s="218" t="s">
        <v>212</v>
      </c>
      <c r="J196" s="217" t="s">
        <v>890</v>
      </c>
      <c r="K196" s="213" t="s">
        <v>753</v>
      </c>
      <c r="L196" s="213" t="s">
        <v>192</v>
      </c>
      <c r="M196" s="219" t="s">
        <v>1388</v>
      </c>
      <c r="N196" s="265">
        <v>7.92</v>
      </c>
      <c r="O196" s="265">
        <v>7.92</v>
      </c>
      <c r="P196" s="265">
        <v>7.92</v>
      </c>
      <c r="Q196" s="265">
        <v>7.92</v>
      </c>
      <c r="R196" s="265">
        <v>7.92</v>
      </c>
      <c r="S196" s="265">
        <v>7.92</v>
      </c>
      <c r="T196" s="265">
        <v>7.92</v>
      </c>
      <c r="U196" s="265">
        <v>7.92</v>
      </c>
      <c r="V196" s="265">
        <v>7.92</v>
      </c>
      <c r="W196" s="265">
        <v>7.92</v>
      </c>
      <c r="X196" s="265">
        <v>7.92</v>
      </c>
      <c r="Y196" s="265">
        <v>7.92</v>
      </c>
      <c r="Z196" s="265">
        <v>0.15</v>
      </c>
      <c r="AA196" s="265">
        <v>0.15</v>
      </c>
      <c r="AB196" s="265">
        <v>0.15</v>
      </c>
      <c r="AC196" s="265">
        <v>0.15</v>
      </c>
      <c r="AD196" s="265">
        <v>0.15</v>
      </c>
      <c r="AE196" s="265">
        <v>0.15</v>
      </c>
      <c r="AF196" s="265">
        <v>0.15</v>
      </c>
      <c r="AG196" s="265">
        <v>0.15</v>
      </c>
      <c r="AH196" s="265">
        <v>0.15</v>
      </c>
      <c r="AI196" s="265">
        <v>0.15</v>
      </c>
      <c r="AJ196" s="265">
        <v>0.15</v>
      </c>
      <c r="AK196" s="265">
        <v>0.15</v>
      </c>
      <c r="AL196" s="266" t="s">
        <v>573</v>
      </c>
      <c r="AM196" s="265">
        <f t="shared" si="56"/>
        <v>0</v>
      </c>
      <c r="AN196" s="266">
        <v>1200</v>
      </c>
      <c r="AO196" s="265">
        <f t="shared" si="66"/>
        <v>180</v>
      </c>
      <c r="AP196" s="266">
        <v>0</v>
      </c>
      <c r="AQ196" s="265">
        <f t="shared" si="57"/>
        <v>0</v>
      </c>
      <c r="AR196" s="266">
        <v>0</v>
      </c>
      <c r="AS196" s="262">
        <f t="shared" si="58"/>
        <v>0</v>
      </c>
      <c r="AT196" s="266">
        <v>0</v>
      </c>
      <c r="AU196" s="260">
        <f t="shared" si="59"/>
        <v>0</v>
      </c>
      <c r="AV196" s="259">
        <v>0</v>
      </c>
      <c r="AW196" s="260">
        <f t="shared" si="60"/>
        <v>0</v>
      </c>
      <c r="AX196" s="261" t="s">
        <v>573</v>
      </c>
      <c r="AY196" s="260">
        <f t="shared" si="61"/>
        <v>0</v>
      </c>
      <c r="AZ196" s="259" t="s">
        <v>573</v>
      </c>
      <c r="BA196" s="260">
        <f t="shared" si="62"/>
        <v>0</v>
      </c>
      <c r="BB196" s="259" t="s">
        <v>573</v>
      </c>
      <c r="BC196" s="260">
        <f t="shared" si="63"/>
        <v>0</v>
      </c>
      <c r="BD196" s="259" t="s">
        <v>573</v>
      </c>
      <c r="BE196" s="260">
        <f t="shared" si="64"/>
        <v>0</v>
      </c>
      <c r="BF196" s="259" t="s">
        <v>573</v>
      </c>
      <c r="BG196" s="260">
        <f t="shared" si="65"/>
        <v>0</v>
      </c>
      <c r="BH196" s="259">
        <v>1200</v>
      </c>
      <c r="BI196" s="260">
        <f t="shared" si="67"/>
        <v>180</v>
      </c>
      <c r="BJ196" s="58"/>
      <c r="BK196" s="220"/>
      <c r="BL196" s="213" t="s">
        <v>754</v>
      </c>
      <c r="BM196" s="58" t="s">
        <v>545</v>
      </c>
    </row>
    <row r="197" spans="1:65" ht="15.75" customHeight="1">
      <c r="A197" s="213" t="s">
        <v>1437</v>
      </c>
      <c r="B197" s="58" t="s">
        <v>199</v>
      </c>
      <c r="C197" s="58" t="s">
        <v>752</v>
      </c>
      <c r="D197" s="214" t="s">
        <v>186</v>
      </c>
      <c r="E197" s="214" t="s">
        <v>186</v>
      </c>
      <c r="F197" s="215" t="s">
        <v>186</v>
      </c>
      <c r="G197" s="216">
        <v>2020</v>
      </c>
      <c r="H197" s="218" t="s">
        <v>792</v>
      </c>
      <c r="I197" s="218" t="s">
        <v>201</v>
      </c>
      <c r="J197" s="217" t="s">
        <v>890</v>
      </c>
      <c r="K197" s="213" t="s">
        <v>221</v>
      </c>
      <c r="L197" s="213" t="s">
        <v>192</v>
      </c>
      <c r="M197" s="219" t="s">
        <v>1388</v>
      </c>
      <c r="N197" s="265">
        <v>4.99</v>
      </c>
      <c r="O197" s="265">
        <v>4.99</v>
      </c>
      <c r="P197" s="265">
        <v>4.99</v>
      </c>
      <c r="Q197" s="265">
        <v>4.99</v>
      </c>
      <c r="R197" s="265">
        <v>4.99</v>
      </c>
      <c r="S197" s="265">
        <v>4.99</v>
      </c>
      <c r="T197" s="265">
        <v>4.99</v>
      </c>
      <c r="U197" s="265">
        <v>4.99</v>
      </c>
      <c r="V197" s="265">
        <v>4.99</v>
      </c>
      <c r="W197" s="265">
        <v>4.99</v>
      </c>
      <c r="X197" s="265">
        <v>4.99</v>
      </c>
      <c r="Y197" s="265">
        <v>4.99</v>
      </c>
      <c r="Z197" s="265">
        <v>0</v>
      </c>
      <c r="AA197" s="265">
        <v>0</v>
      </c>
      <c r="AB197" s="265">
        <v>0</v>
      </c>
      <c r="AC197" s="265">
        <v>0</v>
      </c>
      <c r="AD197" s="265">
        <v>0</v>
      </c>
      <c r="AE197" s="265">
        <v>0</v>
      </c>
      <c r="AF197" s="265">
        <v>0</v>
      </c>
      <c r="AG197" s="265">
        <v>0</v>
      </c>
      <c r="AH197" s="265">
        <v>0</v>
      </c>
      <c r="AI197" s="265">
        <v>0</v>
      </c>
      <c r="AJ197" s="265">
        <v>0</v>
      </c>
      <c r="AK197" s="265">
        <v>0</v>
      </c>
      <c r="AL197" s="266">
        <v>5200</v>
      </c>
      <c r="AM197" s="265">
        <f t="shared" si="56"/>
        <v>0</v>
      </c>
      <c r="AN197" s="266" t="s">
        <v>573</v>
      </c>
      <c r="AO197" s="265">
        <f t="shared" si="66"/>
        <v>0</v>
      </c>
      <c r="AP197" s="266">
        <v>0</v>
      </c>
      <c r="AQ197" s="265">
        <f t="shared" si="57"/>
        <v>0</v>
      </c>
      <c r="AR197" s="266">
        <v>0</v>
      </c>
      <c r="AS197" s="262">
        <f t="shared" si="58"/>
        <v>0</v>
      </c>
      <c r="AT197" s="266">
        <v>0</v>
      </c>
      <c r="AU197" s="260">
        <f t="shared" si="59"/>
        <v>0</v>
      </c>
      <c r="AV197" s="259">
        <v>0</v>
      </c>
      <c r="AW197" s="260">
        <f t="shared" si="60"/>
        <v>0</v>
      </c>
      <c r="AX197" s="261" t="s">
        <v>573</v>
      </c>
      <c r="AY197" s="260">
        <f t="shared" si="61"/>
        <v>0</v>
      </c>
      <c r="AZ197" s="259" t="s">
        <v>573</v>
      </c>
      <c r="BA197" s="260">
        <f t="shared" si="62"/>
        <v>0</v>
      </c>
      <c r="BB197" s="259">
        <v>5200</v>
      </c>
      <c r="BC197" s="260">
        <f t="shared" si="63"/>
        <v>0</v>
      </c>
      <c r="BD197" s="259" t="s">
        <v>573</v>
      </c>
      <c r="BE197" s="260">
        <f t="shared" si="64"/>
        <v>0</v>
      </c>
      <c r="BF197" s="259" t="s">
        <v>573</v>
      </c>
      <c r="BG197" s="260">
        <f t="shared" si="65"/>
        <v>0</v>
      </c>
      <c r="BH197" s="259">
        <v>5200</v>
      </c>
      <c r="BI197" s="260">
        <f t="shared" si="67"/>
        <v>0</v>
      </c>
      <c r="BJ197" s="58"/>
      <c r="BK197" s="220"/>
      <c r="BL197" s="213" t="s">
        <v>754</v>
      </c>
      <c r="BM197" s="58" t="s">
        <v>519</v>
      </c>
    </row>
    <row r="198" spans="1:65" ht="15.75" customHeight="1">
      <c r="A198" s="213" t="s">
        <v>1437</v>
      </c>
      <c r="B198" s="58" t="s">
        <v>199</v>
      </c>
      <c r="C198" s="58" t="s">
        <v>752</v>
      </c>
      <c r="D198" s="214" t="s">
        <v>186</v>
      </c>
      <c r="E198" s="214" t="s">
        <v>186</v>
      </c>
      <c r="F198" s="215" t="s">
        <v>186</v>
      </c>
      <c r="G198" s="216">
        <v>2020</v>
      </c>
      <c r="H198" s="218" t="s">
        <v>792</v>
      </c>
      <c r="I198" s="218" t="s">
        <v>201</v>
      </c>
      <c r="J198" s="217" t="s">
        <v>890</v>
      </c>
      <c r="K198" s="213" t="s">
        <v>221</v>
      </c>
      <c r="L198" s="213" t="s">
        <v>192</v>
      </c>
      <c r="M198" s="219" t="s">
        <v>1397</v>
      </c>
      <c r="N198" s="265">
        <v>4.93</v>
      </c>
      <c r="O198" s="265">
        <v>4.93</v>
      </c>
      <c r="P198" s="265">
        <v>4.93</v>
      </c>
      <c r="Q198" s="265">
        <v>4.93</v>
      </c>
      <c r="R198" s="265">
        <v>4.93</v>
      </c>
      <c r="S198" s="265">
        <v>4.93</v>
      </c>
      <c r="T198" s="265">
        <v>4.93</v>
      </c>
      <c r="U198" s="265">
        <v>4.93</v>
      </c>
      <c r="V198" s="265">
        <v>4.93</v>
      </c>
      <c r="W198" s="265">
        <v>4.93</v>
      </c>
      <c r="X198" s="265">
        <v>4.93</v>
      </c>
      <c r="Y198" s="265">
        <v>4.93</v>
      </c>
      <c r="Z198" s="265">
        <v>0</v>
      </c>
      <c r="AA198" s="265">
        <v>0</v>
      </c>
      <c r="AB198" s="265">
        <v>0</v>
      </c>
      <c r="AC198" s="265">
        <v>0</v>
      </c>
      <c r="AD198" s="265">
        <v>0</v>
      </c>
      <c r="AE198" s="265">
        <v>0</v>
      </c>
      <c r="AF198" s="265">
        <v>0</v>
      </c>
      <c r="AG198" s="265">
        <v>0</v>
      </c>
      <c r="AH198" s="265">
        <v>0</v>
      </c>
      <c r="AI198" s="265">
        <v>0</v>
      </c>
      <c r="AJ198" s="265">
        <v>0</v>
      </c>
      <c r="AK198" s="265">
        <v>0</v>
      </c>
      <c r="AL198" s="266" t="s">
        <v>573</v>
      </c>
      <c r="AM198" s="265">
        <f t="shared" si="56"/>
        <v>0</v>
      </c>
      <c r="AN198" s="266" t="s">
        <v>573</v>
      </c>
      <c r="AO198" s="265">
        <f t="shared" si="66"/>
        <v>0</v>
      </c>
      <c r="AP198" s="266">
        <v>0</v>
      </c>
      <c r="AQ198" s="265">
        <f t="shared" si="57"/>
        <v>0</v>
      </c>
      <c r="AR198" s="266">
        <v>0</v>
      </c>
      <c r="AS198" s="262">
        <f t="shared" si="58"/>
        <v>0</v>
      </c>
      <c r="AT198" s="266">
        <v>0</v>
      </c>
      <c r="AU198" s="260">
        <f t="shared" si="59"/>
        <v>0</v>
      </c>
      <c r="AV198" s="259">
        <v>0</v>
      </c>
      <c r="AW198" s="260">
        <f t="shared" si="60"/>
        <v>0</v>
      </c>
      <c r="AX198" s="261" t="s">
        <v>573</v>
      </c>
      <c r="AY198" s="260">
        <f t="shared" si="61"/>
        <v>0</v>
      </c>
      <c r="AZ198" s="259" t="s">
        <v>573</v>
      </c>
      <c r="BA198" s="260">
        <f t="shared" si="62"/>
        <v>0</v>
      </c>
      <c r="BB198" s="259" t="s">
        <v>573</v>
      </c>
      <c r="BC198" s="260">
        <f t="shared" si="63"/>
        <v>0</v>
      </c>
      <c r="BD198" s="259" t="s">
        <v>573</v>
      </c>
      <c r="BE198" s="260">
        <f t="shared" si="64"/>
        <v>0</v>
      </c>
      <c r="BF198" s="259" t="s">
        <v>573</v>
      </c>
      <c r="BG198" s="260">
        <f t="shared" si="65"/>
        <v>0</v>
      </c>
      <c r="BH198" s="259" t="s">
        <v>573</v>
      </c>
      <c r="BI198" s="260">
        <f t="shared" si="67"/>
        <v>0</v>
      </c>
      <c r="BJ198" s="58"/>
      <c r="BK198" s="220"/>
      <c r="BL198" s="213" t="s">
        <v>754</v>
      </c>
      <c r="BM198" s="58" t="s">
        <v>518</v>
      </c>
    </row>
    <row r="199" spans="1:65" ht="15.75" customHeight="1">
      <c r="A199" s="213" t="s">
        <v>1437</v>
      </c>
      <c r="B199" s="58" t="s">
        <v>199</v>
      </c>
      <c r="C199" s="58" t="s">
        <v>752</v>
      </c>
      <c r="D199" s="214" t="s">
        <v>186</v>
      </c>
      <c r="E199" s="214" t="s">
        <v>186</v>
      </c>
      <c r="F199" s="215" t="s">
        <v>186</v>
      </c>
      <c r="G199" s="216">
        <v>2020</v>
      </c>
      <c r="H199" s="218" t="s">
        <v>792</v>
      </c>
      <c r="I199" s="218" t="s">
        <v>201</v>
      </c>
      <c r="J199" s="217" t="s">
        <v>890</v>
      </c>
      <c r="K199" s="213" t="s">
        <v>221</v>
      </c>
      <c r="L199" s="213" t="s">
        <v>192</v>
      </c>
      <c r="M199" s="219" t="s">
        <v>1388</v>
      </c>
      <c r="N199" s="265">
        <v>5.05</v>
      </c>
      <c r="O199" s="265">
        <v>5.05</v>
      </c>
      <c r="P199" s="265">
        <v>5.05</v>
      </c>
      <c r="Q199" s="265">
        <v>5.05</v>
      </c>
      <c r="R199" s="265">
        <v>5.05</v>
      </c>
      <c r="S199" s="265">
        <v>5.03</v>
      </c>
      <c r="T199" s="265">
        <v>5.03</v>
      </c>
      <c r="U199" s="265">
        <v>5.03</v>
      </c>
      <c r="V199" s="265">
        <v>5.03</v>
      </c>
      <c r="W199" s="265">
        <v>5.03</v>
      </c>
      <c r="X199" s="265">
        <v>5.03</v>
      </c>
      <c r="Y199" s="265">
        <v>5.03</v>
      </c>
      <c r="Z199" s="265">
        <v>0</v>
      </c>
      <c r="AA199" s="265">
        <v>0</v>
      </c>
      <c r="AB199" s="265">
        <v>0</v>
      </c>
      <c r="AC199" s="265">
        <v>0</v>
      </c>
      <c r="AD199" s="265">
        <v>0</v>
      </c>
      <c r="AE199" s="265">
        <v>0</v>
      </c>
      <c r="AF199" s="265">
        <v>0</v>
      </c>
      <c r="AG199" s="265">
        <v>0</v>
      </c>
      <c r="AH199" s="265">
        <v>0</v>
      </c>
      <c r="AI199" s="265">
        <v>0</v>
      </c>
      <c r="AJ199" s="265">
        <v>0</v>
      </c>
      <c r="AK199" s="265">
        <v>0</v>
      </c>
      <c r="AL199" s="266" t="s">
        <v>573</v>
      </c>
      <c r="AM199" s="265">
        <f t="shared" si="56"/>
        <v>0</v>
      </c>
      <c r="AN199" s="266">
        <v>5200</v>
      </c>
      <c r="AO199" s="265">
        <f t="shared" si="66"/>
        <v>0</v>
      </c>
      <c r="AP199" s="266">
        <v>0</v>
      </c>
      <c r="AQ199" s="265">
        <f t="shared" si="57"/>
        <v>0</v>
      </c>
      <c r="AR199" s="266">
        <v>0</v>
      </c>
      <c r="AS199" s="262">
        <f t="shared" si="58"/>
        <v>0</v>
      </c>
      <c r="AT199" s="266">
        <v>0</v>
      </c>
      <c r="AU199" s="260">
        <f t="shared" si="59"/>
        <v>0</v>
      </c>
      <c r="AV199" s="259">
        <v>0</v>
      </c>
      <c r="AW199" s="260">
        <f t="shared" si="60"/>
        <v>0</v>
      </c>
      <c r="AX199" s="261" t="s">
        <v>573</v>
      </c>
      <c r="AY199" s="260">
        <f t="shared" si="61"/>
        <v>0</v>
      </c>
      <c r="AZ199" s="259" t="s">
        <v>573</v>
      </c>
      <c r="BA199" s="260">
        <f t="shared" si="62"/>
        <v>0</v>
      </c>
      <c r="BB199" s="259">
        <v>5200</v>
      </c>
      <c r="BC199" s="260">
        <f t="shared" si="63"/>
        <v>0</v>
      </c>
      <c r="BD199" s="259" t="s">
        <v>573</v>
      </c>
      <c r="BE199" s="260">
        <f t="shared" si="64"/>
        <v>0</v>
      </c>
      <c r="BF199" s="259">
        <v>5200</v>
      </c>
      <c r="BG199" s="260">
        <f t="shared" si="65"/>
        <v>0</v>
      </c>
      <c r="BH199" s="259" t="s">
        <v>573</v>
      </c>
      <c r="BI199" s="260">
        <f t="shared" si="67"/>
        <v>0</v>
      </c>
      <c r="BJ199" s="58"/>
      <c r="BK199" s="220"/>
      <c r="BL199" s="213" t="s">
        <v>1310</v>
      </c>
      <c r="BM199" s="213" t="s">
        <v>517</v>
      </c>
    </row>
    <row r="200" spans="1:65" ht="15.75" customHeight="1">
      <c r="A200" s="213" t="s">
        <v>1437</v>
      </c>
      <c r="B200" s="58" t="s">
        <v>199</v>
      </c>
      <c r="C200" s="58" t="s">
        <v>752</v>
      </c>
      <c r="D200" s="214" t="s">
        <v>186</v>
      </c>
      <c r="E200" s="214" t="s">
        <v>186</v>
      </c>
      <c r="F200" s="215" t="s">
        <v>186</v>
      </c>
      <c r="G200" s="216">
        <v>2020</v>
      </c>
      <c r="H200" s="218" t="s">
        <v>792</v>
      </c>
      <c r="I200" s="218" t="s">
        <v>201</v>
      </c>
      <c r="J200" s="217" t="s">
        <v>890</v>
      </c>
      <c r="K200" s="213" t="s">
        <v>221</v>
      </c>
      <c r="L200" s="213" t="s">
        <v>192</v>
      </c>
      <c r="M200" s="219" t="s">
        <v>1389</v>
      </c>
      <c r="N200" s="265">
        <v>4.8899999999999997</v>
      </c>
      <c r="O200" s="265">
        <v>4.8899999999999997</v>
      </c>
      <c r="P200" s="265">
        <v>4.8899999999999997</v>
      </c>
      <c r="Q200" s="265">
        <v>4.8899999999999997</v>
      </c>
      <c r="R200" s="265">
        <v>4.8899999999999997</v>
      </c>
      <c r="S200" s="265">
        <v>4.8899999999999997</v>
      </c>
      <c r="T200" s="265">
        <v>4.8899999999999997</v>
      </c>
      <c r="U200" s="265">
        <v>4.8899999999999997</v>
      </c>
      <c r="V200" s="265">
        <v>4.8899999999999997</v>
      </c>
      <c r="W200" s="265">
        <v>4.8899999999999997</v>
      </c>
      <c r="X200" s="265">
        <v>4.8899999999999997</v>
      </c>
      <c r="Y200" s="265">
        <v>4.8899999999999997</v>
      </c>
      <c r="Z200" s="265">
        <v>0</v>
      </c>
      <c r="AA200" s="265">
        <v>0</v>
      </c>
      <c r="AB200" s="265">
        <v>0</v>
      </c>
      <c r="AC200" s="265">
        <v>0</v>
      </c>
      <c r="AD200" s="265">
        <v>0</v>
      </c>
      <c r="AE200" s="265">
        <v>0</v>
      </c>
      <c r="AF200" s="265">
        <v>0</v>
      </c>
      <c r="AG200" s="265">
        <v>0</v>
      </c>
      <c r="AH200" s="265">
        <v>0</v>
      </c>
      <c r="AI200" s="265">
        <v>0</v>
      </c>
      <c r="AJ200" s="265">
        <v>0</v>
      </c>
      <c r="AK200" s="265">
        <v>0</v>
      </c>
      <c r="AL200" s="266" t="s">
        <v>573</v>
      </c>
      <c r="AM200" s="265">
        <f t="shared" si="56"/>
        <v>0</v>
      </c>
      <c r="AN200" s="266" t="s">
        <v>573</v>
      </c>
      <c r="AO200" s="265">
        <f t="shared" si="66"/>
        <v>0</v>
      </c>
      <c r="AP200" s="266">
        <v>0</v>
      </c>
      <c r="AQ200" s="265">
        <f t="shared" si="57"/>
        <v>0</v>
      </c>
      <c r="AR200" s="266">
        <v>0</v>
      </c>
      <c r="AS200" s="262">
        <f t="shared" si="58"/>
        <v>0</v>
      </c>
      <c r="AT200" s="266">
        <v>0</v>
      </c>
      <c r="AU200" s="260">
        <f t="shared" si="59"/>
        <v>0</v>
      </c>
      <c r="AV200" s="259">
        <v>0</v>
      </c>
      <c r="AW200" s="260">
        <f t="shared" si="60"/>
        <v>0</v>
      </c>
      <c r="AX200" s="261" t="s">
        <v>573</v>
      </c>
      <c r="AY200" s="260">
        <f t="shared" si="61"/>
        <v>0</v>
      </c>
      <c r="AZ200" s="259" t="s">
        <v>573</v>
      </c>
      <c r="BA200" s="260">
        <f t="shared" si="62"/>
        <v>0</v>
      </c>
      <c r="BB200" s="259" t="s">
        <v>573</v>
      </c>
      <c r="BC200" s="260">
        <f t="shared" si="63"/>
        <v>0</v>
      </c>
      <c r="BD200" s="259" t="s">
        <v>573</v>
      </c>
      <c r="BE200" s="260">
        <f t="shared" si="64"/>
        <v>0</v>
      </c>
      <c r="BF200" s="259" t="s">
        <v>573</v>
      </c>
      <c r="BG200" s="260">
        <f t="shared" si="65"/>
        <v>0</v>
      </c>
      <c r="BH200" s="259" t="s">
        <v>573</v>
      </c>
      <c r="BI200" s="260">
        <f t="shared" si="67"/>
        <v>0</v>
      </c>
      <c r="BJ200" s="58"/>
      <c r="BK200" s="220"/>
      <c r="BL200" s="213" t="s">
        <v>806</v>
      </c>
      <c r="BM200" s="58" t="s">
        <v>1489</v>
      </c>
    </row>
    <row r="201" spans="1:65" ht="15.75" customHeight="1">
      <c r="A201" s="213" t="s">
        <v>1437</v>
      </c>
      <c r="B201" s="58" t="s">
        <v>199</v>
      </c>
      <c r="C201" s="58" t="s">
        <v>752</v>
      </c>
      <c r="D201" s="214" t="s">
        <v>186</v>
      </c>
      <c r="E201" s="214" t="s">
        <v>186</v>
      </c>
      <c r="F201" s="215" t="s">
        <v>186</v>
      </c>
      <c r="G201" s="216">
        <v>2020</v>
      </c>
      <c r="H201" s="218" t="s">
        <v>792</v>
      </c>
      <c r="I201" s="218" t="s">
        <v>201</v>
      </c>
      <c r="J201" s="217" t="s">
        <v>890</v>
      </c>
      <c r="K201" s="213" t="s">
        <v>221</v>
      </c>
      <c r="L201" s="213" t="s">
        <v>192</v>
      </c>
      <c r="M201" s="219" t="s">
        <v>1388</v>
      </c>
      <c r="N201" s="265">
        <v>5.03</v>
      </c>
      <c r="O201" s="265">
        <v>5.03</v>
      </c>
      <c r="P201" s="265">
        <v>5.03</v>
      </c>
      <c r="Q201" s="265">
        <v>5.03</v>
      </c>
      <c r="R201" s="265">
        <v>5.03</v>
      </c>
      <c r="S201" s="265">
        <v>5.03</v>
      </c>
      <c r="T201" s="265">
        <v>5.03</v>
      </c>
      <c r="U201" s="265">
        <v>5.03</v>
      </c>
      <c r="V201" s="265">
        <v>5.03</v>
      </c>
      <c r="W201" s="265">
        <v>5.03</v>
      </c>
      <c r="X201" s="265">
        <v>5.03</v>
      </c>
      <c r="Y201" s="265">
        <v>5.03</v>
      </c>
      <c r="Z201" s="265">
        <v>0</v>
      </c>
      <c r="AA201" s="265">
        <v>0</v>
      </c>
      <c r="AB201" s="265">
        <v>0</v>
      </c>
      <c r="AC201" s="265">
        <v>0</v>
      </c>
      <c r="AD201" s="265">
        <v>0</v>
      </c>
      <c r="AE201" s="265">
        <v>0</v>
      </c>
      <c r="AF201" s="265">
        <v>0</v>
      </c>
      <c r="AG201" s="265">
        <v>0</v>
      </c>
      <c r="AH201" s="265">
        <v>0</v>
      </c>
      <c r="AI201" s="265">
        <v>0</v>
      </c>
      <c r="AJ201" s="265">
        <v>0</v>
      </c>
      <c r="AK201" s="265">
        <v>0</v>
      </c>
      <c r="AL201" s="266" t="s">
        <v>573</v>
      </c>
      <c r="AM201" s="265">
        <f t="shared" si="56"/>
        <v>0</v>
      </c>
      <c r="AN201" s="266">
        <v>10400</v>
      </c>
      <c r="AO201" s="265">
        <f t="shared" si="66"/>
        <v>0</v>
      </c>
      <c r="AP201" s="266">
        <v>0</v>
      </c>
      <c r="AQ201" s="265">
        <f t="shared" si="57"/>
        <v>0</v>
      </c>
      <c r="AR201" s="266">
        <v>0</v>
      </c>
      <c r="AS201" s="262">
        <f t="shared" si="58"/>
        <v>0</v>
      </c>
      <c r="AT201" s="266">
        <v>5200</v>
      </c>
      <c r="AU201" s="260">
        <f t="shared" si="59"/>
        <v>0</v>
      </c>
      <c r="AV201" s="259">
        <v>5200</v>
      </c>
      <c r="AW201" s="260">
        <f t="shared" si="60"/>
        <v>0</v>
      </c>
      <c r="AX201" s="261" t="s">
        <v>573</v>
      </c>
      <c r="AY201" s="260">
        <f t="shared" si="61"/>
        <v>0</v>
      </c>
      <c r="AZ201" s="259" t="s">
        <v>573</v>
      </c>
      <c r="BA201" s="260">
        <f t="shared" si="62"/>
        <v>0</v>
      </c>
      <c r="BB201" s="259">
        <v>5200</v>
      </c>
      <c r="BC201" s="260">
        <f t="shared" si="63"/>
        <v>0</v>
      </c>
      <c r="BD201" s="259">
        <v>10400</v>
      </c>
      <c r="BE201" s="260">
        <f t="shared" si="64"/>
        <v>0</v>
      </c>
      <c r="BF201" s="259" t="s">
        <v>573</v>
      </c>
      <c r="BG201" s="260">
        <f t="shared" si="65"/>
        <v>0</v>
      </c>
      <c r="BH201" s="259" t="s">
        <v>573</v>
      </c>
      <c r="BI201" s="260">
        <f t="shared" si="67"/>
        <v>0</v>
      </c>
      <c r="BJ201" s="58"/>
      <c r="BK201" s="220"/>
      <c r="BL201" s="213" t="s">
        <v>1310</v>
      </c>
      <c r="BM201" s="58" t="s">
        <v>515</v>
      </c>
    </row>
    <row r="202" spans="1:65" ht="15.75" customHeight="1">
      <c r="A202" s="213" t="s">
        <v>1437</v>
      </c>
      <c r="B202" s="58" t="s">
        <v>199</v>
      </c>
      <c r="C202" s="58" t="s">
        <v>752</v>
      </c>
      <c r="D202" s="214" t="s">
        <v>186</v>
      </c>
      <c r="E202" s="214" t="s">
        <v>186</v>
      </c>
      <c r="F202" s="215" t="s">
        <v>186</v>
      </c>
      <c r="G202" s="216">
        <v>2020</v>
      </c>
      <c r="H202" s="218" t="s">
        <v>792</v>
      </c>
      <c r="I202" s="218" t="s">
        <v>201</v>
      </c>
      <c r="J202" s="217" t="s">
        <v>890</v>
      </c>
      <c r="K202" s="213" t="s">
        <v>221</v>
      </c>
      <c r="L202" s="213" t="s">
        <v>192</v>
      </c>
      <c r="M202" s="219" t="s">
        <v>1388</v>
      </c>
      <c r="N202" s="265">
        <v>4.99</v>
      </c>
      <c r="O202" s="265">
        <v>4.99</v>
      </c>
      <c r="P202" s="265">
        <v>4.99</v>
      </c>
      <c r="Q202" s="265">
        <v>4.99</v>
      </c>
      <c r="R202" s="265">
        <v>4.99</v>
      </c>
      <c r="S202" s="265">
        <v>4.99</v>
      </c>
      <c r="T202" s="265">
        <v>4.99</v>
      </c>
      <c r="U202" s="265">
        <v>4.99</v>
      </c>
      <c r="V202" s="265">
        <v>4.99</v>
      </c>
      <c r="W202" s="265">
        <v>4.99</v>
      </c>
      <c r="X202" s="265">
        <v>4.99</v>
      </c>
      <c r="Y202" s="265">
        <v>4.99</v>
      </c>
      <c r="Z202" s="265">
        <v>0</v>
      </c>
      <c r="AA202" s="265">
        <v>0</v>
      </c>
      <c r="AB202" s="265">
        <v>0</v>
      </c>
      <c r="AC202" s="265">
        <v>0</v>
      </c>
      <c r="AD202" s="265">
        <v>0</v>
      </c>
      <c r="AE202" s="265">
        <v>0</v>
      </c>
      <c r="AF202" s="265">
        <v>0</v>
      </c>
      <c r="AG202" s="265">
        <v>0</v>
      </c>
      <c r="AH202" s="265">
        <v>0</v>
      </c>
      <c r="AI202" s="265">
        <v>0</v>
      </c>
      <c r="AJ202" s="265">
        <v>0</v>
      </c>
      <c r="AK202" s="265">
        <v>0</v>
      </c>
      <c r="AL202" s="266" t="s">
        <v>573</v>
      </c>
      <c r="AM202" s="265">
        <f t="shared" si="56"/>
        <v>0</v>
      </c>
      <c r="AN202" s="266" t="s">
        <v>573</v>
      </c>
      <c r="AO202" s="265">
        <f t="shared" si="66"/>
        <v>0</v>
      </c>
      <c r="AP202" s="266">
        <v>5200</v>
      </c>
      <c r="AQ202" s="265">
        <f t="shared" si="57"/>
        <v>0</v>
      </c>
      <c r="AR202" s="266">
        <v>0</v>
      </c>
      <c r="AS202" s="262">
        <f t="shared" si="58"/>
        <v>0</v>
      </c>
      <c r="AT202" s="266">
        <v>5200</v>
      </c>
      <c r="AU202" s="260">
        <f t="shared" si="59"/>
        <v>0</v>
      </c>
      <c r="AV202" s="259">
        <v>0</v>
      </c>
      <c r="AW202" s="260">
        <f t="shared" si="60"/>
        <v>0</v>
      </c>
      <c r="AX202" s="261" t="s">
        <v>573</v>
      </c>
      <c r="AY202" s="260">
        <f t="shared" si="61"/>
        <v>0</v>
      </c>
      <c r="AZ202" s="259">
        <v>5200</v>
      </c>
      <c r="BA202" s="260">
        <f t="shared" si="62"/>
        <v>0</v>
      </c>
      <c r="BB202" s="259">
        <v>10400</v>
      </c>
      <c r="BC202" s="260">
        <f t="shared" si="63"/>
        <v>0</v>
      </c>
      <c r="BD202" s="259" t="s">
        <v>573</v>
      </c>
      <c r="BE202" s="260">
        <f t="shared" si="64"/>
        <v>0</v>
      </c>
      <c r="BF202" s="259">
        <v>5200</v>
      </c>
      <c r="BG202" s="260">
        <f t="shared" si="65"/>
        <v>0</v>
      </c>
      <c r="BH202" s="259" t="s">
        <v>573</v>
      </c>
      <c r="BI202" s="260">
        <f t="shared" si="67"/>
        <v>0</v>
      </c>
      <c r="BJ202" s="58"/>
      <c r="BK202" s="220"/>
      <c r="BL202" s="213" t="s">
        <v>197</v>
      </c>
      <c r="BM202" s="58" t="s">
        <v>514</v>
      </c>
    </row>
    <row r="203" spans="1:65" ht="15.75" customHeight="1">
      <c r="A203" s="213" t="s">
        <v>1437</v>
      </c>
      <c r="B203" s="58" t="s">
        <v>199</v>
      </c>
      <c r="C203" s="58" t="s">
        <v>752</v>
      </c>
      <c r="D203" s="214" t="s">
        <v>186</v>
      </c>
      <c r="E203" s="214" t="s">
        <v>186</v>
      </c>
      <c r="F203" s="215" t="s">
        <v>186</v>
      </c>
      <c r="G203" s="216">
        <v>2022</v>
      </c>
      <c r="H203" s="218" t="s">
        <v>793</v>
      </c>
      <c r="I203" s="218" t="s">
        <v>212</v>
      </c>
      <c r="J203" s="217" t="s">
        <v>890</v>
      </c>
      <c r="K203" s="213" t="s">
        <v>221</v>
      </c>
      <c r="L203" s="213" t="s">
        <v>192</v>
      </c>
      <c r="M203" s="219" t="s">
        <v>1388</v>
      </c>
      <c r="N203" s="265">
        <v>3.75</v>
      </c>
      <c r="O203" s="265">
        <v>3.75</v>
      </c>
      <c r="P203" s="265">
        <v>3.75</v>
      </c>
      <c r="Q203" s="265">
        <v>3.75</v>
      </c>
      <c r="R203" s="265">
        <v>3.75</v>
      </c>
      <c r="S203" s="265">
        <v>3.75</v>
      </c>
      <c r="T203" s="265">
        <v>3.75</v>
      </c>
      <c r="U203" s="265">
        <v>3.75</v>
      </c>
      <c r="V203" s="265">
        <v>3.75</v>
      </c>
      <c r="W203" s="265">
        <v>3.75</v>
      </c>
      <c r="X203" s="265">
        <v>3.75</v>
      </c>
      <c r="Y203" s="265">
        <v>3.75</v>
      </c>
      <c r="Z203" s="265">
        <v>0.21</v>
      </c>
      <c r="AA203" s="265">
        <v>0.21</v>
      </c>
      <c r="AB203" s="265">
        <v>0.21</v>
      </c>
      <c r="AC203" s="265">
        <v>0.21</v>
      </c>
      <c r="AD203" s="265">
        <v>0.21</v>
      </c>
      <c r="AE203" s="265">
        <v>0.21</v>
      </c>
      <c r="AF203" s="265">
        <v>0.21</v>
      </c>
      <c r="AG203" s="265">
        <v>0.21</v>
      </c>
      <c r="AH203" s="265">
        <v>0.21</v>
      </c>
      <c r="AI203" s="265">
        <v>0.21</v>
      </c>
      <c r="AJ203" s="265">
        <v>0.21</v>
      </c>
      <c r="AK203" s="265">
        <v>0.21</v>
      </c>
      <c r="AL203" s="266" t="s">
        <v>573</v>
      </c>
      <c r="AM203" s="265">
        <f t="shared" si="56"/>
        <v>0</v>
      </c>
      <c r="AN203" s="266">
        <v>5600</v>
      </c>
      <c r="AO203" s="265">
        <f t="shared" si="66"/>
        <v>1176</v>
      </c>
      <c r="AP203" s="266">
        <v>0</v>
      </c>
      <c r="AQ203" s="265">
        <f t="shared" si="57"/>
        <v>0</v>
      </c>
      <c r="AR203" s="266">
        <v>5600</v>
      </c>
      <c r="AS203" s="262">
        <f t="shared" si="58"/>
        <v>1176</v>
      </c>
      <c r="AT203" s="266">
        <v>5600</v>
      </c>
      <c r="AU203" s="260">
        <f t="shared" si="59"/>
        <v>1176</v>
      </c>
      <c r="AV203" s="259">
        <v>5600</v>
      </c>
      <c r="AW203" s="260">
        <f t="shared" si="60"/>
        <v>1176</v>
      </c>
      <c r="AX203" s="261" t="s">
        <v>573</v>
      </c>
      <c r="AY203" s="260">
        <f t="shared" si="61"/>
        <v>0</v>
      </c>
      <c r="AZ203" s="259">
        <v>5600</v>
      </c>
      <c r="BA203" s="260">
        <f t="shared" si="62"/>
        <v>1176</v>
      </c>
      <c r="BB203" s="259">
        <v>5600</v>
      </c>
      <c r="BC203" s="260">
        <f t="shared" si="63"/>
        <v>1176</v>
      </c>
      <c r="BD203" s="259" t="s">
        <v>573</v>
      </c>
      <c r="BE203" s="260">
        <f t="shared" si="64"/>
        <v>0</v>
      </c>
      <c r="BF203" s="259">
        <v>5600</v>
      </c>
      <c r="BG203" s="260">
        <f t="shared" si="65"/>
        <v>1176</v>
      </c>
      <c r="BH203" s="259" t="s">
        <v>573</v>
      </c>
      <c r="BI203" s="260">
        <f t="shared" si="67"/>
        <v>0</v>
      </c>
      <c r="BJ203" s="58"/>
      <c r="BK203" s="220"/>
      <c r="BL203" s="213" t="s">
        <v>754</v>
      </c>
      <c r="BM203" s="58" t="s">
        <v>586</v>
      </c>
    </row>
    <row r="204" spans="1:65" ht="15.75" customHeight="1">
      <c r="A204" s="213" t="s">
        <v>1437</v>
      </c>
      <c r="B204" s="58" t="s">
        <v>199</v>
      </c>
      <c r="C204" s="58" t="s">
        <v>752</v>
      </c>
      <c r="D204" s="214" t="s">
        <v>186</v>
      </c>
      <c r="E204" s="214" t="s">
        <v>186</v>
      </c>
      <c r="F204" s="215" t="s">
        <v>186</v>
      </c>
      <c r="G204" s="216">
        <v>2022</v>
      </c>
      <c r="H204" s="218" t="s">
        <v>793</v>
      </c>
      <c r="I204" s="218" t="s">
        <v>212</v>
      </c>
      <c r="J204" s="217" t="s">
        <v>890</v>
      </c>
      <c r="K204" s="213" t="s">
        <v>221</v>
      </c>
      <c r="L204" s="213" t="s">
        <v>192</v>
      </c>
      <c r="M204" s="219" t="s">
        <v>1397</v>
      </c>
      <c r="N204" s="265">
        <v>3.69</v>
      </c>
      <c r="O204" s="265">
        <v>3.69</v>
      </c>
      <c r="P204" s="265">
        <v>3.69</v>
      </c>
      <c r="Q204" s="265">
        <v>3.69</v>
      </c>
      <c r="R204" s="265">
        <v>3.69</v>
      </c>
      <c r="S204" s="265">
        <v>3.69</v>
      </c>
      <c r="T204" s="265">
        <v>3.69</v>
      </c>
      <c r="U204" s="265">
        <v>3.69</v>
      </c>
      <c r="V204" s="265">
        <v>3.69</v>
      </c>
      <c r="W204" s="265">
        <v>3.69</v>
      </c>
      <c r="X204" s="265">
        <v>3.69</v>
      </c>
      <c r="Y204" s="265">
        <v>3.69</v>
      </c>
      <c r="Z204" s="265">
        <v>0.21</v>
      </c>
      <c r="AA204" s="265">
        <v>0.21</v>
      </c>
      <c r="AB204" s="265">
        <v>0.21</v>
      </c>
      <c r="AC204" s="265">
        <v>0.21</v>
      </c>
      <c r="AD204" s="265">
        <v>0.21</v>
      </c>
      <c r="AE204" s="265">
        <v>0.21</v>
      </c>
      <c r="AF204" s="265">
        <v>0.21</v>
      </c>
      <c r="AG204" s="265">
        <v>0.21</v>
      </c>
      <c r="AH204" s="265">
        <v>0.21</v>
      </c>
      <c r="AI204" s="265">
        <v>0.21</v>
      </c>
      <c r="AJ204" s="265">
        <v>0.21</v>
      </c>
      <c r="AK204" s="265">
        <v>0.21</v>
      </c>
      <c r="AL204" s="266" t="s">
        <v>573</v>
      </c>
      <c r="AM204" s="265">
        <f t="shared" si="56"/>
        <v>0</v>
      </c>
      <c r="AN204" s="266" t="s">
        <v>573</v>
      </c>
      <c r="AO204" s="265">
        <f t="shared" si="66"/>
        <v>0</v>
      </c>
      <c r="AP204" s="266">
        <v>0</v>
      </c>
      <c r="AQ204" s="265">
        <f t="shared" si="57"/>
        <v>0</v>
      </c>
      <c r="AR204" s="266">
        <v>0</v>
      </c>
      <c r="AS204" s="262">
        <f t="shared" si="58"/>
        <v>0</v>
      </c>
      <c r="AT204" s="266">
        <v>0</v>
      </c>
      <c r="AU204" s="260">
        <f t="shared" si="59"/>
        <v>0</v>
      </c>
      <c r="AV204" s="259">
        <v>0</v>
      </c>
      <c r="AW204" s="260">
        <f t="shared" si="60"/>
        <v>0</v>
      </c>
      <c r="AX204" s="261" t="s">
        <v>573</v>
      </c>
      <c r="AY204" s="260">
        <f t="shared" si="61"/>
        <v>0</v>
      </c>
      <c r="AZ204" s="259" t="s">
        <v>573</v>
      </c>
      <c r="BA204" s="260">
        <f t="shared" si="62"/>
        <v>0</v>
      </c>
      <c r="BB204" s="259" t="s">
        <v>573</v>
      </c>
      <c r="BC204" s="260">
        <f t="shared" si="63"/>
        <v>0</v>
      </c>
      <c r="BD204" s="259" t="s">
        <v>573</v>
      </c>
      <c r="BE204" s="260">
        <f t="shared" si="64"/>
        <v>0</v>
      </c>
      <c r="BF204" s="259" t="s">
        <v>573</v>
      </c>
      <c r="BG204" s="260">
        <f t="shared" si="65"/>
        <v>0</v>
      </c>
      <c r="BH204" s="259" t="s">
        <v>573</v>
      </c>
      <c r="BI204" s="260">
        <f t="shared" si="67"/>
        <v>0</v>
      </c>
      <c r="BJ204" s="58"/>
      <c r="BK204" s="220"/>
      <c r="BL204" s="213" t="s">
        <v>754</v>
      </c>
      <c r="BM204" s="58" t="s">
        <v>585</v>
      </c>
    </row>
    <row r="205" spans="1:65" ht="15.75" customHeight="1">
      <c r="A205" s="213" t="s">
        <v>1437</v>
      </c>
      <c r="B205" s="58" t="s">
        <v>199</v>
      </c>
      <c r="C205" s="58" t="s">
        <v>752</v>
      </c>
      <c r="D205" s="214" t="s">
        <v>186</v>
      </c>
      <c r="E205" s="214" t="s">
        <v>186</v>
      </c>
      <c r="F205" s="215" t="s">
        <v>186</v>
      </c>
      <c r="G205" s="216">
        <v>2022</v>
      </c>
      <c r="H205" s="218" t="s">
        <v>793</v>
      </c>
      <c r="I205" s="218" t="s">
        <v>212</v>
      </c>
      <c r="J205" s="217" t="s">
        <v>890</v>
      </c>
      <c r="K205" s="213" t="s">
        <v>221</v>
      </c>
      <c r="L205" s="213" t="s">
        <v>192</v>
      </c>
      <c r="M205" s="219" t="s">
        <v>1388</v>
      </c>
      <c r="N205" s="265">
        <v>3.79</v>
      </c>
      <c r="O205" s="265">
        <v>3.79</v>
      </c>
      <c r="P205" s="265">
        <v>3.79</v>
      </c>
      <c r="Q205" s="265">
        <v>3.79</v>
      </c>
      <c r="R205" s="265">
        <v>3.79</v>
      </c>
      <c r="S205" s="265">
        <v>3.79</v>
      </c>
      <c r="T205" s="265">
        <v>3.79</v>
      </c>
      <c r="U205" s="265">
        <v>3.79</v>
      </c>
      <c r="V205" s="265">
        <v>3.79</v>
      </c>
      <c r="W205" s="265">
        <v>3.79</v>
      </c>
      <c r="X205" s="265">
        <v>3.79</v>
      </c>
      <c r="Y205" s="265">
        <v>3.79</v>
      </c>
      <c r="Z205" s="265">
        <v>0.21</v>
      </c>
      <c r="AA205" s="265">
        <v>0.21</v>
      </c>
      <c r="AB205" s="265">
        <v>0.21</v>
      </c>
      <c r="AC205" s="265">
        <v>0.21</v>
      </c>
      <c r="AD205" s="265">
        <v>0.21</v>
      </c>
      <c r="AE205" s="265">
        <v>0.21</v>
      </c>
      <c r="AF205" s="265">
        <v>0.21</v>
      </c>
      <c r="AG205" s="265">
        <v>0.21</v>
      </c>
      <c r="AH205" s="265">
        <v>0.21</v>
      </c>
      <c r="AI205" s="265">
        <v>0.21</v>
      </c>
      <c r="AJ205" s="265">
        <v>0.21</v>
      </c>
      <c r="AK205" s="265">
        <v>0.21</v>
      </c>
      <c r="AL205" s="266">
        <v>5600</v>
      </c>
      <c r="AM205" s="265">
        <f t="shared" si="56"/>
        <v>1176</v>
      </c>
      <c r="AN205" s="266" t="s">
        <v>573</v>
      </c>
      <c r="AO205" s="265">
        <f t="shared" si="66"/>
        <v>0</v>
      </c>
      <c r="AP205" s="266">
        <v>5600</v>
      </c>
      <c r="AQ205" s="265">
        <f t="shared" si="57"/>
        <v>1176</v>
      </c>
      <c r="AR205" s="266">
        <v>0</v>
      </c>
      <c r="AS205" s="262">
        <f t="shared" si="58"/>
        <v>0</v>
      </c>
      <c r="AT205" s="266">
        <v>0</v>
      </c>
      <c r="AU205" s="260">
        <f t="shared" si="59"/>
        <v>0</v>
      </c>
      <c r="AV205" s="259">
        <v>5600</v>
      </c>
      <c r="AW205" s="260">
        <f t="shared" si="60"/>
        <v>1176</v>
      </c>
      <c r="AX205" s="261" t="s">
        <v>573</v>
      </c>
      <c r="AY205" s="260">
        <f t="shared" si="61"/>
        <v>0</v>
      </c>
      <c r="AZ205" s="259">
        <v>5600</v>
      </c>
      <c r="BA205" s="260">
        <f t="shared" si="62"/>
        <v>1176</v>
      </c>
      <c r="BB205" s="259">
        <v>5600</v>
      </c>
      <c r="BC205" s="260">
        <f t="shared" si="63"/>
        <v>1176</v>
      </c>
      <c r="BD205" s="259">
        <v>5600</v>
      </c>
      <c r="BE205" s="260">
        <f t="shared" si="64"/>
        <v>1176</v>
      </c>
      <c r="BF205" s="259" t="s">
        <v>573</v>
      </c>
      <c r="BG205" s="260">
        <f t="shared" si="65"/>
        <v>0</v>
      </c>
      <c r="BH205" s="259">
        <v>5600</v>
      </c>
      <c r="BI205" s="260">
        <f t="shared" si="67"/>
        <v>1176</v>
      </c>
      <c r="BJ205" s="58"/>
      <c r="BK205" s="220"/>
      <c r="BL205" s="213" t="s">
        <v>1310</v>
      </c>
      <c r="BM205" s="58" t="s">
        <v>583</v>
      </c>
    </row>
    <row r="206" spans="1:65" ht="15.75" customHeight="1">
      <c r="A206" s="213" t="s">
        <v>1437</v>
      </c>
      <c r="B206" s="58" t="s">
        <v>199</v>
      </c>
      <c r="C206" s="58" t="s">
        <v>752</v>
      </c>
      <c r="D206" s="214" t="s">
        <v>186</v>
      </c>
      <c r="E206" s="214" t="s">
        <v>186</v>
      </c>
      <c r="F206" s="215" t="s">
        <v>186</v>
      </c>
      <c r="G206" s="216">
        <v>2022</v>
      </c>
      <c r="H206" s="218" t="s">
        <v>793</v>
      </c>
      <c r="I206" s="218" t="s">
        <v>212</v>
      </c>
      <c r="J206" s="217" t="s">
        <v>890</v>
      </c>
      <c r="K206" s="213" t="s">
        <v>221</v>
      </c>
      <c r="L206" s="213" t="s">
        <v>192</v>
      </c>
      <c r="M206" s="219" t="s">
        <v>1388</v>
      </c>
      <c r="N206" s="265">
        <v>3.77</v>
      </c>
      <c r="O206" s="265">
        <v>3.77</v>
      </c>
      <c r="P206" s="265">
        <v>3.77</v>
      </c>
      <c r="Q206" s="265">
        <v>3.77</v>
      </c>
      <c r="R206" s="265">
        <v>3.77</v>
      </c>
      <c r="S206" s="265">
        <v>3.77</v>
      </c>
      <c r="T206" s="265">
        <v>3.77</v>
      </c>
      <c r="U206" s="265">
        <v>3.77</v>
      </c>
      <c r="V206" s="265">
        <v>3.77</v>
      </c>
      <c r="W206" s="265">
        <v>3.77</v>
      </c>
      <c r="X206" s="265">
        <v>3.77</v>
      </c>
      <c r="Y206" s="265">
        <v>3.77</v>
      </c>
      <c r="Z206" s="265">
        <v>0.21</v>
      </c>
      <c r="AA206" s="265">
        <v>0.21</v>
      </c>
      <c r="AB206" s="265">
        <v>0.21</v>
      </c>
      <c r="AC206" s="265">
        <v>0.21</v>
      </c>
      <c r="AD206" s="265">
        <v>0.21</v>
      </c>
      <c r="AE206" s="265">
        <v>0.21</v>
      </c>
      <c r="AF206" s="265">
        <v>0.21</v>
      </c>
      <c r="AG206" s="265">
        <v>0.21</v>
      </c>
      <c r="AH206" s="265">
        <v>0.21</v>
      </c>
      <c r="AI206" s="265">
        <v>0.21</v>
      </c>
      <c r="AJ206" s="265">
        <v>0.21</v>
      </c>
      <c r="AK206" s="265">
        <v>0.21</v>
      </c>
      <c r="AL206" s="266" t="s">
        <v>573</v>
      </c>
      <c r="AM206" s="265">
        <f t="shared" si="56"/>
        <v>0</v>
      </c>
      <c r="AN206" s="266">
        <v>5600</v>
      </c>
      <c r="AO206" s="265">
        <f t="shared" si="66"/>
        <v>1176</v>
      </c>
      <c r="AP206" s="266">
        <v>0</v>
      </c>
      <c r="AQ206" s="265">
        <f t="shared" si="57"/>
        <v>0</v>
      </c>
      <c r="AR206" s="266">
        <v>11200</v>
      </c>
      <c r="AS206" s="262">
        <f t="shared" si="58"/>
        <v>2352</v>
      </c>
      <c r="AT206" s="266">
        <v>0</v>
      </c>
      <c r="AU206" s="260">
        <f t="shared" si="59"/>
        <v>0</v>
      </c>
      <c r="AV206" s="259">
        <v>5600</v>
      </c>
      <c r="AW206" s="260">
        <f t="shared" si="60"/>
        <v>1176</v>
      </c>
      <c r="AX206" s="261" t="s">
        <v>573</v>
      </c>
      <c r="AY206" s="260">
        <f t="shared" si="61"/>
        <v>0</v>
      </c>
      <c r="AZ206" s="259">
        <v>11200</v>
      </c>
      <c r="BA206" s="260">
        <f t="shared" si="62"/>
        <v>2352</v>
      </c>
      <c r="BB206" s="259">
        <v>11200</v>
      </c>
      <c r="BC206" s="260">
        <f t="shared" si="63"/>
        <v>2352</v>
      </c>
      <c r="BD206" s="259" t="s">
        <v>573</v>
      </c>
      <c r="BE206" s="260">
        <f t="shared" si="64"/>
        <v>0</v>
      </c>
      <c r="BF206" s="259">
        <v>5600</v>
      </c>
      <c r="BG206" s="260">
        <f t="shared" si="65"/>
        <v>1176</v>
      </c>
      <c r="BH206" s="259" t="s">
        <v>573</v>
      </c>
      <c r="BI206" s="260">
        <f t="shared" si="67"/>
        <v>0</v>
      </c>
      <c r="BJ206" s="58"/>
      <c r="BK206" s="220"/>
      <c r="BL206" s="213" t="s">
        <v>197</v>
      </c>
      <c r="BM206" s="58" t="s">
        <v>582</v>
      </c>
    </row>
    <row r="207" spans="1:65" ht="15.75" customHeight="1">
      <c r="A207" s="213" t="s">
        <v>1437</v>
      </c>
      <c r="B207" s="58" t="s">
        <v>199</v>
      </c>
      <c r="C207" s="58" t="s">
        <v>752</v>
      </c>
      <c r="D207" s="214" t="s">
        <v>186</v>
      </c>
      <c r="E207" s="214" t="s">
        <v>186</v>
      </c>
      <c r="F207" s="215" t="s">
        <v>186</v>
      </c>
      <c r="G207" s="216">
        <v>2023</v>
      </c>
      <c r="H207" s="218" t="s">
        <v>1320</v>
      </c>
      <c r="I207" s="218" t="s">
        <v>212</v>
      </c>
      <c r="J207" s="217" t="s">
        <v>890</v>
      </c>
      <c r="K207" s="213" t="s">
        <v>221</v>
      </c>
      <c r="L207" s="213" t="s">
        <v>192</v>
      </c>
      <c r="M207" s="219" t="s">
        <v>1388</v>
      </c>
      <c r="N207" s="265">
        <v>6.35</v>
      </c>
      <c r="O207" s="265">
        <v>6.35</v>
      </c>
      <c r="P207" s="265">
        <v>6.35</v>
      </c>
      <c r="Q207" s="265">
        <v>6.35</v>
      </c>
      <c r="R207" s="265">
        <v>6.35</v>
      </c>
      <c r="S207" s="265">
        <v>6.35</v>
      </c>
      <c r="T207" s="265">
        <v>6.35</v>
      </c>
      <c r="U207" s="265">
        <v>6.35</v>
      </c>
      <c r="V207" s="265">
        <v>6.35</v>
      </c>
      <c r="W207" s="265">
        <v>6.35</v>
      </c>
      <c r="X207" s="265">
        <v>6.35</v>
      </c>
      <c r="Y207" s="265">
        <v>6.35</v>
      </c>
      <c r="Z207" s="265">
        <v>0.06</v>
      </c>
      <c r="AA207" s="265">
        <v>0.06</v>
      </c>
      <c r="AB207" s="265">
        <v>0.06</v>
      </c>
      <c r="AC207" s="265">
        <v>0.06</v>
      </c>
      <c r="AD207" s="265">
        <v>0.06</v>
      </c>
      <c r="AE207" s="265">
        <v>0.06</v>
      </c>
      <c r="AF207" s="265">
        <v>0.06</v>
      </c>
      <c r="AG207" s="265">
        <v>0.06</v>
      </c>
      <c r="AH207" s="265">
        <v>0.06</v>
      </c>
      <c r="AI207" s="265">
        <v>0.06</v>
      </c>
      <c r="AJ207" s="265">
        <v>0.06</v>
      </c>
      <c r="AK207" s="265">
        <v>0.06</v>
      </c>
      <c r="AL207" s="266" t="s">
        <v>573</v>
      </c>
      <c r="AM207" s="265">
        <f t="shared" ref="AM207:AM270" si="68">Z207*AL207</f>
        <v>0</v>
      </c>
      <c r="AN207" s="266">
        <v>5400</v>
      </c>
      <c r="AO207" s="265">
        <f t="shared" si="66"/>
        <v>324</v>
      </c>
      <c r="AP207" s="266">
        <v>0</v>
      </c>
      <c r="AQ207" s="265">
        <f t="shared" ref="AQ207:AQ270" si="69">AP207*AB207</f>
        <v>0</v>
      </c>
      <c r="AR207" s="266">
        <v>0</v>
      </c>
      <c r="AS207" s="262">
        <f t="shared" ref="AS207:AS270" si="70">AR207*AC207</f>
        <v>0</v>
      </c>
      <c r="AT207" s="266">
        <v>5400</v>
      </c>
      <c r="AU207" s="260">
        <f t="shared" ref="AU207:AU270" si="71">AT207*AD207</f>
        <v>324</v>
      </c>
      <c r="AV207" s="259">
        <v>0</v>
      </c>
      <c r="AW207" s="260">
        <f t="shared" ref="AW207:AW270" si="72">AV207*AE207</f>
        <v>0</v>
      </c>
      <c r="AX207" s="261" t="s">
        <v>573</v>
      </c>
      <c r="AY207" s="260">
        <f t="shared" ref="AY207:AY270" si="73">AX207*AF207</f>
        <v>0</v>
      </c>
      <c r="AZ207" s="259" t="s">
        <v>573</v>
      </c>
      <c r="BA207" s="260">
        <f t="shared" ref="BA207:BA270" si="74">AZ207*AG207</f>
        <v>0</v>
      </c>
      <c r="BB207" s="259" t="s">
        <v>573</v>
      </c>
      <c r="BC207" s="260">
        <f t="shared" ref="BC207:BC270" si="75">BB207*AH207</f>
        <v>0</v>
      </c>
      <c r="BD207" s="259">
        <v>5400</v>
      </c>
      <c r="BE207" s="260">
        <f t="shared" ref="BE207:BE270" si="76">BD207*AI207</f>
        <v>324</v>
      </c>
      <c r="BF207" s="259" t="s">
        <v>573</v>
      </c>
      <c r="BG207" s="260">
        <f t="shared" ref="BG207:BG270" si="77">BF207*AJ207</f>
        <v>0</v>
      </c>
      <c r="BH207" s="259" t="s">
        <v>573</v>
      </c>
      <c r="BI207" s="260">
        <f t="shared" si="67"/>
        <v>0</v>
      </c>
      <c r="BJ207" s="58"/>
      <c r="BK207" s="220"/>
      <c r="BL207" s="213" t="s">
        <v>197</v>
      </c>
      <c r="BM207" s="58" t="s">
        <v>627</v>
      </c>
    </row>
    <row r="208" spans="1:65" ht="15.75" customHeight="1">
      <c r="A208" s="213" t="s">
        <v>1437</v>
      </c>
      <c r="B208" s="58" t="s">
        <v>199</v>
      </c>
      <c r="C208" s="58" t="s">
        <v>752</v>
      </c>
      <c r="D208" s="214" t="s">
        <v>186</v>
      </c>
      <c r="E208" s="214" t="s">
        <v>186</v>
      </c>
      <c r="F208" s="215" t="s">
        <v>186</v>
      </c>
      <c r="G208" s="216">
        <v>2023</v>
      </c>
      <c r="H208" s="218" t="s">
        <v>1320</v>
      </c>
      <c r="I208" s="218" t="s">
        <v>212</v>
      </c>
      <c r="J208" s="217" t="s">
        <v>890</v>
      </c>
      <c r="K208" s="213" t="s">
        <v>221</v>
      </c>
      <c r="L208" s="213" t="s">
        <v>192</v>
      </c>
      <c r="M208" s="219" t="s">
        <v>1390</v>
      </c>
      <c r="N208" s="265">
        <v>6.6</v>
      </c>
      <c r="O208" s="265">
        <v>6.6</v>
      </c>
      <c r="P208" s="265">
        <v>6.6</v>
      </c>
      <c r="Q208" s="265">
        <v>6.6</v>
      </c>
      <c r="R208" s="265">
        <v>6.6</v>
      </c>
      <c r="S208" s="265">
        <v>6.6</v>
      </c>
      <c r="T208" s="265">
        <v>6.6</v>
      </c>
      <c r="U208" s="265">
        <v>6.6</v>
      </c>
      <c r="V208" s="265">
        <v>6.6</v>
      </c>
      <c r="W208" s="265">
        <v>6.6</v>
      </c>
      <c r="X208" s="265">
        <v>6.6</v>
      </c>
      <c r="Y208" s="265">
        <v>6.6</v>
      </c>
      <c r="Z208" s="265">
        <v>0.06</v>
      </c>
      <c r="AA208" s="265">
        <v>0.06</v>
      </c>
      <c r="AB208" s="265">
        <v>0.06</v>
      </c>
      <c r="AC208" s="265">
        <v>0.06</v>
      </c>
      <c r="AD208" s="265">
        <v>0.06</v>
      </c>
      <c r="AE208" s="265">
        <v>0.06</v>
      </c>
      <c r="AF208" s="265">
        <v>0.06</v>
      </c>
      <c r="AG208" s="265">
        <v>0.06</v>
      </c>
      <c r="AH208" s="265">
        <v>0.06</v>
      </c>
      <c r="AI208" s="265">
        <v>0.06</v>
      </c>
      <c r="AJ208" s="265">
        <v>0.06</v>
      </c>
      <c r="AK208" s="265">
        <v>0.06</v>
      </c>
      <c r="AL208" s="266" t="s">
        <v>573</v>
      </c>
      <c r="AM208" s="265">
        <f t="shared" si="68"/>
        <v>0</v>
      </c>
      <c r="AN208" s="266">
        <v>2700</v>
      </c>
      <c r="AO208" s="265">
        <f t="shared" si="66"/>
        <v>162</v>
      </c>
      <c r="AP208" s="266">
        <v>8100</v>
      </c>
      <c r="AQ208" s="265">
        <f t="shared" si="69"/>
        <v>486</v>
      </c>
      <c r="AR208" s="266">
        <v>0</v>
      </c>
      <c r="AS208" s="262">
        <f t="shared" si="70"/>
        <v>0</v>
      </c>
      <c r="AT208" s="266">
        <v>2700</v>
      </c>
      <c r="AU208" s="260">
        <f t="shared" si="71"/>
        <v>162</v>
      </c>
      <c r="AV208" s="259">
        <v>0</v>
      </c>
      <c r="AW208" s="260">
        <f t="shared" si="72"/>
        <v>0</v>
      </c>
      <c r="AX208" s="261">
        <v>2700</v>
      </c>
      <c r="AY208" s="260">
        <f t="shared" si="73"/>
        <v>162</v>
      </c>
      <c r="AZ208" s="259">
        <v>4900</v>
      </c>
      <c r="BA208" s="260">
        <f t="shared" si="74"/>
        <v>294</v>
      </c>
      <c r="BB208" s="259">
        <v>500</v>
      </c>
      <c r="BC208" s="260">
        <f t="shared" si="75"/>
        <v>30</v>
      </c>
      <c r="BD208" s="259">
        <v>5400</v>
      </c>
      <c r="BE208" s="260">
        <f t="shared" si="76"/>
        <v>324</v>
      </c>
      <c r="BF208" s="259">
        <v>5400</v>
      </c>
      <c r="BG208" s="260">
        <f t="shared" si="77"/>
        <v>324</v>
      </c>
      <c r="BH208" s="259">
        <v>2700</v>
      </c>
      <c r="BI208" s="260">
        <f t="shared" si="67"/>
        <v>162</v>
      </c>
      <c r="BJ208" s="58"/>
      <c r="BK208" s="220"/>
      <c r="BL208" s="213" t="s">
        <v>763</v>
      </c>
      <c r="BM208" s="58" t="s">
        <v>629</v>
      </c>
    </row>
    <row r="209" spans="1:65" ht="15.75" customHeight="1">
      <c r="A209" s="213" t="s">
        <v>1437</v>
      </c>
      <c r="B209" s="58" t="s">
        <v>199</v>
      </c>
      <c r="C209" s="58" t="s">
        <v>752</v>
      </c>
      <c r="D209" s="214" t="s">
        <v>186</v>
      </c>
      <c r="E209" s="214" t="s">
        <v>186</v>
      </c>
      <c r="F209" s="215" t="s">
        <v>186</v>
      </c>
      <c r="G209" s="216">
        <v>2023</v>
      </c>
      <c r="H209" s="218" t="s">
        <v>1320</v>
      </c>
      <c r="I209" s="218" t="s">
        <v>212</v>
      </c>
      <c r="J209" s="217" t="s">
        <v>890</v>
      </c>
      <c r="K209" s="213" t="s">
        <v>221</v>
      </c>
      <c r="L209" s="213" t="s">
        <v>192</v>
      </c>
      <c r="M209" s="219" t="s">
        <v>1388</v>
      </c>
      <c r="N209" s="265">
        <v>6.35</v>
      </c>
      <c r="O209" s="265">
        <v>6.35</v>
      </c>
      <c r="P209" s="265">
        <v>6.35</v>
      </c>
      <c r="Q209" s="265">
        <v>6.35</v>
      </c>
      <c r="R209" s="265">
        <v>6.35</v>
      </c>
      <c r="S209" s="265">
        <v>6.35</v>
      </c>
      <c r="T209" s="265">
        <v>6.35</v>
      </c>
      <c r="U209" s="265">
        <v>6.35</v>
      </c>
      <c r="V209" s="265">
        <v>6.35</v>
      </c>
      <c r="W209" s="265">
        <v>6.35</v>
      </c>
      <c r="X209" s="265">
        <v>6.35</v>
      </c>
      <c r="Y209" s="265">
        <v>6.35</v>
      </c>
      <c r="Z209" s="265">
        <v>0.06</v>
      </c>
      <c r="AA209" s="265">
        <v>0.06</v>
      </c>
      <c r="AB209" s="265">
        <v>0.06</v>
      </c>
      <c r="AC209" s="265">
        <v>0.06</v>
      </c>
      <c r="AD209" s="265">
        <v>0.06</v>
      </c>
      <c r="AE209" s="265">
        <v>0.06</v>
      </c>
      <c r="AF209" s="265">
        <v>0.06</v>
      </c>
      <c r="AG209" s="265">
        <v>0.06</v>
      </c>
      <c r="AH209" s="265">
        <v>0.06</v>
      </c>
      <c r="AI209" s="265">
        <v>0.06</v>
      </c>
      <c r="AJ209" s="265">
        <v>0.06</v>
      </c>
      <c r="AK209" s="265">
        <v>0.06</v>
      </c>
      <c r="AL209" s="266" t="s">
        <v>573</v>
      </c>
      <c r="AM209" s="265">
        <f t="shared" si="68"/>
        <v>0</v>
      </c>
      <c r="AN209" s="266" t="s">
        <v>573</v>
      </c>
      <c r="AO209" s="265">
        <f t="shared" si="66"/>
        <v>0</v>
      </c>
      <c r="AP209" s="266">
        <v>0</v>
      </c>
      <c r="AQ209" s="265">
        <f t="shared" si="69"/>
        <v>0</v>
      </c>
      <c r="AR209" s="266">
        <v>0</v>
      </c>
      <c r="AS209" s="262">
        <f t="shared" si="70"/>
        <v>0</v>
      </c>
      <c r="AT209" s="266">
        <v>0</v>
      </c>
      <c r="AU209" s="260">
        <f t="shared" si="71"/>
        <v>0</v>
      </c>
      <c r="AV209" s="259">
        <v>0</v>
      </c>
      <c r="AW209" s="260">
        <f t="shared" si="72"/>
        <v>0</v>
      </c>
      <c r="AX209" s="261" t="s">
        <v>573</v>
      </c>
      <c r="AY209" s="260">
        <f t="shared" si="73"/>
        <v>0</v>
      </c>
      <c r="AZ209" s="259" t="s">
        <v>573</v>
      </c>
      <c r="BA209" s="260">
        <f t="shared" si="74"/>
        <v>0</v>
      </c>
      <c r="BB209" s="259" t="s">
        <v>573</v>
      </c>
      <c r="BC209" s="260">
        <f t="shared" si="75"/>
        <v>0</v>
      </c>
      <c r="BD209" s="259" t="s">
        <v>573</v>
      </c>
      <c r="BE209" s="260">
        <f t="shared" si="76"/>
        <v>0</v>
      </c>
      <c r="BF209" s="259" t="s">
        <v>573</v>
      </c>
      <c r="BG209" s="260">
        <f t="shared" si="77"/>
        <v>0</v>
      </c>
      <c r="BH209" s="259" t="s">
        <v>573</v>
      </c>
      <c r="BI209" s="260">
        <f t="shared" si="67"/>
        <v>0</v>
      </c>
      <c r="BJ209" s="58"/>
      <c r="BK209" s="220"/>
      <c r="BL209" s="213" t="s">
        <v>1310</v>
      </c>
      <c r="BM209" s="58" t="s">
        <v>628</v>
      </c>
    </row>
    <row r="210" spans="1:65" ht="15.75" customHeight="1">
      <c r="A210" s="213" t="s">
        <v>1437</v>
      </c>
      <c r="B210" s="58" t="s">
        <v>766</v>
      </c>
      <c r="C210" s="58" t="s">
        <v>752</v>
      </c>
      <c r="D210" s="214" t="s">
        <v>186</v>
      </c>
      <c r="E210" s="214" t="s">
        <v>186</v>
      </c>
      <c r="F210" s="215" t="s">
        <v>186</v>
      </c>
      <c r="G210" s="216">
        <v>2023</v>
      </c>
      <c r="H210" s="218" t="s">
        <v>1320</v>
      </c>
      <c r="I210" s="218" t="s">
        <v>212</v>
      </c>
      <c r="J210" s="217" t="s">
        <v>890</v>
      </c>
      <c r="K210" s="213" t="s">
        <v>221</v>
      </c>
      <c r="L210" s="213" t="s">
        <v>192</v>
      </c>
      <c r="M210" s="219" t="s">
        <v>1388</v>
      </c>
      <c r="N210" s="265">
        <v>6.35</v>
      </c>
      <c r="O210" s="265">
        <v>6.35</v>
      </c>
      <c r="P210" s="265">
        <v>6.35</v>
      </c>
      <c r="Q210" s="265">
        <v>6.35</v>
      </c>
      <c r="R210" s="265">
        <v>6.35</v>
      </c>
      <c r="S210" s="265">
        <v>6.35</v>
      </c>
      <c r="T210" s="265">
        <v>6.35</v>
      </c>
      <c r="U210" s="265">
        <v>6.35</v>
      </c>
      <c r="V210" s="265">
        <v>6.35</v>
      </c>
      <c r="W210" s="265">
        <v>6.35</v>
      </c>
      <c r="X210" s="265">
        <v>6.35</v>
      </c>
      <c r="Y210" s="265">
        <v>6.35</v>
      </c>
      <c r="Z210" s="265">
        <v>0.06</v>
      </c>
      <c r="AA210" s="265">
        <v>0.06</v>
      </c>
      <c r="AB210" s="265">
        <v>0.06</v>
      </c>
      <c r="AC210" s="265">
        <v>0.06</v>
      </c>
      <c r="AD210" s="265">
        <v>0.06</v>
      </c>
      <c r="AE210" s="265">
        <v>0.06</v>
      </c>
      <c r="AF210" s="265">
        <v>0.06</v>
      </c>
      <c r="AG210" s="265">
        <v>0.06</v>
      </c>
      <c r="AH210" s="265">
        <v>0.06</v>
      </c>
      <c r="AI210" s="265">
        <v>0.06</v>
      </c>
      <c r="AJ210" s="265">
        <v>0.06</v>
      </c>
      <c r="AK210" s="265">
        <v>0.06</v>
      </c>
      <c r="AL210" s="266" t="s">
        <v>573</v>
      </c>
      <c r="AM210" s="265">
        <f t="shared" si="68"/>
        <v>0</v>
      </c>
      <c r="AN210" s="266" t="s">
        <v>573</v>
      </c>
      <c r="AO210" s="265">
        <f t="shared" si="66"/>
        <v>0</v>
      </c>
      <c r="AP210" s="266">
        <v>0</v>
      </c>
      <c r="AQ210" s="265">
        <f t="shared" si="69"/>
        <v>0</v>
      </c>
      <c r="AR210" s="266">
        <v>0</v>
      </c>
      <c r="AS210" s="262">
        <f t="shared" si="70"/>
        <v>0</v>
      </c>
      <c r="AT210" s="266">
        <v>0</v>
      </c>
      <c r="AU210" s="260">
        <f t="shared" si="71"/>
        <v>0</v>
      </c>
      <c r="AV210" s="259">
        <v>0</v>
      </c>
      <c r="AW210" s="260">
        <f t="shared" si="72"/>
        <v>0</v>
      </c>
      <c r="AX210" s="261" t="s">
        <v>573</v>
      </c>
      <c r="AY210" s="260">
        <f t="shared" si="73"/>
        <v>0</v>
      </c>
      <c r="AZ210" s="259" t="s">
        <v>573</v>
      </c>
      <c r="BA210" s="260">
        <f t="shared" si="74"/>
        <v>0</v>
      </c>
      <c r="BB210" s="259" t="s">
        <v>573</v>
      </c>
      <c r="BC210" s="260">
        <f t="shared" si="75"/>
        <v>0</v>
      </c>
      <c r="BD210" s="259" t="s">
        <v>573</v>
      </c>
      <c r="BE210" s="260">
        <f t="shared" si="76"/>
        <v>0</v>
      </c>
      <c r="BF210" s="259" t="s">
        <v>573</v>
      </c>
      <c r="BG210" s="260">
        <f t="shared" si="77"/>
        <v>0</v>
      </c>
      <c r="BH210" s="259" t="s">
        <v>573</v>
      </c>
      <c r="BI210" s="260">
        <f t="shared" si="67"/>
        <v>0</v>
      </c>
      <c r="BJ210" s="58"/>
      <c r="BK210" s="220"/>
      <c r="BL210" s="213" t="s">
        <v>754</v>
      </c>
      <c r="BM210" s="58" t="s">
        <v>630</v>
      </c>
    </row>
    <row r="211" spans="1:65" ht="15.75" customHeight="1">
      <c r="A211" s="213" t="s">
        <v>1437</v>
      </c>
      <c r="B211" s="58" t="s">
        <v>199</v>
      </c>
      <c r="C211" s="58" t="s">
        <v>752</v>
      </c>
      <c r="D211" s="214" t="s">
        <v>186</v>
      </c>
      <c r="E211" s="214" t="s">
        <v>186</v>
      </c>
      <c r="F211" s="215" t="s">
        <v>186</v>
      </c>
      <c r="G211" s="216">
        <v>2023</v>
      </c>
      <c r="H211" s="218" t="s">
        <v>1320</v>
      </c>
      <c r="I211" s="218" t="s">
        <v>212</v>
      </c>
      <c r="J211" s="217" t="s">
        <v>890</v>
      </c>
      <c r="K211" s="213" t="s">
        <v>221</v>
      </c>
      <c r="L211" s="213" t="s">
        <v>192</v>
      </c>
      <c r="M211" s="219" t="s">
        <v>1388</v>
      </c>
      <c r="N211" s="265">
        <v>6.35</v>
      </c>
      <c r="O211" s="265">
        <v>6.35</v>
      </c>
      <c r="P211" s="265">
        <v>6.35</v>
      </c>
      <c r="Q211" s="265">
        <v>6.35</v>
      </c>
      <c r="R211" s="265">
        <v>6.35</v>
      </c>
      <c r="S211" s="265">
        <v>6.35</v>
      </c>
      <c r="T211" s="265">
        <v>6.35</v>
      </c>
      <c r="U211" s="265">
        <v>6.35</v>
      </c>
      <c r="V211" s="265">
        <v>6.35</v>
      </c>
      <c r="W211" s="265">
        <v>6.35</v>
      </c>
      <c r="X211" s="265">
        <v>6.35</v>
      </c>
      <c r="Y211" s="265">
        <v>6.35</v>
      </c>
      <c r="Z211" s="265">
        <v>0.06</v>
      </c>
      <c r="AA211" s="265">
        <v>0.06</v>
      </c>
      <c r="AB211" s="265">
        <v>0.06</v>
      </c>
      <c r="AC211" s="265">
        <v>0.06</v>
      </c>
      <c r="AD211" s="265">
        <v>0.06</v>
      </c>
      <c r="AE211" s="265">
        <v>0.06</v>
      </c>
      <c r="AF211" s="265">
        <v>0.06</v>
      </c>
      <c r="AG211" s="265">
        <v>0.06</v>
      </c>
      <c r="AH211" s="265">
        <v>0.06</v>
      </c>
      <c r="AI211" s="265">
        <v>0.06</v>
      </c>
      <c r="AJ211" s="265">
        <v>0.06</v>
      </c>
      <c r="AK211" s="265">
        <v>0.06</v>
      </c>
      <c r="AL211" s="266" t="s">
        <v>573</v>
      </c>
      <c r="AM211" s="265">
        <f t="shared" si="68"/>
        <v>0</v>
      </c>
      <c r="AN211" s="266" t="s">
        <v>573</v>
      </c>
      <c r="AO211" s="265">
        <f t="shared" si="66"/>
        <v>0</v>
      </c>
      <c r="AP211" s="266">
        <v>0</v>
      </c>
      <c r="AQ211" s="265">
        <f t="shared" si="69"/>
        <v>0</v>
      </c>
      <c r="AR211" s="266">
        <v>0</v>
      </c>
      <c r="AS211" s="262">
        <f t="shared" si="70"/>
        <v>0</v>
      </c>
      <c r="AT211" s="266">
        <v>0</v>
      </c>
      <c r="AU211" s="260">
        <f t="shared" si="71"/>
        <v>0</v>
      </c>
      <c r="AV211" s="259">
        <v>0</v>
      </c>
      <c r="AW211" s="260">
        <f t="shared" si="72"/>
        <v>0</v>
      </c>
      <c r="AX211" s="261" t="s">
        <v>573</v>
      </c>
      <c r="AY211" s="260">
        <f t="shared" si="73"/>
        <v>0</v>
      </c>
      <c r="AZ211" s="259" t="s">
        <v>573</v>
      </c>
      <c r="BA211" s="260">
        <f t="shared" si="74"/>
        <v>0</v>
      </c>
      <c r="BB211" s="259" t="s">
        <v>573</v>
      </c>
      <c r="BC211" s="260">
        <f t="shared" si="75"/>
        <v>0</v>
      </c>
      <c r="BD211" s="259" t="s">
        <v>573</v>
      </c>
      <c r="BE211" s="260">
        <f t="shared" si="76"/>
        <v>0</v>
      </c>
      <c r="BF211" s="259" t="s">
        <v>573</v>
      </c>
      <c r="BG211" s="260">
        <f t="shared" si="77"/>
        <v>0</v>
      </c>
      <c r="BH211" s="259" t="s">
        <v>573</v>
      </c>
      <c r="BI211" s="260">
        <f t="shared" si="67"/>
        <v>0</v>
      </c>
      <c r="BJ211" s="58"/>
      <c r="BK211" s="220"/>
      <c r="BL211" s="213" t="s">
        <v>197</v>
      </c>
      <c r="BM211" s="58" t="s">
        <v>625</v>
      </c>
    </row>
    <row r="212" spans="1:65" ht="15.75" customHeight="1">
      <c r="A212" s="213" t="s">
        <v>1437</v>
      </c>
      <c r="B212" s="58" t="s">
        <v>766</v>
      </c>
      <c r="C212" s="58" t="s">
        <v>752</v>
      </c>
      <c r="D212" s="214" t="s">
        <v>186</v>
      </c>
      <c r="E212" s="214" t="s">
        <v>186</v>
      </c>
      <c r="F212" s="215" t="s">
        <v>186</v>
      </c>
      <c r="G212" s="216">
        <v>2023</v>
      </c>
      <c r="H212" s="218" t="s">
        <v>1320</v>
      </c>
      <c r="I212" s="218" t="s">
        <v>212</v>
      </c>
      <c r="J212" s="217" t="s">
        <v>890</v>
      </c>
      <c r="K212" s="213" t="s">
        <v>221</v>
      </c>
      <c r="L212" s="213" t="s">
        <v>192</v>
      </c>
      <c r="M212" s="219" t="s">
        <v>1390</v>
      </c>
      <c r="N212" s="265">
        <v>6.6</v>
      </c>
      <c r="O212" s="265">
        <v>6.6</v>
      </c>
      <c r="P212" s="265">
        <v>6.6</v>
      </c>
      <c r="Q212" s="265">
        <v>6.6</v>
      </c>
      <c r="R212" s="265">
        <v>6.6</v>
      </c>
      <c r="S212" s="265">
        <v>6.6</v>
      </c>
      <c r="T212" s="265">
        <v>6.6</v>
      </c>
      <c r="U212" s="265">
        <v>6.6</v>
      </c>
      <c r="V212" s="265">
        <v>6.6</v>
      </c>
      <c r="W212" s="265">
        <v>6.6</v>
      </c>
      <c r="X212" s="265">
        <v>6.6</v>
      </c>
      <c r="Y212" s="265">
        <v>6.6</v>
      </c>
      <c r="Z212" s="265">
        <v>0.06</v>
      </c>
      <c r="AA212" s="265">
        <v>0.06</v>
      </c>
      <c r="AB212" s="265">
        <v>0.06</v>
      </c>
      <c r="AC212" s="265">
        <v>0.06</v>
      </c>
      <c r="AD212" s="265">
        <v>0.06</v>
      </c>
      <c r="AE212" s="265">
        <v>0.06</v>
      </c>
      <c r="AF212" s="265">
        <v>0.06</v>
      </c>
      <c r="AG212" s="265">
        <v>0.06</v>
      </c>
      <c r="AH212" s="265">
        <v>0.06</v>
      </c>
      <c r="AI212" s="265">
        <v>0.06</v>
      </c>
      <c r="AJ212" s="265">
        <v>0.06</v>
      </c>
      <c r="AK212" s="265">
        <v>0.06</v>
      </c>
      <c r="AL212" s="266">
        <v>2700</v>
      </c>
      <c r="AM212" s="265">
        <f t="shared" si="68"/>
        <v>162</v>
      </c>
      <c r="AN212" s="266">
        <v>2700</v>
      </c>
      <c r="AO212" s="265">
        <f t="shared" si="66"/>
        <v>162</v>
      </c>
      <c r="AP212" s="266">
        <v>0</v>
      </c>
      <c r="AQ212" s="265">
        <f t="shared" si="69"/>
        <v>0</v>
      </c>
      <c r="AR212" s="266">
        <v>0</v>
      </c>
      <c r="AS212" s="262">
        <f t="shared" si="70"/>
        <v>0</v>
      </c>
      <c r="AT212" s="266">
        <v>0</v>
      </c>
      <c r="AU212" s="260">
        <f t="shared" si="71"/>
        <v>0</v>
      </c>
      <c r="AV212" s="259">
        <v>2700</v>
      </c>
      <c r="AW212" s="260">
        <f t="shared" si="72"/>
        <v>162</v>
      </c>
      <c r="AX212" s="261" t="s">
        <v>573</v>
      </c>
      <c r="AY212" s="260">
        <f t="shared" si="73"/>
        <v>0</v>
      </c>
      <c r="AZ212" s="259">
        <v>2700</v>
      </c>
      <c r="BA212" s="260">
        <f t="shared" si="74"/>
        <v>162</v>
      </c>
      <c r="BB212" s="259">
        <v>2700</v>
      </c>
      <c r="BC212" s="260">
        <f t="shared" si="75"/>
        <v>162</v>
      </c>
      <c r="BD212" s="259">
        <v>6500</v>
      </c>
      <c r="BE212" s="260">
        <f t="shared" si="76"/>
        <v>390</v>
      </c>
      <c r="BF212" s="259" t="s">
        <v>573</v>
      </c>
      <c r="BG212" s="260">
        <f t="shared" si="77"/>
        <v>0</v>
      </c>
      <c r="BH212" s="259" t="s">
        <v>573</v>
      </c>
      <c r="BI212" s="260">
        <f t="shared" si="67"/>
        <v>0</v>
      </c>
      <c r="BJ212" s="58"/>
      <c r="BK212" s="220"/>
      <c r="BL212" s="213" t="s">
        <v>763</v>
      </c>
      <c r="BM212" s="58" t="s">
        <v>626</v>
      </c>
    </row>
    <row r="213" spans="1:65" ht="15.75" customHeight="1">
      <c r="A213" s="213" t="s">
        <v>1437</v>
      </c>
      <c r="B213" s="58" t="s">
        <v>199</v>
      </c>
      <c r="C213" s="58" t="s">
        <v>752</v>
      </c>
      <c r="D213" s="214" t="s">
        <v>186</v>
      </c>
      <c r="E213" s="214" t="s">
        <v>186</v>
      </c>
      <c r="F213" s="215" t="s">
        <v>186</v>
      </c>
      <c r="G213" s="216">
        <v>2020</v>
      </c>
      <c r="H213" s="218" t="s">
        <v>796</v>
      </c>
      <c r="I213" s="218" t="s">
        <v>201</v>
      </c>
      <c r="J213" s="217" t="s">
        <v>890</v>
      </c>
      <c r="K213" s="213" t="s">
        <v>221</v>
      </c>
      <c r="L213" s="213" t="s">
        <v>192</v>
      </c>
      <c r="M213" s="219" t="s">
        <v>1388</v>
      </c>
      <c r="N213" s="265">
        <v>7.86</v>
      </c>
      <c r="O213" s="265">
        <v>7.86</v>
      </c>
      <c r="P213" s="265">
        <v>7.86</v>
      </c>
      <c r="Q213" s="265">
        <v>7.86</v>
      </c>
      <c r="R213" s="265">
        <v>7.86</v>
      </c>
      <c r="S213" s="265">
        <v>7.86</v>
      </c>
      <c r="T213" s="265">
        <v>7.86</v>
      </c>
      <c r="U213" s="265">
        <v>7.86</v>
      </c>
      <c r="V213" s="265">
        <v>7.86</v>
      </c>
      <c r="W213" s="265">
        <v>7.86</v>
      </c>
      <c r="X213" s="265">
        <v>7.86</v>
      </c>
      <c r="Y213" s="265">
        <v>7.86</v>
      </c>
      <c r="Z213" s="265">
        <v>0.08</v>
      </c>
      <c r="AA213" s="265">
        <v>0.08</v>
      </c>
      <c r="AB213" s="265">
        <v>0.08</v>
      </c>
      <c r="AC213" s="265">
        <v>0.08</v>
      </c>
      <c r="AD213" s="265">
        <v>0.08</v>
      </c>
      <c r="AE213" s="265">
        <v>0.08</v>
      </c>
      <c r="AF213" s="265">
        <v>0.08</v>
      </c>
      <c r="AG213" s="265">
        <v>0.08</v>
      </c>
      <c r="AH213" s="265">
        <v>0.08</v>
      </c>
      <c r="AI213" s="265">
        <v>0.08</v>
      </c>
      <c r="AJ213" s="265">
        <v>0.08</v>
      </c>
      <c r="AK213" s="265">
        <v>0.08</v>
      </c>
      <c r="AL213" s="266">
        <v>10560</v>
      </c>
      <c r="AM213" s="265">
        <f t="shared" si="68"/>
        <v>844.80000000000007</v>
      </c>
      <c r="AN213" s="266">
        <v>5280</v>
      </c>
      <c r="AO213" s="265">
        <f t="shared" si="66"/>
        <v>422.40000000000003</v>
      </c>
      <c r="AP213" s="266">
        <v>5280</v>
      </c>
      <c r="AQ213" s="265">
        <f t="shared" si="69"/>
        <v>422.40000000000003</v>
      </c>
      <c r="AR213" s="266">
        <v>0</v>
      </c>
      <c r="AS213" s="262">
        <f t="shared" si="70"/>
        <v>0</v>
      </c>
      <c r="AT213" s="266">
        <v>0</v>
      </c>
      <c r="AU213" s="260">
        <f t="shared" si="71"/>
        <v>0</v>
      </c>
      <c r="AV213" s="259">
        <v>5280</v>
      </c>
      <c r="AW213" s="260">
        <f t="shared" si="72"/>
        <v>422.40000000000003</v>
      </c>
      <c r="AX213" s="261">
        <v>5280</v>
      </c>
      <c r="AY213" s="260">
        <f t="shared" si="73"/>
        <v>422.40000000000003</v>
      </c>
      <c r="AZ213" s="259" t="s">
        <v>573</v>
      </c>
      <c r="BA213" s="260">
        <f t="shared" si="74"/>
        <v>0</v>
      </c>
      <c r="BB213" s="259">
        <v>10560</v>
      </c>
      <c r="BC213" s="260">
        <f t="shared" si="75"/>
        <v>844.80000000000007</v>
      </c>
      <c r="BD213" s="259" t="s">
        <v>573</v>
      </c>
      <c r="BE213" s="260">
        <f t="shared" si="76"/>
        <v>0</v>
      </c>
      <c r="BF213" s="259" t="s">
        <v>573</v>
      </c>
      <c r="BG213" s="260">
        <f t="shared" si="77"/>
        <v>0</v>
      </c>
      <c r="BH213" s="259">
        <v>5280</v>
      </c>
      <c r="BI213" s="260">
        <f t="shared" si="67"/>
        <v>422.40000000000003</v>
      </c>
      <c r="BJ213" s="58"/>
      <c r="BK213" s="220"/>
      <c r="BL213" s="213" t="s">
        <v>754</v>
      </c>
      <c r="BM213" s="58" t="s">
        <v>541</v>
      </c>
    </row>
    <row r="214" spans="1:65" ht="15.75" customHeight="1">
      <c r="A214" s="213" t="s">
        <v>1437</v>
      </c>
      <c r="B214" s="58" t="s">
        <v>199</v>
      </c>
      <c r="C214" s="58" t="s">
        <v>752</v>
      </c>
      <c r="D214" s="214" t="s">
        <v>186</v>
      </c>
      <c r="E214" s="214" t="s">
        <v>186</v>
      </c>
      <c r="F214" s="215" t="s">
        <v>186</v>
      </c>
      <c r="G214" s="216">
        <v>2020</v>
      </c>
      <c r="H214" s="218" t="s">
        <v>796</v>
      </c>
      <c r="I214" s="218" t="s">
        <v>201</v>
      </c>
      <c r="J214" s="217" t="s">
        <v>890</v>
      </c>
      <c r="K214" s="213" t="s">
        <v>221</v>
      </c>
      <c r="L214" s="213" t="s">
        <v>192</v>
      </c>
      <c r="M214" s="219" t="s">
        <v>1397</v>
      </c>
      <c r="N214" s="265">
        <v>7.8</v>
      </c>
      <c r="O214" s="265">
        <v>7.8</v>
      </c>
      <c r="P214" s="265">
        <v>7.8</v>
      </c>
      <c r="Q214" s="265">
        <v>7.8</v>
      </c>
      <c r="R214" s="265">
        <v>7.8</v>
      </c>
      <c r="S214" s="265">
        <v>7.8</v>
      </c>
      <c r="T214" s="265">
        <v>7.8</v>
      </c>
      <c r="U214" s="265">
        <v>7.8</v>
      </c>
      <c r="V214" s="265">
        <v>7.8</v>
      </c>
      <c r="W214" s="265">
        <v>7.8</v>
      </c>
      <c r="X214" s="265">
        <v>7.8</v>
      </c>
      <c r="Y214" s="265">
        <v>7.8</v>
      </c>
      <c r="Z214" s="265">
        <v>0.08</v>
      </c>
      <c r="AA214" s="265">
        <v>0.08</v>
      </c>
      <c r="AB214" s="265">
        <v>0.08</v>
      </c>
      <c r="AC214" s="265">
        <v>0.08</v>
      </c>
      <c r="AD214" s="265">
        <v>0.08</v>
      </c>
      <c r="AE214" s="265">
        <v>0.08</v>
      </c>
      <c r="AF214" s="265">
        <v>0.08</v>
      </c>
      <c r="AG214" s="265">
        <v>0.08</v>
      </c>
      <c r="AH214" s="265">
        <v>0.08</v>
      </c>
      <c r="AI214" s="265">
        <v>0.08</v>
      </c>
      <c r="AJ214" s="265">
        <v>0.08</v>
      </c>
      <c r="AK214" s="265">
        <v>0.08</v>
      </c>
      <c r="AL214" s="266" t="s">
        <v>573</v>
      </c>
      <c r="AM214" s="265">
        <f t="shared" si="68"/>
        <v>0</v>
      </c>
      <c r="AN214" s="266" t="s">
        <v>573</v>
      </c>
      <c r="AO214" s="265">
        <f t="shared" si="66"/>
        <v>0</v>
      </c>
      <c r="AP214" s="266">
        <v>0</v>
      </c>
      <c r="AQ214" s="265">
        <f t="shared" si="69"/>
        <v>0</v>
      </c>
      <c r="AR214" s="266">
        <v>0</v>
      </c>
      <c r="AS214" s="262">
        <f t="shared" si="70"/>
        <v>0</v>
      </c>
      <c r="AT214" s="266">
        <v>0</v>
      </c>
      <c r="AU214" s="260">
        <f t="shared" si="71"/>
        <v>0</v>
      </c>
      <c r="AV214" s="259">
        <v>0</v>
      </c>
      <c r="AW214" s="260">
        <f t="shared" si="72"/>
        <v>0</v>
      </c>
      <c r="AX214" s="261" t="s">
        <v>573</v>
      </c>
      <c r="AY214" s="260">
        <f t="shared" si="73"/>
        <v>0</v>
      </c>
      <c r="AZ214" s="259">
        <v>5280</v>
      </c>
      <c r="BA214" s="260">
        <f t="shared" si="74"/>
        <v>422.40000000000003</v>
      </c>
      <c r="BB214" s="259" t="s">
        <v>573</v>
      </c>
      <c r="BC214" s="260">
        <f t="shared" si="75"/>
        <v>0</v>
      </c>
      <c r="BD214" s="259" t="s">
        <v>573</v>
      </c>
      <c r="BE214" s="260">
        <f t="shared" si="76"/>
        <v>0</v>
      </c>
      <c r="BF214" s="259">
        <v>5280</v>
      </c>
      <c r="BG214" s="260">
        <f t="shared" si="77"/>
        <v>422.40000000000003</v>
      </c>
      <c r="BH214" s="259">
        <v>4400</v>
      </c>
      <c r="BI214" s="260">
        <f t="shared" si="67"/>
        <v>352</v>
      </c>
      <c r="BJ214" s="58"/>
      <c r="BK214" s="220"/>
      <c r="BL214" s="213" t="s">
        <v>754</v>
      </c>
      <c r="BM214" s="58" t="s">
        <v>540</v>
      </c>
    </row>
    <row r="215" spans="1:65" ht="15.75" customHeight="1">
      <c r="A215" s="213" t="s">
        <v>1437</v>
      </c>
      <c r="B215" s="58" t="s">
        <v>199</v>
      </c>
      <c r="C215" s="58" t="s">
        <v>752</v>
      </c>
      <c r="D215" s="214" t="s">
        <v>186</v>
      </c>
      <c r="E215" s="214" t="s">
        <v>186</v>
      </c>
      <c r="F215" s="215" t="s">
        <v>186</v>
      </c>
      <c r="G215" s="216">
        <v>2020</v>
      </c>
      <c r="H215" s="218" t="s">
        <v>796</v>
      </c>
      <c r="I215" s="218" t="s">
        <v>201</v>
      </c>
      <c r="J215" s="217" t="s">
        <v>890</v>
      </c>
      <c r="K215" s="213" t="s">
        <v>221</v>
      </c>
      <c r="L215" s="213" t="s">
        <v>192</v>
      </c>
      <c r="M215" s="219" t="s">
        <v>1388</v>
      </c>
      <c r="N215" s="265">
        <v>7.92</v>
      </c>
      <c r="O215" s="265">
        <v>7.92</v>
      </c>
      <c r="P215" s="265">
        <v>7.92</v>
      </c>
      <c r="Q215" s="265">
        <v>7.92</v>
      </c>
      <c r="R215" s="265">
        <v>7.92</v>
      </c>
      <c r="S215" s="265">
        <v>7.9</v>
      </c>
      <c r="T215" s="265">
        <v>7.9</v>
      </c>
      <c r="U215" s="265">
        <v>7.9</v>
      </c>
      <c r="V215" s="265">
        <v>7.9</v>
      </c>
      <c r="W215" s="265">
        <v>7.9</v>
      </c>
      <c r="X215" s="265">
        <v>7.9</v>
      </c>
      <c r="Y215" s="265">
        <v>7.9</v>
      </c>
      <c r="Z215" s="265">
        <v>0.08</v>
      </c>
      <c r="AA215" s="265">
        <v>0.08</v>
      </c>
      <c r="AB215" s="265">
        <v>0.08</v>
      </c>
      <c r="AC215" s="265">
        <v>0.08</v>
      </c>
      <c r="AD215" s="265">
        <v>0.08</v>
      </c>
      <c r="AE215" s="265">
        <v>0.08</v>
      </c>
      <c r="AF215" s="265">
        <v>0.08</v>
      </c>
      <c r="AG215" s="265">
        <v>0.08</v>
      </c>
      <c r="AH215" s="265">
        <v>0.08</v>
      </c>
      <c r="AI215" s="265">
        <v>0.08</v>
      </c>
      <c r="AJ215" s="265">
        <v>0.08</v>
      </c>
      <c r="AK215" s="265">
        <v>0.08</v>
      </c>
      <c r="AL215" s="266" t="s">
        <v>573</v>
      </c>
      <c r="AM215" s="265">
        <f t="shared" si="68"/>
        <v>0</v>
      </c>
      <c r="AN215" s="266" t="s">
        <v>573</v>
      </c>
      <c r="AO215" s="265">
        <f t="shared" si="66"/>
        <v>0</v>
      </c>
      <c r="AP215" s="266">
        <v>0</v>
      </c>
      <c r="AQ215" s="265">
        <f t="shared" si="69"/>
        <v>0</v>
      </c>
      <c r="AR215" s="266">
        <v>0</v>
      </c>
      <c r="AS215" s="262">
        <f t="shared" si="70"/>
        <v>0</v>
      </c>
      <c r="AT215" s="266">
        <v>5280</v>
      </c>
      <c r="AU215" s="260">
        <f t="shared" si="71"/>
        <v>422.40000000000003</v>
      </c>
      <c r="AV215" s="259">
        <v>0</v>
      </c>
      <c r="AW215" s="260">
        <f t="shared" si="72"/>
        <v>0</v>
      </c>
      <c r="AX215" s="261" t="s">
        <v>573</v>
      </c>
      <c r="AY215" s="260">
        <f t="shared" si="73"/>
        <v>0</v>
      </c>
      <c r="AZ215" s="259" t="s">
        <v>573</v>
      </c>
      <c r="BA215" s="260">
        <f t="shared" si="74"/>
        <v>0</v>
      </c>
      <c r="BB215" s="259" t="s">
        <v>573</v>
      </c>
      <c r="BC215" s="260">
        <f t="shared" si="75"/>
        <v>0</v>
      </c>
      <c r="BD215" s="259" t="s">
        <v>573</v>
      </c>
      <c r="BE215" s="260">
        <f t="shared" si="76"/>
        <v>0</v>
      </c>
      <c r="BF215" s="259" t="s">
        <v>573</v>
      </c>
      <c r="BG215" s="260">
        <f t="shared" si="77"/>
        <v>0</v>
      </c>
      <c r="BH215" s="259" t="s">
        <v>573</v>
      </c>
      <c r="BI215" s="260">
        <f t="shared" si="67"/>
        <v>0</v>
      </c>
      <c r="BJ215" s="58"/>
      <c r="BK215" s="220"/>
      <c r="BL215" s="213" t="s">
        <v>1310</v>
      </c>
      <c r="BM215" s="213" t="s">
        <v>539</v>
      </c>
    </row>
    <row r="216" spans="1:65" ht="15.75" customHeight="1">
      <c r="A216" s="213" t="s">
        <v>1437</v>
      </c>
      <c r="B216" s="58" t="s">
        <v>199</v>
      </c>
      <c r="C216" s="58" t="s">
        <v>752</v>
      </c>
      <c r="D216" s="214" t="s">
        <v>186</v>
      </c>
      <c r="E216" s="214" t="s">
        <v>186</v>
      </c>
      <c r="F216" s="215" t="s">
        <v>186</v>
      </c>
      <c r="G216" s="216">
        <v>2020</v>
      </c>
      <c r="H216" s="218" t="s">
        <v>796</v>
      </c>
      <c r="I216" s="218" t="s">
        <v>201</v>
      </c>
      <c r="J216" s="217" t="s">
        <v>890</v>
      </c>
      <c r="K216" s="213" t="s">
        <v>221</v>
      </c>
      <c r="L216" s="213" t="s">
        <v>192</v>
      </c>
      <c r="M216" s="219" t="s">
        <v>1389</v>
      </c>
      <c r="N216" s="265">
        <v>7.8</v>
      </c>
      <c r="O216" s="265">
        <v>7.8</v>
      </c>
      <c r="P216" s="265">
        <v>7.8</v>
      </c>
      <c r="Q216" s="265">
        <v>7.8</v>
      </c>
      <c r="R216" s="265">
        <v>7.8</v>
      </c>
      <c r="S216" s="265">
        <v>7.8</v>
      </c>
      <c r="T216" s="265">
        <v>7.8</v>
      </c>
      <c r="U216" s="265">
        <v>7.8</v>
      </c>
      <c r="V216" s="265">
        <v>7.8</v>
      </c>
      <c r="W216" s="265">
        <v>7.8</v>
      </c>
      <c r="X216" s="265">
        <v>7.8</v>
      </c>
      <c r="Y216" s="265">
        <v>7.8</v>
      </c>
      <c r="Z216" s="265">
        <v>0.08</v>
      </c>
      <c r="AA216" s="265">
        <v>0.08</v>
      </c>
      <c r="AB216" s="265">
        <v>0.08</v>
      </c>
      <c r="AC216" s="265">
        <v>0.08</v>
      </c>
      <c r="AD216" s="265">
        <v>0.08</v>
      </c>
      <c r="AE216" s="265">
        <v>0.08</v>
      </c>
      <c r="AF216" s="265">
        <v>0.08</v>
      </c>
      <c r="AG216" s="265">
        <v>0.08</v>
      </c>
      <c r="AH216" s="265">
        <v>0.08</v>
      </c>
      <c r="AI216" s="265">
        <v>0.08</v>
      </c>
      <c r="AJ216" s="265">
        <v>0.08</v>
      </c>
      <c r="AK216" s="265">
        <v>0.08</v>
      </c>
      <c r="AL216" s="266" t="s">
        <v>573</v>
      </c>
      <c r="AM216" s="265">
        <f t="shared" si="68"/>
        <v>0</v>
      </c>
      <c r="AN216" s="266" t="s">
        <v>573</v>
      </c>
      <c r="AO216" s="265">
        <f t="shared" si="66"/>
        <v>0</v>
      </c>
      <c r="AP216" s="266">
        <v>0</v>
      </c>
      <c r="AQ216" s="265">
        <f t="shared" si="69"/>
        <v>0</v>
      </c>
      <c r="AR216" s="266">
        <v>0</v>
      </c>
      <c r="AS216" s="262">
        <f t="shared" si="70"/>
        <v>0</v>
      </c>
      <c r="AT216" s="266">
        <v>0</v>
      </c>
      <c r="AU216" s="260">
        <f t="shared" si="71"/>
        <v>0</v>
      </c>
      <c r="AV216" s="259">
        <v>0</v>
      </c>
      <c r="AW216" s="260">
        <f t="shared" si="72"/>
        <v>0</v>
      </c>
      <c r="AX216" s="261" t="s">
        <v>573</v>
      </c>
      <c r="AY216" s="260">
        <f t="shared" si="73"/>
        <v>0</v>
      </c>
      <c r="AZ216" s="259" t="s">
        <v>573</v>
      </c>
      <c r="BA216" s="260">
        <f t="shared" si="74"/>
        <v>0</v>
      </c>
      <c r="BB216" s="259" t="s">
        <v>573</v>
      </c>
      <c r="BC216" s="260">
        <f t="shared" si="75"/>
        <v>0</v>
      </c>
      <c r="BD216" s="259" t="s">
        <v>573</v>
      </c>
      <c r="BE216" s="260">
        <f t="shared" si="76"/>
        <v>0</v>
      </c>
      <c r="BF216" s="259" t="s">
        <v>573</v>
      </c>
      <c r="BG216" s="260">
        <f t="shared" si="77"/>
        <v>0</v>
      </c>
      <c r="BH216" s="259" t="s">
        <v>573</v>
      </c>
      <c r="BI216" s="260">
        <f t="shared" si="67"/>
        <v>0</v>
      </c>
      <c r="BJ216" s="58"/>
      <c r="BK216" s="220"/>
      <c r="BL216" s="213" t="s">
        <v>806</v>
      </c>
      <c r="BM216" s="58" t="s">
        <v>1490</v>
      </c>
    </row>
    <row r="217" spans="1:65" ht="15.75" customHeight="1">
      <c r="A217" s="213" t="s">
        <v>1437</v>
      </c>
      <c r="B217" s="58" t="s">
        <v>199</v>
      </c>
      <c r="C217" s="58" t="s">
        <v>752</v>
      </c>
      <c r="D217" s="214" t="s">
        <v>186</v>
      </c>
      <c r="E217" s="214" t="s">
        <v>186</v>
      </c>
      <c r="F217" s="215" t="s">
        <v>186</v>
      </c>
      <c r="G217" s="216">
        <v>2020</v>
      </c>
      <c r="H217" s="218" t="s">
        <v>796</v>
      </c>
      <c r="I217" s="218" t="s">
        <v>201</v>
      </c>
      <c r="J217" s="217" t="s">
        <v>890</v>
      </c>
      <c r="K217" s="213" t="s">
        <v>221</v>
      </c>
      <c r="L217" s="213" t="s">
        <v>192</v>
      </c>
      <c r="M217" s="219" t="s">
        <v>1388</v>
      </c>
      <c r="N217" s="265">
        <v>7.9</v>
      </c>
      <c r="O217" s="265">
        <v>7.9</v>
      </c>
      <c r="P217" s="265">
        <v>7.9</v>
      </c>
      <c r="Q217" s="265">
        <v>7.9</v>
      </c>
      <c r="R217" s="265">
        <v>7.9</v>
      </c>
      <c r="S217" s="265">
        <v>7.9</v>
      </c>
      <c r="T217" s="265">
        <v>7.9</v>
      </c>
      <c r="U217" s="265">
        <v>7.9</v>
      </c>
      <c r="V217" s="265">
        <v>7.9</v>
      </c>
      <c r="W217" s="265">
        <v>7.9</v>
      </c>
      <c r="X217" s="265">
        <v>7.9</v>
      </c>
      <c r="Y217" s="265">
        <v>7.9</v>
      </c>
      <c r="Z217" s="265">
        <v>0.08</v>
      </c>
      <c r="AA217" s="265">
        <v>0.08</v>
      </c>
      <c r="AB217" s="265">
        <v>0.08</v>
      </c>
      <c r="AC217" s="265">
        <v>0.08</v>
      </c>
      <c r="AD217" s="265">
        <v>0.08</v>
      </c>
      <c r="AE217" s="265">
        <v>0.08</v>
      </c>
      <c r="AF217" s="265">
        <v>0.08</v>
      </c>
      <c r="AG217" s="265">
        <v>0.08</v>
      </c>
      <c r="AH217" s="265">
        <v>0.08</v>
      </c>
      <c r="AI217" s="265">
        <v>0.08</v>
      </c>
      <c r="AJ217" s="265">
        <v>0.08</v>
      </c>
      <c r="AK217" s="265">
        <v>0.08</v>
      </c>
      <c r="AL217" s="266">
        <v>5280</v>
      </c>
      <c r="AM217" s="265">
        <f t="shared" si="68"/>
        <v>422.40000000000003</v>
      </c>
      <c r="AN217" s="266">
        <v>5280</v>
      </c>
      <c r="AO217" s="265">
        <f t="shared" si="66"/>
        <v>422.40000000000003</v>
      </c>
      <c r="AP217" s="266">
        <v>0</v>
      </c>
      <c r="AQ217" s="265">
        <f t="shared" si="69"/>
        <v>0</v>
      </c>
      <c r="AR217" s="266">
        <v>5280</v>
      </c>
      <c r="AS217" s="262">
        <f t="shared" si="70"/>
        <v>422.40000000000003</v>
      </c>
      <c r="AT217" s="266">
        <v>0</v>
      </c>
      <c r="AU217" s="260">
        <f t="shared" si="71"/>
        <v>0</v>
      </c>
      <c r="AV217" s="259">
        <v>10560</v>
      </c>
      <c r="AW217" s="260">
        <f t="shared" si="72"/>
        <v>844.80000000000007</v>
      </c>
      <c r="AX217" s="261" t="s">
        <v>573</v>
      </c>
      <c r="AY217" s="260">
        <f t="shared" si="73"/>
        <v>0</v>
      </c>
      <c r="AZ217" s="259">
        <v>5280</v>
      </c>
      <c r="BA217" s="260">
        <f t="shared" si="74"/>
        <v>422.40000000000003</v>
      </c>
      <c r="BB217" s="259" t="s">
        <v>573</v>
      </c>
      <c r="BC217" s="260">
        <f t="shared" si="75"/>
        <v>0</v>
      </c>
      <c r="BD217" s="259">
        <v>5280</v>
      </c>
      <c r="BE217" s="260">
        <f t="shared" si="76"/>
        <v>422.40000000000003</v>
      </c>
      <c r="BF217" s="259">
        <v>0</v>
      </c>
      <c r="BG217" s="260">
        <f t="shared" si="77"/>
        <v>0</v>
      </c>
      <c r="BH217" s="259" t="s">
        <v>573</v>
      </c>
      <c r="BI217" s="260">
        <f t="shared" si="67"/>
        <v>0</v>
      </c>
      <c r="BJ217" s="58"/>
      <c r="BK217" s="220"/>
      <c r="BL217" s="213" t="s">
        <v>1310</v>
      </c>
      <c r="BM217" s="58" t="s">
        <v>537</v>
      </c>
    </row>
    <row r="218" spans="1:65" ht="15.75" customHeight="1">
      <c r="A218" s="213" t="s">
        <v>1437</v>
      </c>
      <c r="B218" s="58" t="s">
        <v>199</v>
      </c>
      <c r="C218" s="58" t="s">
        <v>752</v>
      </c>
      <c r="D218" s="214" t="s">
        <v>186</v>
      </c>
      <c r="E218" s="214" t="s">
        <v>186</v>
      </c>
      <c r="F218" s="215" t="s">
        <v>186</v>
      </c>
      <c r="G218" s="216">
        <v>2020</v>
      </c>
      <c r="H218" s="218" t="s">
        <v>796</v>
      </c>
      <c r="I218" s="218" t="s">
        <v>201</v>
      </c>
      <c r="J218" s="217" t="s">
        <v>890</v>
      </c>
      <c r="K218" s="213" t="s">
        <v>221</v>
      </c>
      <c r="L218" s="213" t="s">
        <v>192</v>
      </c>
      <c r="M218" s="219" t="s">
        <v>1388</v>
      </c>
      <c r="N218" s="265">
        <v>7.92</v>
      </c>
      <c r="O218" s="265">
        <v>7.92</v>
      </c>
      <c r="P218" s="265">
        <v>7.92</v>
      </c>
      <c r="Q218" s="265">
        <v>7.92</v>
      </c>
      <c r="R218" s="265">
        <v>7.92</v>
      </c>
      <c r="S218" s="265">
        <v>7.92</v>
      </c>
      <c r="T218" s="265">
        <v>7.92</v>
      </c>
      <c r="U218" s="265">
        <v>7.92</v>
      </c>
      <c r="V218" s="265">
        <v>7.92</v>
      </c>
      <c r="W218" s="265">
        <v>7.92</v>
      </c>
      <c r="X218" s="265">
        <v>7.92</v>
      </c>
      <c r="Y218" s="265">
        <v>7.92</v>
      </c>
      <c r="Z218" s="265">
        <v>0.08</v>
      </c>
      <c r="AA218" s="265">
        <v>0.08</v>
      </c>
      <c r="AB218" s="265">
        <v>0.08</v>
      </c>
      <c r="AC218" s="265">
        <v>0.08</v>
      </c>
      <c r="AD218" s="265">
        <v>0.08</v>
      </c>
      <c r="AE218" s="265">
        <v>0.08</v>
      </c>
      <c r="AF218" s="265">
        <v>0.08</v>
      </c>
      <c r="AG218" s="265">
        <v>0.08</v>
      </c>
      <c r="AH218" s="265">
        <v>0.08</v>
      </c>
      <c r="AI218" s="265">
        <v>0.08</v>
      </c>
      <c r="AJ218" s="265">
        <v>0.08</v>
      </c>
      <c r="AK218" s="265">
        <v>0.08</v>
      </c>
      <c r="AL218" s="266" t="s">
        <v>573</v>
      </c>
      <c r="AM218" s="265">
        <f t="shared" si="68"/>
        <v>0</v>
      </c>
      <c r="AN218" s="266">
        <v>5280</v>
      </c>
      <c r="AO218" s="265">
        <f t="shared" si="66"/>
        <v>422.40000000000003</v>
      </c>
      <c r="AP218" s="266">
        <v>0</v>
      </c>
      <c r="AQ218" s="265">
        <f t="shared" si="69"/>
        <v>0</v>
      </c>
      <c r="AR218" s="266">
        <v>10560</v>
      </c>
      <c r="AS218" s="262">
        <f t="shared" si="70"/>
        <v>844.80000000000007</v>
      </c>
      <c r="AT218" s="266">
        <v>10560</v>
      </c>
      <c r="AU218" s="260">
        <f t="shared" si="71"/>
        <v>844.80000000000007</v>
      </c>
      <c r="AV218" s="259">
        <v>5280</v>
      </c>
      <c r="AW218" s="260">
        <f t="shared" si="72"/>
        <v>422.40000000000003</v>
      </c>
      <c r="AX218" s="261">
        <v>5280</v>
      </c>
      <c r="AY218" s="260">
        <f t="shared" si="73"/>
        <v>422.40000000000003</v>
      </c>
      <c r="AZ218" s="259">
        <v>5280</v>
      </c>
      <c r="BA218" s="260">
        <f t="shared" si="74"/>
        <v>422.40000000000003</v>
      </c>
      <c r="BB218" s="259">
        <v>5280</v>
      </c>
      <c r="BC218" s="260">
        <f t="shared" si="75"/>
        <v>422.40000000000003</v>
      </c>
      <c r="BD218" s="259" t="s">
        <v>573</v>
      </c>
      <c r="BE218" s="260">
        <f t="shared" si="76"/>
        <v>0</v>
      </c>
      <c r="BF218" s="259" t="s">
        <v>573</v>
      </c>
      <c r="BG218" s="260">
        <f t="shared" si="77"/>
        <v>0</v>
      </c>
      <c r="BH218" s="259" t="s">
        <v>573</v>
      </c>
      <c r="BI218" s="260">
        <f t="shared" si="67"/>
        <v>0</v>
      </c>
      <c r="BJ218" s="58"/>
      <c r="BK218" s="220"/>
      <c r="BL218" s="213" t="s">
        <v>197</v>
      </c>
      <c r="BM218" s="58" t="s">
        <v>536</v>
      </c>
    </row>
    <row r="219" spans="1:65" ht="15.75" customHeight="1">
      <c r="A219" s="213" t="s">
        <v>1437</v>
      </c>
      <c r="B219" s="58" t="s">
        <v>184</v>
      </c>
      <c r="C219" s="58" t="s">
        <v>752</v>
      </c>
      <c r="D219" s="214" t="s">
        <v>186</v>
      </c>
      <c r="E219" s="214" t="s">
        <v>186</v>
      </c>
      <c r="F219" s="215" t="s">
        <v>186</v>
      </c>
      <c r="G219" s="216">
        <v>2018</v>
      </c>
      <c r="H219" s="218" t="s">
        <v>286</v>
      </c>
      <c r="I219" s="218" t="s">
        <v>196</v>
      </c>
      <c r="J219" s="217" t="s">
        <v>890</v>
      </c>
      <c r="K219" s="213" t="s">
        <v>221</v>
      </c>
      <c r="L219" s="213" t="s">
        <v>192</v>
      </c>
      <c r="M219" s="219" t="s">
        <v>1395</v>
      </c>
      <c r="N219" s="265">
        <v>4.66</v>
      </c>
      <c r="O219" s="265">
        <v>4.66</v>
      </c>
      <c r="P219" s="265">
        <v>4.66</v>
      </c>
      <c r="Q219" s="265">
        <v>4.66</v>
      </c>
      <c r="R219" s="265">
        <v>4.66</v>
      </c>
      <c r="S219" s="265">
        <v>4.66</v>
      </c>
      <c r="T219" s="265">
        <v>4.66</v>
      </c>
      <c r="U219" s="265">
        <v>4.66</v>
      </c>
      <c r="V219" s="265">
        <v>4.66</v>
      </c>
      <c r="W219" s="265">
        <v>4.66</v>
      </c>
      <c r="X219" s="265">
        <v>4.66</v>
      </c>
      <c r="Y219" s="265">
        <v>4.66</v>
      </c>
      <c r="Z219" s="265">
        <v>0.05</v>
      </c>
      <c r="AA219" s="265">
        <v>0.05</v>
      </c>
      <c r="AB219" s="265">
        <v>0.05</v>
      </c>
      <c r="AC219" s="265">
        <v>0.05</v>
      </c>
      <c r="AD219" s="265">
        <v>0.05</v>
      </c>
      <c r="AE219" s="265">
        <v>0.05</v>
      </c>
      <c r="AF219" s="265">
        <v>0.05</v>
      </c>
      <c r="AG219" s="265">
        <v>0.05</v>
      </c>
      <c r="AH219" s="265">
        <v>0.05</v>
      </c>
      <c r="AI219" s="265">
        <v>0.05</v>
      </c>
      <c r="AJ219" s="265">
        <v>0.05</v>
      </c>
      <c r="AK219" s="265">
        <v>0.05</v>
      </c>
      <c r="AL219" s="266" t="s">
        <v>573</v>
      </c>
      <c r="AM219" s="265">
        <f t="shared" si="68"/>
        <v>0</v>
      </c>
      <c r="AN219" s="266" t="s">
        <v>573</v>
      </c>
      <c r="AO219" s="265">
        <f t="shared" si="66"/>
        <v>0</v>
      </c>
      <c r="AP219" s="266">
        <v>0</v>
      </c>
      <c r="AQ219" s="265">
        <f t="shared" si="69"/>
        <v>0</v>
      </c>
      <c r="AR219" s="266">
        <v>0</v>
      </c>
      <c r="AS219" s="262">
        <f t="shared" si="70"/>
        <v>0</v>
      </c>
      <c r="AT219" s="266">
        <v>0</v>
      </c>
      <c r="AU219" s="260">
        <f t="shared" si="71"/>
        <v>0</v>
      </c>
      <c r="AV219" s="259">
        <v>0</v>
      </c>
      <c r="AW219" s="260">
        <f t="shared" si="72"/>
        <v>0</v>
      </c>
      <c r="AX219" s="261" t="s">
        <v>573</v>
      </c>
      <c r="AY219" s="260">
        <f t="shared" si="73"/>
        <v>0</v>
      </c>
      <c r="AZ219" s="259" t="s">
        <v>573</v>
      </c>
      <c r="BA219" s="260">
        <f t="shared" si="74"/>
        <v>0</v>
      </c>
      <c r="BB219" s="259" t="s">
        <v>573</v>
      </c>
      <c r="BC219" s="260">
        <f t="shared" si="75"/>
        <v>0</v>
      </c>
      <c r="BD219" s="259" t="s">
        <v>573</v>
      </c>
      <c r="BE219" s="260">
        <f t="shared" si="76"/>
        <v>0</v>
      </c>
      <c r="BF219" s="259" t="s">
        <v>573</v>
      </c>
      <c r="BG219" s="260">
        <f t="shared" si="77"/>
        <v>0</v>
      </c>
      <c r="BH219" s="259" t="s">
        <v>573</v>
      </c>
      <c r="BI219" s="260">
        <f t="shared" si="67"/>
        <v>0</v>
      </c>
      <c r="BJ219" s="58"/>
      <c r="BK219" s="220"/>
      <c r="BL219" s="213" t="s">
        <v>1347</v>
      </c>
      <c r="BM219" s="213" t="s">
        <v>1491</v>
      </c>
    </row>
    <row r="220" spans="1:65" ht="15.75" customHeight="1">
      <c r="A220" s="213" t="s">
        <v>1437</v>
      </c>
      <c r="B220" s="58" t="s">
        <v>184</v>
      </c>
      <c r="C220" s="58" t="s">
        <v>752</v>
      </c>
      <c r="D220" s="214" t="s">
        <v>186</v>
      </c>
      <c r="E220" s="214" t="s">
        <v>186</v>
      </c>
      <c r="F220" s="215" t="s">
        <v>186</v>
      </c>
      <c r="G220" s="216">
        <v>2018</v>
      </c>
      <c r="H220" s="218" t="s">
        <v>802</v>
      </c>
      <c r="I220" s="218" t="s">
        <v>196</v>
      </c>
      <c r="J220" s="217" t="s">
        <v>890</v>
      </c>
      <c r="K220" s="213" t="s">
        <v>221</v>
      </c>
      <c r="L220" s="213" t="s">
        <v>192</v>
      </c>
      <c r="M220" s="219" t="s">
        <v>1392</v>
      </c>
      <c r="N220" s="265">
        <v>4.66</v>
      </c>
      <c r="O220" s="265">
        <v>4.66</v>
      </c>
      <c r="P220" s="265">
        <v>4.66</v>
      </c>
      <c r="Q220" s="265">
        <v>4.66</v>
      </c>
      <c r="R220" s="265">
        <v>4.66</v>
      </c>
      <c r="S220" s="265">
        <v>4.66</v>
      </c>
      <c r="T220" s="265">
        <v>4.66</v>
      </c>
      <c r="U220" s="265">
        <v>4.66</v>
      </c>
      <c r="V220" s="265">
        <v>4.66</v>
      </c>
      <c r="W220" s="265">
        <v>4.66</v>
      </c>
      <c r="X220" s="265">
        <v>4.66</v>
      </c>
      <c r="Y220" s="265">
        <v>4.66</v>
      </c>
      <c r="Z220" s="265">
        <v>0.05</v>
      </c>
      <c r="AA220" s="265">
        <v>0.05</v>
      </c>
      <c r="AB220" s="265">
        <v>0.05</v>
      </c>
      <c r="AC220" s="265">
        <v>0.05</v>
      </c>
      <c r="AD220" s="265">
        <v>0.05</v>
      </c>
      <c r="AE220" s="265">
        <v>0.05</v>
      </c>
      <c r="AF220" s="265">
        <v>0.05</v>
      </c>
      <c r="AG220" s="265">
        <v>0.05</v>
      </c>
      <c r="AH220" s="265">
        <v>0.05</v>
      </c>
      <c r="AI220" s="265">
        <v>0.05</v>
      </c>
      <c r="AJ220" s="265">
        <v>0.05</v>
      </c>
      <c r="AK220" s="265">
        <v>0.05</v>
      </c>
      <c r="AL220" s="266" t="s">
        <v>573</v>
      </c>
      <c r="AM220" s="265">
        <f t="shared" si="68"/>
        <v>0</v>
      </c>
      <c r="AN220" s="266" t="s">
        <v>573</v>
      </c>
      <c r="AO220" s="265">
        <f t="shared" si="66"/>
        <v>0</v>
      </c>
      <c r="AP220" s="266">
        <v>0</v>
      </c>
      <c r="AQ220" s="265">
        <f t="shared" si="69"/>
        <v>0</v>
      </c>
      <c r="AR220" s="266">
        <v>0</v>
      </c>
      <c r="AS220" s="262">
        <f t="shared" si="70"/>
        <v>0</v>
      </c>
      <c r="AT220" s="266">
        <v>0</v>
      </c>
      <c r="AU220" s="260">
        <f t="shared" si="71"/>
        <v>0</v>
      </c>
      <c r="AV220" s="259">
        <v>0</v>
      </c>
      <c r="AW220" s="260">
        <f t="shared" si="72"/>
        <v>0</v>
      </c>
      <c r="AX220" s="261">
        <v>3000</v>
      </c>
      <c r="AY220" s="260">
        <f t="shared" si="73"/>
        <v>150</v>
      </c>
      <c r="AZ220" s="259" t="s">
        <v>573</v>
      </c>
      <c r="BA220" s="260">
        <f t="shared" si="74"/>
        <v>0</v>
      </c>
      <c r="BB220" s="259" t="s">
        <v>573</v>
      </c>
      <c r="BC220" s="260">
        <f t="shared" si="75"/>
        <v>0</v>
      </c>
      <c r="BD220" s="259">
        <v>3000</v>
      </c>
      <c r="BE220" s="260">
        <f t="shared" si="76"/>
        <v>150</v>
      </c>
      <c r="BF220" s="259">
        <v>3000</v>
      </c>
      <c r="BG220" s="260">
        <f t="shared" si="77"/>
        <v>150</v>
      </c>
      <c r="BH220" s="259">
        <v>3000</v>
      </c>
      <c r="BI220" s="260">
        <f t="shared" si="67"/>
        <v>150</v>
      </c>
      <c r="BJ220" s="58"/>
      <c r="BK220" s="220"/>
      <c r="BL220" s="213" t="s">
        <v>1347</v>
      </c>
      <c r="BM220" s="213" t="s">
        <v>671</v>
      </c>
    </row>
    <row r="221" spans="1:65" ht="15.75" customHeight="1">
      <c r="A221" s="213" t="s">
        <v>1437</v>
      </c>
      <c r="B221" s="58" t="s">
        <v>184</v>
      </c>
      <c r="C221" s="58" t="s">
        <v>752</v>
      </c>
      <c r="D221" s="214" t="s">
        <v>186</v>
      </c>
      <c r="E221" s="214" t="s">
        <v>186</v>
      </c>
      <c r="F221" s="215" t="s">
        <v>186</v>
      </c>
      <c r="G221" s="216">
        <v>2016</v>
      </c>
      <c r="H221" s="218" t="s">
        <v>794</v>
      </c>
      <c r="I221" s="218" t="s">
        <v>196</v>
      </c>
      <c r="J221" s="217" t="s">
        <v>890</v>
      </c>
      <c r="K221" s="213" t="s">
        <v>431</v>
      </c>
      <c r="L221" s="213" t="s">
        <v>192</v>
      </c>
      <c r="M221" s="219" t="s">
        <v>1392</v>
      </c>
      <c r="N221" s="265">
        <v>7.45</v>
      </c>
      <c r="O221" s="265">
        <v>7.45</v>
      </c>
      <c r="P221" s="265">
        <v>7.45</v>
      </c>
      <c r="Q221" s="265">
        <v>7.45</v>
      </c>
      <c r="R221" s="265">
        <v>7.45</v>
      </c>
      <c r="S221" s="265">
        <v>7.45</v>
      </c>
      <c r="T221" s="265">
        <v>7.45</v>
      </c>
      <c r="U221" s="265">
        <v>7.45</v>
      </c>
      <c r="V221" s="265">
        <v>7.45</v>
      </c>
      <c r="W221" s="265">
        <v>7.45</v>
      </c>
      <c r="X221" s="265">
        <v>7.45</v>
      </c>
      <c r="Y221" s="265">
        <v>7.45</v>
      </c>
      <c r="Z221" s="265">
        <v>0.05</v>
      </c>
      <c r="AA221" s="265">
        <v>0.05</v>
      </c>
      <c r="AB221" s="265">
        <v>0.05</v>
      </c>
      <c r="AC221" s="265">
        <v>0.05</v>
      </c>
      <c r="AD221" s="265">
        <v>0.05</v>
      </c>
      <c r="AE221" s="265">
        <v>0.05</v>
      </c>
      <c r="AF221" s="265">
        <v>0.05</v>
      </c>
      <c r="AG221" s="265">
        <v>0.05</v>
      </c>
      <c r="AH221" s="265">
        <v>0.05</v>
      </c>
      <c r="AI221" s="265">
        <v>0.05</v>
      </c>
      <c r="AJ221" s="265">
        <v>0.05</v>
      </c>
      <c r="AK221" s="265">
        <v>0.05</v>
      </c>
      <c r="AL221" s="266" t="s">
        <v>573</v>
      </c>
      <c r="AM221" s="265">
        <f t="shared" si="68"/>
        <v>0</v>
      </c>
      <c r="AN221" s="266" t="s">
        <v>573</v>
      </c>
      <c r="AO221" s="265">
        <f t="shared" si="66"/>
        <v>0</v>
      </c>
      <c r="AP221" s="266">
        <v>0</v>
      </c>
      <c r="AQ221" s="265">
        <f t="shared" si="69"/>
        <v>0</v>
      </c>
      <c r="AR221" s="266">
        <v>0</v>
      </c>
      <c r="AS221" s="262">
        <f t="shared" si="70"/>
        <v>0</v>
      </c>
      <c r="AT221" s="266">
        <v>0</v>
      </c>
      <c r="AU221" s="260">
        <f t="shared" si="71"/>
        <v>0</v>
      </c>
      <c r="AV221" s="259">
        <v>0</v>
      </c>
      <c r="AW221" s="260">
        <f t="shared" si="72"/>
        <v>0</v>
      </c>
      <c r="AX221" s="261" t="s">
        <v>573</v>
      </c>
      <c r="AY221" s="260">
        <f t="shared" si="73"/>
        <v>0</v>
      </c>
      <c r="AZ221" s="259" t="s">
        <v>573</v>
      </c>
      <c r="BA221" s="260">
        <f t="shared" si="74"/>
        <v>0</v>
      </c>
      <c r="BB221" s="259" t="s">
        <v>573</v>
      </c>
      <c r="BC221" s="260">
        <f t="shared" si="75"/>
        <v>0</v>
      </c>
      <c r="BD221" s="259" t="s">
        <v>573</v>
      </c>
      <c r="BE221" s="260">
        <f t="shared" si="76"/>
        <v>0</v>
      </c>
      <c r="BF221" s="259" t="s">
        <v>573</v>
      </c>
      <c r="BG221" s="260">
        <f t="shared" si="77"/>
        <v>0</v>
      </c>
      <c r="BH221" s="259" t="s">
        <v>573</v>
      </c>
      <c r="BI221" s="260">
        <f t="shared" si="67"/>
        <v>0</v>
      </c>
      <c r="BJ221" s="58"/>
      <c r="BK221" s="220"/>
      <c r="BL221" s="213" t="s">
        <v>1347</v>
      </c>
      <c r="BM221" s="213" t="s">
        <v>683</v>
      </c>
    </row>
    <row r="222" spans="1:65" ht="15.75" customHeight="1">
      <c r="A222" s="213" t="s">
        <v>1437</v>
      </c>
      <c r="B222" s="58" t="s">
        <v>184</v>
      </c>
      <c r="C222" s="58" t="s">
        <v>752</v>
      </c>
      <c r="D222" s="214" t="s">
        <v>186</v>
      </c>
      <c r="E222" s="214" t="s">
        <v>186</v>
      </c>
      <c r="F222" s="215" t="s">
        <v>186</v>
      </c>
      <c r="G222" s="216">
        <v>2016</v>
      </c>
      <c r="H222" s="218" t="s">
        <v>794</v>
      </c>
      <c r="I222" s="218" t="s">
        <v>196</v>
      </c>
      <c r="J222" s="217" t="s">
        <v>890</v>
      </c>
      <c r="K222" s="213" t="s">
        <v>431</v>
      </c>
      <c r="L222" s="213" t="s">
        <v>192</v>
      </c>
      <c r="M222" s="219" t="s">
        <v>1393</v>
      </c>
      <c r="N222" s="265">
        <v>7.45</v>
      </c>
      <c r="O222" s="265">
        <v>7.45</v>
      </c>
      <c r="P222" s="265">
        <v>7.45</v>
      </c>
      <c r="Q222" s="265">
        <v>7.45</v>
      </c>
      <c r="R222" s="265">
        <v>7.45</v>
      </c>
      <c r="S222" s="265">
        <v>7.45</v>
      </c>
      <c r="T222" s="265">
        <v>7.45</v>
      </c>
      <c r="U222" s="265">
        <v>7.45</v>
      </c>
      <c r="V222" s="265">
        <v>7.45</v>
      </c>
      <c r="W222" s="265">
        <v>7.45</v>
      </c>
      <c r="X222" s="265">
        <v>7.45</v>
      </c>
      <c r="Y222" s="265">
        <v>7.45</v>
      </c>
      <c r="Z222" s="265">
        <v>0.05</v>
      </c>
      <c r="AA222" s="265">
        <v>0.05</v>
      </c>
      <c r="AB222" s="265">
        <v>0.05</v>
      </c>
      <c r="AC222" s="265">
        <v>0.05</v>
      </c>
      <c r="AD222" s="265">
        <v>0.05</v>
      </c>
      <c r="AE222" s="265">
        <v>0.05</v>
      </c>
      <c r="AF222" s="265">
        <v>0.05</v>
      </c>
      <c r="AG222" s="265">
        <v>0.05</v>
      </c>
      <c r="AH222" s="265">
        <v>0.05</v>
      </c>
      <c r="AI222" s="265">
        <v>0.05</v>
      </c>
      <c r="AJ222" s="265">
        <v>0.05</v>
      </c>
      <c r="AK222" s="265">
        <v>0.05</v>
      </c>
      <c r="AL222" s="266" t="s">
        <v>573</v>
      </c>
      <c r="AM222" s="265">
        <f t="shared" si="68"/>
        <v>0</v>
      </c>
      <c r="AN222" s="266" t="s">
        <v>573</v>
      </c>
      <c r="AO222" s="265">
        <f t="shared" si="66"/>
        <v>0</v>
      </c>
      <c r="AP222" s="266">
        <v>0</v>
      </c>
      <c r="AQ222" s="265">
        <f t="shared" si="69"/>
        <v>0</v>
      </c>
      <c r="AR222" s="266">
        <v>0</v>
      </c>
      <c r="AS222" s="262">
        <f t="shared" si="70"/>
        <v>0</v>
      </c>
      <c r="AT222" s="266">
        <v>0</v>
      </c>
      <c r="AU222" s="260">
        <f t="shared" si="71"/>
        <v>0</v>
      </c>
      <c r="AV222" s="259">
        <v>0</v>
      </c>
      <c r="AW222" s="260">
        <f t="shared" si="72"/>
        <v>0</v>
      </c>
      <c r="AX222" s="261" t="s">
        <v>573</v>
      </c>
      <c r="AY222" s="260">
        <f t="shared" si="73"/>
        <v>0</v>
      </c>
      <c r="AZ222" s="259" t="s">
        <v>573</v>
      </c>
      <c r="BA222" s="260">
        <f t="shared" si="74"/>
        <v>0</v>
      </c>
      <c r="BB222" s="259" t="s">
        <v>573</v>
      </c>
      <c r="BC222" s="260">
        <f t="shared" si="75"/>
        <v>0</v>
      </c>
      <c r="BD222" s="259" t="s">
        <v>573</v>
      </c>
      <c r="BE222" s="260">
        <f t="shared" si="76"/>
        <v>0</v>
      </c>
      <c r="BF222" s="259" t="s">
        <v>573</v>
      </c>
      <c r="BG222" s="260">
        <f t="shared" si="77"/>
        <v>0</v>
      </c>
      <c r="BH222" s="259" t="s">
        <v>573</v>
      </c>
      <c r="BI222" s="260">
        <f t="shared" si="67"/>
        <v>0</v>
      </c>
      <c r="BJ222" s="58"/>
      <c r="BK222" s="220"/>
      <c r="BL222" s="213" t="s">
        <v>1347</v>
      </c>
      <c r="BM222" s="213" t="s">
        <v>683</v>
      </c>
    </row>
    <row r="223" spans="1:65" ht="15.6" customHeight="1">
      <c r="A223" s="213" t="s">
        <v>1437</v>
      </c>
      <c r="B223" s="58" t="s">
        <v>184</v>
      </c>
      <c r="C223" s="58" t="s">
        <v>752</v>
      </c>
      <c r="D223" s="214" t="s">
        <v>186</v>
      </c>
      <c r="E223" s="214" t="s">
        <v>186</v>
      </c>
      <c r="F223" s="215" t="s">
        <v>186</v>
      </c>
      <c r="G223" s="216">
        <v>2016</v>
      </c>
      <c r="H223" s="218" t="s">
        <v>794</v>
      </c>
      <c r="I223" s="218" t="s">
        <v>196</v>
      </c>
      <c r="J223" s="217" t="s">
        <v>890</v>
      </c>
      <c r="K223" s="213" t="s">
        <v>434</v>
      </c>
      <c r="L223" s="213" t="s">
        <v>192</v>
      </c>
      <c r="M223" s="219" t="s">
        <v>1392</v>
      </c>
      <c r="N223" s="265">
        <v>7.45</v>
      </c>
      <c r="O223" s="265">
        <v>7.45</v>
      </c>
      <c r="P223" s="265">
        <v>7.45</v>
      </c>
      <c r="Q223" s="265">
        <v>7.45</v>
      </c>
      <c r="R223" s="265">
        <v>7.45</v>
      </c>
      <c r="S223" s="265">
        <v>7.45</v>
      </c>
      <c r="T223" s="265">
        <v>7.45</v>
      </c>
      <c r="U223" s="265">
        <v>7.45</v>
      </c>
      <c r="V223" s="265">
        <v>7.45</v>
      </c>
      <c r="W223" s="265">
        <v>7.45</v>
      </c>
      <c r="X223" s="265">
        <v>7.45</v>
      </c>
      <c r="Y223" s="265">
        <v>7.45</v>
      </c>
      <c r="Z223" s="265">
        <v>0.05</v>
      </c>
      <c r="AA223" s="265">
        <v>0.05</v>
      </c>
      <c r="AB223" s="265">
        <v>0.05</v>
      </c>
      <c r="AC223" s="265">
        <v>0.05</v>
      </c>
      <c r="AD223" s="265">
        <v>0.05</v>
      </c>
      <c r="AE223" s="265">
        <v>0.05</v>
      </c>
      <c r="AF223" s="265">
        <v>0.05</v>
      </c>
      <c r="AG223" s="265">
        <v>0.05</v>
      </c>
      <c r="AH223" s="265">
        <v>0.05</v>
      </c>
      <c r="AI223" s="265">
        <v>0.05</v>
      </c>
      <c r="AJ223" s="265">
        <v>0.05</v>
      </c>
      <c r="AK223" s="265">
        <v>0.05</v>
      </c>
      <c r="AL223" s="266" t="s">
        <v>573</v>
      </c>
      <c r="AM223" s="265">
        <f t="shared" si="68"/>
        <v>0</v>
      </c>
      <c r="AN223" s="266" t="s">
        <v>573</v>
      </c>
      <c r="AO223" s="265">
        <f t="shared" si="66"/>
        <v>0</v>
      </c>
      <c r="AP223" s="266">
        <v>0</v>
      </c>
      <c r="AQ223" s="265">
        <f t="shared" si="69"/>
        <v>0</v>
      </c>
      <c r="AR223" s="266">
        <v>0</v>
      </c>
      <c r="AS223" s="262">
        <f t="shared" si="70"/>
        <v>0</v>
      </c>
      <c r="AT223" s="266">
        <v>0</v>
      </c>
      <c r="AU223" s="260">
        <f t="shared" si="71"/>
        <v>0</v>
      </c>
      <c r="AV223" s="259">
        <v>0</v>
      </c>
      <c r="AW223" s="260">
        <f t="shared" si="72"/>
        <v>0</v>
      </c>
      <c r="AX223" s="261" t="s">
        <v>573</v>
      </c>
      <c r="AY223" s="260">
        <f t="shared" si="73"/>
        <v>0</v>
      </c>
      <c r="AZ223" s="259" t="s">
        <v>573</v>
      </c>
      <c r="BA223" s="260">
        <f t="shared" si="74"/>
        <v>0</v>
      </c>
      <c r="BB223" s="259" t="s">
        <v>573</v>
      </c>
      <c r="BC223" s="260">
        <f t="shared" si="75"/>
        <v>0</v>
      </c>
      <c r="BD223" s="259" t="s">
        <v>573</v>
      </c>
      <c r="BE223" s="260">
        <f t="shared" si="76"/>
        <v>0</v>
      </c>
      <c r="BF223" s="259" t="s">
        <v>573</v>
      </c>
      <c r="BG223" s="260">
        <f t="shared" si="77"/>
        <v>0</v>
      </c>
      <c r="BH223" s="259" t="s">
        <v>573</v>
      </c>
      <c r="BI223" s="260">
        <f t="shared" si="67"/>
        <v>0</v>
      </c>
      <c r="BJ223" s="58"/>
      <c r="BK223" s="220"/>
      <c r="BL223" s="213" t="s">
        <v>1347</v>
      </c>
      <c r="BM223" s="213" t="s">
        <v>684</v>
      </c>
    </row>
    <row r="224" spans="1:65" ht="15.6" customHeight="1">
      <c r="A224" s="213" t="s">
        <v>1437</v>
      </c>
      <c r="B224" s="58" t="s">
        <v>184</v>
      </c>
      <c r="C224" s="58" t="s">
        <v>752</v>
      </c>
      <c r="D224" s="214" t="s">
        <v>186</v>
      </c>
      <c r="E224" s="214" t="s">
        <v>186</v>
      </c>
      <c r="F224" s="215" t="s">
        <v>186</v>
      </c>
      <c r="G224" s="216">
        <v>2016</v>
      </c>
      <c r="H224" s="218" t="s">
        <v>794</v>
      </c>
      <c r="I224" s="218" t="s">
        <v>196</v>
      </c>
      <c r="J224" s="217" t="s">
        <v>890</v>
      </c>
      <c r="K224" s="213" t="s">
        <v>434</v>
      </c>
      <c r="L224" s="213" t="s">
        <v>192</v>
      </c>
      <c r="M224" s="219" t="s">
        <v>1393</v>
      </c>
      <c r="N224" s="265">
        <v>7.45</v>
      </c>
      <c r="O224" s="265">
        <v>7.45</v>
      </c>
      <c r="P224" s="265">
        <v>7.45</v>
      </c>
      <c r="Q224" s="265">
        <v>7.45</v>
      </c>
      <c r="R224" s="265">
        <v>7.45</v>
      </c>
      <c r="S224" s="265">
        <v>7.45</v>
      </c>
      <c r="T224" s="265">
        <v>7.45</v>
      </c>
      <c r="U224" s="265">
        <v>7.45</v>
      </c>
      <c r="V224" s="265">
        <v>7.45</v>
      </c>
      <c r="W224" s="265">
        <v>7.45</v>
      </c>
      <c r="X224" s="265">
        <v>7.45</v>
      </c>
      <c r="Y224" s="265">
        <v>7.45</v>
      </c>
      <c r="Z224" s="265">
        <v>0.05</v>
      </c>
      <c r="AA224" s="265">
        <v>0.05</v>
      </c>
      <c r="AB224" s="265">
        <v>0.05</v>
      </c>
      <c r="AC224" s="265">
        <v>0.05</v>
      </c>
      <c r="AD224" s="265">
        <v>0.05</v>
      </c>
      <c r="AE224" s="265">
        <v>0.05</v>
      </c>
      <c r="AF224" s="265">
        <v>0.05</v>
      </c>
      <c r="AG224" s="265">
        <v>0.05</v>
      </c>
      <c r="AH224" s="265">
        <v>0.05</v>
      </c>
      <c r="AI224" s="265">
        <v>0.05</v>
      </c>
      <c r="AJ224" s="265">
        <v>0.05</v>
      </c>
      <c r="AK224" s="265">
        <v>0.05</v>
      </c>
      <c r="AL224" s="266" t="s">
        <v>573</v>
      </c>
      <c r="AM224" s="265">
        <f t="shared" si="68"/>
        <v>0</v>
      </c>
      <c r="AN224" s="266" t="s">
        <v>573</v>
      </c>
      <c r="AO224" s="265">
        <f t="shared" si="66"/>
        <v>0</v>
      </c>
      <c r="AP224" s="266">
        <v>0</v>
      </c>
      <c r="AQ224" s="265">
        <f t="shared" si="69"/>
        <v>0</v>
      </c>
      <c r="AR224" s="266">
        <v>0</v>
      </c>
      <c r="AS224" s="262">
        <f t="shared" si="70"/>
        <v>0</v>
      </c>
      <c r="AT224" s="266">
        <v>0</v>
      </c>
      <c r="AU224" s="260">
        <f t="shared" si="71"/>
        <v>0</v>
      </c>
      <c r="AV224" s="259">
        <v>0</v>
      </c>
      <c r="AW224" s="260">
        <f t="shared" si="72"/>
        <v>0</v>
      </c>
      <c r="AX224" s="261" t="s">
        <v>573</v>
      </c>
      <c r="AY224" s="260">
        <f t="shared" si="73"/>
        <v>0</v>
      </c>
      <c r="AZ224" s="259" t="s">
        <v>573</v>
      </c>
      <c r="BA224" s="260">
        <f t="shared" si="74"/>
        <v>0</v>
      </c>
      <c r="BB224" s="259" t="s">
        <v>573</v>
      </c>
      <c r="BC224" s="260">
        <f t="shared" si="75"/>
        <v>0</v>
      </c>
      <c r="BD224" s="259" t="s">
        <v>573</v>
      </c>
      <c r="BE224" s="260">
        <f t="shared" si="76"/>
        <v>0</v>
      </c>
      <c r="BF224" s="259" t="s">
        <v>573</v>
      </c>
      <c r="BG224" s="260">
        <f t="shared" si="77"/>
        <v>0</v>
      </c>
      <c r="BH224" s="259" t="s">
        <v>573</v>
      </c>
      <c r="BI224" s="260">
        <f t="shared" si="67"/>
        <v>0</v>
      </c>
      <c r="BJ224" s="58"/>
      <c r="BK224" s="220"/>
      <c r="BL224" s="213" t="s">
        <v>1347</v>
      </c>
      <c r="BM224" s="213" t="s">
        <v>684</v>
      </c>
    </row>
    <row r="225" spans="1:65" ht="15.6" customHeight="1">
      <c r="A225" s="213" t="s">
        <v>1437</v>
      </c>
      <c r="B225" s="58" t="s">
        <v>184</v>
      </c>
      <c r="C225" s="58" t="s">
        <v>752</v>
      </c>
      <c r="D225" s="214" t="s">
        <v>186</v>
      </c>
      <c r="E225" s="214" t="s">
        <v>186</v>
      </c>
      <c r="F225" s="215" t="s">
        <v>186</v>
      </c>
      <c r="G225" s="216">
        <v>2016</v>
      </c>
      <c r="H225" s="218" t="s">
        <v>794</v>
      </c>
      <c r="I225" s="218" t="s">
        <v>196</v>
      </c>
      <c r="J225" s="217" t="s">
        <v>890</v>
      </c>
      <c r="K225" s="213" t="s">
        <v>418</v>
      </c>
      <c r="L225" s="213" t="s">
        <v>192</v>
      </c>
      <c r="M225" s="219" t="s">
        <v>1392</v>
      </c>
      <c r="N225" s="265">
        <v>5.1100000000000003</v>
      </c>
      <c r="O225" s="265">
        <v>5.1100000000000003</v>
      </c>
      <c r="P225" s="265">
        <v>5.1100000000000003</v>
      </c>
      <c r="Q225" s="265">
        <v>5.1100000000000003</v>
      </c>
      <c r="R225" s="265">
        <v>5.1100000000000003</v>
      </c>
      <c r="S225" s="265">
        <v>5.1100000000000003</v>
      </c>
      <c r="T225" s="265">
        <v>5.1100000000000003</v>
      </c>
      <c r="U225" s="265">
        <v>5.1100000000000003</v>
      </c>
      <c r="V225" s="265">
        <v>5.1100000000000003</v>
      </c>
      <c r="W225" s="265">
        <v>5.1100000000000003</v>
      </c>
      <c r="X225" s="265">
        <v>5.1100000000000003</v>
      </c>
      <c r="Y225" s="265">
        <v>5.1100000000000003</v>
      </c>
      <c r="Z225" s="265">
        <v>0.05</v>
      </c>
      <c r="AA225" s="265">
        <v>0.05</v>
      </c>
      <c r="AB225" s="265">
        <v>0.05</v>
      </c>
      <c r="AC225" s="265">
        <v>0.05</v>
      </c>
      <c r="AD225" s="265">
        <v>0.05</v>
      </c>
      <c r="AE225" s="265">
        <v>0.05</v>
      </c>
      <c r="AF225" s="265">
        <v>0.05</v>
      </c>
      <c r="AG225" s="265">
        <v>0.05</v>
      </c>
      <c r="AH225" s="265">
        <v>0.05</v>
      </c>
      <c r="AI225" s="265">
        <v>0.05</v>
      </c>
      <c r="AJ225" s="265">
        <v>0.05</v>
      </c>
      <c r="AK225" s="265">
        <v>0.05</v>
      </c>
      <c r="AL225" s="266" t="s">
        <v>573</v>
      </c>
      <c r="AM225" s="265">
        <f t="shared" si="68"/>
        <v>0</v>
      </c>
      <c r="AN225" s="266" t="s">
        <v>573</v>
      </c>
      <c r="AO225" s="265">
        <f t="shared" si="66"/>
        <v>0</v>
      </c>
      <c r="AP225" s="266">
        <v>0</v>
      </c>
      <c r="AQ225" s="265">
        <f t="shared" si="69"/>
        <v>0</v>
      </c>
      <c r="AR225" s="266">
        <v>0</v>
      </c>
      <c r="AS225" s="262">
        <f t="shared" si="70"/>
        <v>0</v>
      </c>
      <c r="AT225" s="266">
        <v>0</v>
      </c>
      <c r="AU225" s="260">
        <f t="shared" si="71"/>
        <v>0</v>
      </c>
      <c r="AV225" s="259">
        <v>0</v>
      </c>
      <c r="AW225" s="260">
        <f t="shared" si="72"/>
        <v>0</v>
      </c>
      <c r="AX225" s="261" t="s">
        <v>573</v>
      </c>
      <c r="AY225" s="260">
        <f t="shared" si="73"/>
        <v>0</v>
      </c>
      <c r="AZ225" s="259" t="s">
        <v>573</v>
      </c>
      <c r="BA225" s="260">
        <f t="shared" si="74"/>
        <v>0</v>
      </c>
      <c r="BB225" s="259" t="s">
        <v>573</v>
      </c>
      <c r="BC225" s="260">
        <f t="shared" si="75"/>
        <v>0</v>
      </c>
      <c r="BD225" s="259" t="s">
        <v>573</v>
      </c>
      <c r="BE225" s="260">
        <f t="shared" si="76"/>
        <v>0</v>
      </c>
      <c r="BF225" s="259">
        <v>0</v>
      </c>
      <c r="BG225" s="260">
        <f t="shared" si="77"/>
        <v>0</v>
      </c>
      <c r="BH225" s="259" t="s">
        <v>573</v>
      </c>
      <c r="BI225" s="260">
        <f t="shared" si="67"/>
        <v>0</v>
      </c>
      <c r="BJ225" s="58"/>
      <c r="BK225" s="220"/>
      <c r="BL225" s="213" t="s">
        <v>1347</v>
      </c>
      <c r="BM225" s="213" t="s">
        <v>682</v>
      </c>
    </row>
    <row r="226" spans="1:65" ht="15.6" customHeight="1">
      <c r="A226" s="213" t="s">
        <v>1437</v>
      </c>
      <c r="B226" s="58" t="s">
        <v>184</v>
      </c>
      <c r="C226" s="58" t="s">
        <v>752</v>
      </c>
      <c r="D226" s="214" t="s">
        <v>186</v>
      </c>
      <c r="E226" s="214" t="s">
        <v>186</v>
      </c>
      <c r="F226" s="215" t="s">
        <v>186</v>
      </c>
      <c r="G226" s="216">
        <v>2016</v>
      </c>
      <c r="H226" s="218" t="s">
        <v>794</v>
      </c>
      <c r="I226" s="218" t="s">
        <v>196</v>
      </c>
      <c r="J226" s="217" t="s">
        <v>890</v>
      </c>
      <c r="K226" s="213" t="s">
        <v>418</v>
      </c>
      <c r="L226" s="213" t="s">
        <v>192</v>
      </c>
      <c r="M226" s="219" t="s">
        <v>1393</v>
      </c>
      <c r="N226" s="265">
        <v>5.1100000000000003</v>
      </c>
      <c r="O226" s="265">
        <v>5.1100000000000003</v>
      </c>
      <c r="P226" s="265">
        <v>5.1100000000000003</v>
      </c>
      <c r="Q226" s="265">
        <v>5.1100000000000003</v>
      </c>
      <c r="R226" s="265">
        <v>5.1100000000000003</v>
      </c>
      <c r="S226" s="265">
        <v>5.1100000000000003</v>
      </c>
      <c r="T226" s="265">
        <v>5.1100000000000003</v>
      </c>
      <c r="U226" s="265">
        <v>5.1100000000000003</v>
      </c>
      <c r="V226" s="265">
        <v>5.1100000000000003</v>
      </c>
      <c r="W226" s="265">
        <v>5.1100000000000003</v>
      </c>
      <c r="X226" s="265">
        <v>5.1100000000000003</v>
      </c>
      <c r="Y226" s="265">
        <v>5.1100000000000003</v>
      </c>
      <c r="Z226" s="265">
        <v>0.05</v>
      </c>
      <c r="AA226" s="265">
        <v>0.05</v>
      </c>
      <c r="AB226" s="265">
        <v>0.05</v>
      </c>
      <c r="AC226" s="265">
        <v>0.05</v>
      </c>
      <c r="AD226" s="265">
        <v>0.05</v>
      </c>
      <c r="AE226" s="265">
        <v>0.05</v>
      </c>
      <c r="AF226" s="265">
        <v>0.05</v>
      </c>
      <c r="AG226" s="265">
        <v>0.05</v>
      </c>
      <c r="AH226" s="265">
        <v>0.05</v>
      </c>
      <c r="AI226" s="265">
        <v>0.05</v>
      </c>
      <c r="AJ226" s="265">
        <v>0.05</v>
      </c>
      <c r="AK226" s="265">
        <v>0.05</v>
      </c>
      <c r="AL226" s="266" t="s">
        <v>573</v>
      </c>
      <c r="AM226" s="265">
        <f t="shared" si="68"/>
        <v>0</v>
      </c>
      <c r="AN226" s="266" t="s">
        <v>573</v>
      </c>
      <c r="AO226" s="265">
        <f t="shared" si="66"/>
        <v>0</v>
      </c>
      <c r="AP226" s="266">
        <v>0</v>
      </c>
      <c r="AQ226" s="265">
        <f t="shared" si="69"/>
        <v>0</v>
      </c>
      <c r="AR226" s="266">
        <v>0</v>
      </c>
      <c r="AS226" s="262">
        <f t="shared" si="70"/>
        <v>0</v>
      </c>
      <c r="AT226" s="266">
        <v>0</v>
      </c>
      <c r="AU226" s="260">
        <f t="shared" si="71"/>
        <v>0</v>
      </c>
      <c r="AV226" s="259">
        <v>0</v>
      </c>
      <c r="AW226" s="260">
        <f t="shared" si="72"/>
        <v>0</v>
      </c>
      <c r="AX226" s="261" t="s">
        <v>573</v>
      </c>
      <c r="AY226" s="260">
        <f t="shared" si="73"/>
        <v>0</v>
      </c>
      <c r="AZ226" s="259" t="s">
        <v>573</v>
      </c>
      <c r="BA226" s="260">
        <f t="shared" si="74"/>
        <v>0</v>
      </c>
      <c r="BB226" s="259" t="s">
        <v>573</v>
      </c>
      <c r="BC226" s="260">
        <f t="shared" si="75"/>
        <v>0</v>
      </c>
      <c r="BD226" s="259" t="s">
        <v>573</v>
      </c>
      <c r="BE226" s="260">
        <f t="shared" si="76"/>
        <v>0</v>
      </c>
      <c r="BF226" s="259">
        <v>6000</v>
      </c>
      <c r="BG226" s="260">
        <f t="shared" si="77"/>
        <v>300</v>
      </c>
      <c r="BH226" s="259">
        <v>6000</v>
      </c>
      <c r="BI226" s="260">
        <f t="shared" si="67"/>
        <v>300</v>
      </c>
      <c r="BJ226" s="58"/>
      <c r="BK226" s="220"/>
      <c r="BL226" s="213" t="s">
        <v>1347</v>
      </c>
      <c r="BM226" s="213" t="s">
        <v>682</v>
      </c>
    </row>
    <row r="227" spans="1:65" ht="15.6" customHeight="1">
      <c r="A227" s="213" t="s">
        <v>1437</v>
      </c>
      <c r="B227" s="58" t="s">
        <v>184</v>
      </c>
      <c r="C227" s="58" t="s">
        <v>752</v>
      </c>
      <c r="D227" s="214" t="s">
        <v>186</v>
      </c>
      <c r="E227" s="214" t="s">
        <v>186</v>
      </c>
      <c r="F227" s="215" t="s">
        <v>186</v>
      </c>
      <c r="G227" s="216">
        <v>2016</v>
      </c>
      <c r="H227" s="218" t="s">
        <v>794</v>
      </c>
      <c r="I227" s="218" t="s">
        <v>196</v>
      </c>
      <c r="J227" s="217" t="s">
        <v>890</v>
      </c>
      <c r="K227" s="213" t="s">
        <v>767</v>
      </c>
      <c r="L227" s="213" t="s">
        <v>192</v>
      </c>
      <c r="M227" s="219" t="s">
        <v>1393</v>
      </c>
      <c r="N227" s="265">
        <v>5.24</v>
      </c>
      <c r="O227" s="265">
        <v>5.24</v>
      </c>
      <c r="P227" s="265">
        <v>5.24</v>
      </c>
      <c r="Q227" s="265">
        <v>5.24</v>
      </c>
      <c r="R227" s="265">
        <v>5.24</v>
      </c>
      <c r="S227" s="265">
        <v>5.24</v>
      </c>
      <c r="T227" s="265">
        <v>5.24</v>
      </c>
      <c r="U227" s="265">
        <v>5.24</v>
      </c>
      <c r="V227" s="265">
        <v>5.24</v>
      </c>
      <c r="W227" s="265">
        <v>5.24</v>
      </c>
      <c r="X227" s="265">
        <v>5.24</v>
      </c>
      <c r="Y227" s="265">
        <v>5.24</v>
      </c>
      <c r="Z227" s="265">
        <v>0.05</v>
      </c>
      <c r="AA227" s="265">
        <v>0.05</v>
      </c>
      <c r="AB227" s="265">
        <v>0.05</v>
      </c>
      <c r="AC227" s="265">
        <v>0.05</v>
      </c>
      <c r="AD227" s="265">
        <v>0.05</v>
      </c>
      <c r="AE227" s="265">
        <v>0.05</v>
      </c>
      <c r="AF227" s="265">
        <v>0.05</v>
      </c>
      <c r="AG227" s="265">
        <v>0.05</v>
      </c>
      <c r="AH227" s="265">
        <v>0.05</v>
      </c>
      <c r="AI227" s="265">
        <v>0.05</v>
      </c>
      <c r="AJ227" s="265">
        <v>0.05</v>
      </c>
      <c r="AK227" s="265">
        <v>0.05</v>
      </c>
      <c r="AL227" s="266" t="s">
        <v>573</v>
      </c>
      <c r="AM227" s="265">
        <f t="shared" si="68"/>
        <v>0</v>
      </c>
      <c r="AN227" s="266" t="s">
        <v>573</v>
      </c>
      <c r="AO227" s="265">
        <f t="shared" si="66"/>
        <v>0</v>
      </c>
      <c r="AP227" s="266">
        <v>0</v>
      </c>
      <c r="AQ227" s="265">
        <f t="shared" si="69"/>
        <v>0</v>
      </c>
      <c r="AR227" s="266">
        <v>0</v>
      </c>
      <c r="AS227" s="262">
        <f t="shared" si="70"/>
        <v>0</v>
      </c>
      <c r="AT227" s="266">
        <v>0</v>
      </c>
      <c r="AU227" s="260">
        <f t="shared" si="71"/>
        <v>0</v>
      </c>
      <c r="AV227" s="259">
        <v>0</v>
      </c>
      <c r="AW227" s="260">
        <f t="shared" si="72"/>
        <v>0</v>
      </c>
      <c r="AX227" s="261" t="s">
        <v>573</v>
      </c>
      <c r="AY227" s="260">
        <f t="shared" si="73"/>
        <v>0</v>
      </c>
      <c r="AZ227" s="259" t="s">
        <v>573</v>
      </c>
      <c r="BA227" s="260">
        <f t="shared" si="74"/>
        <v>0</v>
      </c>
      <c r="BB227" s="259" t="s">
        <v>573</v>
      </c>
      <c r="BC227" s="260">
        <f t="shared" si="75"/>
        <v>0</v>
      </c>
      <c r="BD227" s="259" t="s">
        <v>573</v>
      </c>
      <c r="BE227" s="260">
        <f t="shared" si="76"/>
        <v>0</v>
      </c>
      <c r="BF227" s="259">
        <v>0</v>
      </c>
      <c r="BG227" s="260">
        <f t="shared" si="77"/>
        <v>0</v>
      </c>
      <c r="BH227" s="259" t="s">
        <v>573</v>
      </c>
      <c r="BI227" s="260">
        <f t="shared" si="67"/>
        <v>0</v>
      </c>
      <c r="BJ227" s="58"/>
      <c r="BK227" s="220"/>
      <c r="BL227" s="213" t="s">
        <v>1347</v>
      </c>
      <c r="BM227" s="213" t="s">
        <v>696</v>
      </c>
    </row>
    <row r="228" spans="1:65" ht="15.6" customHeight="1">
      <c r="A228" s="213" t="s">
        <v>1437</v>
      </c>
      <c r="B228" s="58" t="s">
        <v>184</v>
      </c>
      <c r="C228" s="58" t="s">
        <v>752</v>
      </c>
      <c r="D228" s="214" t="s">
        <v>186</v>
      </c>
      <c r="E228" s="214" t="s">
        <v>186</v>
      </c>
      <c r="F228" s="215" t="s">
        <v>186</v>
      </c>
      <c r="G228" s="216">
        <v>2016</v>
      </c>
      <c r="H228" s="218" t="s">
        <v>794</v>
      </c>
      <c r="I228" s="218" t="s">
        <v>196</v>
      </c>
      <c r="J228" s="217" t="s">
        <v>890</v>
      </c>
      <c r="K228" s="213" t="s">
        <v>767</v>
      </c>
      <c r="L228" s="213" t="s">
        <v>192</v>
      </c>
      <c r="M228" s="219" t="s">
        <v>1392</v>
      </c>
      <c r="N228" s="265">
        <v>5.24</v>
      </c>
      <c r="O228" s="265">
        <v>5.24</v>
      </c>
      <c r="P228" s="265">
        <v>5.24</v>
      </c>
      <c r="Q228" s="265">
        <v>5.24</v>
      </c>
      <c r="R228" s="265">
        <v>5.24</v>
      </c>
      <c r="S228" s="265">
        <v>5.24</v>
      </c>
      <c r="T228" s="265">
        <v>5.24</v>
      </c>
      <c r="U228" s="265">
        <v>5.24</v>
      </c>
      <c r="V228" s="265">
        <v>5.24</v>
      </c>
      <c r="W228" s="265">
        <v>5.24</v>
      </c>
      <c r="X228" s="265">
        <v>5.24</v>
      </c>
      <c r="Y228" s="265">
        <v>5.24</v>
      </c>
      <c r="Z228" s="265">
        <v>0.05</v>
      </c>
      <c r="AA228" s="265">
        <v>0.05</v>
      </c>
      <c r="AB228" s="265">
        <v>0.05</v>
      </c>
      <c r="AC228" s="265">
        <v>0.05</v>
      </c>
      <c r="AD228" s="265">
        <v>0.05</v>
      </c>
      <c r="AE228" s="265">
        <v>0.05</v>
      </c>
      <c r="AF228" s="265">
        <v>0.05</v>
      </c>
      <c r="AG228" s="265">
        <v>0.05</v>
      </c>
      <c r="AH228" s="265">
        <v>0.05</v>
      </c>
      <c r="AI228" s="265">
        <v>0.05</v>
      </c>
      <c r="AJ228" s="265">
        <v>0.05</v>
      </c>
      <c r="AK228" s="265">
        <v>0.05</v>
      </c>
      <c r="AL228" s="266" t="s">
        <v>573</v>
      </c>
      <c r="AM228" s="265">
        <f t="shared" si="68"/>
        <v>0</v>
      </c>
      <c r="AN228" s="266" t="s">
        <v>573</v>
      </c>
      <c r="AO228" s="265">
        <f t="shared" si="66"/>
        <v>0</v>
      </c>
      <c r="AP228" s="266">
        <v>0</v>
      </c>
      <c r="AQ228" s="265">
        <f t="shared" si="69"/>
        <v>0</v>
      </c>
      <c r="AR228" s="266">
        <v>0</v>
      </c>
      <c r="AS228" s="262">
        <f t="shared" si="70"/>
        <v>0</v>
      </c>
      <c r="AT228" s="266">
        <v>0</v>
      </c>
      <c r="AU228" s="260">
        <f t="shared" si="71"/>
        <v>0</v>
      </c>
      <c r="AV228" s="259">
        <v>0</v>
      </c>
      <c r="AW228" s="260">
        <f t="shared" si="72"/>
        <v>0</v>
      </c>
      <c r="AX228" s="261" t="s">
        <v>573</v>
      </c>
      <c r="AY228" s="260">
        <f t="shared" si="73"/>
        <v>0</v>
      </c>
      <c r="AZ228" s="259" t="s">
        <v>573</v>
      </c>
      <c r="BA228" s="260">
        <f t="shared" si="74"/>
        <v>0</v>
      </c>
      <c r="BB228" s="259" t="s">
        <v>573</v>
      </c>
      <c r="BC228" s="260">
        <f t="shared" si="75"/>
        <v>0</v>
      </c>
      <c r="BD228" s="259" t="s">
        <v>573</v>
      </c>
      <c r="BE228" s="260">
        <f t="shared" si="76"/>
        <v>0</v>
      </c>
      <c r="BF228" s="259">
        <v>3000</v>
      </c>
      <c r="BG228" s="260">
        <f t="shared" si="77"/>
        <v>150</v>
      </c>
      <c r="BH228" s="259" t="s">
        <v>573</v>
      </c>
      <c r="BI228" s="260">
        <f t="shared" si="67"/>
        <v>0</v>
      </c>
      <c r="BJ228" s="58"/>
      <c r="BK228" s="220"/>
      <c r="BL228" s="213" t="s">
        <v>1347</v>
      </c>
      <c r="BM228" s="213" t="s">
        <v>696</v>
      </c>
    </row>
    <row r="229" spans="1:65" ht="15.6" customHeight="1">
      <c r="A229" s="213" t="s">
        <v>1437</v>
      </c>
      <c r="B229" s="58" t="s">
        <v>184</v>
      </c>
      <c r="C229" s="58" t="s">
        <v>752</v>
      </c>
      <c r="D229" s="214" t="s">
        <v>186</v>
      </c>
      <c r="E229" s="214" t="s">
        <v>186</v>
      </c>
      <c r="F229" s="215" t="s">
        <v>186</v>
      </c>
      <c r="G229" s="216">
        <v>2016</v>
      </c>
      <c r="H229" s="218" t="s">
        <v>794</v>
      </c>
      <c r="I229" s="218" t="s">
        <v>196</v>
      </c>
      <c r="J229" s="217" t="s">
        <v>890</v>
      </c>
      <c r="K229" s="213" t="s">
        <v>769</v>
      </c>
      <c r="L229" s="213" t="s">
        <v>192</v>
      </c>
      <c r="M229" s="219" t="s">
        <v>1393</v>
      </c>
      <c r="N229" s="265">
        <v>5.24</v>
      </c>
      <c r="O229" s="265">
        <v>5.24</v>
      </c>
      <c r="P229" s="265">
        <v>5.24</v>
      </c>
      <c r="Q229" s="265">
        <v>5.24</v>
      </c>
      <c r="R229" s="265">
        <v>5.24</v>
      </c>
      <c r="S229" s="265">
        <v>5.24</v>
      </c>
      <c r="T229" s="265">
        <v>5.24</v>
      </c>
      <c r="U229" s="265">
        <v>5.24</v>
      </c>
      <c r="V229" s="265">
        <v>5.24</v>
      </c>
      <c r="W229" s="265">
        <v>5.24</v>
      </c>
      <c r="X229" s="265">
        <v>5.24</v>
      </c>
      <c r="Y229" s="265">
        <v>5.24</v>
      </c>
      <c r="Z229" s="265">
        <v>0.05</v>
      </c>
      <c r="AA229" s="265">
        <v>0.05</v>
      </c>
      <c r="AB229" s="265">
        <v>0.05</v>
      </c>
      <c r="AC229" s="265">
        <v>0.05</v>
      </c>
      <c r="AD229" s="265">
        <v>0.05</v>
      </c>
      <c r="AE229" s="265">
        <v>0.05</v>
      </c>
      <c r="AF229" s="265">
        <v>0.05</v>
      </c>
      <c r="AG229" s="265">
        <v>0.05</v>
      </c>
      <c r="AH229" s="265">
        <v>0.05</v>
      </c>
      <c r="AI229" s="265">
        <v>0.05</v>
      </c>
      <c r="AJ229" s="265">
        <v>0.05</v>
      </c>
      <c r="AK229" s="265">
        <v>0.05</v>
      </c>
      <c r="AL229" s="266" t="s">
        <v>573</v>
      </c>
      <c r="AM229" s="265">
        <f t="shared" si="68"/>
        <v>0</v>
      </c>
      <c r="AN229" s="266" t="s">
        <v>573</v>
      </c>
      <c r="AO229" s="265">
        <f t="shared" si="66"/>
        <v>0</v>
      </c>
      <c r="AP229" s="266">
        <v>0</v>
      </c>
      <c r="AQ229" s="265">
        <f t="shared" si="69"/>
        <v>0</v>
      </c>
      <c r="AR229" s="266">
        <v>0</v>
      </c>
      <c r="AS229" s="262">
        <f t="shared" si="70"/>
        <v>0</v>
      </c>
      <c r="AT229" s="266">
        <v>0</v>
      </c>
      <c r="AU229" s="260">
        <f t="shared" si="71"/>
        <v>0</v>
      </c>
      <c r="AV229" s="259">
        <v>0</v>
      </c>
      <c r="AW229" s="260">
        <f t="shared" si="72"/>
        <v>0</v>
      </c>
      <c r="AX229" s="261" t="s">
        <v>573</v>
      </c>
      <c r="AY229" s="260">
        <f t="shared" si="73"/>
        <v>0</v>
      </c>
      <c r="AZ229" s="259" t="s">
        <v>573</v>
      </c>
      <c r="BA229" s="260">
        <f t="shared" si="74"/>
        <v>0</v>
      </c>
      <c r="BB229" s="259" t="s">
        <v>573</v>
      </c>
      <c r="BC229" s="260">
        <f t="shared" si="75"/>
        <v>0</v>
      </c>
      <c r="BD229" s="259" t="s">
        <v>573</v>
      </c>
      <c r="BE229" s="260">
        <f t="shared" si="76"/>
        <v>0</v>
      </c>
      <c r="BF229" s="259">
        <v>3000</v>
      </c>
      <c r="BG229" s="260">
        <f t="shared" si="77"/>
        <v>150</v>
      </c>
      <c r="BH229" s="259">
        <v>3000</v>
      </c>
      <c r="BI229" s="260">
        <f t="shared" si="67"/>
        <v>150</v>
      </c>
      <c r="BJ229" s="58"/>
      <c r="BK229" s="220"/>
      <c r="BL229" s="213" t="s">
        <v>1347</v>
      </c>
      <c r="BM229" s="213" t="s">
        <v>697</v>
      </c>
    </row>
    <row r="230" spans="1:65" ht="15.6" customHeight="1">
      <c r="A230" s="213" t="s">
        <v>1437</v>
      </c>
      <c r="B230" s="58" t="s">
        <v>184</v>
      </c>
      <c r="C230" s="58" t="s">
        <v>752</v>
      </c>
      <c r="D230" s="214" t="s">
        <v>186</v>
      </c>
      <c r="E230" s="214" t="s">
        <v>186</v>
      </c>
      <c r="F230" s="215" t="s">
        <v>186</v>
      </c>
      <c r="G230" s="216">
        <v>2016</v>
      </c>
      <c r="H230" s="218" t="s">
        <v>794</v>
      </c>
      <c r="I230" s="218" t="s">
        <v>196</v>
      </c>
      <c r="J230" s="217" t="s">
        <v>890</v>
      </c>
      <c r="K230" s="213" t="s">
        <v>769</v>
      </c>
      <c r="L230" s="213" t="s">
        <v>192</v>
      </c>
      <c r="M230" s="219" t="s">
        <v>1392</v>
      </c>
      <c r="N230" s="265">
        <v>5.24</v>
      </c>
      <c r="O230" s="265">
        <v>5.24</v>
      </c>
      <c r="P230" s="265">
        <v>5.24</v>
      </c>
      <c r="Q230" s="265">
        <v>5.24</v>
      </c>
      <c r="R230" s="265">
        <v>5.24</v>
      </c>
      <c r="S230" s="265">
        <v>5.24</v>
      </c>
      <c r="T230" s="265">
        <v>5.24</v>
      </c>
      <c r="U230" s="265">
        <v>5.24</v>
      </c>
      <c r="V230" s="265">
        <v>5.24</v>
      </c>
      <c r="W230" s="265">
        <v>5.24</v>
      </c>
      <c r="X230" s="265">
        <v>5.24</v>
      </c>
      <c r="Y230" s="265">
        <v>5.24</v>
      </c>
      <c r="Z230" s="265">
        <v>0.05</v>
      </c>
      <c r="AA230" s="265">
        <v>0.05</v>
      </c>
      <c r="AB230" s="265">
        <v>0.05</v>
      </c>
      <c r="AC230" s="265">
        <v>0.05</v>
      </c>
      <c r="AD230" s="265">
        <v>0.05</v>
      </c>
      <c r="AE230" s="265">
        <v>0.05</v>
      </c>
      <c r="AF230" s="265">
        <v>0.05</v>
      </c>
      <c r="AG230" s="265">
        <v>0.05</v>
      </c>
      <c r="AH230" s="265">
        <v>0.05</v>
      </c>
      <c r="AI230" s="265">
        <v>0.05</v>
      </c>
      <c r="AJ230" s="265">
        <v>0.05</v>
      </c>
      <c r="AK230" s="265">
        <v>0.05</v>
      </c>
      <c r="AL230" s="266" t="s">
        <v>573</v>
      </c>
      <c r="AM230" s="265">
        <f t="shared" si="68"/>
        <v>0</v>
      </c>
      <c r="AN230" s="266" t="s">
        <v>573</v>
      </c>
      <c r="AO230" s="265">
        <f t="shared" si="66"/>
        <v>0</v>
      </c>
      <c r="AP230" s="266">
        <v>0</v>
      </c>
      <c r="AQ230" s="265">
        <f t="shared" si="69"/>
        <v>0</v>
      </c>
      <c r="AR230" s="266">
        <v>0</v>
      </c>
      <c r="AS230" s="262">
        <f t="shared" si="70"/>
        <v>0</v>
      </c>
      <c r="AT230" s="266">
        <v>0</v>
      </c>
      <c r="AU230" s="260">
        <f t="shared" si="71"/>
        <v>0</v>
      </c>
      <c r="AV230" s="259">
        <v>0</v>
      </c>
      <c r="AW230" s="260">
        <f t="shared" si="72"/>
        <v>0</v>
      </c>
      <c r="AX230" s="261" t="s">
        <v>573</v>
      </c>
      <c r="AY230" s="260">
        <f t="shared" si="73"/>
        <v>0</v>
      </c>
      <c r="AZ230" s="259" t="s">
        <v>573</v>
      </c>
      <c r="BA230" s="260">
        <f t="shared" si="74"/>
        <v>0</v>
      </c>
      <c r="BB230" s="259" t="s">
        <v>573</v>
      </c>
      <c r="BC230" s="260">
        <f t="shared" si="75"/>
        <v>0</v>
      </c>
      <c r="BD230" s="259" t="s">
        <v>573</v>
      </c>
      <c r="BE230" s="260">
        <f t="shared" si="76"/>
        <v>0</v>
      </c>
      <c r="BF230" s="259">
        <v>9000</v>
      </c>
      <c r="BG230" s="260">
        <f t="shared" si="77"/>
        <v>450</v>
      </c>
      <c r="BH230" s="259" t="s">
        <v>573</v>
      </c>
      <c r="BI230" s="260">
        <f t="shared" si="67"/>
        <v>0</v>
      </c>
      <c r="BJ230" s="58"/>
      <c r="BK230" s="220"/>
      <c r="BL230" s="213" t="s">
        <v>1347</v>
      </c>
      <c r="BM230" s="213" t="s">
        <v>697</v>
      </c>
    </row>
    <row r="231" spans="1:65" ht="15.6" customHeight="1">
      <c r="A231" s="213" t="s">
        <v>1437</v>
      </c>
      <c r="B231" s="58" t="s">
        <v>184</v>
      </c>
      <c r="C231" s="58" t="s">
        <v>752</v>
      </c>
      <c r="D231" s="214" t="s">
        <v>186</v>
      </c>
      <c r="E231" s="214" t="s">
        <v>186</v>
      </c>
      <c r="F231" s="215" t="s">
        <v>186</v>
      </c>
      <c r="G231" s="216">
        <v>2016</v>
      </c>
      <c r="H231" s="218" t="s">
        <v>794</v>
      </c>
      <c r="I231" s="218" t="s">
        <v>196</v>
      </c>
      <c r="J231" s="217" t="s">
        <v>890</v>
      </c>
      <c r="K231" s="213" t="s">
        <v>770</v>
      </c>
      <c r="L231" s="213" t="s">
        <v>192</v>
      </c>
      <c r="M231" s="219" t="s">
        <v>1392</v>
      </c>
      <c r="N231" s="265">
        <v>7.45</v>
      </c>
      <c r="O231" s="265">
        <v>7.45</v>
      </c>
      <c r="P231" s="265">
        <v>7.45</v>
      </c>
      <c r="Q231" s="265">
        <v>7.45</v>
      </c>
      <c r="R231" s="265">
        <v>7.45</v>
      </c>
      <c r="S231" s="265">
        <v>7.45</v>
      </c>
      <c r="T231" s="265">
        <v>7.45</v>
      </c>
      <c r="U231" s="265">
        <v>7.45</v>
      </c>
      <c r="V231" s="265">
        <v>7.45</v>
      </c>
      <c r="W231" s="265">
        <v>7.45</v>
      </c>
      <c r="X231" s="265">
        <v>7.45</v>
      </c>
      <c r="Y231" s="265">
        <v>7.45</v>
      </c>
      <c r="Z231" s="265">
        <v>0.05</v>
      </c>
      <c r="AA231" s="265">
        <v>0.05</v>
      </c>
      <c r="AB231" s="265">
        <v>0.05</v>
      </c>
      <c r="AC231" s="265">
        <v>0.05</v>
      </c>
      <c r="AD231" s="265">
        <v>0.05</v>
      </c>
      <c r="AE231" s="265">
        <v>0.05</v>
      </c>
      <c r="AF231" s="265">
        <v>0.05</v>
      </c>
      <c r="AG231" s="265">
        <v>0.05</v>
      </c>
      <c r="AH231" s="265">
        <v>0.05</v>
      </c>
      <c r="AI231" s="265">
        <v>0.05</v>
      </c>
      <c r="AJ231" s="265">
        <v>0.05</v>
      </c>
      <c r="AK231" s="265">
        <v>0.05</v>
      </c>
      <c r="AL231" s="266" t="s">
        <v>573</v>
      </c>
      <c r="AM231" s="265">
        <f t="shared" si="68"/>
        <v>0</v>
      </c>
      <c r="AN231" s="266" t="s">
        <v>573</v>
      </c>
      <c r="AO231" s="265">
        <f t="shared" si="66"/>
        <v>0</v>
      </c>
      <c r="AP231" s="266">
        <v>0</v>
      </c>
      <c r="AQ231" s="265">
        <f t="shared" si="69"/>
        <v>0</v>
      </c>
      <c r="AR231" s="266">
        <v>0</v>
      </c>
      <c r="AS231" s="262">
        <f t="shared" si="70"/>
        <v>0</v>
      </c>
      <c r="AT231" s="266">
        <v>0</v>
      </c>
      <c r="AU231" s="260">
        <f t="shared" si="71"/>
        <v>0</v>
      </c>
      <c r="AV231" s="259">
        <v>0</v>
      </c>
      <c r="AW231" s="260">
        <f t="shared" si="72"/>
        <v>0</v>
      </c>
      <c r="AX231" s="261" t="s">
        <v>573</v>
      </c>
      <c r="AY231" s="260">
        <f t="shared" si="73"/>
        <v>0</v>
      </c>
      <c r="AZ231" s="259" t="s">
        <v>573</v>
      </c>
      <c r="BA231" s="260">
        <f t="shared" si="74"/>
        <v>0</v>
      </c>
      <c r="BB231" s="259" t="s">
        <v>573</v>
      </c>
      <c r="BC231" s="260">
        <f t="shared" si="75"/>
        <v>0</v>
      </c>
      <c r="BD231" s="259" t="s">
        <v>573</v>
      </c>
      <c r="BE231" s="260">
        <f t="shared" si="76"/>
        <v>0</v>
      </c>
      <c r="BF231" s="259">
        <v>3000</v>
      </c>
      <c r="BG231" s="260">
        <f t="shared" si="77"/>
        <v>150</v>
      </c>
      <c r="BH231" s="259">
        <v>3000</v>
      </c>
      <c r="BI231" s="260">
        <f t="shared" si="67"/>
        <v>150</v>
      </c>
      <c r="BJ231" s="58"/>
      <c r="BK231" s="220"/>
      <c r="BL231" s="213" t="s">
        <v>1347</v>
      </c>
      <c r="BM231" s="213" t="s">
        <v>1492</v>
      </c>
    </row>
    <row r="232" spans="1:65" ht="15.6" customHeight="1">
      <c r="A232" s="213" t="s">
        <v>1437</v>
      </c>
      <c r="B232" s="58" t="s">
        <v>184</v>
      </c>
      <c r="C232" s="58" t="s">
        <v>752</v>
      </c>
      <c r="D232" s="214" t="s">
        <v>186</v>
      </c>
      <c r="E232" s="214" t="s">
        <v>186</v>
      </c>
      <c r="F232" s="215" t="s">
        <v>186</v>
      </c>
      <c r="G232" s="216">
        <v>2016</v>
      </c>
      <c r="H232" s="218" t="s">
        <v>794</v>
      </c>
      <c r="I232" s="218" t="s">
        <v>196</v>
      </c>
      <c r="J232" s="217" t="s">
        <v>890</v>
      </c>
      <c r="K232" s="213" t="s">
        <v>770</v>
      </c>
      <c r="L232" s="213" t="s">
        <v>192</v>
      </c>
      <c r="M232" s="219" t="s">
        <v>1393</v>
      </c>
      <c r="N232" s="265">
        <v>7.45</v>
      </c>
      <c r="O232" s="265">
        <v>7.45</v>
      </c>
      <c r="P232" s="265">
        <v>7.45</v>
      </c>
      <c r="Q232" s="265">
        <v>7.45</v>
      </c>
      <c r="R232" s="265">
        <v>7.45</v>
      </c>
      <c r="S232" s="265">
        <v>7.45</v>
      </c>
      <c r="T232" s="265">
        <v>7.45</v>
      </c>
      <c r="U232" s="265">
        <v>7.45</v>
      </c>
      <c r="V232" s="265">
        <v>7.45</v>
      </c>
      <c r="W232" s="265">
        <v>7.45</v>
      </c>
      <c r="X232" s="265">
        <v>7.45</v>
      </c>
      <c r="Y232" s="265">
        <v>7.45</v>
      </c>
      <c r="Z232" s="265">
        <v>0.05</v>
      </c>
      <c r="AA232" s="265">
        <v>0.05</v>
      </c>
      <c r="AB232" s="265">
        <v>0.05</v>
      </c>
      <c r="AC232" s="265">
        <v>0.05</v>
      </c>
      <c r="AD232" s="265">
        <v>0.05</v>
      </c>
      <c r="AE232" s="265">
        <v>0.05</v>
      </c>
      <c r="AF232" s="265">
        <v>0.05</v>
      </c>
      <c r="AG232" s="265">
        <v>0.05</v>
      </c>
      <c r="AH232" s="265">
        <v>0.05</v>
      </c>
      <c r="AI232" s="265">
        <v>0.05</v>
      </c>
      <c r="AJ232" s="265">
        <v>0.05</v>
      </c>
      <c r="AK232" s="265">
        <v>0.05</v>
      </c>
      <c r="AL232" s="266" t="s">
        <v>573</v>
      </c>
      <c r="AM232" s="265">
        <f t="shared" si="68"/>
        <v>0</v>
      </c>
      <c r="AN232" s="266" t="s">
        <v>573</v>
      </c>
      <c r="AO232" s="265">
        <f t="shared" si="66"/>
        <v>0</v>
      </c>
      <c r="AP232" s="266">
        <v>0</v>
      </c>
      <c r="AQ232" s="265">
        <f t="shared" si="69"/>
        <v>0</v>
      </c>
      <c r="AR232" s="266">
        <v>0</v>
      </c>
      <c r="AS232" s="262">
        <f t="shared" si="70"/>
        <v>0</v>
      </c>
      <c r="AT232" s="266">
        <v>0</v>
      </c>
      <c r="AU232" s="260">
        <f t="shared" si="71"/>
        <v>0</v>
      </c>
      <c r="AV232" s="259">
        <v>0</v>
      </c>
      <c r="AW232" s="260">
        <f t="shared" si="72"/>
        <v>0</v>
      </c>
      <c r="AX232" s="261" t="s">
        <v>573</v>
      </c>
      <c r="AY232" s="260">
        <f t="shared" si="73"/>
        <v>0</v>
      </c>
      <c r="AZ232" s="259" t="s">
        <v>573</v>
      </c>
      <c r="BA232" s="260">
        <f t="shared" si="74"/>
        <v>0</v>
      </c>
      <c r="BB232" s="259" t="s">
        <v>573</v>
      </c>
      <c r="BC232" s="260">
        <f t="shared" si="75"/>
        <v>0</v>
      </c>
      <c r="BD232" s="259" t="s">
        <v>573</v>
      </c>
      <c r="BE232" s="260">
        <f t="shared" si="76"/>
        <v>0</v>
      </c>
      <c r="BF232" s="259">
        <v>3000</v>
      </c>
      <c r="BG232" s="260">
        <f t="shared" si="77"/>
        <v>150</v>
      </c>
      <c r="BH232" s="259">
        <v>3000</v>
      </c>
      <c r="BI232" s="260">
        <f t="shared" si="67"/>
        <v>150</v>
      </c>
      <c r="BJ232" s="58"/>
      <c r="BK232" s="220"/>
      <c r="BL232" s="213" t="s">
        <v>1347</v>
      </c>
      <c r="BM232" s="213" t="s">
        <v>1492</v>
      </c>
    </row>
    <row r="233" spans="1:65" ht="15.6" customHeight="1">
      <c r="A233" s="213" t="s">
        <v>1437</v>
      </c>
      <c r="B233" s="58" t="s">
        <v>184</v>
      </c>
      <c r="C233" s="58" t="s">
        <v>752</v>
      </c>
      <c r="D233" s="214" t="s">
        <v>186</v>
      </c>
      <c r="E233" s="214" t="s">
        <v>186</v>
      </c>
      <c r="F233" s="215" t="s">
        <v>186</v>
      </c>
      <c r="G233" s="216">
        <v>2016</v>
      </c>
      <c r="H233" s="218" t="s">
        <v>794</v>
      </c>
      <c r="I233" s="218" t="s">
        <v>196</v>
      </c>
      <c r="J233" s="217" t="s">
        <v>890</v>
      </c>
      <c r="K233" s="213" t="s">
        <v>773</v>
      </c>
      <c r="L233" s="213" t="s">
        <v>192</v>
      </c>
      <c r="M233" s="219" t="s">
        <v>1392</v>
      </c>
      <c r="N233" s="265">
        <v>7.45</v>
      </c>
      <c r="O233" s="265">
        <v>7.45</v>
      </c>
      <c r="P233" s="265">
        <v>7.45</v>
      </c>
      <c r="Q233" s="265">
        <v>7.45</v>
      </c>
      <c r="R233" s="265">
        <v>7.45</v>
      </c>
      <c r="S233" s="265">
        <v>7.45</v>
      </c>
      <c r="T233" s="265">
        <v>7.45</v>
      </c>
      <c r="U233" s="265">
        <v>7.45</v>
      </c>
      <c r="V233" s="265">
        <v>7.45</v>
      </c>
      <c r="W233" s="265">
        <v>7.45</v>
      </c>
      <c r="X233" s="265">
        <v>7.45</v>
      </c>
      <c r="Y233" s="265">
        <v>7.45</v>
      </c>
      <c r="Z233" s="265">
        <v>0.05</v>
      </c>
      <c r="AA233" s="265">
        <v>0.05</v>
      </c>
      <c r="AB233" s="265">
        <v>0.05</v>
      </c>
      <c r="AC233" s="265">
        <v>0.05</v>
      </c>
      <c r="AD233" s="265">
        <v>0.05</v>
      </c>
      <c r="AE233" s="265">
        <v>0.05</v>
      </c>
      <c r="AF233" s="265">
        <v>0.05</v>
      </c>
      <c r="AG233" s="265">
        <v>0.05</v>
      </c>
      <c r="AH233" s="265">
        <v>0.05</v>
      </c>
      <c r="AI233" s="265">
        <v>0.05</v>
      </c>
      <c r="AJ233" s="265">
        <v>0.05</v>
      </c>
      <c r="AK233" s="265">
        <v>0.05</v>
      </c>
      <c r="AL233" s="266" t="s">
        <v>573</v>
      </c>
      <c r="AM233" s="265">
        <f t="shared" si="68"/>
        <v>0</v>
      </c>
      <c r="AN233" s="266" t="s">
        <v>573</v>
      </c>
      <c r="AO233" s="265">
        <f t="shared" si="66"/>
        <v>0</v>
      </c>
      <c r="AP233" s="266">
        <v>0</v>
      </c>
      <c r="AQ233" s="265">
        <f t="shared" si="69"/>
        <v>0</v>
      </c>
      <c r="AR233" s="266">
        <v>0</v>
      </c>
      <c r="AS233" s="262">
        <f t="shared" si="70"/>
        <v>0</v>
      </c>
      <c r="AT233" s="266">
        <v>0</v>
      </c>
      <c r="AU233" s="260">
        <f t="shared" si="71"/>
        <v>0</v>
      </c>
      <c r="AV233" s="259">
        <v>0</v>
      </c>
      <c r="AW233" s="260">
        <f t="shared" si="72"/>
        <v>0</v>
      </c>
      <c r="AX233" s="261" t="s">
        <v>573</v>
      </c>
      <c r="AY233" s="260">
        <f t="shared" si="73"/>
        <v>0</v>
      </c>
      <c r="AZ233" s="259" t="s">
        <v>573</v>
      </c>
      <c r="BA233" s="260">
        <f t="shared" si="74"/>
        <v>0</v>
      </c>
      <c r="BB233" s="259" t="s">
        <v>573</v>
      </c>
      <c r="BC233" s="260">
        <f t="shared" si="75"/>
        <v>0</v>
      </c>
      <c r="BD233" s="259" t="s">
        <v>573</v>
      </c>
      <c r="BE233" s="260">
        <f t="shared" si="76"/>
        <v>0</v>
      </c>
      <c r="BF233" s="259">
        <v>3000</v>
      </c>
      <c r="BG233" s="260">
        <f t="shared" si="77"/>
        <v>150</v>
      </c>
      <c r="BH233" s="259" t="s">
        <v>573</v>
      </c>
      <c r="BI233" s="260">
        <f t="shared" si="67"/>
        <v>0</v>
      </c>
      <c r="BJ233" s="58"/>
      <c r="BK233" s="220"/>
      <c r="BL233" s="213" t="s">
        <v>1347</v>
      </c>
      <c r="BM233" s="213" t="s">
        <v>1493</v>
      </c>
    </row>
    <row r="234" spans="1:65" ht="15.6" customHeight="1">
      <c r="A234" s="213" t="s">
        <v>1437</v>
      </c>
      <c r="B234" s="58" t="s">
        <v>184</v>
      </c>
      <c r="C234" s="58" t="s">
        <v>752</v>
      </c>
      <c r="D234" s="214" t="s">
        <v>186</v>
      </c>
      <c r="E234" s="214" t="s">
        <v>186</v>
      </c>
      <c r="F234" s="215" t="s">
        <v>186</v>
      </c>
      <c r="G234" s="216">
        <v>2016</v>
      </c>
      <c r="H234" s="218" t="s">
        <v>794</v>
      </c>
      <c r="I234" s="218" t="s">
        <v>196</v>
      </c>
      <c r="J234" s="217" t="s">
        <v>890</v>
      </c>
      <c r="K234" s="213" t="s">
        <v>773</v>
      </c>
      <c r="L234" s="213" t="s">
        <v>192</v>
      </c>
      <c r="M234" s="219" t="s">
        <v>1393</v>
      </c>
      <c r="N234" s="265">
        <v>7.45</v>
      </c>
      <c r="O234" s="265">
        <v>7.45</v>
      </c>
      <c r="P234" s="265">
        <v>7.45</v>
      </c>
      <c r="Q234" s="265">
        <v>7.45</v>
      </c>
      <c r="R234" s="265">
        <v>7.45</v>
      </c>
      <c r="S234" s="265">
        <v>7.45</v>
      </c>
      <c r="T234" s="265">
        <v>7.45</v>
      </c>
      <c r="U234" s="265">
        <v>7.45</v>
      </c>
      <c r="V234" s="265">
        <v>7.45</v>
      </c>
      <c r="W234" s="265">
        <v>7.45</v>
      </c>
      <c r="X234" s="265">
        <v>7.45</v>
      </c>
      <c r="Y234" s="265">
        <v>7.45</v>
      </c>
      <c r="Z234" s="265">
        <v>0.05</v>
      </c>
      <c r="AA234" s="265">
        <v>0.05</v>
      </c>
      <c r="AB234" s="265">
        <v>0.05</v>
      </c>
      <c r="AC234" s="265">
        <v>0.05</v>
      </c>
      <c r="AD234" s="265">
        <v>0.05</v>
      </c>
      <c r="AE234" s="265">
        <v>0.05</v>
      </c>
      <c r="AF234" s="265">
        <v>0.05</v>
      </c>
      <c r="AG234" s="265">
        <v>0.05</v>
      </c>
      <c r="AH234" s="265">
        <v>0.05</v>
      </c>
      <c r="AI234" s="265">
        <v>0.05</v>
      </c>
      <c r="AJ234" s="265">
        <v>0.05</v>
      </c>
      <c r="AK234" s="265">
        <v>0.05</v>
      </c>
      <c r="AL234" s="266" t="s">
        <v>573</v>
      </c>
      <c r="AM234" s="265">
        <f t="shared" si="68"/>
        <v>0</v>
      </c>
      <c r="AN234" s="266" t="s">
        <v>573</v>
      </c>
      <c r="AO234" s="265">
        <f t="shared" si="66"/>
        <v>0</v>
      </c>
      <c r="AP234" s="266">
        <v>0</v>
      </c>
      <c r="AQ234" s="265">
        <f t="shared" si="69"/>
        <v>0</v>
      </c>
      <c r="AR234" s="266">
        <v>0</v>
      </c>
      <c r="AS234" s="262">
        <f t="shared" si="70"/>
        <v>0</v>
      </c>
      <c r="AT234" s="266">
        <v>0</v>
      </c>
      <c r="AU234" s="260">
        <f t="shared" si="71"/>
        <v>0</v>
      </c>
      <c r="AV234" s="259">
        <v>0</v>
      </c>
      <c r="AW234" s="260">
        <f t="shared" si="72"/>
        <v>0</v>
      </c>
      <c r="AX234" s="261" t="s">
        <v>573</v>
      </c>
      <c r="AY234" s="260">
        <f t="shared" si="73"/>
        <v>0</v>
      </c>
      <c r="AZ234" s="259" t="s">
        <v>573</v>
      </c>
      <c r="BA234" s="260">
        <f t="shared" si="74"/>
        <v>0</v>
      </c>
      <c r="BB234" s="259" t="s">
        <v>573</v>
      </c>
      <c r="BC234" s="260">
        <f t="shared" si="75"/>
        <v>0</v>
      </c>
      <c r="BD234" s="259" t="s">
        <v>573</v>
      </c>
      <c r="BE234" s="260">
        <f t="shared" si="76"/>
        <v>0</v>
      </c>
      <c r="BF234" s="259">
        <v>0</v>
      </c>
      <c r="BG234" s="260">
        <f t="shared" si="77"/>
        <v>0</v>
      </c>
      <c r="BH234" s="259">
        <v>3000</v>
      </c>
      <c r="BI234" s="260">
        <f t="shared" si="67"/>
        <v>150</v>
      </c>
      <c r="BJ234" s="58"/>
      <c r="BK234" s="220"/>
      <c r="BL234" s="213" t="s">
        <v>1347</v>
      </c>
      <c r="BM234" s="213" t="s">
        <v>1493</v>
      </c>
    </row>
    <row r="235" spans="1:65" ht="15.6" customHeight="1">
      <c r="A235" s="213" t="s">
        <v>1437</v>
      </c>
      <c r="B235" s="58" t="s">
        <v>184</v>
      </c>
      <c r="C235" s="58" t="s">
        <v>752</v>
      </c>
      <c r="D235" s="214" t="s">
        <v>186</v>
      </c>
      <c r="E235" s="214" t="s">
        <v>186</v>
      </c>
      <c r="F235" s="215" t="s">
        <v>186</v>
      </c>
      <c r="G235" s="216">
        <v>2016</v>
      </c>
      <c r="H235" s="218" t="s">
        <v>794</v>
      </c>
      <c r="I235" s="218" t="s">
        <v>196</v>
      </c>
      <c r="J235" s="217" t="s">
        <v>890</v>
      </c>
      <c r="K235" s="213" t="s">
        <v>249</v>
      </c>
      <c r="L235" s="213" t="s">
        <v>192</v>
      </c>
      <c r="M235" s="219" t="s">
        <v>1399</v>
      </c>
      <c r="N235" s="265">
        <v>5.24</v>
      </c>
      <c r="O235" s="265">
        <v>5.24</v>
      </c>
      <c r="P235" s="265">
        <v>5.24</v>
      </c>
      <c r="Q235" s="265">
        <v>5.24</v>
      </c>
      <c r="R235" s="265">
        <v>5.24</v>
      </c>
      <c r="S235" s="265">
        <v>5.24</v>
      </c>
      <c r="T235" s="265">
        <v>5.24</v>
      </c>
      <c r="U235" s="265">
        <v>5.24</v>
      </c>
      <c r="V235" s="265">
        <v>5.24</v>
      </c>
      <c r="W235" s="265">
        <v>5.24</v>
      </c>
      <c r="X235" s="265">
        <v>5.24</v>
      </c>
      <c r="Y235" s="265">
        <v>5.24</v>
      </c>
      <c r="Z235" s="265">
        <v>0.05</v>
      </c>
      <c r="AA235" s="265">
        <v>0.05</v>
      </c>
      <c r="AB235" s="265">
        <v>0.05</v>
      </c>
      <c r="AC235" s="265">
        <v>0.05</v>
      </c>
      <c r="AD235" s="265">
        <v>0.05</v>
      </c>
      <c r="AE235" s="265">
        <v>0.05</v>
      </c>
      <c r="AF235" s="265">
        <v>0.05</v>
      </c>
      <c r="AG235" s="265">
        <v>0.05</v>
      </c>
      <c r="AH235" s="265">
        <v>0.05</v>
      </c>
      <c r="AI235" s="265">
        <v>0.05</v>
      </c>
      <c r="AJ235" s="265">
        <v>0.05</v>
      </c>
      <c r="AK235" s="265">
        <v>0.05</v>
      </c>
      <c r="AL235" s="266" t="s">
        <v>573</v>
      </c>
      <c r="AM235" s="265">
        <f t="shared" si="68"/>
        <v>0</v>
      </c>
      <c r="AN235" s="266" t="s">
        <v>573</v>
      </c>
      <c r="AO235" s="265">
        <f t="shared" si="66"/>
        <v>0</v>
      </c>
      <c r="AP235" s="266">
        <v>0</v>
      </c>
      <c r="AQ235" s="265">
        <f t="shared" si="69"/>
        <v>0</v>
      </c>
      <c r="AR235" s="266">
        <v>0</v>
      </c>
      <c r="AS235" s="262">
        <f t="shared" si="70"/>
        <v>0</v>
      </c>
      <c r="AT235" s="266">
        <v>0</v>
      </c>
      <c r="AU235" s="260">
        <f t="shared" si="71"/>
        <v>0</v>
      </c>
      <c r="AV235" s="259">
        <v>0</v>
      </c>
      <c r="AW235" s="260">
        <f t="shared" si="72"/>
        <v>0</v>
      </c>
      <c r="AX235" s="261" t="s">
        <v>573</v>
      </c>
      <c r="AY235" s="260">
        <f t="shared" si="73"/>
        <v>0</v>
      </c>
      <c r="AZ235" s="259" t="s">
        <v>573</v>
      </c>
      <c r="BA235" s="260">
        <f t="shared" si="74"/>
        <v>0</v>
      </c>
      <c r="BB235" s="259" t="s">
        <v>573</v>
      </c>
      <c r="BC235" s="260">
        <f t="shared" si="75"/>
        <v>0</v>
      </c>
      <c r="BD235" s="259" t="s">
        <v>573</v>
      </c>
      <c r="BE235" s="260">
        <f t="shared" si="76"/>
        <v>0</v>
      </c>
      <c r="BF235" s="259">
        <v>3600</v>
      </c>
      <c r="BG235" s="260">
        <f t="shared" si="77"/>
        <v>180</v>
      </c>
      <c r="BH235" s="259">
        <v>3600</v>
      </c>
      <c r="BI235" s="260">
        <f t="shared" si="67"/>
        <v>180</v>
      </c>
      <c r="BJ235" s="58"/>
      <c r="BK235" s="220"/>
      <c r="BL235" s="213" t="s">
        <v>1347</v>
      </c>
      <c r="BM235" s="213" t="s">
        <v>675</v>
      </c>
    </row>
    <row r="236" spans="1:65" ht="15.6" customHeight="1">
      <c r="A236" s="213" t="s">
        <v>1437</v>
      </c>
      <c r="B236" s="58" t="s">
        <v>184</v>
      </c>
      <c r="C236" s="58" t="s">
        <v>752</v>
      </c>
      <c r="D236" s="214" t="s">
        <v>186</v>
      </c>
      <c r="E236" s="214" t="s">
        <v>186</v>
      </c>
      <c r="F236" s="215" t="s">
        <v>186</v>
      </c>
      <c r="G236" s="216">
        <v>2016</v>
      </c>
      <c r="H236" s="218" t="s">
        <v>794</v>
      </c>
      <c r="I236" s="218" t="s">
        <v>196</v>
      </c>
      <c r="J236" s="217" t="s">
        <v>890</v>
      </c>
      <c r="K236" s="213" t="s">
        <v>249</v>
      </c>
      <c r="L236" s="213" t="s">
        <v>192</v>
      </c>
      <c r="M236" s="219" t="s">
        <v>1392</v>
      </c>
      <c r="N236" s="265">
        <v>5.24</v>
      </c>
      <c r="O236" s="265">
        <v>5.24</v>
      </c>
      <c r="P236" s="265">
        <v>5.24</v>
      </c>
      <c r="Q236" s="265">
        <v>5.24</v>
      </c>
      <c r="R236" s="265">
        <v>5.24</v>
      </c>
      <c r="S236" s="265">
        <v>5.24</v>
      </c>
      <c r="T236" s="265">
        <v>5.24</v>
      </c>
      <c r="U236" s="265">
        <v>5.24</v>
      </c>
      <c r="V236" s="265">
        <v>5.24</v>
      </c>
      <c r="W236" s="265">
        <v>5.24</v>
      </c>
      <c r="X236" s="265">
        <v>5.24</v>
      </c>
      <c r="Y236" s="265">
        <v>5.24</v>
      </c>
      <c r="Z236" s="265">
        <v>0.05</v>
      </c>
      <c r="AA236" s="265">
        <v>0.05</v>
      </c>
      <c r="AB236" s="265">
        <v>0.05</v>
      </c>
      <c r="AC236" s="265">
        <v>0.05</v>
      </c>
      <c r="AD236" s="265">
        <v>0.05</v>
      </c>
      <c r="AE236" s="265">
        <v>0.05</v>
      </c>
      <c r="AF236" s="265">
        <v>0.05</v>
      </c>
      <c r="AG236" s="265">
        <v>0.05</v>
      </c>
      <c r="AH236" s="265">
        <v>0.05</v>
      </c>
      <c r="AI236" s="265">
        <v>0.05</v>
      </c>
      <c r="AJ236" s="265">
        <v>0.05</v>
      </c>
      <c r="AK236" s="265">
        <v>0.05</v>
      </c>
      <c r="AL236" s="266" t="s">
        <v>573</v>
      </c>
      <c r="AM236" s="265">
        <f t="shared" si="68"/>
        <v>0</v>
      </c>
      <c r="AN236" s="266" t="s">
        <v>573</v>
      </c>
      <c r="AO236" s="265">
        <f t="shared" si="66"/>
        <v>0</v>
      </c>
      <c r="AP236" s="266">
        <v>0</v>
      </c>
      <c r="AQ236" s="265">
        <f t="shared" si="69"/>
        <v>0</v>
      </c>
      <c r="AR236" s="266">
        <v>0</v>
      </c>
      <c r="AS236" s="262">
        <f t="shared" si="70"/>
        <v>0</v>
      </c>
      <c r="AT236" s="266">
        <v>0</v>
      </c>
      <c r="AU236" s="260">
        <f t="shared" si="71"/>
        <v>0</v>
      </c>
      <c r="AV236" s="259">
        <v>0</v>
      </c>
      <c r="AW236" s="260">
        <f t="shared" si="72"/>
        <v>0</v>
      </c>
      <c r="AX236" s="261" t="s">
        <v>573</v>
      </c>
      <c r="AY236" s="260">
        <f t="shared" si="73"/>
        <v>0</v>
      </c>
      <c r="AZ236" s="259" t="s">
        <v>573</v>
      </c>
      <c r="BA236" s="260">
        <f t="shared" si="74"/>
        <v>0</v>
      </c>
      <c r="BB236" s="259" t="s">
        <v>573</v>
      </c>
      <c r="BC236" s="260">
        <f t="shared" si="75"/>
        <v>0</v>
      </c>
      <c r="BD236" s="259" t="s">
        <v>573</v>
      </c>
      <c r="BE236" s="260">
        <f t="shared" si="76"/>
        <v>0</v>
      </c>
      <c r="BF236" s="259" t="s">
        <v>573</v>
      </c>
      <c r="BG236" s="260">
        <f t="shared" si="77"/>
        <v>0</v>
      </c>
      <c r="BH236" s="259" t="s">
        <v>573</v>
      </c>
      <c r="BI236" s="260">
        <f t="shared" si="67"/>
        <v>0</v>
      </c>
      <c r="BJ236" s="58"/>
      <c r="BK236" s="220"/>
      <c r="BL236" s="213" t="s">
        <v>1347</v>
      </c>
      <c r="BM236" s="213" t="s">
        <v>675</v>
      </c>
    </row>
    <row r="237" spans="1:65" ht="15.6" customHeight="1">
      <c r="A237" s="213" t="s">
        <v>1437</v>
      </c>
      <c r="B237" s="58" t="s">
        <v>184</v>
      </c>
      <c r="C237" s="58" t="s">
        <v>752</v>
      </c>
      <c r="D237" s="214" t="s">
        <v>186</v>
      </c>
      <c r="E237" s="214" t="s">
        <v>186</v>
      </c>
      <c r="F237" s="215" t="s">
        <v>186</v>
      </c>
      <c r="G237" s="216">
        <v>2016</v>
      </c>
      <c r="H237" s="218" t="s">
        <v>794</v>
      </c>
      <c r="I237" s="218" t="s">
        <v>196</v>
      </c>
      <c r="J237" s="217" t="s">
        <v>890</v>
      </c>
      <c r="K237" s="213" t="s">
        <v>249</v>
      </c>
      <c r="L237" s="213" t="s">
        <v>192</v>
      </c>
      <c r="M237" s="219" t="s">
        <v>1396</v>
      </c>
      <c r="N237" s="265"/>
      <c r="O237" s="265"/>
      <c r="P237" s="265"/>
      <c r="Q237" s="265">
        <v>5.24</v>
      </c>
      <c r="R237" s="265">
        <v>5.24</v>
      </c>
      <c r="S237" s="265">
        <v>5.24</v>
      </c>
      <c r="T237" s="265">
        <v>5.24</v>
      </c>
      <c r="U237" s="265">
        <v>5.24</v>
      </c>
      <c r="V237" s="265">
        <v>5.24</v>
      </c>
      <c r="W237" s="265">
        <v>5.24</v>
      </c>
      <c r="X237" s="265">
        <v>5.24</v>
      </c>
      <c r="Y237" s="265">
        <v>5.24</v>
      </c>
      <c r="Z237" s="265">
        <v>0.05</v>
      </c>
      <c r="AA237" s="265">
        <v>0.05</v>
      </c>
      <c r="AB237" s="265">
        <v>0.05</v>
      </c>
      <c r="AC237" s="265">
        <v>0.05</v>
      </c>
      <c r="AD237" s="265">
        <v>0.05</v>
      </c>
      <c r="AE237" s="265">
        <v>0.05</v>
      </c>
      <c r="AF237" s="265">
        <v>0.05</v>
      </c>
      <c r="AG237" s="265">
        <v>0.05</v>
      </c>
      <c r="AH237" s="265">
        <v>0.05</v>
      </c>
      <c r="AI237" s="265">
        <v>0.05</v>
      </c>
      <c r="AJ237" s="265">
        <v>0.05</v>
      </c>
      <c r="AK237" s="265">
        <v>0.05</v>
      </c>
      <c r="AL237" s="266" t="s">
        <v>573</v>
      </c>
      <c r="AM237" s="265">
        <f t="shared" si="68"/>
        <v>0</v>
      </c>
      <c r="AN237" s="266" t="s">
        <v>573</v>
      </c>
      <c r="AO237" s="265">
        <f t="shared" si="66"/>
        <v>0</v>
      </c>
      <c r="AP237" s="266">
        <v>0</v>
      </c>
      <c r="AQ237" s="265">
        <f t="shared" si="69"/>
        <v>0</v>
      </c>
      <c r="AR237" s="266">
        <v>0</v>
      </c>
      <c r="AS237" s="262">
        <f t="shared" si="70"/>
        <v>0</v>
      </c>
      <c r="AT237" s="266">
        <v>0</v>
      </c>
      <c r="AU237" s="260">
        <f t="shared" si="71"/>
        <v>0</v>
      </c>
      <c r="AV237" s="259">
        <v>0</v>
      </c>
      <c r="AW237" s="260">
        <f t="shared" si="72"/>
        <v>0</v>
      </c>
      <c r="AX237" s="261" t="s">
        <v>573</v>
      </c>
      <c r="AY237" s="260">
        <f t="shared" si="73"/>
        <v>0</v>
      </c>
      <c r="AZ237" s="259" t="s">
        <v>573</v>
      </c>
      <c r="BA237" s="260">
        <f t="shared" si="74"/>
        <v>0</v>
      </c>
      <c r="BB237" s="259" t="s">
        <v>573</v>
      </c>
      <c r="BC237" s="260">
        <f t="shared" si="75"/>
        <v>0</v>
      </c>
      <c r="BD237" s="259" t="s">
        <v>573</v>
      </c>
      <c r="BE237" s="260">
        <f t="shared" si="76"/>
        <v>0</v>
      </c>
      <c r="BF237" s="259" t="s">
        <v>573</v>
      </c>
      <c r="BG237" s="260">
        <f t="shared" si="77"/>
        <v>0</v>
      </c>
      <c r="BH237" s="259" t="s">
        <v>573</v>
      </c>
      <c r="BI237" s="260">
        <f t="shared" si="67"/>
        <v>0</v>
      </c>
      <c r="BJ237" s="58"/>
      <c r="BK237" s="220"/>
      <c r="BL237" s="213" t="s">
        <v>1347</v>
      </c>
      <c r="BM237" s="213" t="s">
        <v>675</v>
      </c>
    </row>
    <row r="238" spans="1:65" ht="15.6" customHeight="1">
      <c r="A238" s="213" t="s">
        <v>1437</v>
      </c>
      <c r="B238" s="58" t="s">
        <v>184</v>
      </c>
      <c r="C238" s="58" t="s">
        <v>752</v>
      </c>
      <c r="D238" s="214" t="s">
        <v>186</v>
      </c>
      <c r="E238" s="214" t="s">
        <v>186</v>
      </c>
      <c r="F238" s="215" t="s">
        <v>186</v>
      </c>
      <c r="G238" s="216">
        <v>2016</v>
      </c>
      <c r="H238" s="218" t="s">
        <v>794</v>
      </c>
      <c r="I238" s="218" t="s">
        <v>196</v>
      </c>
      <c r="J238" s="217" t="s">
        <v>890</v>
      </c>
      <c r="K238" s="213" t="s">
        <v>249</v>
      </c>
      <c r="L238" s="213" t="s">
        <v>192</v>
      </c>
      <c r="M238" s="219" t="s">
        <v>1393</v>
      </c>
      <c r="N238" s="265">
        <v>5.24</v>
      </c>
      <c r="O238" s="265">
        <v>5.24</v>
      </c>
      <c r="P238" s="265">
        <v>5.24</v>
      </c>
      <c r="Q238" s="265">
        <v>5.24</v>
      </c>
      <c r="R238" s="265">
        <v>5.24</v>
      </c>
      <c r="S238" s="265">
        <v>5.24</v>
      </c>
      <c r="T238" s="265">
        <v>5.24</v>
      </c>
      <c r="U238" s="265">
        <v>5.24</v>
      </c>
      <c r="V238" s="265">
        <v>5.24</v>
      </c>
      <c r="W238" s="265">
        <v>5.24</v>
      </c>
      <c r="X238" s="265">
        <v>5.24</v>
      </c>
      <c r="Y238" s="265">
        <v>5.24</v>
      </c>
      <c r="Z238" s="265">
        <v>0.05</v>
      </c>
      <c r="AA238" s="265">
        <v>0.05</v>
      </c>
      <c r="AB238" s="265">
        <v>0.05</v>
      </c>
      <c r="AC238" s="265">
        <v>0.05</v>
      </c>
      <c r="AD238" s="265">
        <v>0.05</v>
      </c>
      <c r="AE238" s="265">
        <v>0.05</v>
      </c>
      <c r="AF238" s="265">
        <v>0.05</v>
      </c>
      <c r="AG238" s="265">
        <v>0.05</v>
      </c>
      <c r="AH238" s="265">
        <v>0.05</v>
      </c>
      <c r="AI238" s="265">
        <v>0.05</v>
      </c>
      <c r="AJ238" s="265">
        <v>0.05</v>
      </c>
      <c r="AK238" s="265">
        <v>0.05</v>
      </c>
      <c r="AL238" s="266" t="s">
        <v>573</v>
      </c>
      <c r="AM238" s="265">
        <f t="shared" si="68"/>
        <v>0</v>
      </c>
      <c r="AN238" s="266" t="s">
        <v>573</v>
      </c>
      <c r="AO238" s="265">
        <f t="shared" si="66"/>
        <v>0</v>
      </c>
      <c r="AP238" s="266">
        <v>0</v>
      </c>
      <c r="AQ238" s="265">
        <f t="shared" si="69"/>
        <v>0</v>
      </c>
      <c r="AR238" s="266">
        <v>0</v>
      </c>
      <c r="AS238" s="262">
        <f t="shared" si="70"/>
        <v>0</v>
      </c>
      <c r="AT238" s="266">
        <v>0</v>
      </c>
      <c r="AU238" s="260">
        <f t="shared" si="71"/>
        <v>0</v>
      </c>
      <c r="AV238" s="259">
        <v>0</v>
      </c>
      <c r="AW238" s="260">
        <f t="shared" si="72"/>
        <v>0</v>
      </c>
      <c r="AX238" s="261" t="s">
        <v>573</v>
      </c>
      <c r="AY238" s="260">
        <f t="shared" si="73"/>
        <v>0</v>
      </c>
      <c r="AZ238" s="259" t="s">
        <v>573</v>
      </c>
      <c r="BA238" s="260">
        <f t="shared" si="74"/>
        <v>0</v>
      </c>
      <c r="BB238" s="259" t="s">
        <v>573</v>
      </c>
      <c r="BC238" s="260">
        <f t="shared" si="75"/>
        <v>0</v>
      </c>
      <c r="BD238" s="259" t="s">
        <v>573</v>
      </c>
      <c r="BE238" s="260">
        <f t="shared" si="76"/>
        <v>0</v>
      </c>
      <c r="BF238" s="259" t="s">
        <v>573</v>
      </c>
      <c r="BG238" s="260">
        <f t="shared" si="77"/>
        <v>0</v>
      </c>
      <c r="BH238" s="259" t="s">
        <v>573</v>
      </c>
      <c r="BI238" s="260">
        <f t="shared" si="67"/>
        <v>0</v>
      </c>
      <c r="BJ238" s="58"/>
      <c r="BK238" s="220"/>
      <c r="BL238" s="213" t="s">
        <v>1347</v>
      </c>
      <c r="BM238" s="213" t="s">
        <v>675</v>
      </c>
    </row>
    <row r="239" spans="1:65" ht="15.6" customHeight="1">
      <c r="A239" s="213" t="s">
        <v>1437</v>
      </c>
      <c r="B239" s="58" t="s">
        <v>184</v>
      </c>
      <c r="C239" s="58" t="s">
        <v>752</v>
      </c>
      <c r="D239" s="214" t="s">
        <v>186</v>
      </c>
      <c r="E239" s="214" t="s">
        <v>186</v>
      </c>
      <c r="F239" s="215" t="s">
        <v>186</v>
      </c>
      <c r="G239" s="216">
        <v>2016</v>
      </c>
      <c r="H239" s="218" t="s">
        <v>794</v>
      </c>
      <c r="I239" s="218" t="s">
        <v>196</v>
      </c>
      <c r="J239" s="217" t="s">
        <v>890</v>
      </c>
      <c r="K239" s="213" t="s">
        <v>237</v>
      </c>
      <c r="L239" s="213" t="s">
        <v>192</v>
      </c>
      <c r="M239" s="219" t="s">
        <v>1392</v>
      </c>
      <c r="N239" s="265">
        <v>5.24</v>
      </c>
      <c r="O239" s="265">
        <v>5.24</v>
      </c>
      <c r="P239" s="265">
        <v>5.24</v>
      </c>
      <c r="Q239" s="265">
        <v>5.24</v>
      </c>
      <c r="R239" s="265">
        <v>5.24</v>
      </c>
      <c r="S239" s="265">
        <v>5.24</v>
      </c>
      <c r="T239" s="265">
        <v>5.24</v>
      </c>
      <c r="U239" s="265">
        <v>5.24</v>
      </c>
      <c r="V239" s="265">
        <v>5.24</v>
      </c>
      <c r="W239" s="265">
        <v>5.24</v>
      </c>
      <c r="X239" s="265">
        <v>5.24</v>
      </c>
      <c r="Y239" s="265">
        <v>5.24</v>
      </c>
      <c r="Z239" s="265">
        <v>0.05</v>
      </c>
      <c r="AA239" s="265">
        <v>0.05</v>
      </c>
      <c r="AB239" s="265">
        <v>0.05</v>
      </c>
      <c r="AC239" s="265">
        <v>0.05</v>
      </c>
      <c r="AD239" s="265">
        <v>0.05</v>
      </c>
      <c r="AE239" s="265">
        <v>0.05</v>
      </c>
      <c r="AF239" s="265">
        <v>0.05</v>
      </c>
      <c r="AG239" s="265">
        <v>0.05</v>
      </c>
      <c r="AH239" s="265">
        <v>0.05</v>
      </c>
      <c r="AI239" s="265">
        <v>0.05</v>
      </c>
      <c r="AJ239" s="265">
        <v>0.05</v>
      </c>
      <c r="AK239" s="265">
        <v>0.05</v>
      </c>
      <c r="AL239" s="266" t="s">
        <v>573</v>
      </c>
      <c r="AM239" s="265">
        <f t="shared" si="68"/>
        <v>0</v>
      </c>
      <c r="AN239" s="266" t="s">
        <v>573</v>
      </c>
      <c r="AO239" s="265">
        <f t="shared" si="66"/>
        <v>0</v>
      </c>
      <c r="AP239" s="266">
        <v>0</v>
      </c>
      <c r="AQ239" s="265">
        <f t="shared" si="69"/>
        <v>0</v>
      </c>
      <c r="AR239" s="266">
        <v>0</v>
      </c>
      <c r="AS239" s="262">
        <f t="shared" si="70"/>
        <v>0</v>
      </c>
      <c r="AT239" s="266">
        <v>0</v>
      </c>
      <c r="AU239" s="260">
        <f t="shared" si="71"/>
        <v>0</v>
      </c>
      <c r="AV239" s="259">
        <v>0</v>
      </c>
      <c r="AW239" s="260">
        <f t="shared" si="72"/>
        <v>0</v>
      </c>
      <c r="AX239" s="261" t="s">
        <v>573</v>
      </c>
      <c r="AY239" s="260">
        <f t="shared" si="73"/>
        <v>0</v>
      </c>
      <c r="AZ239" s="259" t="s">
        <v>573</v>
      </c>
      <c r="BA239" s="260">
        <f t="shared" si="74"/>
        <v>0</v>
      </c>
      <c r="BB239" s="259" t="s">
        <v>573</v>
      </c>
      <c r="BC239" s="260">
        <f t="shared" si="75"/>
        <v>0</v>
      </c>
      <c r="BD239" s="259" t="s">
        <v>573</v>
      </c>
      <c r="BE239" s="260">
        <f t="shared" si="76"/>
        <v>0</v>
      </c>
      <c r="BF239" s="259" t="s">
        <v>573</v>
      </c>
      <c r="BG239" s="260">
        <f t="shared" si="77"/>
        <v>0</v>
      </c>
      <c r="BH239" s="259" t="s">
        <v>573</v>
      </c>
      <c r="BI239" s="260">
        <f t="shared" si="67"/>
        <v>0</v>
      </c>
      <c r="BJ239" s="58"/>
      <c r="BK239" s="220"/>
      <c r="BL239" s="213" t="s">
        <v>1347</v>
      </c>
      <c r="BM239" s="213" t="s">
        <v>672</v>
      </c>
    </row>
    <row r="240" spans="1:65" ht="15.6" customHeight="1">
      <c r="A240" s="213" t="s">
        <v>1437</v>
      </c>
      <c r="B240" s="58" t="s">
        <v>184</v>
      </c>
      <c r="C240" s="58" t="s">
        <v>752</v>
      </c>
      <c r="D240" s="214" t="s">
        <v>186</v>
      </c>
      <c r="E240" s="214" t="s">
        <v>186</v>
      </c>
      <c r="F240" s="215" t="s">
        <v>186</v>
      </c>
      <c r="G240" s="216">
        <v>2016</v>
      </c>
      <c r="H240" s="218" t="s">
        <v>794</v>
      </c>
      <c r="I240" s="218" t="s">
        <v>196</v>
      </c>
      <c r="J240" s="217" t="s">
        <v>890</v>
      </c>
      <c r="K240" s="213" t="s">
        <v>237</v>
      </c>
      <c r="L240" s="213" t="s">
        <v>192</v>
      </c>
      <c r="M240" s="219" t="s">
        <v>1392</v>
      </c>
      <c r="N240" s="265">
        <v>5.74</v>
      </c>
      <c r="O240" s="265">
        <v>5.74</v>
      </c>
      <c r="P240" s="265">
        <v>5.74</v>
      </c>
      <c r="Q240" s="265">
        <v>5.74</v>
      </c>
      <c r="R240" s="265">
        <v>5.74</v>
      </c>
      <c r="S240" s="265">
        <v>5.74</v>
      </c>
      <c r="T240" s="265">
        <v>5.74</v>
      </c>
      <c r="U240" s="265">
        <v>5.74</v>
      </c>
      <c r="V240" s="265">
        <v>5.74</v>
      </c>
      <c r="W240" s="265">
        <v>5.74</v>
      </c>
      <c r="X240" s="265">
        <v>5.74</v>
      </c>
      <c r="Y240" s="265">
        <v>5.74</v>
      </c>
      <c r="Z240" s="265">
        <v>0.05</v>
      </c>
      <c r="AA240" s="265">
        <v>0.05</v>
      </c>
      <c r="AB240" s="265">
        <v>0.05</v>
      </c>
      <c r="AC240" s="265">
        <v>0.05</v>
      </c>
      <c r="AD240" s="265">
        <v>0.05</v>
      </c>
      <c r="AE240" s="265">
        <v>0.05</v>
      </c>
      <c r="AF240" s="265">
        <v>0.05</v>
      </c>
      <c r="AG240" s="265">
        <v>0.05</v>
      </c>
      <c r="AH240" s="265">
        <v>0.05</v>
      </c>
      <c r="AI240" s="265">
        <v>0.05</v>
      </c>
      <c r="AJ240" s="265">
        <v>0.05</v>
      </c>
      <c r="AK240" s="265">
        <v>0.05</v>
      </c>
      <c r="AL240" s="266" t="s">
        <v>573</v>
      </c>
      <c r="AM240" s="265">
        <f t="shared" si="68"/>
        <v>0</v>
      </c>
      <c r="AN240" s="266" t="s">
        <v>573</v>
      </c>
      <c r="AO240" s="265">
        <f t="shared" si="66"/>
        <v>0</v>
      </c>
      <c r="AP240" s="266">
        <v>0</v>
      </c>
      <c r="AQ240" s="265">
        <f t="shared" si="69"/>
        <v>0</v>
      </c>
      <c r="AR240" s="266">
        <v>0</v>
      </c>
      <c r="AS240" s="262">
        <f t="shared" si="70"/>
        <v>0</v>
      </c>
      <c r="AT240" s="266">
        <v>0</v>
      </c>
      <c r="AU240" s="260">
        <f t="shared" si="71"/>
        <v>0</v>
      </c>
      <c r="AV240" s="259">
        <v>0</v>
      </c>
      <c r="AW240" s="260">
        <f t="shared" si="72"/>
        <v>0</v>
      </c>
      <c r="AX240" s="261" t="s">
        <v>573</v>
      </c>
      <c r="AY240" s="260">
        <f t="shared" si="73"/>
        <v>0</v>
      </c>
      <c r="AZ240" s="259" t="s">
        <v>573</v>
      </c>
      <c r="BA240" s="260">
        <f t="shared" si="74"/>
        <v>0</v>
      </c>
      <c r="BB240" s="259" t="s">
        <v>573</v>
      </c>
      <c r="BC240" s="260">
        <f t="shared" si="75"/>
        <v>0</v>
      </c>
      <c r="BD240" s="259" t="s">
        <v>573</v>
      </c>
      <c r="BE240" s="260">
        <f t="shared" si="76"/>
        <v>0</v>
      </c>
      <c r="BF240" s="259" t="s">
        <v>573</v>
      </c>
      <c r="BG240" s="260">
        <f t="shared" si="77"/>
        <v>0</v>
      </c>
      <c r="BH240" s="259" t="s">
        <v>573</v>
      </c>
      <c r="BI240" s="260">
        <f t="shared" si="67"/>
        <v>0</v>
      </c>
      <c r="BJ240" s="58"/>
      <c r="BK240" s="220"/>
      <c r="BL240" s="213" t="s">
        <v>1347</v>
      </c>
      <c r="BM240" s="213" t="s">
        <v>672</v>
      </c>
    </row>
    <row r="241" spans="1:65" ht="15.6" customHeight="1">
      <c r="A241" s="213" t="s">
        <v>1437</v>
      </c>
      <c r="B241" s="58" t="s">
        <v>184</v>
      </c>
      <c r="C241" s="58" t="s">
        <v>752</v>
      </c>
      <c r="D241" s="214" t="s">
        <v>186</v>
      </c>
      <c r="E241" s="214" t="s">
        <v>186</v>
      </c>
      <c r="F241" s="215" t="s">
        <v>186</v>
      </c>
      <c r="G241" s="216">
        <v>2016</v>
      </c>
      <c r="H241" s="218" t="s">
        <v>794</v>
      </c>
      <c r="I241" s="218" t="s">
        <v>196</v>
      </c>
      <c r="J241" s="217" t="s">
        <v>890</v>
      </c>
      <c r="K241" s="213" t="s">
        <v>237</v>
      </c>
      <c r="L241" s="213" t="s">
        <v>192</v>
      </c>
      <c r="M241" s="219" t="s">
        <v>1393</v>
      </c>
      <c r="N241" s="265">
        <v>5.24</v>
      </c>
      <c r="O241" s="265">
        <v>5.24</v>
      </c>
      <c r="P241" s="265">
        <v>5.24</v>
      </c>
      <c r="Q241" s="265">
        <v>5.24</v>
      </c>
      <c r="R241" s="265">
        <v>5.24</v>
      </c>
      <c r="S241" s="265">
        <v>5.24</v>
      </c>
      <c r="T241" s="265">
        <v>5.24</v>
      </c>
      <c r="U241" s="265">
        <v>5.24</v>
      </c>
      <c r="V241" s="265">
        <v>5.24</v>
      </c>
      <c r="W241" s="265">
        <v>5.24</v>
      </c>
      <c r="X241" s="265">
        <v>5.24</v>
      </c>
      <c r="Y241" s="265">
        <v>5.24</v>
      </c>
      <c r="Z241" s="265">
        <v>0.05</v>
      </c>
      <c r="AA241" s="265">
        <v>0.05</v>
      </c>
      <c r="AB241" s="265">
        <v>0.05</v>
      </c>
      <c r="AC241" s="265">
        <v>0.05</v>
      </c>
      <c r="AD241" s="265">
        <v>0.05</v>
      </c>
      <c r="AE241" s="265">
        <v>0.05</v>
      </c>
      <c r="AF241" s="265">
        <v>0.05</v>
      </c>
      <c r="AG241" s="265">
        <v>0.05</v>
      </c>
      <c r="AH241" s="265">
        <v>0.05</v>
      </c>
      <c r="AI241" s="265">
        <v>0.05</v>
      </c>
      <c r="AJ241" s="265">
        <v>0.05</v>
      </c>
      <c r="AK241" s="265">
        <v>0.05</v>
      </c>
      <c r="AL241" s="266" t="s">
        <v>573</v>
      </c>
      <c r="AM241" s="265">
        <f t="shared" si="68"/>
        <v>0</v>
      </c>
      <c r="AN241" s="266" t="s">
        <v>573</v>
      </c>
      <c r="AO241" s="265">
        <f t="shared" si="66"/>
        <v>0</v>
      </c>
      <c r="AP241" s="266">
        <v>0</v>
      </c>
      <c r="AQ241" s="265">
        <f t="shared" si="69"/>
        <v>0</v>
      </c>
      <c r="AR241" s="266">
        <v>0</v>
      </c>
      <c r="AS241" s="262">
        <f t="shared" si="70"/>
        <v>0</v>
      </c>
      <c r="AT241" s="266">
        <v>0</v>
      </c>
      <c r="AU241" s="260">
        <f t="shared" si="71"/>
        <v>0</v>
      </c>
      <c r="AV241" s="259">
        <v>0</v>
      </c>
      <c r="AW241" s="260">
        <f t="shared" si="72"/>
        <v>0</v>
      </c>
      <c r="AX241" s="261" t="s">
        <v>573</v>
      </c>
      <c r="AY241" s="260">
        <f t="shared" si="73"/>
        <v>0</v>
      </c>
      <c r="AZ241" s="259" t="s">
        <v>573</v>
      </c>
      <c r="BA241" s="260">
        <f t="shared" si="74"/>
        <v>0</v>
      </c>
      <c r="BB241" s="259" t="s">
        <v>573</v>
      </c>
      <c r="BC241" s="260">
        <f t="shared" si="75"/>
        <v>0</v>
      </c>
      <c r="BD241" s="259" t="s">
        <v>573</v>
      </c>
      <c r="BE241" s="260">
        <f t="shared" si="76"/>
        <v>0</v>
      </c>
      <c r="BF241" s="259" t="s">
        <v>573</v>
      </c>
      <c r="BG241" s="260">
        <f t="shared" si="77"/>
        <v>0</v>
      </c>
      <c r="BH241" s="259" t="s">
        <v>573</v>
      </c>
      <c r="BI241" s="260">
        <f t="shared" si="67"/>
        <v>0</v>
      </c>
      <c r="BJ241" s="58"/>
      <c r="BK241" s="220"/>
      <c r="BL241" s="213" t="s">
        <v>1347</v>
      </c>
      <c r="BM241" s="213" t="s">
        <v>672</v>
      </c>
    </row>
    <row r="242" spans="1:65" ht="15.75" customHeight="1">
      <c r="A242" s="213" t="s">
        <v>1437</v>
      </c>
      <c r="B242" s="58" t="s">
        <v>184</v>
      </c>
      <c r="C242" s="58" t="s">
        <v>752</v>
      </c>
      <c r="D242" s="214" t="s">
        <v>186</v>
      </c>
      <c r="E242" s="214" t="s">
        <v>186</v>
      </c>
      <c r="F242" s="215" t="s">
        <v>186</v>
      </c>
      <c r="G242" s="216">
        <v>2016</v>
      </c>
      <c r="H242" s="218" t="s">
        <v>794</v>
      </c>
      <c r="I242" s="218" t="s">
        <v>196</v>
      </c>
      <c r="J242" s="217" t="s">
        <v>890</v>
      </c>
      <c r="K242" s="213" t="s">
        <v>239</v>
      </c>
      <c r="L242" s="213" t="s">
        <v>192</v>
      </c>
      <c r="M242" s="219" t="s">
        <v>1391</v>
      </c>
      <c r="N242" s="265">
        <v>5.92</v>
      </c>
      <c r="O242" s="265">
        <v>5.92</v>
      </c>
      <c r="P242" s="265">
        <v>5.92</v>
      </c>
      <c r="Q242" s="265">
        <v>5.92</v>
      </c>
      <c r="R242" s="265">
        <v>5.92</v>
      </c>
      <c r="S242" s="265">
        <v>5.92</v>
      </c>
      <c r="T242" s="265">
        <v>5.92</v>
      </c>
      <c r="U242" s="265">
        <v>5.92</v>
      </c>
      <c r="V242" s="265">
        <v>5.92</v>
      </c>
      <c r="W242" s="265">
        <v>5.92</v>
      </c>
      <c r="X242" s="265">
        <v>5.92</v>
      </c>
      <c r="Y242" s="265">
        <v>5.92</v>
      </c>
      <c r="Z242" s="265">
        <v>0.05</v>
      </c>
      <c r="AA242" s="265">
        <v>0.05</v>
      </c>
      <c r="AB242" s="265">
        <v>0.05</v>
      </c>
      <c r="AC242" s="265">
        <v>0.05</v>
      </c>
      <c r="AD242" s="265">
        <v>0.05</v>
      </c>
      <c r="AE242" s="265">
        <v>0.05</v>
      </c>
      <c r="AF242" s="265">
        <v>0.05</v>
      </c>
      <c r="AG242" s="265">
        <v>0.05</v>
      </c>
      <c r="AH242" s="265">
        <v>0.05</v>
      </c>
      <c r="AI242" s="265">
        <v>0.05</v>
      </c>
      <c r="AJ242" s="265">
        <v>0.05</v>
      </c>
      <c r="AK242" s="265">
        <v>0.05</v>
      </c>
      <c r="AL242" s="266" t="s">
        <v>573</v>
      </c>
      <c r="AM242" s="265">
        <f t="shared" si="68"/>
        <v>0</v>
      </c>
      <c r="AN242" s="266" t="s">
        <v>573</v>
      </c>
      <c r="AO242" s="265">
        <f t="shared" si="66"/>
        <v>0</v>
      </c>
      <c r="AP242" s="266">
        <v>0</v>
      </c>
      <c r="AQ242" s="265">
        <f t="shared" si="69"/>
        <v>0</v>
      </c>
      <c r="AR242" s="266">
        <v>0</v>
      </c>
      <c r="AS242" s="262">
        <f t="shared" si="70"/>
        <v>0</v>
      </c>
      <c r="AT242" s="266">
        <v>0</v>
      </c>
      <c r="AU242" s="260">
        <f t="shared" si="71"/>
        <v>0</v>
      </c>
      <c r="AV242" s="259">
        <v>0</v>
      </c>
      <c r="AW242" s="260">
        <f t="shared" si="72"/>
        <v>0</v>
      </c>
      <c r="AX242" s="261" t="s">
        <v>573</v>
      </c>
      <c r="AY242" s="260">
        <f t="shared" si="73"/>
        <v>0</v>
      </c>
      <c r="AZ242" s="259" t="s">
        <v>573</v>
      </c>
      <c r="BA242" s="260">
        <f t="shared" si="74"/>
        <v>0</v>
      </c>
      <c r="BB242" s="259" t="s">
        <v>573</v>
      </c>
      <c r="BC242" s="260">
        <f t="shared" si="75"/>
        <v>0</v>
      </c>
      <c r="BD242" s="259" t="s">
        <v>573</v>
      </c>
      <c r="BE242" s="260">
        <f t="shared" si="76"/>
        <v>0</v>
      </c>
      <c r="BF242" s="259" t="s">
        <v>573</v>
      </c>
      <c r="BG242" s="260">
        <f t="shared" si="77"/>
        <v>0</v>
      </c>
      <c r="BH242" s="259" t="s">
        <v>573</v>
      </c>
      <c r="BI242" s="260">
        <f t="shared" si="67"/>
        <v>0</v>
      </c>
      <c r="BJ242" s="58"/>
      <c r="BK242" s="220"/>
      <c r="BL242" s="213" t="s">
        <v>807</v>
      </c>
      <c r="BM242" s="213" t="s">
        <v>587</v>
      </c>
    </row>
    <row r="243" spans="1:65" ht="15.75" customHeight="1">
      <c r="A243" s="213" t="s">
        <v>1437</v>
      </c>
      <c r="B243" s="58" t="s">
        <v>184</v>
      </c>
      <c r="C243" s="58" t="s">
        <v>752</v>
      </c>
      <c r="D243" s="214" t="s">
        <v>186</v>
      </c>
      <c r="E243" s="214" t="s">
        <v>186</v>
      </c>
      <c r="F243" s="215" t="s">
        <v>186</v>
      </c>
      <c r="G243" s="216">
        <v>2016</v>
      </c>
      <c r="H243" s="218" t="s">
        <v>794</v>
      </c>
      <c r="I243" s="218" t="s">
        <v>196</v>
      </c>
      <c r="J243" s="217" t="s">
        <v>890</v>
      </c>
      <c r="K243" s="213" t="s">
        <v>239</v>
      </c>
      <c r="L243" s="213" t="s">
        <v>192</v>
      </c>
      <c r="M243" s="219" t="s">
        <v>1391</v>
      </c>
      <c r="N243" s="265">
        <v>5.05</v>
      </c>
      <c r="O243" s="265">
        <v>5.05</v>
      </c>
      <c r="P243" s="265">
        <v>5.05</v>
      </c>
      <c r="Q243" s="265">
        <v>5.05</v>
      </c>
      <c r="R243" s="265">
        <v>5.05</v>
      </c>
      <c r="S243" s="265">
        <v>5.05</v>
      </c>
      <c r="T243" s="265">
        <v>5.05</v>
      </c>
      <c r="U243" s="265">
        <v>5.05</v>
      </c>
      <c r="V243" s="265">
        <v>5.05</v>
      </c>
      <c r="W243" s="265">
        <v>5.05</v>
      </c>
      <c r="X243" s="265">
        <v>5.05</v>
      </c>
      <c r="Y243" s="265">
        <v>5.05</v>
      </c>
      <c r="Z243" s="265">
        <v>0.05</v>
      </c>
      <c r="AA243" s="265">
        <v>0.05</v>
      </c>
      <c r="AB243" s="265">
        <v>0.05</v>
      </c>
      <c r="AC243" s="265">
        <v>0.05</v>
      </c>
      <c r="AD243" s="265">
        <v>0.05</v>
      </c>
      <c r="AE243" s="265">
        <v>0.05</v>
      </c>
      <c r="AF243" s="265">
        <v>0.05</v>
      </c>
      <c r="AG243" s="265">
        <v>0.05</v>
      </c>
      <c r="AH243" s="265">
        <v>0.05</v>
      </c>
      <c r="AI243" s="265">
        <v>0.05</v>
      </c>
      <c r="AJ243" s="265">
        <v>0.05</v>
      </c>
      <c r="AK243" s="265">
        <v>0.05</v>
      </c>
      <c r="AL243" s="266" t="s">
        <v>573</v>
      </c>
      <c r="AM243" s="265">
        <f t="shared" si="68"/>
        <v>0</v>
      </c>
      <c r="AN243" s="266" t="s">
        <v>573</v>
      </c>
      <c r="AO243" s="265">
        <f t="shared" si="66"/>
        <v>0</v>
      </c>
      <c r="AP243" s="266">
        <v>0</v>
      </c>
      <c r="AQ243" s="265">
        <f t="shared" si="69"/>
        <v>0</v>
      </c>
      <c r="AR243" s="266">
        <v>0</v>
      </c>
      <c r="AS243" s="262">
        <f t="shared" si="70"/>
        <v>0</v>
      </c>
      <c r="AT243" s="266">
        <v>0</v>
      </c>
      <c r="AU243" s="260">
        <f t="shared" si="71"/>
        <v>0</v>
      </c>
      <c r="AV243" s="259">
        <v>0</v>
      </c>
      <c r="AW243" s="260">
        <f t="shared" si="72"/>
        <v>0</v>
      </c>
      <c r="AX243" s="261" t="s">
        <v>573</v>
      </c>
      <c r="AY243" s="260">
        <f t="shared" si="73"/>
        <v>0</v>
      </c>
      <c r="AZ243" s="259" t="s">
        <v>573</v>
      </c>
      <c r="BA243" s="260">
        <f t="shared" si="74"/>
        <v>0</v>
      </c>
      <c r="BB243" s="259" t="s">
        <v>573</v>
      </c>
      <c r="BC243" s="260">
        <f t="shared" si="75"/>
        <v>0</v>
      </c>
      <c r="BD243" s="259" t="s">
        <v>573</v>
      </c>
      <c r="BE243" s="260">
        <f t="shared" si="76"/>
        <v>0</v>
      </c>
      <c r="BF243" s="259" t="s">
        <v>573</v>
      </c>
      <c r="BG243" s="260">
        <f t="shared" si="77"/>
        <v>0</v>
      </c>
      <c r="BH243" s="259" t="s">
        <v>573</v>
      </c>
      <c r="BI243" s="260">
        <f t="shared" si="67"/>
        <v>0</v>
      </c>
      <c r="BJ243" s="58"/>
      <c r="BK243" s="220"/>
      <c r="BL243" s="213" t="s">
        <v>807</v>
      </c>
      <c r="BM243" s="58" t="s">
        <v>1494</v>
      </c>
    </row>
    <row r="244" spans="1:65" ht="15.75" customHeight="1">
      <c r="A244" s="213" t="s">
        <v>1437</v>
      </c>
      <c r="B244" s="58" t="s">
        <v>184</v>
      </c>
      <c r="C244" s="58" t="s">
        <v>752</v>
      </c>
      <c r="D244" s="214" t="s">
        <v>186</v>
      </c>
      <c r="E244" s="214" t="s">
        <v>186</v>
      </c>
      <c r="F244" s="215" t="s">
        <v>186</v>
      </c>
      <c r="G244" s="216">
        <v>2016</v>
      </c>
      <c r="H244" s="218" t="s">
        <v>794</v>
      </c>
      <c r="I244" s="218" t="s">
        <v>196</v>
      </c>
      <c r="J244" s="217" t="s">
        <v>890</v>
      </c>
      <c r="K244" s="213" t="s">
        <v>239</v>
      </c>
      <c r="L244" s="213" t="s">
        <v>192</v>
      </c>
      <c r="M244" s="219" t="s">
        <v>1391</v>
      </c>
      <c r="N244" s="265">
        <v>5.13</v>
      </c>
      <c r="O244" s="265">
        <v>5.13</v>
      </c>
      <c r="P244" s="265">
        <v>5.13</v>
      </c>
      <c r="Q244" s="265">
        <v>5.13</v>
      </c>
      <c r="R244" s="265">
        <v>5.13</v>
      </c>
      <c r="S244" s="265">
        <v>5.13</v>
      </c>
      <c r="T244" s="265">
        <v>5.13</v>
      </c>
      <c r="U244" s="265">
        <v>5.13</v>
      </c>
      <c r="V244" s="265">
        <v>5.13</v>
      </c>
      <c r="W244" s="265">
        <v>5.13</v>
      </c>
      <c r="X244" s="265">
        <v>5.13</v>
      </c>
      <c r="Y244" s="265">
        <v>5.13</v>
      </c>
      <c r="Z244" s="265">
        <v>0.05</v>
      </c>
      <c r="AA244" s="265">
        <v>0.05</v>
      </c>
      <c r="AB244" s="265">
        <v>0.05</v>
      </c>
      <c r="AC244" s="265">
        <v>0.05</v>
      </c>
      <c r="AD244" s="265">
        <v>0.05</v>
      </c>
      <c r="AE244" s="265">
        <v>0.05</v>
      </c>
      <c r="AF244" s="265">
        <v>0.05</v>
      </c>
      <c r="AG244" s="265">
        <v>0.05</v>
      </c>
      <c r="AH244" s="265">
        <v>0.05</v>
      </c>
      <c r="AI244" s="265">
        <v>0.05</v>
      </c>
      <c r="AJ244" s="265">
        <v>0.05</v>
      </c>
      <c r="AK244" s="265">
        <v>0.05</v>
      </c>
      <c r="AL244" s="266" t="s">
        <v>573</v>
      </c>
      <c r="AM244" s="265">
        <f t="shared" si="68"/>
        <v>0</v>
      </c>
      <c r="AN244" s="266" t="s">
        <v>573</v>
      </c>
      <c r="AO244" s="265">
        <f t="shared" si="66"/>
        <v>0</v>
      </c>
      <c r="AP244" s="266">
        <v>0</v>
      </c>
      <c r="AQ244" s="265">
        <f t="shared" si="69"/>
        <v>0</v>
      </c>
      <c r="AR244" s="266">
        <v>0</v>
      </c>
      <c r="AS244" s="262">
        <f t="shared" si="70"/>
        <v>0</v>
      </c>
      <c r="AT244" s="266">
        <v>0</v>
      </c>
      <c r="AU244" s="260">
        <f t="shared" si="71"/>
        <v>0</v>
      </c>
      <c r="AV244" s="259">
        <v>0</v>
      </c>
      <c r="AW244" s="260">
        <f t="shared" si="72"/>
        <v>0</v>
      </c>
      <c r="AX244" s="261" t="s">
        <v>573</v>
      </c>
      <c r="AY244" s="260">
        <f t="shared" si="73"/>
        <v>0</v>
      </c>
      <c r="AZ244" s="259" t="s">
        <v>573</v>
      </c>
      <c r="BA244" s="260">
        <f t="shared" si="74"/>
        <v>0</v>
      </c>
      <c r="BB244" s="259" t="s">
        <v>573</v>
      </c>
      <c r="BC244" s="260">
        <f t="shared" si="75"/>
        <v>0</v>
      </c>
      <c r="BD244" s="259" t="s">
        <v>573</v>
      </c>
      <c r="BE244" s="260">
        <f t="shared" si="76"/>
        <v>0</v>
      </c>
      <c r="BF244" s="259" t="s">
        <v>573</v>
      </c>
      <c r="BG244" s="260">
        <f t="shared" si="77"/>
        <v>0</v>
      </c>
      <c r="BH244" s="259" t="s">
        <v>573</v>
      </c>
      <c r="BI244" s="260">
        <f t="shared" si="67"/>
        <v>0</v>
      </c>
      <c r="BJ244" s="58"/>
      <c r="BK244" s="220"/>
      <c r="BL244" s="213" t="s">
        <v>807</v>
      </c>
      <c r="BM244" s="58" t="s">
        <v>1495</v>
      </c>
    </row>
    <row r="245" spans="1:65" ht="15.75" customHeight="1">
      <c r="A245" s="213" t="s">
        <v>1437</v>
      </c>
      <c r="B245" s="58" t="s">
        <v>184</v>
      </c>
      <c r="C245" s="58" t="s">
        <v>752</v>
      </c>
      <c r="D245" s="214" t="s">
        <v>186</v>
      </c>
      <c r="E245" s="214" t="s">
        <v>186</v>
      </c>
      <c r="F245" s="215" t="s">
        <v>186</v>
      </c>
      <c r="G245" s="216">
        <v>2016</v>
      </c>
      <c r="H245" s="218" t="s">
        <v>794</v>
      </c>
      <c r="I245" s="218" t="s">
        <v>196</v>
      </c>
      <c r="J245" s="217" t="s">
        <v>890</v>
      </c>
      <c r="K245" s="213" t="s">
        <v>239</v>
      </c>
      <c r="L245" s="213" t="s">
        <v>192</v>
      </c>
      <c r="M245" s="219" t="s">
        <v>1391</v>
      </c>
      <c r="N245" s="265">
        <v>5.54</v>
      </c>
      <c r="O245" s="265">
        <v>5.54</v>
      </c>
      <c r="P245" s="265">
        <v>5.54</v>
      </c>
      <c r="Q245" s="265">
        <v>5.54</v>
      </c>
      <c r="R245" s="265">
        <v>5.54</v>
      </c>
      <c r="S245" s="265">
        <v>5.54</v>
      </c>
      <c r="T245" s="265">
        <v>5.54</v>
      </c>
      <c r="U245" s="265">
        <v>5.54</v>
      </c>
      <c r="V245" s="265">
        <v>5.54</v>
      </c>
      <c r="W245" s="265">
        <v>5.54</v>
      </c>
      <c r="X245" s="265">
        <v>5.54</v>
      </c>
      <c r="Y245" s="265">
        <v>5.54</v>
      </c>
      <c r="Z245" s="265">
        <v>0.05</v>
      </c>
      <c r="AA245" s="265">
        <v>0.05</v>
      </c>
      <c r="AB245" s="265">
        <v>0.05</v>
      </c>
      <c r="AC245" s="265">
        <v>0.05</v>
      </c>
      <c r="AD245" s="265">
        <v>0.05</v>
      </c>
      <c r="AE245" s="265">
        <v>0.05</v>
      </c>
      <c r="AF245" s="265">
        <v>0.05</v>
      </c>
      <c r="AG245" s="265">
        <v>0.05</v>
      </c>
      <c r="AH245" s="265">
        <v>0.05</v>
      </c>
      <c r="AI245" s="265">
        <v>0.05</v>
      </c>
      <c r="AJ245" s="265">
        <v>0.05</v>
      </c>
      <c r="AK245" s="265">
        <v>0.05</v>
      </c>
      <c r="AL245" s="266" t="s">
        <v>573</v>
      </c>
      <c r="AM245" s="265">
        <f t="shared" si="68"/>
        <v>0</v>
      </c>
      <c r="AN245" s="266" t="s">
        <v>573</v>
      </c>
      <c r="AO245" s="265">
        <f t="shared" si="66"/>
        <v>0</v>
      </c>
      <c r="AP245" s="266">
        <v>0</v>
      </c>
      <c r="AQ245" s="265">
        <f t="shared" si="69"/>
        <v>0</v>
      </c>
      <c r="AR245" s="266">
        <v>0</v>
      </c>
      <c r="AS245" s="262">
        <f t="shared" si="70"/>
        <v>0</v>
      </c>
      <c r="AT245" s="266">
        <v>0</v>
      </c>
      <c r="AU245" s="260">
        <f t="shared" si="71"/>
        <v>0</v>
      </c>
      <c r="AV245" s="259">
        <v>0</v>
      </c>
      <c r="AW245" s="260">
        <f t="shared" si="72"/>
        <v>0</v>
      </c>
      <c r="AX245" s="261" t="s">
        <v>573</v>
      </c>
      <c r="AY245" s="260">
        <f t="shared" si="73"/>
        <v>0</v>
      </c>
      <c r="AZ245" s="259" t="s">
        <v>573</v>
      </c>
      <c r="BA245" s="260">
        <f t="shared" si="74"/>
        <v>0</v>
      </c>
      <c r="BB245" s="259" t="s">
        <v>573</v>
      </c>
      <c r="BC245" s="260">
        <f t="shared" si="75"/>
        <v>0</v>
      </c>
      <c r="BD245" s="259" t="s">
        <v>573</v>
      </c>
      <c r="BE245" s="260">
        <f t="shared" si="76"/>
        <v>0</v>
      </c>
      <c r="BF245" s="259" t="s">
        <v>573</v>
      </c>
      <c r="BG245" s="260">
        <f t="shared" si="77"/>
        <v>0</v>
      </c>
      <c r="BH245" s="259" t="s">
        <v>573</v>
      </c>
      <c r="BI245" s="260">
        <f t="shared" si="67"/>
        <v>0</v>
      </c>
      <c r="BJ245" s="58"/>
      <c r="BK245" s="220"/>
      <c r="BL245" s="213" t="s">
        <v>807</v>
      </c>
      <c r="BM245" s="58" t="s">
        <v>1496</v>
      </c>
    </row>
    <row r="246" spans="1:65" ht="15.75" customHeight="1">
      <c r="A246" s="213" t="s">
        <v>1437</v>
      </c>
      <c r="B246" s="58" t="s">
        <v>184</v>
      </c>
      <c r="C246" s="58" t="s">
        <v>752</v>
      </c>
      <c r="D246" s="214" t="s">
        <v>186</v>
      </c>
      <c r="E246" s="214" t="s">
        <v>186</v>
      </c>
      <c r="F246" s="215" t="s">
        <v>186</v>
      </c>
      <c r="G246" s="216">
        <v>2016</v>
      </c>
      <c r="H246" s="218" t="s">
        <v>794</v>
      </c>
      <c r="I246" s="218" t="s">
        <v>196</v>
      </c>
      <c r="J246" s="217" t="s">
        <v>890</v>
      </c>
      <c r="K246" s="213" t="s">
        <v>239</v>
      </c>
      <c r="L246" s="213" t="s">
        <v>192</v>
      </c>
      <c r="M246" s="219" t="s">
        <v>1391</v>
      </c>
      <c r="N246" s="265">
        <v>4.9800000000000004</v>
      </c>
      <c r="O246" s="265">
        <v>4.9800000000000004</v>
      </c>
      <c r="P246" s="265">
        <v>4.9800000000000004</v>
      </c>
      <c r="Q246" s="265">
        <v>4.9800000000000004</v>
      </c>
      <c r="R246" s="265">
        <v>4.9800000000000004</v>
      </c>
      <c r="S246" s="265">
        <v>4.9800000000000004</v>
      </c>
      <c r="T246" s="265">
        <v>4.9800000000000004</v>
      </c>
      <c r="U246" s="265">
        <v>4.9800000000000004</v>
      </c>
      <c r="V246" s="265">
        <v>4.9800000000000004</v>
      </c>
      <c r="W246" s="265">
        <v>4.9800000000000004</v>
      </c>
      <c r="X246" s="265">
        <v>4.9800000000000004</v>
      </c>
      <c r="Y246" s="265">
        <v>4.9800000000000004</v>
      </c>
      <c r="Z246" s="265">
        <v>0.05</v>
      </c>
      <c r="AA246" s="265">
        <v>0.05</v>
      </c>
      <c r="AB246" s="265">
        <v>0.05</v>
      </c>
      <c r="AC246" s="265">
        <v>0.05</v>
      </c>
      <c r="AD246" s="265">
        <v>0.05</v>
      </c>
      <c r="AE246" s="265">
        <v>0.05</v>
      </c>
      <c r="AF246" s="265">
        <v>0.05</v>
      </c>
      <c r="AG246" s="265">
        <v>0.05</v>
      </c>
      <c r="AH246" s="265">
        <v>0.05</v>
      </c>
      <c r="AI246" s="265">
        <v>0.05</v>
      </c>
      <c r="AJ246" s="265">
        <v>0.05</v>
      </c>
      <c r="AK246" s="265">
        <v>0.05</v>
      </c>
      <c r="AL246" s="266" t="s">
        <v>573</v>
      </c>
      <c r="AM246" s="265">
        <f t="shared" si="68"/>
        <v>0</v>
      </c>
      <c r="AN246" s="266" t="s">
        <v>573</v>
      </c>
      <c r="AO246" s="265">
        <f t="shared" si="66"/>
        <v>0</v>
      </c>
      <c r="AP246" s="266">
        <v>0</v>
      </c>
      <c r="AQ246" s="265">
        <f t="shared" si="69"/>
        <v>0</v>
      </c>
      <c r="AR246" s="266">
        <v>0</v>
      </c>
      <c r="AS246" s="262">
        <f t="shared" si="70"/>
        <v>0</v>
      </c>
      <c r="AT246" s="266">
        <v>0</v>
      </c>
      <c r="AU246" s="260">
        <f t="shared" si="71"/>
        <v>0</v>
      </c>
      <c r="AV246" s="259">
        <v>0</v>
      </c>
      <c r="AW246" s="260">
        <f t="shared" si="72"/>
        <v>0</v>
      </c>
      <c r="AX246" s="261" t="s">
        <v>573</v>
      </c>
      <c r="AY246" s="260">
        <f t="shared" si="73"/>
        <v>0</v>
      </c>
      <c r="AZ246" s="259" t="s">
        <v>573</v>
      </c>
      <c r="BA246" s="260">
        <f t="shared" si="74"/>
        <v>0</v>
      </c>
      <c r="BB246" s="259" t="s">
        <v>573</v>
      </c>
      <c r="BC246" s="260">
        <f t="shared" si="75"/>
        <v>0</v>
      </c>
      <c r="BD246" s="259" t="s">
        <v>573</v>
      </c>
      <c r="BE246" s="260">
        <f t="shared" si="76"/>
        <v>0</v>
      </c>
      <c r="BF246" s="259" t="s">
        <v>573</v>
      </c>
      <c r="BG246" s="260">
        <f t="shared" si="77"/>
        <v>0</v>
      </c>
      <c r="BH246" s="259" t="s">
        <v>573</v>
      </c>
      <c r="BI246" s="260">
        <f t="shared" si="67"/>
        <v>0</v>
      </c>
      <c r="BJ246" s="58"/>
      <c r="BK246" s="220"/>
      <c r="BL246" s="213" t="s">
        <v>807</v>
      </c>
      <c r="BM246" s="58" t="s">
        <v>1497</v>
      </c>
    </row>
    <row r="247" spans="1:65" ht="15.75" customHeight="1">
      <c r="A247" s="213" t="s">
        <v>1437</v>
      </c>
      <c r="B247" s="58" t="s">
        <v>184</v>
      </c>
      <c r="C247" s="58" t="s">
        <v>752</v>
      </c>
      <c r="D247" s="214" t="s">
        <v>186</v>
      </c>
      <c r="E247" s="214" t="s">
        <v>186</v>
      </c>
      <c r="F247" s="215" t="s">
        <v>186</v>
      </c>
      <c r="G247" s="216">
        <v>2016</v>
      </c>
      <c r="H247" s="218" t="s">
        <v>794</v>
      </c>
      <c r="I247" s="218" t="s">
        <v>196</v>
      </c>
      <c r="J247" s="217" t="s">
        <v>890</v>
      </c>
      <c r="K247" s="213" t="s">
        <v>239</v>
      </c>
      <c r="L247" s="213" t="s">
        <v>192</v>
      </c>
      <c r="M247" s="219" t="s">
        <v>1391</v>
      </c>
      <c r="N247" s="265">
        <v>5.27</v>
      </c>
      <c r="O247" s="265">
        <v>5.27</v>
      </c>
      <c r="P247" s="265">
        <v>5.27</v>
      </c>
      <c r="Q247" s="265">
        <v>5.27</v>
      </c>
      <c r="R247" s="265">
        <v>5.27</v>
      </c>
      <c r="S247" s="265">
        <v>5.27</v>
      </c>
      <c r="T247" s="265">
        <v>5.27</v>
      </c>
      <c r="U247" s="265">
        <v>5.27</v>
      </c>
      <c r="V247" s="265">
        <v>5.27</v>
      </c>
      <c r="W247" s="265">
        <v>5.27</v>
      </c>
      <c r="X247" s="265">
        <v>5.27</v>
      </c>
      <c r="Y247" s="265">
        <v>5.27</v>
      </c>
      <c r="Z247" s="265">
        <v>0.05</v>
      </c>
      <c r="AA247" s="265">
        <v>0.05</v>
      </c>
      <c r="AB247" s="265">
        <v>0.05</v>
      </c>
      <c r="AC247" s="265">
        <v>0.05</v>
      </c>
      <c r="AD247" s="265">
        <v>0.05</v>
      </c>
      <c r="AE247" s="265">
        <v>0.05</v>
      </c>
      <c r="AF247" s="265">
        <v>0.05</v>
      </c>
      <c r="AG247" s="265">
        <v>0.05</v>
      </c>
      <c r="AH247" s="265">
        <v>0.05</v>
      </c>
      <c r="AI247" s="265">
        <v>0.05</v>
      </c>
      <c r="AJ247" s="265">
        <v>0.05</v>
      </c>
      <c r="AK247" s="265">
        <v>0.05</v>
      </c>
      <c r="AL247" s="266" t="s">
        <v>573</v>
      </c>
      <c r="AM247" s="265">
        <f t="shared" si="68"/>
        <v>0</v>
      </c>
      <c r="AN247" s="266" t="s">
        <v>573</v>
      </c>
      <c r="AO247" s="265">
        <f t="shared" si="66"/>
        <v>0</v>
      </c>
      <c r="AP247" s="266">
        <v>0</v>
      </c>
      <c r="AQ247" s="265">
        <f t="shared" si="69"/>
        <v>0</v>
      </c>
      <c r="AR247" s="266">
        <v>0</v>
      </c>
      <c r="AS247" s="262">
        <f t="shared" si="70"/>
        <v>0</v>
      </c>
      <c r="AT247" s="266">
        <v>0</v>
      </c>
      <c r="AU247" s="260">
        <f t="shared" si="71"/>
        <v>0</v>
      </c>
      <c r="AV247" s="259">
        <v>0</v>
      </c>
      <c r="AW247" s="260">
        <f t="shared" si="72"/>
        <v>0</v>
      </c>
      <c r="AX247" s="261" t="s">
        <v>573</v>
      </c>
      <c r="AY247" s="260">
        <f t="shared" si="73"/>
        <v>0</v>
      </c>
      <c r="AZ247" s="259" t="s">
        <v>573</v>
      </c>
      <c r="BA247" s="260">
        <f t="shared" si="74"/>
        <v>0</v>
      </c>
      <c r="BB247" s="259" t="s">
        <v>573</v>
      </c>
      <c r="BC247" s="260">
        <f t="shared" si="75"/>
        <v>0</v>
      </c>
      <c r="BD247" s="259" t="s">
        <v>573</v>
      </c>
      <c r="BE247" s="260">
        <f t="shared" si="76"/>
        <v>0</v>
      </c>
      <c r="BF247" s="259" t="s">
        <v>573</v>
      </c>
      <c r="BG247" s="260">
        <f t="shared" si="77"/>
        <v>0</v>
      </c>
      <c r="BH247" s="259" t="s">
        <v>573</v>
      </c>
      <c r="BI247" s="260">
        <f t="shared" si="67"/>
        <v>0</v>
      </c>
      <c r="BJ247" s="58"/>
      <c r="BK247" s="220"/>
      <c r="BL247" s="213" t="s">
        <v>807</v>
      </c>
      <c r="BM247" s="58" t="s">
        <v>1498</v>
      </c>
    </row>
    <row r="248" spans="1:65" ht="15.75" customHeight="1">
      <c r="A248" s="213" t="s">
        <v>1437</v>
      </c>
      <c r="B248" s="58" t="s">
        <v>184</v>
      </c>
      <c r="C248" s="58" t="s">
        <v>752</v>
      </c>
      <c r="D248" s="214" t="s">
        <v>186</v>
      </c>
      <c r="E248" s="214" t="s">
        <v>186</v>
      </c>
      <c r="F248" s="215" t="s">
        <v>186</v>
      </c>
      <c r="G248" s="216">
        <v>2016</v>
      </c>
      <c r="H248" s="218" t="s">
        <v>815</v>
      </c>
      <c r="I248" s="218" t="s">
        <v>196</v>
      </c>
      <c r="J248" s="217" t="s">
        <v>890</v>
      </c>
      <c r="K248" s="213" t="s">
        <v>816</v>
      </c>
      <c r="L248" s="213" t="s">
        <v>192</v>
      </c>
      <c r="M248" s="219" t="s">
        <v>1392</v>
      </c>
      <c r="N248" s="265">
        <v>5.24</v>
      </c>
      <c r="O248" s="265">
        <v>5.24</v>
      </c>
      <c r="P248" s="265">
        <v>5.24</v>
      </c>
      <c r="Q248" s="265">
        <v>5.24</v>
      </c>
      <c r="R248" s="265">
        <v>5.24</v>
      </c>
      <c r="S248" s="265">
        <v>5.24</v>
      </c>
      <c r="T248" s="265">
        <v>5.24</v>
      </c>
      <c r="U248" s="265">
        <v>5.24</v>
      </c>
      <c r="V248" s="265">
        <v>5.24</v>
      </c>
      <c r="W248" s="265">
        <v>5.24</v>
      </c>
      <c r="X248" s="265">
        <v>5.24</v>
      </c>
      <c r="Y248" s="265">
        <v>5.24</v>
      </c>
      <c r="Z248" s="265">
        <v>0.05</v>
      </c>
      <c r="AA248" s="265">
        <v>0.05</v>
      </c>
      <c r="AB248" s="265">
        <v>0.05</v>
      </c>
      <c r="AC248" s="265">
        <v>0.05</v>
      </c>
      <c r="AD248" s="265">
        <v>0.05</v>
      </c>
      <c r="AE248" s="265">
        <v>0.05</v>
      </c>
      <c r="AF248" s="265">
        <v>0.05</v>
      </c>
      <c r="AG248" s="265">
        <v>0.05</v>
      </c>
      <c r="AH248" s="265">
        <v>0.05</v>
      </c>
      <c r="AI248" s="265">
        <v>0.05</v>
      </c>
      <c r="AJ248" s="265">
        <v>0.05</v>
      </c>
      <c r="AK248" s="265">
        <v>0.05</v>
      </c>
      <c r="AL248" s="266" t="s">
        <v>573</v>
      </c>
      <c r="AM248" s="265">
        <f t="shared" si="68"/>
        <v>0</v>
      </c>
      <c r="AN248" s="266" t="s">
        <v>573</v>
      </c>
      <c r="AO248" s="265">
        <f t="shared" si="66"/>
        <v>0</v>
      </c>
      <c r="AP248" s="266">
        <v>0</v>
      </c>
      <c r="AQ248" s="265">
        <f t="shared" si="69"/>
        <v>0</v>
      </c>
      <c r="AR248" s="266">
        <v>0</v>
      </c>
      <c r="AS248" s="262">
        <f t="shared" si="70"/>
        <v>0</v>
      </c>
      <c r="AT248" s="266">
        <v>0</v>
      </c>
      <c r="AU248" s="260">
        <f t="shared" si="71"/>
        <v>0</v>
      </c>
      <c r="AV248" s="259">
        <v>0</v>
      </c>
      <c r="AW248" s="260">
        <f t="shared" si="72"/>
        <v>0</v>
      </c>
      <c r="AX248" s="261" t="s">
        <v>573</v>
      </c>
      <c r="AY248" s="260">
        <f t="shared" si="73"/>
        <v>0</v>
      </c>
      <c r="AZ248" s="259" t="s">
        <v>573</v>
      </c>
      <c r="BA248" s="260">
        <f t="shared" si="74"/>
        <v>0</v>
      </c>
      <c r="BB248" s="259" t="s">
        <v>573</v>
      </c>
      <c r="BC248" s="260">
        <f t="shared" si="75"/>
        <v>0</v>
      </c>
      <c r="BD248" s="259" t="s">
        <v>573</v>
      </c>
      <c r="BE248" s="260">
        <f t="shared" si="76"/>
        <v>0</v>
      </c>
      <c r="BF248" s="259" t="s">
        <v>573</v>
      </c>
      <c r="BG248" s="260">
        <f t="shared" si="77"/>
        <v>0</v>
      </c>
      <c r="BH248" s="259" t="s">
        <v>573</v>
      </c>
      <c r="BI248" s="260">
        <f t="shared" si="67"/>
        <v>0</v>
      </c>
      <c r="BJ248" s="58"/>
      <c r="BK248" s="220"/>
      <c r="BL248" s="213" t="s">
        <v>1347</v>
      </c>
      <c r="BM248" s="58" t="s">
        <v>672</v>
      </c>
    </row>
    <row r="249" spans="1:65" ht="15.75" customHeight="1">
      <c r="A249" s="213" t="s">
        <v>1437</v>
      </c>
      <c r="B249" s="58" t="s">
        <v>184</v>
      </c>
      <c r="C249" s="58" t="s">
        <v>752</v>
      </c>
      <c r="D249" s="214" t="s">
        <v>186</v>
      </c>
      <c r="E249" s="214" t="s">
        <v>186</v>
      </c>
      <c r="F249" s="215" t="s">
        <v>186</v>
      </c>
      <c r="G249" s="216">
        <v>2016</v>
      </c>
      <c r="H249" s="218" t="s">
        <v>818</v>
      </c>
      <c r="I249" s="218" t="s">
        <v>196</v>
      </c>
      <c r="J249" s="217" t="s">
        <v>890</v>
      </c>
      <c r="K249" s="213" t="s">
        <v>221</v>
      </c>
      <c r="L249" s="213" t="s">
        <v>192</v>
      </c>
      <c r="M249" s="219" t="s">
        <v>1392</v>
      </c>
      <c r="N249" s="265">
        <v>3.72</v>
      </c>
      <c r="O249" s="265">
        <v>3.72</v>
      </c>
      <c r="P249" s="265">
        <v>3.72</v>
      </c>
      <c r="Q249" s="265">
        <v>3.72</v>
      </c>
      <c r="R249" s="265">
        <v>3.72</v>
      </c>
      <c r="S249" s="265">
        <v>3.72</v>
      </c>
      <c r="T249" s="265">
        <v>3.72</v>
      </c>
      <c r="U249" s="265">
        <v>3.72</v>
      </c>
      <c r="V249" s="265">
        <v>3.72</v>
      </c>
      <c r="W249" s="265">
        <v>3.72</v>
      </c>
      <c r="X249" s="265">
        <v>3.72</v>
      </c>
      <c r="Y249" s="265">
        <v>3.72</v>
      </c>
      <c r="Z249" s="265">
        <v>0.04</v>
      </c>
      <c r="AA249" s="265">
        <v>0.04</v>
      </c>
      <c r="AB249" s="265">
        <v>0.04</v>
      </c>
      <c r="AC249" s="265">
        <v>0.04</v>
      </c>
      <c r="AD249" s="265">
        <v>0.04</v>
      </c>
      <c r="AE249" s="265">
        <v>0.04</v>
      </c>
      <c r="AF249" s="265">
        <v>0.04</v>
      </c>
      <c r="AG249" s="265">
        <v>0.04</v>
      </c>
      <c r="AH249" s="265">
        <v>0.04</v>
      </c>
      <c r="AI249" s="265">
        <v>0.04</v>
      </c>
      <c r="AJ249" s="265">
        <v>0.04</v>
      </c>
      <c r="AK249" s="265">
        <v>0.04</v>
      </c>
      <c r="AL249" s="266">
        <v>7200</v>
      </c>
      <c r="AM249" s="265">
        <f t="shared" si="68"/>
        <v>288</v>
      </c>
      <c r="AN249" s="266" t="s">
        <v>573</v>
      </c>
      <c r="AO249" s="265">
        <f t="shared" si="66"/>
        <v>0</v>
      </c>
      <c r="AP249" s="266">
        <v>0</v>
      </c>
      <c r="AQ249" s="265">
        <f t="shared" si="69"/>
        <v>0</v>
      </c>
      <c r="AR249" s="266">
        <v>0</v>
      </c>
      <c r="AS249" s="262">
        <f t="shared" si="70"/>
        <v>0</v>
      </c>
      <c r="AT249" s="266">
        <v>0</v>
      </c>
      <c r="AU249" s="260">
        <f t="shared" si="71"/>
        <v>0</v>
      </c>
      <c r="AV249" s="259">
        <v>0</v>
      </c>
      <c r="AW249" s="260">
        <f t="shared" si="72"/>
        <v>0</v>
      </c>
      <c r="AX249" s="261">
        <v>7200</v>
      </c>
      <c r="AY249" s="260">
        <f t="shared" si="73"/>
        <v>288</v>
      </c>
      <c r="AZ249" s="259">
        <v>3600</v>
      </c>
      <c r="BA249" s="260">
        <f t="shared" si="74"/>
        <v>144</v>
      </c>
      <c r="BB249" s="259" t="s">
        <v>573</v>
      </c>
      <c r="BC249" s="260">
        <f t="shared" si="75"/>
        <v>0</v>
      </c>
      <c r="BD249" s="259">
        <v>3600</v>
      </c>
      <c r="BE249" s="260">
        <f t="shared" si="76"/>
        <v>144</v>
      </c>
      <c r="BF249" s="259" t="s">
        <v>573</v>
      </c>
      <c r="BG249" s="260">
        <f t="shared" si="77"/>
        <v>0</v>
      </c>
      <c r="BH249" s="259" t="s">
        <v>573</v>
      </c>
      <c r="BI249" s="260">
        <f t="shared" si="67"/>
        <v>0</v>
      </c>
      <c r="BJ249" s="58"/>
      <c r="BK249" s="220"/>
      <c r="BL249" s="213" t="s">
        <v>1347</v>
      </c>
      <c r="BM249" s="58" t="s">
        <v>676</v>
      </c>
    </row>
    <row r="250" spans="1:65" ht="15.75" customHeight="1">
      <c r="A250" s="213" t="s">
        <v>1437</v>
      </c>
      <c r="B250" s="58" t="s">
        <v>184</v>
      </c>
      <c r="C250" s="58" t="s">
        <v>752</v>
      </c>
      <c r="D250" s="214" t="s">
        <v>186</v>
      </c>
      <c r="E250" s="214" t="s">
        <v>186</v>
      </c>
      <c r="F250" s="215" t="s">
        <v>186</v>
      </c>
      <c r="G250" s="216">
        <v>2023</v>
      </c>
      <c r="H250" s="213" t="s">
        <v>801</v>
      </c>
      <c r="I250" s="218" t="s">
        <v>196</v>
      </c>
      <c r="J250" s="217" t="s">
        <v>890</v>
      </c>
      <c r="K250" s="213" t="s">
        <v>221</v>
      </c>
      <c r="L250" s="213" t="s">
        <v>192</v>
      </c>
      <c r="M250" s="219" t="s">
        <v>1391</v>
      </c>
      <c r="N250" s="265">
        <v>4.2199999999999989</v>
      </c>
      <c r="O250" s="265">
        <v>4.2199999999999989</v>
      </c>
      <c r="P250" s="265">
        <v>4.2199999999999989</v>
      </c>
      <c r="Q250" s="265">
        <v>4.2199999999999989</v>
      </c>
      <c r="R250" s="265">
        <v>4.2199999999999989</v>
      </c>
      <c r="S250" s="265">
        <v>4.2199999999999989</v>
      </c>
      <c r="T250" s="265">
        <v>4.2199999999999989</v>
      </c>
      <c r="U250" s="265">
        <v>4.2199999999999989</v>
      </c>
      <c r="V250" s="265">
        <v>4.2199999999999989</v>
      </c>
      <c r="W250" s="265">
        <v>4.2199999999999989</v>
      </c>
      <c r="X250" s="265">
        <v>4.2199999999999989</v>
      </c>
      <c r="Y250" s="265">
        <v>4.2199999999999989</v>
      </c>
      <c r="Z250" s="265">
        <v>7.0000000000000007E-2</v>
      </c>
      <c r="AA250" s="265">
        <v>7.0000000000000007E-2</v>
      </c>
      <c r="AB250" s="265">
        <v>7.0000000000000007E-2</v>
      </c>
      <c r="AC250" s="265">
        <v>7.0000000000000007E-2</v>
      </c>
      <c r="AD250" s="265">
        <v>7.0000000000000007E-2</v>
      </c>
      <c r="AE250" s="265">
        <v>7.0000000000000007E-2</v>
      </c>
      <c r="AF250" s="265">
        <v>7.0000000000000007E-2</v>
      </c>
      <c r="AG250" s="265">
        <v>7.0000000000000007E-2</v>
      </c>
      <c r="AH250" s="265">
        <v>7.0000000000000007E-2</v>
      </c>
      <c r="AI250" s="265">
        <v>7.0000000000000007E-2</v>
      </c>
      <c r="AJ250" s="265">
        <v>7.0000000000000007E-2</v>
      </c>
      <c r="AK250" s="265">
        <v>7.0000000000000007E-2</v>
      </c>
      <c r="AL250" s="266" t="s">
        <v>573</v>
      </c>
      <c r="AM250" s="265">
        <f t="shared" si="68"/>
        <v>0</v>
      </c>
      <c r="AN250" s="266" t="s">
        <v>573</v>
      </c>
      <c r="AO250" s="265">
        <f t="shared" si="66"/>
        <v>0</v>
      </c>
      <c r="AP250" s="266">
        <v>0</v>
      </c>
      <c r="AQ250" s="265">
        <f t="shared" si="69"/>
        <v>0</v>
      </c>
      <c r="AR250" s="266">
        <v>0</v>
      </c>
      <c r="AS250" s="262">
        <f t="shared" si="70"/>
        <v>0</v>
      </c>
      <c r="AT250" s="266">
        <v>0</v>
      </c>
      <c r="AU250" s="260">
        <f t="shared" si="71"/>
        <v>0</v>
      </c>
      <c r="AV250" s="259">
        <v>0</v>
      </c>
      <c r="AW250" s="260">
        <f t="shared" si="72"/>
        <v>0</v>
      </c>
      <c r="AX250" s="261" t="s">
        <v>573</v>
      </c>
      <c r="AY250" s="260">
        <f t="shared" si="73"/>
        <v>0</v>
      </c>
      <c r="AZ250" s="259">
        <v>5760</v>
      </c>
      <c r="BA250" s="260">
        <f t="shared" si="74"/>
        <v>403.20000000000005</v>
      </c>
      <c r="BB250" s="259" t="s">
        <v>573</v>
      </c>
      <c r="BC250" s="260">
        <f t="shared" si="75"/>
        <v>0</v>
      </c>
      <c r="BD250" s="259">
        <v>2880</v>
      </c>
      <c r="BE250" s="260">
        <f t="shared" si="76"/>
        <v>201.60000000000002</v>
      </c>
      <c r="BF250" s="259" t="s">
        <v>573</v>
      </c>
      <c r="BG250" s="260">
        <f t="shared" si="77"/>
        <v>0</v>
      </c>
      <c r="BH250" s="259" t="s">
        <v>573</v>
      </c>
      <c r="BI250" s="260">
        <f t="shared" si="67"/>
        <v>0</v>
      </c>
      <c r="BJ250" s="58"/>
      <c r="BK250" s="220"/>
      <c r="BL250" s="213" t="s">
        <v>197</v>
      </c>
      <c r="BM250" s="58" t="s">
        <v>1499</v>
      </c>
    </row>
    <row r="251" spans="1:65" ht="15.75" customHeight="1">
      <c r="A251" s="213" t="s">
        <v>1437</v>
      </c>
      <c r="B251" s="58" t="s">
        <v>184</v>
      </c>
      <c r="C251" s="58" t="s">
        <v>752</v>
      </c>
      <c r="D251" s="214" t="s">
        <v>186</v>
      </c>
      <c r="E251" s="214" t="s">
        <v>186</v>
      </c>
      <c r="F251" s="215" t="s">
        <v>186</v>
      </c>
      <c r="G251" s="216">
        <v>2023</v>
      </c>
      <c r="H251" s="213" t="s">
        <v>801</v>
      </c>
      <c r="I251" s="218" t="s">
        <v>196</v>
      </c>
      <c r="J251" s="217" t="s">
        <v>890</v>
      </c>
      <c r="K251" s="213" t="s">
        <v>775</v>
      </c>
      <c r="L251" s="213" t="s">
        <v>192</v>
      </c>
      <c r="M251" s="219" t="s">
        <v>1392</v>
      </c>
      <c r="N251" s="265">
        <v>5.05</v>
      </c>
      <c r="O251" s="265">
        <v>5.05</v>
      </c>
      <c r="P251" s="265">
        <v>5.05</v>
      </c>
      <c r="Q251" s="265">
        <v>5.05</v>
      </c>
      <c r="R251" s="265">
        <v>5.05</v>
      </c>
      <c r="S251" s="265">
        <v>5.05</v>
      </c>
      <c r="T251" s="265">
        <v>5.05</v>
      </c>
      <c r="U251" s="265">
        <v>5.05</v>
      </c>
      <c r="V251" s="265">
        <v>5.05</v>
      </c>
      <c r="W251" s="265">
        <v>5.05</v>
      </c>
      <c r="X251" s="265">
        <v>5.05</v>
      </c>
      <c r="Y251" s="265">
        <v>5.05</v>
      </c>
      <c r="Z251" s="265">
        <v>7.0000000000000007E-2</v>
      </c>
      <c r="AA251" s="265">
        <v>7.0000000000000007E-2</v>
      </c>
      <c r="AB251" s="265">
        <v>7.0000000000000007E-2</v>
      </c>
      <c r="AC251" s="265">
        <v>7.0000000000000007E-2</v>
      </c>
      <c r="AD251" s="265">
        <v>7.0000000000000007E-2</v>
      </c>
      <c r="AE251" s="265">
        <v>7.0000000000000007E-2</v>
      </c>
      <c r="AF251" s="265">
        <v>7.0000000000000007E-2</v>
      </c>
      <c r="AG251" s="265">
        <v>7.0000000000000007E-2</v>
      </c>
      <c r="AH251" s="265">
        <v>7.0000000000000007E-2</v>
      </c>
      <c r="AI251" s="265">
        <v>7.0000000000000007E-2</v>
      </c>
      <c r="AJ251" s="265">
        <v>7.0000000000000007E-2</v>
      </c>
      <c r="AK251" s="265">
        <v>7.0000000000000007E-2</v>
      </c>
      <c r="AL251" s="266" t="s">
        <v>573</v>
      </c>
      <c r="AM251" s="265">
        <f t="shared" si="68"/>
        <v>0</v>
      </c>
      <c r="AN251" s="266" t="s">
        <v>573</v>
      </c>
      <c r="AO251" s="265">
        <f t="shared" si="66"/>
        <v>0</v>
      </c>
      <c r="AP251" s="266">
        <v>0</v>
      </c>
      <c r="AQ251" s="265">
        <f t="shared" si="69"/>
        <v>0</v>
      </c>
      <c r="AR251" s="266">
        <v>0</v>
      </c>
      <c r="AS251" s="262">
        <f t="shared" si="70"/>
        <v>0</v>
      </c>
      <c r="AT251" s="266">
        <v>0</v>
      </c>
      <c r="AU251" s="260">
        <f t="shared" si="71"/>
        <v>0</v>
      </c>
      <c r="AV251" s="259">
        <v>0</v>
      </c>
      <c r="AW251" s="260">
        <f t="shared" si="72"/>
        <v>0</v>
      </c>
      <c r="AX251" s="261" t="s">
        <v>573</v>
      </c>
      <c r="AY251" s="260">
        <f t="shared" si="73"/>
        <v>0</v>
      </c>
      <c r="AZ251" s="259" t="s">
        <v>573</v>
      </c>
      <c r="BA251" s="260">
        <f t="shared" si="74"/>
        <v>0</v>
      </c>
      <c r="BB251" s="259" t="s">
        <v>573</v>
      </c>
      <c r="BC251" s="260">
        <f t="shared" si="75"/>
        <v>0</v>
      </c>
      <c r="BD251" s="259" t="s">
        <v>573</v>
      </c>
      <c r="BE251" s="260">
        <f t="shared" si="76"/>
        <v>0</v>
      </c>
      <c r="BF251" s="259" t="s">
        <v>573</v>
      </c>
      <c r="BG251" s="260">
        <f t="shared" si="77"/>
        <v>0</v>
      </c>
      <c r="BH251" s="259" t="s">
        <v>573</v>
      </c>
      <c r="BI251" s="260">
        <f t="shared" si="67"/>
        <v>0</v>
      </c>
      <c r="BJ251" s="58"/>
      <c r="BK251" s="220"/>
      <c r="BL251" s="213" t="s">
        <v>1347</v>
      </c>
      <c r="BM251" s="213" t="s">
        <v>681</v>
      </c>
    </row>
    <row r="252" spans="1:65" ht="15.75" customHeight="1">
      <c r="A252" s="213" t="s">
        <v>1437</v>
      </c>
      <c r="B252" s="58" t="s">
        <v>184</v>
      </c>
      <c r="C252" s="58" t="s">
        <v>752</v>
      </c>
      <c r="D252" s="214" t="s">
        <v>186</v>
      </c>
      <c r="E252" s="214" t="s">
        <v>186</v>
      </c>
      <c r="F252" s="215" t="s">
        <v>186</v>
      </c>
      <c r="G252" s="216">
        <v>2023</v>
      </c>
      <c r="H252" s="213" t="s">
        <v>801</v>
      </c>
      <c r="I252" s="218" t="s">
        <v>196</v>
      </c>
      <c r="J252" s="217" t="s">
        <v>890</v>
      </c>
      <c r="K252" s="213" t="s">
        <v>775</v>
      </c>
      <c r="L252" s="213" t="s">
        <v>192</v>
      </c>
      <c r="M252" s="219" t="s">
        <v>1393</v>
      </c>
      <c r="N252" s="265">
        <v>5</v>
      </c>
      <c r="O252" s="265">
        <v>5</v>
      </c>
      <c r="P252" s="265">
        <v>5</v>
      </c>
      <c r="Q252" s="265">
        <v>5</v>
      </c>
      <c r="R252" s="265">
        <v>5</v>
      </c>
      <c r="S252" s="265">
        <v>5</v>
      </c>
      <c r="T252" s="265">
        <v>5</v>
      </c>
      <c r="U252" s="265">
        <v>5</v>
      </c>
      <c r="V252" s="265">
        <v>5</v>
      </c>
      <c r="W252" s="265">
        <v>5</v>
      </c>
      <c r="X252" s="265">
        <v>5</v>
      </c>
      <c r="Y252" s="265">
        <v>5</v>
      </c>
      <c r="Z252" s="265">
        <v>7.0000000000000007E-2</v>
      </c>
      <c r="AA252" s="265">
        <v>7.0000000000000007E-2</v>
      </c>
      <c r="AB252" s="265">
        <v>7.0000000000000007E-2</v>
      </c>
      <c r="AC252" s="265">
        <v>7.0000000000000007E-2</v>
      </c>
      <c r="AD252" s="265">
        <v>7.0000000000000007E-2</v>
      </c>
      <c r="AE252" s="265">
        <v>7.0000000000000007E-2</v>
      </c>
      <c r="AF252" s="265">
        <v>7.0000000000000007E-2</v>
      </c>
      <c r="AG252" s="265">
        <v>7.0000000000000007E-2</v>
      </c>
      <c r="AH252" s="265">
        <v>7.0000000000000007E-2</v>
      </c>
      <c r="AI252" s="265">
        <v>7.0000000000000007E-2</v>
      </c>
      <c r="AJ252" s="265">
        <v>7.0000000000000007E-2</v>
      </c>
      <c r="AK252" s="265">
        <v>7.0000000000000007E-2</v>
      </c>
      <c r="AL252" s="266" t="s">
        <v>573</v>
      </c>
      <c r="AM252" s="265">
        <f t="shared" si="68"/>
        <v>0</v>
      </c>
      <c r="AN252" s="266" t="s">
        <v>573</v>
      </c>
      <c r="AO252" s="265">
        <f t="shared" si="66"/>
        <v>0</v>
      </c>
      <c r="AP252" s="266">
        <v>0</v>
      </c>
      <c r="AQ252" s="265">
        <f t="shared" si="69"/>
        <v>0</v>
      </c>
      <c r="AR252" s="266">
        <v>0</v>
      </c>
      <c r="AS252" s="262">
        <f t="shared" si="70"/>
        <v>0</v>
      </c>
      <c r="AT252" s="266">
        <v>0</v>
      </c>
      <c r="AU252" s="260">
        <f t="shared" si="71"/>
        <v>0</v>
      </c>
      <c r="AV252" s="259">
        <v>0</v>
      </c>
      <c r="AW252" s="260">
        <f t="shared" si="72"/>
        <v>0</v>
      </c>
      <c r="AX252" s="261" t="s">
        <v>573</v>
      </c>
      <c r="AY252" s="260">
        <f t="shared" si="73"/>
        <v>0</v>
      </c>
      <c r="AZ252" s="259" t="s">
        <v>573</v>
      </c>
      <c r="BA252" s="260">
        <f t="shared" si="74"/>
        <v>0</v>
      </c>
      <c r="BB252" s="259" t="s">
        <v>573</v>
      </c>
      <c r="BC252" s="260">
        <f t="shared" si="75"/>
        <v>0</v>
      </c>
      <c r="BD252" s="259" t="s">
        <v>573</v>
      </c>
      <c r="BE252" s="260">
        <f t="shared" si="76"/>
        <v>0</v>
      </c>
      <c r="BF252" s="259" t="s">
        <v>573</v>
      </c>
      <c r="BG252" s="260">
        <f t="shared" si="77"/>
        <v>0</v>
      </c>
      <c r="BH252" s="259" t="s">
        <v>573</v>
      </c>
      <c r="BI252" s="260">
        <f t="shared" si="67"/>
        <v>0</v>
      </c>
      <c r="BJ252" s="58"/>
      <c r="BK252" s="220"/>
      <c r="BL252" s="213" t="s">
        <v>1347</v>
      </c>
      <c r="BM252" s="213" t="s">
        <v>681</v>
      </c>
    </row>
    <row r="253" spans="1:65" ht="15.75" customHeight="1">
      <c r="A253" s="213" t="s">
        <v>1437</v>
      </c>
      <c r="B253" s="58" t="s">
        <v>184</v>
      </c>
      <c r="C253" s="58" t="s">
        <v>752</v>
      </c>
      <c r="D253" s="214" t="s">
        <v>186</v>
      </c>
      <c r="E253" s="214" t="s">
        <v>186</v>
      </c>
      <c r="F253" s="215" t="s">
        <v>186</v>
      </c>
      <c r="G253" s="216">
        <v>2023</v>
      </c>
      <c r="H253" s="213" t="s">
        <v>801</v>
      </c>
      <c r="I253" s="218" t="s">
        <v>196</v>
      </c>
      <c r="J253" s="217" t="s">
        <v>890</v>
      </c>
      <c r="K253" s="213" t="s">
        <v>221</v>
      </c>
      <c r="L253" s="213" t="s">
        <v>192</v>
      </c>
      <c r="M253" s="219" t="s">
        <v>1392</v>
      </c>
      <c r="N253" s="265">
        <v>4.7</v>
      </c>
      <c r="O253" s="265">
        <v>4.7</v>
      </c>
      <c r="P253" s="265">
        <v>4.7</v>
      </c>
      <c r="Q253" s="265">
        <v>4.7</v>
      </c>
      <c r="R253" s="265">
        <v>4.7</v>
      </c>
      <c r="S253" s="265">
        <v>4.7</v>
      </c>
      <c r="T253" s="265">
        <v>4.7</v>
      </c>
      <c r="U253" s="265">
        <v>4.7</v>
      </c>
      <c r="V253" s="265">
        <v>4.7</v>
      </c>
      <c r="W253" s="265">
        <v>4.7</v>
      </c>
      <c r="X253" s="265">
        <v>4.7</v>
      </c>
      <c r="Y253" s="265">
        <v>4.7</v>
      </c>
      <c r="Z253" s="265">
        <v>7.0000000000000007E-2</v>
      </c>
      <c r="AA253" s="265">
        <v>7.0000000000000007E-2</v>
      </c>
      <c r="AB253" s="265">
        <v>7.0000000000000007E-2</v>
      </c>
      <c r="AC253" s="265">
        <v>7.0000000000000007E-2</v>
      </c>
      <c r="AD253" s="265">
        <v>7.0000000000000007E-2</v>
      </c>
      <c r="AE253" s="265">
        <v>7.0000000000000007E-2</v>
      </c>
      <c r="AF253" s="265">
        <v>7.0000000000000007E-2</v>
      </c>
      <c r="AG253" s="265">
        <v>7.0000000000000007E-2</v>
      </c>
      <c r="AH253" s="265">
        <v>7.0000000000000007E-2</v>
      </c>
      <c r="AI253" s="265">
        <v>7.0000000000000007E-2</v>
      </c>
      <c r="AJ253" s="265">
        <v>7.0000000000000007E-2</v>
      </c>
      <c r="AK253" s="265">
        <v>7.0000000000000007E-2</v>
      </c>
      <c r="AL253" s="266">
        <v>6000</v>
      </c>
      <c r="AM253" s="265">
        <f t="shared" si="68"/>
        <v>420.00000000000006</v>
      </c>
      <c r="AN253" s="266">
        <v>3000</v>
      </c>
      <c r="AO253" s="265">
        <f t="shared" si="66"/>
        <v>210.00000000000003</v>
      </c>
      <c r="AP253" s="266">
        <v>3000</v>
      </c>
      <c r="AQ253" s="265">
        <f t="shared" si="69"/>
        <v>210.00000000000003</v>
      </c>
      <c r="AR253" s="266">
        <v>0</v>
      </c>
      <c r="AS253" s="262">
        <f t="shared" si="70"/>
        <v>0</v>
      </c>
      <c r="AT253" s="266">
        <v>6000</v>
      </c>
      <c r="AU253" s="260">
        <f t="shared" si="71"/>
        <v>420.00000000000006</v>
      </c>
      <c r="AV253" s="259">
        <v>6000</v>
      </c>
      <c r="AW253" s="260">
        <f t="shared" si="72"/>
        <v>420.00000000000006</v>
      </c>
      <c r="AX253" s="261" t="s">
        <v>573</v>
      </c>
      <c r="AY253" s="260">
        <f t="shared" si="73"/>
        <v>0</v>
      </c>
      <c r="AZ253" s="259">
        <v>6000</v>
      </c>
      <c r="BA253" s="260">
        <f t="shared" si="74"/>
        <v>420.00000000000006</v>
      </c>
      <c r="BB253" s="259" t="s">
        <v>573</v>
      </c>
      <c r="BC253" s="260">
        <f t="shared" si="75"/>
        <v>0</v>
      </c>
      <c r="BD253" s="259">
        <v>3000</v>
      </c>
      <c r="BE253" s="260">
        <f t="shared" si="76"/>
        <v>210.00000000000003</v>
      </c>
      <c r="BF253" s="259">
        <v>9000</v>
      </c>
      <c r="BG253" s="260">
        <f t="shared" si="77"/>
        <v>630.00000000000011</v>
      </c>
      <c r="BH253" s="259">
        <v>3000</v>
      </c>
      <c r="BI253" s="260">
        <f t="shared" si="67"/>
        <v>210.00000000000003</v>
      </c>
      <c r="BJ253" s="58"/>
      <c r="BK253" s="220"/>
      <c r="BL253" s="213" t="s">
        <v>1347</v>
      </c>
      <c r="BM253" s="213" t="s">
        <v>680</v>
      </c>
    </row>
    <row r="254" spans="1:65" ht="15.75" customHeight="1">
      <c r="A254" s="213" t="s">
        <v>1437</v>
      </c>
      <c r="B254" s="58" t="s">
        <v>184</v>
      </c>
      <c r="C254" s="58" t="s">
        <v>752</v>
      </c>
      <c r="D254" s="214" t="s">
        <v>186</v>
      </c>
      <c r="E254" s="214" t="s">
        <v>186</v>
      </c>
      <c r="F254" s="215" t="s">
        <v>186</v>
      </c>
      <c r="G254" s="216">
        <v>2023</v>
      </c>
      <c r="H254" s="218" t="s">
        <v>801</v>
      </c>
      <c r="I254" s="218" t="s">
        <v>196</v>
      </c>
      <c r="J254" s="217" t="s">
        <v>890</v>
      </c>
      <c r="K254" s="213" t="s">
        <v>221</v>
      </c>
      <c r="L254" s="213" t="s">
        <v>192</v>
      </c>
      <c r="M254" s="219" t="s">
        <v>1393</v>
      </c>
      <c r="N254" s="265">
        <v>4.6500000000000004</v>
      </c>
      <c r="O254" s="265">
        <v>4.6500000000000004</v>
      </c>
      <c r="P254" s="265">
        <v>4.6500000000000004</v>
      </c>
      <c r="Q254" s="265">
        <v>4.6500000000000004</v>
      </c>
      <c r="R254" s="265">
        <v>4.6500000000000004</v>
      </c>
      <c r="S254" s="265">
        <v>4.6500000000000004</v>
      </c>
      <c r="T254" s="265">
        <v>4.6500000000000004</v>
      </c>
      <c r="U254" s="265">
        <v>4.6500000000000004</v>
      </c>
      <c r="V254" s="265">
        <v>4.6500000000000004</v>
      </c>
      <c r="W254" s="265">
        <v>4.6500000000000004</v>
      </c>
      <c r="X254" s="265">
        <v>4.6500000000000004</v>
      </c>
      <c r="Y254" s="265">
        <v>4.6500000000000004</v>
      </c>
      <c r="Z254" s="265">
        <v>7.0000000000000007E-2</v>
      </c>
      <c r="AA254" s="265">
        <v>7.0000000000000007E-2</v>
      </c>
      <c r="AB254" s="265">
        <v>7.0000000000000007E-2</v>
      </c>
      <c r="AC254" s="265">
        <v>7.0000000000000007E-2</v>
      </c>
      <c r="AD254" s="265">
        <v>7.0000000000000007E-2</v>
      </c>
      <c r="AE254" s="265">
        <v>7.0000000000000007E-2</v>
      </c>
      <c r="AF254" s="265">
        <v>7.0000000000000007E-2</v>
      </c>
      <c r="AG254" s="265">
        <v>7.0000000000000007E-2</v>
      </c>
      <c r="AH254" s="265">
        <v>7.0000000000000007E-2</v>
      </c>
      <c r="AI254" s="265">
        <v>7.0000000000000007E-2</v>
      </c>
      <c r="AJ254" s="265">
        <v>7.0000000000000007E-2</v>
      </c>
      <c r="AK254" s="265">
        <v>7.0000000000000007E-2</v>
      </c>
      <c r="AL254" s="266" t="s">
        <v>573</v>
      </c>
      <c r="AM254" s="265">
        <f t="shared" si="68"/>
        <v>0</v>
      </c>
      <c r="AN254" s="266" t="s">
        <v>573</v>
      </c>
      <c r="AO254" s="265">
        <f t="shared" si="66"/>
        <v>0</v>
      </c>
      <c r="AP254" s="266">
        <v>0</v>
      </c>
      <c r="AQ254" s="265">
        <f t="shared" si="69"/>
        <v>0</v>
      </c>
      <c r="AR254" s="266">
        <v>0</v>
      </c>
      <c r="AS254" s="262">
        <f t="shared" si="70"/>
        <v>0</v>
      </c>
      <c r="AT254" s="266">
        <v>0</v>
      </c>
      <c r="AU254" s="260">
        <f t="shared" si="71"/>
        <v>0</v>
      </c>
      <c r="AV254" s="259">
        <v>0</v>
      </c>
      <c r="AW254" s="260">
        <f t="shared" si="72"/>
        <v>0</v>
      </c>
      <c r="AX254" s="261" t="s">
        <v>573</v>
      </c>
      <c r="AY254" s="260">
        <f t="shared" si="73"/>
        <v>0</v>
      </c>
      <c r="AZ254" s="259" t="s">
        <v>573</v>
      </c>
      <c r="BA254" s="260">
        <f t="shared" si="74"/>
        <v>0</v>
      </c>
      <c r="BB254" s="259" t="s">
        <v>573</v>
      </c>
      <c r="BC254" s="260">
        <f t="shared" si="75"/>
        <v>0</v>
      </c>
      <c r="BD254" s="259" t="s">
        <v>573</v>
      </c>
      <c r="BE254" s="260">
        <f t="shared" si="76"/>
        <v>0</v>
      </c>
      <c r="BF254" s="259">
        <v>3000</v>
      </c>
      <c r="BG254" s="260">
        <f t="shared" si="77"/>
        <v>210.00000000000003</v>
      </c>
      <c r="BH254" s="259">
        <v>3000</v>
      </c>
      <c r="BI254" s="260">
        <f t="shared" si="67"/>
        <v>210.00000000000003</v>
      </c>
      <c r="BJ254" s="58"/>
      <c r="BK254" s="220"/>
      <c r="BL254" s="213" t="s">
        <v>1347</v>
      </c>
      <c r="BM254" s="213" t="s">
        <v>680</v>
      </c>
    </row>
    <row r="255" spans="1:65" ht="15.75" customHeight="1">
      <c r="A255" s="213" t="s">
        <v>1437</v>
      </c>
      <c r="B255" s="58" t="s">
        <v>184</v>
      </c>
      <c r="C255" s="58" t="s">
        <v>752</v>
      </c>
      <c r="D255" s="214" t="s">
        <v>186</v>
      </c>
      <c r="E255" s="214" t="s">
        <v>186</v>
      </c>
      <c r="F255" s="215" t="s">
        <v>186</v>
      </c>
      <c r="G255" s="216">
        <v>2023</v>
      </c>
      <c r="H255" s="213" t="s">
        <v>801</v>
      </c>
      <c r="I255" s="218" t="s">
        <v>196</v>
      </c>
      <c r="J255" s="217" t="s">
        <v>890</v>
      </c>
      <c r="K255" s="213" t="s">
        <v>221</v>
      </c>
      <c r="L255" s="213" t="s">
        <v>192</v>
      </c>
      <c r="M255" s="219" t="s">
        <v>1394</v>
      </c>
      <c r="N255" s="265">
        <v>4.95</v>
      </c>
      <c r="O255" s="265">
        <v>4.95</v>
      </c>
      <c r="P255" s="265">
        <v>4.95</v>
      </c>
      <c r="Q255" s="265">
        <v>4.95</v>
      </c>
      <c r="R255" s="265">
        <v>4.95</v>
      </c>
      <c r="S255" s="265">
        <v>4.95</v>
      </c>
      <c r="T255" s="265">
        <v>4.95</v>
      </c>
      <c r="U255" s="265">
        <v>4.95</v>
      </c>
      <c r="V255" s="265">
        <v>4.95</v>
      </c>
      <c r="W255" s="265">
        <v>4.95</v>
      </c>
      <c r="X255" s="265">
        <v>4.95</v>
      </c>
      <c r="Y255" s="265">
        <v>4.95</v>
      </c>
      <c r="Z255" s="265">
        <v>7.0000000000000007E-2</v>
      </c>
      <c r="AA255" s="265">
        <v>7.0000000000000007E-2</v>
      </c>
      <c r="AB255" s="265">
        <v>7.0000000000000007E-2</v>
      </c>
      <c r="AC255" s="265">
        <v>7.0000000000000007E-2</v>
      </c>
      <c r="AD255" s="265">
        <v>7.0000000000000007E-2</v>
      </c>
      <c r="AE255" s="265">
        <v>7.0000000000000007E-2</v>
      </c>
      <c r="AF255" s="265">
        <v>7.0000000000000007E-2</v>
      </c>
      <c r="AG255" s="265">
        <v>7.0000000000000007E-2</v>
      </c>
      <c r="AH255" s="265">
        <v>7.0000000000000007E-2</v>
      </c>
      <c r="AI255" s="265">
        <v>7.0000000000000007E-2</v>
      </c>
      <c r="AJ255" s="265">
        <v>7.0000000000000007E-2</v>
      </c>
      <c r="AK255" s="265">
        <v>7.0000000000000007E-2</v>
      </c>
      <c r="AL255" s="266" t="s">
        <v>573</v>
      </c>
      <c r="AM255" s="265">
        <f t="shared" si="68"/>
        <v>0</v>
      </c>
      <c r="AN255" s="266" t="s">
        <v>573</v>
      </c>
      <c r="AO255" s="265">
        <f t="shared" si="66"/>
        <v>0</v>
      </c>
      <c r="AP255" s="266">
        <v>0</v>
      </c>
      <c r="AQ255" s="265">
        <f t="shared" si="69"/>
        <v>0</v>
      </c>
      <c r="AR255" s="266">
        <v>0</v>
      </c>
      <c r="AS255" s="262">
        <f t="shared" si="70"/>
        <v>0</v>
      </c>
      <c r="AT255" s="266">
        <v>3000</v>
      </c>
      <c r="AU255" s="260">
        <f t="shared" si="71"/>
        <v>210.00000000000003</v>
      </c>
      <c r="AV255" s="259">
        <v>0</v>
      </c>
      <c r="AW255" s="260">
        <f t="shared" si="72"/>
        <v>0</v>
      </c>
      <c r="AX255" s="261" t="s">
        <v>573</v>
      </c>
      <c r="AY255" s="260">
        <f t="shared" si="73"/>
        <v>0</v>
      </c>
      <c r="AZ255" s="259" t="s">
        <v>573</v>
      </c>
      <c r="BA255" s="260">
        <f t="shared" si="74"/>
        <v>0</v>
      </c>
      <c r="BB255" s="259">
        <v>6000</v>
      </c>
      <c r="BC255" s="260">
        <f t="shared" si="75"/>
        <v>420.00000000000006</v>
      </c>
      <c r="BD255" s="259" t="s">
        <v>573</v>
      </c>
      <c r="BE255" s="260">
        <f t="shared" si="76"/>
        <v>0</v>
      </c>
      <c r="BF255" s="259">
        <v>3000</v>
      </c>
      <c r="BG255" s="260">
        <f t="shared" si="77"/>
        <v>210.00000000000003</v>
      </c>
      <c r="BH255" s="259">
        <v>3000</v>
      </c>
      <c r="BI255" s="260">
        <f t="shared" si="67"/>
        <v>210.00000000000003</v>
      </c>
      <c r="BJ255" s="58"/>
      <c r="BK255" s="220"/>
      <c r="BL255" s="213" t="s">
        <v>1347</v>
      </c>
      <c r="BM255" s="213" t="s">
        <v>680</v>
      </c>
    </row>
    <row r="256" spans="1:65" ht="15.75" customHeight="1">
      <c r="A256" s="213" t="s">
        <v>1437</v>
      </c>
      <c r="B256" s="58" t="s">
        <v>184</v>
      </c>
      <c r="C256" s="58" t="s">
        <v>752</v>
      </c>
      <c r="D256" s="214" t="s">
        <v>186</v>
      </c>
      <c r="E256" s="214" t="s">
        <v>186</v>
      </c>
      <c r="F256" s="215" t="s">
        <v>186</v>
      </c>
      <c r="G256" s="216">
        <v>2023</v>
      </c>
      <c r="H256" s="218" t="s">
        <v>801</v>
      </c>
      <c r="I256" s="218" t="s">
        <v>196</v>
      </c>
      <c r="J256" s="217" t="s">
        <v>890</v>
      </c>
      <c r="K256" s="213" t="s">
        <v>221</v>
      </c>
      <c r="L256" s="213" t="s">
        <v>192</v>
      </c>
      <c r="M256" s="219" t="s">
        <v>1395</v>
      </c>
      <c r="N256" s="265">
        <v>4.6500000000000004</v>
      </c>
      <c r="O256" s="265">
        <v>4.6500000000000004</v>
      </c>
      <c r="P256" s="265">
        <v>4.6500000000000004</v>
      </c>
      <c r="Q256" s="265">
        <v>4.6500000000000004</v>
      </c>
      <c r="R256" s="265">
        <v>4.6500000000000004</v>
      </c>
      <c r="S256" s="265">
        <v>4.6500000000000004</v>
      </c>
      <c r="T256" s="265">
        <v>4.6500000000000004</v>
      </c>
      <c r="U256" s="265">
        <v>4.6500000000000004</v>
      </c>
      <c r="V256" s="265">
        <v>4.6500000000000004</v>
      </c>
      <c r="W256" s="265">
        <v>4.6500000000000004</v>
      </c>
      <c r="X256" s="265">
        <v>4.6500000000000004</v>
      </c>
      <c r="Y256" s="265">
        <v>4.6500000000000004</v>
      </c>
      <c r="Z256" s="265">
        <v>7.0000000000000007E-2</v>
      </c>
      <c r="AA256" s="265">
        <v>7.0000000000000007E-2</v>
      </c>
      <c r="AB256" s="265">
        <v>7.0000000000000007E-2</v>
      </c>
      <c r="AC256" s="265">
        <v>7.0000000000000007E-2</v>
      </c>
      <c r="AD256" s="265">
        <v>7.0000000000000007E-2</v>
      </c>
      <c r="AE256" s="265">
        <v>7.0000000000000007E-2</v>
      </c>
      <c r="AF256" s="265">
        <v>7.0000000000000007E-2</v>
      </c>
      <c r="AG256" s="265">
        <v>7.0000000000000007E-2</v>
      </c>
      <c r="AH256" s="265">
        <v>7.0000000000000007E-2</v>
      </c>
      <c r="AI256" s="265">
        <v>7.0000000000000007E-2</v>
      </c>
      <c r="AJ256" s="265">
        <v>7.0000000000000007E-2</v>
      </c>
      <c r="AK256" s="265">
        <v>7.0000000000000007E-2</v>
      </c>
      <c r="AL256" s="266" t="s">
        <v>573</v>
      </c>
      <c r="AM256" s="265">
        <f t="shared" si="68"/>
        <v>0</v>
      </c>
      <c r="AN256" s="266" t="s">
        <v>573</v>
      </c>
      <c r="AO256" s="265">
        <f t="shared" si="66"/>
        <v>0</v>
      </c>
      <c r="AP256" s="266">
        <v>0</v>
      </c>
      <c r="AQ256" s="265">
        <f t="shared" si="69"/>
        <v>0</v>
      </c>
      <c r="AR256" s="266">
        <v>0</v>
      </c>
      <c r="AS256" s="262">
        <f t="shared" si="70"/>
        <v>0</v>
      </c>
      <c r="AT256" s="266">
        <v>0</v>
      </c>
      <c r="AU256" s="260">
        <f t="shared" si="71"/>
        <v>0</v>
      </c>
      <c r="AV256" s="259">
        <v>0</v>
      </c>
      <c r="AW256" s="260">
        <f t="shared" si="72"/>
        <v>0</v>
      </c>
      <c r="AX256" s="261" t="s">
        <v>573</v>
      </c>
      <c r="AY256" s="260">
        <f t="shared" si="73"/>
        <v>0</v>
      </c>
      <c r="AZ256" s="259" t="s">
        <v>573</v>
      </c>
      <c r="BA256" s="260">
        <f t="shared" si="74"/>
        <v>0</v>
      </c>
      <c r="BB256" s="259" t="s">
        <v>573</v>
      </c>
      <c r="BC256" s="260">
        <f t="shared" si="75"/>
        <v>0</v>
      </c>
      <c r="BD256" s="259" t="s">
        <v>573</v>
      </c>
      <c r="BE256" s="260">
        <f t="shared" si="76"/>
        <v>0</v>
      </c>
      <c r="BF256" s="259" t="s">
        <v>573</v>
      </c>
      <c r="BG256" s="260">
        <f t="shared" si="77"/>
        <v>0</v>
      </c>
      <c r="BH256" s="259" t="s">
        <v>573</v>
      </c>
      <c r="BI256" s="260">
        <f t="shared" si="67"/>
        <v>0</v>
      </c>
      <c r="BJ256" s="58"/>
      <c r="BK256" s="220"/>
      <c r="BL256" s="213" t="s">
        <v>1347</v>
      </c>
      <c r="BM256" s="213" t="s">
        <v>680</v>
      </c>
    </row>
    <row r="257" spans="1:65" ht="15.75" customHeight="1">
      <c r="A257" s="213" t="s">
        <v>1437</v>
      </c>
      <c r="B257" s="58" t="s">
        <v>184</v>
      </c>
      <c r="C257" s="58" t="s">
        <v>752</v>
      </c>
      <c r="D257" s="214" t="s">
        <v>186</v>
      </c>
      <c r="E257" s="214" t="s">
        <v>186</v>
      </c>
      <c r="F257" s="215" t="s">
        <v>186</v>
      </c>
      <c r="G257" s="216">
        <v>2023</v>
      </c>
      <c r="H257" s="218" t="s">
        <v>801</v>
      </c>
      <c r="I257" s="218" t="s">
        <v>196</v>
      </c>
      <c r="J257" s="217" t="s">
        <v>890</v>
      </c>
      <c r="K257" s="213" t="s">
        <v>221</v>
      </c>
      <c r="L257" s="213" t="s">
        <v>192</v>
      </c>
      <c r="M257" s="219" t="s">
        <v>1400</v>
      </c>
      <c r="N257" s="265">
        <v>4.5999999999999996</v>
      </c>
      <c r="O257" s="265">
        <v>4.5999999999999996</v>
      </c>
      <c r="P257" s="265">
        <v>4.5999999999999996</v>
      </c>
      <c r="Q257" s="265">
        <v>4.5999999999999996</v>
      </c>
      <c r="R257" s="265">
        <v>4.5999999999999996</v>
      </c>
      <c r="S257" s="265">
        <v>4.5999999999999996</v>
      </c>
      <c r="T257" s="265">
        <v>4.5999999999999996</v>
      </c>
      <c r="U257" s="265">
        <v>4.5999999999999996</v>
      </c>
      <c r="V257" s="265">
        <v>4.5999999999999996</v>
      </c>
      <c r="W257" s="265">
        <v>4.5999999999999996</v>
      </c>
      <c r="X257" s="265">
        <v>4.5999999999999996</v>
      </c>
      <c r="Y257" s="265">
        <v>4.5999999999999996</v>
      </c>
      <c r="Z257" s="265">
        <v>7.0000000000000007E-2</v>
      </c>
      <c r="AA257" s="265">
        <v>7.0000000000000007E-2</v>
      </c>
      <c r="AB257" s="265">
        <v>7.0000000000000007E-2</v>
      </c>
      <c r="AC257" s="265">
        <v>7.0000000000000007E-2</v>
      </c>
      <c r="AD257" s="265">
        <v>7.0000000000000007E-2</v>
      </c>
      <c r="AE257" s="265">
        <v>7.0000000000000007E-2</v>
      </c>
      <c r="AF257" s="265">
        <v>7.0000000000000007E-2</v>
      </c>
      <c r="AG257" s="265">
        <v>7.0000000000000007E-2</v>
      </c>
      <c r="AH257" s="265">
        <v>7.0000000000000007E-2</v>
      </c>
      <c r="AI257" s="265">
        <v>7.0000000000000007E-2</v>
      </c>
      <c r="AJ257" s="265">
        <v>7.0000000000000007E-2</v>
      </c>
      <c r="AK257" s="265">
        <v>7.0000000000000007E-2</v>
      </c>
      <c r="AL257" s="266" t="s">
        <v>573</v>
      </c>
      <c r="AM257" s="265">
        <f t="shared" si="68"/>
        <v>0</v>
      </c>
      <c r="AN257" s="266" t="s">
        <v>573</v>
      </c>
      <c r="AO257" s="265">
        <f t="shared" si="66"/>
        <v>0</v>
      </c>
      <c r="AP257" s="266">
        <v>0</v>
      </c>
      <c r="AQ257" s="265">
        <f t="shared" si="69"/>
        <v>0</v>
      </c>
      <c r="AR257" s="266">
        <v>0</v>
      </c>
      <c r="AS257" s="262">
        <f t="shared" si="70"/>
        <v>0</v>
      </c>
      <c r="AT257" s="266">
        <v>0</v>
      </c>
      <c r="AU257" s="260">
        <f t="shared" si="71"/>
        <v>0</v>
      </c>
      <c r="AV257" s="259">
        <v>0</v>
      </c>
      <c r="AW257" s="260">
        <f t="shared" si="72"/>
        <v>0</v>
      </c>
      <c r="AX257" s="261" t="s">
        <v>573</v>
      </c>
      <c r="AY257" s="260">
        <f t="shared" si="73"/>
        <v>0</v>
      </c>
      <c r="AZ257" s="259" t="s">
        <v>573</v>
      </c>
      <c r="BA257" s="260">
        <f t="shared" si="74"/>
        <v>0</v>
      </c>
      <c r="BB257" s="259" t="s">
        <v>573</v>
      </c>
      <c r="BC257" s="260">
        <f t="shared" si="75"/>
        <v>0</v>
      </c>
      <c r="BD257" s="259" t="s">
        <v>573</v>
      </c>
      <c r="BE257" s="260">
        <f t="shared" si="76"/>
        <v>0</v>
      </c>
      <c r="BF257" s="259" t="s">
        <v>573</v>
      </c>
      <c r="BG257" s="260">
        <f t="shared" si="77"/>
        <v>0</v>
      </c>
      <c r="BH257" s="259" t="s">
        <v>573</v>
      </c>
      <c r="BI257" s="260">
        <f t="shared" si="67"/>
        <v>0</v>
      </c>
      <c r="BJ257" s="58"/>
      <c r="BK257" s="220"/>
      <c r="BL257" s="213" t="s">
        <v>1347</v>
      </c>
      <c r="BM257" s="213" t="s">
        <v>680</v>
      </c>
    </row>
    <row r="258" spans="1:65" ht="15.75" customHeight="1">
      <c r="A258" s="213" t="s">
        <v>1437</v>
      </c>
      <c r="B258" s="58" t="s">
        <v>199</v>
      </c>
      <c r="C258" s="58" t="s">
        <v>752</v>
      </c>
      <c r="D258" s="214" t="s">
        <v>186</v>
      </c>
      <c r="E258" s="214" t="s">
        <v>186</v>
      </c>
      <c r="F258" s="215" t="s">
        <v>186</v>
      </c>
      <c r="G258" s="216">
        <v>2020</v>
      </c>
      <c r="H258" s="218" t="s">
        <v>821</v>
      </c>
      <c r="I258" s="218" t="s">
        <v>201</v>
      </c>
      <c r="J258" s="217" t="s">
        <v>890</v>
      </c>
      <c r="K258" s="213" t="s">
        <v>753</v>
      </c>
      <c r="L258" s="213" t="s">
        <v>192</v>
      </c>
      <c r="M258" s="219" t="s">
        <v>1392</v>
      </c>
      <c r="N258" s="265">
        <v>9.7200000000000006</v>
      </c>
      <c r="O258" s="265">
        <v>9.7200000000000006</v>
      </c>
      <c r="P258" s="265">
        <v>9.7200000000000006</v>
      </c>
      <c r="Q258" s="265">
        <v>9.7200000000000006</v>
      </c>
      <c r="R258" s="265">
        <v>9.7200000000000006</v>
      </c>
      <c r="S258" s="265">
        <v>9.7200000000000006</v>
      </c>
      <c r="T258" s="265">
        <v>9.7200000000000006</v>
      </c>
      <c r="U258" s="265">
        <v>9.7200000000000006</v>
      </c>
      <c r="V258" s="265">
        <v>9.7200000000000006</v>
      </c>
      <c r="W258" s="265">
        <v>9.7200000000000006</v>
      </c>
      <c r="X258" s="265">
        <v>9.7200000000000006</v>
      </c>
      <c r="Y258" s="265">
        <v>9.7200000000000006</v>
      </c>
      <c r="Z258" s="265">
        <v>0.18</v>
      </c>
      <c r="AA258" s="265">
        <v>0.18</v>
      </c>
      <c r="AB258" s="265">
        <v>0.18</v>
      </c>
      <c r="AC258" s="265">
        <v>0.18</v>
      </c>
      <c r="AD258" s="265">
        <v>0.18</v>
      </c>
      <c r="AE258" s="265">
        <v>0.18</v>
      </c>
      <c r="AF258" s="265">
        <v>0.18</v>
      </c>
      <c r="AG258" s="265">
        <v>0.18</v>
      </c>
      <c r="AH258" s="265">
        <v>0.18</v>
      </c>
      <c r="AI258" s="265">
        <v>0.18</v>
      </c>
      <c r="AJ258" s="265">
        <v>0.18</v>
      </c>
      <c r="AK258" s="265">
        <v>0.18</v>
      </c>
      <c r="AL258" s="266" t="s">
        <v>573</v>
      </c>
      <c r="AM258" s="265">
        <f t="shared" si="68"/>
        <v>0</v>
      </c>
      <c r="AN258" s="266" t="s">
        <v>573</v>
      </c>
      <c r="AO258" s="265">
        <f t="shared" si="66"/>
        <v>0</v>
      </c>
      <c r="AP258" s="266">
        <v>0</v>
      </c>
      <c r="AQ258" s="265">
        <f t="shared" si="69"/>
        <v>0</v>
      </c>
      <c r="AR258" s="266">
        <v>0</v>
      </c>
      <c r="AS258" s="262">
        <f t="shared" si="70"/>
        <v>0</v>
      </c>
      <c r="AT258" s="266">
        <v>0</v>
      </c>
      <c r="AU258" s="260">
        <f t="shared" si="71"/>
        <v>0</v>
      </c>
      <c r="AV258" s="259">
        <v>0</v>
      </c>
      <c r="AW258" s="260">
        <f t="shared" si="72"/>
        <v>0</v>
      </c>
      <c r="AX258" s="261" t="s">
        <v>573</v>
      </c>
      <c r="AY258" s="260">
        <f t="shared" si="73"/>
        <v>0</v>
      </c>
      <c r="AZ258" s="259" t="s">
        <v>573</v>
      </c>
      <c r="BA258" s="260">
        <f t="shared" si="74"/>
        <v>0</v>
      </c>
      <c r="BB258" s="259" t="s">
        <v>573</v>
      </c>
      <c r="BC258" s="260">
        <f t="shared" si="75"/>
        <v>0</v>
      </c>
      <c r="BD258" s="259" t="s">
        <v>573</v>
      </c>
      <c r="BE258" s="260">
        <f t="shared" si="76"/>
        <v>0</v>
      </c>
      <c r="BF258" s="259">
        <v>5400</v>
      </c>
      <c r="BG258" s="260">
        <f t="shared" si="77"/>
        <v>972</v>
      </c>
      <c r="BH258" s="259">
        <v>3240</v>
      </c>
      <c r="BI258" s="260">
        <f t="shared" si="67"/>
        <v>583.19999999999993</v>
      </c>
      <c r="BJ258" s="58"/>
      <c r="BK258" s="220"/>
      <c r="BL258" s="213" t="s">
        <v>1347</v>
      </c>
      <c r="BM258" s="213" t="s">
        <v>33</v>
      </c>
    </row>
    <row r="259" spans="1:65" ht="15.75" customHeight="1">
      <c r="A259" s="213" t="s">
        <v>1437</v>
      </c>
      <c r="B259" s="58" t="s">
        <v>199</v>
      </c>
      <c r="C259" s="58" t="s">
        <v>752</v>
      </c>
      <c r="D259" s="214" t="s">
        <v>186</v>
      </c>
      <c r="E259" s="214" t="s">
        <v>186</v>
      </c>
      <c r="F259" s="215" t="s">
        <v>186</v>
      </c>
      <c r="G259" s="216">
        <v>2020</v>
      </c>
      <c r="H259" s="218" t="s">
        <v>208</v>
      </c>
      <c r="I259" s="218" t="s">
        <v>201</v>
      </c>
      <c r="J259" s="217" t="s">
        <v>890</v>
      </c>
      <c r="K259" s="213" t="s">
        <v>755</v>
      </c>
      <c r="L259" s="213" t="s">
        <v>192</v>
      </c>
      <c r="M259" s="219" t="s">
        <v>1392</v>
      </c>
      <c r="N259" s="265">
        <v>11.28</v>
      </c>
      <c r="O259" s="265">
        <v>11.28</v>
      </c>
      <c r="P259" s="265">
        <v>11.28</v>
      </c>
      <c r="Q259" s="265">
        <v>11.28</v>
      </c>
      <c r="R259" s="265">
        <v>11.28</v>
      </c>
      <c r="S259" s="265">
        <v>11.28</v>
      </c>
      <c r="T259" s="265">
        <v>11.28</v>
      </c>
      <c r="U259" s="265">
        <v>11.28</v>
      </c>
      <c r="V259" s="265">
        <v>11.28</v>
      </c>
      <c r="W259" s="265">
        <v>11.28</v>
      </c>
      <c r="X259" s="265">
        <v>11.28</v>
      </c>
      <c r="Y259" s="265">
        <v>11.28</v>
      </c>
      <c r="Z259" s="265">
        <v>0.21</v>
      </c>
      <c r="AA259" s="265">
        <v>0.21</v>
      </c>
      <c r="AB259" s="265">
        <v>0.21</v>
      </c>
      <c r="AC259" s="265">
        <v>0.21</v>
      </c>
      <c r="AD259" s="265">
        <v>0.21</v>
      </c>
      <c r="AE259" s="265">
        <v>0.21</v>
      </c>
      <c r="AF259" s="265">
        <v>0.21</v>
      </c>
      <c r="AG259" s="265">
        <v>0.21</v>
      </c>
      <c r="AH259" s="265">
        <v>0.21</v>
      </c>
      <c r="AI259" s="265">
        <v>0.21</v>
      </c>
      <c r="AJ259" s="265">
        <v>0.21</v>
      </c>
      <c r="AK259" s="265">
        <v>0.21</v>
      </c>
      <c r="AL259" s="266" t="s">
        <v>573</v>
      </c>
      <c r="AM259" s="265">
        <f t="shared" si="68"/>
        <v>0</v>
      </c>
      <c r="AN259" s="266" t="s">
        <v>573</v>
      </c>
      <c r="AO259" s="265">
        <f t="shared" ref="AO259:AO322" si="78">AN259*AA259</f>
        <v>0</v>
      </c>
      <c r="AP259" s="266">
        <v>0</v>
      </c>
      <c r="AQ259" s="265">
        <f t="shared" si="69"/>
        <v>0</v>
      </c>
      <c r="AR259" s="266">
        <v>0</v>
      </c>
      <c r="AS259" s="262">
        <f t="shared" si="70"/>
        <v>0</v>
      </c>
      <c r="AT259" s="266">
        <v>0</v>
      </c>
      <c r="AU259" s="260">
        <f t="shared" si="71"/>
        <v>0</v>
      </c>
      <c r="AV259" s="259">
        <v>0</v>
      </c>
      <c r="AW259" s="260">
        <f t="shared" si="72"/>
        <v>0</v>
      </c>
      <c r="AX259" s="261" t="s">
        <v>573</v>
      </c>
      <c r="AY259" s="260">
        <f t="shared" si="73"/>
        <v>0</v>
      </c>
      <c r="AZ259" s="259" t="s">
        <v>573</v>
      </c>
      <c r="BA259" s="260">
        <f t="shared" si="74"/>
        <v>0</v>
      </c>
      <c r="BB259" s="259" t="s">
        <v>573</v>
      </c>
      <c r="BC259" s="260">
        <f t="shared" si="75"/>
        <v>0</v>
      </c>
      <c r="BD259" s="259" t="s">
        <v>573</v>
      </c>
      <c r="BE259" s="260">
        <f t="shared" si="76"/>
        <v>0</v>
      </c>
      <c r="BF259" s="259">
        <v>2520</v>
      </c>
      <c r="BG259" s="260">
        <f t="shared" si="77"/>
        <v>529.19999999999993</v>
      </c>
      <c r="BH259" s="259" t="s">
        <v>573</v>
      </c>
      <c r="BI259" s="260">
        <f t="shared" ref="BI259:BI322" si="79">BH259*AK259</f>
        <v>0</v>
      </c>
      <c r="BJ259" s="58"/>
      <c r="BK259" s="220"/>
      <c r="BL259" s="213" t="s">
        <v>1347</v>
      </c>
      <c r="BM259" s="213" t="s">
        <v>674</v>
      </c>
    </row>
    <row r="260" spans="1:65" ht="15.75" customHeight="1">
      <c r="A260" s="213" t="s">
        <v>1437</v>
      </c>
      <c r="B260" s="58" t="s">
        <v>184</v>
      </c>
      <c r="C260" s="58" t="s">
        <v>752</v>
      </c>
      <c r="D260" s="214" t="s">
        <v>186</v>
      </c>
      <c r="E260" s="214" t="s">
        <v>186</v>
      </c>
      <c r="F260" s="215" t="s">
        <v>186</v>
      </c>
      <c r="G260" s="216">
        <v>2020</v>
      </c>
      <c r="H260" s="218" t="s">
        <v>808</v>
      </c>
      <c r="I260" s="218" t="s">
        <v>196</v>
      </c>
      <c r="J260" s="217" t="s">
        <v>890</v>
      </c>
      <c r="K260" s="213" t="s">
        <v>753</v>
      </c>
      <c r="L260" s="213" t="s">
        <v>192</v>
      </c>
      <c r="M260" s="219" t="s">
        <v>1389</v>
      </c>
      <c r="N260" s="265">
        <v>1.61</v>
      </c>
      <c r="O260" s="265">
        <v>1.61</v>
      </c>
      <c r="P260" s="265">
        <v>1.61</v>
      </c>
      <c r="Q260" s="265">
        <v>1.61</v>
      </c>
      <c r="R260" s="265">
        <v>1.61</v>
      </c>
      <c r="S260" s="265">
        <v>1.61</v>
      </c>
      <c r="T260" s="265">
        <v>1.61</v>
      </c>
      <c r="U260" s="265">
        <v>1.61</v>
      </c>
      <c r="V260" s="265">
        <v>1.61</v>
      </c>
      <c r="W260" s="265">
        <v>1.61</v>
      </c>
      <c r="X260" s="265">
        <v>1.61</v>
      </c>
      <c r="Y260" s="265">
        <v>1.61</v>
      </c>
      <c r="Z260" s="265">
        <v>0</v>
      </c>
      <c r="AA260" s="265">
        <v>0</v>
      </c>
      <c r="AB260" s="265">
        <v>0</v>
      </c>
      <c r="AC260" s="265">
        <v>0</v>
      </c>
      <c r="AD260" s="265">
        <v>0</v>
      </c>
      <c r="AE260" s="265">
        <v>0</v>
      </c>
      <c r="AF260" s="265">
        <v>0</v>
      </c>
      <c r="AG260" s="265">
        <v>0</v>
      </c>
      <c r="AH260" s="265">
        <v>0</v>
      </c>
      <c r="AI260" s="265">
        <v>0</v>
      </c>
      <c r="AJ260" s="265">
        <v>0</v>
      </c>
      <c r="AK260" s="265">
        <v>0</v>
      </c>
      <c r="AL260" s="266" t="s">
        <v>573</v>
      </c>
      <c r="AM260" s="265">
        <f t="shared" si="68"/>
        <v>0</v>
      </c>
      <c r="AN260" s="266" t="s">
        <v>573</v>
      </c>
      <c r="AO260" s="265">
        <f t="shared" si="78"/>
        <v>0</v>
      </c>
      <c r="AP260" s="266">
        <v>0</v>
      </c>
      <c r="AQ260" s="265">
        <f t="shared" si="69"/>
        <v>0</v>
      </c>
      <c r="AR260" s="266">
        <v>0</v>
      </c>
      <c r="AS260" s="262">
        <f t="shared" si="70"/>
        <v>0</v>
      </c>
      <c r="AT260" s="266">
        <v>0</v>
      </c>
      <c r="AU260" s="260">
        <f t="shared" si="71"/>
        <v>0</v>
      </c>
      <c r="AV260" s="259">
        <v>0</v>
      </c>
      <c r="AW260" s="260">
        <f t="shared" si="72"/>
        <v>0</v>
      </c>
      <c r="AX260" s="261" t="s">
        <v>573</v>
      </c>
      <c r="AY260" s="260">
        <f t="shared" si="73"/>
        <v>0</v>
      </c>
      <c r="AZ260" s="259">
        <v>0</v>
      </c>
      <c r="BA260" s="260">
        <f t="shared" si="74"/>
        <v>0</v>
      </c>
      <c r="BB260" s="259">
        <v>0</v>
      </c>
      <c r="BC260" s="260">
        <f t="shared" si="75"/>
        <v>0</v>
      </c>
      <c r="BD260" s="259">
        <v>0</v>
      </c>
      <c r="BE260" s="260">
        <f t="shared" si="76"/>
        <v>0</v>
      </c>
      <c r="BF260" s="259">
        <v>0</v>
      </c>
      <c r="BG260" s="260">
        <f t="shared" si="77"/>
        <v>0</v>
      </c>
      <c r="BH260" s="259" t="s">
        <v>573</v>
      </c>
      <c r="BI260" s="260">
        <f t="shared" si="79"/>
        <v>0</v>
      </c>
      <c r="BJ260" s="58"/>
      <c r="BK260" s="220"/>
      <c r="BL260" s="213" t="s">
        <v>763</v>
      </c>
      <c r="BM260" s="213" t="s">
        <v>510</v>
      </c>
    </row>
    <row r="261" spans="1:65" ht="15.75" customHeight="1">
      <c r="A261" s="213" t="s">
        <v>1437</v>
      </c>
      <c r="B261" s="58" t="s">
        <v>184</v>
      </c>
      <c r="C261" s="58" t="s">
        <v>752</v>
      </c>
      <c r="D261" s="214" t="s">
        <v>186</v>
      </c>
      <c r="E261" s="214" t="s">
        <v>186</v>
      </c>
      <c r="F261" s="215" t="s">
        <v>186</v>
      </c>
      <c r="G261" s="216">
        <v>2020</v>
      </c>
      <c r="H261" s="218" t="s">
        <v>822</v>
      </c>
      <c r="I261" s="218" t="s">
        <v>196</v>
      </c>
      <c r="J261" s="217" t="s">
        <v>890</v>
      </c>
      <c r="K261" s="213" t="s">
        <v>753</v>
      </c>
      <c r="L261" s="213" t="s">
        <v>192</v>
      </c>
      <c r="M261" s="219" t="s">
        <v>1397</v>
      </c>
      <c r="N261" s="265">
        <v>1.65</v>
      </c>
      <c r="O261" s="265">
        <v>1.65</v>
      </c>
      <c r="P261" s="265">
        <v>1.65</v>
      </c>
      <c r="Q261" s="265">
        <v>1.65</v>
      </c>
      <c r="R261" s="265">
        <v>1.65</v>
      </c>
      <c r="S261" s="265">
        <v>1.65</v>
      </c>
      <c r="T261" s="265">
        <v>1.65</v>
      </c>
      <c r="U261" s="265">
        <v>1.65</v>
      </c>
      <c r="V261" s="265">
        <v>1.65</v>
      </c>
      <c r="W261" s="265">
        <v>1.65</v>
      </c>
      <c r="X261" s="265">
        <v>1.65</v>
      </c>
      <c r="Y261" s="265">
        <v>1.65</v>
      </c>
      <c r="Z261" s="265">
        <v>0</v>
      </c>
      <c r="AA261" s="265">
        <v>0</v>
      </c>
      <c r="AB261" s="265">
        <v>0</v>
      </c>
      <c r="AC261" s="265">
        <v>0</v>
      </c>
      <c r="AD261" s="265">
        <v>0</v>
      </c>
      <c r="AE261" s="265">
        <v>0</v>
      </c>
      <c r="AF261" s="265">
        <v>0</v>
      </c>
      <c r="AG261" s="265">
        <v>0</v>
      </c>
      <c r="AH261" s="265">
        <v>0</v>
      </c>
      <c r="AI261" s="265">
        <v>0</v>
      </c>
      <c r="AJ261" s="265">
        <v>0</v>
      </c>
      <c r="AK261" s="265">
        <v>0</v>
      </c>
      <c r="AL261" s="266" t="s">
        <v>573</v>
      </c>
      <c r="AM261" s="265">
        <f t="shared" si="68"/>
        <v>0</v>
      </c>
      <c r="AN261" s="266" t="s">
        <v>573</v>
      </c>
      <c r="AO261" s="265">
        <f t="shared" si="78"/>
        <v>0</v>
      </c>
      <c r="AP261" s="266">
        <v>0</v>
      </c>
      <c r="AQ261" s="265">
        <f t="shared" si="69"/>
        <v>0</v>
      </c>
      <c r="AR261" s="266">
        <v>0</v>
      </c>
      <c r="AS261" s="262">
        <f t="shared" si="70"/>
        <v>0</v>
      </c>
      <c r="AT261" s="266">
        <v>0</v>
      </c>
      <c r="AU261" s="260">
        <f t="shared" si="71"/>
        <v>0</v>
      </c>
      <c r="AV261" s="259">
        <v>0</v>
      </c>
      <c r="AW261" s="260">
        <f t="shared" si="72"/>
        <v>0</v>
      </c>
      <c r="AX261" s="261" t="s">
        <v>573</v>
      </c>
      <c r="AY261" s="260">
        <f t="shared" si="73"/>
        <v>0</v>
      </c>
      <c r="AZ261" s="259" t="s">
        <v>573</v>
      </c>
      <c r="BA261" s="260">
        <f t="shared" si="74"/>
        <v>0</v>
      </c>
      <c r="BB261" s="259" t="s">
        <v>573</v>
      </c>
      <c r="BC261" s="260">
        <f t="shared" si="75"/>
        <v>0</v>
      </c>
      <c r="BD261" s="259" t="s">
        <v>573</v>
      </c>
      <c r="BE261" s="260">
        <f t="shared" si="76"/>
        <v>0</v>
      </c>
      <c r="BF261" s="259" t="s">
        <v>573</v>
      </c>
      <c r="BG261" s="260">
        <f t="shared" si="77"/>
        <v>0</v>
      </c>
      <c r="BH261" s="259" t="s">
        <v>573</v>
      </c>
      <c r="BI261" s="260">
        <f t="shared" si="79"/>
        <v>0</v>
      </c>
      <c r="BJ261" s="58"/>
      <c r="BK261" s="220"/>
      <c r="BL261" s="213" t="s">
        <v>754</v>
      </c>
      <c r="BM261" s="213" t="s">
        <v>581</v>
      </c>
    </row>
    <row r="262" spans="1:65" ht="15.75" customHeight="1">
      <c r="A262" s="213" t="s">
        <v>1437</v>
      </c>
      <c r="B262" s="58" t="s">
        <v>184</v>
      </c>
      <c r="C262" s="58" t="s">
        <v>752</v>
      </c>
      <c r="D262" s="214" t="s">
        <v>186</v>
      </c>
      <c r="E262" s="214" t="s">
        <v>186</v>
      </c>
      <c r="F262" s="215" t="s">
        <v>186</v>
      </c>
      <c r="G262" s="216">
        <v>2023</v>
      </c>
      <c r="H262" s="218" t="s">
        <v>1318</v>
      </c>
      <c r="I262" s="218" t="s">
        <v>196</v>
      </c>
      <c r="J262" s="217" t="s">
        <v>890</v>
      </c>
      <c r="K262" s="213" t="s">
        <v>753</v>
      </c>
      <c r="L262" s="213" t="s">
        <v>192</v>
      </c>
      <c r="M262" s="219" t="s">
        <v>1388</v>
      </c>
      <c r="N262" s="265">
        <v>5.4</v>
      </c>
      <c r="O262" s="265">
        <v>5.4</v>
      </c>
      <c r="P262" s="265">
        <v>5.4</v>
      </c>
      <c r="Q262" s="265">
        <v>5.4</v>
      </c>
      <c r="R262" s="265">
        <v>5.4</v>
      </c>
      <c r="S262" s="265">
        <v>5.4</v>
      </c>
      <c r="T262" s="265">
        <v>5.4</v>
      </c>
      <c r="U262" s="265">
        <v>5.4</v>
      </c>
      <c r="V262" s="265">
        <v>5.4</v>
      </c>
      <c r="W262" s="265">
        <v>5.4</v>
      </c>
      <c r="X262" s="265">
        <v>5.4</v>
      </c>
      <c r="Y262" s="265">
        <v>5.4</v>
      </c>
      <c r="Z262" s="265">
        <v>0</v>
      </c>
      <c r="AA262" s="265">
        <v>0</v>
      </c>
      <c r="AB262" s="265">
        <v>0</v>
      </c>
      <c r="AC262" s="265">
        <v>0</v>
      </c>
      <c r="AD262" s="265">
        <v>0</v>
      </c>
      <c r="AE262" s="265">
        <v>0</v>
      </c>
      <c r="AF262" s="265">
        <v>0</v>
      </c>
      <c r="AG262" s="265">
        <v>0</v>
      </c>
      <c r="AH262" s="265">
        <v>0</v>
      </c>
      <c r="AI262" s="265">
        <v>0</v>
      </c>
      <c r="AJ262" s="265">
        <v>0</v>
      </c>
      <c r="AK262" s="265">
        <v>0</v>
      </c>
      <c r="AL262" s="266" t="s">
        <v>573</v>
      </c>
      <c r="AM262" s="265">
        <f t="shared" si="68"/>
        <v>0</v>
      </c>
      <c r="AN262" s="266" t="s">
        <v>573</v>
      </c>
      <c r="AO262" s="265">
        <f t="shared" si="78"/>
        <v>0</v>
      </c>
      <c r="AP262" s="266">
        <v>0</v>
      </c>
      <c r="AQ262" s="265">
        <f t="shared" si="69"/>
        <v>0</v>
      </c>
      <c r="AR262" s="266">
        <v>0</v>
      </c>
      <c r="AS262" s="262">
        <f t="shared" si="70"/>
        <v>0</v>
      </c>
      <c r="AT262" s="266">
        <v>0</v>
      </c>
      <c r="AU262" s="260">
        <f t="shared" si="71"/>
        <v>0</v>
      </c>
      <c r="AV262" s="259">
        <v>0</v>
      </c>
      <c r="AW262" s="260">
        <f t="shared" si="72"/>
        <v>0</v>
      </c>
      <c r="AX262" s="261" t="s">
        <v>573</v>
      </c>
      <c r="AY262" s="260">
        <f t="shared" si="73"/>
        <v>0</v>
      </c>
      <c r="AZ262" s="259" t="s">
        <v>573</v>
      </c>
      <c r="BA262" s="260">
        <f t="shared" si="74"/>
        <v>0</v>
      </c>
      <c r="BB262" s="259" t="s">
        <v>573</v>
      </c>
      <c r="BC262" s="260">
        <f t="shared" si="75"/>
        <v>0</v>
      </c>
      <c r="BD262" s="259" t="s">
        <v>573</v>
      </c>
      <c r="BE262" s="260">
        <f t="shared" si="76"/>
        <v>0</v>
      </c>
      <c r="BF262" s="259" t="s">
        <v>573</v>
      </c>
      <c r="BG262" s="260">
        <f t="shared" si="77"/>
        <v>0</v>
      </c>
      <c r="BH262" s="259" t="s">
        <v>573</v>
      </c>
      <c r="BI262" s="260">
        <f t="shared" si="79"/>
        <v>0</v>
      </c>
      <c r="BJ262" s="58"/>
      <c r="BK262" s="220"/>
      <c r="BL262" s="213" t="s">
        <v>807</v>
      </c>
      <c r="BM262" s="213" t="s">
        <v>639</v>
      </c>
    </row>
    <row r="263" spans="1:65" ht="15.75" customHeight="1">
      <c r="A263" s="213" t="s">
        <v>1437</v>
      </c>
      <c r="B263" s="58" t="s">
        <v>184</v>
      </c>
      <c r="C263" s="58" t="s">
        <v>752</v>
      </c>
      <c r="D263" s="214" t="s">
        <v>186</v>
      </c>
      <c r="E263" s="214" t="s">
        <v>186</v>
      </c>
      <c r="F263" s="215" t="s">
        <v>186</v>
      </c>
      <c r="G263" s="216">
        <v>2023</v>
      </c>
      <c r="H263" s="218" t="s">
        <v>1318</v>
      </c>
      <c r="I263" s="218" t="s">
        <v>196</v>
      </c>
      <c r="J263" s="217" t="s">
        <v>890</v>
      </c>
      <c r="K263" s="213" t="s">
        <v>221</v>
      </c>
      <c r="L263" s="213" t="s">
        <v>192</v>
      </c>
      <c r="M263" s="219" t="s">
        <v>1389</v>
      </c>
      <c r="N263" s="265">
        <v>5.4</v>
      </c>
      <c r="O263" s="265">
        <v>5.4</v>
      </c>
      <c r="P263" s="265">
        <v>5.4</v>
      </c>
      <c r="Q263" s="265">
        <v>5.4</v>
      </c>
      <c r="R263" s="265">
        <v>5.4</v>
      </c>
      <c r="S263" s="265">
        <v>5.4</v>
      </c>
      <c r="T263" s="265">
        <v>5.4</v>
      </c>
      <c r="U263" s="265">
        <v>5.4</v>
      </c>
      <c r="V263" s="265">
        <v>5.4</v>
      </c>
      <c r="W263" s="265">
        <v>5.4</v>
      </c>
      <c r="X263" s="265">
        <v>5.4</v>
      </c>
      <c r="Y263" s="265">
        <v>5.4</v>
      </c>
      <c r="Z263" s="265">
        <v>0</v>
      </c>
      <c r="AA263" s="265">
        <v>0</v>
      </c>
      <c r="AB263" s="265">
        <v>0</v>
      </c>
      <c r="AC263" s="265">
        <v>0</v>
      </c>
      <c r="AD263" s="265">
        <v>0</v>
      </c>
      <c r="AE263" s="265">
        <v>0</v>
      </c>
      <c r="AF263" s="265">
        <v>0</v>
      </c>
      <c r="AG263" s="265">
        <v>0</v>
      </c>
      <c r="AH263" s="265">
        <v>0</v>
      </c>
      <c r="AI263" s="265">
        <v>0</v>
      </c>
      <c r="AJ263" s="265">
        <v>0</v>
      </c>
      <c r="AK263" s="265">
        <v>0</v>
      </c>
      <c r="AL263" s="266" t="s">
        <v>573</v>
      </c>
      <c r="AM263" s="265">
        <f t="shared" si="68"/>
        <v>0</v>
      </c>
      <c r="AN263" s="266" t="s">
        <v>573</v>
      </c>
      <c r="AO263" s="265">
        <f t="shared" si="78"/>
        <v>0</v>
      </c>
      <c r="AP263" s="266">
        <v>0</v>
      </c>
      <c r="AQ263" s="265">
        <f t="shared" si="69"/>
        <v>0</v>
      </c>
      <c r="AR263" s="266">
        <v>0</v>
      </c>
      <c r="AS263" s="262">
        <f t="shared" si="70"/>
        <v>0</v>
      </c>
      <c r="AT263" s="266">
        <v>0</v>
      </c>
      <c r="AU263" s="260">
        <f t="shared" si="71"/>
        <v>0</v>
      </c>
      <c r="AV263" s="259">
        <v>0</v>
      </c>
      <c r="AW263" s="260">
        <f t="shared" si="72"/>
        <v>0</v>
      </c>
      <c r="AX263" s="261" t="s">
        <v>573</v>
      </c>
      <c r="AY263" s="260">
        <f t="shared" si="73"/>
        <v>0</v>
      </c>
      <c r="AZ263" s="259" t="s">
        <v>573</v>
      </c>
      <c r="BA263" s="260">
        <f t="shared" si="74"/>
        <v>0</v>
      </c>
      <c r="BB263" s="259" t="s">
        <v>573</v>
      </c>
      <c r="BC263" s="260">
        <f t="shared" si="75"/>
        <v>0</v>
      </c>
      <c r="BD263" s="259" t="s">
        <v>573</v>
      </c>
      <c r="BE263" s="260">
        <f t="shared" si="76"/>
        <v>0</v>
      </c>
      <c r="BF263" s="259" t="s">
        <v>573</v>
      </c>
      <c r="BG263" s="260">
        <f t="shared" si="77"/>
        <v>0</v>
      </c>
      <c r="BH263" s="259" t="s">
        <v>573</v>
      </c>
      <c r="BI263" s="260">
        <f t="shared" si="79"/>
        <v>0</v>
      </c>
      <c r="BJ263" s="58"/>
      <c r="BK263" s="220"/>
      <c r="BL263" s="213" t="s">
        <v>763</v>
      </c>
      <c r="BM263" s="213" t="s">
        <v>640</v>
      </c>
    </row>
    <row r="264" spans="1:65" ht="15.75" customHeight="1">
      <c r="A264" s="213" t="s">
        <v>1437</v>
      </c>
      <c r="B264" s="58" t="s">
        <v>184</v>
      </c>
      <c r="C264" s="58" t="s">
        <v>752</v>
      </c>
      <c r="D264" s="214" t="s">
        <v>186</v>
      </c>
      <c r="E264" s="214" t="s">
        <v>186</v>
      </c>
      <c r="F264" s="215" t="s">
        <v>186</v>
      </c>
      <c r="G264" s="216">
        <v>2023</v>
      </c>
      <c r="H264" s="218" t="s">
        <v>1318</v>
      </c>
      <c r="I264" s="218" t="s">
        <v>196</v>
      </c>
      <c r="J264" s="217" t="s">
        <v>890</v>
      </c>
      <c r="K264" s="213" t="s">
        <v>221</v>
      </c>
      <c r="L264" s="213" t="s">
        <v>192</v>
      </c>
      <c r="M264" s="219" t="s">
        <v>1397</v>
      </c>
      <c r="N264" s="265">
        <v>5.4</v>
      </c>
      <c r="O264" s="265">
        <v>5.4</v>
      </c>
      <c r="P264" s="265">
        <v>5.4</v>
      </c>
      <c r="Q264" s="265">
        <v>5.4</v>
      </c>
      <c r="R264" s="265">
        <v>5.4</v>
      </c>
      <c r="S264" s="265">
        <v>5.4</v>
      </c>
      <c r="T264" s="265">
        <v>5.4</v>
      </c>
      <c r="U264" s="265">
        <v>5.4</v>
      </c>
      <c r="V264" s="265">
        <v>5.4</v>
      </c>
      <c r="W264" s="265">
        <v>5.4</v>
      </c>
      <c r="X264" s="265">
        <v>5.4</v>
      </c>
      <c r="Y264" s="265">
        <v>5.4</v>
      </c>
      <c r="Z264" s="265">
        <v>0</v>
      </c>
      <c r="AA264" s="265">
        <v>0</v>
      </c>
      <c r="AB264" s="265">
        <v>0</v>
      </c>
      <c r="AC264" s="265">
        <v>0</v>
      </c>
      <c r="AD264" s="265">
        <v>0</v>
      </c>
      <c r="AE264" s="265">
        <v>0</v>
      </c>
      <c r="AF264" s="265">
        <v>0</v>
      </c>
      <c r="AG264" s="265">
        <v>0</v>
      </c>
      <c r="AH264" s="265">
        <v>0</v>
      </c>
      <c r="AI264" s="265">
        <v>0</v>
      </c>
      <c r="AJ264" s="265">
        <v>0</v>
      </c>
      <c r="AK264" s="265">
        <v>0</v>
      </c>
      <c r="AL264" s="266" t="s">
        <v>573</v>
      </c>
      <c r="AM264" s="265">
        <f t="shared" si="68"/>
        <v>0</v>
      </c>
      <c r="AN264" s="266" t="s">
        <v>573</v>
      </c>
      <c r="AO264" s="265">
        <f t="shared" si="78"/>
        <v>0</v>
      </c>
      <c r="AP264" s="266">
        <v>0</v>
      </c>
      <c r="AQ264" s="265">
        <f t="shared" si="69"/>
        <v>0</v>
      </c>
      <c r="AR264" s="266">
        <v>0</v>
      </c>
      <c r="AS264" s="262">
        <f t="shared" si="70"/>
        <v>0</v>
      </c>
      <c r="AT264" s="266">
        <v>0</v>
      </c>
      <c r="AU264" s="260">
        <f t="shared" si="71"/>
        <v>0</v>
      </c>
      <c r="AV264" s="259">
        <v>0</v>
      </c>
      <c r="AW264" s="260">
        <f t="shared" si="72"/>
        <v>0</v>
      </c>
      <c r="AX264" s="261" t="s">
        <v>573</v>
      </c>
      <c r="AY264" s="260">
        <f t="shared" si="73"/>
        <v>0</v>
      </c>
      <c r="AZ264" s="259" t="s">
        <v>573</v>
      </c>
      <c r="BA264" s="260">
        <f t="shared" si="74"/>
        <v>0</v>
      </c>
      <c r="BB264" s="259" t="s">
        <v>573</v>
      </c>
      <c r="BC264" s="260">
        <f t="shared" si="75"/>
        <v>0</v>
      </c>
      <c r="BD264" s="259" t="s">
        <v>573</v>
      </c>
      <c r="BE264" s="260">
        <f t="shared" si="76"/>
        <v>0</v>
      </c>
      <c r="BF264" s="259" t="s">
        <v>573</v>
      </c>
      <c r="BG264" s="260">
        <f t="shared" si="77"/>
        <v>0</v>
      </c>
      <c r="BH264" s="259" t="s">
        <v>573</v>
      </c>
      <c r="BI264" s="260">
        <f t="shared" si="79"/>
        <v>0</v>
      </c>
      <c r="BJ264" s="58"/>
      <c r="BK264" s="220"/>
      <c r="BL264" s="213" t="s">
        <v>754</v>
      </c>
      <c r="BM264" s="213" t="s">
        <v>641</v>
      </c>
    </row>
    <row r="265" spans="1:65" ht="15.75" customHeight="1">
      <c r="A265" s="213" t="s">
        <v>1437</v>
      </c>
      <c r="B265" s="58" t="s">
        <v>184</v>
      </c>
      <c r="C265" s="58" t="s">
        <v>752</v>
      </c>
      <c r="D265" s="214" t="s">
        <v>186</v>
      </c>
      <c r="E265" s="214" t="s">
        <v>186</v>
      </c>
      <c r="F265" s="215" t="s">
        <v>186</v>
      </c>
      <c r="G265" s="216">
        <v>2023</v>
      </c>
      <c r="H265" s="218" t="s">
        <v>1318</v>
      </c>
      <c r="I265" s="218" t="s">
        <v>196</v>
      </c>
      <c r="J265" s="217" t="s">
        <v>890</v>
      </c>
      <c r="K265" s="213" t="s">
        <v>753</v>
      </c>
      <c r="L265" s="213" t="s">
        <v>192</v>
      </c>
      <c r="M265" s="219" t="s">
        <v>1388</v>
      </c>
      <c r="N265" s="265">
        <v>5.4</v>
      </c>
      <c r="O265" s="265">
        <v>5.4</v>
      </c>
      <c r="P265" s="265">
        <v>5.4</v>
      </c>
      <c r="Q265" s="265">
        <v>5.4</v>
      </c>
      <c r="R265" s="265">
        <v>5.4</v>
      </c>
      <c r="S265" s="265">
        <v>5.4</v>
      </c>
      <c r="T265" s="265">
        <v>5.4</v>
      </c>
      <c r="U265" s="265">
        <v>5.4</v>
      </c>
      <c r="V265" s="265">
        <v>5.4</v>
      </c>
      <c r="W265" s="265">
        <v>5.4</v>
      </c>
      <c r="X265" s="265">
        <v>5.4</v>
      </c>
      <c r="Y265" s="265">
        <v>5.4</v>
      </c>
      <c r="Z265" s="265">
        <v>0</v>
      </c>
      <c r="AA265" s="265">
        <v>0</v>
      </c>
      <c r="AB265" s="265">
        <v>0</v>
      </c>
      <c r="AC265" s="265">
        <v>0</v>
      </c>
      <c r="AD265" s="265">
        <v>0</v>
      </c>
      <c r="AE265" s="265">
        <v>0</v>
      </c>
      <c r="AF265" s="265">
        <v>0</v>
      </c>
      <c r="AG265" s="265">
        <v>0</v>
      </c>
      <c r="AH265" s="265">
        <v>0</v>
      </c>
      <c r="AI265" s="265">
        <v>0</v>
      </c>
      <c r="AJ265" s="265">
        <v>0</v>
      </c>
      <c r="AK265" s="265">
        <v>0</v>
      </c>
      <c r="AL265" s="266" t="s">
        <v>573</v>
      </c>
      <c r="AM265" s="265">
        <f t="shared" si="68"/>
        <v>0</v>
      </c>
      <c r="AN265" s="266" t="s">
        <v>573</v>
      </c>
      <c r="AO265" s="265">
        <f t="shared" si="78"/>
        <v>0</v>
      </c>
      <c r="AP265" s="266">
        <v>0</v>
      </c>
      <c r="AQ265" s="265">
        <f t="shared" si="69"/>
        <v>0</v>
      </c>
      <c r="AR265" s="266">
        <v>0</v>
      </c>
      <c r="AS265" s="262">
        <f t="shared" si="70"/>
        <v>0</v>
      </c>
      <c r="AT265" s="266">
        <v>0</v>
      </c>
      <c r="AU265" s="260">
        <f t="shared" si="71"/>
        <v>0</v>
      </c>
      <c r="AV265" s="259">
        <v>0</v>
      </c>
      <c r="AW265" s="260">
        <f t="shared" si="72"/>
        <v>0</v>
      </c>
      <c r="AX265" s="261" t="s">
        <v>573</v>
      </c>
      <c r="AY265" s="260">
        <f t="shared" si="73"/>
        <v>0</v>
      </c>
      <c r="AZ265" s="259" t="s">
        <v>573</v>
      </c>
      <c r="BA265" s="260">
        <f t="shared" si="74"/>
        <v>0</v>
      </c>
      <c r="BB265" s="259" t="s">
        <v>573</v>
      </c>
      <c r="BC265" s="260">
        <f t="shared" si="75"/>
        <v>0</v>
      </c>
      <c r="BD265" s="259" t="s">
        <v>573</v>
      </c>
      <c r="BE265" s="260">
        <f t="shared" si="76"/>
        <v>0</v>
      </c>
      <c r="BF265" s="259" t="s">
        <v>573</v>
      </c>
      <c r="BG265" s="260">
        <f t="shared" si="77"/>
        <v>0</v>
      </c>
      <c r="BH265" s="259" t="s">
        <v>573</v>
      </c>
      <c r="BI265" s="260">
        <f t="shared" si="79"/>
        <v>0</v>
      </c>
      <c r="BJ265" s="58"/>
      <c r="BK265" s="220"/>
      <c r="BL265" s="213" t="s">
        <v>754</v>
      </c>
      <c r="BM265" s="213" t="s">
        <v>642</v>
      </c>
    </row>
    <row r="266" spans="1:65" ht="15.75" customHeight="1">
      <c r="A266" s="213" t="s">
        <v>1437</v>
      </c>
      <c r="B266" s="58" t="s">
        <v>184</v>
      </c>
      <c r="C266" s="58" t="s">
        <v>752</v>
      </c>
      <c r="D266" s="214" t="s">
        <v>186</v>
      </c>
      <c r="E266" s="214" t="s">
        <v>186</v>
      </c>
      <c r="F266" s="215" t="s">
        <v>186</v>
      </c>
      <c r="G266" s="216">
        <v>2023</v>
      </c>
      <c r="H266" s="218" t="s">
        <v>1318</v>
      </c>
      <c r="I266" s="218" t="s">
        <v>196</v>
      </c>
      <c r="J266" s="217" t="s">
        <v>890</v>
      </c>
      <c r="K266" s="213" t="s">
        <v>753</v>
      </c>
      <c r="L266" s="213" t="s">
        <v>192</v>
      </c>
      <c r="M266" s="219" t="s">
        <v>1388</v>
      </c>
      <c r="N266" s="265">
        <v>5.4</v>
      </c>
      <c r="O266" s="265">
        <v>5.4</v>
      </c>
      <c r="P266" s="265">
        <v>5.4</v>
      </c>
      <c r="Q266" s="265">
        <v>5.4</v>
      </c>
      <c r="R266" s="265">
        <v>5.4</v>
      </c>
      <c r="S266" s="265">
        <v>5.4</v>
      </c>
      <c r="T266" s="265">
        <v>5.4</v>
      </c>
      <c r="U266" s="265">
        <v>5.4</v>
      </c>
      <c r="V266" s="265">
        <v>5.4</v>
      </c>
      <c r="W266" s="265">
        <v>5.4</v>
      </c>
      <c r="X266" s="265">
        <v>5.4</v>
      </c>
      <c r="Y266" s="265">
        <v>5.4</v>
      </c>
      <c r="Z266" s="265">
        <v>0</v>
      </c>
      <c r="AA266" s="265">
        <v>0</v>
      </c>
      <c r="AB266" s="265">
        <v>0</v>
      </c>
      <c r="AC266" s="265">
        <v>0</v>
      </c>
      <c r="AD266" s="265">
        <v>0</v>
      </c>
      <c r="AE266" s="265">
        <v>0</v>
      </c>
      <c r="AF266" s="265">
        <v>0</v>
      </c>
      <c r="AG266" s="265">
        <v>0</v>
      </c>
      <c r="AH266" s="265">
        <v>0</v>
      </c>
      <c r="AI266" s="265">
        <v>0</v>
      </c>
      <c r="AJ266" s="265">
        <v>0</v>
      </c>
      <c r="AK266" s="265">
        <v>0</v>
      </c>
      <c r="AL266" s="266" t="s">
        <v>573</v>
      </c>
      <c r="AM266" s="265">
        <f t="shared" si="68"/>
        <v>0</v>
      </c>
      <c r="AN266" s="266" t="s">
        <v>573</v>
      </c>
      <c r="AO266" s="265">
        <f t="shared" si="78"/>
        <v>0</v>
      </c>
      <c r="AP266" s="266">
        <v>0</v>
      </c>
      <c r="AQ266" s="265">
        <f t="shared" si="69"/>
        <v>0</v>
      </c>
      <c r="AR266" s="266">
        <v>3200</v>
      </c>
      <c r="AS266" s="262">
        <f t="shared" si="70"/>
        <v>0</v>
      </c>
      <c r="AT266" s="266">
        <v>0</v>
      </c>
      <c r="AU266" s="260">
        <f t="shared" si="71"/>
        <v>0</v>
      </c>
      <c r="AV266" s="259">
        <v>3200</v>
      </c>
      <c r="AW266" s="260">
        <f t="shared" si="72"/>
        <v>0</v>
      </c>
      <c r="AX266" s="261" t="s">
        <v>573</v>
      </c>
      <c r="AY266" s="260">
        <f t="shared" si="73"/>
        <v>0</v>
      </c>
      <c r="AZ266" s="259" t="s">
        <v>573</v>
      </c>
      <c r="BA266" s="260">
        <f t="shared" si="74"/>
        <v>0</v>
      </c>
      <c r="BB266" s="259" t="s">
        <v>573</v>
      </c>
      <c r="BC266" s="260">
        <f t="shared" si="75"/>
        <v>0</v>
      </c>
      <c r="BD266" s="259" t="s">
        <v>573</v>
      </c>
      <c r="BE266" s="260">
        <f t="shared" si="76"/>
        <v>0</v>
      </c>
      <c r="BF266" s="259" t="s">
        <v>573</v>
      </c>
      <c r="BG266" s="260">
        <f t="shared" si="77"/>
        <v>0</v>
      </c>
      <c r="BH266" s="259" t="s">
        <v>573</v>
      </c>
      <c r="BI266" s="260">
        <f t="shared" si="79"/>
        <v>0</v>
      </c>
      <c r="BJ266" s="58"/>
      <c r="BK266" s="220"/>
      <c r="BL266" s="213" t="s">
        <v>807</v>
      </c>
      <c r="BM266" s="213" t="s">
        <v>643</v>
      </c>
    </row>
    <row r="267" spans="1:65" ht="15.75" customHeight="1">
      <c r="A267" s="213" t="s">
        <v>1437</v>
      </c>
      <c r="B267" s="58" t="s">
        <v>184</v>
      </c>
      <c r="C267" s="58" t="s">
        <v>752</v>
      </c>
      <c r="D267" s="214" t="s">
        <v>186</v>
      </c>
      <c r="E267" s="214" t="s">
        <v>186</v>
      </c>
      <c r="F267" s="215" t="s">
        <v>186</v>
      </c>
      <c r="G267" s="216">
        <v>2023</v>
      </c>
      <c r="H267" s="218" t="s">
        <v>1318</v>
      </c>
      <c r="I267" s="218" t="s">
        <v>196</v>
      </c>
      <c r="J267" s="217" t="s">
        <v>890</v>
      </c>
      <c r="K267" s="213" t="s">
        <v>753</v>
      </c>
      <c r="L267" s="213" t="s">
        <v>192</v>
      </c>
      <c r="M267" s="219" t="s">
        <v>1389</v>
      </c>
      <c r="N267" s="265">
        <v>5.4</v>
      </c>
      <c r="O267" s="265">
        <v>5.4</v>
      </c>
      <c r="P267" s="265">
        <v>5.4</v>
      </c>
      <c r="Q267" s="265">
        <v>5.4</v>
      </c>
      <c r="R267" s="265">
        <v>5.4</v>
      </c>
      <c r="S267" s="265">
        <v>5.4</v>
      </c>
      <c r="T267" s="265">
        <v>5.4</v>
      </c>
      <c r="U267" s="265">
        <v>5.4</v>
      </c>
      <c r="V267" s="265">
        <v>5.4</v>
      </c>
      <c r="W267" s="265">
        <v>5.4</v>
      </c>
      <c r="X267" s="265">
        <v>5.4</v>
      </c>
      <c r="Y267" s="265">
        <v>5.4</v>
      </c>
      <c r="Z267" s="265">
        <v>0</v>
      </c>
      <c r="AA267" s="265">
        <v>0</v>
      </c>
      <c r="AB267" s="265">
        <v>0</v>
      </c>
      <c r="AC267" s="265">
        <v>0</v>
      </c>
      <c r="AD267" s="265">
        <v>0</v>
      </c>
      <c r="AE267" s="265">
        <v>0</v>
      </c>
      <c r="AF267" s="265">
        <v>0</v>
      </c>
      <c r="AG267" s="265">
        <v>0</v>
      </c>
      <c r="AH267" s="265">
        <v>0</v>
      </c>
      <c r="AI267" s="265">
        <v>0</v>
      </c>
      <c r="AJ267" s="265">
        <v>0</v>
      </c>
      <c r="AK267" s="265">
        <v>0</v>
      </c>
      <c r="AL267" s="266">
        <v>3200</v>
      </c>
      <c r="AM267" s="265">
        <f t="shared" si="68"/>
        <v>0</v>
      </c>
      <c r="AN267" s="266" t="s">
        <v>573</v>
      </c>
      <c r="AO267" s="265">
        <f t="shared" si="78"/>
        <v>0</v>
      </c>
      <c r="AP267" s="266">
        <v>0</v>
      </c>
      <c r="AQ267" s="265">
        <f t="shared" si="69"/>
        <v>0</v>
      </c>
      <c r="AR267" s="266">
        <v>3200</v>
      </c>
      <c r="AS267" s="262">
        <f t="shared" si="70"/>
        <v>0</v>
      </c>
      <c r="AT267" s="266">
        <v>0</v>
      </c>
      <c r="AU267" s="260">
        <f t="shared" si="71"/>
        <v>0</v>
      </c>
      <c r="AV267" s="259">
        <v>0</v>
      </c>
      <c r="AW267" s="260">
        <f t="shared" si="72"/>
        <v>0</v>
      </c>
      <c r="AX267" s="261">
        <v>3200</v>
      </c>
      <c r="AY267" s="260">
        <f t="shared" si="73"/>
        <v>0</v>
      </c>
      <c r="AZ267" s="259">
        <v>3200</v>
      </c>
      <c r="BA267" s="260">
        <f t="shared" si="74"/>
        <v>0</v>
      </c>
      <c r="BB267" s="259">
        <v>12800</v>
      </c>
      <c r="BC267" s="260">
        <f t="shared" si="75"/>
        <v>0</v>
      </c>
      <c r="BD267" s="259">
        <v>16000</v>
      </c>
      <c r="BE267" s="260">
        <f t="shared" si="76"/>
        <v>0</v>
      </c>
      <c r="BF267" s="259">
        <v>3200</v>
      </c>
      <c r="BG267" s="260">
        <f t="shared" si="77"/>
        <v>0</v>
      </c>
      <c r="BH267" s="259">
        <v>3200</v>
      </c>
      <c r="BI267" s="260">
        <f t="shared" si="79"/>
        <v>0</v>
      </c>
      <c r="BJ267" s="58"/>
      <c r="BK267" s="220"/>
      <c r="BL267" s="213" t="s">
        <v>763</v>
      </c>
      <c r="BM267" s="213" t="s">
        <v>644</v>
      </c>
    </row>
    <row r="268" spans="1:65" ht="15.75" customHeight="1">
      <c r="A268" s="213" t="s">
        <v>1437</v>
      </c>
      <c r="B268" s="58" t="s">
        <v>766</v>
      </c>
      <c r="C268" s="58" t="s">
        <v>752</v>
      </c>
      <c r="D268" s="214" t="s">
        <v>186</v>
      </c>
      <c r="E268" s="214" t="s">
        <v>186</v>
      </c>
      <c r="F268" s="215" t="s">
        <v>186</v>
      </c>
      <c r="G268" s="216">
        <v>2018</v>
      </c>
      <c r="H268" s="218" t="s">
        <v>823</v>
      </c>
      <c r="I268" s="218" t="s">
        <v>780</v>
      </c>
      <c r="J268" s="217" t="s">
        <v>890</v>
      </c>
      <c r="K268" s="213" t="s">
        <v>753</v>
      </c>
      <c r="L268" s="213" t="s">
        <v>192</v>
      </c>
      <c r="M268" s="219" t="s">
        <v>1401</v>
      </c>
      <c r="N268" s="265">
        <v>3.65</v>
      </c>
      <c r="O268" s="265">
        <v>3.65</v>
      </c>
      <c r="P268" s="265">
        <v>3.65</v>
      </c>
      <c r="Q268" s="265">
        <v>3.65</v>
      </c>
      <c r="R268" s="265">
        <v>3.65</v>
      </c>
      <c r="S268" s="265">
        <v>3.65</v>
      </c>
      <c r="T268" s="265">
        <v>3.65</v>
      </c>
      <c r="U268" s="265">
        <v>3.65</v>
      </c>
      <c r="V268" s="265">
        <v>3.65</v>
      </c>
      <c r="W268" s="265">
        <v>3.65</v>
      </c>
      <c r="X268" s="265">
        <v>3.65</v>
      </c>
      <c r="Y268" s="265">
        <v>3.65</v>
      </c>
      <c r="Z268" s="265">
        <v>0</v>
      </c>
      <c r="AA268" s="265">
        <v>0</v>
      </c>
      <c r="AB268" s="265">
        <v>0</v>
      </c>
      <c r="AC268" s="265">
        <v>0</v>
      </c>
      <c r="AD268" s="265">
        <v>0</v>
      </c>
      <c r="AE268" s="265">
        <v>0</v>
      </c>
      <c r="AF268" s="265">
        <v>0</v>
      </c>
      <c r="AG268" s="265">
        <v>0</v>
      </c>
      <c r="AH268" s="265">
        <v>0</v>
      </c>
      <c r="AI268" s="265">
        <v>0</v>
      </c>
      <c r="AJ268" s="265">
        <v>0</v>
      </c>
      <c r="AK268" s="265">
        <v>0</v>
      </c>
      <c r="AL268" s="266" t="s">
        <v>573</v>
      </c>
      <c r="AM268" s="265">
        <f t="shared" si="68"/>
        <v>0</v>
      </c>
      <c r="AN268" s="266">
        <v>1890</v>
      </c>
      <c r="AO268" s="265">
        <f t="shared" si="78"/>
        <v>0</v>
      </c>
      <c r="AP268" s="266">
        <v>1890</v>
      </c>
      <c r="AQ268" s="265">
        <f t="shared" si="69"/>
        <v>0</v>
      </c>
      <c r="AR268" s="266">
        <v>0</v>
      </c>
      <c r="AS268" s="262">
        <f t="shared" si="70"/>
        <v>0</v>
      </c>
      <c r="AT268" s="266">
        <v>3780</v>
      </c>
      <c r="AU268" s="260">
        <f t="shared" si="71"/>
        <v>0</v>
      </c>
      <c r="AV268" s="259">
        <v>0</v>
      </c>
      <c r="AW268" s="260">
        <f t="shared" si="72"/>
        <v>0</v>
      </c>
      <c r="AX268" s="261" t="s">
        <v>573</v>
      </c>
      <c r="AY268" s="260">
        <f t="shared" si="73"/>
        <v>0</v>
      </c>
      <c r="AZ268" s="259">
        <v>0</v>
      </c>
      <c r="BA268" s="260">
        <f t="shared" si="74"/>
        <v>0</v>
      </c>
      <c r="BB268" s="259" t="s">
        <v>573</v>
      </c>
      <c r="BC268" s="260">
        <f t="shared" si="75"/>
        <v>0</v>
      </c>
      <c r="BD268" s="259">
        <v>0</v>
      </c>
      <c r="BE268" s="260">
        <f t="shared" si="76"/>
        <v>0</v>
      </c>
      <c r="BF268" s="259">
        <v>0</v>
      </c>
      <c r="BG268" s="260">
        <f t="shared" si="77"/>
        <v>0</v>
      </c>
      <c r="BH268" s="259" t="s">
        <v>573</v>
      </c>
      <c r="BI268" s="260">
        <f t="shared" si="79"/>
        <v>0</v>
      </c>
      <c r="BJ268" s="58"/>
      <c r="BK268" s="220"/>
      <c r="BL268" s="213" t="s">
        <v>754</v>
      </c>
      <c r="BM268" s="213" t="s">
        <v>535</v>
      </c>
    </row>
    <row r="269" spans="1:65" ht="15.75" customHeight="1">
      <c r="A269" s="213" t="s">
        <v>1437</v>
      </c>
      <c r="B269" s="58" t="s">
        <v>184</v>
      </c>
      <c r="C269" s="58" t="s">
        <v>752</v>
      </c>
      <c r="D269" s="214" t="s">
        <v>186</v>
      </c>
      <c r="E269" s="214" t="s">
        <v>186</v>
      </c>
      <c r="F269" s="215" t="s">
        <v>186</v>
      </c>
      <c r="G269" s="216">
        <v>2023</v>
      </c>
      <c r="H269" s="218" t="s">
        <v>824</v>
      </c>
      <c r="I269" s="218" t="s">
        <v>196</v>
      </c>
      <c r="J269" s="217" t="s">
        <v>890</v>
      </c>
      <c r="K269" s="213" t="s">
        <v>753</v>
      </c>
      <c r="L269" s="213" t="s">
        <v>192</v>
      </c>
      <c r="M269" s="219" t="s">
        <v>1388</v>
      </c>
      <c r="N269" s="265">
        <v>11.2</v>
      </c>
      <c r="O269" s="265">
        <v>11.2</v>
      </c>
      <c r="P269" s="265">
        <v>11.2</v>
      </c>
      <c r="Q269" s="265">
        <v>11.2</v>
      </c>
      <c r="R269" s="265">
        <v>11.2</v>
      </c>
      <c r="S269" s="265">
        <v>11.2</v>
      </c>
      <c r="T269" s="265">
        <v>11.2</v>
      </c>
      <c r="U269" s="265">
        <v>11.2</v>
      </c>
      <c r="V269" s="265">
        <v>11.2</v>
      </c>
      <c r="W269" s="265">
        <v>11.2</v>
      </c>
      <c r="X269" s="265">
        <v>11.2</v>
      </c>
      <c r="Y269" s="265">
        <v>11.2</v>
      </c>
      <c r="Z269" s="265">
        <v>0.45</v>
      </c>
      <c r="AA269" s="265">
        <v>0.45</v>
      </c>
      <c r="AB269" s="265">
        <v>0.45</v>
      </c>
      <c r="AC269" s="265">
        <v>0.45</v>
      </c>
      <c r="AD269" s="265">
        <v>0.45</v>
      </c>
      <c r="AE269" s="265">
        <v>0.45</v>
      </c>
      <c r="AF269" s="265">
        <v>0.45</v>
      </c>
      <c r="AG269" s="265">
        <v>0.45</v>
      </c>
      <c r="AH269" s="265">
        <v>0.45</v>
      </c>
      <c r="AI269" s="265">
        <v>0.45</v>
      </c>
      <c r="AJ269" s="265">
        <v>0.45</v>
      </c>
      <c r="AK269" s="265">
        <v>0.45</v>
      </c>
      <c r="AL269" s="266" t="s">
        <v>573</v>
      </c>
      <c r="AM269" s="265">
        <f t="shared" si="68"/>
        <v>0</v>
      </c>
      <c r="AN269" s="266">
        <v>1440</v>
      </c>
      <c r="AO269" s="265">
        <f t="shared" si="78"/>
        <v>648</v>
      </c>
      <c r="AP269" s="266">
        <v>0</v>
      </c>
      <c r="AQ269" s="265">
        <f t="shared" si="69"/>
        <v>0</v>
      </c>
      <c r="AR269" s="266">
        <v>0</v>
      </c>
      <c r="AS269" s="262">
        <f t="shared" si="70"/>
        <v>0</v>
      </c>
      <c r="AT269" s="266">
        <v>0</v>
      </c>
      <c r="AU269" s="260">
        <f t="shared" si="71"/>
        <v>0</v>
      </c>
      <c r="AV269" s="259">
        <v>0</v>
      </c>
      <c r="AW269" s="260">
        <f t="shared" si="72"/>
        <v>0</v>
      </c>
      <c r="AX269" s="261" t="s">
        <v>573</v>
      </c>
      <c r="AY269" s="260">
        <f t="shared" si="73"/>
        <v>0</v>
      </c>
      <c r="AZ269" s="259" t="s">
        <v>573</v>
      </c>
      <c r="BA269" s="260">
        <f t="shared" si="74"/>
        <v>0</v>
      </c>
      <c r="BB269" s="259" t="s">
        <v>573</v>
      </c>
      <c r="BC269" s="260">
        <f t="shared" si="75"/>
        <v>0</v>
      </c>
      <c r="BD269" s="259" t="s">
        <v>573</v>
      </c>
      <c r="BE269" s="260">
        <f t="shared" si="76"/>
        <v>0</v>
      </c>
      <c r="BF269" s="259">
        <v>1440</v>
      </c>
      <c r="BG269" s="260">
        <f t="shared" si="77"/>
        <v>648</v>
      </c>
      <c r="BH269" s="259" t="s">
        <v>573</v>
      </c>
      <c r="BI269" s="260">
        <f t="shared" si="79"/>
        <v>0</v>
      </c>
      <c r="BJ269" s="58"/>
      <c r="BK269" s="220"/>
      <c r="BL269" s="213" t="s">
        <v>807</v>
      </c>
      <c r="BM269" s="58" t="s">
        <v>645</v>
      </c>
    </row>
    <row r="270" spans="1:65" ht="15.75" customHeight="1">
      <c r="A270" s="213" t="s">
        <v>1437</v>
      </c>
      <c r="B270" s="58" t="s">
        <v>184</v>
      </c>
      <c r="C270" s="58" t="s">
        <v>752</v>
      </c>
      <c r="D270" s="214" t="s">
        <v>186</v>
      </c>
      <c r="E270" s="214" t="s">
        <v>186</v>
      </c>
      <c r="F270" s="215" t="s">
        <v>186</v>
      </c>
      <c r="G270" s="216">
        <v>2023</v>
      </c>
      <c r="H270" s="218" t="s">
        <v>824</v>
      </c>
      <c r="I270" s="218" t="s">
        <v>196</v>
      </c>
      <c r="J270" s="217" t="s">
        <v>890</v>
      </c>
      <c r="K270" s="213" t="s">
        <v>753</v>
      </c>
      <c r="L270" s="213" t="s">
        <v>192</v>
      </c>
      <c r="M270" s="219" t="s">
        <v>1389</v>
      </c>
      <c r="N270" s="265">
        <v>11.2</v>
      </c>
      <c r="O270" s="265">
        <v>11.2</v>
      </c>
      <c r="P270" s="265">
        <v>11.2</v>
      </c>
      <c r="Q270" s="265">
        <v>11.2</v>
      </c>
      <c r="R270" s="265">
        <v>11.2</v>
      </c>
      <c r="S270" s="265">
        <v>11.2</v>
      </c>
      <c r="T270" s="265">
        <v>11.2</v>
      </c>
      <c r="U270" s="265">
        <v>11.2</v>
      </c>
      <c r="V270" s="265">
        <v>11.2</v>
      </c>
      <c r="W270" s="265">
        <v>11.2</v>
      </c>
      <c r="X270" s="265">
        <v>11.2</v>
      </c>
      <c r="Y270" s="265">
        <v>11.2</v>
      </c>
      <c r="Z270" s="265">
        <v>0.45</v>
      </c>
      <c r="AA270" s="265">
        <v>0.45</v>
      </c>
      <c r="AB270" s="265">
        <v>0.45</v>
      </c>
      <c r="AC270" s="265">
        <v>0.45</v>
      </c>
      <c r="AD270" s="265">
        <v>0.45</v>
      </c>
      <c r="AE270" s="265">
        <v>0.45</v>
      </c>
      <c r="AF270" s="265">
        <v>0.45</v>
      </c>
      <c r="AG270" s="265">
        <v>0.45</v>
      </c>
      <c r="AH270" s="265">
        <v>0.45</v>
      </c>
      <c r="AI270" s="265">
        <v>0.45</v>
      </c>
      <c r="AJ270" s="265">
        <v>0.45</v>
      </c>
      <c r="AK270" s="265">
        <v>0.45</v>
      </c>
      <c r="AL270" s="266" t="s">
        <v>573</v>
      </c>
      <c r="AM270" s="265">
        <f t="shared" si="68"/>
        <v>0</v>
      </c>
      <c r="AN270" s="266" t="s">
        <v>573</v>
      </c>
      <c r="AO270" s="265">
        <f t="shared" si="78"/>
        <v>0</v>
      </c>
      <c r="AP270" s="266">
        <v>0</v>
      </c>
      <c r="AQ270" s="265">
        <f t="shared" si="69"/>
        <v>0</v>
      </c>
      <c r="AR270" s="266">
        <v>0</v>
      </c>
      <c r="AS270" s="262">
        <f t="shared" si="70"/>
        <v>0</v>
      </c>
      <c r="AT270" s="266">
        <v>0</v>
      </c>
      <c r="AU270" s="260">
        <f t="shared" si="71"/>
        <v>0</v>
      </c>
      <c r="AV270" s="259">
        <v>0</v>
      </c>
      <c r="AW270" s="260">
        <f t="shared" si="72"/>
        <v>0</v>
      </c>
      <c r="AX270" s="261">
        <v>5953</v>
      </c>
      <c r="AY270" s="260">
        <f t="shared" si="73"/>
        <v>2678.85</v>
      </c>
      <c r="AZ270" s="259">
        <v>5953</v>
      </c>
      <c r="BA270" s="260">
        <f t="shared" si="74"/>
        <v>2678.85</v>
      </c>
      <c r="BB270" s="259">
        <v>5953</v>
      </c>
      <c r="BC270" s="260">
        <f t="shared" si="75"/>
        <v>2678.85</v>
      </c>
      <c r="BD270" s="259">
        <v>5953</v>
      </c>
      <c r="BE270" s="260">
        <f t="shared" si="76"/>
        <v>2678.85</v>
      </c>
      <c r="BF270" s="259">
        <v>7393</v>
      </c>
      <c r="BG270" s="260">
        <f t="shared" si="77"/>
        <v>3326.85</v>
      </c>
      <c r="BH270" s="259">
        <v>5954</v>
      </c>
      <c r="BI270" s="260">
        <f t="shared" si="79"/>
        <v>2679.3</v>
      </c>
      <c r="BJ270" s="58"/>
      <c r="BK270" s="220"/>
      <c r="BL270" s="213" t="s">
        <v>763</v>
      </c>
      <c r="BM270" s="58" t="s">
        <v>646</v>
      </c>
    </row>
    <row r="271" spans="1:65" ht="15.75" customHeight="1">
      <c r="A271" s="213" t="s">
        <v>1437</v>
      </c>
      <c r="B271" s="58" t="s">
        <v>184</v>
      </c>
      <c r="C271" s="58" t="s">
        <v>752</v>
      </c>
      <c r="D271" s="214" t="s">
        <v>186</v>
      </c>
      <c r="E271" s="214" t="s">
        <v>186</v>
      </c>
      <c r="F271" s="215" t="s">
        <v>186</v>
      </c>
      <c r="G271" s="216">
        <v>2023</v>
      </c>
      <c r="H271" s="218" t="s">
        <v>824</v>
      </c>
      <c r="I271" s="218" t="s">
        <v>196</v>
      </c>
      <c r="J271" s="217" t="s">
        <v>890</v>
      </c>
      <c r="K271" s="213" t="s">
        <v>753</v>
      </c>
      <c r="L271" s="213" t="s">
        <v>192</v>
      </c>
      <c r="M271" s="219" t="s">
        <v>1388</v>
      </c>
      <c r="N271" s="265">
        <v>11.2</v>
      </c>
      <c r="O271" s="265">
        <v>11.2</v>
      </c>
      <c r="P271" s="265">
        <v>11.2</v>
      </c>
      <c r="Q271" s="265">
        <v>11.2</v>
      </c>
      <c r="R271" s="265">
        <v>11.2</v>
      </c>
      <c r="S271" s="265">
        <v>11.2</v>
      </c>
      <c r="T271" s="265">
        <v>11.2</v>
      </c>
      <c r="U271" s="265">
        <v>11.2</v>
      </c>
      <c r="V271" s="265">
        <v>11.2</v>
      </c>
      <c r="W271" s="265">
        <v>11.2</v>
      </c>
      <c r="X271" s="265">
        <v>11.2</v>
      </c>
      <c r="Y271" s="265">
        <v>11.2</v>
      </c>
      <c r="Z271" s="265">
        <v>0.45</v>
      </c>
      <c r="AA271" s="265">
        <v>0.45</v>
      </c>
      <c r="AB271" s="265">
        <v>0.45</v>
      </c>
      <c r="AC271" s="265">
        <v>0.45</v>
      </c>
      <c r="AD271" s="265">
        <v>0.45</v>
      </c>
      <c r="AE271" s="265">
        <v>0.45</v>
      </c>
      <c r="AF271" s="265">
        <v>0.45</v>
      </c>
      <c r="AG271" s="265">
        <v>0.45</v>
      </c>
      <c r="AH271" s="265">
        <v>0.45</v>
      </c>
      <c r="AI271" s="265">
        <v>0.45</v>
      </c>
      <c r="AJ271" s="265">
        <v>0.45</v>
      </c>
      <c r="AK271" s="265">
        <v>0.45</v>
      </c>
      <c r="AL271" s="266" t="s">
        <v>573</v>
      </c>
      <c r="AM271" s="265">
        <f t="shared" ref="AM271:AM334" si="80">Z271*AL271</f>
        <v>0</v>
      </c>
      <c r="AN271" s="266" t="s">
        <v>573</v>
      </c>
      <c r="AO271" s="265">
        <f t="shared" si="78"/>
        <v>0</v>
      </c>
      <c r="AP271" s="266">
        <v>0</v>
      </c>
      <c r="AQ271" s="265">
        <f t="shared" ref="AQ271:AQ334" si="81">AP271*AB271</f>
        <v>0</v>
      </c>
      <c r="AR271" s="266">
        <v>0</v>
      </c>
      <c r="AS271" s="262">
        <f t="shared" ref="AS271:AS334" si="82">AR271*AC271</f>
        <v>0</v>
      </c>
      <c r="AT271" s="266">
        <v>0</v>
      </c>
      <c r="AU271" s="260">
        <f t="shared" ref="AU271:AU334" si="83">AT271*AD271</f>
        <v>0</v>
      </c>
      <c r="AV271" s="259">
        <v>0</v>
      </c>
      <c r="AW271" s="260">
        <f t="shared" ref="AW271:AW334" si="84">AV271*AE271</f>
        <v>0</v>
      </c>
      <c r="AX271" s="261" t="s">
        <v>573</v>
      </c>
      <c r="AY271" s="260">
        <f t="shared" ref="AY271:AY334" si="85">AX271*AF271</f>
        <v>0</v>
      </c>
      <c r="AZ271" s="259" t="s">
        <v>573</v>
      </c>
      <c r="BA271" s="260">
        <f t="shared" ref="BA271:BA334" si="86">AZ271*AG271</f>
        <v>0</v>
      </c>
      <c r="BB271" s="259">
        <v>1440</v>
      </c>
      <c r="BC271" s="260">
        <f t="shared" ref="BC271:BC334" si="87">BB271*AH271</f>
        <v>648</v>
      </c>
      <c r="BD271" s="259" t="s">
        <v>573</v>
      </c>
      <c r="BE271" s="260">
        <f t="shared" ref="BE271:BE334" si="88">BD271*AI271</f>
        <v>0</v>
      </c>
      <c r="BF271" s="259" t="s">
        <v>573</v>
      </c>
      <c r="BG271" s="260">
        <f t="shared" ref="BG271:BG334" si="89">BF271*AJ271</f>
        <v>0</v>
      </c>
      <c r="BH271" s="259" t="s">
        <v>573</v>
      </c>
      <c r="BI271" s="260">
        <f t="shared" si="79"/>
        <v>0</v>
      </c>
      <c r="BJ271" s="58"/>
      <c r="BK271" s="220"/>
      <c r="BL271" s="213" t="s">
        <v>754</v>
      </c>
      <c r="BM271" s="58" t="s">
        <v>647</v>
      </c>
    </row>
    <row r="272" spans="1:65" ht="15.75" customHeight="1">
      <c r="A272" s="213" t="s">
        <v>1437</v>
      </c>
      <c r="B272" s="58" t="s">
        <v>184</v>
      </c>
      <c r="C272" s="58" t="s">
        <v>752</v>
      </c>
      <c r="D272" s="214" t="s">
        <v>186</v>
      </c>
      <c r="E272" s="214" t="s">
        <v>186</v>
      </c>
      <c r="F272" s="215" t="s">
        <v>186</v>
      </c>
      <c r="G272" s="216">
        <v>2023</v>
      </c>
      <c r="H272" s="218" t="s">
        <v>824</v>
      </c>
      <c r="I272" s="218" t="s">
        <v>196</v>
      </c>
      <c r="J272" s="217" t="s">
        <v>890</v>
      </c>
      <c r="K272" s="213" t="s">
        <v>753</v>
      </c>
      <c r="L272" s="213" t="s">
        <v>192</v>
      </c>
      <c r="M272" s="219" t="s">
        <v>1388</v>
      </c>
      <c r="N272" s="265">
        <v>11.22</v>
      </c>
      <c r="O272" s="265">
        <v>11.22</v>
      </c>
      <c r="P272" s="265">
        <v>11.22</v>
      </c>
      <c r="Q272" s="265">
        <v>11.22</v>
      </c>
      <c r="R272" s="265">
        <v>11.22</v>
      </c>
      <c r="S272" s="265">
        <v>11.22</v>
      </c>
      <c r="T272" s="265">
        <v>11.22</v>
      </c>
      <c r="U272" s="265">
        <v>11.22</v>
      </c>
      <c r="V272" s="265">
        <v>11.22</v>
      </c>
      <c r="W272" s="265">
        <v>11.22</v>
      </c>
      <c r="X272" s="265">
        <v>11.22</v>
      </c>
      <c r="Y272" s="265">
        <v>11.22</v>
      </c>
      <c r="Z272" s="265">
        <v>0.45</v>
      </c>
      <c r="AA272" s="265">
        <v>0.45</v>
      </c>
      <c r="AB272" s="265">
        <v>0.45</v>
      </c>
      <c r="AC272" s="265">
        <v>0.45</v>
      </c>
      <c r="AD272" s="265">
        <v>0.45</v>
      </c>
      <c r="AE272" s="265">
        <v>0.45</v>
      </c>
      <c r="AF272" s="265">
        <v>0.45</v>
      </c>
      <c r="AG272" s="265">
        <v>0.45</v>
      </c>
      <c r="AH272" s="265">
        <v>0.45</v>
      </c>
      <c r="AI272" s="265">
        <v>0.45</v>
      </c>
      <c r="AJ272" s="265">
        <v>0.45</v>
      </c>
      <c r="AK272" s="265">
        <v>0.45</v>
      </c>
      <c r="AL272" s="266">
        <v>1440</v>
      </c>
      <c r="AM272" s="265">
        <f t="shared" si="80"/>
        <v>648</v>
      </c>
      <c r="AN272" s="266" t="s">
        <v>573</v>
      </c>
      <c r="AO272" s="265">
        <f t="shared" si="78"/>
        <v>0</v>
      </c>
      <c r="AP272" s="266">
        <v>0</v>
      </c>
      <c r="AQ272" s="265">
        <f t="shared" si="81"/>
        <v>0</v>
      </c>
      <c r="AR272" s="266">
        <v>0</v>
      </c>
      <c r="AS272" s="262">
        <f t="shared" si="82"/>
        <v>0</v>
      </c>
      <c r="AT272" s="266">
        <v>1440</v>
      </c>
      <c r="AU272" s="260">
        <f t="shared" si="83"/>
        <v>648</v>
      </c>
      <c r="AV272" s="259">
        <v>0</v>
      </c>
      <c r="AW272" s="260">
        <f t="shared" si="84"/>
        <v>0</v>
      </c>
      <c r="AX272" s="261" t="s">
        <v>573</v>
      </c>
      <c r="AY272" s="260">
        <f t="shared" si="85"/>
        <v>0</v>
      </c>
      <c r="AZ272" s="259" t="s">
        <v>573</v>
      </c>
      <c r="BA272" s="260">
        <f t="shared" si="86"/>
        <v>0</v>
      </c>
      <c r="BB272" s="259" t="s">
        <v>573</v>
      </c>
      <c r="BC272" s="260">
        <f t="shared" si="87"/>
        <v>0</v>
      </c>
      <c r="BD272" s="259" t="s">
        <v>573</v>
      </c>
      <c r="BE272" s="260">
        <f t="shared" si="88"/>
        <v>0</v>
      </c>
      <c r="BF272" s="259" t="s">
        <v>573</v>
      </c>
      <c r="BG272" s="260">
        <f t="shared" si="89"/>
        <v>0</v>
      </c>
      <c r="BH272" s="259" t="s">
        <v>573</v>
      </c>
      <c r="BI272" s="260">
        <f t="shared" si="79"/>
        <v>0</v>
      </c>
      <c r="BJ272" s="58"/>
      <c r="BK272" s="220"/>
      <c r="BL272" s="213" t="s">
        <v>807</v>
      </c>
      <c r="BM272" s="58" t="s">
        <v>648</v>
      </c>
    </row>
    <row r="273" spans="1:65" ht="15.75" customHeight="1">
      <c r="A273" s="213" t="s">
        <v>1437</v>
      </c>
      <c r="B273" s="58" t="s">
        <v>184</v>
      </c>
      <c r="C273" s="58" t="s">
        <v>752</v>
      </c>
      <c r="D273" s="214" t="s">
        <v>186</v>
      </c>
      <c r="E273" s="214" t="s">
        <v>186</v>
      </c>
      <c r="F273" s="215" t="s">
        <v>186</v>
      </c>
      <c r="G273" s="216">
        <v>2023</v>
      </c>
      <c r="H273" s="218" t="s">
        <v>824</v>
      </c>
      <c r="I273" s="218" t="s">
        <v>196</v>
      </c>
      <c r="J273" s="217" t="s">
        <v>890</v>
      </c>
      <c r="K273" s="213" t="s">
        <v>753</v>
      </c>
      <c r="L273" s="213" t="s">
        <v>192</v>
      </c>
      <c r="M273" s="219" t="s">
        <v>1389</v>
      </c>
      <c r="N273" s="265">
        <v>11.22</v>
      </c>
      <c r="O273" s="265">
        <v>11.22</v>
      </c>
      <c r="P273" s="265">
        <v>11.22</v>
      </c>
      <c r="Q273" s="265">
        <v>11.22</v>
      </c>
      <c r="R273" s="265">
        <v>11.22</v>
      </c>
      <c r="S273" s="265">
        <v>11.22</v>
      </c>
      <c r="T273" s="265">
        <v>11.22</v>
      </c>
      <c r="U273" s="265">
        <v>11.22</v>
      </c>
      <c r="V273" s="265">
        <v>11.22</v>
      </c>
      <c r="W273" s="265">
        <v>11.22</v>
      </c>
      <c r="X273" s="265">
        <v>11.22</v>
      </c>
      <c r="Y273" s="265">
        <v>11.22</v>
      </c>
      <c r="Z273" s="265">
        <v>0.45</v>
      </c>
      <c r="AA273" s="265">
        <v>0.45</v>
      </c>
      <c r="AB273" s="265">
        <v>0.45</v>
      </c>
      <c r="AC273" s="265">
        <v>0.45</v>
      </c>
      <c r="AD273" s="265">
        <v>0.45</v>
      </c>
      <c r="AE273" s="265">
        <v>0.45</v>
      </c>
      <c r="AF273" s="265">
        <v>0.45</v>
      </c>
      <c r="AG273" s="265">
        <v>0.45</v>
      </c>
      <c r="AH273" s="265">
        <v>0.45</v>
      </c>
      <c r="AI273" s="265">
        <v>0.45</v>
      </c>
      <c r="AJ273" s="265">
        <v>0.45</v>
      </c>
      <c r="AK273" s="265">
        <v>0.45</v>
      </c>
      <c r="AL273" s="266">
        <v>2880</v>
      </c>
      <c r="AM273" s="265">
        <f t="shared" si="80"/>
        <v>1296</v>
      </c>
      <c r="AN273" s="266" t="s">
        <v>573</v>
      </c>
      <c r="AO273" s="265">
        <f t="shared" si="78"/>
        <v>0</v>
      </c>
      <c r="AP273" s="266">
        <v>5760</v>
      </c>
      <c r="AQ273" s="265">
        <f t="shared" si="81"/>
        <v>2592</v>
      </c>
      <c r="AR273" s="266">
        <v>0</v>
      </c>
      <c r="AS273" s="262">
        <f t="shared" si="82"/>
        <v>0</v>
      </c>
      <c r="AT273" s="266">
        <v>1440</v>
      </c>
      <c r="AU273" s="260">
        <f t="shared" si="83"/>
        <v>648</v>
      </c>
      <c r="AV273" s="259">
        <v>2880</v>
      </c>
      <c r="AW273" s="260">
        <f t="shared" si="84"/>
        <v>1296</v>
      </c>
      <c r="AX273" s="261" t="s">
        <v>573</v>
      </c>
      <c r="AY273" s="260">
        <f t="shared" si="85"/>
        <v>0</v>
      </c>
      <c r="AZ273" s="259" t="s">
        <v>573</v>
      </c>
      <c r="BA273" s="260">
        <f t="shared" si="86"/>
        <v>0</v>
      </c>
      <c r="BB273" s="259" t="s">
        <v>573</v>
      </c>
      <c r="BC273" s="260">
        <f t="shared" si="87"/>
        <v>0</v>
      </c>
      <c r="BD273" s="259" t="s">
        <v>573</v>
      </c>
      <c r="BE273" s="260">
        <f t="shared" si="88"/>
        <v>0</v>
      </c>
      <c r="BF273" s="259" t="s">
        <v>573</v>
      </c>
      <c r="BG273" s="260">
        <f t="shared" si="89"/>
        <v>0</v>
      </c>
      <c r="BH273" s="259" t="s">
        <v>573</v>
      </c>
      <c r="BI273" s="260">
        <f t="shared" si="79"/>
        <v>0</v>
      </c>
      <c r="BJ273" s="58"/>
      <c r="BK273" s="220"/>
      <c r="BL273" s="213" t="s">
        <v>763</v>
      </c>
      <c r="BM273" s="58" t="s">
        <v>649</v>
      </c>
    </row>
    <row r="274" spans="1:65" ht="15.75" customHeight="1">
      <c r="A274" s="213" t="s">
        <v>1437</v>
      </c>
      <c r="B274" s="58" t="s">
        <v>184</v>
      </c>
      <c r="C274" s="58" t="s">
        <v>752</v>
      </c>
      <c r="D274" s="214" t="s">
        <v>186</v>
      </c>
      <c r="E274" s="214" t="s">
        <v>186</v>
      </c>
      <c r="F274" s="215" t="s">
        <v>186</v>
      </c>
      <c r="G274" s="216">
        <v>2023</v>
      </c>
      <c r="H274" s="218" t="s">
        <v>824</v>
      </c>
      <c r="I274" s="218" t="s">
        <v>196</v>
      </c>
      <c r="J274" s="217" t="s">
        <v>890</v>
      </c>
      <c r="K274" s="213" t="s">
        <v>753</v>
      </c>
      <c r="L274" s="213" t="s">
        <v>192</v>
      </c>
      <c r="M274" s="219" t="s">
        <v>1388</v>
      </c>
      <c r="N274" s="265">
        <v>11.22</v>
      </c>
      <c r="O274" s="265">
        <v>11.22</v>
      </c>
      <c r="P274" s="265">
        <v>11.22</v>
      </c>
      <c r="Q274" s="265">
        <v>11.22</v>
      </c>
      <c r="R274" s="265">
        <v>11.22</v>
      </c>
      <c r="S274" s="265">
        <v>11.22</v>
      </c>
      <c r="T274" s="265">
        <v>11.22</v>
      </c>
      <c r="U274" s="265">
        <v>11.22</v>
      </c>
      <c r="V274" s="265">
        <v>11.22</v>
      </c>
      <c r="W274" s="265">
        <v>11.22</v>
      </c>
      <c r="X274" s="265">
        <v>11.22</v>
      </c>
      <c r="Y274" s="265">
        <v>11.22</v>
      </c>
      <c r="Z274" s="265">
        <v>0.45</v>
      </c>
      <c r="AA274" s="265">
        <v>0.45</v>
      </c>
      <c r="AB274" s="265">
        <v>0.45</v>
      </c>
      <c r="AC274" s="265">
        <v>0.45</v>
      </c>
      <c r="AD274" s="265">
        <v>0.45</v>
      </c>
      <c r="AE274" s="265">
        <v>0.45</v>
      </c>
      <c r="AF274" s="265">
        <v>0.45</v>
      </c>
      <c r="AG274" s="265">
        <v>0.45</v>
      </c>
      <c r="AH274" s="265">
        <v>0.45</v>
      </c>
      <c r="AI274" s="265">
        <v>0.45</v>
      </c>
      <c r="AJ274" s="265">
        <v>0.45</v>
      </c>
      <c r="AK274" s="265">
        <v>0.45</v>
      </c>
      <c r="AL274" s="266">
        <v>1440</v>
      </c>
      <c r="AM274" s="265">
        <f t="shared" si="80"/>
        <v>648</v>
      </c>
      <c r="AN274" s="266" t="s">
        <v>573</v>
      </c>
      <c r="AO274" s="265">
        <f t="shared" si="78"/>
        <v>0</v>
      </c>
      <c r="AP274" s="266">
        <v>1440</v>
      </c>
      <c r="AQ274" s="265">
        <f t="shared" si="81"/>
        <v>648</v>
      </c>
      <c r="AR274" s="266">
        <v>0</v>
      </c>
      <c r="AS274" s="262">
        <f t="shared" si="82"/>
        <v>0</v>
      </c>
      <c r="AT274" s="266">
        <v>0</v>
      </c>
      <c r="AU274" s="260">
        <f t="shared" si="83"/>
        <v>0</v>
      </c>
      <c r="AV274" s="259">
        <v>1440</v>
      </c>
      <c r="AW274" s="260">
        <f t="shared" si="84"/>
        <v>648</v>
      </c>
      <c r="AX274" s="261" t="s">
        <v>573</v>
      </c>
      <c r="AY274" s="260">
        <f t="shared" si="85"/>
        <v>0</v>
      </c>
      <c r="AZ274" s="259">
        <v>1440</v>
      </c>
      <c r="BA274" s="260">
        <f t="shared" si="86"/>
        <v>648</v>
      </c>
      <c r="BB274" s="259" t="s">
        <v>573</v>
      </c>
      <c r="BC274" s="260">
        <f t="shared" si="87"/>
        <v>0</v>
      </c>
      <c r="BD274" s="259">
        <v>1440</v>
      </c>
      <c r="BE274" s="260">
        <f t="shared" si="88"/>
        <v>648</v>
      </c>
      <c r="BF274" s="259" t="s">
        <v>573</v>
      </c>
      <c r="BG274" s="260">
        <f t="shared" si="89"/>
        <v>0</v>
      </c>
      <c r="BH274" s="259" t="s">
        <v>573</v>
      </c>
      <c r="BI274" s="260">
        <f t="shared" si="79"/>
        <v>0</v>
      </c>
      <c r="BJ274" s="58"/>
      <c r="BK274" s="220"/>
      <c r="BL274" s="213" t="s">
        <v>754</v>
      </c>
      <c r="BM274" s="58" t="s">
        <v>650</v>
      </c>
    </row>
    <row r="275" spans="1:65" ht="15.75" customHeight="1">
      <c r="A275" s="213" t="s">
        <v>1437</v>
      </c>
      <c r="B275" s="58" t="s">
        <v>1293</v>
      </c>
      <c r="C275" s="58" t="s">
        <v>752</v>
      </c>
      <c r="D275" s="214" t="s">
        <v>1477</v>
      </c>
      <c r="E275" s="214" t="s">
        <v>1478</v>
      </c>
      <c r="F275" s="215" t="s">
        <v>186</v>
      </c>
      <c r="G275" s="216">
        <v>2023</v>
      </c>
      <c r="H275" s="218" t="s">
        <v>825</v>
      </c>
      <c r="I275" s="217" t="s">
        <v>781</v>
      </c>
      <c r="J275" s="217" t="s">
        <v>890</v>
      </c>
      <c r="K275" s="213" t="s">
        <v>753</v>
      </c>
      <c r="L275" s="213" t="s">
        <v>192</v>
      </c>
      <c r="M275" s="219" t="s">
        <v>1447</v>
      </c>
      <c r="N275" s="265">
        <v>38.99</v>
      </c>
      <c r="O275" s="265">
        <v>38.99</v>
      </c>
      <c r="P275" s="265">
        <v>38.99</v>
      </c>
      <c r="Q275" s="265">
        <v>38.99</v>
      </c>
      <c r="R275" s="265">
        <v>38.99</v>
      </c>
      <c r="S275" s="265">
        <v>38.99</v>
      </c>
      <c r="T275" s="265">
        <v>38.99</v>
      </c>
      <c r="U275" s="265">
        <v>38.99</v>
      </c>
      <c r="V275" s="265">
        <v>38.99</v>
      </c>
      <c r="W275" s="265">
        <v>38.99</v>
      </c>
      <c r="X275" s="265">
        <v>38.99</v>
      </c>
      <c r="Y275" s="265">
        <v>38.99</v>
      </c>
      <c r="Z275" s="265">
        <v>0.01</v>
      </c>
      <c r="AA275" s="265">
        <v>0.01</v>
      </c>
      <c r="AB275" s="265">
        <v>0.01</v>
      </c>
      <c r="AC275" s="265">
        <v>0.01</v>
      </c>
      <c r="AD275" s="265">
        <v>0.01</v>
      </c>
      <c r="AE275" s="265">
        <v>0.01</v>
      </c>
      <c r="AF275" s="265">
        <v>0.01</v>
      </c>
      <c r="AG275" s="265">
        <v>0.01</v>
      </c>
      <c r="AH275" s="265">
        <v>0.01</v>
      </c>
      <c r="AI275" s="265">
        <v>0.01</v>
      </c>
      <c r="AJ275" s="265">
        <v>0.01</v>
      </c>
      <c r="AK275" s="265">
        <v>0.01</v>
      </c>
      <c r="AL275" s="266" t="s">
        <v>573</v>
      </c>
      <c r="AM275" s="265">
        <f t="shared" si="80"/>
        <v>0</v>
      </c>
      <c r="AN275" s="266">
        <v>0</v>
      </c>
      <c r="AO275" s="265">
        <f t="shared" si="78"/>
        <v>0</v>
      </c>
      <c r="AP275" s="266">
        <v>2600</v>
      </c>
      <c r="AQ275" s="265">
        <f t="shared" si="81"/>
        <v>26</v>
      </c>
      <c r="AR275" s="266">
        <v>2400</v>
      </c>
      <c r="AS275" s="262">
        <f t="shared" si="82"/>
        <v>24</v>
      </c>
      <c r="AT275" s="266">
        <v>0</v>
      </c>
      <c r="AU275" s="260">
        <f t="shared" si="83"/>
        <v>0</v>
      </c>
      <c r="AV275" s="263">
        <v>5040</v>
      </c>
      <c r="AW275" s="260">
        <f t="shared" si="84"/>
        <v>50.4</v>
      </c>
      <c r="AX275" s="264">
        <v>0</v>
      </c>
      <c r="AY275" s="260">
        <f t="shared" si="85"/>
        <v>0</v>
      </c>
      <c r="AZ275" s="263" t="s">
        <v>573</v>
      </c>
      <c r="BA275" s="260">
        <f t="shared" si="86"/>
        <v>0</v>
      </c>
      <c r="BB275" s="263" t="s">
        <v>573</v>
      </c>
      <c r="BC275" s="260">
        <f t="shared" si="87"/>
        <v>0</v>
      </c>
      <c r="BD275" s="263" t="s">
        <v>573</v>
      </c>
      <c r="BE275" s="260">
        <f t="shared" si="88"/>
        <v>0</v>
      </c>
      <c r="BF275" s="263">
        <v>0</v>
      </c>
      <c r="BG275" s="260">
        <f t="shared" si="89"/>
        <v>0</v>
      </c>
      <c r="BH275" s="259">
        <v>0</v>
      </c>
      <c r="BI275" s="260">
        <f t="shared" si="79"/>
        <v>0</v>
      </c>
      <c r="BJ275" s="58"/>
      <c r="BK275" s="213"/>
      <c r="BL275" s="58" t="s">
        <v>1329</v>
      </c>
      <c r="BM275" s="58" t="s">
        <v>1479</v>
      </c>
    </row>
    <row r="276" spans="1:65" ht="15.75" customHeight="1">
      <c r="A276" s="213" t="s">
        <v>1437</v>
      </c>
      <c r="B276" s="58" t="s">
        <v>1293</v>
      </c>
      <c r="C276" s="58" t="s">
        <v>752</v>
      </c>
      <c r="D276" s="214" t="s">
        <v>1477</v>
      </c>
      <c r="E276" s="214" t="s">
        <v>1478</v>
      </c>
      <c r="F276" s="215" t="s">
        <v>186</v>
      </c>
      <c r="G276" s="216">
        <v>2023</v>
      </c>
      <c r="H276" s="218" t="s">
        <v>825</v>
      </c>
      <c r="I276" s="217" t="s">
        <v>781</v>
      </c>
      <c r="J276" s="217" t="s">
        <v>890</v>
      </c>
      <c r="K276" s="213" t="s">
        <v>753</v>
      </c>
      <c r="L276" s="213" t="s">
        <v>192</v>
      </c>
      <c r="M276" s="219" t="s">
        <v>1408</v>
      </c>
      <c r="N276" s="265">
        <v>31.36</v>
      </c>
      <c r="O276" s="265">
        <v>31.36</v>
      </c>
      <c r="P276" s="265">
        <v>31.36</v>
      </c>
      <c r="Q276" s="265">
        <v>31.36</v>
      </c>
      <c r="R276" s="265">
        <v>32.909999999999997</v>
      </c>
      <c r="S276" s="265">
        <v>32.909999999999997</v>
      </c>
      <c r="T276" s="265">
        <v>32.909999999999997</v>
      </c>
      <c r="U276" s="265">
        <v>32.909999999999997</v>
      </c>
      <c r="V276" s="265">
        <v>32.909999999999997</v>
      </c>
      <c r="W276" s="265">
        <v>32.909999999999997</v>
      </c>
      <c r="X276" s="265">
        <v>32.909999999999997</v>
      </c>
      <c r="Y276" s="265">
        <v>32.909999999999997</v>
      </c>
      <c r="Z276" s="265">
        <v>0.01</v>
      </c>
      <c r="AA276" s="265">
        <v>0.01</v>
      </c>
      <c r="AB276" s="265">
        <v>0.01</v>
      </c>
      <c r="AC276" s="265">
        <v>0.01</v>
      </c>
      <c r="AD276" s="265">
        <v>1.56</v>
      </c>
      <c r="AE276" s="265">
        <v>1.56</v>
      </c>
      <c r="AF276" s="265">
        <v>1.56</v>
      </c>
      <c r="AG276" s="265">
        <v>1.56</v>
      </c>
      <c r="AH276" s="265">
        <v>1.56</v>
      </c>
      <c r="AI276" s="265">
        <v>1.56</v>
      </c>
      <c r="AJ276" s="265">
        <v>1.56</v>
      </c>
      <c r="AK276" s="265">
        <v>1.56</v>
      </c>
      <c r="AL276" s="266" t="s">
        <v>573</v>
      </c>
      <c r="AM276" s="265">
        <f t="shared" si="80"/>
        <v>0</v>
      </c>
      <c r="AN276" s="266" t="s">
        <v>573</v>
      </c>
      <c r="AO276" s="265">
        <f t="shared" si="78"/>
        <v>0</v>
      </c>
      <c r="AP276" s="266">
        <v>0</v>
      </c>
      <c r="AQ276" s="265">
        <f t="shared" si="81"/>
        <v>0</v>
      </c>
      <c r="AR276" s="266">
        <v>0</v>
      </c>
      <c r="AS276" s="262">
        <f t="shared" si="82"/>
        <v>0</v>
      </c>
      <c r="AT276" s="266">
        <v>0</v>
      </c>
      <c r="AU276" s="260">
        <f t="shared" si="83"/>
        <v>0</v>
      </c>
      <c r="AV276" s="259">
        <v>360</v>
      </c>
      <c r="AW276" s="260">
        <f t="shared" si="84"/>
        <v>561.6</v>
      </c>
      <c r="AX276" s="261" t="s">
        <v>573</v>
      </c>
      <c r="AY276" s="260">
        <f t="shared" si="85"/>
        <v>0</v>
      </c>
      <c r="AZ276" s="259" t="s">
        <v>573</v>
      </c>
      <c r="BA276" s="260">
        <f t="shared" si="86"/>
        <v>0</v>
      </c>
      <c r="BB276" s="259" t="s">
        <v>573</v>
      </c>
      <c r="BC276" s="260">
        <f t="shared" si="87"/>
        <v>0</v>
      </c>
      <c r="BD276" s="259">
        <v>200</v>
      </c>
      <c r="BE276" s="260">
        <f t="shared" si="88"/>
        <v>312</v>
      </c>
      <c r="BF276" s="259" t="s">
        <v>573</v>
      </c>
      <c r="BG276" s="260">
        <f t="shared" si="89"/>
        <v>0</v>
      </c>
      <c r="BH276" s="259" t="s">
        <v>573</v>
      </c>
      <c r="BI276" s="260">
        <f t="shared" si="79"/>
        <v>0</v>
      </c>
      <c r="BJ276" s="58"/>
      <c r="BK276" s="220"/>
      <c r="BL276" s="213" t="s">
        <v>1329</v>
      </c>
      <c r="BM276" s="58" t="s">
        <v>1479</v>
      </c>
    </row>
    <row r="277" spans="1:65" ht="15.75" customHeight="1">
      <c r="A277" s="213" t="s">
        <v>1437</v>
      </c>
      <c r="B277" s="58" t="s">
        <v>1293</v>
      </c>
      <c r="C277" s="58" t="s">
        <v>752</v>
      </c>
      <c r="D277" s="214" t="s">
        <v>1477</v>
      </c>
      <c r="E277" s="214" t="s">
        <v>1478</v>
      </c>
      <c r="F277" s="215" t="s">
        <v>186</v>
      </c>
      <c r="G277" s="216">
        <v>2023</v>
      </c>
      <c r="H277" s="218" t="s">
        <v>825</v>
      </c>
      <c r="I277" s="217" t="s">
        <v>781</v>
      </c>
      <c r="J277" s="217" t="s">
        <v>890</v>
      </c>
      <c r="K277" s="213" t="s">
        <v>753</v>
      </c>
      <c r="L277" s="213" t="s">
        <v>192</v>
      </c>
      <c r="M277" s="219" t="s">
        <v>1414</v>
      </c>
      <c r="N277" s="265">
        <v>31.36</v>
      </c>
      <c r="O277" s="265">
        <v>31.36</v>
      </c>
      <c r="P277" s="265">
        <v>31.36</v>
      </c>
      <c r="Q277" s="265">
        <v>31.36</v>
      </c>
      <c r="R277" s="265">
        <v>31.36</v>
      </c>
      <c r="S277" s="265">
        <v>31.36</v>
      </c>
      <c r="T277" s="265">
        <v>31.36</v>
      </c>
      <c r="U277" s="265">
        <v>31.36</v>
      </c>
      <c r="V277" s="265">
        <v>31.36</v>
      </c>
      <c r="W277" s="265">
        <v>31.36</v>
      </c>
      <c r="X277" s="265">
        <v>31.36</v>
      </c>
      <c r="Y277" s="265">
        <v>31.36</v>
      </c>
      <c r="Z277" s="265">
        <v>0.01</v>
      </c>
      <c r="AA277" s="265">
        <v>0.01</v>
      </c>
      <c r="AB277" s="265">
        <v>0.01</v>
      </c>
      <c r="AC277" s="265">
        <v>0.01</v>
      </c>
      <c r="AD277" s="265">
        <v>0.01</v>
      </c>
      <c r="AE277" s="265">
        <v>0.01</v>
      </c>
      <c r="AF277" s="265">
        <v>0.01</v>
      </c>
      <c r="AG277" s="265">
        <v>0.01</v>
      </c>
      <c r="AH277" s="265">
        <v>0.01</v>
      </c>
      <c r="AI277" s="265">
        <v>0.01</v>
      </c>
      <c r="AJ277" s="265">
        <v>0.01</v>
      </c>
      <c r="AK277" s="265">
        <v>0.01</v>
      </c>
      <c r="AL277" s="266">
        <v>0</v>
      </c>
      <c r="AM277" s="265">
        <f t="shared" si="80"/>
        <v>0</v>
      </c>
      <c r="AN277" s="266">
        <v>0</v>
      </c>
      <c r="AO277" s="265">
        <f t="shared" si="78"/>
        <v>0</v>
      </c>
      <c r="AP277" s="266">
        <v>0</v>
      </c>
      <c r="AQ277" s="265">
        <f t="shared" si="81"/>
        <v>0</v>
      </c>
      <c r="AR277" s="266">
        <v>0</v>
      </c>
      <c r="AS277" s="262">
        <f t="shared" si="82"/>
        <v>0</v>
      </c>
      <c r="AT277" s="266">
        <v>0</v>
      </c>
      <c r="AU277" s="260">
        <f t="shared" si="83"/>
        <v>0</v>
      </c>
      <c r="AV277" s="259">
        <v>0</v>
      </c>
      <c r="AW277" s="260">
        <f t="shared" si="84"/>
        <v>0</v>
      </c>
      <c r="AX277" s="261" t="s">
        <v>573</v>
      </c>
      <c r="AY277" s="260">
        <f t="shared" si="85"/>
        <v>0</v>
      </c>
      <c r="AZ277" s="259" t="s">
        <v>573</v>
      </c>
      <c r="BA277" s="260">
        <f t="shared" si="86"/>
        <v>0</v>
      </c>
      <c r="BB277" s="259" t="s">
        <v>573</v>
      </c>
      <c r="BC277" s="260">
        <f t="shared" si="87"/>
        <v>0</v>
      </c>
      <c r="BD277" s="259">
        <v>0</v>
      </c>
      <c r="BE277" s="260">
        <f t="shared" si="88"/>
        <v>0</v>
      </c>
      <c r="BF277" s="259" t="s">
        <v>573</v>
      </c>
      <c r="BG277" s="260">
        <f t="shared" si="89"/>
        <v>0</v>
      </c>
      <c r="BH277" s="259" t="s">
        <v>573</v>
      </c>
      <c r="BI277" s="260">
        <f t="shared" si="79"/>
        <v>0</v>
      </c>
      <c r="BJ277" s="58"/>
      <c r="BK277" s="220"/>
      <c r="BL277" s="213" t="s">
        <v>1329</v>
      </c>
      <c r="BM277" s="58" t="s">
        <v>1479</v>
      </c>
    </row>
    <row r="278" spans="1:65" ht="15.75" customHeight="1">
      <c r="A278" s="213" t="s">
        <v>1437</v>
      </c>
      <c r="B278" s="58" t="s">
        <v>1293</v>
      </c>
      <c r="C278" s="58" t="s">
        <v>752</v>
      </c>
      <c r="D278" s="214" t="s">
        <v>1477</v>
      </c>
      <c r="E278" s="214" t="s">
        <v>1478</v>
      </c>
      <c r="F278" s="215" t="s">
        <v>186</v>
      </c>
      <c r="G278" s="216">
        <v>2023</v>
      </c>
      <c r="H278" s="218" t="s">
        <v>825</v>
      </c>
      <c r="I278" s="217" t="s">
        <v>781</v>
      </c>
      <c r="J278" s="217" t="s">
        <v>890</v>
      </c>
      <c r="K278" s="213" t="s">
        <v>753</v>
      </c>
      <c r="L278" s="213" t="s">
        <v>192</v>
      </c>
      <c r="M278" s="219" t="s">
        <v>1454</v>
      </c>
      <c r="N278" s="265">
        <v>29.66</v>
      </c>
      <c r="O278" s="265">
        <v>29.66</v>
      </c>
      <c r="P278" s="265">
        <v>29.66</v>
      </c>
      <c r="Q278" s="265">
        <v>29.66</v>
      </c>
      <c r="R278" s="265">
        <v>29.66</v>
      </c>
      <c r="S278" s="265">
        <v>29.66</v>
      </c>
      <c r="T278" s="265">
        <v>29.66</v>
      </c>
      <c r="U278" s="265">
        <v>29.66</v>
      </c>
      <c r="V278" s="265">
        <v>29.66</v>
      </c>
      <c r="W278" s="265">
        <v>29.66</v>
      </c>
      <c r="X278" s="265">
        <v>29.66</v>
      </c>
      <c r="Y278" s="265">
        <v>29.66</v>
      </c>
      <c r="Z278" s="265">
        <v>0.01</v>
      </c>
      <c r="AA278" s="265">
        <v>0.01</v>
      </c>
      <c r="AB278" s="265">
        <v>0.01</v>
      </c>
      <c r="AC278" s="265">
        <v>0.01</v>
      </c>
      <c r="AD278" s="265">
        <v>0.01</v>
      </c>
      <c r="AE278" s="265">
        <v>0.01</v>
      </c>
      <c r="AF278" s="265">
        <v>0.01</v>
      </c>
      <c r="AG278" s="265">
        <v>0.01</v>
      </c>
      <c r="AH278" s="265">
        <v>0.01</v>
      </c>
      <c r="AI278" s="265">
        <v>0.01</v>
      </c>
      <c r="AJ278" s="265">
        <v>0.01</v>
      </c>
      <c r="AK278" s="265">
        <v>0.01</v>
      </c>
      <c r="AL278" s="266">
        <v>10</v>
      </c>
      <c r="AM278" s="265">
        <f t="shared" si="80"/>
        <v>0.1</v>
      </c>
      <c r="AN278" s="266" t="s">
        <v>573</v>
      </c>
      <c r="AO278" s="265">
        <f t="shared" si="78"/>
        <v>0</v>
      </c>
      <c r="AP278" s="266">
        <v>0</v>
      </c>
      <c r="AQ278" s="265">
        <f t="shared" si="81"/>
        <v>0</v>
      </c>
      <c r="AR278" s="266">
        <v>0</v>
      </c>
      <c r="AS278" s="262">
        <f t="shared" si="82"/>
        <v>0</v>
      </c>
      <c r="AT278" s="266">
        <v>0</v>
      </c>
      <c r="AU278" s="260">
        <f t="shared" si="83"/>
        <v>0</v>
      </c>
      <c r="AV278" s="259">
        <v>0</v>
      </c>
      <c r="AW278" s="260">
        <f t="shared" si="84"/>
        <v>0</v>
      </c>
      <c r="AX278" s="261" t="s">
        <v>573</v>
      </c>
      <c r="AY278" s="260">
        <f t="shared" si="85"/>
        <v>0</v>
      </c>
      <c r="AZ278" s="259" t="s">
        <v>573</v>
      </c>
      <c r="BA278" s="260">
        <f t="shared" si="86"/>
        <v>0</v>
      </c>
      <c r="BB278" s="259" t="s">
        <v>573</v>
      </c>
      <c r="BC278" s="260">
        <f t="shared" si="87"/>
        <v>0</v>
      </c>
      <c r="BD278" s="259">
        <v>0</v>
      </c>
      <c r="BE278" s="260">
        <f t="shared" si="88"/>
        <v>0</v>
      </c>
      <c r="BF278" s="259" t="s">
        <v>573</v>
      </c>
      <c r="BG278" s="260">
        <f t="shared" si="89"/>
        <v>0</v>
      </c>
      <c r="BH278" s="259" t="s">
        <v>573</v>
      </c>
      <c r="BI278" s="260">
        <f t="shared" si="79"/>
        <v>0</v>
      </c>
      <c r="BJ278" s="58"/>
      <c r="BK278" s="220"/>
      <c r="BL278" s="213" t="s">
        <v>1329</v>
      </c>
      <c r="BM278" s="58" t="s">
        <v>1479</v>
      </c>
    </row>
    <row r="279" spans="1:65" ht="15.75" customHeight="1">
      <c r="A279" s="213" t="s">
        <v>1437</v>
      </c>
      <c r="B279" s="58" t="s">
        <v>1293</v>
      </c>
      <c r="C279" s="58" t="s">
        <v>752</v>
      </c>
      <c r="D279" s="214" t="s">
        <v>1477</v>
      </c>
      <c r="E279" s="214" t="s">
        <v>1478</v>
      </c>
      <c r="F279" s="215" t="s">
        <v>186</v>
      </c>
      <c r="G279" s="216">
        <v>2023</v>
      </c>
      <c r="H279" s="218" t="s">
        <v>825</v>
      </c>
      <c r="I279" s="217" t="s">
        <v>781</v>
      </c>
      <c r="J279" s="217" t="s">
        <v>890</v>
      </c>
      <c r="K279" s="213" t="s">
        <v>753</v>
      </c>
      <c r="L279" s="213" t="s">
        <v>192</v>
      </c>
      <c r="M279" s="219" t="s">
        <v>1393</v>
      </c>
      <c r="N279" s="265">
        <v>31.36</v>
      </c>
      <c r="O279" s="265">
        <v>31.36</v>
      </c>
      <c r="P279" s="265">
        <v>31.36</v>
      </c>
      <c r="Q279" s="265">
        <v>31.36</v>
      </c>
      <c r="R279" s="265">
        <v>31.36</v>
      </c>
      <c r="S279" s="265">
        <v>31.36</v>
      </c>
      <c r="T279" s="265">
        <v>31.36</v>
      </c>
      <c r="U279" s="265">
        <v>31.36</v>
      </c>
      <c r="V279" s="265">
        <v>31.36</v>
      </c>
      <c r="W279" s="265">
        <v>31.36</v>
      </c>
      <c r="X279" s="265">
        <v>31.36</v>
      </c>
      <c r="Y279" s="265">
        <v>31.36</v>
      </c>
      <c r="Z279" s="265">
        <v>0.01</v>
      </c>
      <c r="AA279" s="265">
        <v>0.01</v>
      </c>
      <c r="AB279" s="265">
        <v>0.01</v>
      </c>
      <c r="AC279" s="265">
        <v>0.01</v>
      </c>
      <c r="AD279" s="265">
        <v>0.01</v>
      </c>
      <c r="AE279" s="265">
        <v>0.01</v>
      </c>
      <c r="AF279" s="265">
        <v>0.01</v>
      </c>
      <c r="AG279" s="265">
        <v>0.01</v>
      </c>
      <c r="AH279" s="265">
        <v>0.01</v>
      </c>
      <c r="AI279" s="265">
        <v>0.01</v>
      </c>
      <c r="AJ279" s="265">
        <v>0.01</v>
      </c>
      <c r="AK279" s="265">
        <v>0.01</v>
      </c>
      <c r="AL279" s="266" t="s">
        <v>573</v>
      </c>
      <c r="AM279" s="265">
        <f t="shared" si="80"/>
        <v>0</v>
      </c>
      <c r="AN279" s="266" t="s">
        <v>573</v>
      </c>
      <c r="AO279" s="265">
        <f t="shared" si="78"/>
        <v>0</v>
      </c>
      <c r="AP279" s="266">
        <v>1080</v>
      </c>
      <c r="AQ279" s="265">
        <f t="shared" si="81"/>
        <v>10.8</v>
      </c>
      <c r="AR279" s="266">
        <v>0</v>
      </c>
      <c r="AS279" s="262">
        <f t="shared" si="82"/>
        <v>0</v>
      </c>
      <c r="AT279" s="266">
        <v>0</v>
      </c>
      <c r="AU279" s="260">
        <f t="shared" si="83"/>
        <v>0</v>
      </c>
      <c r="AV279" s="259">
        <v>0</v>
      </c>
      <c r="AW279" s="260">
        <f t="shared" si="84"/>
        <v>0</v>
      </c>
      <c r="AX279" s="261" t="s">
        <v>573</v>
      </c>
      <c r="AY279" s="260">
        <f t="shared" si="85"/>
        <v>0</v>
      </c>
      <c r="AZ279" s="259" t="s">
        <v>573</v>
      </c>
      <c r="BA279" s="260">
        <f t="shared" si="86"/>
        <v>0</v>
      </c>
      <c r="BB279" s="259" t="s">
        <v>573</v>
      </c>
      <c r="BC279" s="260">
        <f t="shared" si="87"/>
        <v>0</v>
      </c>
      <c r="BD279" s="259">
        <v>1080</v>
      </c>
      <c r="BE279" s="260">
        <f t="shared" si="88"/>
        <v>10.8</v>
      </c>
      <c r="BF279" s="259" t="s">
        <v>573</v>
      </c>
      <c r="BG279" s="260">
        <f t="shared" si="89"/>
        <v>0</v>
      </c>
      <c r="BH279" s="259" t="s">
        <v>573</v>
      </c>
      <c r="BI279" s="260">
        <f t="shared" si="79"/>
        <v>0</v>
      </c>
      <c r="BJ279" s="58"/>
      <c r="BK279" s="220"/>
      <c r="BL279" s="213" t="s">
        <v>1329</v>
      </c>
      <c r="BM279" s="58" t="s">
        <v>1479</v>
      </c>
    </row>
    <row r="280" spans="1:65" ht="15.75" customHeight="1">
      <c r="A280" s="213" t="s">
        <v>1437</v>
      </c>
      <c r="B280" s="58" t="s">
        <v>1293</v>
      </c>
      <c r="C280" s="58" t="s">
        <v>752</v>
      </c>
      <c r="D280" s="214" t="s">
        <v>1477</v>
      </c>
      <c r="E280" s="214" t="s">
        <v>1478</v>
      </c>
      <c r="F280" s="215" t="s">
        <v>186</v>
      </c>
      <c r="G280" s="216">
        <v>2023</v>
      </c>
      <c r="H280" s="218" t="s">
        <v>825</v>
      </c>
      <c r="I280" s="217" t="s">
        <v>781</v>
      </c>
      <c r="J280" s="217" t="s">
        <v>890</v>
      </c>
      <c r="K280" s="213" t="s">
        <v>753</v>
      </c>
      <c r="L280" s="213" t="s">
        <v>192</v>
      </c>
      <c r="M280" s="219" t="s">
        <v>1393</v>
      </c>
      <c r="N280" s="265">
        <v>31.36</v>
      </c>
      <c r="O280" s="265">
        <v>31.36</v>
      </c>
      <c r="P280" s="265">
        <v>31.36</v>
      </c>
      <c r="Q280" s="265">
        <v>31.36</v>
      </c>
      <c r="R280" s="265">
        <v>31.36</v>
      </c>
      <c r="S280" s="265">
        <v>31.36</v>
      </c>
      <c r="T280" s="265">
        <v>31.36</v>
      </c>
      <c r="U280" s="265">
        <v>31.36</v>
      </c>
      <c r="V280" s="265">
        <v>31.36</v>
      </c>
      <c r="W280" s="265">
        <v>31.36</v>
      </c>
      <c r="X280" s="265">
        <v>31.36</v>
      </c>
      <c r="Y280" s="265">
        <v>31.36</v>
      </c>
      <c r="Z280" s="265">
        <v>0.01</v>
      </c>
      <c r="AA280" s="265">
        <v>0.01</v>
      </c>
      <c r="AB280" s="265">
        <v>0.01</v>
      </c>
      <c r="AC280" s="265">
        <v>0.01</v>
      </c>
      <c r="AD280" s="265">
        <v>0.01</v>
      </c>
      <c r="AE280" s="265">
        <v>0.01</v>
      </c>
      <c r="AF280" s="265">
        <v>0.01</v>
      </c>
      <c r="AG280" s="265">
        <v>0.01</v>
      </c>
      <c r="AH280" s="265">
        <v>0.01</v>
      </c>
      <c r="AI280" s="265">
        <v>0.01</v>
      </c>
      <c r="AJ280" s="265">
        <v>0.01</v>
      </c>
      <c r="AK280" s="265">
        <v>0.01</v>
      </c>
      <c r="AL280" s="266" t="s">
        <v>573</v>
      </c>
      <c r="AM280" s="265">
        <f t="shared" si="80"/>
        <v>0</v>
      </c>
      <c r="AN280" s="266" t="s">
        <v>573</v>
      </c>
      <c r="AO280" s="265">
        <f t="shared" si="78"/>
        <v>0</v>
      </c>
      <c r="AP280" s="266">
        <v>0</v>
      </c>
      <c r="AQ280" s="265">
        <f t="shared" si="81"/>
        <v>0</v>
      </c>
      <c r="AR280" s="266">
        <v>0</v>
      </c>
      <c r="AS280" s="262">
        <f t="shared" si="82"/>
        <v>0</v>
      </c>
      <c r="AT280" s="266">
        <v>0</v>
      </c>
      <c r="AU280" s="260">
        <f t="shared" si="83"/>
        <v>0</v>
      </c>
      <c r="AV280" s="259">
        <v>0</v>
      </c>
      <c r="AW280" s="260">
        <f t="shared" si="84"/>
        <v>0</v>
      </c>
      <c r="AX280" s="261">
        <v>360</v>
      </c>
      <c r="AY280" s="260">
        <f t="shared" si="85"/>
        <v>3.6</v>
      </c>
      <c r="AZ280" s="259" t="s">
        <v>573</v>
      </c>
      <c r="BA280" s="260">
        <f t="shared" si="86"/>
        <v>0</v>
      </c>
      <c r="BB280" s="259" t="s">
        <v>573</v>
      </c>
      <c r="BC280" s="260">
        <f t="shared" si="87"/>
        <v>0</v>
      </c>
      <c r="BD280" s="259" t="s">
        <v>573</v>
      </c>
      <c r="BE280" s="260">
        <f t="shared" si="88"/>
        <v>0</v>
      </c>
      <c r="BF280" s="259" t="s">
        <v>573</v>
      </c>
      <c r="BG280" s="260">
        <f t="shared" si="89"/>
        <v>0</v>
      </c>
      <c r="BH280" s="259" t="s">
        <v>573</v>
      </c>
      <c r="BI280" s="260">
        <f t="shared" si="79"/>
        <v>0</v>
      </c>
      <c r="BJ280" s="58"/>
      <c r="BK280" s="220"/>
      <c r="BL280" s="213" t="s">
        <v>1329</v>
      </c>
      <c r="BM280" s="58" t="s">
        <v>1479</v>
      </c>
    </row>
    <row r="281" spans="1:65" ht="15.75" customHeight="1">
      <c r="A281" s="213" t="s">
        <v>1437</v>
      </c>
      <c r="B281" s="58" t="s">
        <v>1293</v>
      </c>
      <c r="C281" s="58" t="s">
        <v>752</v>
      </c>
      <c r="D281" s="214" t="s">
        <v>1477</v>
      </c>
      <c r="E281" s="214" t="s">
        <v>1478</v>
      </c>
      <c r="F281" s="215" t="s">
        <v>186</v>
      </c>
      <c r="G281" s="216">
        <v>2023</v>
      </c>
      <c r="H281" s="218" t="s">
        <v>825</v>
      </c>
      <c r="I281" s="217" t="s">
        <v>781</v>
      </c>
      <c r="J281" s="217" t="s">
        <v>890</v>
      </c>
      <c r="K281" s="213" t="s">
        <v>753</v>
      </c>
      <c r="L281" s="213" t="s">
        <v>192</v>
      </c>
      <c r="M281" s="219" t="s">
        <v>1408</v>
      </c>
      <c r="N281" s="265">
        <v>31.36</v>
      </c>
      <c r="O281" s="265">
        <v>31.36</v>
      </c>
      <c r="P281" s="265">
        <v>31.36</v>
      </c>
      <c r="Q281" s="265">
        <v>31.36</v>
      </c>
      <c r="R281" s="265">
        <v>32.909999999999997</v>
      </c>
      <c r="S281" s="265">
        <v>32.909999999999997</v>
      </c>
      <c r="T281" s="265">
        <v>32.909999999999997</v>
      </c>
      <c r="U281" s="265">
        <v>32.909999999999997</v>
      </c>
      <c r="V281" s="265">
        <v>32.909999999999997</v>
      </c>
      <c r="W281" s="265">
        <v>32.909999999999997</v>
      </c>
      <c r="X281" s="265">
        <v>32.909999999999997</v>
      </c>
      <c r="Y281" s="265">
        <v>32.909999999999997</v>
      </c>
      <c r="Z281" s="265">
        <v>0.01</v>
      </c>
      <c r="AA281" s="265">
        <v>0.01</v>
      </c>
      <c r="AB281" s="265">
        <v>0.01</v>
      </c>
      <c r="AC281" s="265">
        <v>0.01</v>
      </c>
      <c r="AD281" s="265">
        <v>1.56</v>
      </c>
      <c r="AE281" s="265">
        <v>1.56</v>
      </c>
      <c r="AF281" s="265">
        <v>1.56</v>
      </c>
      <c r="AG281" s="265">
        <v>1.56</v>
      </c>
      <c r="AH281" s="265">
        <v>1.56</v>
      </c>
      <c r="AI281" s="265">
        <v>1.56</v>
      </c>
      <c r="AJ281" s="265">
        <v>1.56</v>
      </c>
      <c r="AK281" s="265">
        <v>1.56</v>
      </c>
      <c r="AL281" s="266">
        <v>1080</v>
      </c>
      <c r="AM281" s="265">
        <f t="shared" si="80"/>
        <v>10.8</v>
      </c>
      <c r="AN281" s="266" t="s">
        <v>573</v>
      </c>
      <c r="AO281" s="265">
        <f t="shared" si="78"/>
        <v>0</v>
      </c>
      <c r="AP281" s="266">
        <v>0</v>
      </c>
      <c r="AQ281" s="265">
        <f t="shared" si="81"/>
        <v>0</v>
      </c>
      <c r="AR281" s="266">
        <v>0</v>
      </c>
      <c r="AS281" s="262">
        <f t="shared" si="82"/>
        <v>0</v>
      </c>
      <c r="AT281" s="266">
        <v>0</v>
      </c>
      <c r="AU281" s="260">
        <f t="shared" si="83"/>
        <v>0</v>
      </c>
      <c r="AV281" s="259">
        <v>0</v>
      </c>
      <c r="AW281" s="260">
        <f t="shared" si="84"/>
        <v>0</v>
      </c>
      <c r="AX281" s="261">
        <v>0</v>
      </c>
      <c r="AY281" s="260">
        <f t="shared" si="85"/>
        <v>0</v>
      </c>
      <c r="AZ281" s="259" t="s">
        <v>573</v>
      </c>
      <c r="BA281" s="260">
        <f t="shared" si="86"/>
        <v>0</v>
      </c>
      <c r="BB281" s="259" t="s">
        <v>573</v>
      </c>
      <c r="BC281" s="260">
        <f t="shared" si="87"/>
        <v>0</v>
      </c>
      <c r="BD281" s="259">
        <v>360</v>
      </c>
      <c r="BE281" s="260">
        <f t="shared" si="88"/>
        <v>561.6</v>
      </c>
      <c r="BF281" s="259" t="s">
        <v>573</v>
      </c>
      <c r="BG281" s="260">
        <f t="shared" si="89"/>
        <v>0</v>
      </c>
      <c r="BH281" s="259" t="s">
        <v>573</v>
      </c>
      <c r="BI281" s="260">
        <f t="shared" si="79"/>
        <v>0</v>
      </c>
      <c r="BJ281" s="58"/>
      <c r="BK281" s="220"/>
      <c r="BL281" s="213" t="s">
        <v>1329</v>
      </c>
      <c r="BM281" s="58" t="s">
        <v>1479</v>
      </c>
    </row>
    <row r="282" spans="1:65" ht="15.75" customHeight="1">
      <c r="A282" s="213" t="s">
        <v>1437</v>
      </c>
      <c r="B282" s="58" t="s">
        <v>1293</v>
      </c>
      <c r="C282" s="58" t="s">
        <v>752</v>
      </c>
      <c r="D282" s="214" t="s">
        <v>1477</v>
      </c>
      <c r="E282" s="214" t="s">
        <v>1478</v>
      </c>
      <c r="F282" s="215" t="s">
        <v>186</v>
      </c>
      <c r="G282" s="216">
        <v>2023</v>
      </c>
      <c r="H282" s="218" t="s">
        <v>825</v>
      </c>
      <c r="I282" s="217" t="s">
        <v>781</v>
      </c>
      <c r="J282" s="217" t="s">
        <v>890</v>
      </c>
      <c r="K282" s="213" t="s">
        <v>753</v>
      </c>
      <c r="L282" s="213" t="s">
        <v>192</v>
      </c>
      <c r="M282" s="219" t="s">
        <v>1408</v>
      </c>
      <c r="N282" s="265">
        <v>31.36</v>
      </c>
      <c r="O282" s="265">
        <v>31.36</v>
      </c>
      <c r="P282" s="265">
        <v>31.36</v>
      </c>
      <c r="Q282" s="265">
        <v>31.36</v>
      </c>
      <c r="R282" s="265">
        <v>32.909999999999997</v>
      </c>
      <c r="S282" s="265">
        <v>32.909999999999997</v>
      </c>
      <c r="T282" s="265">
        <v>32.909999999999997</v>
      </c>
      <c r="U282" s="265">
        <v>32.909999999999997</v>
      </c>
      <c r="V282" s="265">
        <v>32.909999999999997</v>
      </c>
      <c r="W282" s="265">
        <v>32.909999999999997</v>
      </c>
      <c r="X282" s="265">
        <v>32.909999999999997</v>
      </c>
      <c r="Y282" s="265">
        <v>32.909999999999997</v>
      </c>
      <c r="Z282" s="265">
        <v>0.01</v>
      </c>
      <c r="AA282" s="265">
        <v>0.01</v>
      </c>
      <c r="AB282" s="265">
        <v>0.01</v>
      </c>
      <c r="AC282" s="265">
        <v>0.01</v>
      </c>
      <c r="AD282" s="265">
        <v>1.56</v>
      </c>
      <c r="AE282" s="265">
        <v>1.56</v>
      </c>
      <c r="AF282" s="265">
        <v>1.56</v>
      </c>
      <c r="AG282" s="265">
        <v>1.56</v>
      </c>
      <c r="AH282" s="265">
        <v>1.56</v>
      </c>
      <c r="AI282" s="265">
        <v>1.56</v>
      </c>
      <c r="AJ282" s="265">
        <v>1.56</v>
      </c>
      <c r="AK282" s="265">
        <v>1.56</v>
      </c>
      <c r="AL282" s="266">
        <v>0</v>
      </c>
      <c r="AM282" s="265">
        <f t="shared" si="80"/>
        <v>0</v>
      </c>
      <c r="AN282" s="266">
        <v>360</v>
      </c>
      <c r="AO282" s="265">
        <f t="shared" si="78"/>
        <v>3.6</v>
      </c>
      <c r="AP282" s="266">
        <v>0</v>
      </c>
      <c r="AQ282" s="265">
        <f t="shared" si="81"/>
        <v>0</v>
      </c>
      <c r="AR282" s="266">
        <v>0</v>
      </c>
      <c r="AS282" s="262">
        <f t="shared" si="82"/>
        <v>0</v>
      </c>
      <c r="AT282" s="266">
        <v>0</v>
      </c>
      <c r="AU282" s="260">
        <f t="shared" si="83"/>
        <v>0</v>
      </c>
      <c r="AV282" s="259">
        <v>0</v>
      </c>
      <c r="AW282" s="260">
        <f t="shared" si="84"/>
        <v>0</v>
      </c>
      <c r="AX282" s="261">
        <v>0</v>
      </c>
      <c r="AY282" s="260">
        <f t="shared" si="85"/>
        <v>0</v>
      </c>
      <c r="AZ282" s="259" t="s">
        <v>573</v>
      </c>
      <c r="BA282" s="260">
        <f t="shared" si="86"/>
        <v>0</v>
      </c>
      <c r="BB282" s="259" t="s">
        <v>573</v>
      </c>
      <c r="BC282" s="260">
        <f t="shared" si="87"/>
        <v>0</v>
      </c>
      <c r="BD282" s="259">
        <v>0</v>
      </c>
      <c r="BE282" s="260">
        <f t="shared" si="88"/>
        <v>0</v>
      </c>
      <c r="BF282" s="259" t="s">
        <v>573</v>
      </c>
      <c r="BG282" s="260">
        <f t="shared" si="89"/>
        <v>0</v>
      </c>
      <c r="BH282" s="259" t="s">
        <v>573</v>
      </c>
      <c r="BI282" s="260">
        <f t="shared" si="79"/>
        <v>0</v>
      </c>
      <c r="BJ282" s="58"/>
      <c r="BK282" s="220"/>
      <c r="BL282" s="213" t="s">
        <v>1329</v>
      </c>
      <c r="BM282" s="58" t="s">
        <v>1479</v>
      </c>
    </row>
    <row r="283" spans="1:65" ht="15.75" customHeight="1">
      <c r="A283" s="213" t="s">
        <v>1437</v>
      </c>
      <c r="B283" s="58" t="s">
        <v>1293</v>
      </c>
      <c r="C283" s="58" t="s">
        <v>752</v>
      </c>
      <c r="D283" s="214" t="s">
        <v>1477</v>
      </c>
      <c r="E283" s="214" t="s">
        <v>1478</v>
      </c>
      <c r="F283" s="215" t="s">
        <v>186</v>
      </c>
      <c r="G283" s="216">
        <v>2023</v>
      </c>
      <c r="H283" s="218" t="s">
        <v>825</v>
      </c>
      <c r="I283" s="217" t="s">
        <v>781</v>
      </c>
      <c r="J283" s="217" t="s">
        <v>890</v>
      </c>
      <c r="K283" s="213" t="s">
        <v>753</v>
      </c>
      <c r="L283" s="213" t="s">
        <v>192</v>
      </c>
      <c r="M283" s="219" t="s">
        <v>1408</v>
      </c>
      <c r="N283" s="265">
        <v>31.36</v>
      </c>
      <c r="O283" s="265">
        <v>31.36</v>
      </c>
      <c r="P283" s="265">
        <v>31.36</v>
      </c>
      <c r="Q283" s="265">
        <v>31.36</v>
      </c>
      <c r="R283" s="265">
        <v>32.909999999999997</v>
      </c>
      <c r="S283" s="265">
        <v>32.909999999999997</v>
      </c>
      <c r="T283" s="265">
        <v>32.909999999999997</v>
      </c>
      <c r="U283" s="265">
        <v>32.909999999999997</v>
      </c>
      <c r="V283" s="265">
        <v>32.909999999999997</v>
      </c>
      <c r="W283" s="265">
        <v>32.909999999999997</v>
      </c>
      <c r="X283" s="265">
        <v>32.909999999999997</v>
      </c>
      <c r="Y283" s="265">
        <v>32.909999999999997</v>
      </c>
      <c r="Z283" s="265">
        <v>0.01</v>
      </c>
      <c r="AA283" s="265">
        <v>0.01</v>
      </c>
      <c r="AB283" s="265">
        <v>0.01</v>
      </c>
      <c r="AC283" s="265">
        <v>0.01</v>
      </c>
      <c r="AD283" s="265">
        <v>1.56</v>
      </c>
      <c r="AE283" s="265">
        <v>1.56</v>
      </c>
      <c r="AF283" s="265">
        <v>1.56</v>
      </c>
      <c r="AG283" s="265">
        <v>1.56</v>
      </c>
      <c r="AH283" s="265">
        <v>1.56</v>
      </c>
      <c r="AI283" s="265">
        <v>1.56</v>
      </c>
      <c r="AJ283" s="265">
        <v>1.56</v>
      </c>
      <c r="AK283" s="265">
        <v>1.56</v>
      </c>
      <c r="AL283" s="266" t="s">
        <v>573</v>
      </c>
      <c r="AM283" s="265">
        <f t="shared" si="80"/>
        <v>0</v>
      </c>
      <c r="AN283" s="266" t="s">
        <v>573</v>
      </c>
      <c r="AO283" s="265">
        <f t="shared" si="78"/>
        <v>0</v>
      </c>
      <c r="AP283" s="266">
        <v>0</v>
      </c>
      <c r="AQ283" s="265">
        <f t="shared" si="81"/>
        <v>0</v>
      </c>
      <c r="AR283" s="266">
        <v>0</v>
      </c>
      <c r="AS283" s="262">
        <f t="shared" si="82"/>
        <v>0</v>
      </c>
      <c r="AT283" s="266">
        <v>0</v>
      </c>
      <c r="AU283" s="260">
        <f t="shared" si="83"/>
        <v>0</v>
      </c>
      <c r="AV283" s="259">
        <v>0</v>
      </c>
      <c r="AW283" s="260">
        <f t="shared" si="84"/>
        <v>0</v>
      </c>
      <c r="AX283" s="261">
        <v>0</v>
      </c>
      <c r="AY283" s="260">
        <f t="shared" si="85"/>
        <v>0</v>
      </c>
      <c r="AZ283" s="259" t="s">
        <v>573</v>
      </c>
      <c r="BA283" s="260">
        <f t="shared" si="86"/>
        <v>0</v>
      </c>
      <c r="BB283" s="259" t="s">
        <v>573</v>
      </c>
      <c r="BC283" s="260">
        <f t="shared" si="87"/>
        <v>0</v>
      </c>
      <c r="BD283" s="259">
        <v>360</v>
      </c>
      <c r="BE283" s="260">
        <f t="shared" si="88"/>
        <v>561.6</v>
      </c>
      <c r="BF283" s="259" t="s">
        <v>573</v>
      </c>
      <c r="BG283" s="260">
        <f t="shared" si="89"/>
        <v>0</v>
      </c>
      <c r="BH283" s="259" t="s">
        <v>573</v>
      </c>
      <c r="BI283" s="260">
        <f t="shared" si="79"/>
        <v>0</v>
      </c>
      <c r="BJ283" s="58"/>
      <c r="BK283" s="220"/>
      <c r="BL283" s="213" t="s">
        <v>1329</v>
      </c>
      <c r="BM283" s="58" t="s">
        <v>1479</v>
      </c>
    </row>
    <row r="284" spans="1:65" ht="15.75" customHeight="1">
      <c r="A284" s="213" t="s">
        <v>1437</v>
      </c>
      <c r="B284" s="58" t="s">
        <v>1293</v>
      </c>
      <c r="C284" s="58" t="s">
        <v>752</v>
      </c>
      <c r="D284" s="214" t="s">
        <v>1477</v>
      </c>
      <c r="E284" s="214" t="s">
        <v>1478</v>
      </c>
      <c r="F284" s="215" t="s">
        <v>186</v>
      </c>
      <c r="G284" s="216">
        <v>2023</v>
      </c>
      <c r="H284" s="218" t="s">
        <v>825</v>
      </c>
      <c r="I284" s="217" t="s">
        <v>781</v>
      </c>
      <c r="J284" s="217" t="s">
        <v>890</v>
      </c>
      <c r="K284" s="213" t="s">
        <v>753</v>
      </c>
      <c r="L284" s="213" t="s">
        <v>192</v>
      </c>
      <c r="M284" s="219" t="s">
        <v>1408</v>
      </c>
      <c r="N284" s="265">
        <v>31.36</v>
      </c>
      <c r="O284" s="265">
        <v>31.36</v>
      </c>
      <c r="P284" s="265">
        <v>31.36</v>
      </c>
      <c r="Q284" s="265">
        <v>31.36</v>
      </c>
      <c r="R284" s="265">
        <v>32.909999999999997</v>
      </c>
      <c r="S284" s="265">
        <v>32.909999999999997</v>
      </c>
      <c r="T284" s="265">
        <v>32.909999999999997</v>
      </c>
      <c r="U284" s="265">
        <v>32.909999999999997</v>
      </c>
      <c r="V284" s="265">
        <v>32.909999999999997</v>
      </c>
      <c r="W284" s="265">
        <v>32.909999999999997</v>
      </c>
      <c r="X284" s="265">
        <v>32.909999999999997</v>
      </c>
      <c r="Y284" s="265">
        <v>32.909999999999997</v>
      </c>
      <c r="Z284" s="265">
        <v>0.01</v>
      </c>
      <c r="AA284" s="265">
        <v>0.01</v>
      </c>
      <c r="AB284" s="265">
        <v>0.01</v>
      </c>
      <c r="AC284" s="265">
        <v>0.01</v>
      </c>
      <c r="AD284" s="265">
        <v>1.56</v>
      </c>
      <c r="AE284" s="265">
        <v>1.56</v>
      </c>
      <c r="AF284" s="265">
        <v>1.56</v>
      </c>
      <c r="AG284" s="265">
        <v>1.56</v>
      </c>
      <c r="AH284" s="265">
        <v>1.56</v>
      </c>
      <c r="AI284" s="265">
        <v>1.56</v>
      </c>
      <c r="AJ284" s="265">
        <v>1.56</v>
      </c>
      <c r="AK284" s="265">
        <v>1.56</v>
      </c>
      <c r="AL284" s="266" t="s">
        <v>573</v>
      </c>
      <c r="AM284" s="265">
        <f t="shared" si="80"/>
        <v>0</v>
      </c>
      <c r="AN284" s="266" t="s">
        <v>573</v>
      </c>
      <c r="AO284" s="265">
        <f t="shared" si="78"/>
        <v>0</v>
      </c>
      <c r="AP284" s="266">
        <v>0</v>
      </c>
      <c r="AQ284" s="265">
        <f t="shared" si="81"/>
        <v>0</v>
      </c>
      <c r="AR284" s="266">
        <v>0</v>
      </c>
      <c r="AS284" s="262">
        <f t="shared" si="82"/>
        <v>0</v>
      </c>
      <c r="AT284" s="266">
        <v>0</v>
      </c>
      <c r="AU284" s="260">
        <f t="shared" si="83"/>
        <v>0</v>
      </c>
      <c r="AV284" s="259">
        <v>0</v>
      </c>
      <c r="AW284" s="260">
        <f t="shared" si="84"/>
        <v>0</v>
      </c>
      <c r="AX284" s="261">
        <v>0</v>
      </c>
      <c r="AY284" s="260">
        <f t="shared" si="85"/>
        <v>0</v>
      </c>
      <c r="AZ284" s="259" t="s">
        <v>573</v>
      </c>
      <c r="BA284" s="260">
        <f t="shared" si="86"/>
        <v>0</v>
      </c>
      <c r="BB284" s="259" t="s">
        <v>573</v>
      </c>
      <c r="BC284" s="260">
        <f t="shared" si="87"/>
        <v>0</v>
      </c>
      <c r="BD284" s="259">
        <v>360</v>
      </c>
      <c r="BE284" s="260">
        <f t="shared" si="88"/>
        <v>561.6</v>
      </c>
      <c r="BF284" s="259" t="s">
        <v>573</v>
      </c>
      <c r="BG284" s="260">
        <f t="shared" si="89"/>
        <v>0</v>
      </c>
      <c r="BH284" s="259" t="s">
        <v>573</v>
      </c>
      <c r="BI284" s="260">
        <f t="shared" si="79"/>
        <v>0</v>
      </c>
      <c r="BJ284" s="58"/>
      <c r="BK284" s="220"/>
      <c r="BL284" s="213" t="s">
        <v>1329</v>
      </c>
      <c r="BM284" s="58" t="s">
        <v>1479</v>
      </c>
    </row>
    <row r="285" spans="1:65" ht="15.75" customHeight="1">
      <c r="A285" s="213" t="s">
        <v>1437</v>
      </c>
      <c r="B285" s="58" t="s">
        <v>1293</v>
      </c>
      <c r="C285" s="58" t="s">
        <v>752</v>
      </c>
      <c r="D285" s="214" t="s">
        <v>1477</v>
      </c>
      <c r="E285" s="214" t="s">
        <v>1478</v>
      </c>
      <c r="F285" s="215" t="s">
        <v>186</v>
      </c>
      <c r="G285" s="216">
        <v>2023</v>
      </c>
      <c r="H285" s="218" t="s">
        <v>825</v>
      </c>
      <c r="I285" s="217" t="s">
        <v>781</v>
      </c>
      <c r="J285" s="217" t="s">
        <v>890</v>
      </c>
      <c r="K285" s="213" t="s">
        <v>753</v>
      </c>
      <c r="L285" s="213" t="s">
        <v>192</v>
      </c>
      <c r="M285" s="219" t="s">
        <v>1393</v>
      </c>
      <c r="N285" s="265">
        <v>31.36</v>
      </c>
      <c r="O285" s="265">
        <v>31.36</v>
      </c>
      <c r="P285" s="265">
        <v>31.36</v>
      </c>
      <c r="Q285" s="265">
        <v>31.36</v>
      </c>
      <c r="R285" s="265">
        <v>31.36</v>
      </c>
      <c r="S285" s="265">
        <v>31.36</v>
      </c>
      <c r="T285" s="265">
        <v>31.36</v>
      </c>
      <c r="U285" s="265">
        <v>31.36</v>
      </c>
      <c r="V285" s="265">
        <v>31.36</v>
      </c>
      <c r="W285" s="265">
        <v>31.36</v>
      </c>
      <c r="X285" s="265">
        <v>31.36</v>
      </c>
      <c r="Y285" s="265">
        <v>31.36</v>
      </c>
      <c r="Z285" s="265">
        <v>0.01</v>
      </c>
      <c r="AA285" s="265">
        <v>0.01</v>
      </c>
      <c r="AB285" s="265">
        <v>0.01</v>
      </c>
      <c r="AC285" s="265">
        <v>0.01</v>
      </c>
      <c r="AD285" s="265">
        <v>0.01</v>
      </c>
      <c r="AE285" s="265">
        <v>0.01</v>
      </c>
      <c r="AF285" s="265">
        <v>0.01</v>
      </c>
      <c r="AG285" s="265">
        <v>0.01</v>
      </c>
      <c r="AH285" s="265">
        <v>0.01</v>
      </c>
      <c r="AI285" s="265">
        <v>0.01</v>
      </c>
      <c r="AJ285" s="265">
        <v>0.01</v>
      </c>
      <c r="AK285" s="265">
        <v>0.01</v>
      </c>
      <c r="AL285" s="266" t="s">
        <v>573</v>
      </c>
      <c r="AM285" s="265">
        <f t="shared" si="80"/>
        <v>0</v>
      </c>
      <c r="AN285" s="266">
        <v>7560</v>
      </c>
      <c r="AO285" s="265">
        <f t="shared" si="78"/>
        <v>75.600000000000009</v>
      </c>
      <c r="AP285" s="266">
        <v>7560</v>
      </c>
      <c r="AQ285" s="265">
        <f t="shared" si="81"/>
        <v>75.600000000000009</v>
      </c>
      <c r="AR285" s="266">
        <v>5400</v>
      </c>
      <c r="AS285" s="262">
        <f t="shared" si="82"/>
        <v>54</v>
      </c>
      <c r="AT285" s="266">
        <v>3240</v>
      </c>
      <c r="AU285" s="260">
        <f t="shared" si="83"/>
        <v>32.4</v>
      </c>
      <c r="AV285" s="259">
        <v>3240</v>
      </c>
      <c r="AW285" s="260">
        <f t="shared" si="84"/>
        <v>32.4</v>
      </c>
      <c r="AX285" s="261">
        <v>1080</v>
      </c>
      <c r="AY285" s="260">
        <f t="shared" si="85"/>
        <v>10.8</v>
      </c>
      <c r="AZ285" s="259" t="s">
        <v>573</v>
      </c>
      <c r="BA285" s="260">
        <f t="shared" si="86"/>
        <v>0</v>
      </c>
      <c r="BB285" s="259" t="s">
        <v>573</v>
      </c>
      <c r="BC285" s="260">
        <f t="shared" si="87"/>
        <v>0</v>
      </c>
      <c r="BD285" s="259" t="s">
        <v>573</v>
      </c>
      <c r="BE285" s="260">
        <f t="shared" si="88"/>
        <v>0</v>
      </c>
      <c r="BF285" s="259" t="s">
        <v>573</v>
      </c>
      <c r="BG285" s="260">
        <f t="shared" si="89"/>
        <v>0</v>
      </c>
      <c r="BH285" s="259" t="s">
        <v>573</v>
      </c>
      <c r="BI285" s="260">
        <f t="shared" si="79"/>
        <v>0</v>
      </c>
      <c r="BJ285" s="58"/>
      <c r="BK285" s="220"/>
      <c r="BL285" s="213" t="s">
        <v>1329</v>
      </c>
      <c r="BM285" s="58" t="s">
        <v>1479</v>
      </c>
    </row>
    <row r="286" spans="1:65" ht="15.75" customHeight="1">
      <c r="A286" s="213" t="s">
        <v>1437</v>
      </c>
      <c r="B286" s="58" t="s">
        <v>1293</v>
      </c>
      <c r="C286" s="58" t="s">
        <v>752</v>
      </c>
      <c r="D286" s="214" t="s">
        <v>1477</v>
      </c>
      <c r="E286" s="214" t="s">
        <v>1478</v>
      </c>
      <c r="F286" s="215" t="s">
        <v>186</v>
      </c>
      <c r="G286" s="216">
        <v>2023</v>
      </c>
      <c r="H286" s="218" t="s">
        <v>825</v>
      </c>
      <c r="I286" s="217" t="s">
        <v>781</v>
      </c>
      <c r="J286" s="217" t="s">
        <v>890</v>
      </c>
      <c r="K286" s="213" t="s">
        <v>753</v>
      </c>
      <c r="L286" s="213" t="s">
        <v>192</v>
      </c>
      <c r="M286" s="219" t="s">
        <v>1393</v>
      </c>
      <c r="N286" s="265">
        <v>31.36</v>
      </c>
      <c r="O286" s="265">
        <v>31.36</v>
      </c>
      <c r="P286" s="265">
        <v>31.36</v>
      </c>
      <c r="Q286" s="265">
        <v>31.36</v>
      </c>
      <c r="R286" s="265">
        <v>31.36</v>
      </c>
      <c r="S286" s="265">
        <v>31.36</v>
      </c>
      <c r="T286" s="265">
        <v>31.36</v>
      </c>
      <c r="U286" s="265">
        <v>31.36</v>
      </c>
      <c r="V286" s="265">
        <v>31.36</v>
      </c>
      <c r="W286" s="265">
        <v>31.36</v>
      </c>
      <c r="X286" s="265">
        <v>31.36</v>
      </c>
      <c r="Y286" s="265">
        <v>31.36</v>
      </c>
      <c r="Z286" s="265">
        <v>0.01</v>
      </c>
      <c r="AA286" s="265">
        <v>0.01</v>
      </c>
      <c r="AB286" s="265">
        <v>0.01</v>
      </c>
      <c r="AC286" s="265">
        <v>0.01</v>
      </c>
      <c r="AD286" s="265">
        <v>0.01</v>
      </c>
      <c r="AE286" s="265">
        <v>0.01</v>
      </c>
      <c r="AF286" s="265">
        <v>0.01</v>
      </c>
      <c r="AG286" s="265">
        <v>0.01</v>
      </c>
      <c r="AH286" s="265">
        <v>0.01</v>
      </c>
      <c r="AI286" s="265">
        <v>0.01</v>
      </c>
      <c r="AJ286" s="265">
        <v>0.01</v>
      </c>
      <c r="AK286" s="265">
        <v>0.01</v>
      </c>
      <c r="AL286" s="266" t="s">
        <v>573</v>
      </c>
      <c r="AM286" s="265">
        <f t="shared" si="80"/>
        <v>0</v>
      </c>
      <c r="AN286" s="266">
        <v>1080</v>
      </c>
      <c r="AO286" s="265">
        <f t="shared" si="78"/>
        <v>10.8</v>
      </c>
      <c r="AP286" s="266">
        <v>0</v>
      </c>
      <c r="AQ286" s="265">
        <f t="shared" si="81"/>
        <v>0</v>
      </c>
      <c r="AR286" s="266">
        <v>0</v>
      </c>
      <c r="AS286" s="262">
        <f t="shared" si="82"/>
        <v>0</v>
      </c>
      <c r="AT286" s="266">
        <v>0</v>
      </c>
      <c r="AU286" s="260">
        <f t="shared" si="83"/>
        <v>0</v>
      </c>
      <c r="AV286" s="259">
        <v>0</v>
      </c>
      <c r="AW286" s="260">
        <f t="shared" si="84"/>
        <v>0</v>
      </c>
      <c r="AX286" s="261">
        <v>360</v>
      </c>
      <c r="AY286" s="260">
        <f t="shared" si="85"/>
        <v>3.6</v>
      </c>
      <c r="AZ286" s="259" t="s">
        <v>573</v>
      </c>
      <c r="BA286" s="260">
        <f t="shared" si="86"/>
        <v>0</v>
      </c>
      <c r="BB286" s="259" t="s">
        <v>573</v>
      </c>
      <c r="BC286" s="260">
        <f t="shared" si="87"/>
        <v>0</v>
      </c>
      <c r="BD286" s="259" t="s">
        <v>573</v>
      </c>
      <c r="BE286" s="260">
        <f t="shared" si="88"/>
        <v>0</v>
      </c>
      <c r="BF286" s="259" t="s">
        <v>573</v>
      </c>
      <c r="BG286" s="260">
        <f t="shared" si="89"/>
        <v>0</v>
      </c>
      <c r="BH286" s="259" t="s">
        <v>573</v>
      </c>
      <c r="BI286" s="260">
        <f t="shared" si="79"/>
        <v>0</v>
      </c>
      <c r="BJ286" s="58"/>
      <c r="BK286" s="220"/>
      <c r="BL286" s="213" t="s">
        <v>1329</v>
      </c>
      <c r="BM286" s="58" t="s">
        <v>1479</v>
      </c>
    </row>
    <row r="287" spans="1:65" ht="15.75" customHeight="1">
      <c r="A287" s="213" t="s">
        <v>1437</v>
      </c>
      <c r="B287" s="58" t="s">
        <v>1293</v>
      </c>
      <c r="C287" s="58" t="s">
        <v>752</v>
      </c>
      <c r="D287" s="214" t="s">
        <v>1477</v>
      </c>
      <c r="E287" s="214" t="s">
        <v>1478</v>
      </c>
      <c r="F287" s="215" t="s">
        <v>186</v>
      </c>
      <c r="G287" s="216">
        <v>2023</v>
      </c>
      <c r="H287" s="218" t="s">
        <v>825</v>
      </c>
      <c r="I287" s="217" t="s">
        <v>781</v>
      </c>
      <c r="J287" s="217" t="s">
        <v>890</v>
      </c>
      <c r="K287" s="213" t="s">
        <v>753</v>
      </c>
      <c r="L287" s="213" t="s">
        <v>192</v>
      </c>
      <c r="M287" s="219" t="s">
        <v>1408</v>
      </c>
      <c r="N287" s="265">
        <v>31.36</v>
      </c>
      <c r="O287" s="265">
        <v>31.36</v>
      </c>
      <c r="P287" s="265">
        <v>31.36</v>
      </c>
      <c r="Q287" s="265">
        <v>31.36</v>
      </c>
      <c r="R287" s="265">
        <v>32.909999999999997</v>
      </c>
      <c r="S287" s="265">
        <v>32.909999999999997</v>
      </c>
      <c r="T287" s="265">
        <v>32.909999999999997</v>
      </c>
      <c r="U287" s="265">
        <v>32.909999999999997</v>
      </c>
      <c r="V287" s="265">
        <v>32.909999999999997</v>
      </c>
      <c r="W287" s="265">
        <v>32.909999999999997</v>
      </c>
      <c r="X287" s="265">
        <v>32.909999999999997</v>
      </c>
      <c r="Y287" s="265">
        <v>32.909999999999997</v>
      </c>
      <c r="Z287" s="265">
        <v>0.01</v>
      </c>
      <c r="AA287" s="265">
        <v>0.01</v>
      </c>
      <c r="AB287" s="265">
        <v>0.01</v>
      </c>
      <c r="AC287" s="265">
        <v>0.01</v>
      </c>
      <c r="AD287" s="265">
        <v>1.56</v>
      </c>
      <c r="AE287" s="265">
        <v>1.56</v>
      </c>
      <c r="AF287" s="265">
        <v>1.56</v>
      </c>
      <c r="AG287" s="265">
        <v>1.56</v>
      </c>
      <c r="AH287" s="265">
        <v>1.56</v>
      </c>
      <c r="AI287" s="265">
        <v>1.56</v>
      </c>
      <c r="AJ287" s="265">
        <v>1.56</v>
      </c>
      <c r="AK287" s="265">
        <v>1.56</v>
      </c>
      <c r="AL287" s="266" t="s">
        <v>573</v>
      </c>
      <c r="AM287" s="265">
        <f t="shared" si="80"/>
        <v>0</v>
      </c>
      <c r="AN287" s="266" t="s">
        <v>573</v>
      </c>
      <c r="AO287" s="265">
        <f t="shared" si="78"/>
        <v>0</v>
      </c>
      <c r="AP287" s="266">
        <v>0</v>
      </c>
      <c r="AQ287" s="265">
        <f t="shared" si="81"/>
        <v>0</v>
      </c>
      <c r="AR287" s="266">
        <v>0</v>
      </c>
      <c r="AS287" s="262">
        <f t="shared" si="82"/>
        <v>0</v>
      </c>
      <c r="AT287" s="266">
        <v>0</v>
      </c>
      <c r="AU287" s="260">
        <f t="shared" si="83"/>
        <v>0</v>
      </c>
      <c r="AV287" s="259">
        <v>0</v>
      </c>
      <c r="AW287" s="260">
        <f t="shared" si="84"/>
        <v>0</v>
      </c>
      <c r="AX287" s="261">
        <v>0</v>
      </c>
      <c r="AY287" s="260">
        <f t="shared" si="85"/>
        <v>0</v>
      </c>
      <c r="AZ287" s="259" t="s">
        <v>573</v>
      </c>
      <c r="BA287" s="260">
        <f t="shared" si="86"/>
        <v>0</v>
      </c>
      <c r="BB287" s="259">
        <v>10</v>
      </c>
      <c r="BC287" s="260">
        <f t="shared" si="87"/>
        <v>15.600000000000001</v>
      </c>
      <c r="BD287" s="259">
        <v>350</v>
      </c>
      <c r="BE287" s="260">
        <f t="shared" si="88"/>
        <v>546</v>
      </c>
      <c r="BF287" s="259" t="s">
        <v>573</v>
      </c>
      <c r="BG287" s="260">
        <f t="shared" si="89"/>
        <v>0</v>
      </c>
      <c r="BH287" s="259" t="s">
        <v>573</v>
      </c>
      <c r="BI287" s="260">
        <f t="shared" si="79"/>
        <v>0</v>
      </c>
      <c r="BJ287" s="58"/>
      <c r="BK287" s="220"/>
      <c r="BL287" s="213" t="s">
        <v>1329</v>
      </c>
      <c r="BM287" s="58" t="s">
        <v>1479</v>
      </c>
    </row>
    <row r="288" spans="1:65" ht="15.75" customHeight="1">
      <c r="A288" s="213" t="s">
        <v>1437</v>
      </c>
      <c r="B288" s="58" t="s">
        <v>1293</v>
      </c>
      <c r="C288" s="58" t="s">
        <v>752</v>
      </c>
      <c r="D288" s="214" t="s">
        <v>1477</v>
      </c>
      <c r="E288" s="214" t="s">
        <v>1478</v>
      </c>
      <c r="F288" s="215" t="s">
        <v>186</v>
      </c>
      <c r="G288" s="216">
        <v>2023</v>
      </c>
      <c r="H288" s="218" t="s">
        <v>825</v>
      </c>
      <c r="I288" s="217" t="s">
        <v>781</v>
      </c>
      <c r="J288" s="217" t="s">
        <v>890</v>
      </c>
      <c r="K288" s="213" t="s">
        <v>753</v>
      </c>
      <c r="L288" s="213" t="s">
        <v>192</v>
      </c>
      <c r="M288" s="219" t="s">
        <v>1393</v>
      </c>
      <c r="N288" s="265">
        <v>31.36</v>
      </c>
      <c r="O288" s="265">
        <v>31.36</v>
      </c>
      <c r="P288" s="265">
        <v>31.36</v>
      </c>
      <c r="Q288" s="265">
        <v>31.36</v>
      </c>
      <c r="R288" s="265">
        <v>31.36</v>
      </c>
      <c r="S288" s="265">
        <v>31.36</v>
      </c>
      <c r="T288" s="265">
        <v>31.36</v>
      </c>
      <c r="U288" s="265">
        <v>31.36</v>
      </c>
      <c r="V288" s="265">
        <v>31.36</v>
      </c>
      <c r="W288" s="265">
        <v>31.36</v>
      </c>
      <c r="X288" s="265">
        <v>31.36</v>
      </c>
      <c r="Y288" s="265">
        <v>31.36</v>
      </c>
      <c r="Z288" s="265">
        <v>0.01</v>
      </c>
      <c r="AA288" s="265">
        <v>0.01</v>
      </c>
      <c r="AB288" s="265">
        <v>0.01</v>
      </c>
      <c r="AC288" s="265">
        <v>0.01</v>
      </c>
      <c r="AD288" s="265">
        <v>0.01</v>
      </c>
      <c r="AE288" s="265">
        <v>0.01</v>
      </c>
      <c r="AF288" s="265">
        <v>0.01</v>
      </c>
      <c r="AG288" s="265">
        <v>0.01</v>
      </c>
      <c r="AH288" s="265">
        <v>0.01</v>
      </c>
      <c r="AI288" s="265">
        <v>0.01</v>
      </c>
      <c r="AJ288" s="265">
        <v>0.01</v>
      </c>
      <c r="AK288" s="265">
        <v>0.01</v>
      </c>
      <c r="AL288" s="266">
        <v>1080</v>
      </c>
      <c r="AM288" s="265">
        <f t="shared" si="80"/>
        <v>10.8</v>
      </c>
      <c r="AN288" s="266" t="s">
        <v>573</v>
      </c>
      <c r="AO288" s="265">
        <f t="shared" si="78"/>
        <v>0</v>
      </c>
      <c r="AP288" s="266">
        <v>0</v>
      </c>
      <c r="AQ288" s="265">
        <f t="shared" si="81"/>
        <v>0</v>
      </c>
      <c r="AR288" s="266">
        <v>0</v>
      </c>
      <c r="AS288" s="262">
        <f t="shared" si="82"/>
        <v>0</v>
      </c>
      <c r="AT288" s="266">
        <v>0</v>
      </c>
      <c r="AU288" s="260">
        <f t="shared" si="83"/>
        <v>0</v>
      </c>
      <c r="AV288" s="259">
        <v>0</v>
      </c>
      <c r="AW288" s="260">
        <f t="shared" si="84"/>
        <v>0</v>
      </c>
      <c r="AX288" s="261">
        <v>360</v>
      </c>
      <c r="AY288" s="260">
        <f t="shared" si="85"/>
        <v>3.6</v>
      </c>
      <c r="AZ288" s="259" t="s">
        <v>573</v>
      </c>
      <c r="BA288" s="260">
        <f t="shared" si="86"/>
        <v>0</v>
      </c>
      <c r="BB288" s="259" t="s">
        <v>573</v>
      </c>
      <c r="BC288" s="260">
        <f t="shared" si="87"/>
        <v>0</v>
      </c>
      <c r="BD288" s="259" t="s">
        <v>573</v>
      </c>
      <c r="BE288" s="260">
        <f t="shared" si="88"/>
        <v>0</v>
      </c>
      <c r="BF288" s="259" t="s">
        <v>573</v>
      </c>
      <c r="BG288" s="260">
        <f t="shared" si="89"/>
        <v>0</v>
      </c>
      <c r="BH288" s="259" t="s">
        <v>573</v>
      </c>
      <c r="BI288" s="260">
        <f t="shared" si="79"/>
        <v>0</v>
      </c>
      <c r="BJ288" s="58"/>
      <c r="BK288" s="220"/>
      <c r="BL288" s="213" t="s">
        <v>1329</v>
      </c>
      <c r="BM288" s="58" t="s">
        <v>1479</v>
      </c>
    </row>
    <row r="289" spans="1:65" ht="15.75" customHeight="1">
      <c r="A289" s="213" t="s">
        <v>1437</v>
      </c>
      <c r="B289" s="58" t="s">
        <v>1293</v>
      </c>
      <c r="C289" s="58" t="s">
        <v>752</v>
      </c>
      <c r="D289" s="214" t="s">
        <v>1477</v>
      </c>
      <c r="E289" s="214" t="s">
        <v>1478</v>
      </c>
      <c r="F289" s="215" t="s">
        <v>186</v>
      </c>
      <c r="G289" s="216">
        <v>2023</v>
      </c>
      <c r="H289" s="218" t="s">
        <v>825</v>
      </c>
      <c r="I289" s="217" t="s">
        <v>781</v>
      </c>
      <c r="J289" s="217" t="s">
        <v>890</v>
      </c>
      <c r="K289" s="213" t="s">
        <v>753</v>
      </c>
      <c r="L289" s="213" t="s">
        <v>192</v>
      </c>
      <c r="M289" s="219" t="s">
        <v>1393</v>
      </c>
      <c r="N289" s="265">
        <v>31.36</v>
      </c>
      <c r="O289" s="265">
        <v>31.36</v>
      </c>
      <c r="P289" s="265">
        <v>31.36</v>
      </c>
      <c r="Q289" s="265">
        <v>31.36</v>
      </c>
      <c r="R289" s="265">
        <v>31.36</v>
      </c>
      <c r="S289" s="265">
        <v>31.36</v>
      </c>
      <c r="T289" s="265">
        <v>31.36</v>
      </c>
      <c r="U289" s="265">
        <v>31.36</v>
      </c>
      <c r="V289" s="265">
        <v>31.36</v>
      </c>
      <c r="W289" s="265">
        <v>31.36</v>
      </c>
      <c r="X289" s="265">
        <v>31.36</v>
      </c>
      <c r="Y289" s="265">
        <v>31.36</v>
      </c>
      <c r="Z289" s="265">
        <v>0.01</v>
      </c>
      <c r="AA289" s="265">
        <v>0.01</v>
      </c>
      <c r="AB289" s="265">
        <v>0.01</v>
      </c>
      <c r="AC289" s="265">
        <v>0.01</v>
      </c>
      <c r="AD289" s="265">
        <v>0.01</v>
      </c>
      <c r="AE289" s="265">
        <v>0.01</v>
      </c>
      <c r="AF289" s="265">
        <v>0.01</v>
      </c>
      <c r="AG289" s="265">
        <v>0.01</v>
      </c>
      <c r="AH289" s="265">
        <v>0.01</v>
      </c>
      <c r="AI289" s="265">
        <v>0.01</v>
      </c>
      <c r="AJ289" s="265">
        <v>0.01</v>
      </c>
      <c r="AK289" s="265">
        <v>0.01</v>
      </c>
      <c r="AL289" s="266" t="s">
        <v>573</v>
      </c>
      <c r="AM289" s="265">
        <f t="shared" si="80"/>
        <v>0</v>
      </c>
      <c r="AN289" s="266" t="s">
        <v>573</v>
      </c>
      <c r="AO289" s="265">
        <f t="shared" si="78"/>
        <v>0</v>
      </c>
      <c r="AP289" s="266">
        <v>1080</v>
      </c>
      <c r="AQ289" s="265">
        <f t="shared" si="81"/>
        <v>10.8</v>
      </c>
      <c r="AR289" s="266">
        <v>0</v>
      </c>
      <c r="AS289" s="262">
        <f t="shared" si="82"/>
        <v>0</v>
      </c>
      <c r="AT289" s="266">
        <v>0</v>
      </c>
      <c r="AU289" s="260">
        <f t="shared" si="83"/>
        <v>0</v>
      </c>
      <c r="AV289" s="259">
        <v>0</v>
      </c>
      <c r="AW289" s="260">
        <f t="shared" si="84"/>
        <v>0</v>
      </c>
      <c r="AX289" s="261">
        <v>360</v>
      </c>
      <c r="AY289" s="260">
        <f t="shared" si="85"/>
        <v>3.6</v>
      </c>
      <c r="AZ289" s="259" t="s">
        <v>573</v>
      </c>
      <c r="BA289" s="260">
        <f t="shared" si="86"/>
        <v>0</v>
      </c>
      <c r="BB289" s="259" t="s">
        <v>573</v>
      </c>
      <c r="BC289" s="260">
        <f t="shared" si="87"/>
        <v>0</v>
      </c>
      <c r="BD289" s="259" t="s">
        <v>573</v>
      </c>
      <c r="BE289" s="260">
        <f t="shared" si="88"/>
        <v>0</v>
      </c>
      <c r="BF289" s="259" t="s">
        <v>573</v>
      </c>
      <c r="BG289" s="260">
        <f t="shared" si="89"/>
        <v>0</v>
      </c>
      <c r="BH289" s="259" t="s">
        <v>573</v>
      </c>
      <c r="BI289" s="260">
        <f t="shared" si="79"/>
        <v>0</v>
      </c>
      <c r="BJ289" s="58"/>
      <c r="BK289" s="220"/>
      <c r="BL289" s="213" t="s">
        <v>1329</v>
      </c>
      <c r="BM289" s="58" t="s">
        <v>1479</v>
      </c>
    </row>
    <row r="290" spans="1:65" ht="15.75" customHeight="1">
      <c r="A290" s="213" t="s">
        <v>1437</v>
      </c>
      <c r="B290" s="58" t="s">
        <v>1293</v>
      </c>
      <c r="C290" s="58" t="s">
        <v>752</v>
      </c>
      <c r="D290" s="214" t="s">
        <v>1477</v>
      </c>
      <c r="E290" s="214" t="s">
        <v>1478</v>
      </c>
      <c r="F290" s="215" t="s">
        <v>186</v>
      </c>
      <c r="G290" s="216">
        <v>2023</v>
      </c>
      <c r="H290" s="218" t="s">
        <v>825</v>
      </c>
      <c r="I290" s="217" t="s">
        <v>781</v>
      </c>
      <c r="J290" s="217" t="s">
        <v>890</v>
      </c>
      <c r="K290" s="213" t="s">
        <v>753</v>
      </c>
      <c r="L290" s="213" t="s">
        <v>192</v>
      </c>
      <c r="M290" s="219" t="s">
        <v>1393</v>
      </c>
      <c r="N290" s="265">
        <v>31.36</v>
      </c>
      <c r="O290" s="265">
        <v>31.36</v>
      </c>
      <c r="P290" s="265">
        <v>31.36</v>
      </c>
      <c r="Q290" s="265">
        <v>31.36</v>
      </c>
      <c r="R290" s="265">
        <v>31.36</v>
      </c>
      <c r="S290" s="265">
        <v>31.36</v>
      </c>
      <c r="T290" s="265">
        <v>31.36</v>
      </c>
      <c r="U290" s="265">
        <v>31.36</v>
      </c>
      <c r="V290" s="265">
        <v>31.36</v>
      </c>
      <c r="W290" s="265">
        <v>31.36</v>
      </c>
      <c r="X290" s="265">
        <v>31.36</v>
      </c>
      <c r="Y290" s="265">
        <v>31.36</v>
      </c>
      <c r="Z290" s="265">
        <v>0.01</v>
      </c>
      <c r="AA290" s="265">
        <v>0.01</v>
      </c>
      <c r="AB290" s="265">
        <v>0.01</v>
      </c>
      <c r="AC290" s="265">
        <v>0.01</v>
      </c>
      <c r="AD290" s="265">
        <v>0.01</v>
      </c>
      <c r="AE290" s="265">
        <v>0.01</v>
      </c>
      <c r="AF290" s="265">
        <v>0.01</v>
      </c>
      <c r="AG290" s="265">
        <v>0.01</v>
      </c>
      <c r="AH290" s="265">
        <v>0.01</v>
      </c>
      <c r="AI290" s="265">
        <v>0.01</v>
      </c>
      <c r="AJ290" s="265">
        <v>0.01</v>
      </c>
      <c r="AK290" s="265">
        <v>0.01</v>
      </c>
      <c r="AL290" s="266" t="s">
        <v>573</v>
      </c>
      <c r="AM290" s="265">
        <f t="shared" si="80"/>
        <v>0</v>
      </c>
      <c r="AN290" s="266" t="s">
        <v>573</v>
      </c>
      <c r="AO290" s="265">
        <f t="shared" si="78"/>
        <v>0</v>
      </c>
      <c r="AP290" s="266">
        <v>0</v>
      </c>
      <c r="AQ290" s="265">
        <f t="shared" si="81"/>
        <v>0</v>
      </c>
      <c r="AR290" s="266">
        <v>0</v>
      </c>
      <c r="AS290" s="262">
        <f t="shared" si="82"/>
        <v>0</v>
      </c>
      <c r="AT290" s="266">
        <v>0</v>
      </c>
      <c r="AU290" s="260">
        <f t="shared" si="83"/>
        <v>0</v>
      </c>
      <c r="AV290" s="259">
        <v>0</v>
      </c>
      <c r="AW290" s="260">
        <f t="shared" si="84"/>
        <v>0</v>
      </c>
      <c r="AX290" s="261">
        <v>360</v>
      </c>
      <c r="AY290" s="260">
        <f t="shared" si="85"/>
        <v>3.6</v>
      </c>
      <c r="AZ290" s="259" t="s">
        <v>573</v>
      </c>
      <c r="BA290" s="260">
        <f t="shared" si="86"/>
        <v>0</v>
      </c>
      <c r="BB290" s="259" t="s">
        <v>573</v>
      </c>
      <c r="BC290" s="260">
        <f t="shared" si="87"/>
        <v>0</v>
      </c>
      <c r="BD290" s="259" t="s">
        <v>573</v>
      </c>
      <c r="BE290" s="260">
        <f t="shared" si="88"/>
        <v>0</v>
      </c>
      <c r="BF290" s="259" t="s">
        <v>573</v>
      </c>
      <c r="BG290" s="260">
        <f t="shared" si="89"/>
        <v>0</v>
      </c>
      <c r="BH290" s="259" t="s">
        <v>573</v>
      </c>
      <c r="BI290" s="260">
        <f t="shared" si="79"/>
        <v>0</v>
      </c>
      <c r="BJ290" s="58"/>
      <c r="BK290" s="220"/>
      <c r="BL290" s="213" t="s">
        <v>1329</v>
      </c>
      <c r="BM290" s="58" t="s">
        <v>1479</v>
      </c>
    </row>
    <row r="291" spans="1:65" ht="15.75" customHeight="1">
      <c r="A291" s="213" t="s">
        <v>1437</v>
      </c>
      <c r="B291" s="58" t="s">
        <v>1293</v>
      </c>
      <c r="C291" s="58" t="s">
        <v>752</v>
      </c>
      <c r="D291" s="214" t="s">
        <v>1477</v>
      </c>
      <c r="E291" s="214" t="s">
        <v>1478</v>
      </c>
      <c r="F291" s="215" t="s">
        <v>186</v>
      </c>
      <c r="G291" s="216">
        <v>2023</v>
      </c>
      <c r="H291" s="218" t="s">
        <v>825</v>
      </c>
      <c r="I291" s="217" t="s">
        <v>781</v>
      </c>
      <c r="J291" s="217" t="s">
        <v>890</v>
      </c>
      <c r="K291" s="213" t="s">
        <v>753</v>
      </c>
      <c r="L291" s="213" t="s">
        <v>192</v>
      </c>
      <c r="M291" s="219" t="s">
        <v>1393</v>
      </c>
      <c r="N291" s="265">
        <v>31.36</v>
      </c>
      <c r="O291" s="265">
        <v>31.36</v>
      </c>
      <c r="P291" s="265">
        <v>31.36</v>
      </c>
      <c r="Q291" s="265">
        <v>31.36</v>
      </c>
      <c r="R291" s="265">
        <v>31.36</v>
      </c>
      <c r="S291" s="265">
        <v>31.36</v>
      </c>
      <c r="T291" s="265">
        <v>31.36</v>
      </c>
      <c r="U291" s="265">
        <v>31.36</v>
      </c>
      <c r="V291" s="265">
        <v>31.36</v>
      </c>
      <c r="W291" s="265">
        <v>31.36</v>
      </c>
      <c r="X291" s="265">
        <v>31.36</v>
      </c>
      <c r="Y291" s="265">
        <v>31.36</v>
      </c>
      <c r="Z291" s="265">
        <v>0.01</v>
      </c>
      <c r="AA291" s="265">
        <v>0.01</v>
      </c>
      <c r="AB291" s="265">
        <v>0.01</v>
      </c>
      <c r="AC291" s="265">
        <v>0.01</v>
      </c>
      <c r="AD291" s="265">
        <v>0.01</v>
      </c>
      <c r="AE291" s="265">
        <v>0.01</v>
      </c>
      <c r="AF291" s="265">
        <v>0.01</v>
      </c>
      <c r="AG291" s="265">
        <v>0.01</v>
      </c>
      <c r="AH291" s="265">
        <v>0.01</v>
      </c>
      <c r="AI291" s="265">
        <v>0.01</v>
      </c>
      <c r="AJ291" s="265">
        <v>0.01</v>
      </c>
      <c r="AK291" s="265">
        <v>0.01</v>
      </c>
      <c r="AL291" s="266" t="s">
        <v>573</v>
      </c>
      <c r="AM291" s="265">
        <f t="shared" si="80"/>
        <v>0</v>
      </c>
      <c r="AN291" s="266" t="s">
        <v>573</v>
      </c>
      <c r="AO291" s="265">
        <f t="shared" si="78"/>
        <v>0</v>
      </c>
      <c r="AP291" s="266">
        <v>0</v>
      </c>
      <c r="AQ291" s="265">
        <f t="shared" si="81"/>
        <v>0</v>
      </c>
      <c r="AR291" s="266">
        <v>0</v>
      </c>
      <c r="AS291" s="262">
        <f t="shared" si="82"/>
        <v>0</v>
      </c>
      <c r="AT291" s="266">
        <v>0</v>
      </c>
      <c r="AU291" s="260">
        <f t="shared" si="83"/>
        <v>0</v>
      </c>
      <c r="AV291" s="259">
        <v>0</v>
      </c>
      <c r="AW291" s="260">
        <f t="shared" si="84"/>
        <v>0</v>
      </c>
      <c r="AX291" s="261">
        <v>360</v>
      </c>
      <c r="AY291" s="260">
        <f t="shared" si="85"/>
        <v>3.6</v>
      </c>
      <c r="AZ291" s="259" t="s">
        <v>573</v>
      </c>
      <c r="BA291" s="260">
        <f t="shared" si="86"/>
        <v>0</v>
      </c>
      <c r="BB291" s="259" t="s">
        <v>573</v>
      </c>
      <c r="BC291" s="260">
        <f t="shared" si="87"/>
        <v>0</v>
      </c>
      <c r="BD291" s="259" t="s">
        <v>573</v>
      </c>
      <c r="BE291" s="260">
        <f t="shared" si="88"/>
        <v>0</v>
      </c>
      <c r="BF291" s="259" t="s">
        <v>573</v>
      </c>
      <c r="BG291" s="260">
        <f t="shared" si="89"/>
        <v>0</v>
      </c>
      <c r="BH291" s="259" t="s">
        <v>573</v>
      </c>
      <c r="BI291" s="260">
        <f t="shared" si="79"/>
        <v>0</v>
      </c>
      <c r="BJ291" s="58"/>
      <c r="BK291" s="220"/>
      <c r="BL291" s="213" t="s">
        <v>1329</v>
      </c>
      <c r="BM291" s="58" t="s">
        <v>1479</v>
      </c>
    </row>
    <row r="292" spans="1:65" ht="15.75" customHeight="1">
      <c r="A292" s="213" t="s">
        <v>1437</v>
      </c>
      <c r="B292" s="58" t="s">
        <v>1293</v>
      </c>
      <c r="C292" s="58" t="s">
        <v>752</v>
      </c>
      <c r="D292" s="214" t="s">
        <v>1477</v>
      </c>
      <c r="E292" s="214" t="s">
        <v>1478</v>
      </c>
      <c r="F292" s="215" t="s">
        <v>186</v>
      </c>
      <c r="G292" s="216">
        <v>2023</v>
      </c>
      <c r="H292" s="218" t="s">
        <v>825</v>
      </c>
      <c r="I292" s="217" t="s">
        <v>781</v>
      </c>
      <c r="J292" s="217" t="s">
        <v>890</v>
      </c>
      <c r="K292" s="213" t="s">
        <v>753</v>
      </c>
      <c r="L292" s="213" t="s">
        <v>192</v>
      </c>
      <c r="M292" s="219" t="s">
        <v>1455</v>
      </c>
      <c r="N292" s="265">
        <v>29.66</v>
      </c>
      <c r="O292" s="265">
        <v>29.66</v>
      </c>
      <c r="P292" s="265">
        <v>29.66</v>
      </c>
      <c r="Q292" s="265">
        <v>29.66</v>
      </c>
      <c r="R292" s="265">
        <v>29.66</v>
      </c>
      <c r="S292" s="265">
        <v>29.66</v>
      </c>
      <c r="T292" s="265">
        <v>29.66</v>
      </c>
      <c r="U292" s="265">
        <v>29.66</v>
      </c>
      <c r="V292" s="265">
        <v>29.66</v>
      </c>
      <c r="W292" s="265">
        <v>29.66</v>
      </c>
      <c r="X292" s="265">
        <v>29.66</v>
      </c>
      <c r="Y292" s="265">
        <v>29.66</v>
      </c>
      <c r="Z292" s="265">
        <v>0.01</v>
      </c>
      <c r="AA292" s="265">
        <v>0.01</v>
      </c>
      <c r="AB292" s="265">
        <v>0.01</v>
      </c>
      <c r="AC292" s="265">
        <v>0.01</v>
      </c>
      <c r="AD292" s="265">
        <v>0.01</v>
      </c>
      <c r="AE292" s="265">
        <v>0.01</v>
      </c>
      <c r="AF292" s="265">
        <v>0.01</v>
      </c>
      <c r="AG292" s="265">
        <v>0.01</v>
      </c>
      <c r="AH292" s="265">
        <v>0.01</v>
      </c>
      <c r="AI292" s="265">
        <v>0.01</v>
      </c>
      <c r="AJ292" s="265">
        <v>0.01</v>
      </c>
      <c r="AK292" s="265">
        <v>0.01</v>
      </c>
      <c r="AL292" s="266">
        <v>330</v>
      </c>
      <c r="AM292" s="265">
        <f t="shared" si="80"/>
        <v>3.3000000000000003</v>
      </c>
      <c r="AN292" s="266" t="s">
        <v>573</v>
      </c>
      <c r="AO292" s="265">
        <f t="shared" si="78"/>
        <v>0</v>
      </c>
      <c r="AP292" s="266">
        <v>260</v>
      </c>
      <c r="AQ292" s="265">
        <f t="shared" si="81"/>
        <v>2.6</v>
      </c>
      <c r="AR292" s="266">
        <v>0</v>
      </c>
      <c r="AS292" s="262">
        <f t="shared" si="82"/>
        <v>0</v>
      </c>
      <c r="AT292" s="266">
        <v>820</v>
      </c>
      <c r="AU292" s="260">
        <f t="shared" si="83"/>
        <v>8.1999999999999993</v>
      </c>
      <c r="AV292" s="259">
        <v>1080</v>
      </c>
      <c r="AW292" s="260">
        <f t="shared" si="84"/>
        <v>10.8</v>
      </c>
      <c r="AX292" s="261">
        <v>0</v>
      </c>
      <c r="AY292" s="260">
        <f t="shared" si="85"/>
        <v>0</v>
      </c>
      <c r="AZ292" s="259" t="s">
        <v>573</v>
      </c>
      <c r="BA292" s="260">
        <f t="shared" si="86"/>
        <v>0</v>
      </c>
      <c r="BB292" s="259" t="s">
        <v>573</v>
      </c>
      <c r="BC292" s="260">
        <f t="shared" si="87"/>
        <v>0</v>
      </c>
      <c r="BD292" s="259" t="s">
        <v>573</v>
      </c>
      <c r="BE292" s="260">
        <f t="shared" si="88"/>
        <v>0</v>
      </c>
      <c r="BF292" s="259" t="s">
        <v>573</v>
      </c>
      <c r="BG292" s="260">
        <f t="shared" si="89"/>
        <v>0</v>
      </c>
      <c r="BH292" s="259" t="s">
        <v>573</v>
      </c>
      <c r="BI292" s="260">
        <f t="shared" si="79"/>
        <v>0</v>
      </c>
      <c r="BJ292" s="58"/>
      <c r="BK292" s="220"/>
      <c r="BL292" s="213" t="s">
        <v>1329</v>
      </c>
      <c r="BM292" s="58" t="s">
        <v>1479</v>
      </c>
    </row>
    <row r="293" spans="1:65" ht="15.75" customHeight="1">
      <c r="A293" s="213" t="s">
        <v>1437</v>
      </c>
      <c r="B293" s="58" t="s">
        <v>1293</v>
      </c>
      <c r="C293" s="58" t="s">
        <v>752</v>
      </c>
      <c r="D293" s="214" t="s">
        <v>1477</v>
      </c>
      <c r="E293" s="214" t="s">
        <v>1478</v>
      </c>
      <c r="F293" s="215" t="s">
        <v>186</v>
      </c>
      <c r="G293" s="216">
        <v>2023</v>
      </c>
      <c r="H293" s="218" t="s">
        <v>825</v>
      </c>
      <c r="I293" s="217" t="s">
        <v>781</v>
      </c>
      <c r="J293" s="217" t="s">
        <v>890</v>
      </c>
      <c r="K293" s="213" t="s">
        <v>753</v>
      </c>
      <c r="L293" s="213" t="s">
        <v>192</v>
      </c>
      <c r="M293" s="219" t="s">
        <v>1393</v>
      </c>
      <c r="N293" s="265">
        <v>31.36</v>
      </c>
      <c r="O293" s="265">
        <v>31.36</v>
      </c>
      <c r="P293" s="265">
        <v>31.36</v>
      </c>
      <c r="Q293" s="265">
        <v>31.36</v>
      </c>
      <c r="R293" s="265">
        <v>31.36</v>
      </c>
      <c r="S293" s="265">
        <v>31.36</v>
      </c>
      <c r="T293" s="265">
        <v>31.36</v>
      </c>
      <c r="U293" s="265">
        <v>31.36</v>
      </c>
      <c r="V293" s="265">
        <v>31.36</v>
      </c>
      <c r="W293" s="265">
        <v>31.36</v>
      </c>
      <c r="X293" s="265">
        <v>31.36</v>
      </c>
      <c r="Y293" s="265">
        <v>31.36</v>
      </c>
      <c r="Z293" s="265">
        <v>0.01</v>
      </c>
      <c r="AA293" s="265">
        <v>0.01</v>
      </c>
      <c r="AB293" s="265">
        <v>0.01</v>
      </c>
      <c r="AC293" s="265">
        <v>0.01</v>
      </c>
      <c r="AD293" s="265">
        <v>0.01</v>
      </c>
      <c r="AE293" s="265">
        <v>0.01</v>
      </c>
      <c r="AF293" s="265">
        <v>0.01</v>
      </c>
      <c r="AG293" s="265">
        <v>0.01</v>
      </c>
      <c r="AH293" s="265">
        <v>0.01</v>
      </c>
      <c r="AI293" s="265">
        <v>0.01</v>
      </c>
      <c r="AJ293" s="265">
        <v>0.01</v>
      </c>
      <c r="AK293" s="265">
        <v>0.01</v>
      </c>
      <c r="AL293" s="266" t="s">
        <v>573</v>
      </c>
      <c r="AM293" s="265">
        <f t="shared" si="80"/>
        <v>0</v>
      </c>
      <c r="AN293" s="266" t="s">
        <v>573</v>
      </c>
      <c r="AO293" s="265">
        <f t="shared" si="78"/>
        <v>0</v>
      </c>
      <c r="AP293" s="266">
        <v>0</v>
      </c>
      <c r="AQ293" s="265">
        <f t="shared" si="81"/>
        <v>0</v>
      </c>
      <c r="AR293" s="266">
        <v>0</v>
      </c>
      <c r="AS293" s="262">
        <f t="shared" si="82"/>
        <v>0</v>
      </c>
      <c r="AT293" s="266">
        <v>0</v>
      </c>
      <c r="AU293" s="260">
        <f t="shared" si="83"/>
        <v>0</v>
      </c>
      <c r="AV293" s="259">
        <v>0</v>
      </c>
      <c r="AW293" s="260">
        <f t="shared" si="84"/>
        <v>0</v>
      </c>
      <c r="AX293" s="261">
        <v>360</v>
      </c>
      <c r="AY293" s="260">
        <f t="shared" si="85"/>
        <v>3.6</v>
      </c>
      <c r="AZ293" s="259" t="s">
        <v>573</v>
      </c>
      <c r="BA293" s="260">
        <f t="shared" si="86"/>
        <v>0</v>
      </c>
      <c r="BB293" s="259" t="s">
        <v>573</v>
      </c>
      <c r="BC293" s="260">
        <f t="shared" si="87"/>
        <v>0</v>
      </c>
      <c r="BD293" s="259" t="s">
        <v>573</v>
      </c>
      <c r="BE293" s="260">
        <f t="shared" si="88"/>
        <v>0</v>
      </c>
      <c r="BF293" s="259" t="s">
        <v>573</v>
      </c>
      <c r="BG293" s="260">
        <f t="shared" si="89"/>
        <v>0</v>
      </c>
      <c r="BH293" s="259" t="s">
        <v>573</v>
      </c>
      <c r="BI293" s="260">
        <f t="shared" si="79"/>
        <v>0</v>
      </c>
      <c r="BJ293" s="58"/>
      <c r="BK293" s="220"/>
      <c r="BL293" s="213" t="s">
        <v>1329</v>
      </c>
      <c r="BM293" s="58" t="s">
        <v>1479</v>
      </c>
    </row>
    <row r="294" spans="1:65" ht="15.75" customHeight="1">
      <c r="A294" s="213" t="s">
        <v>1437</v>
      </c>
      <c r="B294" s="58" t="s">
        <v>1293</v>
      </c>
      <c r="C294" s="58" t="s">
        <v>752</v>
      </c>
      <c r="D294" s="214" t="s">
        <v>1477</v>
      </c>
      <c r="E294" s="214" t="s">
        <v>1478</v>
      </c>
      <c r="F294" s="215" t="s">
        <v>186</v>
      </c>
      <c r="G294" s="216">
        <v>2023</v>
      </c>
      <c r="H294" s="218" t="s">
        <v>825</v>
      </c>
      <c r="I294" s="217" t="s">
        <v>781</v>
      </c>
      <c r="J294" s="217" t="s">
        <v>890</v>
      </c>
      <c r="K294" s="213" t="s">
        <v>753</v>
      </c>
      <c r="L294" s="213" t="s">
        <v>192</v>
      </c>
      <c r="M294" s="219" t="s">
        <v>1392</v>
      </c>
      <c r="N294" s="265">
        <v>31.36</v>
      </c>
      <c r="O294" s="265">
        <v>31.36</v>
      </c>
      <c r="P294" s="265">
        <v>31.36</v>
      </c>
      <c r="Q294" s="265">
        <v>31.36</v>
      </c>
      <c r="R294" s="265">
        <v>32.909999999999997</v>
      </c>
      <c r="S294" s="265">
        <v>32.909999999999997</v>
      </c>
      <c r="T294" s="265">
        <v>32.909999999999997</v>
      </c>
      <c r="U294" s="265">
        <v>32.909999999999997</v>
      </c>
      <c r="V294" s="265">
        <v>32.909999999999997</v>
      </c>
      <c r="W294" s="265">
        <v>32.909999999999997</v>
      </c>
      <c r="X294" s="265">
        <v>32.909999999999997</v>
      </c>
      <c r="Y294" s="265">
        <v>32.909999999999997</v>
      </c>
      <c r="Z294" s="265">
        <v>0.01</v>
      </c>
      <c r="AA294" s="265">
        <v>0.01</v>
      </c>
      <c r="AB294" s="265">
        <v>0.01</v>
      </c>
      <c r="AC294" s="265">
        <v>0.01</v>
      </c>
      <c r="AD294" s="265">
        <v>1.56</v>
      </c>
      <c r="AE294" s="265">
        <v>1.56</v>
      </c>
      <c r="AF294" s="265">
        <v>1.56</v>
      </c>
      <c r="AG294" s="265">
        <v>1.56</v>
      </c>
      <c r="AH294" s="265">
        <v>1.56</v>
      </c>
      <c r="AI294" s="265">
        <v>1.56</v>
      </c>
      <c r="AJ294" s="265">
        <v>1.56</v>
      </c>
      <c r="AK294" s="265">
        <v>1.56</v>
      </c>
      <c r="AL294" s="266">
        <v>1080</v>
      </c>
      <c r="AM294" s="265">
        <f t="shared" si="80"/>
        <v>10.8</v>
      </c>
      <c r="AN294" s="266">
        <v>1440</v>
      </c>
      <c r="AO294" s="265">
        <f t="shared" si="78"/>
        <v>14.4</v>
      </c>
      <c r="AP294" s="266">
        <v>7560</v>
      </c>
      <c r="AQ294" s="265">
        <f t="shared" si="81"/>
        <v>75.600000000000009</v>
      </c>
      <c r="AR294" s="266">
        <v>0</v>
      </c>
      <c r="AS294" s="262">
        <f t="shared" si="82"/>
        <v>0</v>
      </c>
      <c r="AT294" s="266">
        <v>4320</v>
      </c>
      <c r="AU294" s="260">
        <f t="shared" si="83"/>
        <v>6739.2</v>
      </c>
      <c r="AV294" s="259">
        <v>0</v>
      </c>
      <c r="AW294" s="260">
        <f t="shared" si="84"/>
        <v>0</v>
      </c>
      <c r="AX294" s="261">
        <v>260</v>
      </c>
      <c r="AY294" s="260">
        <f t="shared" si="85"/>
        <v>405.6</v>
      </c>
      <c r="AZ294" s="259">
        <v>1080</v>
      </c>
      <c r="BA294" s="260">
        <f t="shared" si="86"/>
        <v>1684.8</v>
      </c>
      <c r="BB294" s="259">
        <v>100</v>
      </c>
      <c r="BC294" s="260">
        <f t="shared" si="87"/>
        <v>156</v>
      </c>
      <c r="BD294" s="259">
        <v>2060</v>
      </c>
      <c r="BE294" s="260">
        <f t="shared" si="88"/>
        <v>3213.6</v>
      </c>
      <c r="BF294" s="259" t="s">
        <v>573</v>
      </c>
      <c r="BG294" s="260">
        <f t="shared" si="89"/>
        <v>0</v>
      </c>
      <c r="BH294" s="259" t="s">
        <v>573</v>
      </c>
      <c r="BI294" s="260">
        <f t="shared" si="79"/>
        <v>0</v>
      </c>
      <c r="BJ294" s="58"/>
      <c r="BK294" s="220"/>
      <c r="BL294" s="213" t="s">
        <v>1329</v>
      </c>
      <c r="BM294" s="58" t="s">
        <v>1479</v>
      </c>
    </row>
    <row r="295" spans="1:65" ht="15.75" customHeight="1">
      <c r="A295" s="213" t="s">
        <v>1437</v>
      </c>
      <c r="B295" s="58" t="s">
        <v>1293</v>
      </c>
      <c r="C295" s="58" t="s">
        <v>752</v>
      </c>
      <c r="D295" s="214" t="s">
        <v>1477</v>
      </c>
      <c r="E295" s="214" t="s">
        <v>1478</v>
      </c>
      <c r="F295" s="215" t="s">
        <v>186</v>
      </c>
      <c r="G295" s="216">
        <v>2023</v>
      </c>
      <c r="H295" s="218" t="s">
        <v>825</v>
      </c>
      <c r="I295" s="217" t="s">
        <v>781</v>
      </c>
      <c r="J295" s="217" t="s">
        <v>890</v>
      </c>
      <c r="K295" s="213" t="s">
        <v>753</v>
      </c>
      <c r="L295" s="213" t="s">
        <v>192</v>
      </c>
      <c r="M295" s="219" t="s">
        <v>1402</v>
      </c>
      <c r="N295" s="265">
        <v>31.36</v>
      </c>
      <c r="O295" s="265">
        <v>31.36</v>
      </c>
      <c r="P295" s="265">
        <v>31.36</v>
      </c>
      <c r="Q295" s="265">
        <v>31.36</v>
      </c>
      <c r="R295" s="265">
        <v>31.36</v>
      </c>
      <c r="S295" s="265">
        <v>31.36</v>
      </c>
      <c r="T295" s="265">
        <v>31.36</v>
      </c>
      <c r="U295" s="265">
        <v>31.36</v>
      </c>
      <c r="V295" s="265">
        <v>31.36</v>
      </c>
      <c r="W295" s="265">
        <v>31.36</v>
      </c>
      <c r="X295" s="265">
        <v>31.36</v>
      </c>
      <c r="Y295" s="265">
        <v>31.36</v>
      </c>
      <c r="Z295" s="265">
        <v>0.01</v>
      </c>
      <c r="AA295" s="265">
        <v>0.01</v>
      </c>
      <c r="AB295" s="265">
        <v>0.01</v>
      </c>
      <c r="AC295" s="265">
        <v>0.01</v>
      </c>
      <c r="AD295" s="265">
        <v>0.01</v>
      </c>
      <c r="AE295" s="265">
        <v>0.01</v>
      </c>
      <c r="AF295" s="265">
        <v>0.01</v>
      </c>
      <c r="AG295" s="265">
        <v>0.01</v>
      </c>
      <c r="AH295" s="265">
        <v>0.01</v>
      </c>
      <c r="AI295" s="265">
        <v>0.01</v>
      </c>
      <c r="AJ295" s="265">
        <v>0.01</v>
      </c>
      <c r="AK295" s="265">
        <v>0.01</v>
      </c>
      <c r="AL295" s="266">
        <v>30</v>
      </c>
      <c r="AM295" s="265">
        <f t="shared" si="80"/>
        <v>0.3</v>
      </c>
      <c r="AN295" s="266" t="s">
        <v>573</v>
      </c>
      <c r="AO295" s="265">
        <f t="shared" si="78"/>
        <v>0</v>
      </c>
      <c r="AP295" s="266">
        <v>0</v>
      </c>
      <c r="AQ295" s="265">
        <f t="shared" si="81"/>
        <v>0</v>
      </c>
      <c r="AR295" s="266">
        <v>0</v>
      </c>
      <c r="AS295" s="262">
        <f t="shared" si="82"/>
        <v>0</v>
      </c>
      <c r="AT295" s="266">
        <v>0</v>
      </c>
      <c r="AU295" s="260">
        <f t="shared" si="83"/>
        <v>0</v>
      </c>
      <c r="AV295" s="259">
        <v>0</v>
      </c>
      <c r="AW295" s="260">
        <f t="shared" si="84"/>
        <v>0</v>
      </c>
      <c r="AX295" s="261">
        <v>10</v>
      </c>
      <c r="AY295" s="260">
        <f t="shared" si="85"/>
        <v>0.1</v>
      </c>
      <c r="AZ295" s="259" t="s">
        <v>573</v>
      </c>
      <c r="BA295" s="260">
        <f t="shared" si="86"/>
        <v>0</v>
      </c>
      <c r="BB295" s="259" t="s">
        <v>573</v>
      </c>
      <c r="BC295" s="260">
        <f t="shared" si="87"/>
        <v>0</v>
      </c>
      <c r="BD295" s="259">
        <v>10</v>
      </c>
      <c r="BE295" s="260">
        <f t="shared" si="88"/>
        <v>0.1</v>
      </c>
      <c r="BF295" s="259" t="s">
        <v>573</v>
      </c>
      <c r="BG295" s="260">
        <f t="shared" si="89"/>
        <v>0</v>
      </c>
      <c r="BH295" s="259" t="s">
        <v>573</v>
      </c>
      <c r="BI295" s="260">
        <f t="shared" si="79"/>
        <v>0</v>
      </c>
      <c r="BJ295" s="58"/>
      <c r="BK295" s="220"/>
      <c r="BL295" s="213" t="s">
        <v>1329</v>
      </c>
      <c r="BM295" s="58" t="s">
        <v>1479</v>
      </c>
    </row>
    <row r="296" spans="1:65" ht="15.75" customHeight="1">
      <c r="A296" s="213" t="s">
        <v>1437</v>
      </c>
      <c r="B296" s="58" t="s">
        <v>1293</v>
      </c>
      <c r="C296" s="58" t="s">
        <v>752</v>
      </c>
      <c r="D296" s="214" t="s">
        <v>1477</v>
      </c>
      <c r="E296" s="214" t="s">
        <v>1478</v>
      </c>
      <c r="F296" s="215" t="s">
        <v>186</v>
      </c>
      <c r="G296" s="216">
        <v>2023</v>
      </c>
      <c r="H296" s="218" t="s">
        <v>825</v>
      </c>
      <c r="I296" s="217" t="s">
        <v>781</v>
      </c>
      <c r="J296" s="217" t="s">
        <v>890</v>
      </c>
      <c r="K296" s="213" t="s">
        <v>753</v>
      </c>
      <c r="L296" s="213" t="s">
        <v>192</v>
      </c>
      <c r="M296" s="219" t="s">
        <v>1402</v>
      </c>
      <c r="N296" s="265">
        <v>31.36</v>
      </c>
      <c r="O296" s="265">
        <v>31.36</v>
      </c>
      <c r="P296" s="265">
        <v>31.36</v>
      </c>
      <c r="Q296" s="265">
        <v>31.36</v>
      </c>
      <c r="R296" s="265">
        <v>31.36</v>
      </c>
      <c r="S296" s="265">
        <v>31.36</v>
      </c>
      <c r="T296" s="265">
        <v>31.36</v>
      </c>
      <c r="U296" s="265">
        <v>31.36</v>
      </c>
      <c r="V296" s="265">
        <v>31.36</v>
      </c>
      <c r="W296" s="265">
        <v>31.36</v>
      </c>
      <c r="X296" s="265">
        <v>31.36</v>
      </c>
      <c r="Y296" s="265">
        <v>31.36</v>
      </c>
      <c r="Z296" s="265">
        <v>0.01</v>
      </c>
      <c r="AA296" s="265">
        <v>0.01</v>
      </c>
      <c r="AB296" s="265">
        <v>0.01</v>
      </c>
      <c r="AC296" s="265">
        <v>0.01</v>
      </c>
      <c r="AD296" s="265">
        <v>0.01</v>
      </c>
      <c r="AE296" s="265">
        <v>0.01</v>
      </c>
      <c r="AF296" s="265">
        <v>0.01</v>
      </c>
      <c r="AG296" s="265">
        <v>0.01</v>
      </c>
      <c r="AH296" s="265">
        <v>0.01</v>
      </c>
      <c r="AI296" s="265">
        <v>0.01</v>
      </c>
      <c r="AJ296" s="265">
        <v>0.01</v>
      </c>
      <c r="AK296" s="265">
        <v>0.01</v>
      </c>
      <c r="AL296" s="266" t="s">
        <v>573</v>
      </c>
      <c r="AM296" s="265">
        <f t="shared" si="80"/>
        <v>0</v>
      </c>
      <c r="AN296" s="266">
        <v>0</v>
      </c>
      <c r="AO296" s="265">
        <f t="shared" si="78"/>
        <v>0</v>
      </c>
      <c r="AP296" s="266">
        <v>0</v>
      </c>
      <c r="AQ296" s="265">
        <f t="shared" si="81"/>
        <v>0</v>
      </c>
      <c r="AR296" s="266">
        <v>0</v>
      </c>
      <c r="AS296" s="262">
        <f t="shared" si="82"/>
        <v>0</v>
      </c>
      <c r="AT296" s="266">
        <v>0</v>
      </c>
      <c r="AU296" s="260">
        <f t="shared" si="83"/>
        <v>0</v>
      </c>
      <c r="AV296" s="259">
        <v>1080</v>
      </c>
      <c r="AW296" s="260">
        <f t="shared" si="84"/>
        <v>10.8</v>
      </c>
      <c r="AX296" s="261" t="s">
        <v>573</v>
      </c>
      <c r="AY296" s="260">
        <f t="shared" si="85"/>
        <v>0</v>
      </c>
      <c r="AZ296" s="259" t="s">
        <v>573</v>
      </c>
      <c r="BA296" s="260">
        <f t="shared" si="86"/>
        <v>0</v>
      </c>
      <c r="BB296" s="259" t="s">
        <v>573</v>
      </c>
      <c r="BC296" s="260">
        <f t="shared" si="87"/>
        <v>0</v>
      </c>
      <c r="BD296" s="259" t="s">
        <v>573</v>
      </c>
      <c r="BE296" s="260">
        <f t="shared" si="88"/>
        <v>0</v>
      </c>
      <c r="BF296" s="259" t="s">
        <v>573</v>
      </c>
      <c r="BG296" s="260">
        <f t="shared" si="89"/>
        <v>0</v>
      </c>
      <c r="BH296" s="259" t="s">
        <v>573</v>
      </c>
      <c r="BI296" s="260">
        <f t="shared" si="79"/>
        <v>0</v>
      </c>
      <c r="BJ296" s="58"/>
      <c r="BK296" s="220"/>
      <c r="BL296" s="213" t="s">
        <v>1329</v>
      </c>
      <c r="BM296" s="58" t="s">
        <v>1479</v>
      </c>
    </row>
    <row r="297" spans="1:65" ht="15.75" customHeight="1">
      <c r="A297" s="213" t="s">
        <v>1437</v>
      </c>
      <c r="B297" s="58" t="s">
        <v>1293</v>
      </c>
      <c r="C297" s="58" t="s">
        <v>752</v>
      </c>
      <c r="D297" s="214" t="s">
        <v>1477</v>
      </c>
      <c r="E297" s="214" t="s">
        <v>1478</v>
      </c>
      <c r="F297" s="215" t="s">
        <v>186</v>
      </c>
      <c r="G297" s="216">
        <v>2023</v>
      </c>
      <c r="H297" s="218" t="s">
        <v>825</v>
      </c>
      <c r="I297" s="217" t="s">
        <v>781</v>
      </c>
      <c r="J297" s="217" t="s">
        <v>890</v>
      </c>
      <c r="K297" s="213" t="s">
        <v>753</v>
      </c>
      <c r="L297" s="213" t="s">
        <v>192</v>
      </c>
      <c r="M297" s="219" t="s">
        <v>1402</v>
      </c>
      <c r="N297" s="265">
        <v>31.36</v>
      </c>
      <c r="O297" s="265">
        <v>31.36</v>
      </c>
      <c r="P297" s="265">
        <v>31.36</v>
      </c>
      <c r="Q297" s="265">
        <v>31.36</v>
      </c>
      <c r="R297" s="265">
        <v>31.36</v>
      </c>
      <c r="S297" s="265">
        <v>31.36</v>
      </c>
      <c r="T297" s="265">
        <v>31.36</v>
      </c>
      <c r="U297" s="265">
        <v>31.36</v>
      </c>
      <c r="V297" s="265">
        <v>31.36</v>
      </c>
      <c r="W297" s="265">
        <v>31.36</v>
      </c>
      <c r="X297" s="265">
        <v>31.36</v>
      </c>
      <c r="Y297" s="265">
        <v>31.36</v>
      </c>
      <c r="Z297" s="265">
        <v>0.01</v>
      </c>
      <c r="AA297" s="265">
        <v>0.01</v>
      </c>
      <c r="AB297" s="265">
        <v>0.01</v>
      </c>
      <c r="AC297" s="265">
        <v>0.01</v>
      </c>
      <c r="AD297" s="265">
        <v>0.01</v>
      </c>
      <c r="AE297" s="265">
        <v>0.01</v>
      </c>
      <c r="AF297" s="265">
        <v>0.01</v>
      </c>
      <c r="AG297" s="265">
        <v>0.01</v>
      </c>
      <c r="AH297" s="265">
        <v>0.01</v>
      </c>
      <c r="AI297" s="265">
        <v>0.01</v>
      </c>
      <c r="AJ297" s="265">
        <v>0.01</v>
      </c>
      <c r="AK297" s="265">
        <v>0.01</v>
      </c>
      <c r="AL297" s="266">
        <v>0</v>
      </c>
      <c r="AM297" s="265">
        <f t="shared" si="80"/>
        <v>0</v>
      </c>
      <c r="AN297" s="266">
        <v>0</v>
      </c>
      <c r="AO297" s="265">
        <f t="shared" si="78"/>
        <v>0</v>
      </c>
      <c r="AP297" s="266">
        <v>0</v>
      </c>
      <c r="AQ297" s="265">
        <f t="shared" si="81"/>
        <v>0</v>
      </c>
      <c r="AR297" s="266">
        <v>0</v>
      </c>
      <c r="AS297" s="262">
        <f t="shared" si="82"/>
        <v>0</v>
      </c>
      <c r="AT297" s="266">
        <v>0</v>
      </c>
      <c r="AU297" s="260">
        <f t="shared" si="83"/>
        <v>0</v>
      </c>
      <c r="AV297" s="259">
        <v>260</v>
      </c>
      <c r="AW297" s="260">
        <f t="shared" si="84"/>
        <v>2.6</v>
      </c>
      <c r="AX297" s="261">
        <v>10</v>
      </c>
      <c r="AY297" s="260">
        <f t="shared" si="85"/>
        <v>0.1</v>
      </c>
      <c r="AZ297" s="259" t="s">
        <v>573</v>
      </c>
      <c r="BA297" s="260">
        <f t="shared" si="86"/>
        <v>0</v>
      </c>
      <c r="BB297" s="259" t="s">
        <v>573</v>
      </c>
      <c r="BC297" s="260">
        <f t="shared" si="87"/>
        <v>0</v>
      </c>
      <c r="BD297" s="259" t="s">
        <v>573</v>
      </c>
      <c r="BE297" s="260">
        <f t="shared" si="88"/>
        <v>0</v>
      </c>
      <c r="BF297" s="259" t="s">
        <v>573</v>
      </c>
      <c r="BG297" s="260">
        <f t="shared" si="89"/>
        <v>0</v>
      </c>
      <c r="BH297" s="259" t="s">
        <v>573</v>
      </c>
      <c r="BI297" s="260">
        <f t="shared" si="79"/>
        <v>0</v>
      </c>
      <c r="BJ297" s="58"/>
      <c r="BK297" s="220"/>
      <c r="BL297" s="213" t="s">
        <v>1329</v>
      </c>
      <c r="BM297" s="58" t="s">
        <v>1479</v>
      </c>
    </row>
    <row r="298" spans="1:65" ht="15.75" customHeight="1">
      <c r="A298" s="213" t="s">
        <v>1437</v>
      </c>
      <c r="B298" s="58" t="s">
        <v>1293</v>
      </c>
      <c r="C298" s="58" t="s">
        <v>752</v>
      </c>
      <c r="D298" s="214" t="s">
        <v>1477</v>
      </c>
      <c r="E298" s="214" t="s">
        <v>1478</v>
      </c>
      <c r="F298" s="215" t="s">
        <v>186</v>
      </c>
      <c r="G298" s="216">
        <v>2023</v>
      </c>
      <c r="H298" s="218" t="s">
        <v>825</v>
      </c>
      <c r="I298" s="217" t="s">
        <v>781</v>
      </c>
      <c r="J298" s="217" t="s">
        <v>890</v>
      </c>
      <c r="K298" s="213" t="s">
        <v>753</v>
      </c>
      <c r="L298" s="213" t="s">
        <v>192</v>
      </c>
      <c r="M298" s="219" t="s">
        <v>1390</v>
      </c>
      <c r="N298" s="265">
        <v>29.66</v>
      </c>
      <c r="O298" s="265">
        <v>29.66</v>
      </c>
      <c r="P298" s="265">
        <v>29.66</v>
      </c>
      <c r="Q298" s="265">
        <v>29.66</v>
      </c>
      <c r="R298" s="265">
        <v>29.66</v>
      </c>
      <c r="S298" s="265">
        <v>29.66</v>
      </c>
      <c r="T298" s="265">
        <v>29.66</v>
      </c>
      <c r="U298" s="265">
        <v>29.66</v>
      </c>
      <c r="V298" s="265">
        <v>29.66</v>
      </c>
      <c r="W298" s="265">
        <v>29.66</v>
      </c>
      <c r="X298" s="265">
        <v>29.66</v>
      </c>
      <c r="Y298" s="265">
        <v>29.66</v>
      </c>
      <c r="Z298" s="265">
        <v>0.01</v>
      </c>
      <c r="AA298" s="265">
        <v>0.01</v>
      </c>
      <c r="AB298" s="265">
        <v>0.01</v>
      </c>
      <c r="AC298" s="265">
        <v>0.01</v>
      </c>
      <c r="AD298" s="265">
        <v>0.01</v>
      </c>
      <c r="AE298" s="265">
        <v>0.01</v>
      </c>
      <c r="AF298" s="265">
        <v>0.01</v>
      </c>
      <c r="AG298" s="265">
        <v>0.01</v>
      </c>
      <c r="AH298" s="265">
        <v>0.01</v>
      </c>
      <c r="AI298" s="265">
        <v>0.01</v>
      </c>
      <c r="AJ298" s="265">
        <v>0.01</v>
      </c>
      <c r="AK298" s="265">
        <v>0.01</v>
      </c>
      <c r="AL298" s="266" t="s">
        <v>573</v>
      </c>
      <c r="AM298" s="265">
        <f t="shared" si="80"/>
        <v>0</v>
      </c>
      <c r="AN298" s="266" t="s">
        <v>573</v>
      </c>
      <c r="AO298" s="265">
        <f t="shared" si="78"/>
        <v>0</v>
      </c>
      <c r="AP298" s="266">
        <v>0</v>
      </c>
      <c r="AQ298" s="265">
        <f t="shared" si="81"/>
        <v>0</v>
      </c>
      <c r="AR298" s="266">
        <v>0</v>
      </c>
      <c r="AS298" s="262">
        <f t="shared" si="82"/>
        <v>0</v>
      </c>
      <c r="AT298" s="266">
        <v>0</v>
      </c>
      <c r="AU298" s="260">
        <f t="shared" si="83"/>
        <v>0</v>
      </c>
      <c r="AV298" s="259">
        <v>0</v>
      </c>
      <c r="AW298" s="260">
        <f t="shared" si="84"/>
        <v>0</v>
      </c>
      <c r="AX298" s="261">
        <v>7400</v>
      </c>
      <c r="AY298" s="260">
        <f t="shared" si="85"/>
        <v>74</v>
      </c>
      <c r="AZ298" s="259">
        <v>7000</v>
      </c>
      <c r="BA298" s="260">
        <f t="shared" si="86"/>
        <v>70</v>
      </c>
      <c r="BB298" s="259">
        <v>11000</v>
      </c>
      <c r="BC298" s="260">
        <f t="shared" si="87"/>
        <v>110</v>
      </c>
      <c r="BD298" s="259">
        <v>1000</v>
      </c>
      <c r="BE298" s="260">
        <f t="shared" si="88"/>
        <v>10</v>
      </c>
      <c r="BF298" s="259" t="s">
        <v>573</v>
      </c>
      <c r="BG298" s="260">
        <f t="shared" si="89"/>
        <v>0</v>
      </c>
      <c r="BH298" s="259" t="s">
        <v>573</v>
      </c>
      <c r="BI298" s="260">
        <f t="shared" si="79"/>
        <v>0</v>
      </c>
      <c r="BJ298" s="58"/>
      <c r="BK298" s="220"/>
      <c r="BL298" s="213" t="s">
        <v>1329</v>
      </c>
      <c r="BM298" s="213" t="s">
        <v>1476</v>
      </c>
    </row>
    <row r="299" spans="1:65" ht="15.75" customHeight="1">
      <c r="A299" s="213" t="s">
        <v>1437</v>
      </c>
      <c r="B299" s="58" t="s">
        <v>1346</v>
      </c>
      <c r="C299" s="58" t="s">
        <v>752</v>
      </c>
      <c r="D299" s="214" t="s">
        <v>186</v>
      </c>
      <c r="E299" s="214" t="s">
        <v>186</v>
      </c>
      <c r="F299" s="215" t="s">
        <v>186</v>
      </c>
      <c r="G299" s="216">
        <v>2023</v>
      </c>
      <c r="H299" s="218" t="s">
        <v>825</v>
      </c>
      <c r="I299" s="217" t="s">
        <v>781</v>
      </c>
      <c r="J299" s="217" t="s">
        <v>890</v>
      </c>
      <c r="K299" s="213" t="s">
        <v>753</v>
      </c>
      <c r="L299" s="213" t="s">
        <v>192</v>
      </c>
      <c r="M299" s="219" t="s">
        <v>1388</v>
      </c>
      <c r="N299" s="265">
        <v>29.18</v>
      </c>
      <c r="O299" s="265">
        <v>29.18</v>
      </c>
      <c r="P299" s="265">
        <v>29.18</v>
      </c>
      <c r="Q299" s="265">
        <v>29.18</v>
      </c>
      <c r="R299" s="265">
        <v>29.18</v>
      </c>
      <c r="S299" s="265">
        <v>29.18</v>
      </c>
      <c r="T299" s="265">
        <v>29.18</v>
      </c>
      <c r="U299" s="265">
        <v>29.18</v>
      </c>
      <c r="V299" s="265">
        <v>29.18</v>
      </c>
      <c r="W299" s="265">
        <v>29.18</v>
      </c>
      <c r="X299" s="265">
        <v>29.18</v>
      </c>
      <c r="Y299" s="265">
        <v>29.18</v>
      </c>
      <c r="Z299" s="265">
        <v>1.36</v>
      </c>
      <c r="AA299" s="265">
        <v>1.36</v>
      </c>
      <c r="AB299" s="265">
        <v>1.36</v>
      </c>
      <c r="AC299" s="265">
        <v>1.36</v>
      </c>
      <c r="AD299" s="265">
        <v>1.36</v>
      </c>
      <c r="AE299" s="265">
        <v>1.36</v>
      </c>
      <c r="AF299" s="265">
        <v>1.36</v>
      </c>
      <c r="AG299" s="265">
        <v>1.36</v>
      </c>
      <c r="AH299" s="265">
        <v>1.36</v>
      </c>
      <c r="AI299" s="265">
        <v>1.36</v>
      </c>
      <c r="AJ299" s="265">
        <v>1.36</v>
      </c>
      <c r="AK299" s="265">
        <v>1.36</v>
      </c>
      <c r="AL299" s="266" t="s">
        <v>573</v>
      </c>
      <c r="AM299" s="265">
        <f t="shared" si="80"/>
        <v>0</v>
      </c>
      <c r="AN299" s="266">
        <v>1040</v>
      </c>
      <c r="AO299" s="265">
        <f t="shared" si="78"/>
        <v>1414.4</v>
      </c>
      <c r="AP299" s="266">
        <v>0</v>
      </c>
      <c r="AQ299" s="265">
        <f t="shared" si="81"/>
        <v>0</v>
      </c>
      <c r="AR299" s="266">
        <v>0</v>
      </c>
      <c r="AS299" s="262">
        <f t="shared" si="82"/>
        <v>0</v>
      </c>
      <c r="AT299" s="266">
        <v>0</v>
      </c>
      <c r="AU299" s="260">
        <f t="shared" si="83"/>
        <v>0</v>
      </c>
      <c r="AV299" s="259">
        <v>0</v>
      </c>
      <c r="AW299" s="260">
        <f t="shared" si="84"/>
        <v>0</v>
      </c>
      <c r="AX299" s="261" t="s">
        <v>573</v>
      </c>
      <c r="AY299" s="260">
        <f t="shared" si="85"/>
        <v>0</v>
      </c>
      <c r="AZ299" s="259" t="s">
        <v>573</v>
      </c>
      <c r="BA299" s="260">
        <f t="shared" si="86"/>
        <v>0</v>
      </c>
      <c r="BB299" s="259" t="s">
        <v>573</v>
      </c>
      <c r="BC299" s="260">
        <f t="shared" si="87"/>
        <v>0</v>
      </c>
      <c r="BD299" s="259" t="s">
        <v>573</v>
      </c>
      <c r="BE299" s="260">
        <f t="shared" si="88"/>
        <v>0</v>
      </c>
      <c r="BF299" s="259">
        <v>1040</v>
      </c>
      <c r="BG299" s="260">
        <f t="shared" si="89"/>
        <v>1414.4</v>
      </c>
      <c r="BH299" s="259" t="s">
        <v>573</v>
      </c>
      <c r="BI299" s="260">
        <f t="shared" si="79"/>
        <v>0</v>
      </c>
      <c r="BJ299" s="58"/>
      <c r="BK299" s="220"/>
      <c r="BL299" s="213" t="s">
        <v>197</v>
      </c>
      <c r="BM299" s="58" t="s">
        <v>654</v>
      </c>
    </row>
    <row r="300" spans="1:65" ht="15.75" customHeight="1">
      <c r="A300" s="213" t="s">
        <v>1437</v>
      </c>
      <c r="B300" s="58" t="s">
        <v>1346</v>
      </c>
      <c r="C300" s="58" t="s">
        <v>752</v>
      </c>
      <c r="D300" s="214" t="s">
        <v>186</v>
      </c>
      <c r="E300" s="214" t="s">
        <v>186</v>
      </c>
      <c r="F300" s="215" t="s">
        <v>186</v>
      </c>
      <c r="G300" s="216">
        <v>2023</v>
      </c>
      <c r="H300" s="218" t="s">
        <v>825</v>
      </c>
      <c r="I300" s="218" t="s">
        <v>201</v>
      </c>
      <c r="J300" s="217" t="s">
        <v>890</v>
      </c>
      <c r="K300" s="213" t="s">
        <v>753</v>
      </c>
      <c r="L300" s="213" t="s">
        <v>192</v>
      </c>
      <c r="M300" s="219" t="s">
        <v>1388</v>
      </c>
      <c r="N300" s="265">
        <v>29.18</v>
      </c>
      <c r="O300" s="265">
        <v>29.18</v>
      </c>
      <c r="P300" s="265">
        <v>29.18</v>
      </c>
      <c r="Q300" s="265">
        <v>29.18</v>
      </c>
      <c r="R300" s="265">
        <v>29.18</v>
      </c>
      <c r="S300" s="265">
        <v>29.18</v>
      </c>
      <c r="T300" s="265">
        <v>29.18</v>
      </c>
      <c r="U300" s="265">
        <v>29.18</v>
      </c>
      <c r="V300" s="265">
        <v>29.18</v>
      </c>
      <c r="W300" s="265">
        <v>29.18</v>
      </c>
      <c r="X300" s="265">
        <v>29.18</v>
      </c>
      <c r="Y300" s="265">
        <v>29.18</v>
      </c>
      <c r="Z300" s="265">
        <v>1.36</v>
      </c>
      <c r="AA300" s="265">
        <v>1.36</v>
      </c>
      <c r="AB300" s="265">
        <v>1.36</v>
      </c>
      <c r="AC300" s="265">
        <v>1.36</v>
      </c>
      <c r="AD300" s="265">
        <v>1.36</v>
      </c>
      <c r="AE300" s="265">
        <v>1.36</v>
      </c>
      <c r="AF300" s="265">
        <v>1.36</v>
      </c>
      <c r="AG300" s="265">
        <v>1.36</v>
      </c>
      <c r="AH300" s="265">
        <v>1.36</v>
      </c>
      <c r="AI300" s="265">
        <v>1.36</v>
      </c>
      <c r="AJ300" s="265">
        <v>1.36</v>
      </c>
      <c r="AK300" s="265">
        <v>1.36</v>
      </c>
      <c r="AL300" s="266" t="s">
        <v>573</v>
      </c>
      <c r="AM300" s="265">
        <f t="shared" si="80"/>
        <v>0</v>
      </c>
      <c r="AN300" s="266" t="s">
        <v>573</v>
      </c>
      <c r="AO300" s="265">
        <f t="shared" si="78"/>
        <v>0</v>
      </c>
      <c r="AP300" s="266">
        <v>0</v>
      </c>
      <c r="AQ300" s="265">
        <f t="shared" si="81"/>
        <v>0</v>
      </c>
      <c r="AR300" s="266">
        <v>0</v>
      </c>
      <c r="AS300" s="262">
        <f t="shared" si="82"/>
        <v>0</v>
      </c>
      <c r="AT300" s="266">
        <v>0</v>
      </c>
      <c r="AU300" s="260">
        <f t="shared" si="83"/>
        <v>0</v>
      </c>
      <c r="AV300" s="259">
        <v>0</v>
      </c>
      <c r="AW300" s="260">
        <f t="shared" si="84"/>
        <v>0</v>
      </c>
      <c r="AX300" s="261" t="s">
        <v>573</v>
      </c>
      <c r="AY300" s="260">
        <f t="shared" si="85"/>
        <v>0</v>
      </c>
      <c r="AZ300" s="259" t="s">
        <v>573</v>
      </c>
      <c r="BA300" s="260">
        <f t="shared" si="86"/>
        <v>0</v>
      </c>
      <c r="BB300" s="259" t="s">
        <v>573</v>
      </c>
      <c r="BC300" s="260">
        <f t="shared" si="87"/>
        <v>0</v>
      </c>
      <c r="BD300" s="259" t="s">
        <v>573</v>
      </c>
      <c r="BE300" s="260">
        <f t="shared" si="88"/>
        <v>0</v>
      </c>
      <c r="BF300" s="259" t="s">
        <v>573</v>
      </c>
      <c r="BG300" s="260">
        <f t="shared" si="89"/>
        <v>0</v>
      </c>
      <c r="BH300" s="259" t="s">
        <v>573</v>
      </c>
      <c r="BI300" s="260">
        <f t="shared" si="79"/>
        <v>0</v>
      </c>
      <c r="BJ300" s="58"/>
      <c r="BK300" s="220"/>
      <c r="BL300" s="213" t="s">
        <v>754</v>
      </c>
      <c r="BM300" s="58" t="s">
        <v>655</v>
      </c>
    </row>
    <row r="301" spans="1:65" ht="15.75" customHeight="1">
      <c r="A301" s="213" t="s">
        <v>1437</v>
      </c>
      <c r="B301" s="58" t="s">
        <v>1346</v>
      </c>
      <c r="C301" s="58" t="s">
        <v>752</v>
      </c>
      <c r="D301" s="214" t="s">
        <v>186</v>
      </c>
      <c r="E301" s="214" t="s">
        <v>186</v>
      </c>
      <c r="F301" s="215" t="s">
        <v>186</v>
      </c>
      <c r="G301" s="216">
        <v>2023</v>
      </c>
      <c r="H301" s="218" t="s">
        <v>825</v>
      </c>
      <c r="I301" s="218" t="s">
        <v>201</v>
      </c>
      <c r="J301" s="217" t="s">
        <v>890</v>
      </c>
      <c r="K301" s="213" t="s">
        <v>753</v>
      </c>
      <c r="L301" s="213" t="s">
        <v>192</v>
      </c>
      <c r="M301" s="219" t="s">
        <v>1390</v>
      </c>
      <c r="N301" s="265">
        <v>29.2</v>
      </c>
      <c r="O301" s="265">
        <v>29.2</v>
      </c>
      <c r="P301" s="265">
        <v>29.18</v>
      </c>
      <c r="Q301" s="265">
        <v>29.18</v>
      </c>
      <c r="R301" s="265">
        <v>29.18</v>
      </c>
      <c r="S301" s="265">
        <v>29.18</v>
      </c>
      <c r="T301" s="265">
        <v>29.18</v>
      </c>
      <c r="U301" s="265">
        <v>29.18</v>
      </c>
      <c r="V301" s="265">
        <v>29.18</v>
      </c>
      <c r="W301" s="265">
        <v>29.18</v>
      </c>
      <c r="X301" s="265">
        <v>29.18</v>
      </c>
      <c r="Y301" s="265">
        <v>29.18</v>
      </c>
      <c r="Z301" s="265">
        <v>1.36</v>
      </c>
      <c r="AA301" s="265">
        <v>1.36</v>
      </c>
      <c r="AB301" s="265">
        <v>1.36</v>
      </c>
      <c r="AC301" s="265">
        <v>1.36</v>
      </c>
      <c r="AD301" s="265">
        <v>1.36</v>
      </c>
      <c r="AE301" s="265">
        <v>1.36</v>
      </c>
      <c r="AF301" s="265">
        <v>1.36</v>
      </c>
      <c r="AG301" s="265">
        <v>1.36</v>
      </c>
      <c r="AH301" s="265">
        <v>1.36</v>
      </c>
      <c r="AI301" s="265">
        <v>1.36</v>
      </c>
      <c r="AJ301" s="265">
        <v>1.36</v>
      </c>
      <c r="AK301" s="265">
        <v>1.36</v>
      </c>
      <c r="AL301" s="266">
        <v>4040</v>
      </c>
      <c r="AM301" s="265">
        <f t="shared" si="80"/>
        <v>5494.4000000000005</v>
      </c>
      <c r="AN301" s="266">
        <v>10000</v>
      </c>
      <c r="AO301" s="265">
        <f t="shared" si="78"/>
        <v>13600.000000000002</v>
      </c>
      <c r="AP301" s="266">
        <v>0</v>
      </c>
      <c r="AQ301" s="265">
        <f t="shared" si="81"/>
        <v>0</v>
      </c>
      <c r="AR301" s="266">
        <v>2080</v>
      </c>
      <c r="AS301" s="262">
        <f t="shared" si="82"/>
        <v>2828.8</v>
      </c>
      <c r="AT301" s="266">
        <v>0</v>
      </c>
      <c r="AU301" s="260">
        <f t="shared" si="83"/>
        <v>0</v>
      </c>
      <c r="AV301" s="259">
        <v>0</v>
      </c>
      <c r="AW301" s="260">
        <f t="shared" si="84"/>
        <v>0</v>
      </c>
      <c r="AX301" s="261">
        <v>0</v>
      </c>
      <c r="AY301" s="260">
        <f t="shared" si="85"/>
        <v>0</v>
      </c>
      <c r="AZ301" s="259">
        <v>0</v>
      </c>
      <c r="BA301" s="260">
        <f t="shared" si="86"/>
        <v>0</v>
      </c>
      <c r="BB301" s="259">
        <v>0</v>
      </c>
      <c r="BC301" s="260">
        <f t="shared" si="87"/>
        <v>0</v>
      </c>
      <c r="BD301" s="259">
        <v>4200</v>
      </c>
      <c r="BE301" s="260">
        <f t="shared" si="88"/>
        <v>5712</v>
      </c>
      <c r="BF301" s="259" t="s">
        <v>573</v>
      </c>
      <c r="BG301" s="260">
        <f t="shared" si="89"/>
        <v>0</v>
      </c>
      <c r="BH301" s="259">
        <v>2080</v>
      </c>
      <c r="BI301" s="260">
        <f t="shared" si="79"/>
        <v>2828.8</v>
      </c>
      <c r="BJ301" s="58"/>
      <c r="BK301" s="220"/>
      <c r="BL301" s="213" t="s">
        <v>763</v>
      </c>
      <c r="BM301" s="58" t="s">
        <v>656</v>
      </c>
    </row>
    <row r="302" spans="1:65" ht="15.75" customHeight="1">
      <c r="A302" s="213" t="s">
        <v>1437</v>
      </c>
      <c r="B302" s="58" t="s">
        <v>1346</v>
      </c>
      <c r="C302" s="58" t="s">
        <v>752</v>
      </c>
      <c r="D302" s="214" t="s">
        <v>186</v>
      </c>
      <c r="E302" s="214" t="s">
        <v>186</v>
      </c>
      <c r="F302" s="215" t="s">
        <v>186</v>
      </c>
      <c r="G302" s="216">
        <v>2023</v>
      </c>
      <c r="H302" s="218" t="s">
        <v>825</v>
      </c>
      <c r="I302" s="218" t="s">
        <v>201</v>
      </c>
      <c r="J302" s="217" t="s">
        <v>890</v>
      </c>
      <c r="K302" s="213" t="s">
        <v>753</v>
      </c>
      <c r="L302" s="213" t="s">
        <v>192</v>
      </c>
      <c r="M302" s="219" t="s">
        <v>1388</v>
      </c>
      <c r="N302" s="265">
        <v>29.18</v>
      </c>
      <c r="O302" s="265">
        <v>29.18</v>
      </c>
      <c r="P302" s="265">
        <v>29.18</v>
      </c>
      <c r="Q302" s="265">
        <v>29.18</v>
      </c>
      <c r="R302" s="265">
        <v>29.18</v>
      </c>
      <c r="S302" s="265">
        <v>29.18</v>
      </c>
      <c r="T302" s="265">
        <v>29.18</v>
      </c>
      <c r="U302" s="265">
        <v>29.18</v>
      </c>
      <c r="V302" s="265">
        <v>29.18</v>
      </c>
      <c r="W302" s="265">
        <v>29.18</v>
      </c>
      <c r="X302" s="265">
        <v>29.18</v>
      </c>
      <c r="Y302" s="265">
        <v>29.18</v>
      </c>
      <c r="Z302" s="265">
        <v>1.36</v>
      </c>
      <c r="AA302" s="265">
        <v>1.36</v>
      </c>
      <c r="AB302" s="265">
        <v>1.36</v>
      </c>
      <c r="AC302" s="265">
        <v>1.36</v>
      </c>
      <c r="AD302" s="265">
        <v>1.36</v>
      </c>
      <c r="AE302" s="265">
        <v>1.36</v>
      </c>
      <c r="AF302" s="265">
        <v>1.36</v>
      </c>
      <c r="AG302" s="265">
        <v>1.36</v>
      </c>
      <c r="AH302" s="265">
        <v>1.36</v>
      </c>
      <c r="AI302" s="265">
        <v>1.36</v>
      </c>
      <c r="AJ302" s="265">
        <v>1.36</v>
      </c>
      <c r="AK302" s="265">
        <v>1.36</v>
      </c>
      <c r="AL302" s="266" t="s">
        <v>573</v>
      </c>
      <c r="AM302" s="265">
        <f t="shared" si="80"/>
        <v>0</v>
      </c>
      <c r="AN302" s="266" t="s">
        <v>573</v>
      </c>
      <c r="AO302" s="265">
        <f t="shared" si="78"/>
        <v>0</v>
      </c>
      <c r="AP302" s="266">
        <v>0</v>
      </c>
      <c r="AQ302" s="265">
        <f t="shared" si="81"/>
        <v>0</v>
      </c>
      <c r="AR302" s="266">
        <v>0</v>
      </c>
      <c r="AS302" s="262">
        <f t="shared" si="82"/>
        <v>0</v>
      </c>
      <c r="AT302" s="266">
        <v>0</v>
      </c>
      <c r="AU302" s="260">
        <f t="shared" si="83"/>
        <v>0</v>
      </c>
      <c r="AV302" s="259">
        <v>0</v>
      </c>
      <c r="AW302" s="260">
        <f t="shared" si="84"/>
        <v>0</v>
      </c>
      <c r="AX302" s="261" t="s">
        <v>573</v>
      </c>
      <c r="AY302" s="260">
        <f t="shared" si="85"/>
        <v>0</v>
      </c>
      <c r="AZ302" s="259" t="s">
        <v>573</v>
      </c>
      <c r="BA302" s="260">
        <f t="shared" si="86"/>
        <v>0</v>
      </c>
      <c r="BB302" s="259" t="s">
        <v>573</v>
      </c>
      <c r="BC302" s="260">
        <f t="shared" si="87"/>
        <v>0</v>
      </c>
      <c r="BD302" s="259" t="s">
        <v>573</v>
      </c>
      <c r="BE302" s="260">
        <f t="shared" si="88"/>
        <v>0</v>
      </c>
      <c r="BF302" s="259" t="s">
        <v>573</v>
      </c>
      <c r="BG302" s="260">
        <f t="shared" si="89"/>
        <v>0</v>
      </c>
      <c r="BH302" s="259">
        <v>1040</v>
      </c>
      <c r="BI302" s="260">
        <f t="shared" si="79"/>
        <v>1414.4</v>
      </c>
      <c r="BJ302" s="58"/>
      <c r="BK302" s="220"/>
      <c r="BL302" s="213" t="s">
        <v>754</v>
      </c>
      <c r="BM302" s="58" t="s">
        <v>657</v>
      </c>
    </row>
    <row r="303" spans="1:65" ht="15.75" customHeight="1">
      <c r="A303" s="213" t="s">
        <v>1437</v>
      </c>
      <c r="B303" s="58" t="s">
        <v>1346</v>
      </c>
      <c r="C303" s="58" t="s">
        <v>752</v>
      </c>
      <c r="D303" s="214" t="s">
        <v>186</v>
      </c>
      <c r="E303" s="214" t="s">
        <v>186</v>
      </c>
      <c r="F303" s="215" t="s">
        <v>186</v>
      </c>
      <c r="G303" s="216">
        <v>2023</v>
      </c>
      <c r="H303" s="218" t="s">
        <v>825</v>
      </c>
      <c r="I303" s="218" t="s">
        <v>201</v>
      </c>
      <c r="J303" s="217" t="s">
        <v>890</v>
      </c>
      <c r="K303" s="213" t="s">
        <v>753</v>
      </c>
      <c r="L303" s="213" t="s">
        <v>192</v>
      </c>
      <c r="M303" s="219" t="s">
        <v>1388</v>
      </c>
      <c r="N303" s="265">
        <v>29.25</v>
      </c>
      <c r="O303" s="265">
        <v>29.23</v>
      </c>
      <c r="P303" s="265">
        <v>29.23</v>
      </c>
      <c r="Q303" s="265">
        <v>29.23</v>
      </c>
      <c r="R303" s="265">
        <v>29.23</v>
      </c>
      <c r="S303" s="265">
        <v>29.23</v>
      </c>
      <c r="T303" s="265">
        <v>29.23</v>
      </c>
      <c r="U303" s="265">
        <v>29.23</v>
      </c>
      <c r="V303" s="265">
        <v>29.23</v>
      </c>
      <c r="W303" s="265">
        <v>29.23</v>
      </c>
      <c r="X303" s="265">
        <v>29.23</v>
      </c>
      <c r="Y303" s="265">
        <v>29.23</v>
      </c>
      <c r="Z303" s="265">
        <v>1.36</v>
      </c>
      <c r="AA303" s="265">
        <v>1.36</v>
      </c>
      <c r="AB303" s="265">
        <v>1.36</v>
      </c>
      <c r="AC303" s="265">
        <v>1.36</v>
      </c>
      <c r="AD303" s="265">
        <v>1.36</v>
      </c>
      <c r="AE303" s="265">
        <v>1.36</v>
      </c>
      <c r="AF303" s="265">
        <v>1.36</v>
      </c>
      <c r="AG303" s="265">
        <v>1.36</v>
      </c>
      <c r="AH303" s="265">
        <v>1.36</v>
      </c>
      <c r="AI303" s="265">
        <v>1.36</v>
      </c>
      <c r="AJ303" s="265">
        <v>1.36</v>
      </c>
      <c r="AK303" s="265">
        <v>1.36</v>
      </c>
      <c r="AL303" s="266">
        <v>2080</v>
      </c>
      <c r="AM303" s="265">
        <f t="shared" si="80"/>
        <v>2828.8</v>
      </c>
      <c r="AN303" s="266">
        <v>1040</v>
      </c>
      <c r="AO303" s="265">
        <f t="shared" si="78"/>
        <v>1414.4</v>
      </c>
      <c r="AP303" s="266">
        <v>2080</v>
      </c>
      <c r="AQ303" s="265">
        <f t="shared" si="81"/>
        <v>2828.8</v>
      </c>
      <c r="AR303" s="266">
        <v>2080</v>
      </c>
      <c r="AS303" s="262">
        <f t="shared" si="82"/>
        <v>2828.8</v>
      </c>
      <c r="AT303" s="266">
        <v>1040</v>
      </c>
      <c r="AU303" s="260">
        <f t="shared" si="83"/>
        <v>1414.4</v>
      </c>
      <c r="AV303" s="259">
        <v>1040</v>
      </c>
      <c r="AW303" s="260">
        <f t="shared" si="84"/>
        <v>1414.4</v>
      </c>
      <c r="AX303" s="261" t="s">
        <v>573</v>
      </c>
      <c r="AY303" s="260">
        <f t="shared" si="85"/>
        <v>0</v>
      </c>
      <c r="AZ303" s="259">
        <v>0</v>
      </c>
      <c r="BA303" s="260">
        <f t="shared" si="86"/>
        <v>0</v>
      </c>
      <c r="BB303" s="259" t="s">
        <v>573</v>
      </c>
      <c r="BC303" s="260">
        <f t="shared" si="87"/>
        <v>0</v>
      </c>
      <c r="BD303" s="259" t="s">
        <v>573</v>
      </c>
      <c r="BE303" s="260">
        <f t="shared" si="88"/>
        <v>0</v>
      </c>
      <c r="BF303" s="259">
        <v>1040</v>
      </c>
      <c r="BG303" s="260">
        <f t="shared" si="89"/>
        <v>1414.4</v>
      </c>
      <c r="BH303" s="259" t="s">
        <v>573</v>
      </c>
      <c r="BI303" s="260">
        <f t="shared" si="79"/>
        <v>0</v>
      </c>
      <c r="BJ303" s="58"/>
      <c r="BK303" s="220"/>
      <c r="BL303" s="213" t="s">
        <v>197</v>
      </c>
      <c r="BM303" s="58" t="s">
        <v>1500</v>
      </c>
    </row>
    <row r="304" spans="1:65" ht="15.75" customHeight="1">
      <c r="A304" s="213" t="s">
        <v>1437</v>
      </c>
      <c r="B304" s="58" t="s">
        <v>1346</v>
      </c>
      <c r="C304" s="58" t="s">
        <v>752</v>
      </c>
      <c r="D304" s="214" t="s">
        <v>186</v>
      </c>
      <c r="E304" s="214" t="s">
        <v>186</v>
      </c>
      <c r="F304" s="215" t="s">
        <v>186</v>
      </c>
      <c r="G304" s="216">
        <v>2023</v>
      </c>
      <c r="H304" s="218" t="s">
        <v>825</v>
      </c>
      <c r="I304" s="218" t="s">
        <v>201</v>
      </c>
      <c r="J304" s="217" t="s">
        <v>890</v>
      </c>
      <c r="K304" s="213" t="s">
        <v>753</v>
      </c>
      <c r="L304" s="213" t="s">
        <v>192</v>
      </c>
      <c r="M304" s="219" t="s">
        <v>1388</v>
      </c>
      <c r="N304" s="265">
        <v>29.23</v>
      </c>
      <c r="O304" s="265">
        <v>29.23</v>
      </c>
      <c r="P304" s="265">
        <v>29.23</v>
      </c>
      <c r="Q304" s="265">
        <v>29.23</v>
      </c>
      <c r="R304" s="265">
        <v>29.23</v>
      </c>
      <c r="S304" s="265">
        <v>29.23</v>
      </c>
      <c r="T304" s="265">
        <v>29.23</v>
      </c>
      <c r="U304" s="265">
        <v>29.23</v>
      </c>
      <c r="V304" s="265">
        <v>29.23</v>
      </c>
      <c r="W304" s="265">
        <v>29.23</v>
      </c>
      <c r="X304" s="265">
        <v>29.23</v>
      </c>
      <c r="Y304" s="265">
        <v>29.23</v>
      </c>
      <c r="Z304" s="265">
        <v>1.36</v>
      </c>
      <c r="AA304" s="265">
        <v>1.36</v>
      </c>
      <c r="AB304" s="265">
        <v>1.36</v>
      </c>
      <c r="AC304" s="265">
        <v>1.36</v>
      </c>
      <c r="AD304" s="265">
        <v>1.36</v>
      </c>
      <c r="AE304" s="265">
        <v>1.36</v>
      </c>
      <c r="AF304" s="265">
        <v>1.36</v>
      </c>
      <c r="AG304" s="265">
        <v>1.36</v>
      </c>
      <c r="AH304" s="265">
        <v>1.36</v>
      </c>
      <c r="AI304" s="265">
        <v>1.36</v>
      </c>
      <c r="AJ304" s="265">
        <v>1.36</v>
      </c>
      <c r="AK304" s="265">
        <v>1.36</v>
      </c>
      <c r="AL304" s="266" t="s">
        <v>573</v>
      </c>
      <c r="AM304" s="265">
        <f t="shared" si="80"/>
        <v>0</v>
      </c>
      <c r="AN304" s="266" t="s">
        <v>573</v>
      </c>
      <c r="AO304" s="265">
        <f t="shared" si="78"/>
        <v>0</v>
      </c>
      <c r="AP304" s="266">
        <v>0</v>
      </c>
      <c r="AQ304" s="265">
        <f t="shared" si="81"/>
        <v>0</v>
      </c>
      <c r="AR304" s="266">
        <v>0</v>
      </c>
      <c r="AS304" s="262">
        <f t="shared" si="82"/>
        <v>0</v>
      </c>
      <c r="AT304" s="266">
        <v>0</v>
      </c>
      <c r="AU304" s="260">
        <f t="shared" si="83"/>
        <v>0</v>
      </c>
      <c r="AV304" s="259">
        <v>640</v>
      </c>
      <c r="AW304" s="260">
        <f t="shared" si="84"/>
        <v>870.40000000000009</v>
      </c>
      <c r="AX304" s="261" t="s">
        <v>573</v>
      </c>
      <c r="AY304" s="260">
        <f t="shared" si="85"/>
        <v>0</v>
      </c>
      <c r="AZ304" s="259" t="s">
        <v>573</v>
      </c>
      <c r="BA304" s="260">
        <f t="shared" si="86"/>
        <v>0</v>
      </c>
      <c r="BB304" s="259" t="s">
        <v>573</v>
      </c>
      <c r="BC304" s="260">
        <f t="shared" si="87"/>
        <v>0</v>
      </c>
      <c r="BD304" s="259" t="s">
        <v>573</v>
      </c>
      <c r="BE304" s="260">
        <f t="shared" si="88"/>
        <v>0</v>
      </c>
      <c r="BF304" s="259" t="s">
        <v>573</v>
      </c>
      <c r="BG304" s="260">
        <f t="shared" si="89"/>
        <v>0</v>
      </c>
      <c r="BH304" s="259" t="s">
        <v>573</v>
      </c>
      <c r="BI304" s="260">
        <f t="shared" si="79"/>
        <v>0</v>
      </c>
      <c r="BJ304" s="58"/>
      <c r="BK304" s="220"/>
      <c r="BL304" s="213" t="s">
        <v>754</v>
      </c>
      <c r="BM304" s="58" t="s">
        <v>1501</v>
      </c>
    </row>
    <row r="305" spans="1:65" ht="15.75" customHeight="1">
      <c r="A305" s="213" t="s">
        <v>1437</v>
      </c>
      <c r="B305" s="58" t="s">
        <v>1346</v>
      </c>
      <c r="C305" s="58" t="s">
        <v>752</v>
      </c>
      <c r="D305" s="214" t="s">
        <v>186</v>
      </c>
      <c r="E305" s="214" t="s">
        <v>186</v>
      </c>
      <c r="F305" s="215" t="s">
        <v>186</v>
      </c>
      <c r="G305" s="216">
        <v>2023</v>
      </c>
      <c r="H305" s="218" t="s">
        <v>825</v>
      </c>
      <c r="I305" s="218" t="s">
        <v>201</v>
      </c>
      <c r="J305" s="217" t="s">
        <v>890</v>
      </c>
      <c r="K305" s="213" t="s">
        <v>753</v>
      </c>
      <c r="L305" s="213" t="s">
        <v>192</v>
      </c>
      <c r="M305" s="219" t="s">
        <v>1390</v>
      </c>
      <c r="N305" s="265">
        <v>29.23</v>
      </c>
      <c r="O305" s="265">
        <v>29.23</v>
      </c>
      <c r="P305" s="265">
        <v>29.23</v>
      </c>
      <c r="Q305" s="265">
        <v>29.23</v>
      </c>
      <c r="R305" s="265">
        <v>29.23</v>
      </c>
      <c r="S305" s="265">
        <v>29.23</v>
      </c>
      <c r="T305" s="265">
        <v>29.23</v>
      </c>
      <c r="U305" s="265">
        <v>29.23</v>
      </c>
      <c r="V305" s="265">
        <v>29.23</v>
      </c>
      <c r="W305" s="265">
        <v>29.23</v>
      </c>
      <c r="X305" s="265">
        <v>29.23</v>
      </c>
      <c r="Y305" s="265">
        <v>29.23</v>
      </c>
      <c r="Z305" s="265">
        <v>1.36</v>
      </c>
      <c r="AA305" s="265">
        <v>1.36</v>
      </c>
      <c r="AB305" s="265">
        <v>1.36</v>
      </c>
      <c r="AC305" s="265">
        <v>1.36</v>
      </c>
      <c r="AD305" s="265">
        <v>1.36</v>
      </c>
      <c r="AE305" s="265">
        <v>1.36</v>
      </c>
      <c r="AF305" s="265">
        <v>1.36</v>
      </c>
      <c r="AG305" s="265">
        <v>1.36</v>
      </c>
      <c r="AH305" s="265">
        <v>1.36</v>
      </c>
      <c r="AI305" s="265">
        <v>1.36</v>
      </c>
      <c r="AJ305" s="265">
        <v>1.36</v>
      </c>
      <c r="AK305" s="265">
        <v>1.36</v>
      </c>
      <c r="AL305" s="266" t="s">
        <v>573</v>
      </c>
      <c r="AM305" s="265">
        <f t="shared" si="80"/>
        <v>0</v>
      </c>
      <c r="AN305" s="266">
        <v>2000</v>
      </c>
      <c r="AO305" s="265">
        <f t="shared" si="78"/>
        <v>2720</v>
      </c>
      <c r="AP305" s="266">
        <v>16000</v>
      </c>
      <c r="AQ305" s="265">
        <f t="shared" si="81"/>
        <v>21760</v>
      </c>
      <c r="AR305" s="266">
        <v>4000</v>
      </c>
      <c r="AS305" s="262">
        <f t="shared" si="82"/>
        <v>5440</v>
      </c>
      <c r="AT305" s="266">
        <v>20500</v>
      </c>
      <c r="AU305" s="260">
        <f t="shared" si="83"/>
        <v>27880.000000000004</v>
      </c>
      <c r="AV305" s="259">
        <v>17500</v>
      </c>
      <c r="AW305" s="260">
        <f t="shared" si="84"/>
        <v>23800</v>
      </c>
      <c r="AX305" s="261">
        <v>7666</v>
      </c>
      <c r="AY305" s="260">
        <f t="shared" si="85"/>
        <v>10425.76</v>
      </c>
      <c r="AZ305" s="259">
        <v>7666</v>
      </c>
      <c r="BA305" s="260">
        <f t="shared" si="86"/>
        <v>10425.76</v>
      </c>
      <c r="BB305" s="259">
        <v>7668</v>
      </c>
      <c r="BC305" s="260">
        <f t="shared" si="87"/>
        <v>10428.480000000001</v>
      </c>
      <c r="BD305" s="259">
        <v>12200</v>
      </c>
      <c r="BE305" s="260">
        <f t="shared" si="88"/>
        <v>16592</v>
      </c>
      <c r="BF305" s="259" t="s">
        <v>573</v>
      </c>
      <c r="BG305" s="260">
        <f t="shared" si="89"/>
        <v>0</v>
      </c>
      <c r="BH305" s="259">
        <v>5242</v>
      </c>
      <c r="BI305" s="260">
        <f t="shared" si="79"/>
        <v>7129.1200000000008</v>
      </c>
      <c r="BJ305" s="58"/>
      <c r="BK305" s="220"/>
      <c r="BL305" s="213" t="s">
        <v>763</v>
      </c>
      <c r="BM305" s="58" t="s">
        <v>1502</v>
      </c>
    </row>
    <row r="306" spans="1:65" ht="15.75" customHeight="1">
      <c r="A306" s="213" t="s">
        <v>1437</v>
      </c>
      <c r="B306" s="58" t="s">
        <v>1346</v>
      </c>
      <c r="C306" s="58" t="s">
        <v>752</v>
      </c>
      <c r="D306" s="214" t="s">
        <v>186</v>
      </c>
      <c r="E306" s="214" t="s">
        <v>186</v>
      </c>
      <c r="F306" s="215" t="s">
        <v>186</v>
      </c>
      <c r="G306" s="216">
        <v>2023</v>
      </c>
      <c r="H306" s="218" t="s">
        <v>825</v>
      </c>
      <c r="I306" s="218" t="s">
        <v>201</v>
      </c>
      <c r="J306" s="217" t="s">
        <v>890</v>
      </c>
      <c r="K306" s="213" t="s">
        <v>753</v>
      </c>
      <c r="L306" s="213" t="s">
        <v>192</v>
      </c>
      <c r="M306" s="219" t="s">
        <v>1390</v>
      </c>
      <c r="N306" s="265">
        <v>29.25</v>
      </c>
      <c r="O306" s="265">
        <v>29.25</v>
      </c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>
        <v>1.36</v>
      </c>
      <c r="AA306" s="265">
        <v>1.36</v>
      </c>
      <c r="AB306" s="265"/>
      <c r="AC306" s="265"/>
      <c r="AD306" s="265"/>
      <c r="AE306" s="265"/>
      <c r="AF306" s="265"/>
      <c r="AG306" s="265"/>
      <c r="AH306" s="265"/>
      <c r="AI306" s="265"/>
      <c r="AJ306" s="265"/>
      <c r="AK306" s="265"/>
      <c r="AL306" s="266" t="s">
        <v>573</v>
      </c>
      <c r="AM306" s="265">
        <f t="shared" si="80"/>
        <v>0</v>
      </c>
      <c r="AN306" s="266">
        <v>2080</v>
      </c>
      <c r="AO306" s="265">
        <f t="shared" si="78"/>
        <v>2828.8</v>
      </c>
      <c r="AP306" s="266">
        <v>0</v>
      </c>
      <c r="AQ306" s="265">
        <f t="shared" si="81"/>
        <v>0</v>
      </c>
      <c r="AR306" s="266">
        <v>0</v>
      </c>
      <c r="AS306" s="262">
        <f t="shared" si="82"/>
        <v>0</v>
      </c>
      <c r="AT306" s="266">
        <v>0</v>
      </c>
      <c r="AU306" s="260">
        <f t="shared" si="83"/>
        <v>0</v>
      </c>
      <c r="AV306" s="259">
        <v>0</v>
      </c>
      <c r="AW306" s="260">
        <f t="shared" si="84"/>
        <v>0</v>
      </c>
      <c r="AX306" s="261">
        <v>0</v>
      </c>
      <c r="AY306" s="260">
        <f t="shared" si="85"/>
        <v>0</v>
      </c>
      <c r="AZ306" s="259">
        <v>0</v>
      </c>
      <c r="BA306" s="260">
        <f t="shared" si="86"/>
        <v>0</v>
      </c>
      <c r="BB306" s="259">
        <v>0</v>
      </c>
      <c r="BC306" s="260">
        <f t="shared" si="87"/>
        <v>0</v>
      </c>
      <c r="BD306" s="259">
        <v>0</v>
      </c>
      <c r="BE306" s="260">
        <f t="shared" si="88"/>
        <v>0</v>
      </c>
      <c r="BF306" s="259" t="s">
        <v>573</v>
      </c>
      <c r="BG306" s="260">
        <f t="shared" si="89"/>
        <v>0</v>
      </c>
      <c r="BH306" s="259">
        <v>0</v>
      </c>
      <c r="BI306" s="260">
        <f t="shared" si="79"/>
        <v>0</v>
      </c>
      <c r="BJ306" s="58"/>
      <c r="BK306" s="220"/>
      <c r="BL306" s="213" t="s">
        <v>763</v>
      </c>
      <c r="BM306" s="58" t="s">
        <v>1502</v>
      </c>
    </row>
    <row r="307" spans="1:65" ht="15.75" customHeight="1">
      <c r="A307" s="213" t="s">
        <v>1437</v>
      </c>
      <c r="B307" s="58" t="s">
        <v>1346</v>
      </c>
      <c r="C307" s="58" t="s">
        <v>752</v>
      </c>
      <c r="D307" s="214" t="s">
        <v>186</v>
      </c>
      <c r="E307" s="214" t="s">
        <v>186</v>
      </c>
      <c r="F307" s="215" t="s">
        <v>186</v>
      </c>
      <c r="G307" s="216">
        <v>2023</v>
      </c>
      <c r="H307" s="218" t="s">
        <v>825</v>
      </c>
      <c r="I307" s="218" t="s">
        <v>201</v>
      </c>
      <c r="J307" s="217" t="s">
        <v>890</v>
      </c>
      <c r="K307" s="213" t="s">
        <v>753</v>
      </c>
      <c r="L307" s="213" t="s">
        <v>192</v>
      </c>
      <c r="M307" s="219" t="s">
        <v>1388</v>
      </c>
      <c r="N307" s="265">
        <v>29.23</v>
      </c>
      <c r="O307" s="265">
        <v>29.23</v>
      </c>
      <c r="P307" s="265">
        <v>29.23</v>
      </c>
      <c r="Q307" s="265">
        <v>29.23</v>
      </c>
      <c r="R307" s="265">
        <v>29.23</v>
      </c>
      <c r="S307" s="265">
        <v>29.23</v>
      </c>
      <c r="T307" s="265">
        <v>29.23</v>
      </c>
      <c r="U307" s="265">
        <v>29.23</v>
      </c>
      <c r="V307" s="265">
        <v>29.23</v>
      </c>
      <c r="W307" s="265">
        <v>29.23</v>
      </c>
      <c r="X307" s="265">
        <v>29.23</v>
      </c>
      <c r="Y307" s="265">
        <v>29.23</v>
      </c>
      <c r="Z307" s="265">
        <v>1.36</v>
      </c>
      <c r="AA307" s="265">
        <v>1.36</v>
      </c>
      <c r="AB307" s="265">
        <v>1.36</v>
      </c>
      <c r="AC307" s="265">
        <v>1.36</v>
      </c>
      <c r="AD307" s="265">
        <v>1.36</v>
      </c>
      <c r="AE307" s="265">
        <v>1.36</v>
      </c>
      <c r="AF307" s="265">
        <v>1.36</v>
      </c>
      <c r="AG307" s="265">
        <v>1.36</v>
      </c>
      <c r="AH307" s="265">
        <v>1.36</v>
      </c>
      <c r="AI307" s="265">
        <v>1.36</v>
      </c>
      <c r="AJ307" s="265">
        <v>1.36</v>
      </c>
      <c r="AK307" s="265">
        <v>1.36</v>
      </c>
      <c r="AL307" s="266" t="s">
        <v>573</v>
      </c>
      <c r="AM307" s="265">
        <f t="shared" si="80"/>
        <v>0</v>
      </c>
      <c r="AN307" s="266" t="s">
        <v>573</v>
      </c>
      <c r="AO307" s="265">
        <f t="shared" si="78"/>
        <v>0</v>
      </c>
      <c r="AP307" s="266">
        <v>1040</v>
      </c>
      <c r="AQ307" s="265">
        <f t="shared" si="81"/>
        <v>1414.4</v>
      </c>
      <c r="AR307" s="266">
        <v>0</v>
      </c>
      <c r="AS307" s="262">
        <f t="shared" si="82"/>
        <v>0</v>
      </c>
      <c r="AT307" s="266">
        <v>3120</v>
      </c>
      <c r="AU307" s="260">
        <f t="shared" si="83"/>
        <v>4243.2000000000007</v>
      </c>
      <c r="AV307" s="259">
        <v>0</v>
      </c>
      <c r="AW307" s="260">
        <f t="shared" si="84"/>
        <v>0</v>
      </c>
      <c r="AX307" s="261" t="s">
        <v>573</v>
      </c>
      <c r="AY307" s="260">
        <f t="shared" si="85"/>
        <v>0</v>
      </c>
      <c r="AZ307" s="259" t="s">
        <v>573</v>
      </c>
      <c r="BA307" s="260">
        <f t="shared" si="86"/>
        <v>0</v>
      </c>
      <c r="BB307" s="259" t="s">
        <v>573</v>
      </c>
      <c r="BC307" s="260">
        <f t="shared" si="87"/>
        <v>0</v>
      </c>
      <c r="BD307" s="259">
        <v>1040</v>
      </c>
      <c r="BE307" s="260">
        <f t="shared" si="88"/>
        <v>1414.4</v>
      </c>
      <c r="BF307" s="259" t="s">
        <v>573</v>
      </c>
      <c r="BG307" s="260">
        <f t="shared" si="89"/>
        <v>0</v>
      </c>
      <c r="BH307" s="259">
        <v>1040</v>
      </c>
      <c r="BI307" s="260">
        <f t="shared" si="79"/>
        <v>1414.4</v>
      </c>
      <c r="BJ307" s="58"/>
      <c r="BK307" s="220"/>
      <c r="BL307" s="213" t="s">
        <v>754</v>
      </c>
      <c r="BM307" s="58" t="s">
        <v>1503</v>
      </c>
    </row>
    <row r="308" spans="1:65" ht="15.75" customHeight="1">
      <c r="A308" s="213" t="s">
        <v>1437</v>
      </c>
      <c r="B308" s="58" t="s">
        <v>1346</v>
      </c>
      <c r="C308" s="58" t="s">
        <v>752</v>
      </c>
      <c r="D308" s="214" t="s">
        <v>186</v>
      </c>
      <c r="E308" s="214" t="s">
        <v>186</v>
      </c>
      <c r="F308" s="215" t="s">
        <v>186</v>
      </c>
      <c r="G308" s="216">
        <v>2023</v>
      </c>
      <c r="H308" s="218" t="s">
        <v>826</v>
      </c>
      <c r="I308" s="218" t="s">
        <v>780</v>
      </c>
      <c r="J308" s="217" t="s">
        <v>890</v>
      </c>
      <c r="K308" s="213" t="s">
        <v>753</v>
      </c>
      <c r="L308" s="213" t="s">
        <v>192</v>
      </c>
      <c r="M308" s="219" t="s">
        <v>1388</v>
      </c>
      <c r="N308" s="265">
        <v>20.9</v>
      </c>
      <c r="O308" s="265">
        <v>20.9</v>
      </c>
      <c r="P308" s="265">
        <v>20.9</v>
      </c>
      <c r="Q308" s="265">
        <v>20.9</v>
      </c>
      <c r="R308" s="265">
        <v>20.9</v>
      </c>
      <c r="S308" s="265">
        <v>20.9</v>
      </c>
      <c r="T308" s="265">
        <v>20.9</v>
      </c>
      <c r="U308" s="265">
        <v>20.9</v>
      </c>
      <c r="V308" s="265">
        <v>20.9</v>
      </c>
      <c r="W308" s="265">
        <v>20.9</v>
      </c>
      <c r="X308" s="265">
        <v>20.9</v>
      </c>
      <c r="Y308" s="265">
        <v>20.9</v>
      </c>
      <c r="Z308" s="265">
        <v>0.94</v>
      </c>
      <c r="AA308" s="265">
        <v>0.94</v>
      </c>
      <c r="AB308" s="265">
        <v>0.94</v>
      </c>
      <c r="AC308" s="265">
        <v>0.94</v>
      </c>
      <c r="AD308" s="265">
        <v>0.94</v>
      </c>
      <c r="AE308" s="265">
        <v>0.94</v>
      </c>
      <c r="AF308" s="265">
        <v>0.94</v>
      </c>
      <c r="AG308" s="265">
        <v>0.94</v>
      </c>
      <c r="AH308" s="265">
        <v>0.94</v>
      </c>
      <c r="AI308" s="265">
        <v>0.94</v>
      </c>
      <c r="AJ308" s="265">
        <v>0.94</v>
      </c>
      <c r="AK308" s="265">
        <v>0.94</v>
      </c>
      <c r="AL308" s="266" t="s">
        <v>573</v>
      </c>
      <c r="AM308" s="265">
        <f t="shared" si="80"/>
        <v>0</v>
      </c>
      <c r="AN308" s="266" t="s">
        <v>573</v>
      </c>
      <c r="AO308" s="265">
        <f t="shared" si="78"/>
        <v>0</v>
      </c>
      <c r="AP308" s="266">
        <v>0</v>
      </c>
      <c r="AQ308" s="265">
        <f t="shared" si="81"/>
        <v>0</v>
      </c>
      <c r="AR308" s="266">
        <v>1200</v>
      </c>
      <c r="AS308" s="262">
        <f t="shared" si="82"/>
        <v>1128</v>
      </c>
      <c r="AT308" s="266">
        <v>0</v>
      </c>
      <c r="AU308" s="260">
        <f t="shared" si="83"/>
        <v>0</v>
      </c>
      <c r="AV308" s="259">
        <v>0</v>
      </c>
      <c r="AW308" s="260">
        <f t="shared" si="84"/>
        <v>0</v>
      </c>
      <c r="AX308" s="261" t="s">
        <v>573</v>
      </c>
      <c r="AY308" s="260">
        <f t="shared" si="85"/>
        <v>0</v>
      </c>
      <c r="AZ308" s="259" t="s">
        <v>573</v>
      </c>
      <c r="BA308" s="260">
        <f t="shared" si="86"/>
        <v>0</v>
      </c>
      <c r="BB308" s="259" t="s">
        <v>573</v>
      </c>
      <c r="BC308" s="260">
        <f t="shared" si="87"/>
        <v>0</v>
      </c>
      <c r="BD308" s="259" t="s">
        <v>573</v>
      </c>
      <c r="BE308" s="260">
        <f t="shared" si="88"/>
        <v>0</v>
      </c>
      <c r="BF308" s="259" t="s">
        <v>573</v>
      </c>
      <c r="BG308" s="260">
        <f t="shared" si="89"/>
        <v>0</v>
      </c>
      <c r="BH308" s="259">
        <v>0</v>
      </c>
      <c r="BI308" s="260">
        <f t="shared" si="79"/>
        <v>0</v>
      </c>
      <c r="BJ308" s="58"/>
      <c r="BK308" s="220"/>
      <c r="BL308" s="213" t="s">
        <v>197</v>
      </c>
      <c r="BM308" s="58" t="s">
        <v>658</v>
      </c>
    </row>
    <row r="309" spans="1:65" ht="15.75" customHeight="1">
      <c r="A309" s="213" t="s">
        <v>1437</v>
      </c>
      <c r="B309" s="58" t="s">
        <v>1346</v>
      </c>
      <c r="C309" s="58" t="s">
        <v>752</v>
      </c>
      <c r="D309" s="214" t="s">
        <v>186</v>
      </c>
      <c r="E309" s="214" t="s">
        <v>186</v>
      </c>
      <c r="F309" s="215" t="s">
        <v>186</v>
      </c>
      <c r="G309" s="216">
        <v>2023</v>
      </c>
      <c r="H309" s="218" t="s">
        <v>826</v>
      </c>
      <c r="I309" s="218" t="s">
        <v>780</v>
      </c>
      <c r="J309" s="217" t="s">
        <v>890</v>
      </c>
      <c r="K309" s="213" t="s">
        <v>753</v>
      </c>
      <c r="L309" s="213" t="s">
        <v>192</v>
      </c>
      <c r="M309" s="219" t="s">
        <v>1388</v>
      </c>
      <c r="N309" s="265">
        <v>20.9</v>
      </c>
      <c r="O309" s="265">
        <v>20.9</v>
      </c>
      <c r="P309" s="265">
        <v>20.9</v>
      </c>
      <c r="Q309" s="265">
        <v>20.9</v>
      </c>
      <c r="R309" s="265">
        <v>20.9</v>
      </c>
      <c r="S309" s="265">
        <v>20.9</v>
      </c>
      <c r="T309" s="265">
        <v>20.9</v>
      </c>
      <c r="U309" s="265">
        <v>20.9</v>
      </c>
      <c r="V309" s="265">
        <v>20.9</v>
      </c>
      <c r="W309" s="265">
        <v>20.9</v>
      </c>
      <c r="X309" s="265">
        <v>20.9</v>
      </c>
      <c r="Y309" s="265">
        <v>20.9</v>
      </c>
      <c r="Z309" s="265">
        <v>0.94</v>
      </c>
      <c r="AA309" s="265">
        <v>0.94</v>
      </c>
      <c r="AB309" s="265">
        <v>0.94</v>
      </c>
      <c r="AC309" s="265">
        <v>0.94</v>
      </c>
      <c r="AD309" s="265">
        <v>0.94</v>
      </c>
      <c r="AE309" s="265">
        <v>0.94</v>
      </c>
      <c r="AF309" s="265">
        <v>0.94</v>
      </c>
      <c r="AG309" s="265">
        <v>0.94</v>
      </c>
      <c r="AH309" s="265">
        <v>0.94</v>
      </c>
      <c r="AI309" s="265">
        <v>0.94</v>
      </c>
      <c r="AJ309" s="265">
        <v>0.94</v>
      </c>
      <c r="AK309" s="265">
        <v>0.94</v>
      </c>
      <c r="AL309" s="266" t="s">
        <v>573</v>
      </c>
      <c r="AM309" s="265">
        <f t="shared" si="80"/>
        <v>0</v>
      </c>
      <c r="AN309" s="266" t="s">
        <v>573</v>
      </c>
      <c r="AO309" s="265">
        <f t="shared" si="78"/>
        <v>0</v>
      </c>
      <c r="AP309" s="266">
        <v>0</v>
      </c>
      <c r="AQ309" s="265">
        <f t="shared" si="81"/>
        <v>0</v>
      </c>
      <c r="AR309" s="266">
        <v>0</v>
      </c>
      <c r="AS309" s="262">
        <f t="shared" si="82"/>
        <v>0</v>
      </c>
      <c r="AT309" s="266">
        <v>0</v>
      </c>
      <c r="AU309" s="260">
        <f t="shared" si="83"/>
        <v>0</v>
      </c>
      <c r="AV309" s="259">
        <v>0</v>
      </c>
      <c r="AW309" s="260">
        <f t="shared" si="84"/>
        <v>0</v>
      </c>
      <c r="AX309" s="261" t="s">
        <v>573</v>
      </c>
      <c r="AY309" s="260">
        <f t="shared" si="85"/>
        <v>0</v>
      </c>
      <c r="AZ309" s="259" t="s">
        <v>573</v>
      </c>
      <c r="BA309" s="260">
        <f t="shared" si="86"/>
        <v>0</v>
      </c>
      <c r="BB309" s="259" t="s">
        <v>573</v>
      </c>
      <c r="BC309" s="260">
        <f t="shared" si="87"/>
        <v>0</v>
      </c>
      <c r="BD309" s="259" t="s">
        <v>573</v>
      </c>
      <c r="BE309" s="260">
        <f t="shared" si="88"/>
        <v>0</v>
      </c>
      <c r="BF309" s="259" t="s">
        <v>573</v>
      </c>
      <c r="BG309" s="260">
        <f t="shared" si="89"/>
        <v>0</v>
      </c>
      <c r="BH309" s="259" t="s">
        <v>573</v>
      </c>
      <c r="BI309" s="260">
        <f t="shared" si="79"/>
        <v>0</v>
      </c>
      <c r="BJ309" s="58"/>
      <c r="BK309" s="220"/>
      <c r="BL309" s="213" t="s">
        <v>754</v>
      </c>
      <c r="BM309" s="58" t="s">
        <v>659</v>
      </c>
    </row>
    <row r="310" spans="1:65" ht="15.75" customHeight="1">
      <c r="A310" s="213" t="s">
        <v>1437</v>
      </c>
      <c r="B310" s="58" t="s">
        <v>1346</v>
      </c>
      <c r="C310" s="58" t="s">
        <v>752</v>
      </c>
      <c r="D310" s="214" t="s">
        <v>186</v>
      </c>
      <c r="E310" s="214" t="s">
        <v>186</v>
      </c>
      <c r="F310" s="215" t="s">
        <v>186</v>
      </c>
      <c r="G310" s="216">
        <v>2023</v>
      </c>
      <c r="H310" s="218" t="s">
        <v>826</v>
      </c>
      <c r="I310" s="218" t="s">
        <v>780</v>
      </c>
      <c r="J310" s="217" t="s">
        <v>890</v>
      </c>
      <c r="K310" s="213" t="s">
        <v>753</v>
      </c>
      <c r="L310" s="213" t="s">
        <v>192</v>
      </c>
      <c r="M310" s="219" t="s">
        <v>1388</v>
      </c>
      <c r="N310" s="265">
        <v>20.9</v>
      </c>
      <c r="O310" s="265">
        <v>20.9</v>
      </c>
      <c r="P310" s="265">
        <v>20.9</v>
      </c>
      <c r="Q310" s="265">
        <v>20.9</v>
      </c>
      <c r="R310" s="265">
        <v>20.9</v>
      </c>
      <c r="S310" s="265">
        <v>20.9</v>
      </c>
      <c r="T310" s="265">
        <v>20.9</v>
      </c>
      <c r="U310" s="265">
        <v>20.9</v>
      </c>
      <c r="V310" s="265">
        <v>20.9</v>
      </c>
      <c r="W310" s="265">
        <v>20.9</v>
      </c>
      <c r="X310" s="265">
        <v>20.9</v>
      </c>
      <c r="Y310" s="265">
        <v>20.9</v>
      </c>
      <c r="Z310" s="265">
        <v>0.94</v>
      </c>
      <c r="AA310" s="265">
        <v>0.94</v>
      </c>
      <c r="AB310" s="265">
        <v>0.94</v>
      </c>
      <c r="AC310" s="265">
        <v>0.94</v>
      </c>
      <c r="AD310" s="265">
        <v>0.94</v>
      </c>
      <c r="AE310" s="265">
        <v>0.94</v>
      </c>
      <c r="AF310" s="265">
        <v>0.94</v>
      </c>
      <c r="AG310" s="265">
        <v>0.94</v>
      </c>
      <c r="AH310" s="265">
        <v>0.94</v>
      </c>
      <c r="AI310" s="265">
        <v>0.94</v>
      </c>
      <c r="AJ310" s="265">
        <v>0.94</v>
      </c>
      <c r="AK310" s="265">
        <v>0.94</v>
      </c>
      <c r="AL310" s="266" t="s">
        <v>573</v>
      </c>
      <c r="AM310" s="265">
        <f t="shared" si="80"/>
        <v>0</v>
      </c>
      <c r="AN310" s="266" t="s">
        <v>573</v>
      </c>
      <c r="AO310" s="265">
        <f t="shared" si="78"/>
        <v>0</v>
      </c>
      <c r="AP310" s="266">
        <v>0</v>
      </c>
      <c r="AQ310" s="265">
        <f t="shared" si="81"/>
        <v>0</v>
      </c>
      <c r="AR310" s="266">
        <v>0</v>
      </c>
      <c r="AS310" s="262">
        <f t="shared" si="82"/>
        <v>0</v>
      </c>
      <c r="AT310" s="266">
        <v>0</v>
      </c>
      <c r="AU310" s="260">
        <f t="shared" si="83"/>
        <v>0</v>
      </c>
      <c r="AV310" s="259">
        <v>1200</v>
      </c>
      <c r="AW310" s="260">
        <f t="shared" si="84"/>
        <v>1128</v>
      </c>
      <c r="AX310" s="261" t="s">
        <v>573</v>
      </c>
      <c r="AY310" s="260">
        <f t="shared" si="85"/>
        <v>0</v>
      </c>
      <c r="AZ310" s="259" t="s">
        <v>573</v>
      </c>
      <c r="BA310" s="260">
        <f t="shared" si="86"/>
        <v>0</v>
      </c>
      <c r="BB310" s="259" t="s">
        <v>573</v>
      </c>
      <c r="BC310" s="260">
        <f t="shared" si="87"/>
        <v>0</v>
      </c>
      <c r="BD310" s="259" t="s">
        <v>573</v>
      </c>
      <c r="BE310" s="260">
        <f t="shared" si="88"/>
        <v>0</v>
      </c>
      <c r="BF310" s="259" t="s">
        <v>573</v>
      </c>
      <c r="BG310" s="260">
        <f t="shared" si="89"/>
        <v>0</v>
      </c>
      <c r="BH310" s="259" t="s">
        <v>573</v>
      </c>
      <c r="BI310" s="260">
        <f t="shared" si="79"/>
        <v>0</v>
      </c>
      <c r="BJ310" s="58"/>
      <c r="BK310" s="220"/>
      <c r="BL310" s="213" t="s">
        <v>1310</v>
      </c>
      <c r="BM310" s="58" t="s">
        <v>660</v>
      </c>
    </row>
    <row r="311" spans="1:65" ht="15.75" customHeight="1">
      <c r="A311" s="213" t="s">
        <v>1437</v>
      </c>
      <c r="B311" s="58" t="s">
        <v>1346</v>
      </c>
      <c r="C311" s="58" t="s">
        <v>752</v>
      </c>
      <c r="D311" s="214" t="s">
        <v>186</v>
      </c>
      <c r="E311" s="214" t="s">
        <v>186</v>
      </c>
      <c r="F311" s="215" t="s">
        <v>186</v>
      </c>
      <c r="G311" s="216">
        <v>2023</v>
      </c>
      <c r="H311" s="218" t="s">
        <v>826</v>
      </c>
      <c r="I311" s="218" t="s">
        <v>780</v>
      </c>
      <c r="J311" s="217" t="s">
        <v>890</v>
      </c>
      <c r="K311" s="213" t="s">
        <v>753</v>
      </c>
      <c r="L311" s="213" t="s">
        <v>192</v>
      </c>
      <c r="M311" s="219" t="s">
        <v>1390</v>
      </c>
      <c r="N311" s="265">
        <v>20.9</v>
      </c>
      <c r="O311" s="265">
        <v>20.9</v>
      </c>
      <c r="P311" s="265">
        <v>20.9</v>
      </c>
      <c r="Q311" s="265">
        <v>20.9</v>
      </c>
      <c r="R311" s="265">
        <v>20.9</v>
      </c>
      <c r="S311" s="265">
        <v>20.9</v>
      </c>
      <c r="T311" s="265">
        <v>20.9</v>
      </c>
      <c r="U311" s="265">
        <v>20.9</v>
      </c>
      <c r="V311" s="265">
        <v>20.9</v>
      </c>
      <c r="W311" s="265">
        <v>20.9</v>
      </c>
      <c r="X311" s="265">
        <v>20.9</v>
      </c>
      <c r="Y311" s="265">
        <v>20.9</v>
      </c>
      <c r="Z311" s="265">
        <v>0.94</v>
      </c>
      <c r="AA311" s="265">
        <v>0.94</v>
      </c>
      <c r="AB311" s="265">
        <v>0.94</v>
      </c>
      <c r="AC311" s="265">
        <v>0.94</v>
      </c>
      <c r="AD311" s="265">
        <v>0.94</v>
      </c>
      <c r="AE311" s="265">
        <v>0.94</v>
      </c>
      <c r="AF311" s="265">
        <v>0.94</v>
      </c>
      <c r="AG311" s="265">
        <v>0.94</v>
      </c>
      <c r="AH311" s="265">
        <v>0.94</v>
      </c>
      <c r="AI311" s="265">
        <v>0.94</v>
      </c>
      <c r="AJ311" s="265">
        <v>0.94</v>
      </c>
      <c r="AK311" s="265">
        <v>0.94</v>
      </c>
      <c r="AL311" s="266">
        <v>1200</v>
      </c>
      <c r="AM311" s="265">
        <f t="shared" si="80"/>
        <v>1128</v>
      </c>
      <c r="AN311" s="266" t="s">
        <v>573</v>
      </c>
      <c r="AO311" s="265">
        <f t="shared" si="78"/>
        <v>0</v>
      </c>
      <c r="AP311" s="266">
        <v>2000</v>
      </c>
      <c r="AQ311" s="265">
        <f t="shared" si="81"/>
        <v>1880</v>
      </c>
      <c r="AR311" s="266">
        <v>1200</v>
      </c>
      <c r="AS311" s="262">
        <f t="shared" si="82"/>
        <v>1128</v>
      </c>
      <c r="AT311" s="266">
        <v>0</v>
      </c>
      <c r="AU311" s="260">
        <f t="shared" si="83"/>
        <v>0</v>
      </c>
      <c r="AV311" s="259">
        <v>0</v>
      </c>
      <c r="AW311" s="260">
        <f t="shared" si="84"/>
        <v>0</v>
      </c>
      <c r="AX311" s="261">
        <v>0</v>
      </c>
      <c r="AY311" s="260">
        <f t="shared" si="85"/>
        <v>0</v>
      </c>
      <c r="AZ311" s="259">
        <v>1200</v>
      </c>
      <c r="BA311" s="260">
        <f t="shared" si="86"/>
        <v>1128</v>
      </c>
      <c r="BB311" s="259">
        <v>0</v>
      </c>
      <c r="BC311" s="260">
        <f t="shared" si="87"/>
        <v>0</v>
      </c>
      <c r="BD311" s="259">
        <v>1266</v>
      </c>
      <c r="BE311" s="260">
        <f t="shared" si="88"/>
        <v>1190.04</v>
      </c>
      <c r="BF311" s="259">
        <v>1267</v>
      </c>
      <c r="BG311" s="260">
        <f t="shared" si="89"/>
        <v>1190.98</v>
      </c>
      <c r="BH311" s="259">
        <v>1267</v>
      </c>
      <c r="BI311" s="260">
        <f t="shared" si="79"/>
        <v>1190.98</v>
      </c>
      <c r="BJ311" s="58"/>
      <c r="BK311" s="220"/>
      <c r="BL311" s="213" t="s">
        <v>763</v>
      </c>
      <c r="BM311" s="58" t="s">
        <v>661</v>
      </c>
    </row>
    <row r="312" spans="1:65" ht="15.75" customHeight="1">
      <c r="A312" s="213" t="s">
        <v>1437</v>
      </c>
      <c r="B312" s="58" t="s">
        <v>1346</v>
      </c>
      <c r="C312" s="58" t="s">
        <v>752</v>
      </c>
      <c r="D312" s="214" t="s">
        <v>186</v>
      </c>
      <c r="E312" s="214" t="s">
        <v>186</v>
      </c>
      <c r="F312" s="215" t="s">
        <v>186</v>
      </c>
      <c r="G312" s="216">
        <v>2023</v>
      </c>
      <c r="H312" s="218" t="s">
        <v>826</v>
      </c>
      <c r="I312" s="218" t="s">
        <v>780</v>
      </c>
      <c r="J312" s="217" t="s">
        <v>890</v>
      </c>
      <c r="K312" s="213" t="s">
        <v>753</v>
      </c>
      <c r="L312" s="213" t="s">
        <v>192</v>
      </c>
      <c r="M312" s="219" t="s">
        <v>1388</v>
      </c>
      <c r="N312" s="265">
        <v>20.9</v>
      </c>
      <c r="O312" s="265">
        <v>20.9</v>
      </c>
      <c r="P312" s="265">
        <v>20.9</v>
      </c>
      <c r="Q312" s="265">
        <v>20.9</v>
      </c>
      <c r="R312" s="265">
        <v>20.9</v>
      </c>
      <c r="S312" s="265">
        <v>20.9</v>
      </c>
      <c r="T312" s="265">
        <v>20.9</v>
      </c>
      <c r="U312" s="265">
        <v>20.9</v>
      </c>
      <c r="V312" s="265">
        <v>20.9</v>
      </c>
      <c r="W312" s="265">
        <v>20.9</v>
      </c>
      <c r="X312" s="265">
        <v>20.9</v>
      </c>
      <c r="Y312" s="265">
        <v>20.9</v>
      </c>
      <c r="Z312" s="265">
        <v>0.94</v>
      </c>
      <c r="AA312" s="265">
        <v>0.94</v>
      </c>
      <c r="AB312" s="265">
        <v>0.94</v>
      </c>
      <c r="AC312" s="265">
        <v>0.94</v>
      </c>
      <c r="AD312" s="265">
        <v>0.94</v>
      </c>
      <c r="AE312" s="265">
        <v>0.94</v>
      </c>
      <c r="AF312" s="265">
        <v>0.94</v>
      </c>
      <c r="AG312" s="265">
        <v>0.94</v>
      </c>
      <c r="AH312" s="265">
        <v>0.94</v>
      </c>
      <c r="AI312" s="265">
        <v>0.94</v>
      </c>
      <c r="AJ312" s="265">
        <v>0.94</v>
      </c>
      <c r="AK312" s="265">
        <v>0.94</v>
      </c>
      <c r="AL312" s="266" t="s">
        <v>573</v>
      </c>
      <c r="AM312" s="265">
        <f t="shared" si="80"/>
        <v>0</v>
      </c>
      <c r="AN312" s="266" t="s">
        <v>573</v>
      </c>
      <c r="AO312" s="265">
        <f t="shared" si="78"/>
        <v>0</v>
      </c>
      <c r="AP312" s="266">
        <v>0</v>
      </c>
      <c r="AQ312" s="265">
        <f t="shared" si="81"/>
        <v>0</v>
      </c>
      <c r="AR312" s="266">
        <v>0</v>
      </c>
      <c r="AS312" s="262">
        <f t="shared" si="82"/>
        <v>0</v>
      </c>
      <c r="AT312" s="266">
        <v>0</v>
      </c>
      <c r="AU312" s="260">
        <f t="shared" si="83"/>
        <v>0</v>
      </c>
      <c r="AV312" s="259">
        <v>0</v>
      </c>
      <c r="AW312" s="260">
        <f t="shared" si="84"/>
        <v>0</v>
      </c>
      <c r="AX312" s="261" t="s">
        <v>573</v>
      </c>
      <c r="AY312" s="260">
        <f t="shared" si="85"/>
        <v>0</v>
      </c>
      <c r="AZ312" s="259" t="s">
        <v>573</v>
      </c>
      <c r="BA312" s="260">
        <f t="shared" si="86"/>
        <v>0</v>
      </c>
      <c r="BB312" s="259" t="s">
        <v>573</v>
      </c>
      <c r="BC312" s="260">
        <f t="shared" si="87"/>
        <v>0</v>
      </c>
      <c r="BD312" s="259" t="s">
        <v>573</v>
      </c>
      <c r="BE312" s="260">
        <f t="shared" si="88"/>
        <v>0</v>
      </c>
      <c r="BF312" s="259" t="s">
        <v>573</v>
      </c>
      <c r="BG312" s="260">
        <f t="shared" si="89"/>
        <v>0</v>
      </c>
      <c r="BH312" s="259">
        <v>0</v>
      </c>
      <c r="BI312" s="260">
        <f t="shared" si="79"/>
        <v>0</v>
      </c>
      <c r="BJ312" s="58"/>
      <c r="BK312" s="220"/>
      <c r="BL312" s="213" t="s">
        <v>754</v>
      </c>
      <c r="BM312" s="58" t="s">
        <v>662</v>
      </c>
    </row>
    <row r="313" spans="1:65" ht="15.75" customHeight="1">
      <c r="A313" s="213" t="s">
        <v>1437</v>
      </c>
      <c r="B313" s="58" t="s">
        <v>1346</v>
      </c>
      <c r="C313" s="58" t="s">
        <v>752</v>
      </c>
      <c r="D313" s="214" t="s">
        <v>186</v>
      </c>
      <c r="E313" s="214" t="s">
        <v>186</v>
      </c>
      <c r="F313" s="215" t="s">
        <v>186</v>
      </c>
      <c r="G313" s="216">
        <v>2023</v>
      </c>
      <c r="H313" s="218" t="s">
        <v>826</v>
      </c>
      <c r="I313" s="218" t="s">
        <v>780</v>
      </c>
      <c r="J313" s="217" t="s">
        <v>890</v>
      </c>
      <c r="K313" s="213" t="s">
        <v>753</v>
      </c>
      <c r="L313" s="213" t="s">
        <v>192</v>
      </c>
      <c r="M313" s="219" t="s">
        <v>1388</v>
      </c>
      <c r="N313" s="265">
        <v>20.95</v>
      </c>
      <c r="O313" s="265">
        <v>20.95</v>
      </c>
      <c r="P313" s="265">
        <v>20.95</v>
      </c>
      <c r="Q313" s="265">
        <v>20.95</v>
      </c>
      <c r="R313" s="265">
        <v>20.95</v>
      </c>
      <c r="S313" s="265">
        <v>20.95</v>
      </c>
      <c r="T313" s="265">
        <v>20.95</v>
      </c>
      <c r="U313" s="265">
        <v>20.95</v>
      </c>
      <c r="V313" s="265">
        <v>20.95</v>
      </c>
      <c r="W313" s="265">
        <v>20.95</v>
      </c>
      <c r="X313" s="265">
        <v>20.95</v>
      </c>
      <c r="Y313" s="265">
        <v>20.95</v>
      </c>
      <c r="Z313" s="265">
        <v>0.94</v>
      </c>
      <c r="AA313" s="265">
        <v>0.94</v>
      </c>
      <c r="AB313" s="265">
        <v>0.94</v>
      </c>
      <c r="AC313" s="265">
        <v>0.94</v>
      </c>
      <c r="AD313" s="265">
        <v>0.94</v>
      </c>
      <c r="AE313" s="265">
        <v>0.94</v>
      </c>
      <c r="AF313" s="265">
        <v>0.94</v>
      </c>
      <c r="AG313" s="265">
        <v>0.94</v>
      </c>
      <c r="AH313" s="265">
        <v>0.94</v>
      </c>
      <c r="AI313" s="265">
        <v>0.94</v>
      </c>
      <c r="AJ313" s="265">
        <v>0.94</v>
      </c>
      <c r="AK313" s="265">
        <v>0.94</v>
      </c>
      <c r="AL313" s="266">
        <v>1200</v>
      </c>
      <c r="AM313" s="265">
        <f t="shared" si="80"/>
        <v>1128</v>
      </c>
      <c r="AN313" s="266" t="s">
        <v>573</v>
      </c>
      <c r="AO313" s="265">
        <f t="shared" si="78"/>
        <v>0</v>
      </c>
      <c r="AP313" s="266">
        <v>0</v>
      </c>
      <c r="AQ313" s="265">
        <f t="shared" si="81"/>
        <v>0</v>
      </c>
      <c r="AR313" s="266">
        <v>0</v>
      </c>
      <c r="AS313" s="262">
        <f t="shared" si="82"/>
        <v>0</v>
      </c>
      <c r="AT313" s="266">
        <v>0</v>
      </c>
      <c r="AU313" s="260">
        <f t="shared" si="83"/>
        <v>0</v>
      </c>
      <c r="AV313" s="259">
        <v>0</v>
      </c>
      <c r="AW313" s="260">
        <f t="shared" si="84"/>
        <v>0</v>
      </c>
      <c r="AX313" s="261" t="s">
        <v>573</v>
      </c>
      <c r="AY313" s="260">
        <f t="shared" si="85"/>
        <v>0</v>
      </c>
      <c r="AZ313" s="259" t="s">
        <v>573</v>
      </c>
      <c r="BA313" s="260">
        <f t="shared" si="86"/>
        <v>0</v>
      </c>
      <c r="BB313" s="259" t="s">
        <v>573</v>
      </c>
      <c r="BC313" s="260">
        <f t="shared" si="87"/>
        <v>0</v>
      </c>
      <c r="BD313" s="259" t="s">
        <v>573</v>
      </c>
      <c r="BE313" s="260">
        <f t="shared" si="88"/>
        <v>0</v>
      </c>
      <c r="BF313" s="259">
        <v>0</v>
      </c>
      <c r="BG313" s="260">
        <f t="shared" si="89"/>
        <v>0</v>
      </c>
      <c r="BH313" s="259" t="s">
        <v>573</v>
      </c>
      <c r="BI313" s="260">
        <f t="shared" si="79"/>
        <v>0</v>
      </c>
      <c r="BJ313" s="58"/>
      <c r="BK313" s="220"/>
      <c r="BL313" s="213" t="s">
        <v>197</v>
      </c>
      <c r="BM313" s="58" t="s">
        <v>663</v>
      </c>
    </row>
    <row r="314" spans="1:65" ht="15.75" customHeight="1">
      <c r="A314" s="213" t="s">
        <v>1437</v>
      </c>
      <c r="B314" s="58" t="s">
        <v>1346</v>
      </c>
      <c r="C314" s="58" t="s">
        <v>752</v>
      </c>
      <c r="D314" s="214" t="s">
        <v>186</v>
      </c>
      <c r="E314" s="214" t="s">
        <v>186</v>
      </c>
      <c r="F314" s="215" t="s">
        <v>186</v>
      </c>
      <c r="G314" s="216">
        <v>2023</v>
      </c>
      <c r="H314" s="218" t="s">
        <v>826</v>
      </c>
      <c r="I314" s="218" t="s">
        <v>780</v>
      </c>
      <c r="J314" s="217" t="s">
        <v>890</v>
      </c>
      <c r="K314" s="213" t="s">
        <v>753</v>
      </c>
      <c r="L314" s="213" t="s">
        <v>192</v>
      </c>
      <c r="M314" s="219" t="s">
        <v>1388</v>
      </c>
      <c r="N314" s="265">
        <v>20.95</v>
      </c>
      <c r="O314" s="265">
        <v>20.95</v>
      </c>
      <c r="P314" s="265">
        <v>20.95</v>
      </c>
      <c r="Q314" s="265">
        <v>20.95</v>
      </c>
      <c r="R314" s="265">
        <v>20.95</v>
      </c>
      <c r="S314" s="265">
        <v>20.95</v>
      </c>
      <c r="T314" s="265">
        <v>20.95</v>
      </c>
      <c r="U314" s="265">
        <v>20.95</v>
      </c>
      <c r="V314" s="265">
        <v>20.95</v>
      </c>
      <c r="W314" s="265">
        <v>20.95</v>
      </c>
      <c r="X314" s="265">
        <v>20.95</v>
      </c>
      <c r="Y314" s="265">
        <v>20.95</v>
      </c>
      <c r="Z314" s="265">
        <v>0.94</v>
      </c>
      <c r="AA314" s="265">
        <v>0.94</v>
      </c>
      <c r="AB314" s="265">
        <v>0.94</v>
      </c>
      <c r="AC314" s="265">
        <v>0.94</v>
      </c>
      <c r="AD314" s="265">
        <v>0.94</v>
      </c>
      <c r="AE314" s="265">
        <v>0.94</v>
      </c>
      <c r="AF314" s="265">
        <v>0.94</v>
      </c>
      <c r="AG314" s="265">
        <v>0.94</v>
      </c>
      <c r="AH314" s="265">
        <v>0.94</v>
      </c>
      <c r="AI314" s="265">
        <v>0.94</v>
      </c>
      <c r="AJ314" s="265">
        <v>0.94</v>
      </c>
      <c r="AK314" s="265">
        <v>0.94</v>
      </c>
      <c r="AL314" s="266" t="s">
        <v>573</v>
      </c>
      <c r="AM314" s="265">
        <f t="shared" si="80"/>
        <v>0</v>
      </c>
      <c r="AN314" s="266" t="s">
        <v>573</v>
      </c>
      <c r="AO314" s="265">
        <f t="shared" si="78"/>
        <v>0</v>
      </c>
      <c r="AP314" s="266">
        <v>0</v>
      </c>
      <c r="AQ314" s="265">
        <f t="shared" si="81"/>
        <v>0</v>
      </c>
      <c r="AR314" s="266">
        <v>0</v>
      </c>
      <c r="AS314" s="262">
        <f t="shared" si="82"/>
        <v>0</v>
      </c>
      <c r="AT314" s="266">
        <v>0</v>
      </c>
      <c r="AU314" s="260">
        <f t="shared" si="83"/>
        <v>0</v>
      </c>
      <c r="AV314" s="259">
        <v>0</v>
      </c>
      <c r="AW314" s="260">
        <f t="shared" si="84"/>
        <v>0</v>
      </c>
      <c r="AX314" s="261" t="s">
        <v>573</v>
      </c>
      <c r="AY314" s="260">
        <f t="shared" si="85"/>
        <v>0</v>
      </c>
      <c r="AZ314" s="259" t="s">
        <v>573</v>
      </c>
      <c r="BA314" s="260">
        <f t="shared" si="86"/>
        <v>0</v>
      </c>
      <c r="BB314" s="259" t="s">
        <v>573</v>
      </c>
      <c r="BC314" s="260">
        <f t="shared" si="87"/>
        <v>0</v>
      </c>
      <c r="BD314" s="259" t="s">
        <v>573</v>
      </c>
      <c r="BE314" s="260">
        <f t="shared" si="88"/>
        <v>0</v>
      </c>
      <c r="BF314" s="259" t="s">
        <v>573</v>
      </c>
      <c r="BG314" s="260">
        <f t="shared" si="89"/>
        <v>0</v>
      </c>
      <c r="BH314" s="259" t="s">
        <v>573</v>
      </c>
      <c r="BI314" s="260">
        <f t="shared" si="79"/>
        <v>0</v>
      </c>
      <c r="BJ314" s="58"/>
      <c r="BK314" s="220"/>
      <c r="BL314" s="213" t="s">
        <v>754</v>
      </c>
      <c r="BM314" s="58" t="s">
        <v>664</v>
      </c>
    </row>
    <row r="315" spans="1:65" ht="15.75" customHeight="1">
      <c r="A315" s="213" t="s">
        <v>1437</v>
      </c>
      <c r="B315" s="58" t="s">
        <v>1346</v>
      </c>
      <c r="C315" s="58" t="s">
        <v>752</v>
      </c>
      <c r="D315" s="214" t="s">
        <v>186</v>
      </c>
      <c r="E315" s="214" t="s">
        <v>186</v>
      </c>
      <c r="F315" s="215" t="s">
        <v>186</v>
      </c>
      <c r="G315" s="216">
        <v>2023</v>
      </c>
      <c r="H315" s="218" t="s">
        <v>826</v>
      </c>
      <c r="I315" s="218" t="s">
        <v>780</v>
      </c>
      <c r="J315" s="217" t="s">
        <v>890</v>
      </c>
      <c r="K315" s="213" t="s">
        <v>753</v>
      </c>
      <c r="L315" s="213" t="s">
        <v>192</v>
      </c>
      <c r="M315" s="219" t="s">
        <v>1388</v>
      </c>
      <c r="N315" s="265">
        <v>20.95</v>
      </c>
      <c r="O315" s="265">
        <v>20.95</v>
      </c>
      <c r="P315" s="265">
        <v>20.95</v>
      </c>
      <c r="Q315" s="265">
        <v>20.95</v>
      </c>
      <c r="R315" s="265">
        <v>20.95</v>
      </c>
      <c r="S315" s="265">
        <v>20.95</v>
      </c>
      <c r="T315" s="265">
        <v>20.95</v>
      </c>
      <c r="U315" s="265">
        <v>20.95</v>
      </c>
      <c r="V315" s="265">
        <v>20.95</v>
      </c>
      <c r="W315" s="265">
        <v>20.95</v>
      </c>
      <c r="X315" s="265">
        <v>20.95</v>
      </c>
      <c r="Y315" s="265">
        <v>20.95</v>
      </c>
      <c r="Z315" s="265">
        <v>0.94</v>
      </c>
      <c r="AA315" s="265">
        <v>0.94</v>
      </c>
      <c r="AB315" s="265">
        <v>0.94</v>
      </c>
      <c r="AC315" s="265">
        <v>0.94</v>
      </c>
      <c r="AD315" s="265">
        <v>0.94</v>
      </c>
      <c r="AE315" s="265">
        <v>0.94</v>
      </c>
      <c r="AF315" s="265">
        <v>0.94</v>
      </c>
      <c r="AG315" s="265">
        <v>0.94</v>
      </c>
      <c r="AH315" s="265">
        <v>0.94</v>
      </c>
      <c r="AI315" s="265">
        <v>0.94</v>
      </c>
      <c r="AJ315" s="265">
        <v>0.94</v>
      </c>
      <c r="AK315" s="265">
        <v>0.94</v>
      </c>
      <c r="AL315" s="266" t="s">
        <v>573</v>
      </c>
      <c r="AM315" s="265">
        <f t="shared" si="80"/>
        <v>0</v>
      </c>
      <c r="AN315" s="266" t="s">
        <v>573</v>
      </c>
      <c r="AO315" s="265">
        <f t="shared" si="78"/>
        <v>0</v>
      </c>
      <c r="AP315" s="266">
        <v>0</v>
      </c>
      <c r="AQ315" s="265">
        <f t="shared" si="81"/>
        <v>0</v>
      </c>
      <c r="AR315" s="266">
        <v>0</v>
      </c>
      <c r="AS315" s="262">
        <f t="shared" si="82"/>
        <v>0</v>
      </c>
      <c r="AT315" s="266">
        <v>0</v>
      </c>
      <c r="AU315" s="260">
        <f t="shared" si="83"/>
        <v>0</v>
      </c>
      <c r="AV315" s="259">
        <v>0</v>
      </c>
      <c r="AW315" s="260">
        <f t="shared" si="84"/>
        <v>0</v>
      </c>
      <c r="AX315" s="261" t="s">
        <v>573</v>
      </c>
      <c r="AY315" s="260">
        <f t="shared" si="85"/>
        <v>0</v>
      </c>
      <c r="AZ315" s="259" t="s">
        <v>573</v>
      </c>
      <c r="BA315" s="260">
        <f t="shared" si="86"/>
        <v>0</v>
      </c>
      <c r="BB315" s="259" t="s">
        <v>573</v>
      </c>
      <c r="BC315" s="260">
        <f t="shared" si="87"/>
        <v>0</v>
      </c>
      <c r="BD315" s="259" t="s">
        <v>573</v>
      </c>
      <c r="BE315" s="260">
        <f t="shared" si="88"/>
        <v>0</v>
      </c>
      <c r="BF315" s="259" t="s">
        <v>573</v>
      </c>
      <c r="BG315" s="260">
        <f t="shared" si="89"/>
        <v>0</v>
      </c>
      <c r="BH315" s="259" t="s">
        <v>573</v>
      </c>
      <c r="BI315" s="260">
        <f t="shared" si="79"/>
        <v>0</v>
      </c>
      <c r="BJ315" s="58"/>
      <c r="BK315" s="220"/>
      <c r="BL315" s="213" t="s">
        <v>1310</v>
      </c>
      <c r="BM315" s="58" t="s">
        <v>665</v>
      </c>
    </row>
    <row r="316" spans="1:65" ht="15.75" customHeight="1">
      <c r="A316" s="213" t="s">
        <v>1437</v>
      </c>
      <c r="B316" s="58" t="s">
        <v>1346</v>
      </c>
      <c r="C316" s="58" t="s">
        <v>752</v>
      </c>
      <c r="D316" s="214" t="s">
        <v>186</v>
      </c>
      <c r="E316" s="214" t="s">
        <v>186</v>
      </c>
      <c r="F316" s="215" t="s">
        <v>186</v>
      </c>
      <c r="G316" s="216">
        <v>2023</v>
      </c>
      <c r="H316" s="218" t="s">
        <v>826</v>
      </c>
      <c r="I316" s="218" t="s">
        <v>780</v>
      </c>
      <c r="J316" s="217" t="s">
        <v>890</v>
      </c>
      <c r="K316" s="213" t="s">
        <v>753</v>
      </c>
      <c r="L316" s="213" t="s">
        <v>192</v>
      </c>
      <c r="M316" s="219" t="s">
        <v>1390</v>
      </c>
      <c r="N316" s="265">
        <v>20.95</v>
      </c>
      <c r="O316" s="265">
        <v>20.95</v>
      </c>
      <c r="P316" s="265">
        <v>20.95</v>
      </c>
      <c r="Q316" s="265">
        <v>20.95</v>
      </c>
      <c r="R316" s="265">
        <v>20.95</v>
      </c>
      <c r="S316" s="265">
        <v>20.95</v>
      </c>
      <c r="T316" s="265">
        <v>20.95</v>
      </c>
      <c r="U316" s="265">
        <v>20.95</v>
      </c>
      <c r="V316" s="265">
        <v>20.95</v>
      </c>
      <c r="W316" s="265">
        <v>20.95</v>
      </c>
      <c r="X316" s="265">
        <v>20.95</v>
      </c>
      <c r="Y316" s="265">
        <v>20.95</v>
      </c>
      <c r="Z316" s="265">
        <v>0.94</v>
      </c>
      <c r="AA316" s="265">
        <v>0.94</v>
      </c>
      <c r="AB316" s="265">
        <v>0.94</v>
      </c>
      <c r="AC316" s="265">
        <v>0.94</v>
      </c>
      <c r="AD316" s="265">
        <v>0.94</v>
      </c>
      <c r="AE316" s="265">
        <v>0.94</v>
      </c>
      <c r="AF316" s="265">
        <v>0.94</v>
      </c>
      <c r="AG316" s="265">
        <v>0.94</v>
      </c>
      <c r="AH316" s="265">
        <v>0.94</v>
      </c>
      <c r="AI316" s="265">
        <v>0.94</v>
      </c>
      <c r="AJ316" s="265">
        <v>0.94</v>
      </c>
      <c r="AK316" s="265">
        <v>0.94</v>
      </c>
      <c r="AL316" s="266">
        <v>1200</v>
      </c>
      <c r="AM316" s="265">
        <f t="shared" si="80"/>
        <v>1128</v>
      </c>
      <c r="AN316" s="266" t="s">
        <v>573</v>
      </c>
      <c r="AO316" s="265">
        <f t="shared" si="78"/>
        <v>0</v>
      </c>
      <c r="AP316" s="266">
        <v>1200</v>
      </c>
      <c r="AQ316" s="265">
        <f t="shared" si="81"/>
        <v>1128</v>
      </c>
      <c r="AR316" s="266">
        <v>1200</v>
      </c>
      <c r="AS316" s="262">
        <f t="shared" si="82"/>
        <v>1128</v>
      </c>
      <c r="AT316" s="266">
        <v>2400</v>
      </c>
      <c r="AU316" s="260">
        <f t="shared" si="83"/>
        <v>2256</v>
      </c>
      <c r="AV316" s="259">
        <v>5800</v>
      </c>
      <c r="AW316" s="260">
        <f t="shared" si="84"/>
        <v>5452</v>
      </c>
      <c r="AX316" s="261" t="s">
        <v>573</v>
      </c>
      <c r="AY316" s="260">
        <f t="shared" si="85"/>
        <v>0</v>
      </c>
      <c r="AZ316" s="259" t="s">
        <v>573</v>
      </c>
      <c r="BA316" s="260">
        <f t="shared" si="86"/>
        <v>0</v>
      </c>
      <c r="BB316" s="259" t="s">
        <v>573</v>
      </c>
      <c r="BC316" s="260">
        <f t="shared" si="87"/>
        <v>0</v>
      </c>
      <c r="BD316" s="259">
        <v>0</v>
      </c>
      <c r="BE316" s="260">
        <f t="shared" si="88"/>
        <v>0</v>
      </c>
      <c r="BF316" s="259" t="s">
        <v>573</v>
      </c>
      <c r="BG316" s="260">
        <f t="shared" si="89"/>
        <v>0</v>
      </c>
      <c r="BH316" s="259">
        <v>0</v>
      </c>
      <c r="BI316" s="260">
        <f t="shared" si="79"/>
        <v>0</v>
      </c>
      <c r="BJ316" s="58"/>
      <c r="BK316" s="220"/>
      <c r="BL316" s="213" t="s">
        <v>763</v>
      </c>
      <c r="BM316" s="58" t="s">
        <v>666</v>
      </c>
    </row>
    <row r="317" spans="1:65" ht="15.75" customHeight="1">
      <c r="A317" s="213" t="s">
        <v>1437</v>
      </c>
      <c r="B317" s="58" t="s">
        <v>1346</v>
      </c>
      <c r="C317" s="58" t="s">
        <v>752</v>
      </c>
      <c r="D317" s="214" t="s">
        <v>186</v>
      </c>
      <c r="E317" s="214" t="s">
        <v>186</v>
      </c>
      <c r="F317" s="215" t="s">
        <v>186</v>
      </c>
      <c r="G317" s="216">
        <v>2023</v>
      </c>
      <c r="H317" s="218" t="s">
        <v>826</v>
      </c>
      <c r="I317" s="218" t="s">
        <v>780</v>
      </c>
      <c r="J317" s="217" t="s">
        <v>890</v>
      </c>
      <c r="K317" s="213" t="s">
        <v>753</v>
      </c>
      <c r="L317" s="213" t="s">
        <v>192</v>
      </c>
      <c r="M317" s="219" t="s">
        <v>1388</v>
      </c>
      <c r="N317" s="265">
        <v>20.95</v>
      </c>
      <c r="O317" s="265">
        <v>20.95</v>
      </c>
      <c r="P317" s="265">
        <v>20.95</v>
      </c>
      <c r="Q317" s="265">
        <v>20.95</v>
      </c>
      <c r="R317" s="265">
        <v>20.95</v>
      </c>
      <c r="S317" s="265">
        <v>20.95</v>
      </c>
      <c r="T317" s="265">
        <v>20.95</v>
      </c>
      <c r="U317" s="265">
        <v>20.95</v>
      </c>
      <c r="V317" s="265">
        <v>20.95</v>
      </c>
      <c r="W317" s="265">
        <v>20.95</v>
      </c>
      <c r="X317" s="265">
        <v>20.95</v>
      </c>
      <c r="Y317" s="265">
        <v>20.95</v>
      </c>
      <c r="Z317" s="265">
        <v>0.94</v>
      </c>
      <c r="AA317" s="265">
        <v>0.94</v>
      </c>
      <c r="AB317" s="265">
        <v>0.94</v>
      </c>
      <c r="AC317" s="265">
        <v>0.94</v>
      </c>
      <c r="AD317" s="265">
        <v>0.94</v>
      </c>
      <c r="AE317" s="265">
        <v>0.94</v>
      </c>
      <c r="AF317" s="265">
        <v>0.94</v>
      </c>
      <c r="AG317" s="265">
        <v>0.94</v>
      </c>
      <c r="AH317" s="265">
        <v>0.94</v>
      </c>
      <c r="AI317" s="265">
        <v>0.94</v>
      </c>
      <c r="AJ317" s="265">
        <v>0.94</v>
      </c>
      <c r="AK317" s="265">
        <v>0.94</v>
      </c>
      <c r="AL317" s="266" t="s">
        <v>573</v>
      </c>
      <c r="AM317" s="265">
        <f t="shared" si="80"/>
        <v>0</v>
      </c>
      <c r="AN317" s="266" t="s">
        <v>573</v>
      </c>
      <c r="AO317" s="265">
        <f t="shared" si="78"/>
        <v>0</v>
      </c>
      <c r="AP317" s="266">
        <v>0</v>
      </c>
      <c r="AQ317" s="265">
        <f t="shared" si="81"/>
        <v>0</v>
      </c>
      <c r="AR317" s="266">
        <v>0</v>
      </c>
      <c r="AS317" s="262">
        <f t="shared" si="82"/>
        <v>0</v>
      </c>
      <c r="AT317" s="266">
        <v>1200</v>
      </c>
      <c r="AU317" s="260">
        <f t="shared" si="83"/>
        <v>1128</v>
      </c>
      <c r="AV317" s="259">
        <v>0</v>
      </c>
      <c r="AW317" s="260">
        <f t="shared" si="84"/>
        <v>0</v>
      </c>
      <c r="AX317" s="261" t="s">
        <v>573</v>
      </c>
      <c r="AY317" s="260">
        <f t="shared" si="85"/>
        <v>0</v>
      </c>
      <c r="AZ317" s="259" t="s">
        <v>573</v>
      </c>
      <c r="BA317" s="260">
        <f t="shared" si="86"/>
        <v>0</v>
      </c>
      <c r="BB317" s="259" t="s">
        <v>573</v>
      </c>
      <c r="BC317" s="260">
        <f t="shared" si="87"/>
        <v>0</v>
      </c>
      <c r="BD317" s="259" t="s">
        <v>573</v>
      </c>
      <c r="BE317" s="260">
        <f t="shared" si="88"/>
        <v>0</v>
      </c>
      <c r="BF317" s="259" t="s">
        <v>573</v>
      </c>
      <c r="BG317" s="260">
        <f t="shared" si="89"/>
        <v>0</v>
      </c>
      <c r="BH317" s="259">
        <v>0</v>
      </c>
      <c r="BI317" s="260">
        <f t="shared" si="79"/>
        <v>0</v>
      </c>
      <c r="BJ317" s="58"/>
      <c r="BK317" s="220"/>
      <c r="BL317" s="213" t="s">
        <v>754</v>
      </c>
      <c r="BM317" s="58" t="s">
        <v>667</v>
      </c>
    </row>
    <row r="318" spans="1:65" ht="15.75" customHeight="1">
      <c r="A318" s="213" t="s">
        <v>1437</v>
      </c>
      <c r="B318" s="58" t="s">
        <v>199</v>
      </c>
      <c r="C318" s="58" t="s">
        <v>752</v>
      </c>
      <c r="D318" s="214" t="s">
        <v>186</v>
      </c>
      <c r="E318" s="214" t="s">
        <v>186</v>
      </c>
      <c r="F318" s="215" t="s">
        <v>186</v>
      </c>
      <c r="G318" s="216">
        <v>2020</v>
      </c>
      <c r="H318" s="218" t="s">
        <v>208</v>
      </c>
      <c r="I318" s="218" t="s">
        <v>201</v>
      </c>
      <c r="J318" s="217" t="s">
        <v>890</v>
      </c>
      <c r="K318" s="213" t="s">
        <v>755</v>
      </c>
      <c r="L318" s="213" t="s">
        <v>192</v>
      </c>
      <c r="M318" s="219" t="s">
        <v>1388</v>
      </c>
      <c r="N318" s="265">
        <v>10.77</v>
      </c>
      <c r="O318" s="265">
        <v>10.77</v>
      </c>
      <c r="P318" s="265">
        <v>10.77</v>
      </c>
      <c r="Q318" s="265">
        <v>10.77</v>
      </c>
      <c r="R318" s="265">
        <v>10.77</v>
      </c>
      <c r="S318" s="265">
        <v>10.77</v>
      </c>
      <c r="T318" s="265">
        <v>10.77</v>
      </c>
      <c r="U318" s="265">
        <v>10.77</v>
      </c>
      <c r="V318" s="265">
        <v>10.77</v>
      </c>
      <c r="W318" s="265">
        <v>10.77</v>
      </c>
      <c r="X318" s="265">
        <v>10.77</v>
      </c>
      <c r="Y318" s="265">
        <v>10.77</v>
      </c>
      <c r="Z318" s="265">
        <v>0.21</v>
      </c>
      <c r="AA318" s="265">
        <v>0.21</v>
      </c>
      <c r="AB318" s="265">
        <v>0.21</v>
      </c>
      <c r="AC318" s="265">
        <v>0.21</v>
      </c>
      <c r="AD318" s="265">
        <v>0.21</v>
      </c>
      <c r="AE318" s="265">
        <v>0.21</v>
      </c>
      <c r="AF318" s="265">
        <v>0.21</v>
      </c>
      <c r="AG318" s="265">
        <v>0.21</v>
      </c>
      <c r="AH318" s="265">
        <v>0.21</v>
      </c>
      <c r="AI318" s="265">
        <v>0.21</v>
      </c>
      <c r="AJ318" s="265">
        <v>0.21</v>
      </c>
      <c r="AK318" s="265">
        <v>0.21</v>
      </c>
      <c r="AL318" s="266" t="s">
        <v>573</v>
      </c>
      <c r="AM318" s="265">
        <f t="shared" si="80"/>
        <v>0</v>
      </c>
      <c r="AN318" s="266" t="s">
        <v>573</v>
      </c>
      <c r="AO318" s="265">
        <f t="shared" si="78"/>
        <v>0</v>
      </c>
      <c r="AP318" s="266">
        <v>0</v>
      </c>
      <c r="AQ318" s="265">
        <f t="shared" si="81"/>
        <v>0</v>
      </c>
      <c r="AR318" s="266">
        <v>0</v>
      </c>
      <c r="AS318" s="262">
        <f t="shared" si="82"/>
        <v>0</v>
      </c>
      <c r="AT318" s="266">
        <v>0</v>
      </c>
      <c r="AU318" s="260">
        <f t="shared" si="83"/>
        <v>0</v>
      </c>
      <c r="AV318" s="259">
        <v>0</v>
      </c>
      <c r="AW318" s="260">
        <f t="shared" si="84"/>
        <v>0</v>
      </c>
      <c r="AX318" s="261" t="s">
        <v>573</v>
      </c>
      <c r="AY318" s="260">
        <f t="shared" si="85"/>
        <v>0</v>
      </c>
      <c r="AZ318" s="259" t="s">
        <v>573</v>
      </c>
      <c r="BA318" s="260">
        <f t="shared" si="86"/>
        <v>0</v>
      </c>
      <c r="BB318" s="259" t="s">
        <v>573</v>
      </c>
      <c r="BC318" s="260">
        <f t="shared" si="87"/>
        <v>0</v>
      </c>
      <c r="BD318" s="259" t="s">
        <v>573</v>
      </c>
      <c r="BE318" s="260">
        <f t="shared" si="88"/>
        <v>0</v>
      </c>
      <c r="BF318" s="259" t="s">
        <v>573</v>
      </c>
      <c r="BG318" s="260">
        <f t="shared" si="89"/>
        <v>0</v>
      </c>
      <c r="BH318" s="259" t="s">
        <v>573</v>
      </c>
      <c r="BI318" s="260">
        <f t="shared" si="79"/>
        <v>0</v>
      </c>
      <c r="BJ318" s="58"/>
      <c r="BK318" s="220"/>
      <c r="BL318" s="213" t="s">
        <v>807</v>
      </c>
      <c r="BM318" s="58" t="s">
        <v>1504</v>
      </c>
    </row>
    <row r="319" spans="1:65" ht="15.75" customHeight="1">
      <c r="A319" s="213" t="s">
        <v>1437</v>
      </c>
      <c r="B319" s="58" t="s">
        <v>184</v>
      </c>
      <c r="C319" s="58" t="s">
        <v>752</v>
      </c>
      <c r="D319" s="214" t="s">
        <v>186</v>
      </c>
      <c r="E319" s="214" t="s">
        <v>186</v>
      </c>
      <c r="F319" s="215" t="s">
        <v>186</v>
      </c>
      <c r="G319" s="216">
        <v>2023</v>
      </c>
      <c r="H319" s="218" t="s">
        <v>828</v>
      </c>
      <c r="I319" s="218" t="s">
        <v>196</v>
      </c>
      <c r="J319" s="217" t="s">
        <v>890</v>
      </c>
      <c r="K319" s="213" t="s">
        <v>221</v>
      </c>
      <c r="L319" s="213" t="s">
        <v>192</v>
      </c>
      <c r="M319" s="219" t="s">
        <v>1392</v>
      </c>
      <c r="N319" s="265">
        <v>11.55</v>
      </c>
      <c r="O319" s="265">
        <v>11.55</v>
      </c>
      <c r="P319" s="265">
        <v>11.55</v>
      </c>
      <c r="Q319" s="265">
        <v>11.55</v>
      </c>
      <c r="R319" s="265">
        <v>11.55</v>
      </c>
      <c r="S319" s="265">
        <v>11.55</v>
      </c>
      <c r="T319" s="265">
        <v>11.55</v>
      </c>
      <c r="U319" s="265">
        <v>11.55</v>
      </c>
      <c r="V319" s="265">
        <v>11.55</v>
      </c>
      <c r="W319" s="265">
        <v>11.55</v>
      </c>
      <c r="X319" s="265">
        <v>11.55</v>
      </c>
      <c r="Y319" s="265">
        <v>11.55</v>
      </c>
      <c r="Z319" s="265">
        <v>0.45</v>
      </c>
      <c r="AA319" s="265">
        <v>0.45</v>
      </c>
      <c r="AB319" s="265">
        <v>0.45</v>
      </c>
      <c r="AC319" s="265">
        <v>0.45</v>
      </c>
      <c r="AD319" s="265">
        <v>0.45</v>
      </c>
      <c r="AE319" s="265">
        <v>0.45</v>
      </c>
      <c r="AF319" s="265">
        <v>0.45</v>
      </c>
      <c r="AG319" s="265">
        <v>0.45</v>
      </c>
      <c r="AH319" s="265">
        <v>0.45</v>
      </c>
      <c r="AI319" s="265">
        <v>0.45</v>
      </c>
      <c r="AJ319" s="265">
        <v>0.45</v>
      </c>
      <c r="AK319" s="265">
        <v>0.45</v>
      </c>
      <c r="AL319" s="266" t="s">
        <v>573</v>
      </c>
      <c r="AM319" s="265">
        <f t="shared" si="80"/>
        <v>0</v>
      </c>
      <c r="AN319" s="266" t="s">
        <v>573</v>
      </c>
      <c r="AO319" s="265">
        <f t="shared" si="78"/>
        <v>0</v>
      </c>
      <c r="AP319" s="266">
        <v>0</v>
      </c>
      <c r="AQ319" s="265">
        <f t="shared" si="81"/>
        <v>0</v>
      </c>
      <c r="AR319" s="266">
        <v>1440</v>
      </c>
      <c r="AS319" s="262">
        <f t="shared" si="82"/>
        <v>648</v>
      </c>
      <c r="AT319" s="266">
        <v>0</v>
      </c>
      <c r="AU319" s="260">
        <f t="shared" si="83"/>
        <v>0</v>
      </c>
      <c r="AV319" s="259">
        <v>0</v>
      </c>
      <c r="AW319" s="260">
        <f t="shared" si="84"/>
        <v>0</v>
      </c>
      <c r="AX319" s="261" t="s">
        <v>573</v>
      </c>
      <c r="AY319" s="260">
        <f t="shared" si="85"/>
        <v>0</v>
      </c>
      <c r="AZ319" s="259" t="s">
        <v>573</v>
      </c>
      <c r="BA319" s="260">
        <f t="shared" si="86"/>
        <v>0</v>
      </c>
      <c r="BB319" s="259" t="s">
        <v>573</v>
      </c>
      <c r="BC319" s="260">
        <f t="shared" si="87"/>
        <v>0</v>
      </c>
      <c r="BD319" s="259" t="s">
        <v>573</v>
      </c>
      <c r="BE319" s="260">
        <f t="shared" si="88"/>
        <v>0</v>
      </c>
      <c r="BF319" s="259" t="s">
        <v>573</v>
      </c>
      <c r="BG319" s="260">
        <f t="shared" si="89"/>
        <v>0</v>
      </c>
      <c r="BH319" s="259" t="s">
        <v>573</v>
      </c>
      <c r="BI319" s="260">
        <f t="shared" si="79"/>
        <v>0</v>
      </c>
      <c r="BJ319" s="58"/>
      <c r="BK319" s="220"/>
      <c r="BL319" s="213" t="s">
        <v>1347</v>
      </c>
      <c r="BM319" s="58" t="s">
        <v>1505</v>
      </c>
    </row>
    <row r="320" spans="1:65" ht="15.75" customHeight="1">
      <c r="A320" s="213" t="s">
        <v>1437</v>
      </c>
      <c r="B320" s="58" t="s">
        <v>184</v>
      </c>
      <c r="C320" s="58" t="s">
        <v>752</v>
      </c>
      <c r="D320" s="214" t="s">
        <v>186</v>
      </c>
      <c r="E320" s="214" t="s">
        <v>186</v>
      </c>
      <c r="F320" s="215" t="s">
        <v>186</v>
      </c>
      <c r="G320" s="216">
        <v>2023</v>
      </c>
      <c r="H320" s="218" t="s">
        <v>828</v>
      </c>
      <c r="I320" s="218" t="s">
        <v>196</v>
      </c>
      <c r="J320" s="217" t="s">
        <v>890</v>
      </c>
      <c r="K320" s="213" t="s">
        <v>221</v>
      </c>
      <c r="L320" s="213" t="s">
        <v>192</v>
      </c>
      <c r="M320" s="219" t="s">
        <v>1393</v>
      </c>
      <c r="N320" s="265">
        <v>11.55</v>
      </c>
      <c r="O320" s="265">
        <v>11.55</v>
      </c>
      <c r="P320" s="265">
        <v>11.55</v>
      </c>
      <c r="Q320" s="265">
        <v>11.55</v>
      </c>
      <c r="R320" s="265">
        <v>11.55</v>
      </c>
      <c r="S320" s="265">
        <v>11.55</v>
      </c>
      <c r="T320" s="265">
        <v>11.55</v>
      </c>
      <c r="U320" s="265">
        <v>11.55</v>
      </c>
      <c r="V320" s="265">
        <v>11.55</v>
      </c>
      <c r="W320" s="265">
        <v>11.55</v>
      </c>
      <c r="X320" s="265">
        <v>11.55</v>
      </c>
      <c r="Y320" s="265">
        <v>11.55</v>
      </c>
      <c r="Z320" s="265">
        <v>0.45</v>
      </c>
      <c r="AA320" s="265">
        <v>0.45</v>
      </c>
      <c r="AB320" s="265">
        <v>0.45</v>
      </c>
      <c r="AC320" s="265">
        <v>0.45</v>
      </c>
      <c r="AD320" s="265">
        <v>0.45</v>
      </c>
      <c r="AE320" s="265">
        <v>0.45</v>
      </c>
      <c r="AF320" s="265">
        <v>0.45</v>
      </c>
      <c r="AG320" s="265">
        <v>0.45</v>
      </c>
      <c r="AH320" s="265">
        <v>0.45</v>
      </c>
      <c r="AI320" s="265">
        <v>0.45</v>
      </c>
      <c r="AJ320" s="265">
        <v>0.45</v>
      </c>
      <c r="AK320" s="265">
        <v>0.45</v>
      </c>
      <c r="AL320" s="266" t="s">
        <v>573</v>
      </c>
      <c r="AM320" s="265">
        <f t="shared" si="80"/>
        <v>0</v>
      </c>
      <c r="AN320" s="266" t="s">
        <v>573</v>
      </c>
      <c r="AO320" s="265">
        <f t="shared" si="78"/>
        <v>0</v>
      </c>
      <c r="AP320" s="266">
        <v>0</v>
      </c>
      <c r="AQ320" s="265">
        <f t="shared" si="81"/>
        <v>0</v>
      </c>
      <c r="AR320" s="266">
        <v>0</v>
      </c>
      <c r="AS320" s="262">
        <f t="shared" si="82"/>
        <v>0</v>
      </c>
      <c r="AT320" s="266">
        <v>0</v>
      </c>
      <c r="AU320" s="260">
        <f t="shared" si="83"/>
        <v>0</v>
      </c>
      <c r="AV320" s="259">
        <v>0</v>
      </c>
      <c r="AW320" s="260">
        <f t="shared" si="84"/>
        <v>0</v>
      </c>
      <c r="AX320" s="261">
        <v>1440</v>
      </c>
      <c r="AY320" s="260">
        <f t="shared" si="85"/>
        <v>648</v>
      </c>
      <c r="AZ320" s="259" t="s">
        <v>573</v>
      </c>
      <c r="BA320" s="260">
        <f t="shared" si="86"/>
        <v>0</v>
      </c>
      <c r="BB320" s="259" t="s">
        <v>573</v>
      </c>
      <c r="BC320" s="260">
        <f t="shared" si="87"/>
        <v>0</v>
      </c>
      <c r="BD320" s="259" t="s">
        <v>573</v>
      </c>
      <c r="BE320" s="260">
        <f t="shared" si="88"/>
        <v>0</v>
      </c>
      <c r="BF320" s="259" t="s">
        <v>573</v>
      </c>
      <c r="BG320" s="260">
        <f t="shared" si="89"/>
        <v>0</v>
      </c>
      <c r="BH320" s="259" t="s">
        <v>573</v>
      </c>
      <c r="BI320" s="260">
        <f t="shared" si="79"/>
        <v>0</v>
      </c>
      <c r="BJ320" s="58"/>
      <c r="BK320" s="220"/>
      <c r="BL320" s="213" t="s">
        <v>1347</v>
      </c>
      <c r="BM320" s="58" t="s">
        <v>1506</v>
      </c>
    </row>
    <row r="321" spans="1:65" ht="15.75" customHeight="1">
      <c r="A321" s="213" t="s">
        <v>1437</v>
      </c>
      <c r="B321" s="58" t="s">
        <v>766</v>
      </c>
      <c r="C321" s="58" t="s">
        <v>752</v>
      </c>
      <c r="D321" s="214" t="s">
        <v>186</v>
      </c>
      <c r="E321" s="214" t="s">
        <v>186</v>
      </c>
      <c r="F321" s="215" t="s">
        <v>186</v>
      </c>
      <c r="G321" s="216">
        <v>2023</v>
      </c>
      <c r="H321" s="218" t="s">
        <v>1320</v>
      </c>
      <c r="I321" s="218" t="s">
        <v>212</v>
      </c>
      <c r="J321" s="217" t="s">
        <v>890</v>
      </c>
      <c r="K321" s="213" t="s">
        <v>221</v>
      </c>
      <c r="L321" s="213" t="s">
        <v>192</v>
      </c>
      <c r="M321" s="219" t="s">
        <v>1390</v>
      </c>
      <c r="N321" s="265">
        <v>6.6</v>
      </c>
      <c r="O321" s="265">
        <v>6.6</v>
      </c>
      <c r="P321" s="265">
        <v>6.6</v>
      </c>
      <c r="Q321" s="265">
        <v>6.6</v>
      </c>
      <c r="R321" s="265">
        <v>6.6</v>
      </c>
      <c r="S321" s="265">
        <v>6.6</v>
      </c>
      <c r="T321" s="265">
        <v>6.6</v>
      </c>
      <c r="U321" s="265">
        <v>6.6</v>
      </c>
      <c r="V321" s="265">
        <v>6.6</v>
      </c>
      <c r="W321" s="265">
        <v>6.6</v>
      </c>
      <c r="X321" s="265">
        <v>6.6</v>
      </c>
      <c r="Y321" s="265">
        <v>6.6</v>
      </c>
      <c r="Z321" s="265">
        <v>0.06</v>
      </c>
      <c r="AA321" s="265">
        <v>0.06</v>
      </c>
      <c r="AB321" s="265">
        <v>0.06</v>
      </c>
      <c r="AC321" s="265">
        <v>0.06</v>
      </c>
      <c r="AD321" s="265">
        <v>0.06</v>
      </c>
      <c r="AE321" s="265">
        <v>0.06</v>
      </c>
      <c r="AF321" s="265">
        <v>0.06</v>
      </c>
      <c r="AG321" s="265">
        <v>0.06</v>
      </c>
      <c r="AH321" s="265">
        <v>0.06</v>
      </c>
      <c r="AI321" s="265">
        <v>0.06</v>
      </c>
      <c r="AJ321" s="265">
        <v>0.06</v>
      </c>
      <c r="AK321" s="265">
        <v>0.06</v>
      </c>
      <c r="AL321" s="266" t="s">
        <v>573</v>
      </c>
      <c r="AM321" s="265">
        <f t="shared" si="80"/>
        <v>0</v>
      </c>
      <c r="AN321" s="266" t="s">
        <v>573</v>
      </c>
      <c r="AO321" s="265">
        <f t="shared" si="78"/>
        <v>0</v>
      </c>
      <c r="AP321" s="266">
        <v>0</v>
      </c>
      <c r="AQ321" s="265">
        <f t="shared" si="81"/>
        <v>0</v>
      </c>
      <c r="AR321" s="266">
        <v>0</v>
      </c>
      <c r="AS321" s="262">
        <f t="shared" si="82"/>
        <v>0</v>
      </c>
      <c r="AT321" s="266">
        <v>0</v>
      </c>
      <c r="AU321" s="260">
        <f t="shared" si="83"/>
        <v>0</v>
      </c>
      <c r="AV321" s="259">
        <v>0</v>
      </c>
      <c r="AW321" s="260">
        <f t="shared" si="84"/>
        <v>0</v>
      </c>
      <c r="AX321" s="261">
        <v>2700</v>
      </c>
      <c r="AY321" s="260">
        <f t="shared" si="85"/>
        <v>162</v>
      </c>
      <c r="AZ321" s="259" t="s">
        <v>573</v>
      </c>
      <c r="BA321" s="260">
        <f t="shared" si="86"/>
        <v>0</v>
      </c>
      <c r="BB321" s="259" t="s">
        <v>573</v>
      </c>
      <c r="BC321" s="260">
        <f t="shared" si="87"/>
        <v>0</v>
      </c>
      <c r="BD321" s="259" t="s">
        <v>573</v>
      </c>
      <c r="BE321" s="260">
        <f t="shared" si="88"/>
        <v>0</v>
      </c>
      <c r="BF321" s="259" t="s">
        <v>573</v>
      </c>
      <c r="BG321" s="260">
        <f t="shared" si="89"/>
        <v>0</v>
      </c>
      <c r="BH321" s="259" t="s">
        <v>573</v>
      </c>
      <c r="BI321" s="260">
        <f t="shared" si="79"/>
        <v>0</v>
      </c>
      <c r="BJ321" s="58"/>
      <c r="BK321" s="220"/>
      <c r="BL321" s="213" t="s">
        <v>806</v>
      </c>
      <c r="BM321" s="58" t="s">
        <v>1348</v>
      </c>
    </row>
    <row r="322" spans="1:65" ht="15.75" customHeight="1">
      <c r="A322" s="213" t="s">
        <v>1437</v>
      </c>
      <c r="B322" s="58" t="s">
        <v>1293</v>
      </c>
      <c r="C322" s="58" t="s">
        <v>752</v>
      </c>
      <c r="D322" s="214" t="s">
        <v>1477</v>
      </c>
      <c r="E322" s="214" t="s">
        <v>1478</v>
      </c>
      <c r="F322" s="215" t="s">
        <v>186</v>
      </c>
      <c r="G322" s="216">
        <v>2023</v>
      </c>
      <c r="H322" s="218" t="s">
        <v>825</v>
      </c>
      <c r="I322" s="217" t="s">
        <v>781</v>
      </c>
      <c r="J322" s="217" t="s">
        <v>890</v>
      </c>
      <c r="K322" s="213" t="s">
        <v>753</v>
      </c>
      <c r="L322" s="213" t="s">
        <v>192</v>
      </c>
      <c r="M322" s="219" t="s">
        <v>1393</v>
      </c>
      <c r="N322" s="265">
        <v>31.36</v>
      </c>
      <c r="O322" s="265">
        <v>31.36</v>
      </c>
      <c r="P322" s="265">
        <v>31.36</v>
      </c>
      <c r="Q322" s="265">
        <v>31.36</v>
      </c>
      <c r="R322" s="265">
        <v>31.36</v>
      </c>
      <c r="S322" s="265">
        <v>31.36</v>
      </c>
      <c r="T322" s="265">
        <v>31.36</v>
      </c>
      <c r="U322" s="265">
        <v>31.36</v>
      </c>
      <c r="V322" s="265">
        <v>31.36</v>
      </c>
      <c r="W322" s="265">
        <v>31.36</v>
      </c>
      <c r="X322" s="265">
        <v>31.36</v>
      </c>
      <c r="Y322" s="265">
        <v>31.36</v>
      </c>
      <c r="Z322" s="265">
        <v>0.01</v>
      </c>
      <c r="AA322" s="265">
        <v>0.01</v>
      </c>
      <c r="AB322" s="265">
        <v>0.01</v>
      </c>
      <c r="AC322" s="265">
        <v>0.01</v>
      </c>
      <c r="AD322" s="265">
        <v>0.01</v>
      </c>
      <c r="AE322" s="265">
        <v>0.01</v>
      </c>
      <c r="AF322" s="265">
        <v>0.01</v>
      </c>
      <c r="AG322" s="265">
        <v>0.01</v>
      </c>
      <c r="AH322" s="265">
        <v>0.01</v>
      </c>
      <c r="AI322" s="265">
        <v>0.01</v>
      </c>
      <c r="AJ322" s="265">
        <v>0.01</v>
      </c>
      <c r="AK322" s="265">
        <v>0.01</v>
      </c>
      <c r="AL322" s="266" t="s">
        <v>573</v>
      </c>
      <c r="AM322" s="265">
        <f t="shared" si="80"/>
        <v>0</v>
      </c>
      <c r="AN322" s="266" t="s">
        <v>573</v>
      </c>
      <c r="AO322" s="265">
        <f t="shared" si="78"/>
        <v>0</v>
      </c>
      <c r="AP322" s="266">
        <v>0</v>
      </c>
      <c r="AQ322" s="265">
        <f t="shared" si="81"/>
        <v>0</v>
      </c>
      <c r="AR322" s="266">
        <v>0</v>
      </c>
      <c r="AS322" s="262">
        <f t="shared" si="82"/>
        <v>0</v>
      </c>
      <c r="AT322" s="266">
        <v>0</v>
      </c>
      <c r="AU322" s="260">
        <f t="shared" si="83"/>
        <v>0</v>
      </c>
      <c r="AV322" s="259">
        <v>0</v>
      </c>
      <c r="AW322" s="260">
        <f t="shared" si="84"/>
        <v>0</v>
      </c>
      <c r="AX322" s="261">
        <v>10</v>
      </c>
      <c r="AY322" s="260">
        <f t="shared" si="85"/>
        <v>0.1</v>
      </c>
      <c r="AZ322" s="259">
        <v>20</v>
      </c>
      <c r="BA322" s="260">
        <f t="shared" si="86"/>
        <v>0.2</v>
      </c>
      <c r="BB322" s="259">
        <v>340</v>
      </c>
      <c r="BC322" s="260">
        <f t="shared" si="87"/>
        <v>3.4</v>
      </c>
      <c r="BD322" s="259" t="s">
        <v>573</v>
      </c>
      <c r="BE322" s="260">
        <f t="shared" si="88"/>
        <v>0</v>
      </c>
      <c r="BF322" s="259" t="s">
        <v>573</v>
      </c>
      <c r="BG322" s="260">
        <f t="shared" si="89"/>
        <v>0</v>
      </c>
      <c r="BH322" s="259" t="s">
        <v>573</v>
      </c>
      <c r="BI322" s="260">
        <f t="shared" si="79"/>
        <v>0</v>
      </c>
      <c r="BJ322" s="58"/>
      <c r="BK322" s="220"/>
      <c r="BL322" s="213" t="s">
        <v>1329</v>
      </c>
      <c r="BM322" s="58" t="s">
        <v>1479</v>
      </c>
    </row>
    <row r="323" spans="1:65" ht="15.6" customHeight="1">
      <c r="A323" s="213" t="s">
        <v>1437</v>
      </c>
      <c r="B323" s="58" t="s">
        <v>184</v>
      </c>
      <c r="C323" s="58" t="s">
        <v>752</v>
      </c>
      <c r="D323" s="214" t="s">
        <v>186</v>
      </c>
      <c r="E323" s="214" t="s">
        <v>186</v>
      </c>
      <c r="F323" s="215" t="s">
        <v>186</v>
      </c>
      <c r="G323" s="216">
        <v>2016</v>
      </c>
      <c r="H323" s="218" t="s">
        <v>794</v>
      </c>
      <c r="I323" s="218" t="s">
        <v>196</v>
      </c>
      <c r="J323" s="217" t="s">
        <v>890</v>
      </c>
      <c r="K323" s="213" t="s">
        <v>249</v>
      </c>
      <c r="L323" s="213" t="s">
        <v>192</v>
      </c>
      <c r="M323" s="219" t="s">
        <v>1395</v>
      </c>
      <c r="N323" s="265">
        <v>5.29</v>
      </c>
      <c r="O323" s="265">
        <v>5.29</v>
      </c>
      <c r="P323" s="265">
        <v>5.29</v>
      </c>
      <c r="Q323" s="265">
        <v>5.29</v>
      </c>
      <c r="R323" s="265">
        <v>5.29</v>
      </c>
      <c r="S323" s="265">
        <v>5.29</v>
      </c>
      <c r="T323" s="265">
        <v>5.29</v>
      </c>
      <c r="U323" s="265">
        <v>5.29</v>
      </c>
      <c r="V323" s="265">
        <v>5.29</v>
      </c>
      <c r="W323" s="265">
        <v>5.29</v>
      </c>
      <c r="X323" s="265">
        <v>5.29</v>
      </c>
      <c r="Y323" s="265">
        <v>5.29</v>
      </c>
      <c r="Z323" s="265">
        <v>0.05</v>
      </c>
      <c r="AA323" s="265">
        <v>0.05</v>
      </c>
      <c r="AB323" s="265">
        <v>0.05</v>
      </c>
      <c r="AC323" s="265">
        <v>0.05</v>
      </c>
      <c r="AD323" s="265">
        <v>0.05</v>
      </c>
      <c r="AE323" s="265">
        <v>0.05</v>
      </c>
      <c r="AF323" s="265">
        <v>0.05</v>
      </c>
      <c r="AG323" s="265">
        <v>0.05</v>
      </c>
      <c r="AH323" s="265">
        <v>0.05</v>
      </c>
      <c r="AI323" s="265">
        <v>0.05</v>
      </c>
      <c r="AJ323" s="265">
        <v>0.05</v>
      </c>
      <c r="AK323" s="265">
        <v>0.05</v>
      </c>
      <c r="AL323" s="266" t="s">
        <v>573</v>
      </c>
      <c r="AM323" s="265">
        <f t="shared" si="80"/>
        <v>0</v>
      </c>
      <c r="AN323" s="266" t="s">
        <v>573</v>
      </c>
      <c r="AO323" s="265">
        <f t="shared" ref="AO323:AO370" si="90">AN323*AA323</f>
        <v>0</v>
      </c>
      <c r="AP323" s="266">
        <v>0</v>
      </c>
      <c r="AQ323" s="265">
        <f t="shared" si="81"/>
        <v>0</v>
      </c>
      <c r="AR323" s="266">
        <v>0</v>
      </c>
      <c r="AS323" s="262">
        <f t="shared" si="82"/>
        <v>0</v>
      </c>
      <c r="AT323" s="266">
        <v>0</v>
      </c>
      <c r="AU323" s="260">
        <f t="shared" si="83"/>
        <v>0</v>
      </c>
      <c r="AV323" s="259">
        <v>0</v>
      </c>
      <c r="AW323" s="260">
        <f t="shared" si="84"/>
        <v>0</v>
      </c>
      <c r="AX323" s="261">
        <v>1000</v>
      </c>
      <c r="AY323" s="260">
        <f t="shared" si="85"/>
        <v>50</v>
      </c>
      <c r="AZ323" s="259" t="s">
        <v>573</v>
      </c>
      <c r="BA323" s="260">
        <f t="shared" si="86"/>
        <v>0</v>
      </c>
      <c r="BB323" s="259" t="s">
        <v>573</v>
      </c>
      <c r="BC323" s="260">
        <f t="shared" si="87"/>
        <v>0</v>
      </c>
      <c r="BD323" s="259" t="s">
        <v>573</v>
      </c>
      <c r="BE323" s="260">
        <f t="shared" si="88"/>
        <v>0</v>
      </c>
      <c r="BF323" s="259" t="s">
        <v>573</v>
      </c>
      <c r="BG323" s="260">
        <f t="shared" si="89"/>
        <v>0</v>
      </c>
      <c r="BH323" s="259" t="s">
        <v>573</v>
      </c>
      <c r="BI323" s="260">
        <f t="shared" ref="BI323:BI375" si="91">BH323*AK323</f>
        <v>0</v>
      </c>
      <c r="BJ323" s="58"/>
      <c r="BK323" s="220"/>
      <c r="BL323" s="213" t="s">
        <v>1347</v>
      </c>
      <c r="BM323" s="213" t="s">
        <v>1507</v>
      </c>
    </row>
    <row r="324" spans="1:65" ht="15.6" customHeight="1">
      <c r="A324" s="213" t="s">
        <v>1437</v>
      </c>
      <c r="B324" s="58" t="s">
        <v>184</v>
      </c>
      <c r="C324" s="58" t="s">
        <v>752</v>
      </c>
      <c r="D324" s="214" t="s">
        <v>186</v>
      </c>
      <c r="E324" s="214" t="s">
        <v>186</v>
      </c>
      <c r="F324" s="215" t="s">
        <v>186</v>
      </c>
      <c r="G324" s="216">
        <v>2016</v>
      </c>
      <c r="H324" s="218" t="s">
        <v>794</v>
      </c>
      <c r="I324" s="218" t="s">
        <v>196</v>
      </c>
      <c r="J324" s="217" t="s">
        <v>890</v>
      </c>
      <c r="K324" s="213" t="s">
        <v>249</v>
      </c>
      <c r="L324" s="213" t="s">
        <v>192</v>
      </c>
      <c r="M324" s="219" t="s">
        <v>1408</v>
      </c>
      <c r="N324" s="265">
        <v>5.29</v>
      </c>
      <c r="O324" s="265">
        <v>5.29</v>
      </c>
      <c r="P324" s="265">
        <v>5.29</v>
      </c>
      <c r="Q324" s="265">
        <v>5.29</v>
      </c>
      <c r="R324" s="265">
        <v>5.29</v>
      </c>
      <c r="S324" s="265">
        <v>5.29</v>
      </c>
      <c r="T324" s="265">
        <v>5.29</v>
      </c>
      <c r="U324" s="265">
        <v>5.29</v>
      </c>
      <c r="V324" s="265">
        <v>5.29</v>
      </c>
      <c r="W324" s="265">
        <v>5.29</v>
      </c>
      <c r="X324" s="265">
        <v>5.29</v>
      </c>
      <c r="Y324" s="265">
        <v>5.29</v>
      </c>
      <c r="Z324" s="265">
        <v>0.05</v>
      </c>
      <c r="AA324" s="265">
        <v>0.05</v>
      </c>
      <c r="AB324" s="265">
        <v>0.05</v>
      </c>
      <c r="AC324" s="265">
        <v>0.05</v>
      </c>
      <c r="AD324" s="265">
        <v>0.05</v>
      </c>
      <c r="AE324" s="265">
        <v>0.05</v>
      </c>
      <c r="AF324" s="265">
        <v>0.05</v>
      </c>
      <c r="AG324" s="265">
        <v>0.05</v>
      </c>
      <c r="AH324" s="265">
        <v>0.05</v>
      </c>
      <c r="AI324" s="265">
        <v>0.05</v>
      </c>
      <c r="AJ324" s="265">
        <v>0.05</v>
      </c>
      <c r="AK324" s="265">
        <v>0.05</v>
      </c>
      <c r="AL324" s="266" t="s">
        <v>573</v>
      </c>
      <c r="AM324" s="265">
        <f t="shared" si="80"/>
        <v>0</v>
      </c>
      <c r="AN324" s="266" t="s">
        <v>573</v>
      </c>
      <c r="AO324" s="265">
        <f t="shared" si="90"/>
        <v>0</v>
      </c>
      <c r="AP324" s="266">
        <v>0</v>
      </c>
      <c r="AQ324" s="265">
        <f t="shared" si="81"/>
        <v>0</v>
      </c>
      <c r="AR324" s="266">
        <v>0</v>
      </c>
      <c r="AS324" s="262">
        <f t="shared" si="82"/>
        <v>0</v>
      </c>
      <c r="AT324" s="266">
        <v>0</v>
      </c>
      <c r="AU324" s="260">
        <f t="shared" si="83"/>
        <v>0</v>
      </c>
      <c r="AV324" s="259">
        <v>0</v>
      </c>
      <c r="AW324" s="260">
        <f t="shared" si="84"/>
        <v>0</v>
      </c>
      <c r="AX324" s="261">
        <v>0</v>
      </c>
      <c r="AY324" s="260">
        <f t="shared" si="85"/>
        <v>0</v>
      </c>
      <c r="AZ324" s="259" t="s">
        <v>573</v>
      </c>
      <c r="BA324" s="260">
        <f t="shared" si="86"/>
        <v>0</v>
      </c>
      <c r="BB324" s="259" t="s">
        <v>573</v>
      </c>
      <c r="BC324" s="260">
        <f t="shared" si="87"/>
        <v>0</v>
      </c>
      <c r="BD324" s="259">
        <v>3600</v>
      </c>
      <c r="BE324" s="260">
        <f t="shared" si="88"/>
        <v>180</v>
      </c>
      <c r="BF324" s="259" t="s">
        <v>573</v>
      </c>
      <c r="BG324" s="260">
        <f t="shared" si="89"/>
        <v>0</v>
      </c>
      <c r="BH324" s="259" t="s">
        <v>573</v>
      </c>
      <c r="BI324" s="260">
        <f t="shared" si="91"/>
        <v>0</v>
      </c>
      <c r="BJ324" s="58"/>
      <c r="BK324" s="220"/>
      <c r="BL324" s="213" t="s">
        <v>1347</v>
      </c>
      <c r="BM324" s="213" t="s">
        <v>1507</v>
      </c>
    </row>
    <row r="325" spans="1:65" ht="15.75" customHeight="1">
      <c r="A325" s="213" t="s">
        <v>1437</v>
      </c>
      <c r="B325" s="58" t="s">
        <v>184</v>
      </c>
      <c r="C325" s="58" t="s">
        <v>752</v>
      </c>
      <c r="D325" s="214" t="s">
        <v>186</v>
      </c>
      <c r="E325" s="214" t="s">
        <v>186</v>
      </c>
      <c r="F325" s="215" t="s">
        <v>186</v>
      </c>
      <c r="G325" s="216">
        <v>2023</v>
      </c>
      <c r="H325" s="218" t="s">
        <v>824</v>
      </c>
      <c r="I325" s="218" t="s">
        <v>196</v>
      </c>
      <c r="J325" s="217" t="s">
        <v>890</v>
      </c>
      <c r="K325" s="213" t="s">
        <v>753</v>
      </c>
      <c r="L325" s="213" t="s">
        <v>192</v>
      </c>
      <c r="M325" s="219" t="s">
        <v>1393</v>
      </c>
      <c r="N325" s="265">
        <v>11.55</v>
      </c>
      <c r="O325" s="265">
        <v>11.55</v>
      </c>
      <c r="P325" s="265">
        <v>11.55</v>
      </c>
      <c r="Q325" s="265">
        <v>11.55</v>
      </c>
      <c r="R325" s="265">
        <v>11.55</v>
      </c>
      <c r="S325" s="265">
        <v>11.55</v>
      </c>
      <c r="T325" s="265">
        <v>11.55</v>
      </c>
      <c r="U325" s="265">
        <v>11.55</v>
      </c>
      <c r="V325" s="265">
        <v>11.55</v>
      </c>
      <c r="W325" s="265">
        <v>11.55</v>
      </c>
      <c r="X325" s="265">
        <v>11.55</v>
      </c>
      <c r="Y325" s="265">
        <v>11.55</v>
      </c>
      <c r="Z325" s="265">
        <v>0.45</v>
      </c>
      <c r="AA325" s="265">
        <v>0.45</v>
      </c>
      <c r="AB325" s="265">
        <v>0.45</v>
      </c>
      <c r="AC325" s="265">
        <v>0.45</v>
      </c>
      <c r="AD325" s="265">
        <v>0.45</v>
      </c>
      <c r="AE325" s="265">
        <v>0.45</v>
      </c>
      <c r="AF325" s="265">
        <v>0.45</v>
      </c>
      <c r="AG325" s="265">
        <v>0.45</v>
      </c>
      <c r="AH325" s="265">
        <v>0.45</v>
      </c>
      <c r="AI325" s="265">
        <v>0.45</v>
      </c>
      <c r="AJ325" s="265">
        <v>0.45</v>
      </c>
      <c r="AK325" s="265">
        <v>0.45</v>
      </c>
      <c r="AL325" s="266">
        <v>1440</v>
      </c>
      <c r="AM325" s="265">
        <f t="shared" si="80"/>
        <v>648</v>
      </c>
      <c r="AN325" s="266" t="s">
        <v>573</v>
      </c>
      <c r="AO325" s="265">
        <f t="shared" si="90"/>
        <v>0</v>
      </c>
      <c r="AP325" s="266">
        <v>1440</v>
      </c>
      <c r="AQ325" s="265">
        <f t="shared" si="81"/>
        <v>648</v>
      </c>
      <c r="AR325" s="266">
        <v>1440</v>
      </c>
      <c r="AS325" s="262">
        <f t="shared" si="82"/>
        <v>648</v>
      </c>
      <c r="AT325" s="266">
        <v>0</v>
      </c>
      <c r="AU325" s="260">
        <f t="shared" si="83"/>
        <v>0</v>
      </c>
      <c r="AV325" s="259">
        <v>0</v>
      </c>
      <c r="AW325" s="260">
        <f t="shared" si="84"/>
        <v>0</v>
      </c>
      <c r="AX325" s="261" t="s">
        <v>573</v>
      </c>
      <c r="AY325" s="260">
        <f t="shared" si="85"/>
        <v>0</v>
      </c>
      <c r="AZ325" s="259">
        <v>1440</v>
      </c>
      <c r="BA325" s="260">
        <f t="shared" si="86"/>
        <v>648</v>
      </c>
      <c r="BB325" s="259" t="s">
        <v>573</v>
      </c>
      <c r="BC325" s="260">
        <f t="shared" si="87"/>
        <v>0</v>
      </c>
      <c r="BD325" s="259" t="s">
        <v>573</v>
      </c>
      <c r="BE325" s="260">
        <f t="shared" si="88"/>
        <v>0</v>
      </c>
      <c r="BF325" s="259" t="s">
        <v>573</v>
      </c>
      <c r="BG325" s="260">
        <f t="shared" si="89"/>
        <v>0</v>
      </c>
      <c r="BH325" s="259" t="s">
        <v>573</v>
      </c>
      <c r="BI325" s="260">
        <f t="shared" si="91"/>
        <v>0</v>
      </c>
      <c r="BJ325" s="58"/>
      <c r="BK325" s="220"/>
      <c r="BL325" s="213" t="s">
        <v>1347</v>
      </c>
      <c r="BM325" s="58" t="s">
        <v>1508</v>
      </c>
    </row>
    <row r="326" spans="1:65" ht="15.75" customHeight="1">
      <c r="A326" s="213" t="s">
        <v>1437</v>
      </c>
      <c r="B326" s="58" t="s">
        <v>184</v>
      </c>
      <c r="C326" s="58" t="s">
        <v>752</v>
      </c>
      <c r="D326" s="214" t="s">
        <v>186</v>
      </c>
      <c r="E326" s="214" t="s">
        <v>186</v>
      </c>
      <c r="F326" s="215" t="s">
        <v>186</v>
      </c>
      <c r="G326" s="216">
        <v>2023</v>
      </c>
      <c r="H326" s="218" t="s">
        <v>824</v>
      </c>
      <c r="I326" s="218" t="s">
        <v>196</v>
      </c>
      <c r="J326" s="217" t="s">
        <v>890</v>
      </c>
      <c r="K326" s="213" t="s">
        <v>753</v>
      </c>
      <c r="L326" s="213" t="s">
        <v>192</v>
      </c>
      <c r="M326" s="219" t="s">
        <v>1408</v>
      </c>
      <c r="N326" s="265">
        <v>11.55</v>
      </c>
      <c r="O326" s="265">
        <v>11.55</v>
      </c>
      <c r="P326" s="265">
        <v>11.55</v>
      </c>
      <c r="Q326" s="265">
        <v>11.55</v>
      </c>
      <c r="R326" s="265">
        <v>11.55</v>
      </c>
      <c r="S326" s="265">
        <v>11.55</v>
      </c>
      <c r="T326" s="265">
        <v>11.55</v>
      </c>
      <c r="U326" s="265">
        <v>11.55</v>
      </c>
      <c r="V326" s="265">
        <v>11.55</v>
      </c>
      <c r="W326" s="265">
        <v>11.55</v>
      </c>
      <c r="X326" s="265">
        <v>11.55</v>
      </c>
      <c r="Y326" s="265">
        <v>11.55</v>
      </c>
      <c r="Z326" s="265">
        <v>0.45</v>
      </c>
      <c r="AA326" s="265">
        <v>0.45</v>
      </c>
      <c r="AB326" s="265">
        <v>0.45</v>
      </c>
      <c r="AC326" s="265">
        <v>0.45</v>
      </c>
      <c r="AD326" s="265">
        <v>0.45</v>
      </c>
      <c r="AE326" s="265">
        <v>0.45</v>
      </c>
      <c r="AF326" s="265">
        <v>0.45</v>
      </c>
      <c r="AG326" s="265">
        <v>0.45</v>
      </c>
      <c r="AH326" s="265">
        <v>0.45</v>
      </c>
      <c r="AI326" s="265">
        <v>0.45</v>
      </c>
      <c r="AJ326" s="265">
        <v>0.45</v>
      </c>
      <c r="AK326" s="265">
        <v>0.45</v>
      </c>
      <c r="AL326" s="266" t="s">
        <v>573</v>
      </c>
      <c r="AM326" s="265">
        <f t="shared" si="80"/>
        <v>0</v>
      </c>
      <c r="AN326" s="266" t="s">
        <v>573</v>
      </c>
      <c r="AO326" s="265">
        <f t="shared" si="90"/>
        <v>0</v>
      </c>
      <c r="AP326" s="266">
        <v>3400</v>
      </c>
      <c r="AQ326" s="265">
        <f t="shared" si="81"/>
        <v>1530</v>
      </c>
      <c r="AR326" s="266">
        <v>0</v>
      </c>
      <c r="AS326" s="262">
        <f t="shared" si="82"/>
        <v>0</v>
      </c>
      <c r="AT326" s="266">
        <v>1440</v>
      </c>
      <c r="AU326" s="260">
        <f t="shared" si="83"/>
        <v>648</v>
      </c>
      <c r="AV326" s="259">
        <v>0</v>
      </c>
      <c r="AW326" s="260">
        <f t="shared" si="84"/>
        <v>0</v>
      </c>
      <c r="AX326" s="261" t="s">
        <v>573</v>
      </c>
      <c r="AY326" s="260">
        <f t="shared" si="85"/>
        <v>0</v>
      </c>
      <c r="AZ326" s="259">
        <v>0</v>
      </c>
      <c r="BA326" s="260">
        <f t="shared" si="86"/>
        <v>0</v>
      </c>
      <c r="BB326" s="259">
        <v>0</v>
      </c>
      <c r="BC326" s="260">
        <f t="shared" si="87"/>
        <v>0</v>
      </c>
      <c r="BD326" s="259">
        <v>1440</v>
      </c>
      <c r="BE326" s="260">
        <f t="shared" si="88"/>
        <v>648</v>
      </c>
      <c r="BF326" s="259" t="s">
        <v>573</v>
      </c>
      <c r="BG326" s="260">
        <f t="shared" si="89"/>
        <v>0</v>
      </c>
      <c r="BH326" s="259" t="s">
        <v>573</v>
      </c>
      <c r="BI326" s="260">
        <f t="shared" si="91"/>
        <v>0</v>
      </c>
      <c r="BJ326" s="58"/>
      <c r="BK326" s="220"/>
      <c r="BL326" s="213" t="s">
        <v>1347</v>
      </c>
      <c r="BM326" s="58" t="s">
        <v>1508</v>
      </c>
    </row>
    <row r="327" spans="1:65" ht="15.75" customHeight="1">
      <c r="A327" s="213" t="s">
        <v>1437</v>
      </c>
      <c r="B327" s="58" t="s">
        <v>1293</v>
      </c>
      <c r="C327" s="58" t="s">
        <v>752</v>
      </c>
      <c r="D327" s="214" t="s">
        <v>1477</v>
      </c>
      <c r="E327" s="214" t="s">
        <v>1478</v>
      </c>
      <c r="F327" s="215" t="s">
        <v>186</v>
      </c>
      <c r="G327" s="216">
        <v>2023</v>
      </c>
      <c r="H327" s="218" t="s">
        <v>825</v>
      </c>
      <c r="I327" s="217" t="s">
        <v>781</v>
      </c>
      <c r="J327" s="217" t="s">
        <v>890</v>
      </c>
      <c r="K327" s="213" t="s">
        <v>753</v>
      </c>
      <c r="L327" s="213" t="s">
        <v>192</v>
      </c>
      <c r="M327" s="219" t="s">
        <v>1392</v>
      </c>
      <c r="N327" s="265">
        <v>31.36</v>
      </c>
      <c r="O327" s="265">
        <v>31.36</v>
      </c>
      <c r="P327" s="265">
        <v>31.36</v>
      </c>
      <c r="Q327" s="265">
        <v>31.36</v>
      </c>
      <c r="R327" s="265">
        <v>32.909999999999997</v>
      </c>
      <c r="S327" s="265">
        <v>32.909999999999997</v>
      </c>
      <c r="T327" s="265">
        <v>32.909999999999997</v>
      </c>
      <c r="U327" s="265">
        <v>32.909999999999997</v>
      </c>
      <c r="V327" s="265">
        <v>32.909999999999997</v>
      </c>
      <c r="W327" s="265">
        <v>32.909999999999997</v>
      </c>
      <c r="X327" s="265">
        <v>32.909999999999997</v>
      </c>
      <c r="Y327" s="265">
        <v>32.909999999999997</v>
      </c>
      <c r="Z327" s="265">
        <v>0.01</v>
      </c>
      <c r="AA327" s="265">
        <v>0.01</v>
      </c>
      <c r="AB327" s="265">
        <v>0.01</v>
      </c>
      <c r="AC327" s="265">
        <v>0.01</v>
      </c>
      <c r="AD327" s="265">
        <v>1.56</v>
      </c>
      <c r="AE327" s="265">
        <v>1.56</v>
      </c>
      <c r="AF327" s="265">
        <v>1.56</v>
      </c>
      <c r="AG327" s="265">
        <v>1.56</v>
      </c>
      <c r="AH327" s="265">
        <v>1.56</v>
      </c>
      <c r="AI327" s="265">
        <v>1.56</v>
      </c>
      <c r="AJ327" s="265">
        <v>1.56</v>
      </c>
      <c r="AK327" s="265">
        <v>1.56</v>
      </c>
      <c r="AL327" s="266" t="s">
        <v>573</v>
      </c>
      <c r="AM327" s="265">
        <f t="shared" si="80"/>
        <v>0</v>
      </c>
      <c r="AN327" s="266" t="s">
        <v>573</v>
      </c>
      <c r="AO327" s="265">
        <f t="shared" si="90"/>
        <v>0</v>
      </c>
      <c r="AP327" s="266">
        <v>0</v>
      </c>
      <c r="AQ327" s="265">
        <f t="shared" si="81"/>
        <v>0</v>
      </c>
      <c r="AR327" s="266">
        <v>0</v>
      </c>
      <c r="AS327" s="262">
        <f t="shared" si="82"/>
        <v>0</v>
      </c>
      <c r="AT327" s="266">
        <v>360</v>
      </c>
      <c r="AU327" s="260">
        <f t="shared" si="83"/>
        <v>561.6</v>
      </c>
      <c r="AV327" s="259">
        <v>0</v>
      </c>
      <c r="AW327" s="260">
        <f t="shared" si="84"/>
        <v>0</v>
      </c>
      <c r="AX327" s="261" t="s">
        <v>573</v>
      </c>
      <c r="AY327" s="260">
        <f t="shared" si="85"/>
        <v>0</v>
      </c>
      <c r="AZ327" s="259">
        <v>880</v>
      </c>
      <c r="BA327" s="260">
        <f t="shared" si="86"/>
        <v>1372.8</v>
      </c>
      <c r="BB327" s="259" t="s">
        <v>573</v>
      </c>
      <c r="BC327" s="260">
        <f t="shared" si="87"/>
        <v>0</v>
      </c>
      <c r="BD327" s="259" t="s">
        <v>573</v>
      </c>
      <c r="BE327" s="260">
        <f t="shared" si="88"/>
        <v>0</v>
      </c>
      <c r="BF327" s="259" t="s">
        <v>573</v>
      </c>
      <c r="BG327" s="260">
        <f t="shared" si="89"/>
        <v>0</v>
      </c>
      <c r="BH327" s="259" t="s">
        <v>573</v>
      </c>
      <c r="BI327" s="260">
        <f t="shared" si="91"/>
        <v>0</v>
      </c>
      <c r="BJ327" s="58"/>
      <c r="BK327" s="220"/>
      <c r="BL327" s="213" t="s">
        <v>1329</v>
      </c>
      <c r="BM327" s="58" t="s">
        <v>1479</v>
      </c>
    </row>
    <row r="328" spans="1:65" ht="15.75" customHeight="1">
      <c r="A328" s="213" t="s">
        <v>1437</v>
      </c>
      <c r="B328" s="58" t="s">
        <v>1293</v>
      </c>
      <c r="C328" s="58" t="s">
        <v>752</v>
      </c>
      <c r="D328" s="214" t="s">
        <v>1477</v>
      </c>
      <c r="E328" s="214" t="s">
        <v>1478</v>
      </c>
      <c r="F328" s="215" t="s">
        <v>186</v>
      </c>
      <c r="G328" s="216">
        <v>2023</v>
      </c>
      <c r="H328" s="218" t="s">
        <v>825</v>
      </c>
      <c r="I328" s="217" t="s">
        <v>781</v>
      </c>
      <c r="J328" s="217" t="s">
        <v>890</v>
      </c>
      <c r="K328" s="213" t="s">
        <v>753</v>
      </c>
      <c r="L328" s="213" t="s">
        <v>192</v>
      </c>
      <c r="M328" s="219" t="s">
        <v>1392</v>
      </c>
      <c r="N328" s="265">
        <v>31.36</v>
      </c>
      <c r="O328" s="265">
        <v>31.36</v>
      </c>
      <c r="P328" s="265">
        <v>31.36</v>
      </c>
      <c r="Q328" s="265">
        <v>31.36</v>
      </c>
      <c r="R328" s="265">
        <v>32.909999999999997</v>
      </c>
      <c r="S328" s="265">
        <v>32.909999999999997</v>
      </c>
      <c r="T328" s="265">
        <v>32.909999999999997</v>
      </c>
      <c r="U328" s="265">
        <v>32.909999999999997</v>
      </c>
      <c r="V328" s="265">
        <v>32.909999999999997</v>
      </c>
      <c r="W328" s="265">
        <v>32.909999999999997</v>
      </c>
      <c r="X328" s="265">
        <v>32.909999999999997</v>
      </c>
      <c r="Y328" s="265">
        <v>32.909999999999997</v>
      </c>
      <c r="Z328" s="265">
        <v>0.01</v>
      </c>
      <c r="AA328" s="265">
        <v>0.01</v>
      </c>
      <c r="AB328" s="265">
        <v>0.01</v>
      </c>
      <c r="AC328" s="265">
        <v>0.01</v>
      </c>
      <c r="AD328" s="265">
        <v>1.56</v>
      </c>
      <c r="AE328" s="265">
        <v>1.56</v>
      </c>
      <c r="AF328" s="265">
        <v>1.56</v>
      </c>
      <c r="AG328" s="265">
        <v>1.56</v>
      </c>
      <c r="AH328" s="265">
        <v>1.56</v>
      </c>
      <c r="AI328" s="265">
        <v>1.56</v>
      </c>
      <c r="AJ328" s="265">
        <v>1.56</v>
      </c>
      <c r="AK328" s="265">
        <v>1.56</v>
      </c>
      <c r="AL328" s="266" t="s">
        <v>573</v>
      </c>
      <c r="AM328" s="265">
        <f t="shared" si="80"/>
        <v>0</v>
      </c>
      <c r="AN328" s="266" t="s">
        <v>573</v>
      </c>
      <c r="AO328" s="265">
        <f t="shared" si="90"/>
        <v>0</v>
      </c>
      <c r="AP328" s="266">
        <v>0</v>
      </c>
      <c r="AQ328" s="265">
        <f t="shared" si="81"/>
        <v>0</v>
      </c>
      <c r="AR328" s="266">
        <v>0</v>
      </c>
      <c r="AS328" s="262">
        <f t="shared" si="82"/>
        <v>0</v>
      </c>
      <c r="AT328" s="266">
        <v>0</v>
      </c>
      <c r="AU328" s="260">
        <f t="shared" si="83"/>
        <v>0</v>
      </c>
      <c r="AV328" s="259">
        <v>0</v>
      </c>
      <c r="AW328" s="260">
        <f t="shared" si="84"/>
        <v>0</v>
      </c>
      <c r="AX328" s="261" t="s">
        <v>573</v>
      </c>
      <c r="AY328" s="260">
        <f t="shared" si="85"/>
        <v>0</v>
      </c>
      <c r="AZ328" s="259">
        <v>360</v>
      </c>
      <c r="BA328" s="260">
        <f t="shared" si="86"/>
        <v>561.6</v>
      </c>
      <c r="BB328" s="259" t="s">
        <v>573</v>
      </c>
      <c r="BC328" s="260">
        <f t="shared" si="87"/>
        <v>0</v>
      </c>
      <c r="BD328" s="259" t="s">
        <v>573</v>
      </c>
      <c r="BE328" s="260">
        <f t="shared" si="88"/>
        <v>0</v>
      </c>
      <c r="BF328" s="259" t="s">
        <v>573</v>
      </c>
      <c r="BG328" s="260">
        <f t="shared" si="89"/>
        <v>0</v>
      </c>
      <c r="BH328" s="259" t="s">
        <v>573</v>
      </c>
      <c r="BI328" s="260">
        <f t="shared" si="91"/>
        <v>0</v>
      </c>
      <c r="BJ328" s="58"/>
      <c r="BK328" s="220"/>
      <c r="BL328" s="213" t="s">
        <v>1329</v>
      </c>
      <c r="BM328" s="58" t="s">
        <v>1479</v>
      </c>
    </row>
    <row r="329" spans="1:65" ht="15.75" customHeight="1">
      <c r="A329" s="213" t="s">
        <v>1437</v>
      </c>
      <c r="B329" s="58" t="s">
        <v>1293</v>
      </c>
      <c r="C329" s="58" t="s">
        <v>752</v>
      </c>
      <c r="D329" s="214" t="s">
        <v>1477</v>
      </c>
      <c r="E329" s="214" t="s">
        <v>1478</v>
      </c>
      <c r="F329" s="215" t="s">
        <v>186</v>
      </c>
      <c r="G329" s="216">
        <v>2023</v>
      </c>
      <c r="H329" s="218" t="s">
        <v>825</v>
      </c>
      <c r="I329" s="217" t="s">
        <v>781</v>
      </c>
      <c r="J329" s="217" t="s">
        <v>890</v>
      </c>
      <c r="K329" s="213" t="s">
        <v>753</v>
      </c>
      <c r="L329" s="213" t="s">
        <v>192</v>
      </c>
      <c r="M329" s="219" t="s">
        <v>1392</v>
      </c>
      <c r="N329" s="265">
        <v>31.36</v>
      </c>
      <c r="O329" s="265">
        <v>31.36</v>
      </c>
      <c r="P329" s="265">
        <v>31.36</v>
      </c>
      <c r="Q329" s="265">
        <v>31.36</v>
      </c>
      <c r="R329" s="265">
        <v>32.909999999999997</v>
      </c>
      <c r="S329" s="265">
        <v>32.909999999999997</v>
      </c>
      <c r="T329" s="265">
        <v>32.909999999999997</v>
      </c>
      <c r="U329" s="265">
        <v>32.909999999999997</v>
      </c>
      <c r="V329" s="265">
        <v>32.909999999999997</v>
      </c>
      <c r="W329" s="265">
        <v>32.909999999999997</v>
      </c>
      <c r="X329" s="265">
        <v>32.909999999999997</v>
      </c>
      <c r="Y329" s="265">
        <v>32.909999999999997</v>
      </c>
      <c r="Z329" s="265">
        <v>0.01</v>
      </c>
      <c r="AA329" s="265">
        <v>0.01</v>
      </c>
      <c r="AB329" s="265">
        <v>0.01</v>
      </c>
      <c r="AC329" s="265">
        <v>0.01</v>
      </c>
      <c r="AD329" s="265">
        <v>1.56</v>
      </c>
      <c r="AE329" s="265">
        <v>1.56</v>
      </c>
      <c r="AF329" s="265">
        <v>1.56</v>
      </c>
      <c r="AG329" s="265">
        <v>1.56</v>
      </c>
      <c r="AH329" s="265">
        <v>1.56</v>
      </c>
      <c r="AI329" s="265">
        <v>1.56</v>
      </c>
      <c r="AJ329" s="265">
        <v>1.56</v>
      </c>
      <c r="AK329" s="265">
        <v>1.56</v>
      </c>
      <c r="AL329" s="266" t="s">
        <v>573</v>
      </c>
      <c r="AM329" s="265">
        <f t="shared" si="80"/>
        <v>0</v>
      </c>
      <c r="AN329" s="266" t="s">
        <v>573</v>
      </c>
      <c r="AO329" s="265">
        <f t="shared" si="90"/>
        <v>0</v>
      </c>
      <c r="AP329" s="266">
        <v>0</v>
      </c>
      <c r="AQ329" s="265">
        <f t="shared" si="81"/>
        <v>0</v>
      </c>
      <c r="AR329" s="266">
        <v>0</v>
      </c>
      <c r="AS329" s="262">
        <f t="shared" si="82"/>
        <v>0</v>
      </c>
      <c r="AT329" s="266">
        <v>0</v>
      </c>
      <c r="AU329" s="260">
        <f t="shared" si="83"/>
        <v>0</v>
      </c>
      <c r="AV329" s="259">
        <v>0</v>
      </c>
      <c r="AW329" s="260">
        <f t="shared" si="84"/>
        <v>0</v>
      </c>
      <c r="AX329" s="261" t="s">
        <v>573</v>
      </c>
      <c r="AY329" s="260">
        <f t="shared" si="85"/>
        <v>0</v>
      </c>
      <c r="AZ329" s="259">
        <v>360</v>
      </c>
      <c r="BA329" s="260">
        <f t="shared" si="86"/>
        <v>561.6</v>
      </c>
      <c r="BB329" s="259" t="s">
        <v>573</v>
      </c>
      <c r="BC329" s="260">
        <f t="shared" si="87"/>
        <v>0</v>
      </c>
      <c r="BD329" s="259" t="s">
        <v>573</v>
      </c>
      <c r="BE329" s="260">
        <f t="shared" si="88"/>
        <v>0</v>
      </c>
      <c r="BF329" s="259" t="s">
        <v>573</v>
      </c>
      <c r="BG329" s="260">
        <f t="shared" si="89"/>
        <v>0</v>
      </c>
      <c r="BH329" s="259" t="s">
        <v>573</v>
      </c>
      <c r="BI329" s="260">
        <f t="shared" si="91"/>
        <v>0</v>
      </c>
      <c r="BJ329" s="58"/>
      <c r="BK329" s="220"/>
      <c r="BL329" s="213" t="s">
        <v>1329</v>
      </c>
      <c r="BM329" s="58" t="s">
        <v>1479</v>
      </c>
    </row>
    <row r="330" spans="1:65" ht="15.75" customHeight="1">
      <c r="A330" s="213" t="s">
        <v>1437</v>
      </c>
      <c r="B330" s="58" t="s">
        <v>1293</v>
      </c>
      <c r="C330" s="58" t="s">
        <v>752</v>
      </c>
      <c r="D330" s="214" t="s">
        <v>1477</v>
      </c>
      <c r="E330" s="214" t="s">
        <v>1478</v>
      </c>
      <c r="F330" s="215" t="s">
        <v>186</v>
      </c>
      <c r="G330" s="216">
        <v>2023</v>
      </c>
      <c r="H330" s="218" t="s">
        <v>825</v>
      </c>
      <c r="I330" s="217" t="s">
        <v>781</v>
      </c>
      <c r="J330" s="217" t="s">
        <v>890</v>
      </c>
      <c r="K330" s="213" t="s">
        <v>753</v>
      </c>
      <c r="L330" s="213" t="s">
        <v>192</v>
      </c>
      <c r="M330" s="219" t="s">
        <v>1392</v>
      </c>
      <c r="N330" s="265">
        <v>31.36</v>
      </c>
      <c r="O330" s="265">
        <v>31.36</v>
      </c>
      <c r="P330" s="265">
        <v>31.36</v>
      </c>
      <c r="Q330" s="265">
        <v>31.36</v>
      </c>
      <c r="R330" s="265">
        <v>32.909999999999997</v>
      </c>
      <c r="S330" s="265">
        <v>32.909999999999997</v>
      </c>
      <c r="T330" s="265">
        <v>32.909999999999997</v>
      </c>
      <c r="U330" s="265">
        <v>32.909999999999997</v>
      </c>
      <c r="V330" s="265">
        <v>32.909999999999997</v>
      </c>
      <c r="W330" s="265">
        <v>32.909999999999997</v>
      </c>
      <c r="X330" s="265">
        <v>32.909999999999997</v>
      </c>
      <c r="Y330" s="265">
        <v>32.909999999999997</v>
      </c>
      <c r="Z330" s="265">
        <v>0.01</v>
      </c>
      <c r="AA330" s="265">
        <v>0.01</v>
      </c>
      <c r="AB330" s="265">
        <v>0.01</v>
      </c>
      <c r="AC330" s="265">
        <v>0.01</v>
      </c>
      <c r="AD330" s="265">
        <v>1.56</v>
      </c>
      <c r="AE330" s="265">
        <v>1.56</v>
      </c>
      <c r="AF330" s="265">
        <v>1.56</v>
      </c>
      <c r="AG330" s="265">
        <v>1.56</v>
      </c>
      <c r="AH330" s="265">
        <v>1.56</v>
      </c>
      <c r="AI330" s="265">
        <v>1.56</v>
      </c>
      <c r="AJ330" s="265">
        <v>1.56</v>
      </c>
      <c r="AK330" s="265">
        <v>1.56</v>
      </c>
      <c r="AL330" s="266" t="s">
        <v>573</v>
      </c>
      <c r="AM330" s="265">
        <f t="shared" si="80"/>
        <v>0</v>
      </c>
      <c r="AN330" s="266" t="s">
        <v>573</v>
      </c>
      <c r="AO330" s="265">
        <f t="shared" si="90"/>
        <v>0</v>
      </c>
      <c r="AP330" s="266">
        <v>0</v>
      </c>
      <c r="AQ330" s="265">
        <f t="shared" si="81"/>
        <v>0</v>
      </c>
      <c r="AR330" s="266">
        <v>0</v>
      </c>
      <c r="AS330" s="262">
        <f t="shared" si="82"/>
        <v>0</v>
      </c>
      <c r="AT330" s="266">
        <v>0</v>
      </c>
      <c r="AU330" s="260">
        <f t="shared" si="83"/>
        <v>0</v>
      </c>
      <c r="AV330" s="259">
        <v>0</v>
      </c>
      <c r="AW330" s="260">
        <f t="shared" si="84"/>
        <v>0</v>
      </c>
      <c r="AX330" s="261" t="s">
        <v>573</v>
      </c>
      <c r="AY330" s="260">
        <f t="shared" si="85"/>
        <v>0</v>
      </c>
      <c r="AZ330" s="259">
        <v>0</v>
      </c>
      <c r="BA330" s="260">
        <f t="shared" si="86"/>
        <v>0</v>
      </c>
      <c r="BB330" s="259" t="s">
        <v>573</v>
      </c>
      <c r="BC330" s="260">
        <f t="shared" si="87"/>
        <v>0</v>
      </c>
      <c r="BD330" s="259">
        <v>360</v>
      </c>
      <c r="BE330" s="260">
        <f t="shared" si="88"/>
        <v>561.6</v>
      </c>
      <c r="BF330" s="259" t="s">
        <v>573</v>
      </c>
      <c r="BG330" s="260">
        <f t="shared" si="89"/>
        <v>0</v>
      </c>
      <c r="BH330" s="259" t="s">
        <v>573</v>
      </c>
      <c r="BI330" s="260">
        <f t="shared" si="91"/>
        <v>0</v>
      </c>
      <c r="BJ330" s="58"/>
      <c r="BK330" s="220"/>
      <c r="BL330" s="213" t="s">
        <v>1329</v>
      </c>
      <c r="BM330" s="58" t="s">
        <v>1479</v>
      </c>
    </row>
    <row r="331" spans="1:65" ht="15.75" customHeight="1">
      <c r="A331" s="213" t="s">
        <v>1437</v>
      </c>
      <c r="B331" s="58" t="s">
        <v>1293</v>
      </c>
      <c r="C331" s="58" t="s">
        <v>752</v>
      </c>
      <c r="D331" s="214" t="s">
        <v>1477</v>
      </c>
      <c r="E331" s="214" t="s">
        <v>1478</v>
      </c>
      <c r="F331" s="215" t="s">
        <v>186</v>
      </c>
      <c r="G331" s="216">
        <v>2023</v>
      </c>
      <c r="H331" s="218" t="s">
        <v>825</v>
      </c>
      <c r="I331" s="217" t="s">
        <v>781</v>
      </c>
      <c r="J331" s="217" t="s">
        <v>890</v>
      </c>
      <c r="K331" s="213" t="s">
        <v>753</v>
      </c>
      <c r="L331" s="213" t="s">
        <v>192</v>
      </c>
      <c r="M331" s="219" t="s">
        <v>1392</v>
      </c>
      <c r="N331" s="265">
        <v>31.36</v>
      </c>
      <c r="O331" s="265">
        <v>31.36</v>
      </c>
      <c r="P331" s="265">
        <v>31.36</v>
      </c>
      <c r="Q331" s="265">
        <v>31.36</v>
      </c>
      <c r="R331" s="265">
        <v>32.909999999999997</v>
      </c>
      <c r="S331" s="265">
        <v>32.909999999999997</v>
      </c>
      <c r="T331" s="265">
        <v>32.909999999999997</v>
      </c>
      <c r="U331" s="265">
        <v>32.909999999999997</v>
      </c>
      <c r="V331" s="265">
        <v>32.909999999999997</v>
      </c>
      <c r="W331" s="265">
        <v>32.909999999999997</v>
      </c>
      <c r="X331" s="265">
        <v>32.909999999999997</v>
      </c>
      <c r="Y331" s="265">
        <v>32.909999999999997</v>
      </c>
      <c r="Z331" s="265">
        <v>0.01</v>
      </c>
      <c r="AA331" s="265">
        <v>0.01</v>
      </c>
      <c r="AB331" s="265">
        <v>0.01</v>
      </c>
      <c r="AC331" s="265">
        <v>0.01</v>
      </c>
      <c r="AD331" s="265">
        <v>1.56</v>
      </c>
      <c r="AE331" s="265">
        <v>1.56</v>
      </c>
      <c r="AF331" s="265">
        <v>1.56</v>
      </c>
      <c r="AG331" s="265">
        <v>1.56</v>
      </c>
      <c r="AH331" s="265">
        <v>1.56</v>
      </c>
      <c r="AI331" s="265">
        <v>1.56</v>
      </c>
      <c r="AJ331" s="265">
        <v>1.56</v>
      </c>
      <c r="AK331" s="265">
        <v>1.56</v>
      </c>
      <c r="AL331" s="266" t="s">
        <v>573</v>
      </c>
      <c r="AM331" s="265">
        <f t="shared" si="80"/>
        <v>0</v>
      </c>
      <c r="AN331" s="266" t="s">
        <v>573</v>
      </c>
      <c r="AO331" s="265">
        <f t="shared" si="90"/>
        <v>0</v>
      </c>
      <c r="AP331" s="266">
        <v>0</v>
      </c>
      <c r="AQ331" s="265">
        <f t="shared" si="81"/>
        <v>0</v>
      </c>
      <c r="AR331" s="266">
        <v>0</v>
      </c>
      <c r="AS331" s="262">
        <f t="shared" si="82"/>
        <v>0</v>
      </c>
      <c r="AT331" s="266">
        <v>0</v>
      </c>
      <c r="AU331" s="260">
        <f t="shared" si="83"/>
        <v>0</v>
      </c>
      <c r="AV331" s="259">
        <v>0</v>
      </c>
      <c r="AW331" s="260">
        <f t="shared" si="84"/>
        <v>0</v>
      </c>
      <c r="AX331" s="261" t="s">
        <v>573</v>
      </c>
      <c r="AY331" s="260">
        <f t="shared" si="85"/>
        <v>0</v>
      </c>
      <c r="AZ331" s="259">
        <v>360</v>
      </c>
      <c r="BA331" s="260">
        <f t="shared" si="86"/>
        <v>561.6</v>
      </c>
      <c r="BB331" s="259" t="s">
        <v>573</v>
      </c>
      <c r="BC331" s="260">
        <f t="shared" si="87"/>
        <v>0</v>
      </c>
      <c r="BD331" s="259" t="s">
        <v>573</v>
      </c>
      <c r="BE331" s="260">
        <f t="shared" si="88"/>
        <v>0</v>
      </c>
      <c r="BF331" s="259" t="s">
        <v>573</v>
      </c>
      <c r="BG331" s="260">
        <f t="shared" si="89"/>
        <v>0</v>
      </c>
      <c r="BH331" s="259" t="s">
        <v>573</v>
      </c>
      <c r="BI331" s="260">
        <f t="shared" si="91"/>
        <v>0</v>
      </c>
      <c r="BJ331" s="58"/>
      <c r="BK331" s="220"/>
      <c r="BL331" s="213" t="s">
        <v>1329</v>
      </c>
      <c r="BM331" s="58" t="s">
        <v>1479</v>
      </c>
    </row>
    <row r="332" spans="1:65" ht="15.75" customHeight="1">
      <c r="A332" s="213" t="s">
        <v>1437</v>
      </c>
      <c r="B332" s="58" t="s">
        <v>1293</v>
      </c>
      <c r="C332" s="58" t="s">
        <v>752</v>
      </c>
      <c r="D332" s="214" t="s">
        <v>1477</v>
      </c>
      <c r="E332" s="214" t="s">
        <v>1478</v>
      </c>
      <c r="F332" s="215" t="s">
        <v>186</v>
      </c>
      <c r="G332" s="216">
        <v>2023</v>
      </c>
      <c r="H332" s="218" t="s">
        <v>825</v>
      </c>
      <c r="I332" s="217" t="s">
        <v>781</v>
      </c>
      <c r="J332" s="217" t="s">
        <v>890</v>
      </c>
      <c r="K332" s="213" t="s">
        <v>753</v>
      </c>
      <c r="L332" s="213" t="s">
        <v>192</v>
      </c>
      <c r="M332" s="219" t="s">
        <v>1392</v>
      </c>
      <c r="N332" s="265">
        <v>31.36</v>
      </c>
      <c r="O332" s="265">
        <v>31.36</v>
      </c>
      <c r="P332" s="265">
        <v>31.36</v>
      </c>
      <c r="Q332" s="265">
        <v>31.36</v>
      </c>
      <c r="R332" s="265">
        <v>32.909999999999997</v>
      </c>
      <c r="S332" s="265">
        <v>32.909999999999997</v>
      </c>
      <c r="T332" s="265">
        <v>32.909999999999997</v>
      </c>
      <c r="U332" s="265">
        <v>32.909999999999997</v>
      </c>
      <c r="V332" s="265">
        <v>32.909999999999997</v>
      </c>
      <c r="W332" s="265">
        <v>32.909999999999997</v>
      </c>
      <c r="X332" s="265">
        <v>32.909999999999997</v>
      </c>
      <c r="Y332" s="265">
        <v>32.909999999999997</v>
      </c>
      <c r="Z332" s="265">
        <v>0.01</v>
      </c>
      <c r="AA332" s="265">
        <v>0.01</v>
      </c>
      <c r="AB332" s="265">
        <v>0.01</v>
      </c>
      <c r="AC332" s="265">
        <v>0.01</v>
      </c>
      <c r="AD332" s="265">
        <v>1.56</v>
      </c>
      <c r="AE332" s="265">
        <v>1.56</v>
      </c>
      <c r="AF332" s="265">
        <v>1.56</v>
      </c>
      <c r="AG332" s="265">
        <v>1.56</v>
      </c>
      <c r="AH332" s="265">
        <v>1.56</v>
      </c>
      <c r="AI332" s="265">
        <v>1.56</v>
      </c>
      <c r="AJ332" s="265">
        <v>1.56</v>
      </c>
      <c r="AK332" s="265">
        <v>1.56</v>
      </c>
      <c r="AL332" s="266" t="s">
        <v>573</v>
      </c>
      <c r="AM332" s="265">
        <f t="shared" si="80"/>
        <v>0</v>
      </c>
      <c r="AN332" s="266" t="s">
        <v>573</v>
      </c>
      <c r="AO332" s="265">
        <f t="shared" si="90"/>
        <v>0</v>
      </c>
      <c r="AP332" s="266">
        <v>0</v>
      </c>
      <c r="AQ332" s="265">
        <f t="shared" si="81"/>
        <v>0</v>
      </c>
      <c r="AR332" s="266">
        <v>0</v>
      </c>
      <c r="AS332" s="262">
        <f t="shared" si="82"/>
        <v>0</v>
      </c>
      <c r="AT332" s="266">
        <v>0</v>
      </c>
      <c r="AU332" s="260">
        <f t="shared" si="83"/>
        <v>0</v>
      </c>
      <c r="AV332" s="259">
        <v>0</v>
      </c>
      <c r="AW332" s="260">
        <f t="shared" si="84"/>
        <v>0</v>
      </c>
      <c r="AX332" s="261" t="s">
        <v>573</v>
      </c>
      <c r="AY332" s="260">
        <f t="shared" si="85"/>
        <v>0</v>
      </c>
      <c r="AZ332" s="259">
        <v>360</v>
      </c>
      <c r="BA332" s="260">
        <f t="shared" si="86"/>
        <v>561.6</v>
      </c>
      <c r="BB332" s="259" t="s">
        <v>573</v>
      </c>
      <c r="BC332" s="260">
        <f t="shared" si="87"/>
        <v>0</v>
      </c>
      <c r="BD332" s="259" t="s">
        <v>573</v>
      </c>
      <c r="BE332" s="260">
        <f t="shared" si="88"/>
        <v>0</v>
      </c>
      <c r="BF332" s="259" t="s">
        <v>573</v>
      </c>
      <c r="BG332" s="260">
        <f t="shared" si="89"/>
        <v>0</v>
      </c>
      <c r="BH332" s="259" t="s">
        <v>573</v>
      </c>
      <c r="BI332" s="260">
        <f t="shared" si="91"/>
        <v>0</v>
      </c>
      <c r="BJ332" s="58"/>
      <c r="BK332" s="220"/>
      <c r="BL332" s="213" t="s">
        <v>1329</v>
      </c>
      <c r="BM332" s="58" t="s">
        <v>1479</v>
      </c>
    </row>
    <row r="333" spans="1:65" ht="15.75" customHeight="1">
      <c r="A333" s="213" t="s">
        <v>1437</v>
      </c>
      <c r="B333" s="58" t="s">
        <v>1293</v>
      </c>
      <c r="C333" s="58" t="s">
        <v>752</v>
      </c>
      <c r="D333" s="214" t="s">
        <v>1477</v>
      </c>
      <c r="E333" s="214" t="s">
        <v>1478</v>
      </c>
      <c r="F333" s="215" t="s">
        <v>186</v>
      </c>
      <c r="G333" s="216">
        <v>2023</v>
      </c>
      <c r="H333" s="218" t="s">
        <v>825</v>
      </c>
      <c r="I333" s="217" t="s">
        <v>781</v>
      </c>
      <c r="J333" s="217" t="s">
        <v>890</v>
      </c>
      <c r="K333" s="213" t="s">
        <v>753</v>
      </c>
      <c r="L333" s="213" t="s">
        <v>192</v>
      </c>
      <c r="M333" s="219" t="s">
        <v>1392</v>
      </c>
      <c r="N333" s="265">
        <v>31.36</v>
      </c>
      <c r="O333" s="265">
        <v>31.36</v>
      </c>
      <c r="P333" s="265">
        <v>31.36</v>
      </c>
      <c r="Q333" s="265">
        <v>31.36</v>
      </c>
      <c r="R333" s="265">
        <v>32.909999999999997</v>
      </c>
      <c r="S333" s="265">
        <v>32.909999999999997</v>
      </c>
      <c r="T333" s="265">
        <v>32.909999999999997</v>
      </c>
      <c r="U333" s="265">
        <v>32.909999999999997</v>
      </c>
      <c r="V333" s="265">
        <v>32.909999999999997</v>
      </c>
      <c r="W333" s="265">
        <v>32.909999999999997</v>
      </c>
      <c r="X333" s="265">
        <v>32.909999999999997</v>
      </c>
      <c r="Y333" s="265">
        <v>32.909999999999997</v>
      </c>
      <c r="Z333" s="265">
        <v>0.01</v>
      </c>
      <c r="AA333" s="265">
        <v>0.01</v>
      </c>
      <c r="AB333" s="265">
        <v>0.01</v>
      </c>
      <c r="AC333" s="265">
        <v>0.01</v>
      </c>
      <c r="AD333" s="265">
        <v>1.56</v>
      </c>
      <c r="AE333" s="265">
        <v>1.56</v>
      </c>
      <c r="AF333" s="265">
        <v>1.56</v>
      </c>
      <c r="AG333" s="265">
        <v>1.56</v>
      </c>
      <c r="AH333" s="265">
        <v>1.56</v>
      </c>
      <c r="AI333" s="265">
        <v>1.56</v>
      </c>
      <c r="AJ333" s="265">
        <v>1.56</v>
      </c>
      <c r="AK333" s="265">
        <v>1.56</v>
      </c>
      <c r="AL333" s="266" t="s">
        <v>573</v>
      </c>
      <c r="AM333" s="265">
        <f t="shared" si="80"/>
        <v>0</v>
      </c>
      <c r="AN333" s="266" t="s">
        <v>573</v>
      </c>
      <c r="AO333" s="265">
        <f t="shared" si="90"/>
        <v>0</v>
      </c>
      <c r="AP333" s="266">
        <v>0</v>
      </c>
      <c r="AQ333" s="265">
        <f t="shared" si="81"/>
        <v>0</v>
      </c>
      <c r="AR333" s="266">
        <v>0</v>
      </c>
      <c r="AS333" s="262">
        <f t="shared" si="82"/>
        <v>0</v>
      </c>
      <c r="AT333" s="266">
        <v>0</v>
      </c>
      <c r="AU333" s="260">
        <f t="shared" si="83"/>
        <v>0</v>
      </c>
      <c r="AV333" s="259">
        <v>0</v>
      </c>
      <c r="AW333" s="260">
        <f t="shared" si="84"/>
        <v>0</v>
      </c>
      <c r="AX333" s="261" t="s">
        <v>573</v>
      </c>
      <c r="AY333" s="260">
        <f t="shared" si="85"/>
        <v>0</v>
      </c>
      <c r="AZ333" s="259">
        <v>360</v>
      </c>
      <c r="BA333" s="260">
        <f t="shared" si="86"/>
        <v>561.6</v>
      </c>
      <c r="BB333" s="259" t="s">
        <v>573</v>
      </c>
      <c r="BC333" s="260">
        <f t="shared" si="87"/>
        <v>0</v>
      </c>
      <c r="BD333" s="259" t="s">
        <v>573</v>
      </c>
      <c r="BE333" s="260">
        <f t="shared" si="88"/>
        <v>0</v>
      </c>
      <c r="BF333" s="259" t="s">
        <v>573</v>
      </c>
      <c r="BG333" s="260">
        <f t="shared" si="89"/>
        <v>0</v>
      </c>
      <c r="BH333" s="259" t="s">
        <v>573</v>
      </c>
      <c r="BI333" s="260">
        <f t="shared" si="91"/>
        <v>0</v>
      </c>
      <c r="BJ333" s="58"/>
      <c r="BK333" s="220"/>
      <c r="BL333" s="213" t="s">
        <v>1329</v>
      </c>
      <c r="BM333" s="58" t="s">
        <v>1479</v>
      </c>
    </row>
    <row r="334" spans="1:65" ht="15.75" customHeight="1">
      <c r="A334" s="213" t="s">
        <v>1437</v>
      </c>
      <c r="B334" s="58" t="s">
        <v>1293</v>
      </c>
      <c r="C334" s="58" t="s">
        <v>752</v>
      </c>
      <c r="D334" s="214" t="s">
        <v>1477</v>
      </c>
      <c r="E334" s="214" t="s">
        <v>1478</v>
      </c>
      <c r="F334" s="215" t="s">
        <v>186</v>
      </c>
      <c r="G334" s="216">
        <v>2023</v>
      </c>
      <c r="H334" s="218" t="s">
        <v>825</v>
      </c>
      <c r="I334" s="217" t="s">
        <v>781</v>
      </c>
      <c r="J334" s="217" t="s">
        <v>890</v>
      </c>
      <c r="K334" s="213" t="s">
        <v>753</v>
      </c>
      <c r="L334" s="213" t="s">
        <v>192</v>
      </c>
      <c r="M334" s="219" t="s">
        <v>1392</v>
      </c>
      <c r="N334" s="265">
        <v>31.36</v>
      </c>
      <c r="O334" s="265">
        <v>31.36</v>
      </c>
      <c r="P334" s="265">
        <v>31.36</v>
      </c>
      <c r="Q334" s="265">
        <v>31.36</v>
      </c>
      <c r="R334" s="265">
        <v>32.909999999999997</v>
      </c>
      <c r="S334" s="265">
        <v>32.909999999999997</v>
      </c>
      <c r="T334" s="265">
        <v>32.909999999999997</v>
      </c>
      <c r="U334" s="265">
        <v>32.909999999999997</v>
      </c>
      <c r="V334" s="265">
        <v>32.909999999999997</v>
      </c>
      <c r="W334" s="265">
        <v>32.909999999999997</v>
      </c>
      <c r="X334" s="265">
        <v>32.909999999999997</v>
      </c>
      <c r="Y334" s="265">
        <v>32.909999999999997</v>
      </c>
      <c r="Z334" s="265">
        <v>0.01</v>
      </c>
      <c r="AA334" s="265">
        <v>0.01</v>
      </c>
      <c r="AB334" s="265">
        <v>0.01</v>
      </c>
      <c r="AC334" s="265">
        <v>0.01</v>
      </c>
      <c r="AD334" s="265">
        <v>1.56</v>
      </c>
      <c r="AE334" s="265">
        <v>1.56</v>
      </c>
      <c r="AF334" s="265">
        <v>1.56</v>
      </c>
      <c r="AG334" s="265">
        <v>1.56</v>
      </c>
      <c r="AH334" s="265">
        <v>1.56</v>
      </c>
      <c r="AI334" s="265">
        <v>1.56</v>
      </c>
      <c r="AJ334" s="265">
        <v>1.56</v>
      </c>
      <c r="AK334" s="265">
        <v>1.56</v>
      </c>
      <c r="AL334" s="266" t="s">
        <v>573</v>
      </c>
      <c r="AM334" s="265">
        <f t="shared" si="80"/>
        <v>0</v>
      </c>
      <c r="AN334" s="266" t="s">
        <v>573</v>
      </c>
      <c r="AO334" s="265">
        <f t="shared" si="90"/>
        <v>0</v>
      </c>
      <c r="AP334" s="266">
        <v>0</v>
      </c>
      <c r="AQ334" s="265">
        <f t="shared" si="81"/>
        <v>0</v>
      </c>
      <c r="AR334" s="266">
        <v>0</v>
      </c>
      <c r="AS334" s="262">
        <f t="shared" si="82"/>
        <v>0</v>
      </c>
      <c r="AT334" s="266">
        <v>0</v>
      </c>
      <c r="AU334" s="260">
        <f t="shared" si="83"/>
        <v>0</v>
      </c>
      <c r="AV334" s="259">
        <v>0</v>
      </c>
      <c r="AW334" s="260">
        <f t="shared" si="84"/>
        <v>0</v>
      </c>
      <c r="AX334" s="261" t="s">
        <v>573</v>
      </c>
      <c r="AY334" s="260">
        <f t="shared" si="85"/>
        <v>0</v>
      </c>
      <c r="AZ334" s="259">
        <v>360</v>
      </c>
      <c r="BA334" s="260">
        <f t="shared" si="86"/>
        <v>561.6</v>
      </c>
      <c r="BB334" s="259" t="s">
        <v>573</v>
      </c>
      <c r="BC334" s="260">
        <f t="shared" si="87"/>
        <v>0</v>
      </c>
      <c r="BD334" s="259" t="s">
        <v>573</v>
      </c>
      <c r="BE334" s="260">
        <f t="shared" si="88"/>
        <v>0</v>
      </c>
      <c r="BF334" s="259" t="s">
        <v>573</v>
      </c>
      <c r="BG334" s="260">
        <f t="shared" si="89"/>
        <v>0</v>
      </c>
      <c r="BH334" s="259" t="s">
        <v>573</v>
      </c>
      <c r="BI334" s="260">
        <f t="shared" si="91"/>
        <v>0</v>
      </c>
      <c r="BJ334" s="58"/>
      <c r="BK334" s="220"/>
      <c r="BL334" s="213" t="s">
        <v>1329</v>
      </c>
      <c r="BM334" s="58" t="s">
        <v>1479</v>
      </c>
    </row>
    <row r="335" spans="1:65" ht="15.75" customHeight="1">
      <c r="A335" s="213" t="s">
        <v>1437</v>
      </c>
      <c r="B335" s="58" t="s">
        <v>199</v>
      </c>
      <c r="C335" s="58" t="s">
        <v>752</v>
      </c>
      <c r="D335" s="214" t="s">
        <v>186</v>
      </c>
      <c r="E335" s="214" t="s">
        <v>186</v>
      </c>
      <c r="F335" s="215" t="s">
        <v>186</v>
      </c>
      <c r="G335" s="216">
        <v>2022</v>
      </c>
      <c r="H335" s="218" t="s">
        <v>793</v>
      </c>
      <c r="I335" s="218" t="s">
        <v>212</v>
      </c>
      <c r="J335" s="217" t="s">
        <v>890</v>
      </c>
      <c r="K335" s="213" t="s">
        <v>221</v>
      </c>
      <c r="L335" s="213" t="s">
        <v>192</v>
      </c>
      <c r="M335" s="219" t="s">
        <v>1388</v>
      </c>
      <c r="N335" s="265">
        <v>3.81</v>
      </c>
      <c r="O335" s="265">
        <v>3.81</v>
      </c>
      <c r="P335" s="265">
        <v>3.81</v>
      </c>
      <c r="Q335" s="265">
        <v>3.81</v>
      </c>
      <c r="R335" s="265">
        <v>3.81</v>
      </c>
      <c r="S335" s="265">
        <v>3.79</v>
      </c>
      <c r="T335" s="265">
        <v>3.79</v>
      </c>
      <c r="U335" s="265">
        <v>3.79</v>
      </c>
      <c r="V335" s="265">
        <v>3.79</v>
      </c>
      <c r="W335" s="265">
        <v>3.79</v>
      </c>
      <c r="X335" s="265">
        <v>3.79</v>
      </c>
      <c r="Y335" s="265">
        <v>3.79</v>
      </c>
      <c r="Z335" s="265">
        <v>0.21</v>
      </c>
      <c r="AA335" s="265">
        <v>0.21</v>
      </c>
      <c r="AB335" s="265">
        <v>0.21</v>
      </c>
      <c r="AC335" s="265">
        <v>0.21</v>
      </c>
      <c r="AD335" s="265">
        <v>0.21</v>
      </c>
      <c r="AE335" s="265">
        <v>0.21</v>
      </c>
      <c r="AF335" s="265">
        <v>0.21</v>
      </c>
      <c r="AG335" s="265">
        <v>0.21</v>
      </c>
      <c r="AH335" s="265">
        <v>0.21</v>
      </c>
      <c r="AI335" s="265">
        <v>0.21</v>
      </c>
      <c r="AJ335" s="265">
        <v>0.21</v>
      </c>
      <c r="AK335" s="265">
        <v>0.21</v>
      </c>
      <c r="AL335" s="266" t="s">
        <v>573</v>
      </c>
      <c r="AM335" s="265">
        <f t="shared" ref="AM335:AM375" si="92">Z335*AL335</f>
        <v>0</v>
      </c>
      <c r="AN335" s="266" t="s">
        <v>573</v>
      </c>
      <c r="AO335" s="265">
        <f t="shared" si="90"/>
        <v>0</v>
      </c>
      <c r="AP335" s="266">
        <v>0</v>
      </c>
      <c r="AQ335" s="265">
        <f t="shared" ref="AQ335:AQ370" si="93">AP335*AB335</f>
        <v>0</v>
      </c>
      <c r="AR335" s="266">
        <v>0</v>
      </c>
      <c r="AS335" s="262">
        <f t="shared" ref="AS335:AS370" si="94">AR335*AC335</f>
        <v>0</v>
      </c>
      <c r="AT335" s="266">
        <v>0</v>
      </c>
      <c r="AU335" s="260">
        <f t="shared" ref="AU335:AU370" si="95">AT335*AD335</f>
        <v>0</v>
      </c>
      <c r="AV335" s="259">
        <v>0</v>
      </c>
      <c r="AW335" s="260">
        <f t="shared" ref="AW335:AW370" si="96">AV335*AE335</f>
        <v>0</v>
      </c>
      <c r="AX335" s="261" t="s">
        <v>573</v>
      </c>
      <c r="AY335" s="260">
        <f t="shared" ref="AY335:AY370" si="97">AX335*AF335</f>
        <v>0</v>
      </c>
      <c r="AZ335" s="259">
        <v>5600</v>
      </c>
      <c r="BA335" s="260">
        <f t="shared" ref="BA335:BA370" si="98">AZ335*AG335</f>
        <v>1176</v>
      </c>
      <c r="BB335" s="259" t="s">
        <v>573</v>
      </c>
      <c r="BC335" s="260">
        <f t="shared" ref="BC335:BC370" si="99">BB335*AH335</f>
        <v>0</v>
      </c>
      <c r="BD335" s="259" t="s">
        <v>573</v>
      </c>
      <c r="BE335" s="260">
        <f t="shared" ref="BE335:BE370" si="100">BD335*AI335</f>
        <v>0</v>
      </c>
      <c r="BF335" s="259" t="s">
        <v>573</v>
      </c>
      <c r="BG335" s="260">
        <f t="shared" ref="BG335:BG370" si="101">BF335*AJ335</f>
        <v>0</v>
      </c>
      <c r="BH335" s="259" t="s">
        <v>573</v>
      </c>
      <c r="BI335" s="260">
        <f t="shared" si="91"/>
        <v>0</v>
      </c>
      <c r="BJ335" s="58"/>
      <c r="BK335" s="220"/>
      <c r="BL335" s="213" t="s">
        <v>1364</v>
      </c>
      <c r="BM335" s="213" t="s">
        <v>1509</v>
      </c>
    </row>
    <row r="336" spans="1:65" ht="15.75" customHeight="1">
      <c r="A336" s="213" t="s">
        <v>1437</v>
      </c>
      <c r="B336" s="58" t="s">
        <v>1293</v>
      </c>
      <c r="C336" s="58" t="s">
        <v>752</v>
      </c>
      <c r="D336" s="214" t="s">
        <v>1477</v>
      </c>
      <c r="E336" s="214" t="s">
        <v>1478</v>
      </c>
      <c r="F336" s="215" t="s">
        <v>186</v>
      </c>
      <c r="G336" s="216">
        <v>2023</v>
      </c>
      <c r="H336" s="218" t="s">
        <v>825</v>
      </c>
      <c r="I336" s="217" t="s">
        <v>781</v>
      </c>
      <c r="J336" s="217" t="s">
        <v>890</v>
      </c>
      <c r="K336" s="213" t="s">
        <v>753</v>
      </c>
      <c r="L336" s="213" t="s">
        <v>192</v>
      </c>
      <c r="M336" s="219" t="s">
        <v>1392</v>
      </c>
      <c r="N336" s="265">
        <v>31.36</v>
      </c>
      <c r="O336" s="265">
        <v>31.36</v>
      </c>
      <c r="P336" s="265">
        <v>31.36</v>
      </c>
      <c r="Q336" s="265">
        <v>31.36</v>
      </c>
      <c r="R336" s="265">
        <v>32.909999999999997</v>
      </c>
      <c r="S336" s="265">
        <v>32.909999999999997</v>
      </c>
      <c r="T336" s="265">
        <v>32.909999999999997</v>
      </c>
      <c r="U336" s="265">
        <v>32.909999999999997</v>
      </c>
      <c r="V336" s="265">
        <v>32.909999999999997</v>
      </c>
      <c r="W336" s="265">
        <v>32.909999999999997</v>
      </c>
      <c r="X336" s="265">
        <v>32.909999999999997</v>
      </c>
      <c r="Y336" s="265">
        <v>32.909999999999997</v>
      </c>
      <c r="Z336" s="265">
        <v>0.01</v>
      </c>
      <c r="AA336" s="265">
        <v>0.01</v>
      </c>
      <c r="AB336" s="265">
        <v>0.01</v>
      </c>
      <c r="AC336" s="265">
        <v>0.01</v>
      </c>
      <c r="AD336" s="265">
        <v>1.56</v>
      </c>
      <c r="AE336" s="265">
        <v>1.56</v>
      </c>
      <c r="AF336" s="265">
        <v>1.56</v>
      </c>
      <c r="AG336" s="265">
        <v>1.56</v>
      </c>
      <c r="AH336" s="265">
        <v>1.56</v>
      </c>
      <c r="AI336" s="265">
        <v>1.56</v>
      </c>
      <c r="AJ336" s="265">
        <v>1.56</v>
      </c>
      <c r="AK336" s="265">
        <v>1.56</v>
      </c>
      <c r="AL336" s="266" t="s">
        <v>573</v>
      </c>
      <c r="AM336" s="265">
        <f t="shared" si="92"/>
        <v>0</v>
      </c>
      <c r="AN336" s="266" t="s">
        <v>573</v>
      </c>
      <c r="AO336" s="265">
        <f t="shared" si="90"/>
        <v>0</v>
      </c>
      <c r="AP336" s="266">
        <v>0</v>
      </c>
      <c r="AQ336" s="265">
        <f t="shared" si="93"/>
        <v>0</v>
      </c>
      <c r="AR336" s="266">
        <v>0</v>
      </c>
      <c r="AS336" s="262">
        <f t="shared" si="94"/>
        <v>0</v>
      </c>
      <c r="AT336" s="266">
        <v>360</v>
      </c>
      <c r="AU336" s="260">
        <f t="shared" si="95"/>
        <v>561.6</v>
      </c>
      <c r="AV336" s="259">
        <v>0</v>
      </c>
      <c r="AW336" s="260">
        <f t="shared" si="96"/>
        <v>0</v>
      </c>
      <c r="AX336" s="261" t="s">
        <v>573</v>
      </c>
      <c r="AY336" s="260">
        <f t="shared" si="97"/>
        <v>0</v>
      </c>
      <c r="AZ336" s="259">
        <v>360</v>
      </c>
      <c r="BA336" s="260">
        <f t="shared" si="98"/>
        <v>561.6</v>
      </c>
      <c r="BB336" s="259" t="s">
        <v>573</v>
      </c>
      <c r="BC336" s="260">
        <f t="shared" si="99"/>
        <v>0</v>
      </c>
      <c r="BD336" s="259" t="s">
        <v>573</v>
      </c>
      <c r="BE336" s="260">
        <f t="shared" si="100"/>
        <v>0</v>
      </c>
      <c r="BF336" s="259" t="s">
        <v>573</v>
      </c>
      <c r="BG336" s="260">
        <f t="shared" si="101"/>
        <v>0</v>
      </c>
      <c r="BH336" s="259" t="s">
        <v>573</v>
      </c>
      <c r="BI336" s="260">
        <f t="shared" si="91"/>
        <v>0</v>
      </c>
      <c r="BJ336" s="58"/>
      <c r="BK336" s="220"/>
      <c r="BL336" s="213" t="s">
        <v>1329</v>
      </c>
      <c r="BM336" s="58" t="s">
        <v>1479</v>
      </c>
    </row>
    <row r="337" spans="1:65" ht="15.75" customHeight="1">
      <c r="A337" s="213" t="s">
        <v>1437</v>
      </c>
      <c r="B337" s="58" t="s">
        <v>1293</v>
      </c>
      <c r="C337" s="58" t="s">
        <v>752</v>
      </c>
      <c r="D337" s="214" t="s">
        <v>1477</v>
      </c>
      <c r="E337" s="214" t="s">
        <v>1478</v>
      </c>
      <c r="F337" s="215" t="s">
        <v>186</v>
      </c>
      <c r="G337" s="216">
        <v>2023</v>
      </c>
      <c r="H337" s="218" t="s">
        <v>825</v>
      </c>
      <c r="I337" s="217" t="s">
        <v>781</v>
      </c>
      <c r="J337" s="217" t="s">
        <v>890</v>
      </c>
      <c r="K337" s="213" t="s">
        <v>753</v>
      </c>
      <c r="L337" s="213" t="s">
        <v>192</v>
      </c>
      <c r="M337" s="219" t="s">
        <v>1407</v>
      </c>
      <c r="N337" s="265">
        <v>31.36</v>
      </c>
      <c r="O337" s="265">
        <v>31.36</v>
      </c>
      <c r="P337" s="265">
        <v>31.36</v>
      </c>
      <c r="Q337" s="265">
        <v>31.36</v>
      </c>
      <c r="R337" s="265">
        <v>31.36</v>
      </c>
      <c r="S337" s="265">
        <v>31.36</v>
      </c>
      <c r="T337" s="265">
        <v>31.36</v>
      </c>
      <c r="U337" s="265">
        <v>31.36</v>
      </c>
      <c r="V337" s="265">
        <v>31.36</v>
      </c>
      <c r="W337" s="265">
        <v>31.36</v>
      </c>
      <c r="X337" s="265">
        <v>31.36</v>
      </c>
      <c r="Y337" s="265">
        <v>31.36</v>
      </c>
      <c r="Z337" s="265">
        <v>0.01</v>
      </c>
      <c r="AA337" s="265">
        <v>0.01</v>
      </c>
      <c r="AB337" s="265">
        <v>0.01</v>
      </c>
      <c r="AC337" s="265">
        <v>0.01</v>
      </c>
      <c r="AD337" s="265">
        <v>0.01</v>
      </c>
      <c r="AE337" s="265">
        <v>0.01</v>
      </c>
      <c r="AF337" s="265">
        <v>0.01</v>
      </c>
      <c r="AG337" s="265">
        <v>0.01</v>
      </c>
      <c r="AH337" s="265">
        <v>0.01</v>
      </c>
      <c r="AI337" s="265">
        <v>0.01</v>
      </c>
      <c r="AJ337" s="265">
        <v>0.01</v>
      </c>
      <c r="AK337" s="265">
        <v>0.01</v>
      </c>
      <c r="AL337" s="266" t="s">
        <v>573</v>
      </c>
      <c r="AM337" s="265">
        <f t="shared" si="92"/>
        <v>0</v>
      </c>
      <c r="AN337" s="266" t="s">
        <v>573</v>
      </c>
      <c r="AO337" s="265">
        <f t="shared" si="90"/>
        <v>0</v>
      </c>
      <c r="AP337" s="266">
        <v>0</v>
      </c>
      <c r="AQ337" s="265">
        <f t="shared" si="93"/>
        <v>0</v>
      </c>
      <c r="AR337" s="266">
        <v>0</v>
      </c>
      <c r="AS337" s="262">
        <f t="shared" si="94"/>
        <v>0</v>
      </c>
      <c r="AT337" s="266">
        <v>0</v>
      </c>
      <c r="AU337" s="260">
        <f t="shared" si="95"/>
        <v>0</v>
      </c>
      <c r="AV337" s="259">
        <v>0</v>
      </c>
      <c r="AW337" s="260">
        <f t="shared" si="96"/>
        <v>0</v>
      </c>
      <c r="AX337" s="261">
        <v>0</v>
      </c>
      <c r="AY337" s="260">
        <f t="shared" si="97"/>
        <v>0</v>
      </c>
      <c r="AZ337" s="259">
        <v>10</v>
      </c>
      <c r="BA337" s="260">
        <f t="shared" si="98"/>
        <v>0.1</v>
      </c>
      <c r="BB337" s="259" t="s">
        <v>573</v>
      </c>
      <c r="BC337" s="260">
        <f t="shared" si="99"/>
        <v>0</v>
      </c>
      <c r="BD337" s="259" t="s">
        <v>573</v>
      </c>
      <c r="BE337" s="260">
        <f t="shared" si="100"/>
        <v>0</v>
      </c>
      <c r="BF337" s="259" t="s">
        <v>573</v>
      </c>
      <c r="BG337" s="260">
        <f t="shared" si="101"/>
        <v>0</v>
      </c>
      <c r="BH337" s="259" t="s">
        <v>573</v>
      </c>
      <c r="BI337" s="260">
        <f t="shared" si="91"/>
        <v>0</v>
      </c>
      <c r="BJ337" s="58"/>
      <c r="BK337" s="220"/>
      <c r="BL337" s="213" t="s">
        <v>1329</v>
      </c>
      <c r="BM337" s="58" t="s">
        <v>1479</v>
      </c>
    </row>
    <row r="338" spans="1:65" ht="15.75" customHeight="1">
      <c r="A338" s="213" t="s">
        <v>1437</v>
      </c>
      <c r="B338" s="58" t="s">
        <v>1293</v>
      </c>
      <c r="C338" s="58" t="s">
        <v>752</v>
      </c>
      <c r="D338" s="214" t="s">
        <v>1477</v>
      </c>
      <c r="E338" s="214" t="s">
        <v>1478</v>
      </c>
      <c r="F338" s="215" t="s">
        <v>186</v>
      </c>
      <c r="G338" s="216">
        <v>2023</v>
      </c>
      <c r="H338" s="218" t="s">
        <v>825</v>
      </c>
      <c r="I338" s="217" t="s">
        <v>781</v>
      </c>
      <c r="J338" s="217" t="s">
        <v>890</v>
      </c>
      <c r="K338" s="213" t="s">
        <v>753</v>
      </c>
      <c r="L338" s="213" t="s">
        <v>192</v>
      </c>
      <c r="M338" s="219" t="s">
        <v>1408</v>
      </c>
      <c r="N338" s="265">
        <v>31.36</v>
      </c>
      <c r="O338" s="265">
        <v>31.36</v>
      </c>
      <c r="P338" s="265">
        <v>31.36</v>
      </c>
      <c r="Q338" s="265">
        <v>31.36</v>
      </c>
      <c r="R338" s="265">
        <v>32.909999999999997</v>
      </c>
      <c r="S338" s="265">
        <v>32.909999999999997</v>
      </c>
      <c r="T338" s="265">
        <v>32.909999999999997</v>
      </c>
      <c r="U338" s="265">
        <v>32.909999999999997</v>
      </c>
      <c r="V338" s="265">
        <v>32.909999999999997</v>
      </c>
      <c r="W338" s="265">
        <v>32.909999999999997</v>
      </c>
      <c r="X338" s="265">
        <v>32.909999999999997</v>
      </c>
      <c r="Y338" s="265">
        <v>32.909999999999997</v>
      </c>
      <c r="Z338" s="265">
        <v>0.01</v>
      </c>
      <c r="AA338" s="265">
        <v>0.01</v>
      </c>
      <c r="AB338" s="265">
        <v>0.01</v>
      </c>
      <c r="AC338" s="265">
        <v>0.01</v>
      </c>
      <c r="AD338" s="265">
        <v>1.56</v>
      </c>
      <c r="AE338" s="265">
        <v>1.56</v>
      </c>
      <c r="AF338" s="265">
        <v>1.56</v>
      </c>
      <c r="AG338" s="265">
        <v>1.56</v>
      </c>
      <c r="AH338" s="265">
        <v>1.56</v>
      </c>
      <c r="AI338" s="265">
        <v>1.56</v>
      </c>
      <c r="AJ338" s="265">
        <v>1.56</v>
      </c>
      <c r="AK338" s="265">
        <v>1.56</v>
      </c>
      <c r="AL338" s="266" t="s">
        <v>573</v>
      </c>
      <c r="AM338" s="265">
        <f t="shared" si="92"/>
        <v>0</v>
      </c>
      <c r="AN338" s="266" t="s">
        <v>573</v>
      </c>
      <c r="AO338" s="265">
        <f t="shared" si="90"/>
        <v>0</v>
      </c>
      <c r="AP338" s="266">
        <v>0</v>
      </c>
      <c r="AQ338" s="265">
        <f t="shared" si="93"/>
        <v>0</v>
      </c>
      <c r="AR338" s="266">
        <v>0</v>
      </c>
      <c r="AS338" s="262">
        <f t="shared" si="94"/>
        <v>0</v>
      </c>
      <c r="AT338" s="266">
        <v>360</v>
      </c>
      <c r="AU338" s="260">
        <f t="shared" si="95"/>
        <v>561.6</v>
      </c>
      <c r="AV338" s="259">
        <v>0</v>
      </c>
      <c r="AW338" s="260">
        <f t="shared" si="96"/>
        <v>0</v>
      </c>
      <c r="AX338" s="261">
        <v>0</v>
      </c>
      <c r="AY338" s="260">
        <f t="shared" si="97"/>
        <v>0</v>
      </c>
      <c r="AZ338" s="259">
        <v>100</v>
      </c>
      <c r="BA338" s="260">
        <f t="shared" si="98"/>
        <v>156</v>
      </c>
      <c r="BB338" s="259" t="s">
        <v>573</v>
      </c>
      <c r="BC338" s="260">
        <f t="shared" si="99"/>
        <v>0</v>
      </c>
      <c r="BD338" s="259">
        <v>260</v>
      </c>
      <c r="BE338" s="260">
        <f t="shared" si="100"/>
        <v>405.6</v>
      </c>
      <c r="BF338" s="259" t="s">
        <v>573</v>
      </c>
      <c r="BG338" s="260">
        <f t="shared" si="101"/>
        <v>0</v>
      </c>
      <c r="BH338" s="259" t="s">
        <v>573</v>
      </c>
      <c r="BI338" s="260">
        <f t="shared" si="91"/>
        <v>0</v>
      </c>
      <c r="BJ338" s="58"/>
      <c r="BK338" s="220"/>
      <c r="BL338" s="213" t="s">
        <v>1329</v>
      </c>
      <c r="BM338" s="58" t="s">
        <v>1479</v>
      </c>
    </row>
    <row r="339" spans="1:65" ht="15.75" customHeight="1">
      <c r="A339" s="213" t="s">
        <v>1437</v>
      </c>
      <c r="B339" s="58" t="s">
        <v>1293</v>
      </c>
      <c r="C339" s="58" t="s">
        <v>752</v>
      </c>
      <c r="D339" s="214" t="s">
        <v>1477</v>
      </c>
      <c r="E339" s="214" t="s">
        <v>1478</v>
      </c>
      <c r="F339" s="215" t="s">
        <v>186</v>
      </c>
      <c r="G339" s="216">
        <v>2023</v>
      </c>
      <c r="H339" s="218" t="s">
        <v>825</v>
      </c>
      <c r="I339" s="217" t="s">
        <v>781</v>
      </c>
      <c r="J339" s="217" t="s">
        <v>890</v>
      </c>
      <c r="K339" s="213" t="s">
        <v>753</v>
      </c>
      <c r="L339" s="213" t="s">
        <v>192</v>
      </c>
      <c r="M339" s="219" t="s">
        <v>1408</v>
      </c>
      <c r="N339" s="265">
        <v>31.36</v>
      </c>
      <c r="O339" s="265">
        <v>31.36</v>
      </c>
      <c r="P339" s="265">
        <v>31.36</v>
      </c>
      <c r="Q339" s="265">
        <v>31.36</v>
      </c>
      <c r="R339" s="265">
        <v>32.909999999999997</v>
      </c>
      <c r="S339" s="265">
        <v>32.909999999999997</v>
      </c>
      <c r="T339" s="265">
        <v>32.909999999999997</v>
      </c>
      <c r="U339" s="265">
        <v>32.909999999999997</v>
      </c>
      <c r="V339" s="265">
        <v>32.909999999999997</v>
      </c>
      <c r="W339" s="265">
        <v>32.909999999999997</v>
      </c>
      <c r="X339" s="265">
        <v>32.909999999999997</v>
      </c>
      <c r="Y339" s="265">
        <v>32.909999999999997</v>
      </c>
      <c r="Z339" s="265">
        <v>0.01</v>
      </c>
      <c r="AA339" s="265">
        <v>0.01</v>
      </c>
      <c r="AB339" s="265">
        <v>0.01</v>
      </c>
      <c r="AC339" s="265">
        <v>0.01</v>
      </c>
      <c r="AD339" s="265">
        <v>1.56</v>
      </c>
      <c r="AE339" s="265">
        <v>1.56</v>
      </c>
      <c r="AF339" s="265">
        <v>1.56</v>
      </c>
      <c r="AG339" s="265">
        <v>1.56</v>
      </c>
      <c r="AH339" s="265">
        <v>1.56</v>
      </c>
      <c r="AI339" s="265">
        <v>1.56</v>
      </c>
      <c r="AJ339" s="265">
        <v>1.56</v>
      </c>
      <c r="AK339" s="265">
        <v>1.56</v>
      </c>
      <c r="AL339" s="266" t="s">
        <v>573</v>
      </c>
      <c r="AM339" s="265">
        <f t="shared" si="92"/>
        <v>0</v>
      </c>
      <c r="AN339" s="266">
        <v>1080</v>
      </c>
      <c r="AO339" s="265">
        <f t="shared" si="90"/>
        <v>10.8</v>
      </c>
      <c r="AP339" s="266">
        <v>0</v>
      </c>
      <c r="AQ339" s="265">
        <f t="shared" si="93"/>
        <v>0</v>
      </c>
      <c r="AR339" s="266">
        <v>0</v>
      </c>
      <c r="AS339" s="262">
        <f t="shared" si="94"/>
        <v>0</v>
      </c>
      <c r="AT339" s="266">
        <v>0</v>
      </c>
      <c r="AU339" s="260">
        <f t="shared" si="95"/>
        <v>0</v>
      </c>
      <c r="AV339" s="259">
        <v>0</v>
      </c>
      <c r="AW339" s="260">
        <f t="shared" si="96"/>
        <v>0</v>
      </c>
      <c r="AX339" s="261">
        <v>0</v>
      </c>
      <c r="AY339" s="260">
        <f t="shared" si="97"/>
        <v>0</v>
      </c>
      <c r="AZ339" s="259">
        <v>10</v>
      </c>
      <c r="BA339" s="260">
        <f t="shared" si="98"/>
        <v>15.600000000000001</v>
      </c>
      <c r="BB339" s="259">
        <v>350</v>
      </c>
      <c r="BC339" s="260">
        <f t="shared" si="99"/>
        <v>546</v>
      </c>
      <c r="BD339" s="259" t="s">
        <v>573</v>
      </c>
      <c r="BE339" s="260">
        <f t="shared" si="100"/>
        <v>0</v>
      </c>
      <c r="BF339" s="259" t="s">
        <v>573</v>
      </c>
      <c r="BG339" s="260">
        <f t="shared" si="101"/>
        <v>0</v>
      </c>
      <c r="BH339" s="259" t="s">
        <v>573</v>
      </c>
      <c r="BI339" s="260">
        <f t="shared" si="91"/>
        <v>0</v>
      </c>
      <c r="BJ339" s="58"/>
      <c r="BK339" s="220"/>
      <c r="BL339" s="213" t="s">
        <v>1329</v>
      </c>
      <c r="BM339" s="58" t="s">
        <v>1479</v>
      </c>
    </row>
    <row r="340" spans="1:65" ht="15.75" customHeight="1">
      <c r="A340" s="213" t="s">
        <v>1437</v>
      </c>
      <c r="B340" s="58" t="s">
        <v>184</v>
      </c>
      <c r="C340" s="58" t="s">
        <v>752</v>
      </c>
      <c r="D340" s="214" t="s">
        <v>186</v>
      </c>
      <c r="E340" s="214" t="s">
        <v>186</v>
      </c>
      <c r="F340" s="215" t="s">
        <v>186</v>
      </c>
      <c r="G340" s="216">
        <v>2016</v>
      </c>
      <c r="H340" s="218" t="s">
        <v>794</v>
      </c>
      <c r="I340" s="218" t="s">
        <v>196</v>
      </c>
      <c r="J340" s="217" t="s">
        <v>890</v>
      </c>
      <c r="K340" s="213" t="s">
        <v>249</v>
      </c>
      <c r="L340" s="213" t="s">
        <v>192</v>
      </c>
      <c r="M340" s="219" t="s">
        <v>1392</v>
      </c>
      <c r="N340" s="265"/>
      <c r="O340" s="265"/>
      <c r="P340" s="265"/>
      <c r="Q340" s="265">
        <v>5.29</v>
      </c>
      <c r="R340" s="265">
        <v>5.29</v>
      </c>
      <c r="S340" s="265">
        <v>5.29</v>
      </c>
      <c r="T340" s="265">
        <v>5.29</v>
      </c>
      <c r="U340" s="265">
        <v>5.29</v>
      </c>
      <c r="V340" s="265">
        <v>5.29</v>
      </c>
      <c r="W340" s="265">
        <v>5.29</v>
      </c>
      <c r="X340" s="265">
        <v>5.29</v>
      </c>
      <c r="Y340" s="265">
        <v>5.29</v>
      </c>
      <c r="Z340" s="265">
        <v>0.05</v>
      </c>
      <c r="AA340" s="265">
        <v>0.05</v>
      </c>
      <c r="AB340" s="265">
        <v>0.05</v>
      </c>
      <c r="AC340" s="265">
        <v>0.05</v>
      </c>
      <c r="AD340" s="265">
        <v>0.05</v>
      </c>
      <c r="AE340" s="265">
        <v>0.05</v>
      </c>
      <c r="AF340" s="265">
        <v>0.05</v>
      </c>
      <c r="AG340" s="265">
        <v>0.05</v>
      </c>
      <c r="AH340" s="265">
        <v>0.05</v>
      </c>
      <c r="AI340" s="265">
        <v>0.05</v>
      </c>
      <c r="AJ340" s="265">
        <v>0.05</v>
      </c>
      <c r="AK340" s="265">
        <v>0.05</v>
      </c>
      <c r="AL340" s="266" t="s">
        <v>573</v>
      </c>
      <c r="AM340" s="265">
        <f t="shared" si="92"/>
        <v>0</v>
      </c>
      <c r="AN340" s="266" t="s">
        <v>573</v>
      </c>
      <c r="AO340" s="265">
        <f t="shared" si="90"/>
        <v>0</v>
      </c>
      <c r="AP340" s="266">
        <v>0</v>
      </c>
      <c r="AQ340" s="265">
        <f t="shared" si="93"/>
        <v>0</v>
      </c>
      <c r="AR340" s="266">
        <v>3600</v>
      </c>
      <c r="AS340" s="262">
        <f t="shared" si="94"/>
        <v>180</v>
      </c>
      <c r="AT340" s="266">
        <v>0</v>
      </c>
      <c r="AU340" s="260">
        <f t="shared" si="95"/>
        <v>0</v>
      </c>
      <c r="AV340" s="259">
        <v>0</v>
      </c>
      <c r="AW340" s="260">
        <f t="shared" si="96"/>
        <v>0</v>
      </c>
      <c r="AX340" s="261" t="s">
        <v>573</v>
      </c>
      <c r="AY340" s="260">
        <f t="shared" si="97"/>
        <v>0</v>
      </c>
      <c r="AZ340" s="259">
        <v>0</v>
      </c>
      <c r="BA340" s="260">
        <f t="shared" si="98"/>
        <v>0</v>
      </c>
      <c r="BB340" s="259">
        <v>0</v>
      </c>
      <c r="BC340" s="260">
        <f t="shared" si="99"/>
        <v>0</v>
      </c>
      <c r="BD340" s="259">
        <v>0</v>
      </c>
      <c r="BE340" s="260">
        <f t="shared" si="100"/>
        <v>0</v>
      </c>
      <c r="BF340" s="259" t="s">
        <v>573</v>
      </c>
      <c r="BG340" s="260">
        <f t="shared" si="101"/>
        <v>0</v>
      </c>
      <c r="BH340" s="259" t="s">
        <v>573</v>
      </c>
      <c r="BI340" s="260">
        <f t="shared" si="91"/>
        <v>0</v>
      </c>
      <c r="BJ340" s="58"/>
      <c r="BK340" s="220"/>
      <c r="BL340" s="213" t="s">
        <v>1347</v>
      </c>
      <c r="BM340" s="213" t="s">
        <v>1510</v>
      </c>
    </row>
    <row r="341" spans="1:65" ht="15.75" customHeight="1">
      <c r="A341" s="213" t="s">
        <v>1437</v>
      </c>
      <c r="B341" s="58" t="s">
        <v>1293</v>
      </c>
      <c r="C341" s="58" t="s">
        <v>752</v>
      </c>
      <c r="D341" s="214" t="s">
        <v>1477</v>
      </c>
      <c r="E341" s="214" t="s">
        <v>1478</v>
      </c>
      <c r="F341" s="215" t="s">
        <v>186</v>
      </c>
      <c r="G341" s="216">
        <v>2023</v>
      </c>
      <c r="H341" s="218" t="s">
        <v>825</v>
      </c>
      <c r="I341" s="217" t="s">
        <v>781</v>
      </c>
      <c r="J341" s="217" t="s">
        <v>890</v>
      </c>
      <c r="K341" s="213" t="s">
        <v>753</v>
      </c>
      <c r="L341" s="213" t="s">
        <v>192</v>
      </c>
      <c r="M341" s="219" t="s">
        <v>1408</v>
      </c>
      <c r="N341" s="265">
        <v>31.36</v>
      </c>
      <c r="O341" s="265">
        <v>31.36</v>
      </c>
      <c r="P341" s="265">
        <v>31.36</v>
      </c>
      <c r="Q341" s="265">
        <v>31.36</v>
      </c>
      <c r="R341" s="265">
        <v>32.909999999999997</v>
      </c>
      <c r="S341" s="265">
        <v>32.909999999999997</v>
      </c>
      <c r="T341" s="265">
        <v>32.909999999999997</v>
      </c>
      <c r="U341" s="265">
        <v>32.909999999999997</v>
      </c>
      <c r="V341" s="265">
        <v>32.909999999999997</v>
      </c>
      <c r="W341" s="265">
        <v>32.909999999999997</v>
      </c>
      <c r="X341" s="265">
        <v>32.909999999999997</v>
      </c>
      <c r="Y341" s="265">
        <v>32.909999999999997</v>
      </c>
      <c r="Z341" s="265">
        <v>0.01</v>
      </c>
      <c r="AA341" s="265">
        <v>0.01</v>
      </c>
      <c r="AB341" s="265">
        <v>0.01</v>
      </c>
      <c r="AC341" s="265">
        <v>0.01</v>
      </c>
      <c r="AD341" s="265">
        <v>1.56</v>
      </c>
      <c r="AE341" s="265">
        <v>1.56</v>
      </c>
      <c r="AF341" s="265">
        <v>1.56</v>
      </c>
      <c r="AG341" s="265">
        <v>1.56</v>
      </c>
      <c r="AH341" s="265">
        <v>1.56</v>
      </c>
      <c r="AI341" s="265">
        <v>1.56</v>
      </c>
      <c r="AJ341" s="265">
        <v>1.56</v>
      </c>
      <c r="AK341" s="265">
        <v>1.56</v>
      </c>
      <c r="AL341" s="266" t="s">
        <v>573</v>
      </c>
      <c r="AM341" s="265">
        <f t="shared" si="92"/>
        <v>0</v>
      </c>
      <c r="AN341" s="266" t="s">
        <v>573</v>
      </c>
      <c r="AO341" s="265">
        <f t="shared" si="90"/>
        <v>0</v>
      </c>
      <c r="AP341" s="266">
        <v>0</v>
      </c>
      <c r="AQ341" s="265">
        <f t="shared" si="93"/>
        <v>0</v>
      </c>
      <c r="AR341" s="266">
        <v>0</v>
      </c>
      <c r="AS341" s="262">
        <f t="shared" si="94"/>
        <v>0</v>
      </c>
      <c r="AT341" s="266">
        <v>0</v>
      </c>
      <c r="AU341" s="260">
        <f t="shared" si="95"/>
        <v>0</v>
      </c>
      <c r="AV341" s="259">
        <v>0</v>
      </c>
      <c r="AW341" s="260">
        <f t="shared" si="96"/>
        <v>0</v>
      </c>
      <c r="AX341" s="261">
        <v>0</v>
      </c>
      <c r="AY341" s="260">
        <f t="shared" si="97"/>
        <v>0</v>
      </c>
      <c r="AZ341" s="259">
        <v>0</v>
      </c>
      <c r="BA341" s="260">
        <f t="shared" si="98"/>
        <v>0</v>
      </c>
      <c r="BB341" s="259">
        <v>360</v>
      </c>
      <c r="BC341" s="260">
        <f t="shared" si="99"/>
        <v>561.6</v>
      </c>
      <c r="BD341" s="259" t="s">
        <v>573</v>
      </c>
      <c r="BE341" s="260">
        <f t="shared" si="100"/>
        <v>0</v>
      </c>
      <c r="BF341" s="259" t="s">
        <v>573</v>
      </c>
      <c r="BG341" s="260">
        <f t="shared" si="101"/>
        <v>0</v>
      </c>
      <c r="BH341" s="259" t="s">
        <v>573</v>
      </c>
      <c r="BI341" s="260">
        <f t="shared" si="91"/>
        <v>0</v>
      </c>
      <c r="BJ341" s="58"/>
      <c r="BK341" s="220"/>
      <c r="BL341" s="213" t="s">
        <v>1329</v>
      </c>
      <c r="BM341" s="58" t="s">
        <v>1479</v>
      </c>
    </row>
    <row r="342" spans="1:65" ht="15.75" customHeight="1">
      <c r="A342" s="213" t="s">
        <v>1437</v>
      </c>
      <c r="B342" s="58" t="s">
        <v>1293</v>
      </c>
      <c r="C342" s="58" t="s">
        <v>752</v>
      </c>
      <c r="D342" s="214" t="s">
        <v>1477</v>
      </c>
      <c r="E342" s="214" t="s">
        <v>1478</v>
      </c>
      <c r="F342" s="215" t="s">
        <v>186</v>
      </c>
      <c r="G342" s="216">
        <v>2023</v>
      </c>
      <c r="H342" s="218" t="s">
        <v>825</v>
      </c>
      <c r="I342" s="217" t="s">
        <v>781</v>
      </c>
      <c r="J342" s="217" t="s">
        <v>890</v>
      </c>
      <c r="K342" s="213" t="s">
        <v>753</v>
      </c>
      <c r="L342" s="213" t="s">
        <v>192</v>
      </c>
      <c r="M342" s="219" t="s">
        <v>1408</v>
      </c>
      <c r="N342" s="265">
        <v>31.36</v>
      </c>
      <c r="O342" s="265">
        <v>31.36</v>
      </c>
      <c r="P342" s="265">
        <v>31.36</v>
      </c>
      <c r="Q342" s="265">
        <v>31.36</v>
      </c>
      <c r="R342" s="265">
        <v>32.909999999999997</v>
      </c>
      <c r="S342" s="265">
        <v>32.909999999999997</v>
      </c>
      <c r="T342" s="265">
        <v>32.909999999999997</v>
      </c>
      <c r="U342" s="265">
        <v>32.909999999999997</v>
      </c>
      <c r="V342" s="265">
        <v>32.909999999999997</v>
      </c>
      <c r="W342" s="265">
        <v>32.909999999999997</v>
      </c>
      <c r="X342" s="265">
        <v>32.909999999999997</v>
      </c>
      <c r="Y342" s="265">
        <v>32.909999999999997</v>
      </c>
      <c r="Z342" s="265">
        <v>0.01</v>
      </c>
      <c r="AA342" s="265">
        <v>0.01</v>
      </c>
      <c r="AB342" s="265">
        <v>0.01</v>
      </c>
      <c r="AC342" s="265">
        <v>0.01</v>
      </c>
      <c r="AD342" s="265">
        <v>1.56</v>
      </c>
      <c r="AE342" s="265">
        <v>1.56</v>
      </c>
      <c r="AF342" s="265">
        <v>1.56</v>
      </c>
      <c r="AG342" s="265">
        <v>1.56</v>
      </c>
      <c r="AH342" s="265">
        <v>1.56</v>
      </c>
      <c r="AI342" s="265">
        <v>1.56</v>
      </c>
      <c r="AJ342" s="265">
        <v>1.56</v>
      </c>
      <c r="AK342" s="265">
        <v>1.56</v>
      </c>
      <c r="AL342" s="266" t="s">
        <v>573</v>
      </c>
      <c r="AM342" s="265">
        <f t="shared" si="92"/>
        <v>0</v>
      </c>
      <c r="AN342" s="266" t="s">
        <v>573</v>
      </c>
      <c r="AO342" s="265">
        <f t="shared" si="90"/>
        <v>0</v>
      </c>
      <c r="AP342" s="266">
        <v>0</v>
      </c>
      <c r="AQ342" s="265">
        <f t="shared" si="93"/>
        <v>0</v>
      </c>
      <c r="AR342" s="266">
        <v>0</v>
      </c>
      <c r="AS342" s="262">
        <f t="shared" si="94"/>
        <v>0</v>
      </c>
      <c r="AT342" s="266">
        <v>0</v>
      </c>
      <c r="AU342" s="260">
        <f t="shared" si="95"/>
        <v>0</v>
      </c>
      <c r="AV342" s="259">
        <v>0</v>
      </c>
      <c r="AW342" s="260">
        <f t="shared" si="96"/>
        <v>0</v>
      </c>
      <c r="AX342" s="261">
        <v>0</v>
      </c>
      <c r="AY342" s="260">
        <f t="shared" si="97"/>
        <v>0</v>
      </c>
      <c r="AZ342" s="259">
        <v>0</v>
      </c>
      <c r="BA342" s="260">
        <f t="shared" si="98"/>
        <v>0</v>
      </c>
      <c r="BB342" s="259">
        <v>360</v>
      </c>
      <c r="BC342" s="260">
        <f t="shared" si="99"/>
        <v>561.6</v>
      </c>
      <c r="BD342" s="259" t="s">
        <v>573</v>
      </c>
      <c r="BE342" s="260">
        <f t="shared" si="100"/>
        <v>0</v>
      </c>
      <c r="BF342" s="259" t="s">
        <v>573</v>
      </c>
      <c r="BG342" s="260">
        <f t="shared" si="101"/>
        <v>0</v>
      </c>
      <c r="BH342" s="259" t="s">
        <v>573</v>
      </c>
      <c r="BI342" s="260">
        <f t="shared" si="91"/>
        <v>0</v>
      </c>
      <c r="BJ342" s="58"/>
      <c r="BK342" s="220"/>
      <c r="BL342" s="213" t="s">
        <v>1329</v>
      </c>
      <c r="BM342" s="58" t="s">
        <v>1479</v>
      </c>
    </row>
    <row r="343" spans="1:65" ht="15.75" customHeight="1">
      <c r="A343" s="213" t="s">
        <v>1437</v>
      </c>
      <c r="B343" s="58" t="s">
        <v>1293</v>
      </c>
      <c r="C343" s="58" t="s">
        <v>752</v>
      </c>
      <c r="D343" s="214" t="s">
        <v>1477</v>
      </c>
      <c r="E343" s="214" t="s">
        <v>1478</v>
      </c>
      <c r="F343" s="215" t="s">
        <v>186</v>
      </c>
      <c r="G343" s="216">
        <v>2023</v>
      </c>
      <c r="H343" s="218" t="s">
        <v>825</v>
      </c>
      <c r="I343" s="217" t="s">
        <v>781</v>
      </c>
      <c r="J343" s="217" t="s">
        <v>890</v>
      </c>
      <c r="K343" s="213" t="s">
        <v>753</v>
      </c>
      <c r="L343" s="213" t="s">
        <v>192</v>
      </c>
      <c r="M343" s="219" t="s">
        <v>1393</v>
      </c>
      <c r="N343" s="265">
        <v>31.36</v>
      </c>
      <c r="O343" s="265">
        <v>31.36</v>
      </c>
      <c r="P343" s="265">
        <v>31.36</v>
      </c>
      <c r="Q343" s="265">
        <v>31.36</v>
      </c>
      <c r="R343" s="265">
        <v>31.36</v>
      </c>
      <c r="S343" s="265">
        <v>31.36</v>
      </c>
      <c r="T343" s="265">
        <v>31.36</v>
      </c>
      <c r="U343" s="265">
        <v>31.36</v>
      </c>
      <c r="V343" s="265">
        <v>31.36</v>
      </c>
      <c r="W343" s="265">
        <v>31.36</v>
      </c>
      <c r="X343" s="265">
        <v>31.36</v>
      </c>
      <c r="Y343" s="265">
        <v>31.36</v>
      </c>
      <c r="Z343" s="265">
        <v>0.01</v>
      </c>
      <c r="AA343" s="265">
        <v>0.01</v>
      </c>
      <c r="AB343" s="265">
        <v>0.01</v>
      </c>
      <c r="AC343" s="265">
        <v>0.01</v>
      </c>
      <c r="AD343" s="265">
        <v>0.01</v>
      </c>
      <c r="AE343" s="265">
        <v>0.01</v>
      </c>
      <c r="AF343" s="265">
        <v>0.01</v>
      </c>
      <c r="AG343" s="265">
        <v>0.01</v>
      </c>
      <c r="AH343" s="265">
        <v>0.01</v>
      </c>
      <c r="AI343" s="265">
        <v>0.01</v>
      </c>
      <c r="AJ343" s="265">
        <v>0.01</v>
      </c>
      <c r="AK343" s="265">
        <v>0.01</v>
      </c>
      <c r="AL343" s="266" t="s">
        <v>573</v>
      </c>
      <c r="AM343" s="265">
        <f t="shared" si="92"/>
        <v>0</v>
      </c>
      <c r="AN343" s="266" t="s">
        <v>573</v>
      </c>
      <c r="AO343" s="265">
        <f t="shared" si="90"/>
        <v>0</v>
      </c>
      <c r="AP343" s="266">
        <v>0</v>
      </c>
      <c r="AQ343" s="265">
        <f t="shared" si="93"/>
        <v>0</v>
      </c>
      <c r="AR343" s="266">
        <v>0</v>
      </c>
      <c r="AS343" s="262">
        <f t="shared" si="94"/>
        <v>0</v>
      </c>
      <c r="AT343" s="266">
        <v>360</v>
      </c>
      <c r="AU343" s="260">
        <f t="shared" si="95"/>
        <v>3.6</v>
      </c>
      <c r="AV343" s="259">
        <v>0</v>
      </c>
      <c r="AW343" s="260">
        <f t="shared" si="96"/>
        <v>0</v>
      </c>
      <c r="AX343" s="261">
        <v>0</v>
      </c>
      <c r="AY343" s="260">
        <f t="shared" si="97"/>
        <v>0</v>
      </c>
      <c r="AZ343" s="259">
        <v>0</v>
      </c>
      <c r="BA343" s="260">
        <f t="shared" si="98"/>
        <v>0</v>
      </c>
      <c r="BB343" s="259">
        <v>360</v>
      </c>
      <c r="BC343" s="260">
        <f t="shared" si="99"/>
        <v>3.6</v>
      </c>
      <c r="BD343" s="259" t="s">
        <v>573</v>
      </c>
      <c r="BE343" s="260">
        <f t="shared" si="100"/>
        <v>0</v>
      </c>
      <c r="BF343" s="259" t="s">
        <v>573</v>
      </c>
      <c r="BG343" s="260">
        <f t="shared" si="101"/>
        <v>0</v>
      </c>
      <c r="BH343" s="259" t="s">
        <v>573</v>
      </c>
      <c r="BI343" s="260">
        <f t="shared" si="91"/>
        <v>0</v>
      </c>
      <c r="BJ343" s="58"/>
      <c r="BK343" s="220"/>
      <c r="BL343" s="213" t="s">
        <v>1329</v>
      </c>
      <c r="BM343" s="58" t="s">
        <v>1479</v>
      </c>
    </row>
    <row r="344" spans="1:65" ht="15.75" customHeight="1">
      <c r="A344" s="213" t="s">
        <v>1437</v>
      </c>
      <c r="B344" s="58" t="s">
        <v>1293</v>
      </c>
      <c r="C344" s="58" t="s">
        <v>752</v>
      </c>
      <c r="D344" s="214" t="s">
        <v>1477</v>
      </c>
      <c r="E344" s="214" t="s">
        <v>1478</v>
      </c>
      <c r="F344" s="215" t="s">
        <v>186</v>
      </c>
      <c r="G344" s="216">
        <v>2023</v>
      </c>
      <c r="H344" s="218" t="s">
        <v>825</v>
      </c>
      <c r="I344" s="217" t="s">
        <v>781</v>
      </c>
      <c r="J344" s="217" t="s">
        <v>890</v>
      </c>
      <c r="K344" s="213" t="s">
        <v>753</v>
      </c>
      <c r="L344" s="213" t="s">
        <v>192</v>
      </c>
      <c r="M344" s="219" t="s">
        <v>1408</v>
      </c>
      <c r="N344" s="265">
        <v>31.36</v>
      </c>
      <c r="O344" s="265">
        <v>31.36</v>
      </c>
      <c r="P344" s="265">
        <v>31.36</v>
      </c>
      <c r="Q344" s="265">
        <v>31.36</v>
      </c>
      <c r="R344" s="265">
        <v>32.909999999999997</v>
      </c>
      <c r="S344" s="265">
        <v>32.909999999999997</v>
      </c>
      <c r="T344" s="265">
        <v>32.909999999999997</v>
      </c>
      <c r="U344" s="265">
        <v>32.909999999999997</v>
      </c>
      <c r="V344" s="265">
        <v>32.909999999999997</v>
      </c>
      <c r="W344" s="265">
        <v>32.909999999999997</v>
      </c>
      <c r="X344" s="265">
        <v>32.909999999999997</v>
      </c>
      <c r="Y344" s="265">
        <v>32.909999999999997</v>
      </c>
      <c r="Z344" s="265">
        <v>0.01</v>
      </c>
      <c r="AA344" s="265">
        <v>0.01</v>
      </c>
      <c r="AB344" s="265">
        <v>0.01</v>
      </c>
      <c r="AC344" s="265">
        <v>0.01</v>
      </c>
      <c r="AD344" s="265">
        <v>1.56</v>
      </c>
      <c r="AE344" s="265">
        <v>1.56</v>
      </c>
      <c r="AF344" s="265">
        <v>1.56</v>
      </c>
      <c r="AG344" s="265">
        <v>1.56</v>
      </c>
      <c r="AH344" s="265">
        <v>1.56</v>
      </c>
      <c r="AI344" s="265">
        <v>1.56</v>
      </c>
      <c r="AJ344" s="265">
        <v>1.56</v>
      </c>
      <c r="AK344" s="265">
        <v>1.56</v>
      </c>
      <c r="AL344" s="266" t="s">
        <v>573</v>
      </c>
      <c r="AM344" s="265">
        <f t="shared" si="92"/>
        <v>0</v>
      </c>
      <c r="AN344" s="266" t="s">
        <v>573</v>
      </c>
      <c r="AO344" s="265">
        <f t="shared" si="90"/>
        <v>0</v>
      </c>
      <c r="AP344" s="266">
        <v>0</v>
      </c>
      <c r="AQ344" s="265">
        <f t="shared" si="93"/>
        <v>0</v>
      </c>
      <c r="AR344" s="266">
        <v>0</v>
      </c>
      <c r="AS344" s="262">
        <f t="shared" si="94"/>
        <v>0</v>
      </c>
      <c r="AT344" s="266">
        <v>0</v>
      </c>
      <c r="AU344" s="260">
        <f t="shared" si="95"/>
        <v>0</v>
      </c>
      <c r="AV344" s="259">
        <v>0</v>
      </c>
      <c r="AW344" s="260">
        <f t="shared" si="96"/>
        <v>0</v>
      </c>
      <c r="AX344" s="261">
        <v>0</v>
      </c>
      <c r="AY344" s="260">
        <f t="shared" si="97"/>
        <v>0</v>
      </c>
      <c r="AZ344" s="259" t="s">
        <v>573</v>
      </c>
      <c r="BA344" s="260">
        <f t="shared" si="98"/>
        <v>0</v>
      </c>
      <c r="BB344" s="259">
        <v>360</v>
      </c>
      <c r="BC344" s="260">
        <f t="shared" si="99"/>
        <v>561.6</v>
      </c>
      <c r="BD344" s="259">
        <v>1080</v>
      </c>
      <c r="BE344" s="260">
        <f t="shared" si="100"/>
        <v>1684.8</v>
      </c>
      <c r="BF344" s="259" t="s">
        <v>573</v>
      </c>
      <c r="BG344" s="260">
        <f t="shared" si="101"/>
        <v>0</v>
      </c>
      <c r="BH344" s="259" t="s">
        <v>573</v>
      </c>
      <c r="BI344" s="260">
        <f t="shared" si="91"/>
        <v>0</v>
      </c>
      <c r="BJ344" s="58"/>
      <c r="BK344" s="220"/>
      <c r="BL344" s="213" t="s">
        <v>1329</v>
      </c>
      <c r="BM344" s="58" t="s">
        <v>1479</v>
      </c>
    </row>
    <row r="345" spans="1:65" ht="15.75" customHeight="1">
      <c r="A345" s="213" t="s">
        <v>1437</v>
      </c>
      <c r="B345" s="58" t="s">
        <v>1293</v>
      </c>
      <c r="C345" s="58" t="s">
        <v>752</v>
      </c>
      <c r="D345" s="214" t="s">
        <v>1477</v>
      </c>
      <c r="E345" s="214" t="s">
        <v>1478</v>
      </c>
      <c r="F345" s="215" t="s">
        <v>186</v>
      </c>
      <c r="G345" s="216">
        <v>2023</v>
      </c>
      <c r="H345" s="218" t="s">
        <v>825</v>
      </c>
      <c r="I345" s="217" t="s">
        <v>781</v>
      </c>
      <c r="J345" s="217" t="s">
        <v>890</v>
      </c>
      <c r="K345" s="213" t="s">
        <v>753</v>
      </c>
      <c r="L345" s="213" t="s">
        <v>192</v>
      </c>
      <c r="M345" s="219" t="s">
        <v>1408</v>
      </c>
      <c r="N345" s="265">
        <v>31.36</v>
      </c>
      <c r="O345" s="265">
        <v>31.36</v>
      </c>
      <c r="P345" s="265">
        <v>31.36</v>
      </c>
      <c r="Q345" s="265">
        <v>31.36</v>
      </c>
      <c r="R345" s="265">
        <v>32.909999999999997</v>
      </c>
      <c r="S345" s="265">
        <v>32.909999999999997</v>
      </c>
      <c r="T345" s="265">
        <v>32.909999999999997</v>
      </c>
      <c r="U345" s="265">
        <v>32.909999999999997</v>
      </c>
      <c r="V345" s="265">
        <v>32.909999999999997</v>
      </c>
      <c r="W345" s="265">
        <v>32.909999999999997</v>
      </c>
      <c r="X345" s="265">
        <v>32.909999999999997</v>
      </c>
      <c r="Y345" s="265">
        <v>32.909999999999997</v>
      </c>
      <c r="Z345" s="265">
        <v>0.01</v>
      </c>
      <c r="AA345" s="265">
        <v>0.01</v>
      </c>
      <c r="AB345" s="265">
        <v>0.01</v>
      </c>
      <c r="AC345" s="265">
        <v>0.01</v>
      </c>
      <c r="AD345" s="265">
        <v>1.56</v>
      </c>
      <c r="AE345" s="265">
        <v>1.56</v>
      </c>
      <c r="AF345" s="265">
        <v>1.56</v>
      </c>
      <c r="AG345" s="265">
        <v>1.56</v>
      </c>
      <c r="AH345" s="265">
        <v>1.56</v>
      </c>
      <c r="AI345" s="265">
        <v>1.56</v>
      </c>
      <c r="AJ345" s="265">
        <v>1.56</v>
      </c>
      <c r="AK345" s="265">
        <v>1.56</v>
      </c>
      <c r="AL345" s="266" t="s">
        <v>573</v>
      </c>
      <c r="AM345" s="265">
        <f t="shared" si="92"/>
        <v>0</v>
      </c>
      <c r="AN345" s="266" t="s">
        <v>573</v>
      </c>
      <c r="AO345" s="265">
        <f t="shared" si="90"/>
        <v>0</v>
      </c>
      <c r="AP345" s="266">
        <v>0</v>
      </c>
      <c r="AQ345" s="265">
        <f t="shared" si="93"/>
        <v>0</v>
      </c>
      <c r="AR345" s="266">
        <v>0</v>
      </c>
      <c r="AS345" s="262">
        <f t="shared" si="94"/>
        <v>0</v>
      </c>
      <c r="AT345" s="266">
        <v>0</v>
      </c>
      <c r="AU345" s="260">
        <f t="shared" si="95"/>
        <v>0</v>
      </c>
      <c r="AV345" s="259">
        <v>0</v>
      </c>
      <c r="AW345" s="260">
        <f t="shared" si="96"/>
        <v>0</v>
      </c>
      <c r="AX345" s="261">
        <v>0</v>
      </c>
      <c r="AY345" s="260">
        <f t="shared" si="97"/>
        <v>0</v>
      </c>
      <c r="AZ345" s="259" t="s">
        <v>573</v>
      </c>
      <c r="BA345" s="260">
        <f t="shared" si="98"/>
        <v>0</v>
      </c>
      <c r="BB345" s="259">
        <v>360</v>
      </c>
      <c r="BC345" s="260">
        <f t="shared" si="99"/>
        <v>561.6</v>
      </c>
      <c r="BD345" s="259" t="s">
        <v>573</v>
      </c>
      <c r="BE345" s="260">
        <f t="shared" si="100"/>
        <v>0</v>
      </c>
      <c r="BF345" s="259" t="s">
        <v>573</v>
      </c>
      <c r="BG345" s="260">
        <f t="shared" si="101"/>
        <v>0</v>
      </c>
      <c r="BH345" s="259" t="s">
        <v>573</v>
      </c>
      <c r="BI345" s="260">
        <f t="shared" si="91"/>
        <v>0</v>
      </c>
      <c r="BJ345" s="58"/>
      <c r="BK345" s="220"/>
      <c r="BL345" s="213" t="s">
        <v>1329</v>
      </c>
      <c r="BM345" s="58" t="s">
        <v>1479</v>
      </c>
    </row>
    <row r="346" spans="1:65" ht="15.75" customHeight="1">
      <c r="A346" s="213" t="s">
        <v>1437</v>
      </c>
      <c r="B346" s="58" t="s">
        <v>1293</v>
      </c>
      <c r="C346" s="58" t="s">
        <v>752</v>
      </c>
      <c r="D346" s="214" t="s">
        <v>1477</v>
      </c>
      <c r="E346" s="214" t="s">
        <v>1478</v>
      </c>
      <c r="F346" s="215" t="s">
        <v>186</v>
      </c>
      <c r="G346" s="216">
        <v>2023</v>
      </c>
      <c r="H346" s="218" t="s">
        <v>825</v>
      </c>
      <c r="I346" s="217" t="s">
        <v>781</v>
      </c>
      <c r="J346" s="217" t="s">
        <v>890</v>
      </c>
      <c r="K346" s="213" t="s">
        <v>753</v>
      </c>
      <c r="L346" s="213" t="s">
        <v>192</v>
      </c>
      <c r="M346" s="219" t="s">
        <v>1414</v>
      </c>
      <c r="N346" s="265">
        <v>31.36</v>
      </c>
      <c r="O346" s="265">
        <v>31.36</v>
      </c>
      <c r="P346" s="265">
        <v>31.36</v>
      </c>
      <c r="Q346" s="265">
        <v>31.36</v>
      </c>
      <c r="R346" s="265">
        <v>31.36</v>
      </c>
      <c r="S346" s="265">
        <v>31.36</v>
      </c>
      <c r="T346" s="265">
        <v>31.36</v>
      </c>
      <c r="U346" s="265">
        <v>31.36</v>
      </c>
      <c r="V346" s="265">
        <v>31.36</v>
      </c>
      <c r="W346" s="265">
        <v>31.36</v>
      </c>
      <c r="X346" s="265">
        <v>31.36</v>
      </c>
      <c r="Y346" s="265">
        <v>31.36</v>
      </c>
      <c r="Z346" s="265">
        <v>0.01</v>
      </c>
      <c r="AA346" s="265">
        <v>0.01</v>
      </c>
      <c r="AB346" s="265">
        <v>0.01</v>
      </c>
      <c r="AC346" s="265">
        <v>0.01</v>
      </c>
      <c r="AD346" s="265">
        <v>0.01</v>
      </c>
      <c r="AE346" s="265">
        <v>0.01</v>
      </c>
      <c r="AF346" s="265">
        <v>0.01</v>
      </c>
      <c r="AG346" s="265">
        <v>0.01</v>
      </c>
      <c r="AH346" s="265">
        <v>0.01</v>
      </c>
      <c r="AI346" s="265">
        <v>0.01</v>
      </c>
      <c r="AJ346" s="265">
        <v>0.01</v>
      </c>
      <c r="AK346" s="265">
        <v>0.01</v>
      </c>
      <c r="AL346" s="266">
        <v>0</v>
      </c>
      <c r="AM346" s="265">
        <f t="shared" si="92"/>
        <v>0</v>
      </c>
      <c r="AN346" s="266">
        <v>10</v>
      </c>
      <c r="AO346" s="265">
        <f t="shared" si="90"/>
        <v>0.1</v>
      </c>
      <c r="AP346" s="266">
        <v>100</v>
      </c>
      <c r="AQ346" s="265">
        <f t="shared" si="93"/>
        <v>1</v>
      </c>
      <c r="AR346" s="266">
        <v>0</v>
      </c>
      <c r="AS346" s="262">
        <f t="shared" si="94"/>
        <v>0</v>
      </c>
      <c r="AT346" s="266">
        <v>0</v>
      </c>
      <c r="AU346" s="260">
        <f t="shared" si="95"/>
        <v>0</v>
      </c>
      <c r="AV346" s="259">
        <v>0</v>
      </c>
      <c r="AW346" s="260">
        <f t="shared" si="96"/>
        <v>0</v>
      </c>
      <c r="AX346" s="261">
        <v>0</v>
      </c>
      <c r="AY346" s="260">
        <f t="shared" si="97"/>
        <v>0</v>
      </c>
      <c r="AZ346" s="259" t="s">
        <v>573</v>
      </c>
      <c r="BA346" s="260">
        <f t="shared" si="98"/>
        <v>0</v>
      </c>
      <c r="BB346" s="259" t="s">
        <v>573</v>
      </c>
      <c r="BC346" s="260">
        <f t="shared" si="99"/>
        <v>0</v>
      </c>
      <c r="BD346" s="259">
        <v>10</v>
      </c>
      <c r="BE346" s="260">
        <f t="shared" si="100"/>
        <v>0.1</v>
      </c>
      <c r="BF346" s="259" t="s">
        <v>573</v>
      </c>
      <c r="BG346" s="260">
        <f t="shared" si="101"/>
        <v>0</v>
      </c>
      <c r="BH346" s="259" t="s">
        <v>573</v>
      </c>
      <c r="BI346" s="260">
        <f t="shared" si="91"/>
        <v>0</v>
      </c>
      <c r="BJ346" s="58"/>
      <c r="BK346" s="220"/>
      <c r="BL346" s="213" t="s">
        <v>1329</v>
      </c>
      <c r="BM346" s="58" t="s">
        <v>1479</v>
      </c>
    </row>
    <row r="347" spans="1:65" ht="15.75" customHeight="1">
      <c r="A347" s="213" t="s">
        <v>1437</v>
      </c>
      <c r="B347" s="58" t="s">
        <v>1293</v>
      </c>
      <c r="C347" s="58" t="s">
        <v>752</v>
      </c>
      <c r="D347" s="214" t="s">
        <v>1477</v>
      </c>
      <c r="E347" s="214" t="s">
        <v>1478</v>
      </c>
      <c r="F347" s="215" t="s">
        <v>186</v>
      </c>
      <c r="G347" s="216">
        <v>2023</v>
      </c>
      <c r="H347" s="218" t="s">
        <v>825</v>
      </c>
      <c r="I347" s="217" t="s">
        <v>781</v>
      </c>
      <c r="J347" s="217" t="s">
        <v>890</v>
      </c>
      <c r="K347" s="213" t="s">
        <v>753</v>
      </c>
      <c r="L347" s="213" t="s">
        <v>192</v>
      </c>
      <c r="M347" s="219" t="s">
        <v>1407</v>
      </c>
      <c r="N347" s="265">
        <v>31.36</v>
      </c>
      <c r="O347" s="265">
        <v>31.36</v>
      </c>
      <c r="P347" s="265">
        <v>31.36</v>
      </c>
      <c r="Q347" s="265">
        <v>31.36</v>
      </c>
      <c r="R347" s="265">
        <v>31.36</v>
      </c>
      <c r="S347" s="265">
        <v>31.36</v>
      </c>
      <c r="T347" s="265">
        <v>31.36</v>
      </c>
      <c r="U347" s="265">
        <v>31.36</v>
      </c>
      <c r="V347" s="265">
        <v>31.36</v>
      </c>
      <c r="W347" s="265">
        <v>31.36</v>
      </c>
      <c r="X347" s="265">
        <v>31.36</v>
      </c>
      <c r="Y347" s="265">
        <v>31.36</v>
      </c>
      <c r="Z347" s="265">
        <v>0.01</v>
      </c>
      <c r="AA347" s="265">
        <v>0.01</v>
      </c>
      <c r="AB347" s="265">
        <v>0.01</v>
      </c>
      <c r="AC347" s="265">
        <v>0.01</v>
      </c>
      <c r="AD347" s="265">
        <v>0.01</v>
      </c>
      <c r="AE347" s="265">
        <v>0.01</v>
      </c>
      <c r="AF347" s="265">
        <v>0.01</v>
      </c>
      <c r="AG347" s="265">
        <v>0.01</v>
      </c>
      <c r="AH347" s="265">
        <v>0.01</v>
      </c>
      <c r="AI347" s="265">
        <v>0.01</v>
      </c>
      <c r="AJ347" s="265">
        <v>0.01</v>
      </c>
      <c r="AK347" s="265">
        <v>0.01</v>
      </c>
      <c r="AL347" s="266" t="s">
        <v>573</v>
      </c>
      <c r="AM347" s="265">
        <f t="shared" si="92"/>
        <v>0</v>
      </c>
      <c r="AN347" s="266" t="s">
        <v>573</v>
      </c>
      <c r="AO347" s="265">
        <f t="shared" si="90"/>
        <v>0</v>
      </c>
      <c r="AP347" s="266">
        <v>0</v>
      </c>
      <c r="AQ347" s="265">
        <f t="shared" si="93"/>
        <v>0</v>
      </c>
      <c r="AR347" s="266">
        <v>0</v>
      </c>
      <c r="AS347" s="262">
        <f t="shared" si="94"/>
        <v>0</v>
      </c>
      <c r="AT347" s="266">
        <v>0</v>
      </c>
      <c r="AU347" s="260">
        <f t="shared" si="95"/>
        <v>0</v>
      </c>
      <c r="AV347" s="259">
        <v>0</v>
      </c>
      <c r="AW347" s="260">
        <f t="shared" si="96"/>
        <v>0</v>
      </c>
      <c r="AX347" s="261">
        <v>0</v>
      </c>
      <c r="AY347" s="260">
        <f t="shared" si="97"/>
        <v>0</v>
      </c>
      <c r="AZ347" s="259" t="s">
        <v>573</v>
      </c>
      <c r="BA347" s="260">
        <f t="shared" si="98"/>
        <v>0</v>
      </c>
      <c r="BB347" s="259">
        <v>360</v>
      </c>
      <c r="BC347" s="260">
        <f t="shared" si="99"/>
        <v>3.6</v>
      </c>
      <c r="BD347" s="259" t="s">
        <v>573</v>
      </c>
      <c r="BE347" s="260">
        <f t="shared" si="100"/>
        <v>0</v>
      </c>
      <c r="BF347" s="259" t="s">
        <v>573</v>
      </c>
      <c r="BG347" s="260">
        <f t="shared" si="101"/>
        <v>0</v>
      </c>
      <c r="BH347" s="259" t="s">
        <v>573</v>
      </c>
      <c r="BI347" s="260">
        <f t="shared" si="91"/>
        <v>0</v>
      </c>
      <c r="BJ347" s="58"/>
      <c r="BK347" s="220"/>
      <c r="BL347" s="213" t="s">
        <v>1329</v>
      </c>
      <c r="BM347" s="58" t="s">
        <v>1479</v>
      </c>
    </row>
    <row r="348" spans="1:65" ht="15.75" customHeight="1">
      <c r="A348" s="213" t="s">
        <v>1437</v>
      </c>
      <c r="B348" s="58" t="s">
        <v>1293</v>
      </c>
      <c r="C348" s="58" t="s">
        <v>752</v>
      </c>
      <c r="D348" s="214" t="s">
        <v>1477</v>
      </c>
      <c r="E348" s="214" t="s">
        <v>1478</v>
      </c>
      <c r="F348" s="215" t="s">
        <v>186</v>
      </c>
      <c r="G348" s="216">
        <v>2023</v>
      </c>
      <c r="H348" s="218" t="s">
        <v>825</v>
      </c>
      <c r="I348" s="217" t="s">
        <v>781</v>
      </c>
      <c r="J348" s="217" t="s">
        <v>890</v>
      </c>
      <c r="K348" s="213" t="s">
        <v>753</v>
      </c>
      <c r="L348" s="213" t="s">
        <v>192</v>
      </c>
      <c r="M348" s="219" t="s">
        <v>1408</v>
      </c>
      <c r="N348" s="265">
        <v>31.36</v>
      </c>
      <c r="O348" s="265">
        <v>31.36</v>
      </c>
      <c r="P348" s="265">
        <v>31.36</v>
      </c>
      <c r="Q348" s="265">
        <v>31.36</v>
      </c>
      <c r="R348" s="265">
        <v>32.909999999999997</v>
      </c>
      <c r="S348" s="265">
        <v>32.909999999999997</v>
      </c>
      <c r="T348" s="265">
        <v>32.909999999999997</v>
      </c>
      <c r="U348" s="265">
        <v>32.909999999999997</v>
      </c>
      <c r="V348" s="265">
        <v>32.909999999999997</v>
      </c>
      <c r="W348" s="265">
        <v>32.909999999999997</v>
      </c>
      <c r="X348" s="265">
        <v>32.909999999999997</v>
      </c>
      <c r="Y348" s="265">
        <v>32.909999999999997</v>
      </c>
      <c r="Z348" s="265">
        <v>0.01</v>
      </c>
      <c r="AA348" s="265">
        <v>0.01</v>
      </c>
      <c r="AB348" s="265">
        <v>0.01</v>
      </c>
      <c r="AC348" s="265">
        <v>0.01</v>
      </c>
      <c r="AD348" s="265">
        <v>1.56</v>
      </c>
      <c r="AE348" s="265">
        <v>1.56</v>
      </c>
      <c r="AF348" s="265">
        <v>1.56</v>
      </c>
      <c r="AG348" s="265">
        <v>1.56</v>
      </c>
      <c r="AH348" s="265">
        <v>1.56</v>
      </c>
      <c r="AI348" s="265">
        <v>1.56</v>
      </c>
      <c r="AJ348" s="265">
        <v>1.56</v>
      </c>
      <c r="AK348" s="265">
        <v>1.56</v>
      </c>
      <c r="AL348" s="266" t="s">
        <v>573</v>
      </c>
      <c r="AM348" s="265">
        <f t="shared" si="92"/>
        <v>0</v>
      </c>
      <c r="AN348" s="266" t="s">
        <v>573</v>
      </c>
      <c r="AO348" s="265">
        <f t="shared" si="90"/>
        <v>0</v>
      </c>
      <c r="AP348" s="266">
        <v>0</v>
      </c>
      <c r="AQ348" s="265">
        <f t="shared" si="93"/>
        <v>0</v>
      </c>
      <c r="AR348" s="266">
        <v>360</v>
      </c>
      <c r="AS348" s="262">
        <f t="shared" si="94"/>
        <v>3.6</v>
      </c>
      <c r="AT348" s="266">
        <v>0</v>
      </c>
      <c r="AU348" s="260">
        <f t="shared" si="95"/>
        <v>0</v>
      </c>
      <c r="AV348" s="259">
        <v>0</v>
      </c>
      <c r="AW348" s="260">
        <f t="shared" si="96"/>
        <v>0</v>
      </c>
      <c r="AX348" s="261">
        <v>0</v>
      </c>
      <c r="AY348" s="260">
        <f t="shared" si="97"/>
        <v>0</v>
      </c>
      <c r="AZ348" s="259" t="s">
        <v>573</v>
      </c>
      <c r="BA348" s="260">
        <f t="shared" si="98"/>
        <v>0</v>
      </c>
      <c r="BB348" s="259">
        <v>360</v>
      </c>
      <c r="BC348" s="260">
        <f t="shared" si="99"/>
        <v>561.6</v>
      </c>
      <c r="BD348" s="259" t="s">
        <v>573</v>
      </c>
      <c r="BE348" s="260">
        <f t="shared" si="100"/>
        <v>0</v>
      </c>
      <c r="BF348" s="259" t="s">
        <v>573</v>
      </c>
      <c r="BG348" s="260">
        <f t="shared" si="101"/>
        <v>0</v>
      </c>
      <c r="BH348" s="259" t="s">
        <v>573</v>
      </c>
      <c r="BI348" s="260">
        <f t="shared" si="91"/>
        <v>0</v>
      </c>
      <c r="BJ348" s="58"/>
      <c r="BK348" s="220"/>
      <c r="BL348" s="213" t="s">
        <v>1329</v>
      </c>
      <c r="BM348" s="58" t="s">
        <v>1479</v>
      </c>
    </row>
    <row r="349" spans="1:65" ht="15.75" customHeight="1">
      <c r="A349" s="213" t="s">
        <v>1437</v>
      </c>
      <c r="B349" s="58" t="s">
        <v>1346</v>
      </c>
      <c r="C349" s="58" t="s">
        <v>752</v>
      </c>
      <c r="D349" s="214" t="s">
        <v>186</v>
      </c>
      <c r="E349" s="214" t="s">
        <v>186</v>
      </c>
      <c r="F349" s="215" t="s">
        <v>186</v>
      </c>
      <c r="G349" s="216">
        <v>2020</v>
      </c>
      <c r="H349" s="218" t="s">
        <v>796</v>
      </c>
      <c r="I349" s="217" t="s">
        <v>781</v>
      </c>
      <c r="J349" s="217" t="s">
        <v>890</v>
      </c>
      <c r="K349" s="213" t="s">
        <v>753</v>
      </c>
      <c r="L349" s="213" t="s">
        <v>192</v>
      </c>
      <c r="M349" s="219" t="s">
        <v>1388</v>
      </c>
      <c r="N349" s="265">
        <v>8.1300000000000008</v>
      </c>
      <c r="O349" s="265">
        <v>8.1300000000000008</v>
      </c>
      <c r="P349" s="265">
        <v>8.1300000000000008</v>
      </c>
      <c r="Q349" s="265">
        <v>8.1300000000000008</v>
      </c>
      <c r="R349" s="265">
        <v>8.1300000000000008</v>
      </c>
      <c r="S349" s="265">
        <v>8.1300000000000008</v>
      </c>
      <c r="T349" s="265">
        <v>8.1300000000000008</v>
      </c>
      <c r="U349" s="265">
        <v>8.1300000000000008</v>
      </c>
      <c r="V349" s="265">
        <v>8.1300000000000008</v>
      </c>
      <c r="W349" s="265">
        <v>8.1300000000000008</v>
      </c>
      <c r="X349" s="265">
        <v>8.1300000000000008</v>
      </c>
      <c r="Y349" s="265">
        <v>8.1300000000000008</v>
      </c>
      <c r="Z349" s="265">
        <v>0.08</v>
      </c>
      <c r="AA349" s="265">
        <v>0.08</v>
      </c>
      <c r="AB349" s="265">
        <v>0.08</v>
      </c>
      <c r="AC349" s="265">
        <v>0.08</v>
      </c>
      <c r="AD349" s="265">
        <v>0.08</v>
      </c>
      <c r="AE349" s="265">
        <v>0.08</v>
      </c>
      <c r="AF349" s="265">
        <v>0.08</v>
      </c>
      <c r="AG349" s="265">
        <v>0.08</v>
      </c>
      <c r="AH349" s="265">
        <v>0.08</v>
      </c>
      <c r="AI349" s="265">
        <v>0.08</v>
      </c>
      <c r="AJ349" s="265">
        <v>0.08</v>
      </c>
      <c r="AK349" s="265">
        <v>0.08</v>
      </c>
      <c r="AL349" s="266" t="s">
        <v>573</v>
      </c>
      <c r="AM349" s="265">
        <f t="shared" si="92"/>
        <v>0</v>
      </c>
      <c r="AN349" s="266" t="s">
        <v>573</v>
      </c>
      <c r="AO349" s="265">
        <f t="shared" si="90"/>
        <v>0</v>
      </c>
      <c r="AP349" s="266">
        <v>20000</v>
      </c>
      <c r="AQ349" s="265">
        <f t="shared" si="93"/>
        <v>1600</v>
      </c>
      <c r="AR349" s="266">
        <v>0</v>
      </c>
      <c r="AS349" s="262">
        <f t="shared" si="94"/>
        <v>0</v>
      </c>
      <c r="AT349" s="266">
        <v>9600</v>
      </c>
      <c r="AU349" s="260">
        <f t="shared" si="95"/>
        <v>768</v>
      </c>
      <c r="AV349" s="259">
        <v>14400</v>
      </c>
      <c r="AW349" s="260">
        <f t="shared" si="96"/>
        <v>1152</v>
      </c>
      <c r="AX349" s="261">
        <v>0</v>
      </c>
      <c r="AY349" s="260">
        <f t="shared" si="97"/>
        <v>0</v>
      </c>
      <c r="AZ349" s="259">
        <v>0</v>
      </c>
      <c r="BA349" s="260">
        <f t="shared" si="98"/>
        <v>0</v>
      </c>
      <c r="BB349" s="259">
        <v>0</v>
      </c>
      <c r="BC349" s="260">
        <f t="shared" si="99"/>
        <v>0</v>
      </c>
      <c r="BD349" s="259">
        <v>0</v>
      </c>
      <c r="BE349" s="260">
        <f t="shared" si="100"/>
        <v>0</v>
      </c>
      <c r="BF349" s="259">
        <v>0</v>
      </c>
      <c r="BG349" s="260">
        <f t="shared" si="101"/>
        <v>0</v>
      </c>
      <c r="BH349" s="259">
        <v>0</v>
      </c>
      <c r="BI349" s="260">
        <f t="shared" si="91"/>
        <v>0</v>
      </c>
      <c r="BJ349" s="58"/>
      <c r="BK349" s="220"/>
      <c r="BL349" s="213" t="s">
        <v>197</v>
      </c>
      <c r="BM349" s="58" t="s">
        <v>1473</v>
      </c>
    </row>
    <row r="350" spans="1:65" ht="15.75" customHeight="1">
      <c r="A350" s="213" t="s">
        <v>1437</v>
      </c>
      <c r="B350" s="58" t="s">
        <v>1346</v>
      </c>
      <c r="C350" s="58" t="s">
        <v>752</v>
      </c>
      <c r="D350" s="214" t="s">
        <v>186</v>
      </c>
      <c r="E350" s="214" t="s">
        <v>186</v>
      </c>
      <c r="F350" s="215" t="s">
        <v>186</v>
      </c>
      <c r="G350" s="216">
        <v>2020</v>
      </c>
      <c r="H350" s="218" t="s">
        <v>200</v>
      </c>
      <c r="I350" s="217" t="s">
        <v>781</v>
      </c>
      <c r="J350" s="217" t="s">
        <v>890</v>
      </c>
      <c r="K350" s="213" t="s">
        <v>753</v>
      </c>
      <c r="L350" s="213" t="s">
        <v>869</v>
      </c>
      <c r="M350" s="219" t="s">
        <v>1391</v>
      </c>
      <c r="N350" s="265">
        <v>9.08</v>
      </c>
      <c r="O350" s="265">
        <v>9.08</v>
      </c>
      <c r="P350" s="265">
        <v>9.08</v>
      </c>
      <c r="Q350" s="265">
        <v>9.08</v>
      </c>
      <c r="R350" s="265">
        <v>9.08</v>
      </c>
      <c r="S350" s="265">
        <v>9.08</v>
      </c>
      <c r="T350" s="265">
        <v>9.08</v>
      </c>
      <c r="U350" s="265">
        <v>9.08</v>
      </c>
      <c r="V350" s="265">
        <v>9.08</v>
      </c>
      <c r="W350" s="265">
        <v>9.08</v>
      </c>
      <c r="X350" s="265">
        <v>9.08</v>
      </c>
      <c r="Y350" s="265">
        <v>9.08</v>
      </c>
      <c r="Z350" s="265">
        <v>0.18</v>
      </c>
      <c r="AA350" s="265">
        <v>0.18</v>
      </c>
      <c r="AB350" s="265">
        <v>0.18</v>
      </c>
      <c r="AC350" s="265">
        <v>0.18</v>
      </c>
      <c r="AD350" s="265">
        <v>0.18</v>
      </c>
      <c r="AE350" s="265">
        <v>0.18</v>
      </c>
      <c r="AF350" s="265">
        <v>0.18</v>
      </c>
      <c r="AG350" s="265">
        <v>0.18</v>
      </c>
      <c r="AH350" s="265">
        <v>0.18</v>
      </c>
      <c r="AI350" s="265">
        <v>0.18</v>
      </c>
      <c r="AJ350" s="265">
        <v>0.18</v>
      </c>
      <c r="AK350" s="265">
        <v>0.18</v>
      </c>
      <c r="AL350" s="266" t="s">
        <v>573</v>
      </c>
      <c r="AM350" s="265">
        <f t="shared" si="92"/>
        <v>0</v>
      </c>
      <c r="AN350" s="266" t="s">
        <v>573</v>
      </c>
      <c r="AO350" s="265">
        <f t="shared" si="90"/>
        <v>0</v>
      </c>
      <c r="AP350" s="266">
        <v>0</v>
      </c>
      <c r="AQ350" s="265">
        <f t="shared" si="93"/>
        <v>0</v>
      </c>
      <c r="AR350" s="266">
        <v>20000</v>
      </c>
      <c r="AS350" s="262">
        <f t="shared" si="94"/>
        <v>3600</v>
      </c>
      <c r="AT350" s="266">
        <v>10000</v>
      </c>
      <c r="AU350" s="260">
        <f t="shared" si="95"/>
        <v>1800</v>
      </c>
      <c r="AV350" s="259">
        <v>5600</v>
      </c>
      <c r="AW350" s="260">
        <f t="shared" si="96"/>
        <v>1008</v>
      </c>
      <c r="AX350" s="261">
        <v>0</v>
      </c>
      <c r="AY350" s="260">
        <f t="shared" si="97"/>
        <v>0</v>
      </c>
      <c r="AZ350" s="259">
        <v>0</v>
      </c>
      <c r="BA350" s="260">
        <f t="shared" si="98"/>
        <v>0</v>
      </c>
      <c r="BB350" s="259">
        <v>0</v>
      </c>
      <c r="BC350" s="260">
        <f t="shared" si="99"/>
        <v>0</v>
      </c>
      <c r="BD350" s="259">
        <v>0</v>
      </c>
      <c r="BE350" s="260">
        <f t="shared" si="100"/>
        <v>0</v>
      </c>
      <c r="BF350" s="259">
        <v>0</v>
      </c>
      <c r="BG350" s="260">
        <f t="shared" si="101"/>
        <v>0</v>
      </c>
      <c r="BH350" s="259">
        <v>0</v>
      </c>
      <c r="BI350" s="260">
        <f t="shared" si="91"/>
        <v>0</v>
      </c>
      <c r="BJ350" s="58"/>
      <c r="BK350" s="220"/>
      <c r="BL350" s="213" t="s">
        <v>197</v>
      </c>
      <c r="BM350" s="58" t="s">
        <v>1474</v>
      </c>
    </row>
    <row r="351" spans="1:65" ht="15.75" customHeight="1">
      <c r="A351" s="213" t="s">
        <v>1437</v>
      </c>
      <c r="B351" s="58" t="s">
        <v>184</v>
      </c>
      <c r="C351" s="58" t="s">
        <v>752</v>
      </c>
      <c r="D351" s="214" t="s">
        <v>186</v>
      </c>
      <c r="E351" s="214" t="s">
        <v>186</v>
      </c>
      <c r="F351" s="215" t="s">
        <v>186</v>
      </c>
      <c r="G351" s="216">
        <v>2018</v>
      </c>
      <c r="H351" s="218" t="s">
        <v>802</v>
      </c>
      <c r="I351" s="218" t="s">
        <v>196</v>
      </c>
      <c r="J351" s="217" t="s">
        <v>890</v>
      </c>
      <c r="K351" s="213" t="s">
        <v>753</v>
      </c>
      <c r="L351" s="213" t="s">
        <v>869</v>
      </c>
      <c r="M351" s="219" t="s">
        <v>1391</v>
      </c>
      <c r="N351" s="265">
        <v>4.87</v>
      </c>
      <c r="O351" s="265">
        <v>4.87</v>
      </c>
      <c r="P351" s="265">
        <v>4.87</v>
      </c>
      <c r="Q351" s="265">
        <v>4.87</v>
      </c>
      <c r="R351" s="265">
        <v>4.87</v>
      </c>
      <c r="S351" s="265">
        <v>4.87</v>
      </c>
      <c r="T351" s="265">
        <v>4.87</v>
      </c>
      <c r="U351" s="265">
        <v>4.87</v>
      </c>
      <c r="V351" s="265">
        <v>4.87</v>
      </c>
      <c r="W351" s="265">
        <v>4.87</v>
      </c>
      <c r="X351" s="265">
        <v>4.87</v>
      </c>
      <c r="Y351" s="265">
        <v>4.87</v>
      </c>
      <c r="Z351" s="265">
        <v>0.05</v>
      </c>
      <c r="AA351" s="265">
        <v>0.05</v>
      </c>
      <c r="AB351" s="265">
        <v>0.05</v>
      </c>
      <c r="AC351" s="265">
        <v>0.05</v>
      </c>
      <c r="AD351" s="265">
        <v>0.05</v>
      </c>
      <c r="AE351" s="265">
        <v>0.05</v>
      </c>
      <c r="AF351" s="265">
        <v>0.05</v>
      </c>
      <c r="AG351" s="265">
        <v>0.05</v>
      </c>
      <c r="AH351" s="265">
        <v>0.05</v>
      </c>
      <c r="AI351" s="265">
        <v>0.05</v>
      </c>
      <c r="AJ351" s="265">
        <v>0.05</v>
      </c>
      <c r="AK351" s="265">
        <v>0.05</v>
      </c>
      <c r="AL351" s="266" t="s">
        <v>573</v>
      </c>
      <c r="AM351" s="265">
        <f t="shared" si="92"/>
        <v>0</v>
      </c>
      <c r="AN351" s="266" t="s">
        <v>573</v>
      </c>
      <c r="AO351" s="265">
        <f t="shared" si="90"/>
        <v>0</v>
      </c>
      <c r="AP351" s="266">
        <v>0</v>
      </c>
      <c r="AQ351" s="265">
        <f t="shared" si="93"/>
        <v>0</v>
      </c>
      <c r="AR351" s="266">
        <v>3600</v>
      </c>
      <c r="AS351" s="262">
        <f t="shared" si="94"/>
        <v>180</v>
      </c>
      <c r="AT351" s="266">
        <v>0</v>
      </c>
      <c r="AU351" s="260">
        <f t="shared" si="95"/>
        <v>0</v>
      </c>
      <c r="AV351" s="259">
        <v>0</v>
      </c>
      <c r="AW351" s="260">
        <f t="shared" si="96"/>
        <v>0</v>
      </c>
      <c r="AX351" s="261">
        <v>0</v>
      </c>
      <c r="AY351" s="260">
        <f t="shared" si="97"/>
        <v>0</v>
      </c>
      <c r="AZ351" s="259">
        <v>0</v>
      </c>
      <c r="BA351" s="260">
        <f t="shared" si="98"/>
        <v>0</v>
      </c>
      <c r="BB351" s="259">
        <v>0</v>
      </c>
      <c r="BC351" s="260">
        <f t="shared" si="99"/>
        <v>0</v>
      </c>
      <c r="BD351" s="259">
        <v>0</v>
      </c>
      <c r="BE351" s="260">
        <f t="shared" si="100"/>
        <v>0</v>
      </c>
      <c r="BF351" s="259">
        <v>0</v>
      </c>
      <c r="BG351" s="260">
        <f t="shared" si="101"/>
        <v>0</v>
      </c>
      <c r="BH351" s="259">
        <v>0</v>
      </c>
      <c r="BI351" s="260">
        <f t="shared" si="91"/>
        <v>0</v>
      </c>
      <c r="BJ351" s="58"/>
      <c r="BK351" s="220"/>
      <c r="BL351" s="213" t="s">
        <v>197</v>
      </c>
      <c r="BM351" s="58" t="s">
        <v>1475</v>
      </c>
    </row>
    <row r="352" spans="1:65" ht="15.75" customHeight="1">
      <c r="A352" s="213" t="s">
        <v>1437</v>
      </c>
      <c r="B352" s="58" t="s">
        <v>184</v>
      </c>
      <c r="C352" s="58" t="s">
        <v>752</v>
      </c>
      <c r="D352" s="214" t="s">
        <v>186</v>
      </c>
      <c r="E352" s="214" t="s">
        <v>186</v>
      </c>
      <c r="F352" s="215" t="s">
        <v>186</v>
      </c>
      <c r="G352" s="216">
        <v>2021</v>
      </c>
      <c r="H352" s="213" t="s">
        <v>801</v>
      </c>
      <c r="I352" s="213" t="s">
        <v>196</v>
      </c>
      <c r="J352" s="217" t="s">
        <v>890</v>
      </c>
      <c r="K352" s="213" t="s">
        <v>221</v>
      </c>
      <c r="L352" s="213" t="s">
        <v>869</v>
      </c>
      <c r="M352" s="219" t="s">
        <v>1389</v>
      </c>
      <c r="N352" s="265">
        <v>4.26</v>
      </c>
      <c r="O352" s="265">
        <v>4.26</v>
      </c>
      <c r="P352" s="265">
        <v>4.26</v>
      </c>
      <c r="Q352" s="265">
        <v>4.26</v>
      </c>
      <c r="R352" s="265">
        <v>4.26</v>
      </c>
      <c r="S352" s="265">
        <v>4.26</v>
      </c>
      <c r="T352" s="265">
        <v>4.26</v>
      </c>
      <c r="U352" s="265">
        <v>4.26</v>
      </c>
      <c r="V352" s="265">
        <v>4.26</v>
      </c>
      <c r="W352" s="265">
        <v>4.26</v>
      </c>
      <c r="X352" s="265">
        <v>4.26</v>
      </c>
      <c r="Y352" s="265">
        <v>4.26</v>
      </c>
      <c r="Z352" s="265">
        <v>7.0000000000000007E-2</v>
      </c>
      <c r="AA352" s="265">
        <v>7.0000000000000007E-2</v>
      </c>
      <c r="AB352" s="265">
        <v>7.0000000000000007E-2</v>
      </c>
      <c r="AC352" s="265">
        <v>7.0000000000000007E-2</v>
      </c>
      <c r="AD352" s="265">
        <v>7.0000000000000007E-2</v>
      </c>
      <c r="AE352" s="265">
        <v>7.0000000000000007E-2</v>
      </c>
      <c r="AF352" s="265">
        <v>7.0000000000000007E-2</v>
      </c>
      <c r="AG352" s="265">
        <v>7.0000000000000007E-2</v>
      </c>
      <c r="AH352" s="265">
        <v>7.0000000000000007E-2</v>
      </c>
      <c r="AI352" s="265">
        <v>7.0000000000000007E-2</v>
      </c>
      <c r="AJ352" s="265">
        <v>7.0000000000000007E-2</v>
      </c>
      <c r="AK352" s="265">
        <v>7.0000000000000007E-2</v>
      </c>
      <c r="AL352" s="266">
        <v>0</v>
      </c>
      <c r="AM352" s="265">
        <f t="shared" si="92"/>
        <v>0</v>
      </c>
      <c r="AN352" s="266" t="s">
        <v>573</v>
      </c>
      <c r="AO352" s="265">
        <f t="shared" si="90"/>
        <v>0</v>
      </c>
      <c r="AP352" s="266">
        <v>20160</v>
      </c>
      <c r="AQ352" s="265">
        <f t="shared" si="93"/>
        <v>1411.2</v>
      </c>
      <c r="AR352" s="266">
        <v>0</v>
      </c>
      <c r="AS352" s="262">
        <f t="shared" si="94"/>
        <v>0</v>
      </c>
      <c r="AT352" s="266">
        <v>2880</v>
      </c>
      <c r="AU352" s="260">
        <f t="shared" si="95"/>
        <v>201.60000000000002</v>
      </c>
      <c r="AV352" s="259">
        <v>2880</v>
      </c>
      <c r="AW352" s="260">
        <f t="shared" si="96"/>
        <v>201.60000000000002</v>
      </c>
      <c r="AX352" s="261">
        <v>0</v>
      </c>
      <c r="AY352" s="260">
        <f t="shared" si="97"/>
        <v>0</v>
      </c>
      <c r="AZ352" s="259">
        <v>0</v>
      </c>
      <c r="BA352" s="260">
        <f t="shared" si="98"/>
        <v>0</v>
      </c>
      <c r="BB352" s="259">
        <v>0</v>
      </c>
      <c r="BC352" s="260">
        <f t="shared" si="99"/>
        <v>0</v>
      </c>
      <c r="BD352" s="259">
        <v>0</v>
      </c>
      <c r="BE352" s="260">
        <f t="shared" si="100"/>
        <v>0</v>
      </c>
      <c r="BF352" s="259">
        <v>0</v>
      </c>
      <c r="BG352" s="260">
        <f t="shared" si="101"/>
        <v>0</v>
      </c>
      <c r="BH352" s="259">
        <v>0</v>
      </c>
      <c r="BI352" s="260">
        <f t="shared" si="91"/>
        <v>0</v>
      </c>
      <c r="BJ352" s="58"/>
      <c r="BK352" s="220"/>
      <c r="BL352" s="213" t="s">
        <v>763</v>
      </c>
      <c r="BM352" s="213" t="s">
        <v>557</v>
      </c>
    </row>
    <row r="353" spans="1:65" ht="15.75" customHeight="1">
      <c r="A353" s="213" t="s">
        <v>1437</v>
      </c>
      <c r="B353" s="58" t="s">
        <v>184</v>
      </c>
      <c r="C353" s="58" t="s">
        <v>752</v>
      </c>
      <c r="D353" s="214" t="s">
        <v>186</v>
      </c>
      <c r="E353" s="214" t="s">
        <v>186</v>
      </c>
      <c r="F353" s="215" t="s">
        <v>186</v>
      </c>
      <c r="G353" s="216">
        <v>2023</v>
      </c>
      <c r="H353" s="213" t="s">
        <v>801</v>
      </c>
      <c r="I353" s="218" t="s">
        <v>196</v>
      </c>
      <c r="J353" s="217" t="s">
        <v>890</v>
      </c>
      <c r="K353" s="213" t="s">
        <v>221</v>
      </c>
      <c r="L353" s="213" t="s">
        <v>869</v>
      </c>
      <c r="M353" s="219" t="s">
        <v>1389</v>
      </c>
      <c r="N353" s="265">
        <v>4.26</v>
      </c>
      <c r="O353" s="265">
        <v>4.26</v>
      </c>
      <c r="P353" s="265">
        <v>4.26</v>
      </c>
      <c r="Q353" s="265">
        <v>4.26</v>
      </c>
      <c r="R353" s="265">
        <v>4.26</v>
      </c>
      <c r="S353" s="265">
        <v>4.26</v>
      </c>
      <c r="T353" s="265">
        <v>4.26</v>
      </c>
      <c r="U353" s="265">
        <v>4.26</v>
      </c>
      <c r="V353" s="265">
        <v>4.26</v>
      </c>
      <c r="W353" s="265">
        <v>4.26</v>
      </c>
      <c r="X353" s="265">
        <v>4.26</v>
      </c>
      <c r="Y353" s="265">
        <v>4.26</v>
      </c>
      <c r="Z353" s="265">
        <v>7.0000000000000007E-2</v>
      </c>
      <c r="AA353" s="265">
        <v>7.0000000000000007E-2</v>
      </c>
      <c r="AB353" s="265">
        <v>7.0000000000000007E-2</v>
      </c>
      <c r="AC353" s="265">
        <v>7.0000000000000007E-2</v>
      </c>
      <c r="AD353" s="265">
        <v>7.0000000000000007E-2</v>
      </c>
      <c r="AE353" s="265">
        <v>7.0000000000000007E-2</v>
      </c>
      <c r="AF353" s="265">
        <v>7.0000000000000007E-2</v>
      </c>
      <c r="AG353" s="265">
        <v>7.0000000000000007E-2</v>
      </c>
      <c r="AH353" s="265">
        <v>7.0000000000000007E-2</v>
      </c>
      <c r="AI353" s="265">
        <v>7.0000000000000007E-2</v>
      </c>
      <c r="AJ353" s="265">
        <v>7.0000000000000007E-2</v>
      </c>
      <c r="AK353" s="265">
        <v>7.0000000000000007E-2</v>
      </c>
      <c r="AL353" s="266">
        <v>0</v>
      </c>
      <c r="AM353" s="265">
        <f t="shared" si="92"/>
        <v>0</v>
      </c>
      <c r="AN353" s="266" t="s">
        <v>573</v>
      </c>
      <c r="AO353" s="265">
        <f t="shared" si="90"/>
        <v>0</v>
      </c>
      <c r="AP353" s="266">
        <v>8640</v>
      </c>
      <c r="AQ353" s="265">
        <f t="shared" si="93"/>
        <v>604.80000000000007</v>
      </c>
      <c r="AR353" s="266">
        <v>0</v>
      </c>
      <c r="AS353" s="262">
        <f t="shared" si="94"/>
        <v>0</v>
      </c>
      <c r="AT353" s="266">
        <v>8640</v>
      </c>
      <c r="AU353" s="260">
        <f t="shared" si="95"/>
        <v>604.80000000000007</v>
      </c>
      <c r="AV353" s="259">
        <v>0</v>
      </c>
      <c r="AW353" s="260">
        <f t="shared" si="96"/>
        <v>0</v>
      </c>
      <c r="AX353" s="261">
        <v>0</v>
      </c>
      <c r="AY353" s="260">
        <f t="shared" si="97"/>
        <v>0</v>
      </c>
      <c r="AZ353" s="259">
        <v>0</v>
      </c>
      <c r="BA353" s="260">
        <f t="shared" si="98"/>
        <v>0</v>
      </c>
      <c r="BB353" s="259">
        <v>0</v>
      </c>
      <c r="BC353" s="260">
        <f t="shared" si="99"/>
        <v>0</v>
      </c>
      <c r="BD353" s="259">
        <v>0</v>
      </c>
      <c r="BE353" s="260">
        <f t="shared" si="100"/>
        <v>0</v>
      </c>
      <c r="BF353" s="259">
        <v>0</v>
      </c>
      <c r="BG353" s="260">
        <f t="shared" si="101"/>
        <v>0</v>
      </c>
      <c r="BH353" s="259">
        <v>0</v>
      </c>
      <c r="BI353" s="260">
        <f t="shared" si="91"/>
        <v>0</v>
      </c>
      <c r="BJ353" s="58"/>
      <c r="BK353" s="220"/>
      <c r="BL353" s="213" t="s">
        <v>763</v>
      </c>
      <c r="BM353" s="58" t="s">
        <v>631</v>
      </c>
    </row>
    <row r="354" spans="1:65" ht="15.75" customHeight="1">
      <c r="A354" s="213" t="s">
        <v>1437</v>
      </c>
      <c r="B354" s="58" t="s">
        <v>184</v>
      </c>
      <c r="C354" s="58" t="s">
        <v>752</v>
      </c>
      <c r="D354" s="214" t="s">
        <v>186</v>
      </c>
      <c r="E354" s="214" t="s">
        <v>186</v>
      </c>
      <c r="F354" s="215" t="s">
        <v>186</v>
      </c>
      <c r="G354" s="216">
        <v>2023</v>
      </c>
      <c r="H354" s="213" t="s">
        <v>801</v>
      </c>
      <c r="I354" s="218" t="s">
        <v>196</v>
      </c>
      <c r="J354" s="217" t="s">
        <v>890</v>
      </c>
      <c r="K354" s="213" t="s">
        <v>221</v>
      </c>
      <c r="L354" s="213" t="s">
        <v>869</v>
      </c>
      <c r="M354" s="219" t="s">
        <v>1391</v>
      </c>
      <c r="N354" s="265">
        <v>4.2199999999999989</v>
      </c>
      <c r="O354" s="265">
        <v>4.2199999999999989</v>
      </c>
      <c r="P354" s="265">
        <v>4.2199999999999989</v>
      </c>
      <c r="Q354" s="265">
        <v>4.2199999999999989</v>
      </c>
      <c r="R354" s="265">
        <v>4.2199999999999989</v>
      </c>
      <c r="S354" s="265">
        <v>4.2199999999999989</v>
      </c>
      <c r="T354" s="265">
        <v>4.2199999999999989</v>
      </c>
      <c r="U354" s="265">
        <v>4.2199999999999989</v>
      </c>
      <c r="V354" s="265">
        <v>4.2199999999999989</v>
      </c>
      <c r="W354" s="265">
        <v>4.2199999999999989</v>
      </c>
      <c r="X354" s="265">
        <v>4.2199999999999989</v>
      </c>
      <c r="Y354" s="265">
        <v>4.2199999999999989</v>
      </c>
      <c r="Z354" s="265">
        <v>7.0000000000000007E-2</v>
      </c>
      <c r="AA354" s="265">
        <v>7.0000000000000007E-2</v>
      </c>
      <c r="AB354" s="265">
        <v>7.0000000000000007E-2</v>
      </c>
      <c r="AC354" s="265">
        <v>7.0000000000000007E-2</v>
      </c>
      <c r="AD354" s="265">
        <v>7.0000000000000007E-2</v>
      </c>
      <c r="AE354" s="265">
        <v>7.0000000000000007E-2</v>
      </c>
      <c r="AF354" s="265">
        <v>7.0000000000000007E-2</v>
      </c>
      <c r="AG354" s="265">
        <v>7.0000000000000007E-2</v>
      </c>
      <c r="AH354" s="265">
        <v>7.0000000000000007E-2</v>
      </c>
      <c r="AI354" s="265">
        <v>7.0000000000000007E-2</v>
      </c>
      <c r="AJ354" s="265">
        <v>7.0000000000000007E-2</v>
      </c>
      <c r="AK354" s="265">
        <v>7.0000000000000007E-2</v>
      </c>
      <c r="AL354" s="266">
        <v>0</v>
      </c>
      <c r="AM354" s="265">
        <f t="shared" si="92"/>
        <v>0</v>
      </c>
      <c r="AN354" s="266" t="s">
        <v>573</v>
      </c>
      <c r="AO354" s="265">
        <f t="shared" si="90"/>
        <v>0</v>
      </c>
      <c r="AP354" s="266">
        <v>0</v>
      </c>
      <c r="AQ354" s="265">
        <f t="shared" si="93"/>
        <v>0</v>
      </c>
      <c r="AR354" s="266">
        <v>0</v>
      </c>
      <c r="AS354" s="262">
        <f t="shared" si="94"/>
        <v>0</v>
      </c>
      <c r="AT354" s="266">
        <v>5760</v>
      </c>
      <c r="AU354" s="260">
        <f t="shared" si="95"/>
        <v>403.20000000000005</v>
      </c>
      <c r="AV354" s="259">
        <v>0</v>
      </c>
      <c r="AW354" s="260">
        <f t="shared" si="96"/>
        <v>0</v>
      </c>
      <c r="AX354" s="261">
        <v>0</v>
      </c>
      <c r="AY354" s="260">
        <f t="shared" si="97"/>
        <v>0</v>
      </c>
      <c r="AZ354" s="259">
        <v>0</v>
      </c>
      <c r="BA354" s="260">
        <f t="shared" si="98"/>
        <v>0</v>
      </c>
      <c r="BB354" s="259">
        <v>0</v>
      </c>
      <c r="BC354" s="260">
        <f t="shared" si="99"/>
        <v>0</v>
      </c>
      <c r="BD354" s="259">
        <v>0</v>
      </c>
      <c r="BE354" s="260">
        <f t="shared" si="100"/>
        <v>0</v>
      </c>
      <c r="BF354" s="259">
        <v>0</v>
      </c>
      <c r="BG354" s="260">
        <f t="shared" si="101"/>
        <v>0</v>
      </c>
      <c r="BH354" s="259">
        <v>0</v>
      </c>
      <c r="BI354" s="260">
        <f t="shared" si="91"/>
        <v>0</v>
      </c>
      <c r="BJ354" s="58"/>
      <c r="BK354" s="220"/>
      <c r="BL354" s="213" t="s">
        <v>197</v>
      </c>
      <c r="BM354" s="58" t="s">
        <v>1499</v>
      </c>
    </row>
    <row r="355" spans="1:65" ht="15.75" customHeight="1">
      <c r="A355" s="213" t="s">
        <v>1437</v>
      </c>
      <c r="B355" s="58" t="s">
        <v>184</v>
      </c>
      <c r="C355" s="58" t="s">
        <v>752</v>
      </c>
      <c r="D355" s="214" t="s">
        <v>186</v>
      </c>
      <c r="E355" s="214" t="s">
        <v>186</v>
      </c>
      <c r="F355" s="215" t="s">
        <v>186</v>
      </c>
      <c r="G355" s="216">
        <v>2021</v>
      </c>
      <c r="H355" s="213" t="s">
        <v>801</v>
      </c>
      <c r="I355" s="213" t="s">
        <v>196</v>
      </c>
      <c r="J355" s="217" t="s">
        <v>890</v>
      </c>
      <c r="K355" s="213" t="s">
        <v>281</v>
      </c>
      <c r="L355" s="213" t="s">
        <v>869</v>
      </c>
      <c r="M355" s="219" t="s">
        <v>1391</v>
      </c>
      <c r="N355" s="265">
        <v>4.67</v>
      </c>
      <c r="O355" s="265">
        <v>4.67</v>
      </c>
      <c r="P355" s="265">
        <v>4.67</v>
      </c>
      <c r="Q355" s="265">
        <v>4.67</v>
      </c>
      <c r="R355" s="265">
        <v>4.67</v>
      </c>
      <c r="S355" s="265">
        <v>4.67</v>
      </c>
      <c r="T355" s="265">
        <v>4.67</v>
      </c>
      <c r="U355" s="265">
        <v>4.67</v>
      </c>
      <c r="V355" s="265">
        <v>4.67</v>
      </c>
      <c r="W355" s="265">
        <v>4.67</v>
      </c>
      <c r="X355" s="265">
        <v>4.67</v>
      </c>
      <c r="Y355" s="265">
        <v>4.67</v>
      </c>
      <c r="Z355" s="265">
        <v>7.0000000000000007E-2</v>
      </c>
      <c r="AA355" s="265">
        <v>7.0000000000000007E-2</v>
      </c>
      <c r="AB355" s="265">
        <v>7.0000000000000007E-2</v>
      </c>
      <c r="AC355" s="265">
        <v>7.0000000000000007E-2</v>
      </c>
      <c r="AD355" s="265">
        <v>7.0000000000000007E-2</v>
      </c>
      <c r="AE355" s="265">
        <v>7.0000000000000007E-2</v>
      </c>
      <c r="AF355" s="265">
        <v>7.0000000000000007E-2</v>
      </c>
      <c r="AG355" s="265">
        <v>7.0000000000000007E-2</v>
      </c>
      <c r="AH355" s="265">
        <v>7.0000000000000007E-2</v>
      </c>
      <c r="AI355" s="265">
        <v>7.0000000000000007E-2</v>
      </c>
      <c r="AJ355" s="265">
        <v>7.0000000000000007E-2</v>
      </c>
      <c r="AK355" s="265">
        <v>7.0000000000000007E-2</v>
      </c>
      <c r="AL355" s="266">
        <v>0</v>
      </c>
      <c r="AM355" s="265">
        <f t="shared" si="92"/>
        <v>0</v>
      </c>
      <c r="AN355" s="266" t="s">
        <v>573</v>
      </c>
      <c r="AO355" s="265">
        <f t="shared" si="90"/>
        <v>0</v>
      </c>
      <c r="AP355" s="266">
        <v>0</v>
      </c>
      <c r="AQ355" s="265">
        <f t="shared" si="93"/>
        <v>0</v>
      </c>
      <c r="AR355" s="266">
        <v>0</v>
      </c>
      <c r="AS355" s="262">
        <f t="shared" si="94"/>
        <v>0</v>
      </c>
      <c r="AT355" s="266">
        <v>0</v>
      </c>
      <c r="AU355" s="260">
        <f t="shared" si="95"/>
        <v>0</v>
      </c>
      <c r="AV355" s="259">
        <v>0</v>
      </c>
      <c r="AW355" s="260">
        <f t="shared" si="96"/>
        <v>0</v>
      </c>
      <c r="AX355" s="261">
        <v>0</v>
      </c>
      <c r="AY355" s="260">
        <f t="shared" si="97"/>
        <v>0</v>
      </c>
      <c r="AZ355" s="259">
        <v>0</v>
      </c>
      <c r="BA355" s="260">
        <f t="shared" si="98"/>
        <v>0</v>
      </c>
      <c r="BB355" s="259">
        <v>0</v>
      </c>
      <c r="BC355" s="260">
        <f t="shared" si="99"/>
        <v>0</v>
      </c>
      <c r="BD355" s="259">
        <v>0</v>
      </c>
      <c r="BE355" s="260">
        <f t="shared" si="100"/>
        <v>0</v>
      </c>
      <c r="BF355" s="259">
        <v>0</v>
      </c>
      <c r="BG355" s="260">
        <f t="shared" si="101"/>
        <v>0</v>
      </c>
      <c r="BH355" s="259">
        <v>0</v>
      </c>
      <c r="BI355" s="260">
        <f t="shared" si="91"/>
        <v>0</v>
      </c>
      <c r="BJ355" s="58"/>
      <c r="BK355" s="220"/>
      <c r="BL355" s="213" t="s">
        <v>197</v>
      </c>
      <c r="BM355" s="58" t="s">
        <v>560</v>
      </c>
    </row>
    <row r="356" spans="1:65" ht="15.75" customHeight="1">
      <c r="A356" s="213" t="s">
        <v>1437</v>
      </c>
      <c r="B356" s="58" t="s">
        <v>184</v>
      </c>
      <c r="C356" s="58" t="s">
        <v>752</v>
      </c>
      <c r="D356" s="214" t="s">
        <v>186</v>
      </c>
      <c r="E356" s="214" t="s">
        <v>186</v>
      </c>
      <c r="F356" s="215" t="s">
        <v>186</v>
      </c>
      <c r="G356" s="216">
        <v>2021</v>
      </c>
      <c r="H356" s="218" t="s">
        <v>801</v>
      </c>
      <c r="I356" s="218" t="s">
        <v>196</v>
      </c>
      <c r="J356" s="217" t="s">
        <v>890</v>
      </c>
      <c r="K356" s="213" t="s">
        <v>281</v>
      </c>
      <c r="L356" s="213" t="s">
        <v>869</v>
      </c>
      <c r="M356" s="219" t="s">
        <v>1389</v>
      </c>
      <c r="N356" s="265">
        <v>4.6100000000000003</v>
      </c>
      <c r="O356" s="265">
        <v>4.6100000000000003</v>
      </c>
      <c r="P356" s="265">
        <v>4.6100000000000003</v>
      </c>
      <c r="Q356" s="265">
        <v>4.6100000000000003</v>
      </c>
      <c r="R356" s="265">
        <v>4.6100000000000003</v>
      </c>
      <c r="S356" s="265">
        <v>4.6100000000000003</v>
      </c>
      <c r="T356" s="265">
        <v>4.6100000000000003</v>
      </c>
      <c r="U356" s="265">
        <v>4.6100000000000003</v>
      </c>
      <c r="V356" s="265">
        <v>4.6100000000000003</v>
      </c>
      <c r="W356" s="265">
        <v>4.6100000000000003</v>
      </c>
      <c r="X356" s="265">
        <v>4.6100000000000003</v>
      </c>
      <c r="Y356" s="265">
        <v>4.6100000000000003</v>
      </c>
      <c r="Z356" s="265">
        <v>7.0000000000000007E-2</v>
      </c>
      <c r="AA356" s="265">
        <v>7.0000000000000007E-2</v>
      </c>
      <c r="AB356" s="265">
        <v>7.0000000000000007E-2</v>
      </c>
      <c r="AC356" s="265">
        <v>7.0000000000000007E-2</v>
      </c>
      <c r="AD356" s="265">
        <v>7.0000000000000007E-2</v>
      </c>
      <c r="AE356" s="265">
        <v>7.0000000000000007E-2</v>
      </c>
      <c r="AF356" s="265">
        <v>7.0000000000000007E-2</v>
      </c>
      <c r="AG356" s="265">
        <v>7.0000000000000007E-2</v>
      </c>
      <c r="AH356" s="265">
        <v>7.0000000000000007E-2</v>
      </c>
      <c r="AI356" s="265">
        <v>7.0000000000000007E-2</v>
      </c>
      <c r="AJ356" s="265">
        <v>7.0000000000000007E-2</v>
      </c>
      <c r="AK356" s="265">
        <v>7.0000000000000007E-2</v>
      </c>
      <c r="AL356" s="266">
        <v>0</v>
      </c>
      <c r="AM356" s="265">
        <f t="shared" si="92"/>
        <v>0</v>
      </c>
      <c r="AN356" s="266" t="s">
        <v>573</v>
      </c>
      <c r="AO356" s="265">
        <f t="shared" si="90"/>
        <v>0</v>
      </c>
      <c r="AP356" s="266">
        <v>0</v>
      </c>
      <c r="AQ356" s="265">
        <f t="shared" si="93"/>
        <v>0</v>
      </c>
      <c r="AR356" s="266">
        <v>0</v>
      </c>
      <c r="AS356" s="262">
        <f t="shared" si="94"/>
        <v>0</v>
      </c>
      <c r="AT356" s="266">
        <v>0</v>
      </c>
      <c r="AU356" s="260">
        <f t="shared" si="95"/>
        <v>0</v>
      </c>
      <c r="AV356" s="259">
        <v>0</v>
      </c>
      <c r="AW356" s="260">
        <f t="shared" si="96"/>
        <v>0</v>
      </c>
      <c r="AX356" s="261">
        <v>0</v>
      </c>
      <c r="AY356" s="260">
        <f t="shared" si="97"/>
        <v>0</v>
      </c>
      <c r="AZ356" s="259">
        <v>0</v>
      </c>
      <c r="BA356" s="260">
        <f t="shared" si="98"/>
        <v>0</v>
      </c>
      <c r="BB356" s="259">
        <v>0</v>
      </c>
      <c r="BC356" s="260">
        <f t="shared" si="99"/>
        <v>0</v>
      </c>
      <c r="BD356" s="259">
        <v>0</v>
      </c>
      <c r="BE356" s="260">
        <f t="shared" si="100"/>
        <v>0</v>
      </c>
      <c r="BF356" s="259">
        <v>0</v>
      </c>
      <c r="BG356" s="260">
        <f t="shared" si="101"/>
        <v>0</v>
      </c>
      <c r="BH356" s="259">
        <v>0</v>
      </c>
      <c r="BI356" s="260">
        <f t="shared" si="91"/>
        <v>0</v>
      </c>
      <c r="BJ356" s="58"/>
      <c r="BK356" s="220"/>
      <c r="BL356" s="213" t="s">
        <v>763</v>
      </c>
      <c r="BM356" s="58" t="s">
        <v>561</v>
      </c>
    </row>
    <row r="357" spans="1:65" ht="15.75" customHeight="1">
      <c r="A357" s="213" t="s">
        <v>1437</v>
      </c>
      <c r="B357" s="58" t="s">
        <v>184</v>
      </c>
      <c r="C357" s="58" t="s">
        <v>752</v>
      </c>
      <c r="D357" s="214" t="s">
        <v>186</v>
      </c>
      <c r="E357" s="214" t="s">
        <v>186</v>
      </c>
      <c r="F357" s="215" t="s">
        <v>186</v>
      </c>
      <c r="G357" s="216">
        <v>2021</v>
      </c>
      <c r="H357" s="213" t="s">
        <v>801</v>
      </c>
      <c r="I357" s="213" t="s">
        <v>196</v>
      </c>
      <c r="J357" s="217" t="s">
        <v>890</v>
      </c>
      <c r="K357" s="213" t="s">
        <v>283</v>
      </c>
      <c r="L357" s="213" t="s">
        <v>869</v>
      </c>
      <c r="M357" s="219" t="s">
        <v>1391</v>
      </c>
      <c r="N357" s="265">
        <v>4.47</v>
      </c>
      <c r="O357" s="265">
        <v>4.47</v>
      </c>
      <c r="P357" s="265">
        <v>4.47</v>
      </c>
      <c r="Q357" s="265">
        <v>4.47</v>
      </c>
      <c r="R357" s="265">
        <v>4.47</v>
      </c>
      <c r="S357" s="265">
        <v>4.47</v>
      </c>
      <c r="T357" s="265">
        <v>4.47</v>
      </c>
      <c r="U357" s="265">
        <v>4.47</v>
      </c>
      <c r="V357" s="265">
        <v>4.47</v>
      </c>
      <c r="W357" s="265">
        <v>4.47</v>
      </c>
      <c r="X357" s="265">
        <v>4.47</v>
      </c>
      <c r="Y357" s="265">
        <v>4.47</v>
      </c>
      <c r="Z357" s="265">
        <v>7.0000000000000007E-2</v>
      </c>
      <c r="AA357" s="265">
        <v>7.0000000000000007E-2</v>
      </c>
      <c r="AB357" s="265">
        <v>7.0000000000000007E-2</v>
      </c>
      <c r="AC357" s="265">
        <v>7.0000000000000007E-2</v>
      </c>
      <c r="AD357" s="265">
        <v>7.0000000000000007E-2</v>
      </c>
      <c r="AE357" s="265">
        <v>7.0000000000000007E-2</v>
      </c>
      <c r="AF357" s="265">
        <v>7.0000000000000007E-2</v>
      </c>
      <c r="AG357" s="265">
        <v>7.0000000000000007E-2</v>
      </c>
      <c r="AH357" s="265">
        <v>7.0000000000000007E-2</v>
      </c>
      <c r="AI357" s="265">
        <v>7.0000000000000007E-2</v>
      </c>
      <c r="AJ357" s="265">
        <v>7.0000000000000007E-2</v>
      </c>
      <c r="AK357" s="265">
        <v>7.0000000000000007E-2</v>
      </c>
      <c r="AL357" s="266">
        <v>0</v>
      </c>
      <c r="AM357" s="265">
        <f t="shared" si="92"/>
        <v>0</v>
      </c>
      <c r="AN357" s="266" t="s">
        <v>573</v>
      </c>
      <c r="AO357" s="265">
        <f t="shared" si="90"/>
        <v>0</v>
      </c>
      <c r="AP357" s="266">
        <v>0</v>
      </c>
      <c r="AQ357" s="265">
        <f t="shared" si="93"/>
        <v>0</v>
      </c>
      <c r="AR357" s="266">
        <v>0</v>
      </c>
      <c r="AS357" s="262">
        <f t="shared" si="94"/>
        <v>0</v>
      </c>
      <c r="AT357" s="266">
        <v>0</v>
      </c>
      <c r="AU357" s="260">
        <f t="shared" si="95"/>
        <v>0</v>
      </c>
      <c r="AV357" s="259">
        <v>0</v>
      </c>
      <c r="AW357" s="260">
        <f t="shared" si="96"/>
        <v>0</v>
      </c>
      <c r="AX357" s="261" t="s">
        <v>573</v>
      </c>
      <c r="AY357" s="260">
        <f t="shared" si="97"/>
        <v>0</v>
      </c>
      <c r="AZ357" s="259" t="s">
        <v>573</v>
      </c>
      <c r="BA357" s="260">
        <f t="shared" si="98"/>
        <v>0</v>
      </c>
      <c r="BB357" s="259" t="s">
        <v>573</v>
      </c>
      <c r="BC357" s="260">
        <f t="shared" si="99"/>
        <v>0</v>
      </c>
      <c r="BD357" s="259" t="s">
        <v>573</v>
      </c>
      <c r="BE357" s="260">
        <f t="shared" si="100"/>
        <v>0</v>
      </c>
      <c r="BF357" s="259" t="s">
        <v>573</v>
      </c>
      <c r="BG357" s="260">
        <f t="shared" si="101"/>
        <v>0</v>
      </c>
      <c r="BH357" s="259" t="s">
        <v>573</v>
      </c>
      <c r="BI357" s="260">
        <f t="shared" si="91"/>
        <v>0</v>
      </c>
      <c r="BJ357" s="58"/>
      <c r="BK357" s="220"/>
      <c r="BL357" s="213" t="s">
        <v>197</v>
      </c>
      <c r="BM357" s="58" t="s">
        <v>1488</v>
      </c>
    </row>
    <row r="358" spans="1:65" ht="15.75" customHeight="1">
      <c r="A358" s="213" t="s">
        <v>1437</v>
      </c>
      <c r="B358" s="58" t="s">
        <v>184</v>
      </c>
      <c r="C358" s="58" t="s">
        <v>752</v>
      </c>
      <c r="D358" s="214" t="s">
        <v>186</v>
      </c>
      <c r="E358" s="214" t="s">
        <v>186</v>
      </c>
      <c r="F358" s="215" t="s">
        <v>186</v>
      </c>
      <c r="G358" s="216">
        <v>2021</v>
      </c>
      <c r="H358" s="213" t="s">
        <v>801</v>
      </c>
      <c r="I358" s="213" t="s">
        <v>196</v>
      </c>
      <c r="J358" s="217" t="s">
        <v>890</v>
      </c>
      <c r="K358" s="213" t="s">
        <v>283</v>
      </c>
      <c r="L358" s="213" t="s">
        <v>869</v>
      </c>
      <c r="M358" s="219" t="s">
        <v>1389</v>
      </c>
      <c r="N358" s="265">
        <v>4.41</v>
      </c>
      <c r="O358" s="265">
        <v>4.41</v>
      </c>
      <c r="P358" s="265">
        <v>4.41</v>
      </c>
      <c r="Q358" s="265">
        <v>4.41</v>
      </c>
      <c r="R358" s="265">
        <v>4.41</v>
      </c>
      <c r="S358" s="265">
        <v>4.41</v>
      </c>
      <c r="T358" s="265">
        <v>4.41</v>
      </c>
      <c r="U358" s="265">
        <v>4.41</v>
      </c>
      <c r="V358" s="265">
        <v>4.41</v>
      </c>
      <c r="W358" s="265">
        <v>4.41</v>
      </c>
      <c r="X358" s="265">
        <v>4.41</v>
      </c>
      <c r="Y358" s="265">
        <v>4.41</v>
      </c>
      <c r="Z358" s="265">
        <v>7.0000000000000007E-2</v>
      </c>
      <c r="AA358" s="265">
        <v>7.0000000000000007E-2</v>
      </c>
      <c r="AB358" s="265">
        <v>7.0000000000000007E-2</v>
      </c>
      <c r="AC358" s="265">
        <v>7.0000000000000007E-2</v>
      </c>
      <c r="AD358" s="265">
        <v>7.0000000000000007E-2</v>
      </c>
      <c r="AE358" s="265">
        <v>7.0000000000000007E-2</v>
      </c>
      <c r="AF358" s="265">
        <v>7.0000000000000007E-2</v>
      </c>
      <c r="AG358" s="265">
        <v>7.0000000000000007E-2</v>
      </c>
      <c r="AH358" s="265">
        <v>7.0000000000000007E-2</v>
      </c>
      <c r="AI358" s="265">
        <v>7.0000000000000007E-2</v>
      </c>
      <c r="AJ358" s="265">
        <v>7.0000000000000007E-2</v>
      </c>
      <c r="AK358" s="265">
        <v>7.0000000000000007E-2</v>
      </c>
      <c r="AL358" s="266">
        <v>0</v>
      </c>
      <c r="AM358" s="265">
        <f t="shared" si="92"/>
        <v>0</v>
      </c>
      <c r="AN358" s="266" t="s">
        <v>573</v>
      </c>
      <c r="AO358" s="265">
        <f t="shared" si="90"/>
        <v>0</v>
      </c>
      <c r="AP358" s="266">
        <v>0</v>
      </c>
      <c r="AQ358" s="265">
        <f t="shared" si="93"/>
        <v>0</v>
      </c>
      <c r="AR358" s="266">
        <v>0</v>
      </c>
      <c r="AS358" s="262">
        <f t="shared" si="94"/>
        <v>0</v>
      </c>
      <c r="AT358" s="266">
        <v>0</v>
      </c>
      <c r="AU358" s="260">
        <f t="shared" si="95"/>
        <v>0</v>
      </c>
      <c r="AV358" s="259">
        <v>0</v>
      </c>
      <c r="AW358" s="260">
        <f t="shared" si="96"/>
        <v>0</v>
      </c>
      <c r="AX358" s="261">
        <v>0</v>
      </c>
      <c r="AY358" s="260">
        <f t="shared" si="97"/>
        <v>0</v>
      </c>
      <c r="AZ358" s="259">
        <v>0</v>
      </c>
      <c r="BA358" s="260">
        <f t="shared" si="98"/>
        <v>0</v>
      </c>
      <c r="BB358" s="259">
        <v>0</v>
      </c>
      <c r="BC358" s="260">
        <f t="shared" si="99"/>
        <v>0</v>
      </c>
      <c r="BD358" s="259">
        <v>0</v>
      </c>
      <c r="BE358" s="260">
        <f t="shared" si="100"/>
        <v>0</v>
      </c>
      <c r="BF358" s="259">
        <v>0</v>
      </c>
      <c r="BG358" s="260">
        <f t="shared" si="101"/>
        <v>0</v>
      </c>
      <c r="BH358" s="259">
        <v>0</v>
      </c>
      <c r="BI358" s="260">
        <f t="shared" si="91"/>
        <v>0</v>
      </c>
      <c r="BJ358" s="58"/>
      <c r="BK358" s="220"/>
      <c r="BL358" s="213" t="s">
        <v>763</v>
      </c>
      <c r="BM358" s="58" t="s">
        <v>564</v>
      </c>
    </row>
    <row r="359" spans="1:65" ht="15.75" customHeight="1">
      <c r="A359" s="213" t="s">
        <v>1437</v>
      </c>
      <c r="B359" s="58" t="s">
        <v>184</v>
      </c>
      <c r="C359" s="58" t="s">
        <v>752</v>
      </c>
      <c r="D359" s="214" t="s">
        <v>186</v>
      </c>
      <c r="E359" s="214" t="s">
        <v>186</v>
      </c>
      <c r="F359" s="215" t="s">
        <v>186</v>
      </c>
      <c r="G359" s="216">
        <v>2022</v>
      </c>
      <c r="H359" s="213" t="s">
        <v>801</v>
      </c>
      <c r="I359" s="218" t="s">
        <v>196</v>
      </c>
      <c r="J359" s="217" t="s">
        <v>890</v>
      </c>
      <c r="K359" s="213" t="s">
        <v>235</v>
      </c>
      <c r="L359" s="213" t="s">
        <v>869</v>
      </c>
      <c r="M359" s="219" t="s">
        <v>1389</v>
      </c>
      <c r="N359" s="265">
        <v>4.3600000000000003</v>
      </c>
      <c r="O359" s="265">
        <v>4.3600000000000003</v>
      </c>
      <c r="P359" s="265">
        <v>4.3600000000000003</v>
      </c>
      <c r="Q359" s="265">
        <v>4.3600000000000003</v>
      </c>
      <c r="R359" s="265">
        <v>4.3600000000000003</v>
      </c>
      <c r="S359" s="265">
        <v>4.3600000000000003</v>
      </c>
      <c r="T359" s="265">
        <v>4.3600000000000003</v>
      </c>
      <c r="U359" s="265">
        <v>4.3600000000000003</v>
      </c>
      <c r="V359" s="265">
        <v>4.3600000000000003</v>
      </c>
      <c r="W359" s="265">
        <v>4.3600000000000003</v>
      </c>
      <c r="X359" s="265">
        <v>4.3600000000000003</v>
      </c>
      <c r="Y359" s="265">
        <v>4.3600000000000003</v>
      </c>
      <c r="Z359" s="265">
        <v>7.0000000000000007E-2</v>
      </c>
      <c r="AA359" s="265">
        <v>7.0000000000000007E-2</v>
      </c>
      <c r="AB359" s="265">
        <v>7.0000000000000007E-2</v>
      </c>
      <c r="AC359" s="265">
        <v>7.0000000000000007E-2</v>
      </c>
      <c r="AD359" s="265">
        <v>7.0000000000000007E-2</v>
      </c>
      <c r="AE359" s="265">
        <v>7.0000000000000007E-2</v>
      </c>
      <c r="AF359" s="265">
        <v>7.0000000000000007E-2</v>
      </c>
      <c r="AG359" s="265">
        <v>7.0000000000000007E-2</v>
      </c>
      <c r="AH359" s="265">
        <v>7.0000000000000007E-2</v>
      </c>
      <c r="AI359" s="265">
        <v>7.0000000000000007E-2</v>
      </c>
      <c r="AJ359" s="265">
        <v>7.0000000000000007E-2</v>
      </c>
      <c r="AK359" s="265">
        <v>7.0000000000000007E-2</v>
      </c>
      <c r="AL359" s="266">
        <v>0</v>
      </c>
      <c r="AM359" s="265">
        <f t="shared" si="92"/>
        <v>0</v>
      </c>
      <c r="AN359" s="266" t="s">
        <v>573</v>
      </c>
      <c r="AO359" s="265">
        <f t="shared" si="90"/>
        <v>0</v>
      </c>
      <c r="AP359" s="266">
        <v>0</v>
      </c>
      <c r="AQ359" s="265">
        <f t="shared" si="93"/>
        <v>0</v>
      </c>
      <c r="AR359" s="266">
        <v>0</v>
      </c>
      <c r="AS359" s="262">
        <f t="shared" si="94"/>
        <v>0</v>
      </c>
      <c r="AT359" s="266">
        <v>0</v>
      </c>
      <c r="AU359" s="260">
        <f t="shared" si="95"/>
        <v>0</v>
      </c>
      <c r="AV359" s="259">
        <v>0</v>
      </c>
      <c r="AW359" s="260">
        <f t="shared" si="96"/>
        <v>0</v>
      </c>
      <c r="AX359" s="261">
        <v>0</v>
      </c>
      <c r="AY359" s="260">
        <f t="shared" si="97"/>
        <v>0</v>
      </c>
      <c r="AZ359" s="259">
        <v>0</v>
      </c>
      <c r="BA359" s="260">
        <f t="shared" si="98"/>
        <v>0</v>
      </c>
      <c r="BB359" s="259">
        <v>0</v>
      </c>
      <c r="BC359" s="260">
        <f t="shared" si="99"/>
        <v>0</v>
      </c>
      <c r="BD359" s="259">
        <v>0</v>
      </c>
      <c r="BE359" s="260">
        <f t="shared" si="100"/>
        <v>0</v>
      </c>
      <c r="BF359" s="259">
        <v>0</v>
      </c>
      <c r="BG359" s="260">
        <f t="shared" si="101"/>
        <v>0</v>
      </c>
      <c r="BH359" s="259">
        <v>0</v>
      </c>
      <c r="BI359" s="260">
        <f t="shared" si="91"/>
        <v>0</v>
      </c>
      <c r="BJ359" s="58"/>
      <c r="BK359" s="220"/>
      <c r="BL359" s="213" t="s">
        <v>763</v>
      </c>
      <c r="BM359" s="58" t="s">
        <v>619</v>
      </c>
    </row>
    <row r="360" spans="1:65" ht="15.75" customHeight="1">
      <c r="A360" s="213" t="s">
        <v>1437</v>
      </c>
      <c r="B360" s="58" t="s">
        <v>199</v>
      </c>
      <c r="C360" s="58" t="s">
        <v>752</v>
      </c>
      <c r="D360" s="214" t="s">
        <v>186</v>
      </c>
      <c r="E360" s="214" t="s">
        <v>186</v>
      </c>
      <c r="F360" s="215" t="s">
        <v>186</v>
      </c>
      <c r="G360" s="216">
        <v>2020</v>
      </c>
      <c r="H360" s="218" t="s">
        <v>200</v>
      </c>
      <c r="I360" s="218" t="s">
        <v>201</v>
      </c>
      <c r="J360" s="217" t="s">
        <v>890</v>
      </c>
      <c r="K360" s="213" t="s">
        <v>753</v>
      </c>
      <c r="L360" s="213" t="s">
        <v>869</v>
      </c>
      <c r="M360" s="219" t="s">
        <v>1391</v>
      </c>
      <c r="N360" s="265">
        <v>8.85</v>
      </c>
      <c r="O360" s="265">
        <v>8.85</v>
      </c>
      <c r="P360" s="265">
        <v>8.85</v>
      </c>
      <c r="Q360" s="265">
        <v>8.85</v>
      </c>
      <c r="R360" s="265">
        <v>8.85</v>
      </c>
      <c r="S360" s="265">
        <v>8.85</v>
      </c>
      <c r="T360" s="265">
        <v>8.85</v>
      </c>
      <c r="U360" s="265">
        <v>8.85</v>
      </c>
      <c r="V360" s="265">
        <v>8.85</v>
      </c>
      <c r="W360" s="265">
        <v>8.85</v>
      </c>
      <c r="X360" s="265">
        <v>8.85</v>
      </c>
      <c r="Y360" s="265">
        <v>8.85</v>
      </c>
      <c r="Z360" s="265">
        <v>0.18</v>
      </c>
      <c r="AA360" s="265">
        <v>0.18</v>
      </c>
      <c r="AB360" s="265">
        <v>0.18</v>
      </c>
      <c r="AC360" s="265">
        <v>0.18</v>
      </c>
      <c r="AD360" s="265">
        <v>0.18</v>
      </c>
      <c r="AE360" s="265">
        <v>0.18</v>
      </c>
      <c r="AF360" s="265">
        <v>0.18</v>
      </c>
      <c r="AG360" s="265">
        <v>0.18</v>
      </c>
      <c r="AH360" s="265">
        <v>0.18</v>
      </c>
      <c r="AI360" s="265">
        <v>0.18</v>
      </c>
      <c r="AJ360" s="265">
        <v>0.18</v>
      </c>
      <c r="AK360" s="265">
        <v>0.18</v>
      </c>
      <c r="AL360" s="266">
        <v>0</v>
      </c>
      <c r="AM360" s="265">
        <f t="shared" si="92"/>
        <v>0</v>
      </c>
      <c r="AN360" s="266" t="s">
        <v>573</v>
      </c>
      <c r="AO360" s="265">
        <f t="shared" si="90"/>
        <v>0</v>
      </c>
      <c r="AP360" s="266">
        <v>0</v>
      </c>
      <c r="AQ360" s="265">
        <f t="shared" si="93"/>
        <v>0</v>
      </c>
      <c r="AR360" s="266">
        <v>0</v>
      </c>
      <c r="AS360" s="262">
        <f t="shared" si="94"/>
        <v>0</v>
      </c>
      <c r="AT360" s="266">
        <v>0</v>
      </c>
      <c r="AU360" s="260">
        <f t="shared" si="95"/>
        <v>0</v>
      </c>
      <c r="AV360" s="259">
        <v>0</v>
      </c>
      <c r="AW360" s="260">
        <f t="shared" si="96"/>
        <v>0</v>
      </c>
      <c r="AX360" s="261">
        <v>0</v>
      </c>
      <c r="AY360" s="260">
        <f t="shared" si="97"/>
        <v>0</v>
      </c>
      <c r="AZ360" s="259">
        <v>0</v>
      </c>
      <c r="BA360" s="260">
        <f t="shared" si="98"/>
        <v>0</v>
      </c>
      <c r="BB360" s="259">
        <v>0</v>
      </c>
      <c r="BC360" s="260">
        <f t="shared" si="99"/>
        <v>0</v>
      </c>
      <c r="BD360" s="259">
        <v>0</v>
      </c>
      <c r="BE360" s="260">
        <f t="shared" si="100"/>
        <v>0</v>
      </c>
      <c r="BF360" s="259">
        <v>0</v>
      </c>
      <c r="BG360" s="260">
        <f t="shared" si="101"/>
        <v>0</v>
      </c>
      <c r="BH360" s="259">
        <v>0</v>
      </c>
      <c r="BI360" s="260">
        <f t="shared" si="91"/>
        <v>0</v>
      </c>
      <c r="BJ360" s="58"/>
      <c r="BK360" s="220"/>
      <c r="BL360" s="213" t="s">
        <v>197</v>
      </c>
      <c r="BM360" s="58" t="s">
        <v>19</v>
      </c>
    </row>
    <row r="361" spans="1:65" ht="15.75" customHeight="1">
      <c r="A361" s="213" t="s">
        <v>1437</v>
      </c>
      <c r="B361" s="58" t="s">
        <v>199</v>
      </c>
      <c r="C361" s="58" t="s">
        <v>752</v>
      </c>
      <c r="D361" s="214" t="s">
        <v>186</v>
      </c>
      <c r="E361" s="214" t="s">
        <v>186</v>
      </c>
      <c r="F361" s="215" t="s">
        <v>186</v>
      </c>
      <c r="G361" s="216">
        <v>2020</v>
      </c>
      <c r="H361" s="218" t="s">
        <v>200</v>
      </c>
      <c r="I361" s="218" t="s">
        <v>201</v>
      </c>
      <c r="J361" s="217" t="s">
        <v>890</v>
      </c>
      <c r="K361" s="213" t="s">
        <v>753</v>
      </c>
      <c r="L361" s="213" t="s">
        <v>869</v>
      </c>
      <c r="M361" s="219" t="s">
        <v>1398</v>
      </c>
      <c r="N361" s="265">
        <v>8.86</v>
      </c>
      <c r="O361" s="265">
        <v>8.86</v>
      </c>
      <c r="P361" s="265">
        <v>8.86</v>
      </c>
      <c r="Q361" s="265">
        <v>8.86</v>
      </c>
      <c r="R361" s="265">
        <v>8.86</v>
      </c>
      <c r="S361" s="265">
        <v>8.86</v>
      </c>
      <c r="T361" s="265">
        <v>8.86</v>
      </c>
      <c r="U361" s="265">
        <v>8.86</v>
      </c>
      <c r="V361" s="265">
        <v>8.86</v>
      </c>
      <c r="W361" s="265">
        <v>8.86</v>
      </c>
      <c r="X361" s="265">
        <v>8.86</v>
      </c>
      <c r="Y361" s="265">
        <v>8.86</v>
      </c>
      <c r="Z361" s="265">
        <v>0.18</v>
      </c>
      <c r="AA361" s="265">
        <v>0.18</v>
      </c>
      <c r="AB361" s="265">
        <v>0.18</v>
      </c>
      <c r="AC361" s="265">
        <v>0.18</v>
      </c>
      <c r="AD361" s="265">
        <v>0.18</v>
      </c>
      <c r="AE361" s="265">
        <v>0.18</v>
      </c>
      <c r="AF361" s="265">
        <v>0.18</v>
      </c>
      <c r="AG361" s="265">
        <v>0.18</v>
      </c>
      <c r="AH361" s="265">
        <v>0.18</v>
      </c>
      <c r="AI361" s="265">
        <v>0.18</v>
      </c>
      <c r="AJ361" s="265">
        <v>0.18</v>
      </c>
      <c r="AK361" s="265">
        <v>0.18</v>
      </c>
      <c r="AL361" s="266">
        <v>0</v>
      </c>
      <c r="AM361" s="265">
        <f t="shared" si="92"/>
        <v>0</v>
      </c>
      <c r="AN361" s="266" t="s">
        <v>573</v>
      </c>
      <c r="AO361" s="265">
        <f t="shared" si="90"/>
        <v>0</v>
      </c>
      <c r="AP361" s="266">
        <v>0</v>
      </c>
      <c r="AQ361" s="265">
        <f t="shared" si="93"/>
        <v>0</v>
      </c>
      <c r="AR361" s="266">
        <v>0</v>
      </c>
      <c r="AS361" s="262">
        <f t="shared" si="94"/>
        <v>0</v>
      </c>
      <c r="AT361" s="266">
        <v>0</v>
      </c>
      <c r="AU361" s="260">
        <f t="shared" si="95"/>
        <v>0</v>
      </c>
      <c r="AV361" s="259">
        <v>7040</v>
      </c>
      <c r="AW361" s="260">
        <f t="shared" si="96"/>
        <v>1267.2</v>
      </c>
      <c r="AX361" s="261">
        <v>0</v>
      </c>
      <c r="AY361" s="260">
        <f t="shared" si="97"/>
        <v>0</v>
      </c>
      <c r="AZ361" s="259">
        <v>0</v>
      </c>
      <c r="BA361" s="260">
        <f t="shared" si="98"/>
        <v>0</v>
      </c>
      <c r="BB361" s="259">
        <v>0</v>
      </c>
      <c r="BC361" s="260">
        <f t="shared" si="99"/>
        <v>0</v>
      </c>
      <c r="BD361" s="259">
        <v>0</v>
      </c>
      <c r="BE361" s="260">
        <f t="shared" si="100"/>
        <v>0</v>
      </c>
      <c r="BF361" s="259">
        <v>0</v>
      </c>
      <c r="BG361" s="260">
        <f t="shared" si="101"/>
        <v>0</v>
      </c>
      <c r="BH361" s="259">
        <v>0</v>
      </c>
      <c r="BI361" s="260">
        <f t="shared" si="91"/>
        <v>0</v>
      </c>
      <c r="BJ361" s="58"/>
      <c r="BK361" s="220"/>
      <c r="BL361" s="213" t="s">
        <v>197</v>
      </c>
      <c r="BM361" s="213" t="s">
        <v>14</v>
      </c>
    </row>
    <row r="362" spans="1:65" ht="15.75" customHeight="1">
      <c r="A362" s="213" t="s">
        <v>1437</v>
      </c>
      <c r="B362" s="58" t="s">
        <v>199</v>
      </c>
      <c r="C362" s="58" t="s">
        <v>752</v>
      </c>
      <c r="D362" s="214" t="s">
        <v>186</v>
      </c>
      <c r="E362" s="214" t="s">
        <v>186</v>
      </c>
      <c r="F362" s="215" t="s">
        <v>186</v>
      </c>
      <c r="G362" s="216">
        <v>2020</v>
      </c>
      <c r="H362" s="218" t="s">
        <v>208</v>
      </c>
      <c r="I362" s="218" t="s">
        <v>201</v>
      </c>
      <c r="J362" s="217" t="s">
        <v>890</v>
      </c>
      <c r="K362" s="213" t="s">
        <v>755</v>
      </c>
      <c r="L362" s="213" t="s">
        <v>869</v>
      </c>
      <c r="M362" s="219" t="s">
        <v>1391</v>
      </c>
      <c r="N362" s="265">
        <v>10.77</v>
      </c>
      <c r="O362" s="265">
        <v>10.77</v>
      </c>
      <c r="P362" s="265">
        <v>10.77</v>
      </c>
      <c r="Q362" s="265">
        <v>10.77</v>
      </c>
      <c r="R362" s="265">
        <v>10.77</v>
      </c>
      <c r="S362" s="265">
        <v>10.77</v>
      </c>
      <c r="T362" s="265">
        <v>10.77</v>
      </c>
      <c r="U362" s="265">
        <v>10.77</v>
      </c>
      <c r="V362" s="265">
        <v>10.77</v>
      </c>
      <c r="W362" s="265">
        <v>10.77</v>
      </c>
      <c r="X362" s="265">
        <v>10.77</v>
      </c>
      <c r="Y362" s="265">
        <v>10.77</v>
      </c>
      <c r="Z362" s="265">
        <v>0.21</v>
      </c>
      <c r="AA362" s="265">
        <v>0.21</v>
      </c>
      <c r="AB362" s="265">
        <v>0.21</v>
      </c>
      <c r="AC362" s="265">
        <v>0.21</v>
      </c>
      <c r="AD362" s="265">
        <v>0.21</v>
      </c>
      <c r="AE362" s="265">
        <v>0.21</v>
      </c>
      <c r="AF362" s="265">
        <v>0.21</v>
      </c>
      <c r="AG362" s="265">
        <v>0.21</v>
      </c>
      <c r="AH362" s="265">
        <v>0.21</v>
      </c>
      <c r="AI362" s="265">
        <v>0.21</v>
      </c>
      <c r="AJ362" s="265">
        <v>0.21</v>
      </c>
      <c r="AK362" s="265">
        <v>0.21</v>
      </c>
      <c r="AL362" s="266">
        <v>0</v>
      </c>
      <c r="AM362" s="265">
        <f t="shared" si="92"/>
        <v>0</v>
      </c>
      <c r="AN362" s="266" t="s">
        <v>573</v>
      </c>
      <c r="AO362" s="265">
        <f t="shared" si="90"/>
        <v>0</v>
      </c>
      <c r="AP362" s="266">
        <v>0</v>
      </c>
      <c r="AQ362" s="265">
        <f t="shared" si="93"/>
        <v>0</v>
      </c>
      <c r="AR362" s="266">
        <v>0</v>
      </c>
      <c r="AS362" s="262">
        <f t="shared" si="94"/>
        <v>0</v>
      </c>
      <c r="AT362" s="266">
        <v>0</v>
      </c>
      <c r="AU362" s="260">
        <f t="shared" si="95"/>
        <v>0</v>
      </c>
      <c r="AV362" s="259">
        <v>0</v>
      </c>
      <c r="AW362" s="260">
        <f t="shared" si="96"/>
        <v>0</v>
      </c>
      <c r="AX362" s="261" t="s">
        <v>573</v>
      </c>
      <c r="AY362" s="260">
        <f t="shared" si="97"/>
        <v>0</v>
      </c>
      <c r="AZ362" s="259" t="s">
        <v>573</v>
      </c>
      <c r="BA362" s="260">
        <f t="shared" si="98"/>
        <v>0</v>
      </c>
      <c r="BB362" s="259" t="s">
        <v>573</v>
      </c>
      <c r="BC362" s="260">
        <f t="shared" si="99"/>
        <v>0</v>
      </c>
      <c r="BD362" s="259" t="s">
        <v>573</v>
      </c>
      <c r="BE362" s="260">
        <f t="shared" si="100"/>
        <v>0</v>
      </c>
      <c r="BF362" s="259" t="s">
        <v>573</v>
      </c>
      <c r="BG362" s="260">
        <f t="shared" si="101"/>
        <v>0</v>
      </c>
      <c r="BH362" s="259" t="s">
        <v>573</v>
      </c>
      <c r="BI362" s="260">
        <f t="shared" si="91"/>
        <v>0</v>
      </c>
      <c r="BJ362" s="58"/>
      <c r="BK362" s="220"/>
      <c r="BL362" s="213" t="s">
        <v>807</v>
      </c>
      <c r="BM362" s="58" t="s">
        <v>1504</v>
      </c>
    </row>
    <row r="363" spans="1:65" ht="15.75" customHeight="1">
      <c r="A363" s="213" t="s">
        <v>1437</v>
      </c>
      <c r="B363" s="58" t="s">
        <v>199</v>
      </c>
      <c r="C363" s="58" t="s">
        <v>752</v>
      </c>
      <c r="D363" s="214" t="s">
        <v>186</v>
      </c>
      <c r="E363" s="214" t="s">
        <v>186</v>
      </c>
      <c r="F363" s="215" t="s">
        <v>186</v>
      </c>
      <c r="G363" s="216">
        <v>2021</v>
      </c>
      <c r="H363" s="218" t="s">
        <v>211</v>
      </c>
      <c r="I363" s="218" t="s">
        <v>212</v>
      </c>
      <c r="J363" s="217" t="s">
        <v>890</v>
      </c>
      <c r="K363" s="213" t="s">
        <v>753</v>
      </c>
      <c r="L363" s="213" t="s">
        <v>869</v>
      </c>
      <c r="M363" s="219" t="s">
        <v>1391</v>
      </c>
      <c r="N363" s="265">
        <v>7.42</v>
      </c>
      <c r="O363" s="265">
        <v>7.42</v>
      </c>
      <c r="P363" s="265">
        <v>7.42</v>
      </c>
      <c r="Q363" s="265">
        <v>7.42</v>
      </c>
      <c r="R363" s="265">
        <v>7.42</v>
      </c>
      <c r="S363" s="265">
        <v>7.42</v>
      </c>
      <c r="T363" s="265">
        <v>7.42</v>
      </c>
      <c r="U363" s="265">
        <v>7.42</v>
      </c>
      <c r="V363" s="265">
        <v>7.42</v>
      </c>
      <c r="W363" s="265">
        <v>7.42</v>
      </c>
      <c r="X363" s="265">
        <v>7.42</v>
      </c>
      <c r="Y363" s="265">
        <v>7.42</v>
      </c>
      <c r="Z363" s="265">
        <v>0.15</v>
      </c>
      <c r="AA363" s="265">
        <v>0.15</v>
      </c>
      <c r="AB363" s="265">
        <v>0.15</v>
      </c>
      <c r="AC363" s="265">
        <v>0.15</v>
      </c>
      <c r="AD363" s="265">
        <v>0.15</v>
      </c>
      <c r="AE363" s="265">
        <v>0.15</v>
      </c>
      <c r="AF363" s="265">
        <v>0.15</v>
      </c>
      <c r="AG363" s="265">
        <v>0.15</v>
      </c>
      <c r="AH363" s="265">
        <v>0.15</v>
      </c>
      <c r="AI363" s="265">
        <v>0.15</v>
      </c>
      <c r="AJ363" s="265">
        <v>0.15</v>
      </c>
      <c r="AK363" s="265">
        <v>0.15</v>
      </c>
      <c r="AL363" s="266">
        <v>0</v>
      </c>
      <c r="AM363" s="265">
        <f t="shared" si="92"/>
        <v>0</v>
      </c>
      <c r="AN363" s="266" t="s">
        <v>573</v>
      </c>
      <c r="AO363" s="265">
        <f t="shared" si="90"/>
        <v>0</v>
      </c>
      <c r="AP363" s="266">
        <v>0</v>
      </c>
      <c r="AQ363" s="265">
        <f t="shared" si="93"/>
        <v>0</v>
      </c>
      <c r="AR363" s="266">
        <v>0</v>
      </c>
      <c r="AS363" s="262">
        <f t="shared" si="94"/>
        <v>0</v>
      </c>
      <c r="AT363" s="266">
        <v>0</v>
      </c>
      <c r="AU363" s="260">
        <f t="shared" si="95"/>
        <v>0</v>
      </c>
      <c r="AV363" s="259">
        <v>0</v>
      </c>
      <c r="AW363" s="260">
        <f t="shared" si="96"/>
        <v>0</v>
      </c>
      <c r="AX363" s="261" t="s">
        <v>573</v>
      </c>
      <c r="AY363" s="260">
        <f t="shared" si="97"/>
        <v>0</v>
      </c>
      <c r="AZ363" s="259" t="s">
        <v>573</v>
      </c>
      <c r="BA363" s="260">
        <f t="shared" si="98"/>
        <v>0</v>
      </c>
      <c r="BB363" s="259" t="s">
        <v>573</v>
      </c>
      <c r="BC363" s="260">
        <f t="shared" si="99"/>
        <v>0</v>
      </c>
      <c r="BD363" s="259" t="s">
        <v>573</v>
      </c>
      <c r="BE363" s="260">
        <f t="shared" si="100"/>
        <v>0</v>
      </c>
      <c r="BF363" s="259" t="s">
        <v>573</v>
      </c>
      <c r="BG363" s="260">
        <f t="shared" si="101"/>
        <v>0</v>
      </c>
      <c r="BH363" s="259">
        <v>0</v>
      </c>
      <c r="BI363" s="260">
        <f t="shared" si="91"/>
        <v>0</v>
      </c>
      <c r="BJ363" s="58"/>
      <c r="BK363" s="220"/>
      <c r="BL363" s="213" t="s">
        <v>197</v>
      </c>
      <c r="BM363" s="58" t="s">
        <v>544</v>
      </c>
    </row>
    <row r="364" spans="1:65" ht="15.75" customHeight="1">
      <c r="A364" s="213" t="s">
        <v>1437</v>
      </c>
      <c r="B364" s="58" t="s">
        <v>184</v>
      </c>
      <c r="C364" s="58" t="s">
        <v>752</v>
      </c>
      <c r="D364" s="214" t="s">
        <v>186</v>
      </c>
      <c r="E364" s="214" t="s">
        <v>186</v>
      </c>
      <c r="F364" s="215" t="s">
        <v>186</v>
      </c>
      <c r="G364" s="216">
        <v>2023</v>
      </c>
      <c r="H364" s="218" t="s">
        <v>800</v>
      </c>
      <c r="I364" s="218" t="s">
        <v>196</v>
      </c>
      <c r="J364" s="217" t="s">
        <v>890</v>
      </c>
      <c r="K364" s="213" t="s">
        <v>753</v>
      </c>
      <c r="L364" s="213" t="s">
        <v>192</v>
      </c>
      <c r="M364" s="219" t="s">
        <v>1408</v>
      </c>
      <c r="N364" s="265">
        <v>23.97</v>
      </c>
      <c r="O364" s="265">
        <v>23.97</v>
      </c>
      <c r="P364" s="265">
        <v>23.97</v>
      </c>
      <c r="Q364" s="265">
        <v>23.97</v>
      </c>
      <c r="R364" s="265">
        <v>23.97</v>
      </c>
      <c r="S364" s="265">
        <v>23.97</v>
      </c>
      <c r="T364" s="265">
        <v>23.97</v>
      </c>
      <c r="U364" s="265">
        <v>23.97</v>
      </c>
      <c r="V364" s="265">
        <v>23.97</v>
      </c>
      <c r="W364" s="265">
        <v>23.97</v>
      </c>
      <c r="X364" s="265">
        <v>23.97</v>
      </c>
      <c r="Y364" s="265">
        <v>23.97</v>
      </c>
      <c r="Z364" s="265">
        <v>0.83</v>
      </c>
      <c r="AA364" s="265">
        <v>0.83</v>
      </c>
      <c r="AB364" s="265">
        <v>0.83</v>
      </c>
      <c r="AC364" s="265">
        <v>0.83</v>
      </c>
      <c r="AD364" s="265">
        <v>0.83</v>
      </c>
      <c r="AE364" s="265">
        <v>0.83</v>
      </c>
      <c r="AF364" s="265">
        <v>0.83</v>
      </c>
      <c r="AG364" s="265">
        <v>0.83</v>
      </c>
      <c r="AH364" s="265">
        <v>0.83</v>
      </c>
      <c r="AI364" s="265">
        <v>0.83</v>
      </c>
      <c r="AJ364" s="265">
        <v>0.83</v>
      </c>
      <c r="AK364" s="265">
        <v>0.83</v>
      </c>
      <c r="AL364" s="266">
        <v>0</v>
      </c>
      <c r="AM364" s="265">
        <f t="shared" si="92"/>
        <v>0</v>
      </c>
      <c r="AN364" s="266" t="s">
        <v>573</v>
      </c>
      <c r="AO364" s="265">
        <f t="shared" si="90"/>
        <v>0</v>
      </c>
      <c r="AP364" s="266">
        <v>576</v>
      </c>
      <c r="AQ364" s="265">
        <f t="shared" si="93"/>
        <v>478.08</v>
      </c>
      <c r="AR364" s="266">
        <v>0</v>
      </c>
      <c r="AS364" s="262">
        <f t="shared" si="94"/>
        <v>0</v>
      </c>
      <c r="AT364" s="266">
        <v>0</v>
      </c>
      <c r="AU364" s="260">
        <f t="shared" si="95"/>
        <v>0</v>
      </c>
      <c r="AV364" s="259">
        <v>0</v>
      </c>
      <c r="AW364" s="260">
        <f t="shared" si="96"/>
        <v>0</v>
      </c>
      <c r="AX364" s="259">
        <v>0</v>
      </c>
      <c r="AY364" s="260">
        <f t="shared" si="97"/>
        <v>0</v>
      </c>
      <c r="AZ364" s="259">
        <v>0</v>
      </c>
      <c r="BA364" s="260">
        <f t="shared" si="98"/>
        <v>0</v>
      </c>
      <c r="BB364" s="259">
        <v>0</v>
      </c>
      <c r="BC364" s="260">
        <f t="shared" si="99"/>
        <v>0</v>
      </c>
      <c r="BD364" s="259">
        <v>0</v>
      </c>
      <c r="BE364" s="260">
        <f t="shared" si="100"/>
        <v>0</v>
      </c>
      <c r="BF364" s="259">
        <v>0</v>
      </c>
      <c r="BG364" s="260">
        <f t="shared" si="101"/>
        <v>0</v>
      </c>
      <c r="BH364" s="259">
        <v>0</v>
      </c>
      <c r="BI364" s="260">
        <f t="shared" si="91"/>
        <v>0</v>
      </c>
      <c r="BJ364" s="58"/>
      <c r="BK364" s="58"/>
      <c r="BL364" s="213" t="s">
        <v>1347</v>
      </c>
      <c r="BM364" s="58" t="s">
        <v>687</v>
      </c>
    </row>
    <row r="365" spans="1:65" ht="15.75" customHeight="1">
      <c r="A365" s="213" t="s">
        <v>1437</v>
      </c>
      <c r="B365" s="58" t="s">
        <v>1293</v>
      </c>
      <c r="C365" s="58" t="s">
        <v>752</v>
      </c>
      <c r="D365" s="214" t="s">
        <v>1477</v>
      </c>
      <c r="E365" s="214" t="s">
        <v>1478</v>
      </c>
      <c r="F365" s="215" t="s">
        <v>186</v>
      </c>
      <c r="G365" s="216">
        <v>2023</v>
      </c>
      <c r="H365" s="218" t="s">
        <v>825</v>
      </c>
      <c r="I365" s="217" t="s">
        <v>781</v>
      </c>
      <c r="J365" s="217" t="s">
        <v>890</v>
      </c>
      <c r="K365" s="213" t="s">
        <v>753</v>
      </c>
      <c r="L365" s="213" t="s">
        <v>192</v>
      </c>
      <c r="M365" s="219" t="s">
        <v>1407</v>
      </c>
      <c r="N365" s="265">
        <v>31.36</v>
      </c>
      <c r="O365" s="265">
        <v>31.36</v>
      </c>
      <c r="P365" s="265">
        <v>31.36</v>
      </c>
      <c r="Q365" s="265">
        <v>31.36</v>
      </c>
      <c r="R365" s="265">
        <v>31.36</v>
      </c>
      <c r="S365" s="265">
        <v>31.36</v>
      </c>
      <c r="T365" s="265">
        <v>31.36</v>
      </c>
      <c r="U365" s="265">
        <v>31.36</v>
      </c>
      <c r="V365" s="265">
        <v>31.36</v>
      </c>
      <c r="W365" s="265">
        <v>31.36</v>
      </c>
      <c r="X365" s="265">
        <v>31.36</v>
      </c>
      <c r="Y365" s="265">
        <v>31.36</v>
      </c>
      <c r="Z365" s="265">
        <v>0.01</v>
      </c>
      <c r="AA365" s="265">
        <v>0.01</v>
      </c>
      <c r="AB365" s="265">
        <v>0.01</v>
      </c>
      <c r="AC365" s="265">
        <v>0.01</v>
      </c>
      <c r="AD365" s="265">
        <v>0.01</v>
      </c>
      <c r="AE365" s="265">
        <v>0.01</v>
      </c>
      <c r="AF365" s="265">
        <v>0.01</v>
      </c>
      <c r="AG365" s="265">
        <v>0.01</v>
      </c>
      <c r="AH365" s="265">
        <v>0.01</v>
      </c>
      <c r="AI365" s="265">
        <v>0.01</v>
      </c>
      <c r="AJ365" s="265">
        <v>0.01</v>
      </c>
      <c r="AK365" s="265">
        <v>0.01</v>
      </c>
      <c r="AL365" s="266">
        <v>0</v>
      </c>
      <c r="AM365" s="265">
        <f t="shared" si="92"/>
        <v>0</v>
      </c>
      <c r="AN365" s="266">
        <v>0</v>
      </c>
      <c r="AO365" s="265">
        <f t="shared" si="90"/>
        <v>0</v>
      </c>
      <c r="AP365" s="266">
        <v>0</v>
      </c>
      <c r="AQ365" s="265">
        <f t="shared" si="93"/>
        <v>0</v>
      </c>
      <c r="AR365" s="266">
        <v>0</v>
      </c>
      <c r="AS365" s="262">
        <f t="shared" si="94"/>
        <v>0</v>
      </c>
      <c r="AT365" s="266">
        <v>360</v>
      </c>
      <c r="AU365" s="260">
        <f t="shared" si="95"/>
        <v>3.6</v>
      </c>
      <c r="AV365" s="259">
        <v>0</v>
      </c>
      <c r="AW365" s="260">
        <f t="shared" si="96"/>
        <v>0</v>
      </c>
      <c r="AX365" s="261" t="s">
        <v>573</v>
      </c>
      <c r="AY365" s="260">
        <f t="shared" si="97"/>
        <v>0</v>
      </c>
      <c r="AZ365" s="259" t="s">
        <v>573</v>
      </c>
      <c r="BA365" s="260">
        <f t="shared" si="98"/>
        <v>0</v>
      </c>
      <c r="BB365" s="259" t="s">
        <v>573</v>
      </c>
      <c r="BC365" s="260">
        <f t="shared" si="99"/>
        <v>0</v>
      </c>
      <c r="BD365" s="259" t="s">
        <v>573</v>
      </c>
      <c r="BE365" s="260">
        <f t="shared" si="100"/>
        <v>0</v>
      </c>
      <c r="BF365" s="259" t="s">
        <v>573</v>
      </c>
      <c r="BG365" s="260">
        <f t="shared" si="101"/>
        <v>0</v>
      </c>
      <c r="BH365" s="259">
        <v>0</v>
      </c>
      <c r="BI365" s="260">
        <f t="shared" si="91"/>
        <v>0</v>
      </c>
      <c r="BJ365" s="58"/>
      <c r="BK365" s="58"/>
      <c r="BL365" s="213" t="s">
        <v>1329</v>
      </c>
      <c r="BM365" s="58" t="s">
        <v>1479</v>
      </c>
    </row>
    <row r="366" spans="1:65" ht="15.75" customHeight="1">
      <c r="A366" s="213" t="s">
        <v>1437</v>
      </c>
      <c r="B366" s="58" t="s">
        <v>184</v>
      </c>
      <c r="C366" s="58" t="s">
        <v>752</v>
      </c>
      <c r="D366" s="214" t="s">
        <v>186</v>
      </c>
      <c r="E366" s="214" t="s">
        <v>186</v>
      </c>
      <c r="F366" s="215" t="s">
        <v>186</v>
      </c>
      <c r="G366" s="216">
        <v>2023</v>
      </c>
      <c r="H366" s="213" t="s">
        <v>328</v>
      </c>
      <c r="I366" s="218" t="s">
        <v>196</v>
      </c>
      <c r="J366" s="217" t="s">
        <v>890</v>
      </c>
      <c r="K366" s="240" t="s">
        <v>1515</v>
      </c>
      <c r="L366" s="213" t="s">
        <v>192</v>
      </c>
      <c r="M366" s="219" t="s">
        <v>1396</v>
      </c>
      <c r="N366" s="265">
        <v>6.57</v>
      </c>
      <c r="O366" s="265">
        <v>6.57</v>
      </c>
      <c r="P366" s="265">
        <v>6.57</v>
      </c>
      <c r="Q366" s="265">
        <v>6.57</v>
      </c>
      <c r="R366" s="265">
        <v>6.57</v>
      </c>
      <c r="S366" s="265">
        <v>6.57</v>
      </c>
      <c r="T366" s="265">
        <v>6.57</v>
      </c>
      <c r="U366" s="265">
        <v>6.57</v>
      </c>
      <c r="V366" s="265">
        <v>6.57</v>
      </c>
      <c r="W366" s="265">
        <v>6.57</v>
      </c>
      <c r="X366" s="265">
        <v>6.57</v>
      </c>
      <c r="Y366" s="265">
        <v>6.57</v>
      </c>
      <c r="Z366" s="265">
        <v>0.3</v>
      </c>
      <c r="AA366" s="265">
        <v>0.3</v>
      </c>
      <c r="AB366" s="265">
        <v>0.3</v>
      </c>
      <c r="AC366" s="265">
        <v>0.3</v>
      </c>
      <c r="AD366" s="265">
        <v>0.3</v>
      </c>
      <c r="AE366" s="265">
        <v>0.3</v>
      </c>
      <c r="AF366" s="265">
        <v>0.3</v>
      </c>
      <c r="AG366" s="265">
        <v>0.3</v>
      </c>
      <c r="AH366" s="265">
        <v>0.3</v>
      </c>
      <c r="AI366" s="265">
        <v>0.3</v>
      </c>
      <c r="AJ366" s="265">
        <v>0.3</v>
      </c>
      <c r="AK366" s="265">
        <v>0.3</v>
      </c>
      <c r="AL366" s="266">
        <v>0</v>
      </c>
      <c r="AM366" s="265">
        <f t="shared" si="92"/>
        <v>0</v>
      </c>
      <c r="AN366" s="266">
        <v>0</v>
      </c>
      <c r="AO366" s="265">
        <f t="shared" si="90"/>
        <v>0</v>
      </c>
      <c r="AP366" s="266">
        <v>0</v>
      </c>
      <c r="AQ366" s="265">
        <f t="shared" si="93"/>
        <v>0</v>
      </c>
      <c r="AR366" s="266">
        <v>0</v>
      </c>
      <c r="AS366" s="262">
        <f t="shared" si="94"/>
        <v>0</v>
      </c>
      <c r="AT366" s="266">
        <v>3000</v>
      </c>
      <c r="AU366" s="262">
        <f t="shared" si="95"/>
        <v>900</v>
      </c>
      <c r="AV366" s="259">
        <v>0</v>
      </c>
      <c r="AW366" s="260">
        <f t="shared" si="96"/>
        <v>0</v>
      </c>
      <c r="AX366" s="259">
        <v>0</v>
      </c>
      <c r="AY366" s="260">
        <f t="shared" si="97"/>
        <v>0</v>
      </c>
      <c r="AZ366" s="259">
        <v>0</v>
      </c>
      <c r="BA366" s="260">
        <f t="shared" si="98"/>
        <v>0</v>
      </c>
      <c r="BB366" s="259">
        <v>0</v>
      </c>
      <c r="BC366" s="260">
        <f t="shared" si="99"/>
        <v>0</v>
      </c>
      <c r="BD366" s="259">
        <v>0</v>
      </c>
      <c r="BE366" s="260">
        <f t="shared" si="100"/>
        <v>0</v>
      </c>
      <c r="BF366" s="259">
        <v>0</v>
      </c>
      <c r="BG366" s="260">
        <f t="shared" si="101"/>
        <v>0</v>
      </c>
      <c r="BH366" s="259">
        <v>0</v>
      </c>
      <c r="BI366" s="260">
        <f t="shared" si="91"/>
        <v>0</v>
      </c>
      <c r="BJ366" s="58"/>
      <c r="BK366" s="220"/>
      <c r="BL366" s="213" t="s">
        <v>1347</v>
      </c>
      <c r="BM366" s="213" t="s">
        <v>1511</v>
      </c>
    </row>
    <row r="367" spans="1:65" ht="15.75" customHeight="1">
      <c r="A367" s="213" t="s">
        <v>1437</v>
      </c>
      <c r="B367" s="58" t="s">
        <v>184</v>
      </c>
      <c r="C367" s="58" t="s">
        <v>752</v>
      </c>
      <c r="D367" s="214" t="s">
        <v>186</v>
      </c>
      <c r="E367" s="214" t="s">
        <v>186</v>
      </c>
      <c r="F367" s="215" t="s">
        <v>186</v>
      </c>
      <c r="G367" s="216">
        <v>2023</v>
      </c>
      <c r="H367" s="213" t="s">
        <v>328</v>
      </c>
      <c r="I367" s="218" t="s">
        <v>196</v>
      </c>
      <c r="J367" s="217" t="s">
        <v>890</v>
      </c>
      <c r="K367" s="240" t="s">
        <v>1516</v>
      </c>
      <c r="L367" s="213" t="s">
        <v>192</v>
      </c>
      <c r="M367" s="219" t="s">
        <v>1396</v>
      </c>
      <c r="N367" s="265">
        <v>6.57</v>
      </c>
      <c r="O367" s="265">
        <v>6.57</v>
      </c>
      <c r="P367" s="265">
        <v>6.57</v>
      </c>
      <c r="Q367" s="265">
        <v>6.57</v>
      </c>
      <c r="R367" s="265">
        <v>6.57</v>
      </c>
      <c r="S367" s="265">
        <v>6.57</v>
      </c>
      <c r="T367" s="265">
        <v>6.57</v>
      </c>
      <c r="U367" s="265">
        <v>6.57</v>
      </c>
      <c r="V367" s="265">
        <v>6.57</v>
      </c>
      <c r="W367" s="265">
        <v>6.57</v>
      </c>
      <c r="X367" s="265">
        <v>6.57</v>
      </c>
      <c r="Y367" s="265">
        <v>6.57</v>
      </c>
      <c r="Z367" s="265">
        <v>0.3</v>
      </c>
      <c r="AA367" s="265">
        <v>0.3</v>
      </c>
      <c r="AB367" s="265">
        <v>0.3</v>
      </c>
      <c r="AC367" s="265">
        <v>0.3</v>
      </c>
      <c r="AD367" s="265">
        <v>0.3</v>
      </c>
      <c r="AE367" s="265">
        <v>0.3</v>
      </c>
      <c r="AF367" s="265">
        <v>0.3</v>
      </c>
      <c r="AG367" s="265">
        <v>0.3</v>
      </c>
      <c r="AH367" s="265">
        <v>0.3</v>
      </c>
      <c r="AI367" s="265">
        <v>0.3</v>
      </c>
      <c r="AJ367" s="265">
        <v>0.3</v>
      </c>
      <c r="AK367" s="265">
        <v>0.3</v>
      </c>
      <c r="AL367" s="266">
        <v>0</v>
      </c>
      <c r="AM367" s="265">
        <f t="shared" si="92"/>
        <v>0</v>
      </c>
      <c r="AN367" s="266">
        <v>0</v>
      </c>
      <c r="AO367" s="265">
        <f t="shared" si="90"/>
        <v>0</v>
      </c>
      <c r="AP367" s="266">
        <v>0</v>
      </c>
      <c r="AQ367" s="265">
        <f t="shared" si="93"/>
        <v>0</v>
      </c>
      <c r="AR367" s="266">
        <v>0</v>
      </c>
      <c r="AS367" s="262">
        <f t="shared" si="94"/>
        <v>0</v>
      </c>
      <c r="AT367" s="266">
        <v>0</v>
      </c>
      <c r="AU367" s="260">
        <f t="shared" si="95"/>
        <v>0</v>
      </c>
      <c r="AV367" s="259">
        <v>6000</v>
      </c>
      <c r="AW367" s="260">
        <f t="shared" si="96"/>
        <v>1800</v>
      </c>
      <c r="AX367" s="259">
        <v>0</v>
      </c>
      <c r="AY367" s="260">
        <f t="shared" si="97"/>
        <v>0</v>
      </c>
      <c r="AZ367" s="259">
        <v>0</v>
      </c>
      <c r="BA367" s="260">
        <f t="shared" si="98"/>
        <v>0</v>
      </c>
      <c r="BB367" s="259">
        <v>0</v>
      </c>
      <c r="BC367" s="260">
        <f t="shared" si="99"/>
        <v>0</v>
      </c>
      <c r="BD367" s="259">
        <v>0</v>
      </c>
      <c r="BE367" s="260">
        <f t="shared" si="100"/>
        <v>0</v>
      </c>
      <c r="BF367" s="259">
        <v>0</v>
      </c>
      <c r="BG367" s="260">
        <f t="shared" si="101"/>
        <v>0</v>
      </c>
      <c r="BH367" s="259">
        <v>0</v>
      </c>
      <c r="BI367" s="260">
        <f t="shared" si="91"/>
        <v>0</v>
      </c>
      <c r="BJ367" s="58"/>
      <c r="BK367" s="220"/>
      <c r="BL367" s="213" t="s">
        <v>1347</v>
      </c>
      <c r="BM367" s="213" t="s">
        <v>1512</v>
      </c>
    </row>
    <row r="368" spans="1:65" ht="15.75" customHeight="1">
      <c r="A368" s="213" t="s">
        <v>1437</v>
      </c>
      <c r="B368" s="58" t="s">
        <v>184</v>
      </c>
      <c r="C368" s="58" t="s">
        <v>752</v>
      </c>
      <c r="D368" s="214" t="s">
        <v>186</v>
      </c>
      <c r="E368" s="214" t="s">
        <v>186</v>
      </c>
      <c r="F368" s="215" t="s">
        <v>186</v>
      </c>
      <c r="G368" s="216">
        <v>2023</v>
      </c>
      <c r="H368" s="213" t="s">
        <v>328</v>
      </c>
      <c r="I368" s="218" t="s">
        <v>196</v>
      </c>
      <c r="J368" s="217" t="s">
        <v>890</v>
      </c>
      <c r="K368" s="213" t="s">
        <v>1517</v>
      </c>
      <c r="L368" s="213" t="s">
        <v>192</v>
      </c>
      <c r="M368" s="219" t="s">
        <v>1396</v>
      </c>
      <c r="N368" s="265">
        <v>8.7799999999999994</v>
      </c>
      <c r="O368" s="265">
        <v>8.7799999999999994</v>
      </c>
      <c r="P368" s="265">
        <v>8.7799999999999994</v>
      </c>
      <c r="Q368" s="265">
        <v>8.7799999999999994</v>
      </c>
      <c r="R368" s="265">
        <v>8.7799999999999994</v>
      </c>
      <c r="S368" s="265">
        <v>8.7799999999999994</v>
      </c>
      <c r="T368" s="265">
        <v>8.7799999999999994</v>
      </c>
      <c r="U368" s="265">
        <v>8.7799999999999994</v>
      </c>
      <c r="V368" s="265">
        <v>8.7799999999999994</v>
      </c>
      <c r="W368" s="265">
        <v>8.7799999999999994</v>
      </c>
      <c r="X368" s="265">
        <v>8.7799999999999994</v>
      </c>
      <c r="Y368" s="265">
        <v>8.7799999999999994</v>
      </c>
      <c r="Z368" s="265">
        <v>0.3</v>
      </c>
      <c r="AA368" s="265">
        <v>0.3</v>
      </c>
      <c r="AB368" s="265">
        <v>0.3</v>
      </c>
      <c r="AC368" s="265">
        <v>0.3</v>
      </c>
      <c r="AD368" s="265">
        <v>0.3</v>
      </c>
      <c r="AE368" s="265">
        <v>0.3</v>
      </c>
      <c r="AF368" s="265">
        <v>0.3</v>
      </c>
      <c r="AG368" s="265">
        <v>0.3</v>
      </c>
      <c r="AH368" s="265">
        <v>0.3</v>
      </c>
      <c r="AI368" s="265">
        <v>0.3</v>
      </c>
      <c r="AJ368" s="265">
        <v>0.3</v>
      </c>
      <c r="AK368" s="265">
        <v>0.3</v>
      </c>
      <c r="AL368" s="266">
        <v>0</v>
      </c>
      <c r="AM368" s="265">
        <f t="shared" si="92"/>
        <v>0</v>
      </c>
      <c r="AN368" s="266">
        <v>0</v>
      </c>
      <c r="AO368" s="265">
        <f t="shared" si="90"/>
        <v>0</v>
      </c>
      <c r="AP368" s="266">
        <v>0</v>
      </c>
      <c r="AQ368" s="265">
        <f t="shared" si="93"/>
        <v>0</v>
      </c>
      <c r="AR368" s="266">
        <v>0</v>
      </c>
      <c r="AS368" s="262">
        <f t="shared" si="94"/>
        <v>0</v>
      </c>
      <c r="AT368" s="266">
        <v>0</v>
      </c>
      <c r="AU368" s="260">
        <f t="shared" si="95"/>
        <v>0</v>
      </c>
      <c r="AV368" s="259">
        <v>12000</v>
      </c>
      <c r="AW368" s="260">
        <f t="shared" si="96"/>
        <v>3600</v>
      </c>
      <c r="AX368" s="259">
        <v>0</v>
      </c>
      <c r="AY368" s="260">
        <f t="shared" si="97"/>
        <v>0</v>
      </c>
      <c r="AZ368" s="259">
        <v>0</v>
      </c>
      <c r="BA368" s="260">
        <f t="shared" si="98"/>
        <v>0</v>
      </c>
      <c r="BB368" s="259">
        <v>0</v>
      </c>
      <c r="BC368" s="260">
        <f t="shared" si="99"/>
        <v>0</v>
      </c>
      <c r="BD368" s="259">
        <v>0</v>
      </c>
      <c r="BE368" s="260">
        <f t="shared" si="100"/>
        <v>0</v>
      </c>
      <c r="BF368" s="259">
        <v>0</v>
      </c>
      <c r="BG368" s="260">
        <f t="shared" si="101"/>
        <v>0</v>
      </c>
      <c r="BH368" s="259">
        <v>0</v>
      </c>
      <c r="BI368" s="260">
        <f t="shared" si="91"/>
        <v>0</v>
      </c>
      <c r="BJ368" s="58"/>
      <c r="BK368" s="220"/>
      <c r="BL368" s="213" t="s">
        <v>1347</v>
      </c>
      <c r="BM368" s="213" t="s">
        <v>1513</v>
      </c>
    </row>
    <row r="369" spans="1:65" ht="15.75" customHeight="1">
      <c r="A369" s="213" t="s">
        <v>1437</v>
      </c>
      <c r="B369" s="58" t="s">
        <v>184</v>
      </c>
      <c r="C369" s="58" t="s">
        <v>752</v>
      </c>
      <c r="D369" s="214" t="s">
        <v>186</v>
      </c>
      <c r="E369" s="214" t="s">
        <v>186</v>
      </c>
      <c r="F369" s="215" t="s">
        <v>186</v>
      </c>
      <c r="G369" s="216">
        <v>2023</v>
      </c>
      <c r="H369" s="213" t="s">
        <v>328</v>
      </c>
      <c r="I369" s="218" t="s">
        <v>196</v>
      </c>
      <c r="J369" s="217" t="s">
        <v>890</v>
      </c>
      <c r="K369" s="213" t="s">
        <v>1518</v>
      </c>
      <c r="L369" s="213" t="s">
        <v>192</v>
      </c>
      <c r="M369" s="219" t="s">
        <v>1396</v>
      </c>
      <c r="N369" s="265">
        <v>8.7799999999999994</v>
      </c>
      <c r="O369" s="265">
        <v>8.7799999999999994</v>
      </c>
      <c r="P369" s="265">
        <v>8.7799999999999994</v>
      </c>
      <c r="Q369" s="265">
        <v>8.7799999999999994</v>
      </c>
      <c r="R369" s="265">
        <v>8.7799999999999994</v>
      </c>
      <c r="S369" s="265">
        <v>8.7799999999999994</v>
      </c>
      <c r="T369" s="265">
        <v>8.7799999999999994</v>
      </c>
      <c r="U369" s="265">
        <v>8.7799999999999994</v>
      </c>
      <c r="V369" s="265">
        <v>8.7799999999999994</v>
      </c>
      <c r="W369" s="265">
        <v>8.7799999999999994</v>
      </c>
      <c r="X369" s="265">
        <v>8.7799999999999994</v>
      </c>
      <c r="Y369" s="265">
        <v>8.7799999999999994</v>
      </c>
      <c r="Z369" s="265">
        <v>0.3</v>
      </c>
      <c r="AA369" s="265">
        <v>0.3</v>
      </c>
      <c r="AB369" s="265">
        <v>0.3</v>
      </c>
      <c r="AC369" s="265">
        <v>0.3</v>
      </c>
      <c r="AD369" s="265">
        <v>0.3</v>
      </c>
      <c r="AE369" s="265">
        <v>0.3</v>
      </c>
      <c r="AF369" s="265">
        <v>0.3</v>
      </c>
      <c r="AG369" s="265">
        <v>0.3</v>
      </c>
      <c r="AH369" s="265">
        <v>0.3</v>
      </c>
      <c r="AI369" s="265">
        <v>0.3</v>
      </c>
      <c r="AJ369" s="265">
        <v>0.3</v>
      </c>
      <c r="AK369" s="265">
        <v>0.3</v>
      </c>
      <c r="AL369" s="266">
        <v>0</v>
      </c>
      <c r="AM369" s="265">
        <f t="shared" si="92"/>
        <v>0</v>
      </c>
      <c r="AN369" s="266">
        <v>0</v>
      </c>
      <c r="AO369" s="265">
        <f t="shared" si="90"/>
        <v>0</v>
      </c>
      <c r="AP369" s="266">
        <v>0</v>
      </c>
      <c r="AQ369" s="265">
        <f t="shared" si="93"/>
        <v>0</v>
      </c>
      <c r="AR369" s="266">
        <v>0</v>
      </c>
      <c r="AS369" s="262">
        <f t="shared" si="94"/>
        <v>0</v>
      </c>
      <c r="AT369" s="266">
        <v>0</v>
      </c>
      <c r="AU369" s="260">
        <f t="shared" si="95"/>
        <v>0</v>
      </c>
      <c r="AV369" s="259">
        <v>12000</v>
      </c>
      <c r="AW369" s="260">
        <f t="shared" si="96"/>
        <v>3600</v>
      </c>
      <c r="AX369" s="259">
        <v>0</v>
      </c>
      <c r="AY369" s="260">
        <f t="shared" si="97"/>
        <v>0</v>
      </c>
      <c r="AZ369" s="259">
        <v>0</v>
      </c>
      <c r="BA369" s="260">
        <f t="shared" si="98"/>
        <v>0</v>
      </c>
      <c r="BB369" s="259">
        <v>0</v>
      </c>
      <c r="BC369" s="260">
        <f t="shared" si="99"/>
        <v>0</v>
      </c>
      <c r="BD369" s="259">
        <v>0</v>
      </c>
      <c r="BE369" s="260">
        <f t="shared" si="100"/>
        <v>0</v>
      </c>
      <c r="BF369" s="259">
        <v>0</v>
      </c>
      <c r="BG369" s="260">
        <f t="shared" si="101"/>
        <v>0</v>
      </c>
      <c r="BH369" s="259">
        <v>0</v>
      </c>
      <c r="BI369" s="260">
        <f t="shared" si="91"/>
        <v>0</v>
      </c>
      <c r="BJ369" s="58"/>
      <c r="BK369" s="220"/>
      <c r="BL369" s="213" t="s">
        <v>1347</v>
      </c>
      <c r="BM369" s="213" t="s">
        <v>1514</v>
      </c>
    </row>
    <row r="370" spans="1:65" ht="15.75" customHeight="1">
      <c r="A370" s="213" t="s">
        <v>1437</v>
      </c>
      <c r="B370" s="58" t="s">
        <v>184</v>
      </c>
      <c r="C370" s="58" t="s">
        <v>752</v>
      </c>
      <c r="D370" s="214" t="s">
        <v>186</v>
      </c>
      <c r="E370" s="214" t="s">
        <v>186</v>
      </c>
      <c r="F370" s="215" t="s">
        <v>186</v>
      </c>
      <c r="G370" s="216">
        <v>2023</v>
      </c>
      <c r="H370" s="218" t="s">
        <v>800</v>
      </c>
      <c r="I370" s="218" t="s">
        <v>196</v>
      </c>
      <c r="J370" s="217" t="s">
        <v>890</v>
      </c>
      <c r="K370" s="213" t="s">
        <v>221</v>
      </c>
      <c r="L370" s="213" t="s">
        <v>192</v>
      </c>
      <c r="M370" s="219" t="s">
        <v>1393</v>
      </c>
      <c r="N370" s="265">
        <v>23.97</v>
      </c>
      <c r="O370" s="265">
        <v>23.97</v>
      </c>
      <c r="P370" s="265">
        <v>23.97</v>
      </c>
      <c r="Q370" s="265">
        <v>23.97</v>
      </c>
      <c r="R370" s="265">
        <v>23.97</v>
      </c>
      <c r="S370" s="265">
        <v>23.97</v>
      </c>
      <c r="T370" s="265">
        <v>23.97</v>
      </c>
      <c r="U370" s="265">
        <v>23.97</v>
      </c>
      <c r="V370" s="265">
        <v>23.97</v>
      </c>
      <c r="W370" s="265">
        <v>23.97</v>
      </c>
      <c r="X370" s="265">
        <v>23.97</v>
      </c>
      <c r="Y370" s="265">
        <v>23.97</v>
      </c>
      <c r="Z370" s="265">
        <v>0.83</v>
      </c>
      <c r="AA370" s="265">
        <v>0.83</v>
      </c>
      <c r="AB370" s="265">
        <v>0.83</v>
      </c>
      <c r="AC370" s="265">
        <v>0.83</v>
      </c>
      <c r="AD370" s="265">
        <v>0.83</v>
      </c>
      <c r="AE370" s="265">
        <v>0.83</v>
      </c>
      <c r="AF370" s="265">
        <v>0.83</v>
      </c>
      <c r="AG370" s="265">
        <v>0.83</v>
      </c>
      <c r="AH370" s="265">
        <v>0.83</v>
      </c>
      <c r="AI370" s="265">
        <v>0.83</v>
      </c>
      <c r="AJ370" s="265">
        <v>0.83</v>
      </c>
      <c r="AK370" s="265">
        <v>0.83</v>
      </c>
      <c r="AL370" s="266">
        <v>0</v>
      </c>
      <c r="AM370" s="265">
        <f t="shared" si="92"/>
        <v>0</v>
      </c>
      <c r="AN370" s="266">
        <v>0</v>
      </c>
      <c r="AO370" s="265">
        <f t="shared" si="90"/>
        <v>0</v>
      </c>
      <c r="AP370" s="266">
        <v>0</v>
      </c>
      <c r="AQ370" s="265">
        <f t="shared" si="93"/>
        <v>0</v>
      </c>
      <c r="AR370" s="266">
        <v>0</v>
      </c>
      <c r="AS370" s="262">
        <f t="shared" si="94"/>
        <v>0</v>
      </c>
      <c r="AT370" s="266">
        <v>24</v>
      </c>
      <c r="AU370" s="260">
        <f t="shared" si="95"/>
        <v>19.919999999999998</v>
      </c>
      <c r="AV370" s="259">
        <v>0</v>
      </c>
      <c r="AW370" s="260">
        <f t="shared" si="96"/>
        <v>0</v>
      </c>
      <c r="AX370" s="259">
        <v>0</v>
      </c>
      <c r="AY370" s="260">
        <f t="shared" si="97"/>
        <v>0</v>
      </c>
      <c r="AZ370" s="259">
        <v>0</v>
      </c>
      <c r="BA370" s="260">
        <f t="shared" si="98"/>
        <v>0</v>
      </c>
      <c r="BB370" s="259">
        <v>0</v>
      </c>
      <c r="BC370" s="260">
        <f t="shared" si="99"/>
        <v>0</v>
      </c>
      <c r="BD370" s="259">
        <v>0</v>
      </c>
      <c r="BE370" s="260">
        <f t="shared" si="100"/>
        <v>0</v>
      </c>
      <c r="BF370" s="259">
        <v>0</v>
      </c>
      <c r="BG370" s="260">
        <f t="shared" si="101"/>
        <v>0</v>
      </c>
      <c r="BH370" s="259">
        <v>0</v>
      </c>
      <c r="BI370" s="260">
        <f t="shared" si="91"/>
        <v>0</v>
      </c>
      <c r="BJ370" s="58"/>
      <c r="BK370" s="220"/>
      <c r="BL370" s="213" t="s">
        <v>1347</v>
      </c>
      <c r="BM370" s="213" t="s">
        <v>685</v>
      </c>
    </row>
    <row r="371" spans="1:65" ht="15.75" customHeight="1">
      <c r="A371" s="213" t="s">
        <v>1437</v>
      </c>
      <c r="B371" s="58" t="s">
        <v>1293</v>
      </c>
      <c r="C371" s="58" t="s">
        <v>752</v>
      </c>
      <c r="D371" s="214" t="s">
        <v>1477</v>
      </c>
      <c r="E371" s="214" t="s">
        <v>1478</v>
      </c>
      <c r="F371" s="215" t="s">
        <v>186</v>
      </c>
      <c r="G371" s="216">
        <v>2023</v>
      </c>
      <c r="H371" s="218" t="s">
        <v>825</v>
      </c>
      <c r="I371" s="217" t="s">
        <v>781</v>
      </c>
      <c r="J371" s="217" t="s">
        <v>890</v>
      </c>
      <c r="K371" s="213" t="s">
        <v>753</v>
      </c>
      <c r="L371" s="213" t="s">
        <v>192</v>
      </c>
      <c r="M371" s="219" t="s">
        <v>1393</v>
      </c>
      <c r="N371" s="265">
        <v>31.36</v>
      </c>
      <c r="O371" s="265">
        <v>31.36</v>
      </c>
      <c r="P371" s="265">
        <v>31.36</v>
      </c>
      <c r="Q371" s="265">
        <v>31.36</v>
      </c>
      <c r="R371" s="265">
        <v>31.36</v>
      </c>
      <c r="S371" s="265">
        <v>31.36</v>
      </c>
      <c r="T371" s="265">
        <v>31.36</v>
      </c>
      <c r="U371" s="265">
        <v>31.36</v>
      </c>
      <c r="V371" s="265">
        <v>31.36</v>
      </c>
      <c r="W371" s="265">
        <v>31.36</v>
      </c>
      <c r="X371" s="265">
        <v>31.36</v>
      </c>
      <c r="Y371" s="265">
        <v>31.36</v>
      </c>
      <c r="Z371" s="265">
        <v>0.01</v>
      </c>
      <c r="AA371" s="265">
        <v>0.01</v>
      </c>
      <c r="AB371" s="265">
        <v>0.01</v>
      </c>
      <c r="AC371" s="265">
        <v>0.01</v>
      </c>
      <c r="AD371" s="265">
        <v>0.01</v>
      </c>
      <c r="AE371" s="265">
        <v>0.01</v>
      </c>
      <c r="AF371" s="265">
        <v>0.01</v>
      </c>
      <c r="AG371" s="265">
        <v>0.01</v>
      </c>
      <c r="AH371" s="265">
        <v>0.01</v>
      </c>
      <c r="AI371" s="265">
        <v>0.01</v>
      </c>
      <c r="AJ371" s="265">
        <v>0.01</v>
      </c>
      <c r="AK371" s="265">
        <v>0.01</v>
      </c>
      <c r="AL371" s="266">
        <v>0</v>
      </c>
      <c r="AM371" s="265">
        <f t="shared" si="92"/>
        <v>0</v>
      </c>
      <c r="AN371" s="266">
        <v>0</v>
      </c>
      <c r="AO371" s="265">
        <f t="shared" ref="AO371:AO374" si="102">AN371*AA371</f>
        <v>0</v>
      </c>
      <c r="AP371" s="266">
        <v>0</v>
      </c>
      <c r="AQ371" s="265">
        <f t="shared" ref="AQ371:AQ374" si="103">AP371*AB371</f>
        <v>0</v>
      </c>
      <c r="AR371" s="266">
        <v>0</v>
      </c>
      <c r="AS371" s="262">
        <f t="shared" ref="AS371:AS374" si="104">AR371*AC371</f>
        <v>0</v>
      </c>
      <c r="AT371" s="266">
        <v>0</v>
      </c>
      <c r="AU371" s="260">
        <f t="shared" ref="AU371:AU374" si="105">AT371*AD371</f>
        <v>0</v>
      </c>
      <c r="AV371" s="259">
        <v>360</v>
      </c>
      <c r="AW371" s="260">
        <f t="shared" ref="AW371:AW374" si="106">AV371*AE371</f>
        <v>3.6</v>
      </c>
      <c r="AX371" s="259">
        <v>0</v>
      </c>
      <c r="AY371" s="260">
        <f t="shared" ref="AY371:AY374" si="107">AX371*AF371</f>
        <v>0</v>
      </c>
      <c r="AZ371" s="259">
        <v>0</v>
      </c>
      <c r="BA371" s="260">
        <f t="shared" ref="BA371:BA374" si="108">AZ371*AG371</f>
        <v>0</v>
      </c>
      <c r="BB371" s="259">
        <v>0</v>
      </c>
      <c r="BC371" s="260">
        <f t="shared" ref="BC371:BC374" si="109">BB371*AH371</f>
        <v>0</v>
      </c>
      <c r="BD371" s="259">
        <v>0</v>
      </c>
      <c r="BE371" s="260">
        <f t="shared" ref="BE371:BE374" si="110">BD371*AI371</f>
        <v>0</v>
      </c>
      <c r="BF371" s="259">
        <v>0</v>
      </c>
      <c r="BG371" s="260">
        <f t="shared" ref="BG371:BG374" si="111">BF371*AJ371</f>
        <v>0</v>
      </c>
      <c r="BH371" s="259">
        <v>0</v>
      </c>
      <c r="BI371" s="260">
        <f t="shared" si="91"/>
        <v>0</v>
      </c>
      <c r="BJ371" s="58"/>
      <c r="BK371" s="220"/>
      <c r="BL371" s="213" t="s">
        <v>1329</v>
      </c>
      <c r="BM371" s="213" t="s">
        <v>1479</v>
      </c>
    </row>
    <row r="372" spans="1:65" ht="15.75" customHeight="1">
      <c r="A372" s="213" t="s">
        <v>1437</v>
      </c>
      <c r="B372" s="58" t="s">
        <v>1293</v>
      </c>
      <c r="C372" s="58" t="s">
        <v>752</v>
      </c>
      <c r="D372" s="214" t="s">
        <v>1477</v>
      </c>
      <c r="E372" s="214" t="s">
        <v>1478</v>
      </c>
      <c r="F372" s="215" t="s">
        <v>186</v>
      </c>
      <c r="G372" s="216">
        <v>2023</v>
      </c>
      <c r="H372" s="218" t="s">
        <v>825</v>
      </c>
      <c r="I372" s="217" t="s">
        <v>781</v>
      </c>
      <c r="J372" s="217" t="s">
        <v>890</v>
      </c>
      <c r="K372" s="213" t="s">
        <v>753</v>
      </c>
      <c r="L372" s="213" t="s">
        <v>192</v>
      </c>
      <c r="M372" s="219" t="s">
        <v>1408</v>
      </c>
      <c r="N372" s="265">
        <v>31.36</v>
      </c>
      <c r="O372" s="265">
        <v>31.36</v>
      </c>
      <c r="P372" s="265">
        <v>31.36</v>
      </c>
      <c r="Q372" s="265">
        <v>31.36</v>
      </c>
      <c r="R372" s="265">
        <v>32.909999999999997</v>
      </c>
      <c r="S372" s="265">
        <v>32.909999999999997</v>
      </c>
      <c r="T372" s="265">
        <v>32.909999999999997</v>
      </c>
      <c r="U372" s="265">
        <v>32.909999999999997</v>
      </c>
      <c r="V372" s="265">
        <v>32.909999999999997</v>
      </c>
      <c r="W372" s="265">
        <v>32.909999999999997</v>
      </c>
      <c r="X372" s="265">
        <v>32.909999999999997</v>
      </c>
      <c r="Y372" s="265">
        <v>32.909999999999997</v>
      </c>
      <c r="Z372" s="265">
        <v>0.01</v>
      </c>
      <c r="AA372" s="265">
        <v>0.01</v>
      </c>
      <c r="AB372" s="265">
        <v>0.01</v>
      </c>
      <c r="AC372" s="265">
        <v>0.01</v>
      </c>
      <c r="AD372" s="265">
        <v>1.56</v>
      </c>
      <c r="AE372" s="265">
        <v>1.56</v>
      </c>
      <c r="AF372" s="265">
        <v>1.56</v>
      </c>
      <c r="AG372" s="265">
        <v>1.56</v>
      </c>
      <c r="AH372" s="265">
        <v>1.56</v>
      </c>
      <c r="AI372" s="265">
        <v>1.56</v>
      </c>
      <c r="AJ372" s="265">
        <v>1.56</v>
      </c>
      <c r="AK372" s="265">
        <v>1.56</v>
      </c>
      <c r="AL372" s="266">
        <v>0</v>
      </c>
      <c r="AM372" s="265">
        <f t="shared" si="92"/>
        <v>0</v>
      </c>
      <c r="AN372" s="266">
        <v>0</v>
      </c>
      <c r="AO372" s="265">
        <f t="shared" si="102"/>
        <v>0</v>
      </c>
      <c r="AP372" s="266">
        <v>0</v>
      </c>
      <c r="AQ372" s="265">
        <f t="shared" si="103"/>
        <v>0</v>
      </c>
      <c r="AR372" s="266">
        <v>0</v>
      </c>
      <c r="AS372" s="262">
        <f t="shared" si="104"/>
        <v>0</v>
      </c>
      <c r="AT372" s="266">
        <v>0</v>
      </c>
      <c r="AU372" s="260">
        <f t="shared" si="105"/>
        <v>0</v>
      </c>
      <c r="AV372" s="259">
        <v>28</v>
      </c>
      <c r="AW372" s="260">
        <f t="shared" si="106"/>
        <v>43.68</v>
      </c>
      <c r="AX372" s="259">
        <v>0</v>
      </c>
      <c r="AY372" s="260">
        <f t="shared" si="107"/>
        <v>0</v>
      </c>
      <c r="AZ372" s="259">
        <v>0</v>
      </c>
      <c r="BA372" s="260">
        <f t="shared" si="108"/>
        <v>0</v>
      </c>
      <c r="BB372" s="259">
        <v>0</v>
      </c>
      <c r="BC372" s="260">
        <f t="shared" si="109"/>
        <v>0</v>
      </c>
      <c r="BD372" s="259">
        <v>0</v>
      </c>
      <c r="BE372" s="260">
        <f t="shared" si="110"/>
        <v>0</v>
      </c>
      <c r="BF372" s="259">
        <v>0</v>
      </c>
      <c r="BG372" s="260">
        <f t="shared" si="111"/>
        <v>0</v>
      </c>
      <c r="BH372" s="259">
        <v>0</v>
      </c>
      <c r="BI372" s="260">
        <f t="shared" si="91"/>
        <v>0</v>
      </c>
      <c r="BJ372" s="58"/>
      <c r="BK372" s="220"/>
      <c r="BL372" s="213" t="s">
        <v>1329</v>
      </c>
      <c r="BM372" s="213" t="s">
        <v>1479</v>
      </c>
    </row>
    <row r="373" spans="1:65" ht="15.75" customHeight="1">
      <c r="A373" s="213" t="s">
        <v>1437</v>
      </c>
      <c r="B373" s="58" t="s">
        <v>1293</v>
      </c>
      <c r="C373" s="58" t="s">
        <v>752</v>
      </c>
      <c r="D373" s="214" t="s">
        <v>1477</v>
      </c>
      <c r="E373" s="214" t="s">
        <v>1478</v>
      </c>
      <c r="F373" s="215" t="s">
        <v>186</v>
      </c>
      <c r="G373" s="216">
        <v>2023</v>
      </c>
      <c r="H373" s="218" t="s">
        <v>825</v>
      </c>
      <c r="I373" s="217" t="s">
        <v>781</v>
      </c>
      <c r="J373" s="217" t="s">
        <v>890</v>
      </c>
      <c r="K373" s="213" t="s">
        <v>753</v>
      </c>
      <c r="L373" s="213" t="s">
        <v>192</v>
      </c>
      <c r="M373" s="219" t="s">
        <v>1447</v>
      </c>
      <c r="N373" s="265">
        <v>38.99</v>
      </c>
      <c r="O373" s="265">
        <v>38.99</v>
      </c>
      <c r="P373" s="265">
        <v>38.99</v>
      </c>
      <c r="Q373" s="265">
        <v>38.99</v>
      </c>
      <c r="R373" s="265">
        <v>38.99</v>
      </c>
      <c r="S373" s="265">
        <v>38.99</v>
      </c>
      <c r="T373" s="265">
        <v>38.99</v>
      </c>
      <c r="U373" s="265">
        <v>38.99</v>
      </c>
      <c r="V373" s="265">
        <v>38.99</v>
      </c>
      <c r="W373" s="265">
        <v>38.99</v>
      </c>
      <c r="X373" s="265">
        <v>38.99</v>
      </c>
      <c r="Y373" s="265">
        <v>38.99</v>
      </c>
      <c r="Z373" s="265">
        <v>0.01</v>
      </c>
      <c r="AA373" s="265">
        <v>0.01</v>
      </c>
      <c r="AB373" s="265">
        <v>0.01</v>
      </c>
      <c r="AC373" s="265">
        <v>0.01</v>
      </c>
      <c r="AD373" s="265">
        <v>0.01</v>
      </c>
      <c r="AE373" s="265">
        <v>0.01</v>
      </c>
      <c r="AF373" s="265">
        <v>0.01</v>
      </c>
      <c r="AG373" s="265">
        <v>0.01</v>
      </c>
      <c r="AH373" s="265">
        <v>0.01</v>
      </c>
      <c r="AI373" s="265">
        <v>0.01</v>
      </c>
      <c r="AJ373" s="265">
        <v>0.01</v>
      </c>
      <c r="AK373" s="265">
        <v>0.01</v>
      </c>
      <c r="AL373" s="266">
        <v>0</v>
      </c>
      <c r="AM373" s="265">
        <f t="shared" si="92"/>
        <v>0</v>
      </c>
      <c r="AN373" s="266">
        <v>0</v>
      </c>
      <c r="AO373" s="265">
        <f t="shared" si="102"/>
        <v>0</v>
      </c>
      <c r="AP373" s="266">
        <v>0</v>
      </c>
      <c r="AQ373" s="265">
        <f t="shared" si="103"/>
        <v>0</v>
      </c>
      <c r="AR373" s="266">
        <v>0</v>
      </c>
      <c r="AS373" s="262">
        <f t="shared" si="104"/>
        <v>0</v>
      </c>
      <c r="AT373" s="266">
        <v>0</v>
      </c>
      <c r="AU373" s="260">
        <f t="shared" si="105"/>
        <v>0</v>
      </c>
      <c r="AV373" s="259">
        <v>110</v>
      </c>
      <c r="AW373" s="260">
        <f t="shared" si="106"/>
        <v>1.1000000000000001</v>
      </c>
      <c r="AX373" s="259">
        <v>0</v>
      </c>
      <c r="AY373" s="260">
        <f t="shared" si="107"/>
        <v>0</v>
      </c>
      <c r="AZ373" s="259">
        <v>0</v>
      </c>
      <c r="BA373" s="260">
        <f t="shared" si="108"/>
        <v>0</v>
      </c>
      <c r="BB373" s="259">
        <v>0</v>
      </c>
      <c r="BC373" s="260">
        <f t="shared" si="109"/>
        <v>0</v>
      </c>
      <c r="BD373" s="259">
        <v>0</v>
      </c>
      <c r="BE373" s="260">
        <f t="shared" si="110"/>
        <v>0</v>
      </c>
      <c r="BF373" s="259">
        <v>0</v>
      </c>
      <c r="BG373" s="260">
        <f t="shared" si="111"/>
        <v>0</v>
      </c>
      <c r="BH373" s="259">
        <v>0</v>
      </c>
      <c r="BI373" s="260">
        <f t="shared" si="91"/>
        <v>0</v>
      </c>
      <c r="BJ373" s="58"/>
      <c r="BK373" s="220"/>
      <c r="BL373" s="213" t="s">
        <v>1329</v>
      </c>
      <c r="BM373" s="213" t="s">
        <v>1479</v>
      </c>
    </row>
    <row r="374" spans="1:65" ht="15.75" customHeight="1">
      <c r="A374" s="213" t="s">
        <v>1437</v>
      </c>
      <c r="B374" s="58" t="s">
        <v>1293</v>
      </c>
      <c r="C374" s="58" t="s">
        <v>752</v>
      </c>
      <c r="D374" s="214" t="s">
        <v>1477</v>
      </c>
      <c r="E374" s="214" t="s">
        <v>1478</v>
      </c>
      <c r="F374" s="215" t="s">
        <v>186</v>
      </c>
      <c r="G374" s="216">
        <v>2023</v>
      </c>
      <c r="H374" s="218" t="s">
        <v>825</v>
      </c>
      <c r="I374" s="217" t="s">
        <v>781</v>
      </c>
      <c r="J374" s="217" t="s">
        <v>890</v>
      </c>
      <c r="K374" s="213" t="s">
        <v>753</v>
      </c>
      <c r="L374" s="213" t="s">
        <v>192</v>
      </c>
      <c r="M374" s="219" t="s">
        <v>1447</v>
      </c>
      <c r="N374" s="265">
        <v>38.99</v>
      </c>
      <c r="O374" s="265">
        <v>38.99</v>
      </c>
      <c r="P374" s="265">
        <v>38.99</v>
      </c>
      <c r="Q374" s="265">
        <v>38.99</v>
      </c>
      <c r="R374" s="265">
        <v>38.99</v>
      </c>
      <c r="S374" s="265">
        <v>38.99</v>
      </c>
      <c r="T374" s="265">
        <v>38.99</v>
      </c>
      <c r="U374" s="265">
        <v>38.99</v>
      </c>
      <c r="V374" s="265">
        <v>38.99</v>
      </c>
      <c r="W374" s="265">
        <v>38.99</v>
      </c>
      <c r="X374" s="265">
        <v>38.99</v>
      </c>
      <c r="Y374" s="265">
        <v>38.99</v>
      </c>
      <c r="Z374" s="265">
        <v>0.01</v>
      </c>
      <c r="AA374" s="265">
        <v>0.01</v>
      </c>
      <c r="AB374" s="265">
        <v>0.01</v>
      </c>
      <c r="AC374" s="265">
        <v>0.01</v>
      </c>
      <c r="AD374" s="265">
        <v>0.01</v>
      </c>
      <c r="AE374" s="265">
        <v>0.01</v>
      </c>
      <c r="AF374" s="265">
        <v>0.01</v>
      </c>
      <c r="AG374" s="265">
        <v>0.01</v>
      </c>
      <c r="AH374" s="265">
        <v>0.01</v>
      </c>
      <c r="AI374" s="265">
        <v>0.01</v>
      </c>
      <c r="AJ374" s="265">
        <v>0.01</v>
      </c>
      <c r="AK374" s="265">
        <v>0.01</v>
      </c>
      <c r="AL374" s="266">
        <v>0</v>
      </c>
      <c r="AM374" s="265">
        <f t="shared" si="92"/>
        <v>0</v>
      </c>
      <c r="AN374" s="266">
        <v>0</v>
      </c>
      <c r="AO374" s="265">
        <f t="shared" si="102"/>
        <v>0</v>
      </c>
      <c r="AP374" s="266">
        <v>0</v>
      </c>
      <c r="AQ374" s="265">
        <f t="shared" si="103"/>
        <v>0</v>
      </c>
      <c r="AR374" s="266">
        <v>0</v>
      </c>
      <c r="AS374" s="262">
        <f t="shared" si="104"/>
        <v>0</v>
      </c>
      <c r="AT374" s="266">
        <v>0</v>
      </c>
      <c r="AU374" s="260">
        <f t="shared" si="105"/>
        <v>0</v>
      </c>
      <c r="AV374" s="259">
        <v>30</v>
      </c>
      <c r="AW374" s="260">
        <f t="shared" si="106"/>
        <v>0.3</v>
      </c>
      <c r="AX374" s="259">
        <v>0</v>
      </c>
      <c r="AY374" s="260">
        <f t="shared" si="107"/>
        <v>0</v>
      </c>
      <c r="AZ374" s="259">
        <v>0</v>
      </c>
      <c r="BA374" s="260">
        <f t="shared" si="108"/>
        <v>0</v>
      </c>
      <c r="BB374" s="259">
        <v>0</v>
      </c>
      <c r="BC374" s="260">
        <f t="shared" si="109"/>
        <v>0</v>
      </c>
      <c r="BD374" s="259">
        <v>0</v>
      </c>
      <c r="BE374" s="260">
        <f t="shared" si="110"/>
        <v>0</v>
      </c>
      <c r="BF374" s="259">
        <v>0</v>
      </c>
      <c r="BG374" s="260">
        <f t="shared" si="111"/>
        <v>0</v>
      </c>
      <c r="BH374" s="259">
        <v>0</v>
      </c>
      <c r="BI374" s="260">
        <f t="shared" si="91"/>
        <v>0</v>
      </c>
      <c r="BJ374" s="58"/>
      <c r="BK374" s="220"/>
      <c r="BL374" s="213" t="s">
        <v>1329</v>
      </c>
      <c r="BM374" s="213" t="s">
        <v>1479</v>
      </c>
    </row>
    <row r="375" spans="1:65" ht="15.75" customHeight="1">
      <c r="A375" s="213"/>
      <c r="B375" s="58"/>
      <c r="C375" s="58"/>
      <c r="D375" s="214"/>
      <c r="E375" s="214"/>
      <c r="F375" s="215"/>
      <c r="G375" s="216"/>
      <c r="H375" s="218"/>
      <c r="I375" s="217"/>
      <c r="J375" s="217"/>
      <c r="K375" s="213"/>
      <c r="L375" s="213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  <c r="AA375" s="219"/>
      <c r="AB375" s="219"/>
      <c r="AC375" s="219"/>
      <c r="AD375" s="219"/>
      <c r="AE375" s="219"/>
      <c r="AF375" s="219"/>
      <c r="AG375" s="219"/>
      <c r="AH375" s="219"/>
      <c r="AI375" s="219"/>
      <c r="AJ375" s="219"/>
      <c r="AK375" s="219"/>
      <c r="AL375" s="267">
        <v>0</v>
      </c>
      <c r="AM375" s="219">
        <f t="shared" si="92"/>
        <v>0</v>
      </c>
      <c r="AN375" s="267">
        <v>0</v>
      </c>
      <c r="AO375" s="219">
        <f>AN375*AA375</f>
        <v>0</v>
      </c>
      <c r="AP375" s="267">
        <v>0</v>
      </c>
      <c r="AQ375" s="219">
        <f>AP375*AB375</f>
        <v>0</v>
      </c>
      <c r="AR375" s="267">
        <v>0</v>
      </c>
      <c r="AS375" s="213">
        <f>AR375*AC375</f>
        <v>0</v>
      </c>
      <c r="AT375" s="267">
        <v>0</v>
      </c>
      <c r="AU375" s="58">
        <f>AT375*AD375</f>
        <v>0</v>
      </c>
      <c r="AV375" s="223">
        <v>0</v>
      </c>
      <c r="AW375" s="58">
        <f>AV375*AE375</f>
        <v>0</v>
      </c>
      <c r="AX375" s="223">
        <v>0</v>
      </c>
      <c r="AY375" s="58">
        <f>AX375*AF375</f>
        <v>0</v>
      </c>
      <c r="AZ375" s="223">
        <v>0</v>
      </c>
      <c r="BA375" s="58">
        <f>AZ375*AG375</f>
        <v>0</v>
      </c>
      <c r="BB375" s="223">
        <v>0</v>
      </c>
      <c r="BC375" s="58">
        <f>BB375*AH375</f>
        <v>0</v>
      </c>
      <c r="BD375" s="223">
        <v>0</v>
      </c>
      <c r="BE375" s="58">
        <f>BD375*AI375</f>
        <v>0</v>
      </c>
      <c r="BF375" s="223">
        <v>0</v>
      </c>
      <c r="BG375" s="58">
        <f>BF375*AJ375</f>
        <v>0</v>
      </c>
      <c r="BH375" s="223">
        <v>0</v>
      </c>
      <c r="BI375" s="58">
        <f t="shared" si="91"/>
        <v>0</v>
      </c>
      <c r="BJ375" s="58"/>
      <c r="BK375" s="220"/>
      <c r="BL375" s="253"/>
      <c r="BM375" s="253"/>
    </row>
    <row r="376" spans="1:65" ht="15.75" customHeight="1" thickBot="1">
      <c r="A376" s="4"/>
      <c r="C376" s="166"/>
      <c r="D376" s="167"/>
      <c r="E376" s="167"/>
      <c r="F376" s="164"/>
      <c r="G376" s="168"/>
      <c r="H376" s="99"/>
      <c r="I376" s="99"/>
      <c r="J376" s="99"/>
      <c r="K376" s="4"/>
      <c r="L376" s="4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202"/>
      <c r="AN376" s="202"/>
      <c r="AO376" s="16"/>
      <c r="AP376" s="202"/>
      <c r="AR376" s="203"/>
      <c r="AT376" s="203"/>
      <c r="AV376" s="204"/>
      <c r="AX376" s="204"/>
      <c r="AZ376" s="204"/>
      <c r="BB376" s="198"/>
      <c r="BD376" s="198"/>
      <c r="BF376" s="198"/>
      <c r="BH376" s="202"/>
      <c r="BK376" s="198"/>
      <c r="BL376" s="4"/>
      <c r="BM376" s="4"/>
    </row>
    <row r="377" spans="1:65" ht="15.75" customHeight="1" thickBot="1">
      <c r="A377" s="4"/>
      <c r="C377" s="166"/>
      <c r="D377" s="167"/>
      <c r="E377" s="167"/>
      <c r="F377" s="164"/>
      <c r="G377" s="168"/>
      <c r="H377" s="99"/>
      <c r="I377" s="99"/>
      <c r="J377" s="99"/>
      <c r="K377" s="4"/>
      <c r="L377" s="4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207">
        <f>SUM(AL3:AL375)</f>
        <v>564910</v>
      </c>
      <c r="AN377" s="207">
        <f>SUM(AN3:AN375)</f>
        <v>567080</v>
      </c>
      <c r="AO377" s="206"/>
      <c r="AP377" s="207">
        <f>SUM(AP3:AP375)</f>
        <v>581246</v>
      </c>
      <c r="AQ377" s="208"/>
      <c r="AR377" s="207">
        <f>SUM(AR3:AR375)</f>
        <v>246160</v>
      </c>
      <c r="AS377" s="166"/>
      <c r="AT377" s="207">
        <f>SUM(AT3:AT375)</f>
        <v>489704</v>
      </c>
      <c r="AU377" s="166"/>
      <c r="AV377" s="207">
        <f>SUM(AV3:AV375)</f>
        <v>490768</v>
      </c>
      <c r="AW377" s="166"/>
      <c r="AX377" s="207">
        <f>SUM(AX3:AX375)</f>
        <v>401746</v>
      </c>
      <c r="AY377" s="166"/>
      <c r="AZ377" s="207">
        <f>SUM(AZ3:AZ375)</f>
        <v>577101</v>
      </c>
      <c r="BA377" s="166"/>
      <c r="BB377" s="207">
        <f>SUM(BB3:BB375)</f>
        <v>651554</v>
      </c>
      <c r="BC377" s="166"/>
      <c r="BD377" s="207">
        <f>SUM(BD3:BD375)</f>
        <v>592305</v>
      </c>
      <c r="BE377" s="166"/>
      <c r="BF377" s="207">
        <f>SUM(BF3:BF375)</f>
        <v>573323</v>
      </c>
      <c r="BG377" s="166"/>
      <c r="BH377" s="207">
        <f>SUM(BH3:BH375)</f>
        <v>439868</v>
      </c>
      <c r="BI377" s="166"/>
      <c r="BJ377" s="166"/>
      <c r="BK377" s="205"/>
      <c r="BL377" s="169"/>
      <c r="BM377" s="169"/>
    </row>
    <row r="378" spans="1:65" s="276" customFormat="1" ht="15" customHeight="1" thickBot="1">
      <c r="A378" s="268"/>
      <c r="B378" s="269"/>
      <c r="C378" s="269"/>
      <c r="D378" s="270"/>
      <c r="E378" s="270"/>
      <c r="F378" s="271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  <c r="AA378" s="269"/>
      <c r="AB378" s="269"/>
      <c r="AC378" s="269"/>
      <c r="AD378" s="269"/>
      <c r="AE378" s="269"/>
      <c r="AF378" s="269"/>
      <c r="AG378" s="269"/>
      <c r="AH378" s="269"/>
      <c r="AI378" s="269"/>
      <c r="AJ378" s="269"/>
      <c r="AK378" s="269"/>
      <c r="AL378" s="272">
        <f>SUMPRODUCT(AL3:AL375,N3:N375)</f>
        <v>3710663.1999999997</v>
      </c>
      <c r="AM378" s="273"/>
      <c r="AN378" s="272">
        <f>SUMPRODUCT(AN3:AN375,O3:O375)</f>
        <v>3821198.0999999996</v>
      </c>
      <c r="AO378" s="272"/>
      <c r="AP378" s="272">
        <f>SUMPRODUCT(AP3:AP375,P3:P375)</f>
        <v>4645246.6199999982</v>
      </c>
      <c r="AQ378" s="272"/>
      <c r="AR378" s="272">
        <f>SUMPRODUCT(AR3:AR375,Q3:Q375)</f>
        <v>1695211.6</v>
      </c>
      <c r="AS378" s="274"/>
      <c r="AT378" s="272">
        <f>SUMPRODUCT(AT3:AT375,R3:R375)</f>
        <v>3471940.2800000007</v>
      </c>
      <c r="AU378" s="274"/>
      <c r="AV378" s="272">
        <f>SUMPRODUCT(AV3:AV375,S3:S375)</f>
        <v>3944535.4800000004</v>
      </c>
      <c r="AW378" s="274"/>
      <c r="AX378" s="272">
        <f>SUMPRODUCT(AX3:AX375,T3:T375)</f>
        <v>2805474.4500000016</v>
      </c>
      <c r="AY378" s="274"/>
      <c r="AZ378" s="272">
        <f>SUMPRODUCT(AZ3:AZ375,U3:U375)</f>
        <v>3562848.4400000009</v>
      </c>
      <c r="BA378" s="274"/>
      <c r="BB378" s="272">
        <f>SUMPRODUCT(BB3:BB375,V3:V375)</f>
        <v>4158341.4900000016</v>
      </c>
      <c r="BC378" s="274"/>
      <c r="BD378" s="272">
        <f>SUMPRODUCT(BD3:BD375,W3:W375)</f>
        <v>3908929.4299999997</v>
      </c>
      <c r="BE378" s="274"/>
      <c r="BF378" s="272">
        <f>SUMPRODUCT(BF3:BF375,X3:X375)</f>
        <v>3580786.2100000009</v>
      </c>
      <c r="BG378" s="274"/>
      <c r="BH378" s="272">
        <f>SUMPRODUCT(BH3:BH375,Y3:Y375)</f>
        <v>2539668.0299999998</v>
      </c>
      <c r="BI378" s="274"/>
      <c r="BJ378" s="275">
        <f>SUM(AL378:BH378)</f>
        <v>41844843.330000006</v>
      </c>
      <c r="BK378" s="274"/>
      <c r="BL378" s="274"/>
      <c r="BM378" s="274"/>
    </row>
    <row r="379" spans="1:65">
      <c r="A379" s="93"/>
      <c r="AL379" s="230"/>
      <c r="AO379" s="204"/>
      <c r="AQ379" s="204"/>
      <c r="AR379" s="202"/>
      <c r="AT379" s="202"/>
    </row>
    <row r="382" spans="1:65">
      <c r="AO382" s="16"/>
    </row>
    <row r="384" spans="1:65">
      <c r="AK384" s="114"/>
    </row>
    <row r="385" spans="1:65">
      <c r="AK385" s="114"/>
    </row>
    <row r="386" spans="1:65">
      <c r="AK386" s="114"/>
      <c r="BJ386" s="241"/>
    </row>
    <row r="387" spans="1:65">
      <c r="AK387" s="114"/>
    </row>
    <row r="388" spans="1:65">
      <c r="AK388" s="114"/>
    </row>
    <row r="389" spans="1:65">
      <c r="AK389" s="114"/>
    </row>
    <row r="390" spans="1:65" s="204" customFormat="1">
      <c r="A390" s="2"/>
      <c r="B390" s="2"/>
      <c r="C390" s="2"/>
      <c r="D390" s="2"/>
      <c r="E390" s="2"/>
      <c r="F390" s="2"/>
      <c r="G390" s="2"/>
      <c r="H390" s="2"/>
      <c r="I390" s="2"/>
      <c r="J390" s="211"/>
      <c r="K390" s="2"/>
      <c r="L390" s="2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14"/>
      <c r="AL390" s="203"/>
      <c r="AM390" s="40"/>
      <c r="AN390" s="203"/>
      <c r="AO390" s="40"/>
      <c r="AQ390" s="40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</row>
    <row r="391" spans="1:65" s="204" customFormat="1">
      <c r="A391" s="2"/>
      <c r="B391" s="2"/>
      <c r="C391" s="2"/>
      <c r="D391" s="2"/>
      <c r="E391" s="2"/>
      <c r="F391" s="2"/>
      <c r="G391" s="2"/>
      <c r="H391" s="2"/>
      <c r="I391" s="2"/>
      <c r="J391" s="211"/>
      <c r="K391" s="2"/>
      <c r="L391" s="2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14"/>
      <c r="AL391" s="203"/>
      <c r="AM391" s="40"/>
      <c r="AN391" s="203"/>
      <c r="AO391" s="40"/>
      <c r="AQ391" s="40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</row>
    <row r="392" spans="1:65" s="204" customFormat="1">
      <c r="A392" s="2"/>
      <c r="B392" s="2"/>
      <c r="C392" s="2"/>
      <c r="D392" s="2"/>
      <c r="E392" s="2"/>
      <c r="F392" s="2"/>
      <c r="G392" s="2"/>
      <c r="H392" s="2"/>
      <c r="I392" s="2"/>
      <c r="J392" s="211"/>
      <c r="K392" s="2"/>
      <c r="L392" s="2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14"/>
      <c r="AL392" s="203"/>
      <c r="AM392" s="40"/>
      <c r="AN392" s="203"/>
      <c r="AO392" s="40"/>
      <c r="AQ392" s="40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</row>
    <row r="393" spans="1:65" s="204" customFormat="1">
      <c r="A393" s="2"/>
      <c r="B393" s="2"/>
      <c r="C393" s="2"/>
      <c r="D393" s="2"/>
      <c r="E393" s="2"/>
      <c r="F393" s="2"/>
      <c r="G393" s="2"/>
      <c r="H393" s="2"/>
      <c r="I393" s="2"/>
      <c r="J393" s="211"/>
      <c r="K393" s="2"/>
      <c r="L393" s="2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14"/>
      <c r="AL393" s="203"/>
      <c r="AM393" s="40"/>
      <c r="AN393" s="203"/>
      <c r="AO393" s="40"/>
      <c r="AQ393" s="40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</row>
    <row r="394" spans="1:65" s="204" customFormat="1">
      <c r="A394" s="2"/>
      <c r="B394" s="2"/>
      <c r="C394" s="2"/>
      <c r="D394" s="2"/>
      <c r="E394" s="2"/>
      <c r="F394" s="2"/>
      <c r="G394" s="2"/>
      <c r="H394" s="2"/>
      <c r="I394" s="2"/>
      <c r="J394" s="211"/>
      <c r="K394" s="2"/>
      <c r="L394" s="2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14"/>
      <c r="AL394" s="203"/>
      <c r="AM394" s="40"/>
      <c r="AN394" s="203"/>
      <c r="AO394" s="40"/>
      <c r="AQ394" s="40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</row>
    <row r="395" spans="1:65" s="204" customFormat="1">
      <c r="A395" s="2"/>
      <c r="B395" s="2"/>
      <c r="C395" s="2"/>
      <c r="D395" s="2"/>
      <c r="E395" s="2"/>
      <c r="F395" s="2"/>
      <c r="G395" s="2"/>
      <c r="H395" s="2"/>
      <c r="I395" s="2"/>
      <c r="J395" s="211"/>
      <c r="K395" s="2"/>
      <c r="L395" s="2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14"/>
      <c r="AL395" s="203"/>
      <c r="AM395" s="40"/>
      <c r="AN395" s="203"/>
      <c r="AO395" s="40"/>
      <c r="AQ395" s="40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</row>
    <row r="396" spans="1:65" s="204" customFormat="1">
      <c r="A396" s="2"/>
      <c r="B396" s="2"/>
      <c r="C396" s="2"/>
      <c r="D396" s="2"/>
      <c r="E396" s="2"/>
      <c r="F396" s="2"/>
      <c r="G396" s="2"/>
      <c r="H396" s="2"/>
      <c r="I396" s="2"/>
      <c r="J396" s="211"/>
      <c r="K396" s="2"/>
      <c r="L396" s="2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14"/>
      <c r="AL396" s="203"/>
      <c r="AM396" s="40"/>
      <c r="AN396" s="203"/>
      <c r="AO396" s="40"/>
      <c r="AQ396" s="40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</row>
    <row r="397" spans="1:65" s="204" customFormat="1">
      <c r="A397" s="2"/>
      <c r="B397" s="2"/>
      <c r="C397" s="2"/>
      <c r="D397" s="2"/>
      <c r="E397" s="2"/>
      <c r="F397" s="2"/>
      <c r="G397" s="2"/>
      <c r="H397" s="2"/>
      <c r="I397" s="2"/>
      <c r="J397" s="211"/>
      <c r="K397" s="2"/>
      <c r="L397" s="2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14"/>
      <c r="AL397" s="203"/>
      <c r="AM397" s="40"/>
      <c r="AN397" s="203"/>
      <c r="AO397" s="40"/>
      <c r="AQ397" s="40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</row>
    <row r="398" spans="1:65" s="204" customFormat="1">
      <c r="A398" s="2"/>
      <c r="B398" s="2"/>
      <c r="C398" s="2"/>
      <c r="D398" s="2"/>
      <c r="E398" s="2"/>
      <c r="F398" s="2"/>
      <c r="G398" s="2"/>
      <c r="H398" s="2"/>
      <c r="I398" s="2"/>
      <c r="J398" s="211"/>
      <c r="K398" s="2"/>
      <c r="L398" s="2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14"/>
      <c r="AL398" s="203"/>
      <c r="AM398" s="40"/>
      <c r="AN398" s="203"/>
      <c r="AO398" s="40"/>
      <c r="AQ398" s="40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</row>
    <row r="399" spans="1:65" s="204" customFormat="1">
      <c r="A399" s="2"/>
      <c r="B399" s="2"/>
      <c r="C399" s="2"/>
      <c r="D399" s="2"/>
      <c r="E399" s="2"/>
      <c r="F399" s="2"/>
      <c r="G399" s="2"/>
      <c r="H399" s="2"/>
      <c r="I399" s="2"/>
      <c r="J399" s="211"/>
      <c r="K399" s="2"/>
      <c r="L399" s="2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14"/>
      <c r="AL399" s="203"/>
      <c r="AM399" s="40"/>
      <c r="AN399" s="203"/>
      <c r="AO399" s="40"/>
      <c r="AQ399" s="40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</row>
    <row r="400" spans="1:65" s="204" customFormat="1">
      <c r="A400" s="2"/>
      <c r="B400" s="2"/>
      <c r="C400" s="2"/>
      <c r="D400" s="2"/>
      <c r="E400" s="2"/>
      <c r="F400" s="2"/>
      <c r="G400" s="2"/>
      <c r="H400" s="2"/>
      <c r="I400" s="2"/>
      <c r="J400" s="211"/>
      <c r="K400" s="2"/>
      <c r="L400" s="2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14"/>
      <c r="AL400" s="203"/>
      <c r="AM400" s="40"/>
      <c r="AN400" s="203"/>
      <c r="AO400" s="40"/>
      <c r="AQ400" s="40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</row>
    <row r="401" spans="1:65" s="204" customFormat="1">
      <c r="A401" s="2"/>
      <c r="B401" s="2"/>
      <c r="C401" s="2"/>
      <c r="D401" s="2"/>
      <c r="E401" s="2"/>
      <c r="F401" s="2"/>
      <c r="G401" s="2"/>
      <c r="H401" s="2"/>
      <c r="I401" s="2"/>
      <c r="J401" s="211"/>
      <c r="K401" s="2"/>
      <c r="L401" s="2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14"/>
      <c r="AL401" s="203"/>
      <c r="AM401" s="40"/>
      <c r="AN401" s="203"/>
      <c r="AO401" s="40"/>
      <c r="AQ401" s="40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</row>
    <row r="402" spans="1:65" s="204" customFormat="1">
      <c r="A402" s="2"/>
      <c r="B402" s="2"/>
      <c r="C402" s="2"/>
      <c r="D402" s="2"/>
      <c r="E402" s="2"/>
      <c r="F402" s="2"/>
      <c r="G402" s="2"/>
      <c r="H402" s="2"/>
      <c r="I402" s="2"/>
      <c r="J402" s="211"/>
      <c r="K402" s="2"/>
      <c r="L402" s="2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14"/>
      <c r="AL402" s="203"/>
      <c r="AM402" s="40"/>
      <c r="AN402" s="203"/>
      <c r="AO402" s="40"/>
      <c r="AQ402" s="40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</row>
    <row r="403" spans="1:65" s="204" customFormat="1">
      <c r="A403" s="2"/>
      <c r="B403" s="2"/>
      <c r="C403" s="2"/>
      <c r="D403" s="2"/>
      <c r="E403" s="2"/>
      <c r="F403" s="2"/>
      <c r="G403" s="2"/>
      <c r="H403" s="2"/>
      <c r="I403" s="2"/>
      <c r="J403" s="211"/>
      <c r="K403" s="2"/>
      <c r="L403" s="2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14"/>
      <c r="AL403" s="203"/>
      <c r="AM403" s="40"/>
      <c r="AN403" s="203"/>
      <c r="AO403" s="40"/>
      <c r="AQ403" s="40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</row>
    <row r="404" spans="1:65" s="204" customFormat="1">
      <c r="A404" s="2"/>
      <c r="B404" s="2"/>
      <c r="C404" s="2"/>
      <c r="D404" s="2"/>
      <c r="E404" s="2"/>
      <c r="F404" s="2"/>
      <c r="G404" s="2"/>
      <c r="H404" s="2"/>
      <c r="I404" s="2"/>
      <c r="J404" s="211"/>
      <c r="K404" s="2"/>
      <c r="L404" s="2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14"/>
      <c r="AL404" s="203"/>
      <c r="AM404" s="40"/>
      <c r="AN404" s="203"/>
      <c r="AO404" s="40"/>
      <c r="AQ404" s="40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</row>
    <row r="405" spans="1:65" s="204" customFormat="1">
      <c r="A405" s="2"/>
      <c r="B405" s="2"/>
      <c r="C405" s="2"/>
      <c r="D405" s="2"/>
      <c r="E405" s="2"/>
      <c r="F405" s="2"/>
      <c r="G405" s="2"/>
      <c r="H405" s="2"/>
      <c r="I405" s="2"/>
      <c r="J405" s="211"/>
      <c r="K405" s="2"/>
      <c r="L405" s="2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14"/>
      <c r="AL405" s="203"/>
      <c r="AM405" s="40"/>
      <c r="AN405" s="203"/>
      <c r="AO405" s="40"/>
      <c r="AQ405" s="40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</row>
  </sheetData>
  <autoFilter ref="A2:BN375" xr:uid="{7B8066EE-525C-49BC-A593-5C43BF03191E}"/>
  <phoneticPr fontId="4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bdfa1-be50-4b7a-b66f-14c4748c8596">
      <Terms xmlns="http://schemas.microsoft.com/office/infopath/2007/PartnerControls"/>
    </lcf76f155ced4ddcb4097134ff3c332f>
    <TaxCatchAll xmlns="2df2684a-2237-489e-8795-1f946593e1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87D9C2-3DE9-4D6C-AE16-92BD622C67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057BA8-044C-4CA9-BA1B-A8FE90330D20}">
  <ds:schemaRefs>
    <ds:schemaRef ds:uri="http://schemas.microsoft.com/office/2006/metadata/properties"/>
    <ds:schemaRef ds:uri="http://schemas.microsoft.com/office/infopath/2007/PartnerControls"/>
    <ds:schemaRef ds:uri="1c3f0a77-8646-483b-8825-c5c42cfc4399"/>
    <ds:schemaRef ds:uri="cf5e9047-9e24-4a09-8a6c-8f6e0987852d"/>
  </ds:schemaRefs>
</ds:datastoreItem>
</file>

<file path=customXml/itemProps3.xml><?xml version="1.0" encoding="utf-8"?>
<ds:datastoreItem xmlns:ds="http://schemas.openxmlformats.org/officeDocument/2006/customXml" ds:itemID="{4D1AAC28-80DA-4CC7-82B6-27DCA739A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2</vt:i4>
      </vt:variant>
    </vt:vector>
  </HeadingPairs>
  <TitlesOfParts>
    <vt:vector size="23" baseType="lpstr">
      <vt:lpstr>工作表6 (2)</vt:lpstr>
      <vt:lpstr>說明頁_更新版</vt:lpstr>
      <vt:lpstr>FY24 Summary_1</vt:lpstr>
      <vt:lpstr>FY23 Summary_1</vt:lpstr>
      <vt:lpstr>FY23 Summary_2</vt:lpstr>
      <vt:lpstr>FY23</vt:lpstr>
      <vt:lpstr>FY24 Summary_2</vt:lpstr>
      <vt:lpstr>工作表1</vt:lpstr>
      <vt:lpstr>工作表3</vt:lpstr>
      <vt:lpstr>工作表4</vt:lpstr>
      <vt:lpstr>工作表2</vt:lpstr>
      <vt:lpstr>工作表5</vt:lpstr>
      <vt:lpstr>工作表7</vt:lpstr>
      <vt:lpstr>工作表6</vt:lpstr>
      <vt:lpstr>FY25 Summary_1</vt:lpstr>
      <vt:lpstr>FY25 Summary_2</vt:lpstr>
      <vt:lpstr>FY26 Summary_1</vt:lpstr>
      <vt:lpstr>FY26 Summary_2</vt:lpstr>
      <vt:lpstr>FY24</vt:lpstr>
      <vt:lpstr>FY25</vt:lpstr>
      <vt:lpstr>FY26</vt:lpstr>
      <vt:lpstr>'FY23'!Print_Area</vt:lpstr>
      <vt:lpstr>'FY24'!Print_Area</vt:lpstr>
    </vt:vector>
  </TitlesOfParts>
  <Manager/>
  <Company>DARFON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nicolle hsu</dc:creator>
  <cp:keywords/>
  <dc:description/>
  <cp:lastModifiedBy>Enya 賴</cp:lastModifiedBy>
  <cp:revision/>
  <cp:lastPrinted>2025-07-07T09:29:46Z</cp:lastPrinted>
  <dcterms:created xsi:type="dcterms:W3CDTF">2016-11-29T03:05:40Z</dcterms:created>
  <dcterms:modified xsi:type="dcterms:W3CDTF">2026-04-08T11:17:14Z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